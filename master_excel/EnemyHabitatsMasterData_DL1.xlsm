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2160" yWindow="2100" windowWidth="30360" windowHeight="14540" activeTab="2"/>
  </bookViews>
  <sheets>
    <sheet name="floors_DL1" sheetId="2" r:id="rId1"/>
    <sheet name="enemy_habitats_DL1" sheetId="1" r:id="rId2"/>
    <sheet name="floors_DL1.tmp" sheetId="5" r:id="rId3"/>
    <sheet name="enemy_habitats_DL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enemy_habitats_DL1!$B$1:$AE$275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6" l="1"/>
  <c r="C1" i="5"/>
  <c r="A1" i="5"/>
  <c r="A88" i="5"/>
  <c r="B1" i="5"/>
  <c r="F88" i="5"/>
  <c r="E88" i="5"/>
  <c r="D88" i="5"/>
  <c r="C88" i="5"/>
  <c r="B88" i="5"/>
  <c r="A87" i="5"/>
  <c r="F87" i="5"/>
  <c r="E87" i="5"/>
  <c r="D87" i="5"/>
  <c r="C87" i="5"/>
  <c r="B87" i="5"/>
  <c r="A86" i="5"/>
  <c r="F86" i="5"/>
  <c r="E86" i="5"/>
  <c r="D86" i="5"/>
  <c r="C86" i="5"/>
  <c r="B86" i="5"/>
  <c r="A85" i="5"/>
  <c r="F85" i="5"/>
  <c r="E85" i="5"/>
  <c r="D85" i="5"/>
  <c r="C85" i="5"/>
  <c r="B85" i="5"/>
  <c r="A84" i="5"/>
  <c r="F84" i="5"/>
  <c r="E84" i="5"/>
  <c r="D84" i="5"/>
  <c r="C84" i="5"/>
  <c r="B84" i="5"/>
  <c r="A83" i="5"/>
  <c r="F83" i="5"/>
  <c r="E83" i="5"/>
  <c r="D83" i="5"/>
  <c r="C83" i="5"/>
  <c r="B83" i="5"/>
  <c r="A82" i="5"/>
  <c r="F82" i="5"/>
  <c r="E82" i="5"/>
  <c r="D82" i="5"/>
  <c r="C82" i="5"/>
  <c r="B82" i="5"/>
  <c r="A81" i="5"/>
  <c r="F81" i="5"/>
  <c r="E81" i="5"/>
  <c r="D81" i="5"/>
  <c r="C81" i="5"/>
  <c r="B81" i="5"/>
  <c r="A80" i="5"/>
  <c r="F80" i="5"/>
  <c r="E80" i="5"/>
  <c r="D80" i="5"/>
  <c r="C80" i="5"/>
  <c r="B80" i="5"/>
  <c r="A79" i="5"/>
  <c r="F79" i="5"/>
  <c r="E79" i="5"/>
  <c r="D79" i="5"/>
  <c r="C79" i="5"/>
  <c r="B79" i="5"/>
  <c r="A78" i="5"/>
  <c r="F78" i="5"/>
  <c r="E78" i="5"/>
  <c r="D78" i="5"/>
  <c r="C78" i="5"/>
  <c r="B78" i="5"/>
  <c r="A77" i="5"/>
  <c r="F77" i="5"/>
  <c r="E77" i="5"/>
  <c r="D77" i="5"/>
  <c r="C77" i="5"/>
  <c r="B77" i="5"/>
  <c r="A76" i="5"/>
  <c r="F76" i="5"/>
  <c r="E76" i="5"/>
  <c r="D76" i="5"/>
  <c r="C76" i="5"/>
  <c r="B76" i="5"/>
  <c r="A75" i="5"/>
  <c r="F75" i="5"/>
  <c r="E75" i="5"/>
  <c r="D75" i="5"/>
  <c r="C75" i="5"/>
  <c r="B75" i="5"/>
  <c r="A74" i="5"/>
  <c r="F74" i="5"/>
  <c r="E74" i="5"/>
  <c r="D74" i="5"/>
  <c r="C74" i="5"/>
  <c r="B74" i="5"/>
  <c r="A73" i="5"/>
  <c r="F73" i="5"/>
  <c r="E73" i="5"/>
  <c r="D73" i="5"/>
  <c r="C73" i="5"/>
  <c r="B73" i="5"/>
  <c r="A72" i="5"/>
  <c r="F72" i="5"/>
  <c r="E72" i="5"/>
  <c r="D72" i="5"/>
  <c r="C72" i="5"/>
  <c r="B72" i="5"/>
  <c r="A71" i="5"/>
  <c r="F71" i="5"/>
  <c r="E71" i="5"/>
  <c r="D71" i="5"/>
  <c r="C71" i="5"/>
  <c r="B71" i="5"/>
  <c r="A70" i="5"/>
  <c r="F70" i="5"/>
  <c r="E70" i="5"/>
  <c r="D70" i="5"/>
  <c r="C70" i="5"/>
  <c r="B70" i="5"/>
  <c r="A69" i="5"/>
  <c r="F69" i="5"/>
  <c r="E69" i="5"/>
  <c r="D69" i="5"/>
  <c r="C69" i="5"/>
  <c r="B69" i="5"/>
  <c r="A68" i="5"/>
  <c r="F68" i="5"/>
  <c r="E68" i="5"/>
  <c r="D68" i="5"/>
  <c r="C68" i="5"/>
  <c r="B68" i="5"/>
  <c r="A67" i="5"/>
  <c r="F67" i="5"/>
  <c r="E67" i="5"/>
  <c r="D67" i="5"/>
  <c r="C67" i="5"/>
  <c r="B67" i="5"/>
  <c r="A66" i="5"/>
  <c r="F66" i="5"/>
  <c r="E66" i="5"/>
  <c r="D66" i="5"/>
  <c r="C66" i="5"/>
  <c r="B66" i="5"/>
  <c r="A65" i="5"/>
  <c r="F65" i="5"/>
  <c r="E65" i="5"/>
  <c r="D65" i="5"/>
  <c r="C65" i="5"/>
  <c r="B65" i="5"/>
  <c r="A64" i="5"/>
  <c r="F64" i="5"/>
  <c r="E64" i="5"/>
  <c r="D64" i="5"/>
  <c r="C64" i="5"/>
  <c r="B64" i="5"/>
  <c r="A63" i="5"/>
  <c r="F63" i="5"/>
  <c r="E63" i="5"/>
  <c r="D63" i="5"/>
  <c r="C63" i="5"/>
  <c r="B63" i="5"/>
  <c r="A62" i="5"/>
  <c r="F62" i="5"/>
  <c r="E62" i="5"/>
  <c r="D62" i="5"/>
  <c r="C62" i="5"/>
  <c r="B62" i="5"/>
  <c r="A61" i="5"/>
  <c r="F61" i="5"/>
  <c r="E61" i="5"/>
  <c r="D61" i="5"/>
  <c r="C61" i="5"/>
  <c r="B61" i="5"/>
  <c r="A60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C1" i="6"/>
  <c r="A1" i="6"/>
  <c r="X275" i="1"/>
  <c r="A275" i="1"/>
  <c r="A276" i="6"/>
  <c r="X2" i="1"/>
  <c r="A2" i="1"/>
  <c r="X3" i="1"/>
  <c r="A3" i="1"/>
  <c r="X4" i="1"/>
  <c r="A4" i="1"/>
  <c r="X5" i="1"/>
  <c r="A5" i="1"/>
  <c r="X6" i="1"/>
  <c r="A6" i="1"/>
  <c r="X7" i="1"/>
  <c r="A7" i="1"/>
  <c r="X8" i="1"/>
  <c r="A8" i="1"/>
  <c r="X9" i="1"/>
  <c r="A9" i="1"/>
  <c r="X10" i="1"/>
  <c r="A10" i="1"/>
  <c r="X11" i="1"/>
  <c r="A11" i="1"/>
  <c r="X12" i="1"/>
  <c r="A12" i="1"/>
  <c r="X13" i="1"/>
  <c r="A13" i="1"/>
  <c r="X14" i="1"/>
  <c r="A14" i="1"/>
  <c r="X15" i="1"/>
  <c r="A15" i="1"/>
  <c r="X16" i="1"/>
  <c r="A16" i="1"/>
  <c r="X17" i="1"/>
  <c r="A17" i="1"/>
  <c r="X18" i="1"/>
  <c r="A18" i="1"/>
  <c r="X19" i="1"/>
  <c r="A19" i="1"/>
  <c r="X20" i="1"/>
  <c r="A20" i="1"/>
  <c r="X21" i="1"/>
  <c r="A21" i="1"/>
  <c r="X22" i="1"/>
  <c r="A22" i="1"/>
  <c r="X23" i="1"/>
  <c r="A23" i="1"/>
  <c r="X24" i="1"/>
  <c r="A24" i="1"/>
  <c r="X25" i="1"/>
  <c r="A25" i="1"/>
  <c r="X26" i="1"/>
  <c r="A26" i="1"/>
  <c r="X27" i="1"/>
  <c r="A27" i="1"/>
  <c r="X28" i="1"/>
  <c r="A28" i="1"/>
  <c r="X29" i="1"/>
  <c r="A29" i="1"/>
  <c r="X30" i="1"/>
  <c r="A30" i="1"/>
  <c r="X31" i="1"/>
  <c r="A31" i="1"/>
  <c r="X32" i="1"/>
  <c r="A32" i="1"/>
  <c r="X33" i="1"/>
  <c r="A33" i="1"/>
  <c r="X34" i="1"/>
  <c r="A34" i="1"/>
  <c r="X35" i="1"/>
  <c r="A35" i="1"/>
  <c r="X36" i="1"/>
  <c r="A36" i="1"/>
  <c r="X37" i="1"/>
  <c r="A37" i="1"/>
  <c r="X38" i="1"/>
  <c r="A38" i="1"/>
  <c r="X39" i="1"/>
  <c r="A39" i="1"/>
  <c r="X40" i="1"/>
  <c r="A40" i="1"/>
  <c r="X41" i="1"/>
  <c r="A41" i="1"/>
  <c r="X42" i="1"/>
  <c r="A42" i="1"/>
  <c r="X43" i="1"/>
  <c r="A43" i="1"/>
  <c r="X44" i="1"/>
  <c r="A44" i="1"/>
  <c r="X45" i="1"/>
  <c r="A45" i="1"/>
  <c r="X46" i="1"/>
  <c r="A46" i="1"/>
  <c r="X47" i="1"/>
  <c r="A47" i="1"/>
  <c r="X48" i="1"/>
  <c r="A48" i="1"/>
  <c r="X49" i="1"/>
  <c r="A49" i="1"/>
  <c r="X50" i="1"/>
  <c r="A50" i="1"/>
  <c r="X51" i="1"/>
  <c r="A51" i="1"/>
  <c r="X52" i="1"/>
  <c r="A52" i="1"/>
  <c r="X53" i="1"/>
  <c r="A53" i="1"/>
  <c r="X54" i="1"/>
  <c r="A54" i="1"/>
  <c r="X55" i="1"/>
  <c r="A55" i="1"/>
  <c r="X56" i="1"/>
  <c r="A56" i="1"/>
  <c r="X57" i="1"/>
  <c r="A57" i="1"/>
  <c r="X58" i="1"/>
  <c r="A58" i="1"/>
  <c r="X59" i="1"/>
  <c r="A59" i="1"/>
  <c r="X60" i="1"/>
  <c r="A60" i="1"/>
  <c r="X61" i="1"/>
  <c r="A61" i="1"/>
  <c r="X62" i="1"/>
  <c r="A62" i="1"/>
  <c r="X63" i="1"/>
  <c r="A63" i="1"/>
  <c r="X64" i="1"/>
  <c r="A64" i="1"/>
  <c r="X65" i="1"/>
  <c r="A65" i="1"/>
  <c r="X66" i="1"/>
  <c r="A66" i="1"/>
  <c r="X67" i="1"/>
  <c r="A67" i="1"/>
  <c r="X68" i="1"/>
  <c r="A68" i="1"/>
  <c r="X69" i="1"/>
  <c r="A69" i="1"/>
  <c r="X70" i="1"/>
  <c r="A70" i="1"/>
  <c r="X71" i="1"/>
  <c r="A71" i="1"/>
  <c r="X72" i="1"/>
  <c r="A72" i="1"/>
  <c r="X73" i="1"/>
  <c r="A73" i="1"/>
  <c r="X74" i="1"/>
  <c r="A74" i="1"/>
  <c r="X75" i="1"/>
  <c r="A75" i="1"/>
  <c r="X76" i="1"/>
  <c r="A76" i="1"/>
  <c r="X77" i="1"/>
  <c r="A77" i="1"/>
  <c r="X78" i="1"/>
  <c r="A78" i="1"/>
  <c r="X79" i="1"/>
  <c r="A79" i="1"/>
  <c r="X80" i="1"/>
  <c r="A80" i="1"/>
  <c r="X81" i="1"/>
  <c r="A81" i="1"/>
  <c r="X82" i="1"/>
  <c r="A82" i="1"/>
  <c r="X83" i="1"/>
  <c r="A83" i="1"/>
  <c r="X84" i="1"/>
  <c r="A84" i="1"/>
  <c r="X85" i="1"/>
  <c r="A85" i="1"/>
  <c r="X86" i="1"/>
  <c r="A86" i="1"/>
  <c r="X87" i="1"/>
  <c r="A87" i="1"/>
  <c r="X88" i="1"/>
  <c r="A88" i="1"/>
  <c r="X89" i="1"/>
  <c r="A89" i="1"/>
  <c r="X90" i="1"/>
  <c r="A90" i="1"/>
  <c r="X91" i="1"/>
  <c r="A91" i="1"/>
  <c r="X92" i="1"/>
  <c r="A92" i="1"/>
  <c r="X93" i="1"/>
  <c r="A93" i="1"/>
  <c r="X94" i="1"/>
  <c r="A94" i="1"/>
  <c r="X95" i="1"/>
  <c r="A95" i="1"/>
  <c r="X96" i="1"/>
  <c r="A96" i="1"/>
  <c r="X97" i="1"/>
  <c r="A97" i="1"/>
  <c r="X98" i="1"/>
  <c r="A98" i="1"/>
  <c r="X99" i="1"/>
  <c r="A99" i="1"/>
  <c r="X100" i="1"/>
  <c r="A100" i="1"/>
  <c r="X101" i="1"/>
  <c r="A101" i="1"/>
  <c r="X102" i="1"/>
  <c r="A102" i="1"/>
  <c r="X103" i="1"/>
  <c r="A103" i="1"/>
  <c r="X104" i="1"/>
  <c r="A104" i="1"/>
  <c r="X105" i="1"/>
  <c r="A105" i="1"/>
  <c r="X106" i="1"/>
  <c r="A106" i="1"/>
  <c r="X107" i="1"/>
  <c r="A107" i="1"/>
  <c r="X108" i="1"/>
  <c r="A108" i="1"/>
  <c r="X109" i="1"/>
  <c r="A109" i="1"/>
  <c r="X110" i="1"/>
  <c r="A110" i="1"/>
  <c r="X111" i="1"/>
  <c r="A111" i="1"/>
  <c r="X112" i="1"/>
  <c r="A112" i="1"/>
  <c r="X113" i="1"/>
  <c r="A113" i="1"/>
  <c r="X114" i="1"/>
  <c r="A114" i="1"/>
  <c r="X115" i="1"/>
  <c r="A115" i="1"/>
  <c r="X116" i="1"/>
  <c r="A116" i="1"/>
  <c r="X117" i="1"/>
  <c r="A117" i="1"/>
  <c r="X118" i="1"/>
  <c r="A118" i="1"/>
  <c r="X119" i="1"/>
  <c r="A119" i="1"/>
  <c r="X120" i="1"/>
  <c r="A120" i="1"/>
  <c r="X121" i="1"/>
  <c r="A121" i="1"/>
  <c r="X122" i="1"/>
  <c r="A122" i="1"/>
  <c r="X123" i="1"/>
  <c r="A123" i="1"/>
  <c r="X124" i="1"/>
  <c r="A124" i="1"/>
  <c r="X125" i="1"/>
  <c r="A125" i="1"/>
  <c r="X126" i="1"/>
  <c r="A126" i="1"/>
  <c r="X127" i="1"/>
  <c r="A127" i="1"/>
  <c r="X128" i="1"/>
  <c r="A128" i="1"/>
  <c r="X129" i="1"/>
  <c r="A129" i="1"/>
  <c r="X130" i="1"/>
  <c r="A130" i="1"/>
  <c r="X131" i="1"/>
  <c r="A131" i="1"/>
  <c r="X132" i="1"/>
  <c r="A132" i="1"/>
  <c r="X133" i="1"/>
  <c r="A133" i="1"/>
  <c r="X134" i="1"/>
  <c r="A134" i="1"/>
  <c r="X135" i="1"/>
  <c r="A135" i="1"/>
  <c r="X136" i="1"/>
  <c r="A136" i="1"/>
  <c r="X137" i="1"/>
  <c r="A137" i="1"/>
  <c r="X138" i="1"/>
  <c r="A138" i="1"/>
  <c r="X139" i="1"/>
  <c r="A139" i="1"/>
  <c r="X140" i="1"/>
  <c r="A140" i="1"/>
  <c r="X141" i="1"/>
  <c r="A141" i="1"/>
  <c r="X142" i="1"/>
  <c r="A142" i="1"/>
  <c r="X143" i="1"/>
  <c r="A143" i="1"/>
  <c r="X144" i="1"/>
  <c r="A144" i="1"/>
  <c r="X145" i="1"/>
  <c r="A145" i="1"/>
  <c r="X146" i="1"/>
  <c r="A146" i="1"/>
  <c r="X147" i="1"/>
  <c r="A147" i="1"/>
  <c r="X148" i="1"/>
  <c r="A148" i="1"/>
  <c r="X149" i="1"/>
  <c r="A149" i="1"/>
  <c r="X150" i="1"/>
  <c r="A150" i="1"/>
  <c r="X151" i="1"/>
  <c r="A151" i="1"/>
  <c r="X152" i="1"/>
  <c r="A152" i="1"/>
  <c r="X153" i="1"/>
  <c r="A153" i="1"/>
  <c r="X154" i="1"/>
  <c r="A154" i="1"/>
  <c r="X155" i="1"/>
  <c r="A155" i="1"/>
  <c r="X156" i="1"/>
  <c r="A156" i="1"/>
  <c r="X157" i="1"/>
  <c r="A157" i="1"/>
  <c r="X158" i="1"/>
  <c r="A158" i="1"/>
  <c r="X159" i="1"/>
  <c r="A159" i="1"/>
  <c r="X160" i="1"/>
  <c r="A160" i="1"/>
  <c r="X161" i="1"/>
  <c r="A161" i="1"/>
  <c r="X162" i="1"/>
  <c r="A162" i="1"/>
  <c r="X163" i="1"/>
  <c r="A163" i="1"/>
  <c r="X164" i="1"/>
  <c r="A164" i="1"/>
  <c r="X165" i="1"/>
  <c r="A165" i="1"/>
  <c r="X166" i="1"/>
  <c r="A166" i="1"/>
  <c r="X167" i="1"/>
  <c r="A167" i="1"/>
  <c r="X168" i="1"/>
  <c r="A168" i="1"/>
  <c r="X169" i="1"/>
  <c r="A169" i="1"/>
  <c r="X170" i="1"/>
  <c r="A170" i="1"/>
  <c r="X171" i="1"/>
  <c r="A171" i="1"/>
  <c r="X172" i="1"/>
  <c r="A172" i="1"/>
  <c r="X173" i="1"/>
  <c r="A173" i="1"/>
  <c r="X174" i="1"/>
  <c r="A174" i="1"/>
  <c r="X175" i="1"/>
  <c r="A175" i="1"/>
  <c r="X176" i="1"/>
  <c r="A176" i="1"/>
  <c r="X177" i="1"/>
  <c r="A177" i="1"/>
  <c r="X178" i="1"/>
  <c r="A178" i="1"/>
  <c r="X179" i="1"/>
  <c r="A179" i="1"/>
  <c r="X180" i="1"/>
  <c r="A180" i="1"/>
  <c r="X181" i="1"/>
  <c r="A181" i="1"/>
  <c r="X182" i="1"/>
  <c r="A182" i="1"/>
  <c r="X183" i="1"/>
  <c r="A183" i="1"/>
  <c r="X184" i="1"/>
  <c r="A184" i="1"/>
  <c r="X185" i="1"/>
  <c r="A185" i="1"/>
  <c r="X186" i="1"/>
  <c r="A186" i="1"/>
  <c r="X187" i="1"/>
  <c r="A187" i="1"/>
  <c r="X188" i="1"/>
  <c r="A188" i="1"/>
  <c r="X189" i="1"/>
  <c r="A189" i="1"/>
  <c r="X190" i="1"/>
  <c r="A190" i="1"/>
  <c r="X191" i="1"/>
  <c r="A191" i="1"/>
  <c r="X192" i="1"/>
  <c r="A192" i="1"/>
  <c r="X193" i="1"/>
  <c r="A193" i="1"/>
  <c r="X194" i="1"/>
  <c r="A194" i="1"/>
  <c r="X195" i="1"/>
  <c r="A195" i="1"/>
  <c r="X196" i="1"/>
  <c r="A196" i="1"/>
  <c r="X197" i="1"/>
  <c r="A197" i="1"/>
  <c r="X198" i="1"/>
  <c r="A198" i="1"/>
  <c r="X199" i="1"/>
  <c r="A199" i="1"/>
  <c r="X200" i="1"/>
  <c r="A200" i="1"/>
  <c r="X201" i="1"/>
  <c r="A201" i="1"/>
  <c r="X202" i="1"/>
  <c r="A202" i="1"/>
  <c r="X203" i="1"/>
  <c r="A203" i="1"/>
  <c r="X204" i="1"/>
  <c r="A204" i="1"/>
  <c r="X205" i="1"/>
  <c r="A205" i="1"/>
  <c r="X206" i="1"/>
  <c r="A206" i="1"/>
  <c r="X207" i="1"/>
  <c r="A207" i="1"/>
  <c r="X208" i="1"/>
  <c r="A208" i="1"/>
  <c r="X209" i="1"/>
  <c r="A209" i="1"/>
  <c r="X210" i="1"/>
  <c r="A210" i="1"/>
  <c r="X211" i="1"/>
  <c r="A211" i="1"/>
  <c r="X212" i="1"/>
  <c r="A212" i="1"/>
  <c r="X213" i="1"/>
  <c r="A213" i="1"/>
  <c r="X214" i="1"/>
  <c r="A214" i="1"/>
  <c r="X215" i="1"/>
  <c r="A215" i="1"/>
  <c r="X216" i="1"/>
  <c r="A216" i="1"/>
  <c r="X217" i="1"/>
  <c r="A217" i="1"/>
  <c r="X218" i="1"/>
  <c r="A218" i="1"/>
  <c r="X219" i="1"/>
  <c r="A219" i="1"/>
  <c r="X220" i="1"/>
  <c r="A220" i="1"/>
  <c r="X221" i="1"/>
  <c r="A221" i="1"/>
  <c r="X222" i="1"/>
  <c r="A222" i="1"/>
  <c r="X223" i="1"/>
  <c r="A223" i="1"/>
  <c r="X224" i="1"/>
  <c r="A224" i="1"/>
  <c r="X225" i="1"/>
  <c r="A225" i="1"/>
  <c r="X226" i="1"/>
  <c r="A226" i="1"/>
  <c r="X227" i="1"/>
  <c r="A227" i="1"/>
  <c r="X228" i="1"/>
  <c r="A228" i="1"/>
  <c r="X229" i="1"/>
  <c r="A229" i="1"/>
  <c r="X230" i="1"/>
  <c r="A230" i="1"/>
  <c r="X231" i="1"/>
  <c r="A231" i="1"/>
  <c r="X232" i="1"/>
  <c r="A232" i="1"/>
  <c r="X233" i="1"/>
  <c r="A233" i="1"/>
  <c r="X234" i="1"/>
  <c r="A234" i="1"/>
  <c r="X235" i="1"/>
  <c r="A235" i="1"/>
  <c r="X236" i="1"/>
  <c r="A236" i="1"/>
  <c r="X237" i="1"/>
  <c r="A237" i="1"/>
  <c r="X238" i="1"/>
  <c r="A238" i="1"/>
  <c r="X239" i="1"/>
  <c r="A239" i="1"/>
  <c r="X240" i="1"/>
  <c r="A240" i="1"/>
  <c r="X241" i="1"/>
  <c r="A241" i="1"/>
  <c r="X242" i="1"/>
  <c r="A242" i="1"/>
  <c r="X243" i="1"/>
  <c r="A243" i="1"/>
  <c r="X244" i="1"/>
  <c r="A244" i="1"/>
  <c r="X245" i="1"/>
  <c r="A245" i="1"/>
  <c r="X246" i="1"/>
  <c r="A246" i="1"/>
  <c r="X247" i="1"/>
  <c r="A247" i="1"/>
  <c r="X248" i="1"/>
  <c r="A248" i="1"/>
  <c r="X249" i="1"/>
  <c r="A249" i="1"/>
  <c r="X250" i="1"/>
  <c r="A250" i="1"/>
  <c r="X251" i="1"/>
  <c r="A251" i="1"/>
  <c r="X252" i="1"/>
  <c r="A252" i="1"/>
  <c r="X253" i="1"/>
  <c r="A253" i="1"/>
  <c r="X254" i="1"/>
  <c r="A254" i="1"/>
  <c r="X255" i="1"/>
  <c r="A255" i="1"/>
  <c r="X256" i="1"/>
  <c r="A256" i="1"/>
  <c r="X257" i="1"/>
  <c r="A257" i="1"/>
  <c r="X258" i="1"/>
  <c r="A258" i="1"/>
  <c r="X259" i="1"/>
  <c r="A259" i="1"/>
  <c r="X260" i="1"/>
  <c r="A260" i="1"/>
  <c r="X261" i="1"/>
  <c r="A261" i="1"/>
  <c r="X262" i="1"/>
  <c r="A262" i="1"/>
  <c r="X263" i="1"/>
  <c r="A263" i="1"/>
  <c r="X264" i="1"/>
  <c r="A264" i="1"/>
  <c r="X265" i="1"/>
  <c r="A265" i="1"/>
  <c r="X266" i="1"/>
  <c r="A266" i="1"/>
  <c r="X267" i="1"/>
  <c r="A267" i="1"/>
  <c r="X268" i="1"/>
  <c r="A268" i="1"/>
  <c r="X269" i="1"/>
  <c r="A269" i="1"/>
  <c r="X270" i="1"/>
  <c r="A270" i="1"/>
  <c r="X271" i="1"/>
  <c r="A271" i="1"/>
  <c r="X272" i="1"/>
  <c r="A272" i="1"/>
  <c r="X273" i="1"/>
  <c r="A273" i="1"/>
  <c r="X274" i="1"/>
  <c r="A274" i="1"/>
  <c r="B1" i="6"/>
  <c r="I276" i="6"/>
  <c r="H276" i="6"/>
  <c r="G276" i="6"/>
  <c r="A275" i="6"/>
  <c r="I275" i="6"/>
  <c r="H275" i="6"/>
  <c r="G275" i="6"/>
  <c r="A274" i="6"/>
  <c r="I274" i="6"/>
  <c r="H274" i="6"/>
  <c r="G274" i="6"/>
  <c r="A273" i="6"/>
  <c r="I273" i="6"/>
  <c r="H273" i="6"/>
  <c r="G273" i="6"/>
  <c r="A272" i="6"/>
  <c r="I272" i="6"/>
  <c r="H272" i="6"/>
  <c r="G272" i="6"/>
  <c r="A271" i="6"/>
  <c r="I271" i="6"/>
  <c r="H271" i="6"/>
  <c r="G271" i="6"/>
  <c r="A270" i="6"/>
  <c r="I270" i="6"/>
  <c r="H270" i="6"/>
  <c r="G270" i="6"/>
  <c r="A269" i="6"/>
  <c r="I269" i="6"/>
  <c r="H269" i="6"/>
  <c r="G269" i="6"/>
  <c r="A268" i="6"/>
  <c r="I268" i="6"/>
  <c r="H268" i="6"/>
  <c r="G268" i="6"/>
  <c r="A267" i="6"/>
  <c r="I267" i="6"/>
  <c r="H267" i="6"/>
  <c r="G267" i="6"/>
  <c r="A266" i="6"/>
  <c r="I266" i="6"/>
  <c r="H266" i="6"/>
  <c r="G266" i="6"/>
  <c r="A265" i="6"/>
  <c r="I265" i="6"/>
  <c r="H265" i="6"/>
  <c r="G265" i="6"/>
  <c r="A264" i="6"/>
  <c r="I264" i="6"/>
  <c r="H264" i="6"/>
  <c r="G264" i="6"/>
  <c r="A263" i="6"/>
  <c r="I263" i="6"/>
  <c r="H263" i="6"/>
  <c r="G263" i="6"/>
  <c r="A262" i="6"/>
  <c r="I262" i="6"/>
  <c r="H262" i="6"/>
  <c r="G262" i="6"/>
  <c r="A261" i="6"/>
  <c r="I261" i="6"/>
  <c r="H261" i="6"/>
  <c r="G261" i="6"/>
  <c r="A260" i="6"/>
  <c r="I260" i="6"/>
  <c r="H260" i="6"/>
  <c r="G260" i="6"/>
  <c r="A259" i="6"/>
  <c r="I259" i="6"/>
  <c r="H259" i="6"/>
  <c r="G259" i="6"/>
  <c r="A258" i="6"/>
  <c r="I258" i="6"/>
  <c r="H258" i="6"/>
  <c r="G258" i="6"/>
  <c r="A257" i="6"/>
  <c r="I257" i="6"/>
  <c r="H257" i="6"/>
  <c r="G257" i="6"/>
  <c r="A256" i="6"/>
  <c r="I256" i="6"/>
  <c r="H256" i="6"/>
  <c r="G256" i="6"/>
  <c r="A255" i="6"/>
  <c r="I255" i="6"/>
  <c r="H255" i="6"/>
  <c r="G255" i="6"/>
  <c r="A254" i="6"/>
  <c r="I254" i="6"/>
  <c r="H254" i="6"/>
  <c r="G254" i="6"/>
  <c r="A253" i="6"/>
  <c r="I253" i="6"/>
  <c r="H253" i="6"/>
  <c r="G253" i="6"/>
  <c r="A252" i="6"/>
  <c r="I252" i="6"/>
  <c r="H252" i="6"/>
  <c r="G252" i="6"/>
  <c r="A251" i="6"/>
  <c r="I251" i="6"/>
  <c r="H251" i="6"/>
  <c r="G251" i="6"/>
  <c r="A250" i="6"/>
  <c r="I250" i="6"/>
  <c r="H250" i="6"/>
  <c r="G250" i="6"/>
  <c r="A249" i="6"/>
  <c r="I249" i="6"/>
  <c r="H249" i="6"/>
  <c r="G249" i="6"/>
  <c r="A248" i="6"/>
  <c r="I248" i="6"/>
  <c r="H248" i="6"/>
  <c r="G248" i="6"/>
  <c r="A247" i="6"/>
  <c r="I247" i="6"/>
  <c r="H247" i="6"/>
  <c r="G247" i="6"/>
  <c r="A246" i="6"/>
  <c r="I246" i="6"/>
  <c r="H246" i="6"/>
  <c r="G246" i="6"/>
  <c r="A245" i="6"/>
  <c r="I245" i="6"/>
  <c r="H245" i="6"/>
  <c r="G245" i="6"/>
  <c r="A244" i="6"/>
  <c r="I244" i="6"/>
  <c r="H244" i="6"/>
  <c r="G244" i="6"/>
  <c r="A243" i="6"/>
  <c r="I243" i="6"/>
  <c r="H243" i="6"/>
  <c r="G243" i="6"/>
  <c r="A242" i="6"/>
  <c r="I242" i="6"/>
  <c r="H242" i="6"/>
  <c r="G242" i="6"/>
  <c r="A241" i="6"/>
  <c r="I241" i="6"/>
  <c r="H241" i="6"/>
  <c r="G241" i="6"/>
  <c r="A240" i="6"/>
  <c r="I240" i="6"/>
  <c r="H240" i="6"/>
  <c r="G240" i="6"/>
  <c r="A239" i="6"/>
  <c r="I239" i="6"/>
  <c r="H239" i="6"/>
  <c r="G239" i="6"/>
  <c r="A238" i="6"/>
  <c r="I238" i="6"/>
  <c r="H238" i="6"/>
  <c r="G238" i="6"/>
  <c r="A237" i="6"/>
  <c r="I237" i="6"/>
  <c r="H237" i="6"/>
  <c r="G237" i="6"/>
  <c r="A236" i="6"/>
  <c r="I236" i="6"/>
  <c r="H236" i="6"/>
  <c r="G236" i="6"/>
  <c r="A235" i="6"/>
  <c r="I235" i="6"/>
  <c r="H235" i="6"/>
  <c r="G235" i="6"/>
  <c r="A234" i="6"/>
  <c r="I234" i="6"/>
  <c r="H234" i="6"/>
  <c r="G234" i="6"/>
  <c r="A233" i="6"/>
  <c r="I233" i="6"/>
  <c r="H233" i="6"/>
  <c r="G233" i="6"/>
  <c r="A232" i="6"/>
  <c r="I232" i="6"/>
  <c r="H232" i="6"/>
  <c r="G232" i="6"/>
  <c r="A231" i="6"/>
  <c r="I231" i="6"/>
  <c r="H231" i="6"/>
  <c r="G231" i="6"/>
  <c r="A230" i="6"/>
  <c r="I230" i="6"/>
  <c r="H230" i="6"/>
  <c r="G230" i="6"/>
  <c r="A229" i="6"/>
  <c r="I229" i="6"/>
  <c r="H229" i="6"/>
  <c r="G229" i="6"/>
  <c r="A228" i="6"/>
  <c r="I228" i="6"/>
  <c r="H228" i="6"/>
  <c r="G228" i="6"/>
  <c r="A227" i="6"/>
  <c r="I227" i="6"/>
  <c r="H227" i="6"/>
  <c r="G227" i="6"/>
  <c r="A226" i="6"/>
  <c r="I226" i="6"/>
  <c r="H226" i="6"/>
  <c r="G226" i="6"/>
  <c r="A225" i="6"/>
  <c r="I225" i="6"/>
  <c r="H225" i="6"/>
  <c r="G225" i="6"/>
  <c r="A224" i="6"/>
  <c r="I224" i="6"/>
  <c r="H224" i="6"/>
  <c r="G224" i="6"/>
  <c r="A223" i="6"/>
  <c r="I223" i="6"/>
  <c r="H223" i="6"/>
  <c r="G223" i="6"/>
  <c r="A222" i="6"/>
  <c r="I222" i="6"/>
  <c r="H222" i="6"/>
  <c r="G222" i="6"/>
  <c r="A221" i="6"/>
  <c r="I221" i="6"/>
  <c r="H221" i="6"/>
  <c r="G221" i="6"/>
  <c r="A220" i="6"/>
  <c r="I220" i="6"/>
  <c r="H220" i="6"/>
  <c r="G220" i="6"/>
  <c r="A219" i="6"/>
  <c r="I219" i="6"/>
  <c r="H219" i="6"/>
  <c r="G219" i="6"/>
  <c r="A218" i="6"/>
  <c r="I218" i="6"/>
  <c r="H218" i="6"/>
  <c r="G218" i="6"/>
  <c r="A217" i="6"/>
  <c r="I217" i="6"/>
  <c r="H217" i="6"/>
  <c r="G217" i="6"/>
  <c r="A216" i="6"/>
  <c r="I216" i="6"/>
  <c r="H216" i="6"/>
  <c r="G216" i="6"/>
  <c r="A215" i="6"/>
  <c r="I215" i="6"/>
  <c r="H215" i="6"/>
  <c r="G215" i="6"/>
  <c r="A214" i="6"/>
  <c r="I214" i="6"/>
  <c r="H214" i="6"/>
  <c r="G214" i="6"/>
  <c r="A213" i="6"/>
  <c r="I213" i="6"/>
  <c r="H213" i="6"/>
  <c r="G213" i="6"/>
  <c r="A212" i="6"/>
  <c r="I212" i="6"/>
  <c r="H212" i="6"/>
  <c r="G212" i="6"/>
  <c r="A211" i="6"/>
  <c r="I211" i="6"/>
  <c r="H211" i="6"/>
  <c r="G211" i="6"/>
  <c r="A210" i="6"/>
  <c r="I210" i="6"/>
  <c r="H210" i="6"/>
  <c r="G210" i="6"/>
  <c r="A209" i="6"/>
  <c r="I209" i="6"/>
  <c r="H209" i="6"/>
  <c r="G209" i="6"/>
  <c r="A208" i="6"/>
  <c r="I208" i="6"/>
  <c r="H208" i="6"/>
  <c r="G208" i="6"/>
  <c r="A207" i="6"/>
  <c r="I207" i="6"/>
  <c r="H207" i="6"/>
  <c r="G207" i="6"/>
  <c r="A206" i="6"/>
  <c r="I206" i="6"/>
  <c r="H206" i="6"/>
  <c r="G206" i="6"/>
  <c r="A205" i="6"/>
  <c r="I205" i="6"/>
  <c r="H205" i="6"/>
  <c r="G205" i="6"/>
  <c r="A204" i="6"/>
  <c r="I204" i="6"/>
  <c r="H204" i="6"/>
  <c r="G204" i="6"/>
  <c r="A203" i="6"/>
  <c r="I203" i="6"/>
  <c r="H203" i="6"/>
  <c r="G203" i="6"/>
  <c r="A202" i="6"/>
  <c r="I202" i="6"/>
  <c r="H202" i="6"/>
  <c r="G202" i="6"/>
  <c r="A201" i="6"/>
  <c r="I201" i="6"/>
  <c r="H201" i="6"/>
  <c r="G201" i="6"/>
  <c r="A200" i="6"/>
  <c r="I200" i="6"/>
  <c r="H200" i="6"/>
  <c r="G200" i="6"/>
  <c r="A199" i="6"/>
  <c r="I199" i="6"/>
  <c r="H199" i="6"/>
  <c r="G199" i="6"/>
  <c r="A198" i="6"/>
  <c r="I198" i="6"/>
  <c r="H198" i="6"/>
  <c r="G198" i="6"/>
  <c r="A197" i="6"/>
  <c r="I197" i="6"/>
  <c r="H197" i="6"/>
  <c r="G197" i="6"/>
  <c r="A196" i="6"/>
  <c r="I196" i="6"/>
  <c r="H196" i="6"/>
  <c r="G196" i="6"/>
  <c r="A195" i="6"/>
  <c r="I195" i="6"/>
  <c r="H195" i="6"/>
  <c r="G195" i="6"/>
  <c r="A194" i="6"/>
  <c r="I194" i="6"/>
  <c r="H194" i="6"/>
  <c r="G194" i="6"/>
  <c r="A193" i="6"/>
  <c r="I193" i="6"/>
  <c r="H193" i="6"/>
  <c r="G193" i="6"/>
  <c r="A192" i="6"/>
  <c r="I192" i="6"/>
  <c r="H192" i="6"/>
  <c r="G192" i="6"/>
  <c r="A191" i="6"/>
  <c r="I191" i="6"/>
  <c r="H191" i="6"/>
  <c r="G191" i="6"/>
  <c r="A190" i="6"/>
  <c r="I190" i="6"/>
  <c r="H190" i="6"/>
  <c r="G190" i="6"/>
  <c r="A189" i="6"/>
  <c r="I189" i="6"/>
  <c r="H189" i="6"/>
  <c r="G189" i="6"/>
  <c r="A188" i="6"/>
  <c r="I188" i="6"/>
  <c r="H188" i="6"/>
  <c r="G188" i="6"/>
  <c r="A187" i="6"/>
  <c r="I187" i="6"/>
  <c r="H187" i="6"/>
  <c r="G187" i="6"/>
  <c r="A186" i="6"/>
  <c r="I186" i="6"/>
  <c r="H186" i="6"/>
  <c r="G186" i="6"/>
  <c r="A185" i="6"/>
  <c r="I185" i="6"/>
  <c r="H185" i="6"/>
  <c r="G185" i="6"/>
  <c r="A184" i="6"/>
  <c r="I184" i="6"/>
  <c r="H184" i="6"/>
  <c r="G184" i="6"/>
  <c r="A183" i="6"/>
  <c r="I183" i="6"/>
  <c r="H183" i="6"/>
  <c r="G183" i="6"/>
  <c r="A182" i="6"/>
  <c r="I182" i="6"/>
  <c r="H182" i="6"/>
  <c r="G182" i="6"/>
  <c r="A181" i="6"/>
  <c r="I181" i="6"/>
  <c r="H181" i="6"/>
  <c r="G181" i="6"/>
  <c r="A180" i="6"/>
  <c r="I180" i="6"/>
  <c r="H180" i="6"/>
  <c r="G180" i="6"/>
  <c r="A179" i="6"/>
  <c r="I179" i="6"/>
  <c r="H179" i="6"/>
  <c r="G179" i="6"/>
  <c r="A178" i="6"/>
  <c r="I178" i="6"/>
  <c r="H178" i="6"/>
  <c r="G178" i="6"/>
  <c r="A177" i="6"/>
  <c r="I177" i="6"/>
  <c r="H177" i="6"/>
  <c r="G177" i="6"/>
  <c r="A176" i="6"/>
  <c r="I176" i="6"/>
  <c r="H176" i="6"/>
  <c r="G176" i="6"/>
  <c r="A175" i="6"/>
  <c r="I175" i="6"/>
  <c r="H175" i="6"/>
  <c r="G175" i="6"/>
  <c r="A174" i="6"/>
  <c r="I174" i="6"/>
  <c r="H174" i="6"/>
  <c r="G174" i="6"/>
  <c r="A173" i="6"/>
  <c r="I173" i="6"/>
  <c r="H173" i="6"/>
  <c r="G173" i="6"/>
  <c r="A172" i="6"/>
  <c r="I172" i="6"/>
  <c r="H172" i="6"/>
  <c r="G172" i="6"/>
  <c r="A171" i="6"/>
  <c r="I171" i="6"/>
  <c r="H171" i="6"/>
  <c r="G171" i="6"/>
  <c r="A170" i="6"/>
  <c r="I170" i="6"/>
  <c r="H170" i="6"/>
  <c r="G170" i="6"/>
  <c r="A169" i="6"/>
  <c r="I169" i="6"/>
  <c r="H169" i="6"/>
  <c r="G169" i="6"/>
  <c r="A168" i="6"/>
  <c r="I168" i="6"/>
  <c r="H168" i="6"/>
  <c r="G168" i="6"/>
  <c r="A167" i="6"/>
  <c r="I167" i="6"/>
  <c r="H167" i="6"/>
  <c r="G167" i="6"/>
  <c r="A166" i="6"/>
  <c r="I166" i="6"/>
  <c r="H166" i="6"/>
  <c r="G166" i="6"/>
  <c r="A165" i="6"/>
  <c r="I165" i="6"/>
  <c r="H165" i="6"/>
  <c r="G165" i="6"/>
  <c r="A164" i="6"/>
  <c r="I164" i="6"/>
  <c r="H164" i="6"/>
  <c r="G164" i="6"/>
  <c r="A163" i="6"/>
  <c r="I163" i="6"/>
  <c r="H163" i="6"/>
  <c r="G163" i="6"/>
  <c r="A162" i="6"/>
  <c r="I162" i="6"/>
  <c r="H162" i="6"/>
  <c r="G162" i="6"/>
  <c r="A161" i="6"/>
  <c r="I161" i="6"/>
  <c r="H161" i="6"/>
  <c r="G161" i="6"/>
  <c r="A160" i="6"/>
  <c r="I160" i="6"/>
  <c r="H160" i="6"/>
  <c r="G160" i="6"/>
  <c r="A159" i="6"/>
  <c r="I159" i="6"/>
  <c r="H159" i="6"/>
  <c r="G159" i="6"/>
  <c r="A158" i="6"/>
  <c r="I158" i="6"/>
  <c r="H158" i="6"/>
  <c r="G158" i="6"/>
  <c r="A157" i="6"/>
  <c r="I157" i="6"/>
  <c r="H157" i="6"/>
  <c r="G157" i="6"/>
  <c r="A156" i="6"/>
  <c r="I156" i="6"/>
  <c r="H156" i="6"/>
  <c r="G156" i="6"/>
  <c r="A155" i="6"/>
  <c r="I155" i="6"/>
  <c r="H155" i="6"/>
  <c r="G155" i="6"/>
  <c r="A154" i="6"/>
  <c r="I154" i="6"/>
  <c r="H154" i="6"/>
  <c r="G154" i="6"/>
  <c r="A153" i="6"/>
  <c r="I153" i="6"/>
  <c r="H153" i="6"/>
  <c r="G153" i="6"/>
  <c r="A152" i="6"/>
  <c r="I152" i="6"/>
  <c r="H152" i="6"/>
  <c r="G152" i="6"/>
  <c r="A151" i="6"/>
  <c r="I151" i="6"/>
  <c r="H151" i="6"/>
  <c r="G151" i="6"/>
  <c r="A150" i="6"/>
  <c r="I150" i="6"/>
  <c r="H150" i="6"/>
  <c r="G150" i="6"/>
  <c r="A149" i="6"/>
  <c r="I149" i="6"/>
  <c r="H149" i="6"/>
  <c r="G149" i="6"/>
  <c r="A148" i="6"/>
  <c r="I148" i="6"/>
  <c r="H148" i="6"/>
  <c r="G148" i="6"/>
  <c r="A147" i="6"/>
  <c r="I147" i="6"/>
  <c r="H147" i="6"/>
  <c r="G147" i="6"/>
  <c r="A146" i="6"/>
  <c r="I146" i="6"/>
  <c r="H146" i="6"/>
  <c r="G146" i="6"/>
  <c r="A145" i="6"/>
  <c r="I145" i="6"/>
  <c r="H145" i="6"/>
  <c r="G145" i="6"/>
  <c r="A144" i="6"/>
  <c r="I144" i="6"/>
  <c r="H144" i="6"/>
  <c r="G144" i="6"/>
  <c r="A143" i="6"/>
  <c r="I143" i="6"/>
  <c r="H143" i="6"/>
  <c r="G143" i="6"/>
  <c r="A142" i="6"/>
  <c r="I142" i="6"/>
  <c r="H142" i="6"/>
  <c r="G142" i="6"/>
  <c r="A141" i="6"/>
  <c r="I141" i="6"/>
  <c r="H141" i="6"/>
  <c r="G141" i="6"/>
  <c r="A140" i="6"/>
  <c r="I140" i="6"/>
  <c r="H140" i="6"/>
  <c r="G140" i="6"/>
  <c r="A139" i="6"/>
  <c r="I139" i="6"/>
  <c r="H139" i="6"/>
  <c r="G139" i="6"/>
  <c r="A138" i="6"/>
  <c r="I138" i="6"/>
  <c r="H138" i="6"/>
  <c r="G138" i="6"/>
  <c r="A137" i="6"/>
  <c r="I137" i="6"/>
  <c r="H137" i="6"/>
  <c r="G137" i="6"/>
  <c r="A136" i="6"/>
  <c r="I136" i="6"/>
  <c r="H136" i="6"/>
  <c r="G136" i="6"/>
  <c r="A135" i="6"/>
  <c r="I135" i="6"/>
  <c r="H135" i="6"/>
  <c r="G135" i="6"/>
  <c r="A134" i="6"/>
  <c r="I134" i="6"/>
  <c r="H134" i="6"/>
  <c r="G134" i="6"/>
  <c r="A133" i="6"/>
  <c r="I133" i="6"/>
  <c r="H133" i="6"/>
  <c r="G133" i="6"/>
  <c r="A132" i="6"/>
  <c r="I132" i="6"/>
  <c r="H132" i="6"/>
  <c r="G132" i="6"/>
  <c r="A131" i="6"/>
  <c r="I131" i="6"/>
  <c r="H131" i="6"/>
  <c r="G131" i="6"/>
  <c r="A130" i="6"/>
  <c r="I130" i="6"/>
  <c r="H130" i="6"/>
  <c r="G130" i="6"/>
  <c r="A129" i="6"/>
  <c r="I129" i="6"/>
  <c r="H129" i="6"/>
  <c r="G129" i="6"/>
  <c r="A128" i="6"/>
  <c r="I128" i="6"/>
  <c r="H128" i="6"/>
  <c r="G128" i="6"/>
  <c r="A127" i="6"/>
  <c r="I127" i="6"/>
  <c r="H127" i="6"/>
  <c r="G127" i="6"/>
  <c r="A126" i="6"/>
  <c r="I126" i="6"/>
  <c r="H126" i="6"/>
  <c r="G126" i="6"/>
  <c r="A125" i="6"/>
  <c r="I125" i="6"/>
  <c r="H125" i="6"/>
  <c r="G125" i="6"/>
  <c r="A124" i="6"/>
  <c r="I124" i="6"/>
  <c r="H124" i="6"/>
  <c r="G124" i="6"/>
  <c r="A123" i="6"/>
  <c r="I123" i="6"/>
  <c r="H123" i="6"/>
  <c r="G123" i="6"/>
  <c r="A122" i="6"/>
  <c r="I122" i="6"/>
  <c r="H122" i="6"/>
  <c r="G122" i="6"/>
  <c r="A121" i="6"/>
  <c r="I121" i="6"/>
  <c r="H121" i="6"/>
  <c r="G121" i="6"/>
  <c r="A120" i="6"/>
  <c r="I120" i="6"/>
  <c r="H120" i="6"/>
  <c r="G120" i="6"/>
  <c r="A119" i="6"/>
  <c r="I119" i="6"/>
  <c r="H119" i="6"/>
  <c r="G119" i="6"/>
  <c r="A118" i="6"/>
  <c r="I118" i="6"/>
  <c r="H118" i="6"/>
  <c r="G118" i="6"/>
  <c r="A117" i="6"/>
  <c r="I117" i="6"/>
  <c r="H117" i="6"/>
  <c r="G117" i="6"/>
  <c r="A116" i="6"/>
  <c r="I116" i="6"/>
  <c r="H116" i="6"/>
  <c r="G116" i="6"/>
  <c r="A115" i="6"/>
  <c r="I115" i="6"/>
  <c r="H115" i="6"/>
  <c r="G115" i="6"/>
  <c r="A114" i="6"/>
  <c r="I114" i="6"/>
  <c r="H114" i="6"/>
  <c r="G114" i="6"/>
  <c r="A113" i="6"/>
  <c r="I113" i="6"/>
  <c r="H113" i="6"/>
  <c r="G113" i="6"/>
  <c r="A112" i="6"/>
  <c r="I112" i="6"/>
  <c r="H112" i="6"/>
  <c r="G112" i="6"/>
  <c r="A111" i="6"/>
  <c r="I111" i="6"/>
  <c r="H111" i="6"/>
  <c r="G111" i="6"/>
  <c r="A110" i="6"/>
  <c r="I110" i="6"/>
  <c r="H110" i="6"/>
  <c r="G110" i="6"/>
  <c r="A109" i="6"/>
  <c r="I109" i="6"/>
  <c r="H109" i="6"/>
  <c r="G109" i="6"/>
  <c r="A108" i="6"/>
  <c r="I108" i="6"/>
  <c r="H108" i="6"/>
  <c r="G108" i="6"/>
  <c r="A107" i="6"/>
  <c r="I107" i="6"/>
  <c r="H107" i="6"/>
  <c r="G107" i="6"/>
  <c r="A106" i="6"/>
  <c r="I106" i="6"/>
  <c r="H106" i="6"/>
  <c r="G106" i="6"/>
  <c r="A105" i="6"/>
  <c r="I105" i="6"/>
  <c r="H105" i="6"/>
  <c r="G105" i="6"/>
  <c r="A104" i="6"/>
  <c r="I104" i="6"/>
  <c r="H104" i="6"/>
  <c r="G104" i="6"/>
  <c r="A103" i="6"/>
  <c r="I103" i="6"/>
  <c r="H103" i="6"/>
  <c r="G103" i="6"/>
  <c r="A102" i="6"/>
  <c r="I102" i="6"/>
  <c r="H102" i="6"/>
  <c r="G102" i="6"/>
  <c r="A101" i="6"/>
  <c r="I101" i="6"/>
  <c r="H101" i="6"/>
  <c r="G101" i="6"/>
  <c r="A100" i="6"/>
  <c r="I100" i="6"/>
  <c r="H100" i="6"/>
  <c r="G100" i="6"/>
  <c r="A99" i="6"/>
  <c r="I99" i="6"/>
  <c r="H99" i="6"/>
  <c r="G99" i="6"/>
  <c r="A98" i="6"/>
  <c r="I98" i="6"/>
  <c r="H98" i="6"/>
  <c r="G98" i="6"/>
  <c r="A97" i="6"/>
  <c r="I97" i="6"/>
  <c r="H97" i="6"/>
  <c r="G97" i="6"/>
  <c r="A96" i="6"/>
  <c r="I96" i="6"/>
  <c r="H96" i="6"/>
  <c r="G96" i="6"/>
  <c r="A95" i="6"/>
  <c r="I95" i="6"/>
  <c r="H95" i="6"/>
  <c r="G95" i="6"/>
  <c r="A94" i="6"/>
  <c r="I94" i="6"/>
  <c r="H94" i="6"/>
  <c r="G94" i="6"/>
  <c r="A93" i="6"/>
  <c r="I93" i="6"/>
  <c r="H93" i="6"/>
  <c r="G93" i="6"/>
  <c r="A92" i="6"/>
  <c r="I92" i="6"/>
  <c r="H92" i="6"/>
  <c r="G92" i="6"/>
  <c r="A91" i="6"/>
  <c r="I91" i="6"/>
  <c r="H91" i="6"/>
  <c r="G91" i="6"/>
  <c r="A90" i="6"/>
  <c r="I90" i="6"/>
  <c r="H90" i="6"/>
  <c r="G90" i="6"/>
  <c r="A89" i="6"/>
  <c r="I89" i="6"/>
  <c r="H89" i="6"/>
  <c r="G89" i="6"/>
  <c r="A88" i="6"/>
  <c r="I88" i="6"/>
  <c r="H88" i="6"/>
  <c r="G88" i="6"/>
  <c r="A87" i="6"/>
  <c r="I87" i="6"/>
  <c r="H87" i="6"/>
  <c r="G87" i="6"/>
  <c r="A86" i="6"/>
  <c r="I86" i="6"/>
  <c r="H86" i="6"/>
  <c r="G86" i="6"/>
  <c r="A85" i="6"/>
  <c r="I85" i="6"/>
  <c r="H85" i="6"/>
  <c r="G85" i="6"/>
  <c r="A84" i="6"/>
  <c r="I84" i="6"/>
  <c r="H84" i="6"/>
  <c r="G84" i="6"/>
  <c r="A83" i="6"/>
  <c r="I83" i="6"/>
  <c r="H83" i="6"/>
  <c r="G83" i="6"/>
  <c r="A82" i="6"/>
  <c r="I82" i="6"/>
  <c r="H82" i="6"/>
  <c r="G82" i="6"/>
  <c r="A81" i="6"/>
  <c r="I81" i="6"/>
  <c r="H81" i="6"/>
  <c r="G81" i="6"/>
  <c r="A80" i="6"/>
  <c r="I80" i="6"/>
  <c r="H80" i="6"/>
  <c r="G80" i="6"/>
  <c r="A79" i="6"/>
  <c r="I79" i="6"/>
  <c r="H79" i="6"/>
  <c r="G79" i="6"/>
  <c r="A78" i="6"/>
  <c r="I78" i="6"/>
  <c r="H78" i="6"/>
  <c r="G78" i="6"/>
  <c r="A77" i="6"/>
  <c r="I77" i="6"/>
  <c r="H77" i="6"/>
  <c r="G77" i="6"/>
  <c r="A76" i="6"/>
  <c r="I76" i="6"/>
  <c r="H76" i="6"/>
  <c r="G76" i="6"/>
  <c r="A75" i="6"/>
  <c r="I75" i="6"/>
  <c r="H75" i="6"/>
  <c r="G75" i="6"/>
  <c r="A74" i="6"/>
  <c r="I74" i="6"/>
  <c r="H74" i="6"/>
  <c r="G74" i="6"/>
  <c r="A73" i="6"/>
  <c r="I73" i="6"/>
  <c r="H73" i="6"/>
  <c r="G73" i="6"/>
  <c r="A72" i="6"/>
  <c r="I72" i="6"/>
  <c r="H72" i="6"/>
  <c r="G72" i="6"/>
  <c r="A71" i="6"/>
  <c r="I71" i="6"/>
  <c r="H71" i="6"/>
  <c r="G71" i="6"/>
  <c r="A70" i="6"/>
  <c r="I70" i="6"/>
  <c r="H70" i="6"/>
  <c r="G70" i="6"/>
  <c r="A69" i="6"/>
  <c r="I69" i="6"/>
  <c r="H69" i="6"/>
  <c r="G69" i="6"/>
  <c r="A68" i="6"/>
  <c r="I68" i="6"/>
  <c r="H68" i="6"/>
  <c r="G68" i="6"/>
  <c r="A67" i="6"/>
  <c r="I67" i="6"/>
  <c r="H67" i="6"/>
  <c r="G67" i="6"/>
  <c r="A66" i="6"/>
  <c r="I66" i="6"/>
  <c r="H66" i="6"/>
  <c r="G66" i="6"/>
  <c r="A65" i="6"/>
  <c r="I65" i="6"/>
  <c r="H65" i="6"/>
  <c r="G65" i="6"/>
  <c r="A64" i="6"/>
  <c r="I64" i="6"/>
  <c r="H64" i="6"/>
  <c r="G64" i="6"/>
  <c r="A63" i="6"/>
  <c r="I63" i="6"/>
  <c r="H63" i="6"/>
  <c r="G63" i="6"/>
  <c r="A62" i="6"/>
  <c r="I62" i="6"/>
  <c r="H62" i="6"/>
  <c r="G62" i="6"/>
  <c r="A61" i="6"/>
  <c r="I61" i="6"/>
  <c r="H61" i="6"/>
  <c r="G61" i="6"/>
  <c r="A60" i="6"/>
  <c r="I60" i="6"/>
  <c r="H60" i="6"/>
  <c r="G60" i="6"/>
  <c r="A59" i="6"/>
  <c r="I59" i="6"/>
  <c r="H59" i="6"/>
  <c r="G59" i="6"/>
  <c r="A58" i="6"/>
  <c r="I58" i="6"/>
  <c r="H58" i="6"/>
  <c r="G58" i="6"/>
  <c r="A57" i="6"/>
  <c r="I57" i="6"/>
  <c r="H57" i="6"/>
  <c r="G57" i="6"/>
  <c r="A56" i="6"/>
  <c r="I56" i="6"/>
  <c r="H56" i="6"/>
  <c r="G56" i="6"/>
  <c r="A55" i="6"/>
  <c r="I55" i="6"/>
  <c r="H55" i="6"/>
  <c r="G55" i="6"/>
  <c r="A54" i="6"/>
  <c r="I54" i="6"/>
  <c r="H54" i="6"/>
  <c r="G54" i="6"/>
  <c r="A53" i="6"/>
  <c r="I53" i="6"/>
  <c r="H53" i="6"/>
  <c r="G53" i="6"/>
  <c r="A52" i="6"/>
  <c r="I52" i="6"/>
  <c r="H52" i="6"/>
  <c r="G52" i="6"/>
  <c r="A51" i="6"/>
  <c r="I51" i="6"/>
  <c r="H51" i="6"/>
  <c r="G51" i="6"/>
  <c r="A50" i="6"/>
  <c r="I50" i="6"/>
  <c r="H50" i="6"/>
  <c r="G50" i="6"/>
  <c r="A49" i="6"/>
  <c r="I49" i="6"/>
  <c r="H49" i="6"/>
  <c r="G49" i="6"/>
  <c r="A48" i="6"/>
  <c r="I48" i="6"/>
  <c r="H48" i="6"/>
  <c r="G48" i="6"/>
  <c r="A47" i="6"/>
  <c r="I47" i="6"/>
  <c r="H47" i="6"/>
  <c r="G47" i="6"/>
  <c r="A46" i="6"/>
  <c r="I46" i="6"/>
  <c r="H46" i="6"/>
  <c r="G46" i="6"/>
  <c r="A45" i="6"/>
  <c r="I45" i="6"/>
  <c r="H45" i="6"/>
  <c r="G45" i="6"/>
  <c r="A44" i="6"/>
  <c r="I44" i="6"/>
  <c r="H44" i="6"/>
  <c r="G44" i="6"/>
  <c r="A43" i="6"/>
  <c r="I43" i="6"/>
  <c r="H43" i="6"/>
  <c r="G43" i="6"/>
  <c r="A42" i="6"/>
  <c r="I42" i="6"/>
  <c r="H42" i="6"/>
  <c r="G42" i="6"/>
  <c r="A41" i="6"/>
  <c r="I41" i="6"/>
  <c r="H41" i="6"/>
  <c r="G41" i="6"/>
  <c r="A40" i="6"/>
  <c r="I40" i="6"/>
  <c r="H40" i="6"/>
  <c r="G40" i="6"/>
  <c r="A39" i="6"/>
  <c r="I39" i="6"/>
  <c r="H39" i="6"/>
  <c r="G39" i="6"/>
  <c r="A38" i="6"/>
  <c r="I38" i="6"/>
  <c r="H38" i="6"/>
  <c r="G38" i="6"/>
  <c r="A37" i="6"/>
  <c r="I37" i="6"/>
  <c r="H37" i="6"/>
  <c r="G37" i="6"/>
  <c r="A36" i="6"/>
  <c r="I36" i="6"/>
  <c r="H36" i="6"/>
  <c r="G36" i="6"/>
  <c r="A35" i="6"/>
  <c r="I35" i="6"/>
  <c r="H35" i="6"/>
  <c r="G35" i="6"/>
  <c r="A34" i="6"/>
  <c r="I34" i="6"/>
  <c r="H34" i="6"/>
  <c r="G34" i="6"/>
  <c r="A33" i="6"/>
  <c r="I33" i="6"/>
  <c r="H33" i="6"/>
  <c r="G33" i="6"/>
  <c r="A32" i="6"/>
  <c r="I32" i="6"/>
  <c r="H32" i="6"/>
  <c r="G32" i="6"/>
  <c r="A31" i="6"/>
  <c r="I31" i="6"/>
  <c r="H31" i="6"/>
  <c r="G31" i="6"/>
  <c r="A30" i="6"/>
  <c r="I30" i="6"/>
  <c r="H30" i="6"/>
  <c r="G30" i="6"/>
  <c r="A29" i="6"/>
  <c r="I29" i="6"/>
  <c r="H29" i="6"/>
  <c r="G29" i="6"/>
  <c r="A28" i="6"/>
  <c r="I28" i="6"/>
  <c r="H28" i="6"/>
  <c r="G28" i="6"/>
  <c r="A27" i="6"/>
  <c r="I27" i="6"/>
  <c r="H27" i="6"/>
  <c r="G27" i="6"/>
  <c r="A26" i="6"/>
  <c r="I26" i="6"/>
  <c r="H26" i="6"/>
  <c r="G26" i="6"/>
  <c r="A25" i="6"/>
  <c r="I25" i="6"/>
  <c r="H25" i="6"/>
  <c r="G25" i="6"/>
  <c r="A24" i="6"/>
  <c r="I24" i="6"/>
  <c r="H24" i="6"/>
  <c r="G24" i="6"/>
  <c r="A23" i="6"/>
  <c r="I23" i="6"/>
  <c r="H23" i="6"/>
  <c r="G23" i="6"/>
  <c r="A22" i="6"/>
  <c r="I22" i="6"/>
  <c r="H22" i="6"/>
  <c r="G22" i="6"/>
  <c r="A21" i="6"/>
  <c r="I21" i="6"/>
  <c r="H21" i="6"/>
  <c r="G21" i="6"/>
  <c r="A20" i="6"/>
  <c r="I20" i="6"/>
  <c r="H20" i="6"/>
  <c r="G20" i="6"/>
  <c r="A19" i="6"/>
  <c r="I19" i="6"/>
  <c r="H19" i="6"/>
  <c r="G19" i="6"/>
  <c r="A18" i="6"/>
  <c r="I18" i="6"/>
  <c r="H18" i="6"/>
  <c r="G18" i="6"/>
  <c r="A17" i="6"/>
  <c r="I17" i="6"/>
  <c r="H17" i="6"/>
  <c r="G17" i="6"/>
  <c r="A16" i="6"/>
  <c r="I16" i="6"/>
  <c r="H16" i="6"/>
  <c r="G16" i="6"/>
  <c r="A15" i="6"/>
  <c r="I15" i="6"/>
  <c r="H15" i="6"/>
  <c r="G15" i="6"/>
  <c r="A14" i="6"/>
  <c r="I14" i="6"/>
  <c r="H14" i="6"/>
  <c r="G14" i="6"/>
  <c r="A13" i="6"/>
  <c r="I13" i="6"/>
  <c r="H13" i="6"/>
  <c r="G13" i="6"/>
  <c r="A12" i="6"/>
  <c r="I12" i="6"/>
  <c r="H12" i="6"/>
  <c r="G12" i="6"/>
  <c r="A11" i="6"/>
  <c r="I11" i="6"/>
  <c r="H11" i="6"/>
  <c r="G11" i="6"/>
  <c r="A10" i="6"/>
  <c r="I10" i="6"/>
  <c r="H10" i="6"/>
  <c r="G10" i="6"/>
  <c r="A9" i="6"/>
  <c r="I9" i="6"/>
  <c r="H9" i="6"/>
  <c r="G9" i="6"/>
  <c r="A8" i="6"/>
  <c r="I8" i="6"/>
  <c r="H8" i="6"/>
  <c r="G8" i="6"/>
  <c r="A7" i="6"/>
  <c r="I7" i="6"/>
  <c r="H7" i="6"/>
  <c r="G7" i="6"/>
  <c r="A6" i="6"/>
  <c r="I6" i="6"/>
  <c r="H6" i="6"/>
  <c r="G6" i="6"/>
  <c r="A5" i="6"/>
  <c r="I5" i="6"/>
  <c r="H5" i="6"/>
  <c r="G5" i="6"/>
  <c r="A4" i="6"/>
  <c r="I4" i="6"/>
  <c r="H4" i="6"/>
  <c r="G4" i="6"/>
  <c r="A3" i="6"/>
  <c r="I3" i="6"/>
  <c r="H3" i="6"/>
  <c r="G3" i="6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D275" i="1"/>
  <c r="F275" i="1"/>
  <c r="D274" i="1"/>
  <c r="F274" i="1"/>
  <c r="D273" i="1"/>
  <c r="F273" i="1"/>
  <c r="D272" i="1"/>
  <c r="F272" i="1"/>
  <c r="D271" i="1"/>
  <c r="F271" i="1"/>
  <c r="D270" i="1"/>
  <c r="F270" i="1"/>
  <c r="D269" i="1"/>
  <c r="F269" i="1"/>
  <c r="D268" i="1"/>
  <c r="F268" i="1"/>
  <c r="D267" i="1"/>
  <c r="F267" i="1"/>
  <c r="D266" i="1"/>
  <c r="F266" i="1"/>
  <c r="D265" i="1"/>
  <c r="F265" i="1"/>
  <c r="D264" i="1"/>
  <c r="F264" i="1"/>
  <c r="D263" i="1"/>
  <c r="F263" i="1"/>
  <c r="D262" i="1"/>
  <c r="F262" i="1"/>
  <c r="D261" i="1"/>
  <c r="F261" i="1"/>
  <c r="D260" i="1"/>
  <c r="F260" i="1"/>
  <c r="D259" i="1"/>
  <c r="F259" i="1"/>
  <c r="D258" i="1"/>
  <c r="F258" i="1"/>
  <c r="D257" i="1"/>
  <c r="F257" i="1"/>
  <c r="D256" i="1"/>
  <c r="F256" i="1"/>
  <c r="D255" i="1"/>
  <c r="F255" i="1"/>
  <c r="D254" i="1"/>
  <c r="F254" i="1"/>
  <c r="D253" i="1"/>
  <c r="F253" i="1"/>
  <c r="D252" i="1"/>
  <c r="F252" i="1"/>
  <c r="D251" i="1"/>
  <c r="F251" i="1"/>
  <c r="D250" i="1"/>
  <c r="F250" i="1"/>
  <c r="D249" i="1"/>
  <c r="F249" i="1"/>
  <c r="D248" i="1"/>
  <c r="F248" i="1"/>
  <c r="D247" i="1"/>
  <c r="F247" i="1"/>
  <c r="D246" i="1"/>
  <c r="F246" i="1"/>
  <c r="D245" i="1"/>
  <c r="F245" i="1"/>
  <c r="D244" i="1"/>
  <c r="F244" i="1"/>
  <c r="D243" i="1"/>
  <c r="F243" i="1"/>
  <c r="D242" i="1"/>
  <c r="F242" i="1"/>
  <c r="D241" i="1"/>
  <c r="F241" i="1"/>
  <c r="D240" i="1"/>
  <c r="F240" i="1"/>
  <c r="D239" i="1"/>
  <c r="F239" i="1"/>
  <c r="D238" i="1"/>
  <c r="F238" i="1"/>
  <c r="D237" i="1"/>
  <c r="F237" i="1"/>
  <c r="D236" i="1"/>
  <c r="F236" i="1"/>
  <c r="D235" i="1"/>
  <c r="F235" i="1"/>
  <c r="D234" i="1"/>
  <c r="F234" i="1"/>
  <c r="D233" i="1"/>
  <c r="F233" i="1"/>
  <c r="D232" i="1"/>
  <c r="F232" i="1"/>
  <c r="D231" i="1"/>
  <c r="F231" i="1"/>
  <c r="D230" i="1"/>
  <c r="F230" i="1"/>
  <c r="D229" i="1"/>
  <c r="F229" i="1"/>
  <c r="D228" i="1"/>
  <c r="F228" i="1"/>
  <c r="D227" i="1"/>
  <c r="F227" i="1"/>
  <c r="D226" i="1"/>
  <c r="F226" i="1"/>
  <c r="D225" i="1"/>
  <c r="F225" i="1"/>
  <c r="D224" i="1"/>
  <c r="F224" i="1"/>
  <c r="D223" i="1"/>
  <c r="F223" i="1"/>
  <c r="D222" i="1"/>
  <c r="F222" i="1"/>
  <c r="D221" i="1"/>
  <c r="F221" i="1"/>
  <c r="D220" i="1"/>
  <c r="F220" i="1"/>
  <c r="D219" i="1"/>
  <c r="F219" i="1"/>
  <c r="D218" i="1"/>
  <c r="F218" i="1"/>
  <c r="D217" i="1"/>
  <c r="F217" i="1"/>
  <c r="D216" i="1"/>
  <c r="F216" i="1"/>
  <c r="D215" i="1"/>
  <c r="F215" i="1"/>
  <c r="D214" i="1"/>
  <c r="F214" i="1"/>
  <c r="D213" i="1"/>
  <c r="F213" i="1"/>
  <c r="D212" i="1"/>
  <c r="F212" i="1"/>
  <c r="D211" i="1"/>
  <c r="F211" i="1"/>
  <c r="D210" i="1"/>
  <c r="F210" i="1"/>
  <c r="D209" i="1"/>
  <c r="F209" i="1"/>
  <c r="D208" i="1"/>
  <c r="F208" i="1"/>
  <c r="D207" i="1"/>
  <c r="F207" i="1"/>
  <c r="D206" i="1"/>
  <c r="F206" i="1"/>
  <c r="D205" i="1"/>
  <c r="F205" i="1"/>
  <c r="D204" i="1"/>
  <c r="F204" i="1"/>
  <c r="D203" i="1"/>
  <c r="F203" i="1"/>
  <c r="D202" i="1"/>
  <c r="F202" i="1"/>
  <c r="D201" i="1"/>
  <c r="F201" i="1"/>
  <c r="D200" i="1"/>
  <c r="F200" i="1"/>
  <c r="D199" i="1"/>
  <c r="F199" i="1"/>
  <c r="D198" i="1"/>
  <c r="F198" i="1"/>
  <c r="D197" i="1"/>
  <c r="F197" i="1"/>
  <c r="D196" i="1"/>
  <c r="F196" i="1"/>
  <c r="D195" i="1"/>
  <c r="F195" i="1"/>
  <c r="D194" i="1"/>
  <c r="F194" i="1"/>
  <c r="D193" i="1"/>
  <c r="F193" i="1"/>
  <c r="D192" i="1"/>
  <c r="F192" i="1"/>
  <c r="D191" i="1"/>
  <c r="F191" i="1"/>
  <c r="D190" i="1"/>
  <c r="F190" i="1"/>
  <c r="D189" i="1"/>
  <c r="F189" i="1"/>
  <c r="D188" i="1"/>
  <c r="F188" i="1"/>
  <c r="D187" i="1"/>
  <c r="F187" i="1"/>
  <c r="D186" i="1"/>
  <c r="F186" i="1"/>
  <c r="D185" i="1"/>
  <c r="F185" i="1"/>
  <c r="D184" i="1"/>
  <c r="F184" i="1"/>
  <c r="D183" i="1"/>
  <c r="F183" i="1"/>
  <c r="D182" i="1"/>
  <c r="F182" i="1"/>
  <c r="D181" i="1"/>
  <c r="F181" i="1"/>
  <c r="D180" i="1"/>
  <c r="F180" i="1"/>
  <c r="D179" i="1"/>
  <c r="F179" i="1"/>
  <c r="D178" i="1"/>
  <c r="F178" i="1"/>
  <c r="D177" i="1"/>
  <c r="F177" i="1"/>
  <c r="D176" i="1"/>
  <c r="F176" i="1"/>
  <c r="D175" i="1"/>
  <c r="F175" i="1"/>
  <c r="D174" i="1"/>
  <c r="F174" i="1"/>
  <c r="D173" i="1"/>
  <c r="F173" i="1"/>
  <c r="D172" i="1"/>
  <c r="F172" i="1"/>
  <c r="D171" i="1"/>
  <c r="F171" i="1"/>
  <c r="D170" i="1"/>
  <c r="F170" i="1"/>
  <c r="D169" i="1"/>
  <c r="F169" i="1"/>
  <c r="D168" i="1"/>
  <c r="F168" i="1"/>
  <c r="D167" i="1"/>
  <c r="F167" i="1"/>
  <c r="D166" i="1"/>
  <c r="F166" i="1"/>
  <c r="D165" i="1"/>
  <c r="F165" i="1"/>
  <c r="D164" i="1"/>
  <c r="F164" i="1"/>
  <c r="D163" i="1"/>
  <c r="F163" i="1"/>
  <c r="D162" i="1"/>
  <c r="F162" i="1"/>
  <c r="D161" i="1"/>
  <c r="F161" i="1"/>
  <c r="D160" i="1"/>
  <c r="F160" i="1"/>
  <c r="D159" i="1"/>
  <c r="F159" i="1"/>
  <c r="D158" i="1"/>
  <c r="F158" i="1"/>
  <c r="D157" i="1"/>
  <c r="F157" i="1"/>
  <c r="D156" i="1"/>
  <c r="F156" i="1"/>
  <c r="D155" i="1"/>
  <c r="F155" i="1"/>
  <c r="D154" i="1"/>
  <c r="F154" i="1"/>
  <c r="D153" i="1"/>
  <c r="F153" i="1"/>
  <c r="D152" i="1"/>
  <c r="F152" i="1"/>
  <c r="D151" i="1"/>
  <c r="F151" i="1"/>
  <c r="D150" i="1"/>
  <c r="F150" i="1"/>
  <c r="D149" i="1"/>
  <c r="F149" i="1"/>
  <c r="D148" i="1"/>
  <c r="F148" i="1"/>
  <c r="D147" i="1"/>
  <c r="F147" i="1"/>
  <c r="D146" i="1"/>
  <c r="F146" i="1"/>
  <c r="D145" i="1"/>
  <c r="F145" i="1"/>
  <c r="D144" i="1"/>
  <c r="F144" i="1"/>
  <c r="D143" i="1"/>
  <c r="F143" i="1"/>
  <c r="D142" i="1"/>
  <c r="F142" i="1"/>
  <c r="D141" i="1"/>
  <c r="F141" i="1"/>
  <c r="D140" i="1"/>
  <c r="F140" i="1"/>
  <c r="D139" i="1"/>
  <c r="F139" i="1"/>
  <c r="D138" i="1"/>
  <c r="F138" i="1"/>
  <c r="D137" i="1"/>
  <c r="F137" i="1"/>
  <c r="D136" i="1"/>
  <c r="F136" i="1"/>
  <c r="D135" i="1"/>
  <c r="F135" i="1"/>
  <c r="D134" i="1"/>
  <c r="F134" i="1"/>
  <c r="D133" i="1"/>
  <c r="F133" i="1"/>
  <c r="D132" i="1"/>
  <c r="F132" i="1"/>
  <c r="D131" i="1"/>
  <c r="F131" i="1"/>
  <c r="D130" i="1"/>
  <c r="F130" i="1"/>
  <c r="D129" i="1"/>
  <c r="F129" i="1"/>
  <c r="D128" i="1"/>
  <c r="F128" i="1"/>
  <c r="D127" i="1"/>
  <c r="F127" i="1"/>
  <c r="D126" i="1"/>
  <c r="F126" i="1"/>
  <c r="D125" i="1"/>
  <c r="F125" i="1"/>
  <c r="D124" i="1"/>
  <c r="F124" i="1"/>
  <c r="D123" i="1"/>
  <c r="F123" i="1"/>
  <c r="D122" i="1"/>
  <c r="F122" i="1"/>
  <c r="D121" i="1"/>
  <c r="F121" i="1"/>
  <c r="D120" i="1"/>
  <c r="F120" i="1"/>
  <c r="D119" i="1"/>
  <c r="F119" i="1"/>
  <c r="D118" i="1"/>
  <c r="F118" i="1"/>
  <c r="D117" i="1"/>
  <c r="F117" i="1"/>
  <c r="D116" i="1"/>
  <c r="F116" i="1"/>
  <c r="D115" i="1"/>
  <c r="F115" i="1"/>
  <c r="D114" i="1"/>
  <c r="F114" i="1"/>
  <c r="D113" i="1"/>
  <c r="F113" i="1"/>
  <c r="D112" i="1"/>
  <c r="F112" i="1"/>
  <c r="D111" i="1"/>
  <c r="F111" i="1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W276" i="6"/>
  <c r="V276" i="6"/>
  <c r="U276" i="6"/>
  <c r="T276" i="6"/>
  <c r="S276" i="6"/>
  <c r="R276" i="6"/>
  <c r="AA275" i="1"/>
  <c r="AD275" i="1"/>
  <c r="Q276" i="6"/>
  <c r="P276" i="6"/>
  <c r="O276" i="6"/>
  <c r="N276" i="6"/>
  <c r="M276" i="6"/>
  <c r="L276" i="6"/>
  <c r="K276" i="6"/>
  <c r="F276" i="6"/>
  <c r="E276" i="6"/>
  <c r="D276" i="6"/>
  <c r="C276" i="6"/>
  <c r="B276" i="6"/>
  <c r="W275" i="6"/>
  <c r="V275" i="6"/>
  <c r="U275" i="6"/>
  <c r="T275" i="6"/>
  <c r="S275" i="6"/>
  <c r="R275" i="6"/>
  <c r="AA274" i="1"/>
  <c r="AD274" i="1"/>
  <c r="Q275" i="6"/>
  <c r="P275" i="6"/>
  <c r="O275" i="6"/>
  <c r="N275" i="6"/>
  <c r="M275" i="6"/>
  <c r="L275" i="6"/>
  <c r="K275" i="6"/>
  <c r="F275" i="6"/>
  <c r="E275" i="6"/>
  <c r="D275" i="6"/>
  <c r="C275" i="6"/>
  <c r="B275" i="6"/>
  <c r="W274" i="6"/>
  <c r="V274" i="6"/>
  <c r="U274" i="6"/>
  <c r="T274" i="6"/>
  <c r="S274" i="6"/>
  <c r="R274" i="6"/>
  <c r="AA273" i="1"/>
  <c r="AD273" i="1"/>
  <c r="Q274" i="6"/>
  <c r="P274" i="6"/>
  <c r="O274" i="6"/>
  <c r="N274" i="6"/>
  <c r="M274" i="6"/>
  <c r="L274" i="6"/>
  <c r="K274" i="6"/>
  <c r="F274" i="6"/>
  <c r="E274" i="6"/>
  <c r="D274" i="6"/>
  <c r="C274" i="6"/>
  <c r="B274" i="6"/>
  <c r="W273" i="6"/>
  <c r="V273" i="6"/>
  <c r="U273" i="6"/>
  <c r="T273" i="6"/>
  <c r="S273" i="6"/>
  <c r="R273" i="6"/>
  <c r="AA272" i="1"/>
  <c r="AD272" i="1"/>
  <c r="Q273" i="6"/>
  <c r="P273" i="6"/>
  <c r="O273" i="6"/>
  <c r="N273" i="6"/>
  <c r="M273" i="6"/>
  <c r="L273" i="6"/>
  <c r="K273" i="6"/>
  <c r="F273" i="6"/>
  <c r="E273" i="6"/>
  <c r="D273" i="6"/>
  <c r="C273" i="6"/>
  <c r="B273" i="6"/>
  <c r="W272" i="6"/>
  <c r="V272" i="6"/>
  <c r="U272" i="6"/>
  <c r="T272" i="6"/>
  <c r="S272" i="6"/>
  <c r="R272" i="6"/>
  <c r="AA271" i="1"/>
  <c r="AD271" i="1"/>
  <c r="Q272" i="6"/>
  <c r="P272" i="6"/>
  <c r="O272" i="6"/>
  <c r="N272" i="6"/>
  <c r="M272" i="6"/>
  <c r="L272" i="6"/>
  <c r="K272" i="6"/>
  <c r="F272" i="6"/>
  <c r="E272" i="6"/>
  <c r="D272" i="6"/>
  <c r="C272" i="6"/>
  <c r="B272" i="6"/>
  <c r="W271" i="6"/>
  <c r="V271" i="6"/>
  <c r="U271" i="6"/>
  <c r="T271" i="6"/>
  <c r="S271" i="6"/>
  <c r="R271" i="6"/>
  <c r="AA270" i="1"/>
  <c r="AD270" i="1"/>
  <c r="Q271" i="6"/>
  <c r="P271" i="6"/>
  <c r="O271" i="6"/>
  <c r="N271" i="6"/>
  <c r="M271" i="6"/>
  <c r="L271" i="6"/>
  <c r="K271" i="6"/>
  <c r="F271" i="6"/>
  <c r="E271" i="6"/>
  <c r="D271" i="6"/>
  <c r="C271" i="6"/>
  <c r="B271" i="6"/>
  <c r="W270" i="6"/>
  <c r="V270" i="6"/>
  <c r="U270" i="6"/>
  <c r="T270" i="6"/>
  <c r="S270" i="6"/>
  <c r="R270" i="6"/>
  <c r="AA269" i="1"/>
  <c r="AD269" i="1"/>
  <c r="Q270" i="6"/>
  <c r="P270" i="6"/>
  <c r="O270" i="6"/>
  <c r="N270" i="6"/>
  <c r="M270" i="6"/>
  <c r="L270" i="6"/>
  <c r="K270" i="6"/>
  <c r="F270" i="6"/>
  <c r="E270" i="6"/>
  <c r="D270" i="6"/>
  <c r="C270" i="6"/>
  <c r="B270" i="6"/>
  <c r="W269" i="6"/>
  <c r="V269" i="6"/>
  <c r="U269" i="6"/>
  <c r="T269" i="6"/>
  <c r="S269" i="6"/>
  <c r="R269" i="6"/>
  <c r="AA268" i="1"/>
  <c r="AD268" i="1"/>
  <c r="Q269" i="6"/>
  <c r="P269" i="6"/>
  <c r="O269" i="6"/>
  <c r="N269" i="6"/>
  <c r="M269" i="6"/>
  <c r="L269" i="6"/>
  <c r="K269" i="6"/>
  <c r="F269" i="6"/>
  <c r="E269" i="6"/>
  <c r="D269" i="6"/>
  <c r="C269" i="6"/>
  <c r="B269" i="6"/>
  <c r="W268" i="6"/>
  <c r="V268" i="6"/>
  <c r="U268" i="6"/>
  <c r="T268" i="6"/>
  <c r="S268" i="6"/>
  <c r="R268" i="6"/>
  <c r="AA267" i="1"/>
  <c r="AD267" i="1"/>
  <c r="Q268" i="6"/>
  <c r="P268" i="6"/>
  <c r="O268" i="6"/>
  <c r="N268" i="6"/>
  <c r="M268" i="6"/>
  <c r="L268" i="6"/>
  <c r="K268" i="6"/>
  <c r="F268" i="6"/>
  <c r="E268" i="6"/>
  <c r="D268" i="6"/>
  <c r="C268" i="6"/>
  <c r="B268" i="6"/>
  <c r="W267" i="6"/>
  <c r="V267" i="6"/>
  <c r="U267" i="6"/>
  <c r="T267" i="6"/>
  <c r="S267" i="6"/>
  <c r="R267" i="6"/>
  <c r="AA266" i="1"/>
  <c r="AD266" i="1"/>
  <c r="Q267" i="6"/>
  <c r="P267" i="6"/>
  <c r="O267" i="6"/>
  <c r="N267" i="6"/>
  <c r="M267" i="6"/>
  <c r="L267" i="6"/>
  <c r="K267" i="6"/>
  <c r="F267" i="6"/>
  <c r="E267" i="6"/>
  <c r="D267" i="6"/>
  <c r="C267" i="6"/>
  <c r="B267" i="6"/>
  <c r="W266" i="6"/>
  <c r="V266" i="6"/>
  <c r="U266" i="6"/>
  <c r="T266" i="6"/>
  <c r="S266" i="6"/>
  <c r="R266" i="6"/>
  <c r="AA265" i="1"/>
  <c r="AD265" i="1"/>
  <c r="Q266" i="6"/>
  <c r="P266" i="6"/>
  <c r="O266" i="6"/>
  <c r="N266" i="6"/>
  <c r="M266" i="6"/>
  <c r="L266" i="6"/>
  <c r="K266" i="6"/>
  <c r="F266" i="6"/>
  <c r="E266" i="6"/>
  <c r="D266" i="6"/>
  <c r="C266" i="6"/>
  <c r="B266" i="6"/>
  <c r="W265" i="6"/>
  <c r="V265" i="6"/>
  <c r="U265" i="6"/>
  <c r="T265" i="6"/>
  <c r="S265" i="6"/>
  <c r="R265" i="6"/>
  <c r="AA264" i="1"/>
  <c r="AD264" i="1"/>
  <c r="Q265" i="6"/>
  <c r="P265" i="6"/>
  <c r="O265" i="6"/>
  <c r="N265" i="6"/>
  <c r="M265" i="6"/>
  <c r="L265" i="6"/>
  <c r="K265" i="6"/>
  <c r="F265" i="6"/>
  <c r="E265" i="6"/>
  <c r="D265" i="6"/>
  <c r="C265" i="6"/>
  <c r="B265" i="6"/>
  <c r="W264" i="6"/>
  <c r="V264" i="6"/>
  <c r="U264" i="6"/>
  <c r="T264" i="6"/>
  <c r="S264" i="6"/>
  <c r="R264" i="6"/>
  <c r="AA263" i="1"/>
  <c r="AD263" i="1"/>
  <c r="Q264" i="6"/>
  <c r="P264" i="6"/>
  <c r="O264" i="6"/>
  <c r="N264" i="6"/>
  <c r="M264" i="6"/>
  <c r="L264" i="6"/>
  <c r="K264" i="6"/>
  <c r="F264" i="6"/>
  <c r="E264" i="6"/>
  <c r="D264" i="6"/>
  <c r="C264" i="6"/>
  <c r="B264" i="6"/>
  <c r="W263" i="6"/>
  <c r="V263" i="6"/>
  <c r="U263" i="6"/>
  <c r="T263" i="6"/>
  <c r="S263" i="6"/>
  <c r="R263" i="6"/>
  <c r="AA262" i="1"/>
  <c r="AD262" i="1"/>
  <c r="Q263" i="6"/>
  <c r="P263" i="6"/>
  <c r="O263" i="6"/>
  <c r="N263" i="6"/>
  <c r="M263" i="6"/>
  <c r="L263" i="6"/>
  <c r="K263" i="6"/>
  <c r="F263" i="6"/>
  <c r="E263" i="6"/>
  <c r="D263" i="6"/>
  <c r="C263" i="6"/>
  <c r="B263" i="6"/>
  <c r="W262" i="6"/>
  <c r="V262" i="6"/>
  <c r="U262" i="6"/>
  <c r="T262" i="6"/>
  <c r="S262" i="6"/>
  <c r="R262" i="6"/>
  <c r="AA261" i="1"/>
  <c r="AD261" i="1"/>
  <c r="Q262" i="6"/>
  <c r="P262" i="6"/>
  <c r="O262" i="6"/>
  <c r="N262" i="6"/>
  <c r="M262" i="6"/>
  <c r="L262" i="6"/>
  <c r="K262" i="6"/>
  <c r="F262" i="6"/>
  <c r="E262" i="6"/>
  <c r="D262" i="6"/>
  <c r="C262" i="6"/>
  <c r="B262" i="6"/>
  <c r="W261" i="6"/>
  <c r="V261" i="6"/>
  <c r="U261" i="6"/>
  <c r="T261" i="6"/>
  <c r="S261" i="6"/>
  <c r="R261" i="6"/>
  <c r="AA260" i="1"/>
  <c r="AD260" i="1"/>
  <c r="Q261" i="6"/>
  <c r="P261" i="6"/>
  <c r="O261" i="6"/>
  <c r="N261" i="6"/>
  <c r="M261" i="6"/>
  <c r="L261" i="6"/>
  <c r="K261" i="6"/>
  <c r="F261" i="6"/>
  <c r="E261" i="6"/>
  <c r="D261" i="6"/>
  <c r="C261" i="6"/>
  <c r="B261" i="6"/>
  <c r="W260" i="6"/>
  <c r="V260" i="6"/>
  <c r="U260" i="6"/>
  <c r="T260" i="6"/>
  <c r="S260" i="6"/>
  <c r="R260" i="6"/>
  <c r="AA259" i="1"/>
  <c r="AD259" i="1"/>
  <c r="Q260" i="6"/>
  <c r="P260" i="6"/>
  <c r="O260" i="6"/>
  <c r="N260" i="6"/>
  <c r="M260" i="6"/>
  <c r="L260" i="6"/>
  <c r="K260" i="6"/>
  <c r="F260" i="6"/>
  <c r="E260" i="6"/>
  <c r="D260" i="6"/>
  <c r="C260" i="6"/>
  <c r="B260" i="6"/>
  <c r="W259" i="6"/>
  <c r="V259" i="6"/>
  <c r="U259" i="6"/>
  <c r="T259" i="6"/>
  <c r="S259" i="6"/>
  <c r="R259" i="6"/>
  <c r="AA258" i="1"/>
  <c r="AD258" i="1"/>
  <c r="Q259" i="6"/>
  <c r="P259" i="6"/>
  <c r="O259" i="6"/>
  <c r="N259" i="6"/>
  <c r="M259" i="6"/>
  <c r="L259" i="6"/>
  <c r="K259" i="6"/>
  <c r="F259" i="6"/>
  <c r="E259" i="6"/>
  <c r="D259" i="6"/>
  <c r="C259" i="6"/>
  <c r="B259" i="6"/>
  <c r="W258" i="6"/>
  <c r="V258" i="6"/>
  <c r="U258" i="6"/>
  <c r="T258" i="6"/>
  <c r="S258" i="6"/>
  <c r="R258" i="6"/>
  <c r="AA257" i="1"/>
  <c r="AD257" i="1"/>
  <c r="Q258" i="6"/>
  <c r="P258" i="6"/>
  <c r="O258" i="6"/>
  <c r="N258" i="6"/>
  <c r="M258" i="6"/>
  <c r="L258" i="6"/>
  <c r="K258" i="6"/>
  <c r="F258" i="6"/>
  <c r="E258" i="6"/>
  <c r="D258" i="6"/>
  <c r="C258" i="6"/>
  <c r="B258" i="6"/>
  <c r="W257" i="6"/>
  <c r="V257" i="6"/>
  <c r="U257" i="6"/>
  <c r="T257" i="6"/>
  <c r="S257" i="6"/>
  <c r="R257" i="6"/>
  <c r="AA256" i="1"/>
  <c r="AD256" i="1"/>
  <c r="Q257" i="6"/>
  <c r="P257" i="6"/>
  <c r="O257" i="6"/>
  <c r="N257" i="6"/>
  <c r="M257" i="6"/>
  <c r="L257" i="6"/>
  <c r="K257" i="6"/>
  <c r="F257" i="6"/>
  <c r="E257" i="6"/>
  <c r="D257" i="6"/>
  <c r="C257" i="6"/>
  <c r="B257" i="6"/>
  <c r="W256" i="6"/>
  <c r="V256" i="6"/>
  <c r="U256" i="6"/>
  <c r="T256" i="6"/>
  <c r="S256" i="6"/>
  <c r="R256" i="6"/>
  <c r="AA255" i="1"/>
  <c r="AD255" i="1"/>
  <c r="Q256" i="6"/>
  <c r="P256" i="6"/>
  <c r="O256" i="6"/>
  <c r="N256" i="6"/>
  <c r="M256" i="6"/>
  <c r="L256" i="6"/>
  <c r="K256" i="6"/>
  <c r="F256" i="6"/>
  <c r="E256" i="6"/>
  <c r="D256" i="6"/>
  <c r="C256" i="6"/>
  <c r="B256" i="6"/>
  <c r="W255" i="6"/>
  <c r="V255" i="6"/>
  <c r="U255" i="6"/>
  <c r="T255" i="6"/>
  <c r="S255" i="6"/>
  <c r="R255" i="6"/>
  <c r="AA254" i="1"/>
  <c r="AD254" i="1"/>
  <c r="Q255" i="6"/>
  <c r="P255" i="6"/>
  <c r="O255" i="6"/>
  <c r="N255" i="6"/>
  <c r="M255" i="6"/>
  <c r="L255" i="6"/>
  <c r="K255" i="6"/>
  <c r="F255" i="6"/>
  <c r="E255" i="6"/>
  <c r="D255" i="6"/>
  <c r="C255" i="6"/>
  <c r="B255" i="6"/>
  <c r="W254" i="6"/>
  <c r="V254" i="6"/>
  <c r="U254" i="6"/>
  <c r="T254" i="6"/>
  <c r="S254" i="6"/>
  <c r="R254" i="6"/>
  <c r="AA253" i="1"/>
  <c r="AD253" i="1"/>
  <c r="Q254" i="6"/>
  <c r="P254" i="6"/>
  <c r="O254" i="6"/>
  <c r="N254" i="6"/>
  <c r="M254" i="6"/>
  <c r="L254" i="6"/>
  <c r="K254" i="6"/>
  <c r="F254" i="6"/>
  <c r="E254" i="6"/>
  <c r="D254" i="6"/>
  <c r="C254" i="6"/>
  <c r="B254" i="6"/>
  <c r="W253" i="6"/>
  <c r="V253" i="6"/>
  <c r="U253" i="6"/>
  <c r="T253" i="6"/>
  <c r="S253" i="6"/>
  <c r="R253" i="6"/>
  <c r="AA252" i="1"/>
  <c r="AD252" i="1"/>
  <c r="Q253" i="6"/>
  <c r="P253" i="6"/>
  <c r="O253" i="6"/>
  <c r="N253" i="6"/>
  <c r="M253" i="6"/>
  <c r="L253" i="6"/>
  <c r="K253" i="6"/>
  <c r="F253" i="6"/>
  <c r="E253" i="6"/>
  <c r="D253" i="6"/>
  <c r="C253" i="6"/>
  <c r="B253" i="6"/>
  <c r="W252" i="6"/>
  <c r="V252" i="6"/>
  <c r="U252" i="6"/>
  <c r="T252" i="6"/>
  <c r="S252" i="6"/>
  <c r="R252" i="6"/>
  <c r="AA251" i="1"/>
  <c r="AD251" i="1"/>
  <c r="Q252" i="6"/>
  <c r="P252" i="6"/>
  <c r="O252" i="6"/>
  <c r="N252" i="6"/>
  <c r="M252" i="6"/>
  <c r="L252" i="6"/>
  <c r="K252" i="6"/>
  <c r="F252" i="6"/>
  <c r="E252" i="6"/>
  <c r="D252" i="6"/>
  <c r="C252" i="6"/>
  <c r="B252" i="6"/>
  <c r="W251" i="6"/>
  <c r="V251" i="6"/>
  <c r="U251" i="6"/>
  <c r="T251" i="6"/>
  <c r="S251" i="6"/>
  <c r="R251" i="6"/>
  <c r="AA250" i="1"/>
  <c r="AD250" i="1"/>
  <c r="Q251" i="6"/>
  <c r="P251" i="6"/>
  <c r="O251" i="6"/>
  <c r="N251" i="6"/>
  <c r="M251" i="6"/>
  <c r="L251" i="6"/>
  <c r="K251" i="6"/>
  <c r="F251" i="6"/>
  <c r="E251" i="6"/>
  <c r="D251" i="6"/>
  <c r="C251" i="6"/>
  <c r="B251" i="6"/>
  <c r="W250" i="6"/>
  <c r="V250" i="6"/>
  <c r="U250" i="6"/>
  <c r="T250" i="6"/>
  <c r="S250" i="6"/>
  <c r="R250" i="6"/>
  <c r="AA249" i="1"/>
  <c r="AD249" i="1"/>
  <c r="Q250" i="6"/>
  <c r="P250" i="6"/>
  <c r="O250" i="6"/>
  <c r="N250" i="6"/>
  <c r="M250" i="6"/>
  <c r="L250" i="6"/>
  <c r="K250" i="6"/>
  <c r="F250" i="6"/>
  <c r="E250" i="6"/>
  <c r="D250" i="6"/>
  <c r="C250" i="6"/>
  <c r="B250" i="6"/>
  <c r="W249" i="6"/>
  <c r="V249" i="6"/>
  <c r="U249" i="6"/>
  <c r="T249" i="6"/>
  <c r="S249" i="6"/>
  <c r="R249" i="6"/>
  <c r="AA248" i="1"/>
  <c r="AD248" i="1"/>
  <c r="Q249" i="6"/>
  <c r="P249" i="6"/>
  <c r="O249" i="6"/>
  <c r="N249" i="6"/>
  <c r="M249" i="6"/>
  <c r="L249" i="6"/>
  <c r="K249" i="6"/>
  <c r="F249" i="6"/>
  <c r="E249" i="6"/>
  <c r="D249" i="6"/>
  <c r="C249" i="6"/>
  <c r="B249" i="6"/>
  <c r="W248" i="6"/>
  <c r="V248" i="6"/>
  <c r="U248" i="6"/>
  <c r="T248" i="6"/>
  <c r="S248" i="6"/>
  <c r="R248" i="6"/>
  <c r="AA247" i="1"/>
  <c r="AD247" i="1"/>
  <c r="Q248" i="6"/>
  <c r="P248" i="6"/>
  <c r="O248" i="6"/>
  <c r="N248" i="6"/>
  <c r="M248" i="6"/>
  <c r="L248" i="6"/>
  <c r="K248" i="6"/>
  <c r="F248" i="6"/>
  <c r="E248" i="6"/>
  <c r="D248" i="6"/>
  <c r="C248" i="6"/>
  <c r="B248" i="6"/>
  <c r="W247" i="6"/>
  <c r="V247" i="6"/>
  <c r="U247" i="6"/>
  <c r="T247" i="6"/>
  <c r="S247" i="6"/>
  <c r="R247" i="6"/>
  <c r="AA246" i="1"/>
  <c r="AD246" i="1"/>
  <c r="Q247" i="6"/>
  <c r="P247" i="6"/>
  <c r="O247" i="6"/>
  <c r="N247" i="6"/>
  <c r="M247" i="6"/>
  <c r="L247" i="6"/>
  <c r="K247" i="6"/>
  <c r="F247" i="6"/>
  <c r="E247" i="6"/>
  <c r="D247" i="6"/>
  <c r="C247" i="6"/>
  <c r="B247" i="6"/>
  <c r="W246" i="6"/>
  <c r="V246" i="6"/>
  <c r="U246" i="6"/>
  <c r="T246" i="6"/>
  <c r="S246" i="6"/>
  <c r="R246" i="6"/>
  <c r="AA245" i="1"/>
  <c r="AD245" i="1"/>
  <c r="Q246" i="6"/>
  <c r="P246" i="6"/>
  <c r="O246" i="6"/>
  <c r="N246" i="6"/>
  <c r="M246" i="6"/>
  <c r="L246" i="6"/>
  <c r="K246" i="6"/>
  <c r="F246" i="6"/>
  <c r="E246" i="6"/>
  <c r="D246" i="6"/>
  <c r="C246" i="6"/>
  <c r="B246" i="6"/>
  <c r="W245" i="6"/>
  <c r="V245" i="6"/>
  <c r="U245" i="6"/>
  <c r="T245" i="6"/>
  <c r="S245" i="6"/>
  <c r="R245" i="6"/>
  <c r="AA244" i="1"/>
  <c r="AD244" i="1"/>
  <c r="Q245" i="6"/>
  <c r="P245" i="6"/>
  <c r="O245" i="6"/>
  <c r="N245" i="6"/>
  <c r="M245" i="6"/>
  <c r="L245" i="6"/>
  <c r="K245" i="6"/>
  <c r="F245" i="6"/>
  <c r="E245" i="6"/>
  <c r="D245" i="6"/>
  <c r="C245" i="6"/>
  <c r="B245" i="6"/>
  <c r="W244" i="6"/>
  <c r="V244" i="6"/>
  <c r="U244" i="6"/>
  <c r="T244" i="6"/>
  <c r="S244" i="6"/>
  <c r="R244" i="6"/>
  <c r="AA243" i="1"/>
  <c r="AD243" i="1"/>
  <c r="Q244" i="6"/>
  <c r="P244" i="6"/>
  <c r="O244" i="6"/>
  <c r="N244" i="6"/>
  <c r="M244" i="6"/>
  <c r="L244" i="6"/>
  <c r="K244" i="6"/>
  <c r="F244" i="6"/>
  <c r="E244" i="6"/>
  <c r="D244" i="6"/>
  <c r="C244" i="6"/>
  <c r="B244" i="6"/>
  <c r="W243" i="6"/>
  <c r="V243" i="6"/>
  <c r="U243" i="6"/>
  <c r="T243" i="6"/>
  <c r="S243" i="6"/>
  <c r="R243" i="6"/>
  <c r="AA242" i="1"/>
  <c r="AD242" i="1"/>
  <c r="Q243" i="6"/>
  <c r="P243" i="6"/>
  <c r="O243" i="6"/>
  <c r="N243" i="6"/>
  <c r="M243" i="6"/>
  <c r="L243" i="6"/>
  <c r="K243" i="6"/>
  <c r="F243" i="6"/>
  <c r="E243" i="6"/>
  <c r="D243" i="6"/>
  <c r="C243" i="6"/>
  <c r="B243" i="6"/>
  <c r="W242" i="6"/>
  <c r="V242" i="6"/>
  <c r="U242" i="6"/>
  <c r="T242" i="6"/>
  <c r="S242" i="6"/>
  <c r="R242" i="6"/>
  <c r="AA241" i="1"/>
  <c r="AD241" i="1"/>
  <c r="Q242" i="6"/>
  <c r="P242" i="6"/>
  <c r="O242" i="6"/>
  <c r="N242" i="6"/>
  <c r="M242" i="6"/>
  <c r="L242" i="6"/>
  <c r="K242" i="6"/>
  <c r="F242" i="6"/>
  <c r="E242" i="6"/>
  <c r="D242" i="6"/>
  <c r="C242" i="6"/>
  <c r="B242" i="6"/>
  <c r="W241" i="6"/>
  <c r="V241" i="6"/>
  <c r="U241" i="6"/>
  <c r="T241" i="6"/>
  <c r="S241" i="6"/>
  <c r="R241" i="6"/>
  <c r="AA240" i="1"/>
  <c r="AD240" i="1"/>
  <c r="Q241" i="6"/>
  <c r="P241" i="6"/>
  <c r="O241" i="6"/>
  <c r="N241" i="6"/>
  <c r="M241" i="6"/>
  <c r="L241" i="6"/>
  <c r="K241" i="6"/>
  <c r="F241" i="6"/>
  <c r="E241" i="6"/>
  <c r="D241" i="6"/>
  <c r="C241" i="6"/>
  <c r="B241" i="6"/>
  <c r="W240" i="6"/>
  <c r="V240" i="6"/>
  <c r="U240" i="6"/>
  <c r="T240" i="6"/>
  <c r="S240" i="6"/>
  <c r="R240" i="6"/>
  <c r="AA239" i="1"/>
  <c r="AD239" i="1"/>
  <c r="Q240" i="6"/>
  <c r="P240" i="6"/>
  <c r="O240" i="6"/>
  <c r="N240" i="6"/>
  <c r="M240" i="6"/>
  <c r="L240" i="6"/>
  <c r="K240" i="6"/>
  <c r="F240" i="6"/>
  <c r="E240" i="6"/>
  <c r="D240" i="6"/>
  <c r="C240" i="6"/>
  <c r="B240" i="6"/>
  <c r="W239" i="6"/>
  <c r="V239" i="6"/>
  <c r="U239" i="6"/>
  <c r="T239" i="6"/>
  <c r="S239" i="6"/>
  <c r="R239" i="6"/>
  <c r="AA238" i="1"/>
  <c r="AD238" i="1"/>
  <c r="Q239" i="6"/>
  <c r="P239" i="6"/>
  <c r="O239" i="6"/>
  <c r="N239" i="6"/>
  <c r="M239" i="6"/>
  <c r="L239" i="6"/>
  <c r="K239" i="6"/>
  <c r="F239" i="6"/>
  <c r="E239" i="6"/>
  <c r="D239" i="6"/>
  <c r="C239" i="6"/>
  <c r="B239" i="6"/>
  <c r="W238" i="6"/>
  <c r="V238" i="6"/>
  <c r="U238" i="6"/>
  <c r="T238" i="6"/>
  <c r="S238" i="6"/>
  <c r="R238" i="6"/>
  <c r="AA237" i="1"/>
  <c r="AD237" i="1"/>
  <c r="Q238" i="6"/>
  <c r="P238" i="6"/>
  <c r="O238" i="6"/>
  <c r="N238" i="6"/>
  <c r="M238" i="6"/>
  <c r="L238" i="6"/>
  <c r="K238" i="6"/>
  <c r="F238" i="6"/>
  <c r="E238" i="6"/>
  <c r="D238" i="6"/>
  <c r="C238" i="6"/>
  <c r="B238" i="6"/>
  <c r="W237" i="6"/>
  <c r="V237" i="6"/>
  <c r="U237" i="6"/>
  <c r="T237" i="6"/>
  <c r="S237" i="6"/>
  <c r="R237" i="6"/>
  <c r="AA236" i="1"/>
  <c r="AD236" i="1"/>
  <c r="Q237" i="6"/>
  <c r="P237" i="6"/>
  <c r="O237" i="6"/>
  <c r="N237" i="6"/>
  <c r="M237" i="6"/>
  <c r="L237" i="6"/>
  <c r="K237" i="6"/>
  <c r="F237" i="6"/>
  <c r="E237" i="6"/>
  <c r="D237" i="6"/>
  <c r="C237" i="6"/>
  <c r="B237" i="6"/>
  <c r="W236" i="6"/>
  <c r="V236" i="6"/>
  <c r="U236" i="6"/>
  <c r="T236" i="6"/>
  <c r="S236" i="6"/>
  <c r="R236" i="6"/>
  <c r="AA235" i="1"/>
  <c r="AD235" i="1"/>
  <c r="Q236" i="6"/>
  <c r="P236" i="6"/>
  <c r="O236" i="6"/>
  <c r="N236" i="6"/>
  <c r="M236" i="6"/>
  <c r="L236" i="6"/>
  <c r="K236" i="6"/>
  <c r="F236" i="6"/>
  <c r="E236" i="6"/>
  <c r="D236" i="6"/>
  <c r="C236" i="6"/>
  <c r="B236" i="6"/>
  <c r="W235" i="6"/>
  <c r="V235" i="6"/>
  <c r="U235" i="6"/>
  <c r="T235" i="6"/>
  <c r="S235" i="6"/>
  <c r="R235" i="6"/>
  <c r="AA234" i="1"/>
  <c r="AD234" i="1"/>
  <c r="Q235" i="6"/>
  <c r="P235" i="6"/>
  <c r="O235" i="6"/>
  <c r="N235" i="6"/>
  <c r="M235" i="6"/>
  <c r="L235" i="6"/>
  <c r="K235" i="6"/>
  <c r="F235" i="6"/>
  <c r="E235" i="6"/>
  <c r="D235" i="6"/>
  <c r="C235" i="6"/>
  <c r="B235" i="6"/>
  <c r="W234" i="6"/>
  <c r="V234" i="6"/>
  <c r="U234" i="6"/>
  <c r="T234" i="6"/>
  <c r="S234" i="6"/>
  <c r="R234" i="6"/>
  <c r="AA233" i="1"/>
  <c r="AD233" i="1"/>
  <c r="Q234" i="6"/>
  <c r="P234" i="6"/>
  <c r="O234" i="6"/>
  <c r="N234" i="6"/>
  <c r="M234" i="6"/>
  <c r="L234" i="6"/>
  <c r="K234" i="6"/>
  <c r="F234" i="6"/>
  <c r="E234" i="6"/>
  <c r="D234" i="6"/>
  <c r="C234" i="6"/>
  <c r="B234" i="6"/>
  <c r="W233" i="6"/>
  <c r="V233" i="6"/>
  <c r="U233" i="6"/>
  <c r="T233" i="6"/>
  <c r="S233" i="6"/>
  <c r="R233" i="6"/>
  <c r="AA232" i="1"/>
  <c r="AD232" i="1"/>
  <c r="Q233" i="6"/>
  <c r="P233" i="6"/>
  <c r="O233" i="6"/>
  <c r="N233" i="6"/>
  <c r="M233" i="6"/>
  <c r="L233" i="6"/>
  <c r="K233" i="6"/>
  <c r="F233" i="6"/>
  <c r="E233" i="6"/>
  <c r="D233" i="6"/>
  <c r="C233" i="6"/>
  <c r="B233" i="6"/>
  <c r="W232" i="6"/>
  <c r="V232" i="6"/>
  <c r="U232" i="6"/>
  <c r="T232" i="6"/>
  <c r="S232" i="6"/>
  <c r="R232" i="6"/>
  <c r="AA231" i="1"/>
  <c r="AD231" i="1"/>
  <c r="Q232" i="6"/>
  <c r="P232" i="6"/>
  <c r="O232" i="6"/>
  <c r="N232" i="6"/>
  <c r="M232" i="6"/>
  <c r="L232" i="6"/>
  <c r="K232" i="6"/>
  <c r="F232" i="6"/>
  <c r="E232" i="6"/>
  <c r="D232" i="6"/>
  <c r="C232" i="6"/>
  <c r="B232" i="6"/>
  <c r="W231" i="6"/>
  <c r="V231" i="6"/>
  <c r="U231" i="6"/>
  <c r="T231" i="6"/>
  <c r="S231" i="6"/>
  <c r="R231" i="6"/>
  <c r="AA230" i="1"/>
  <c r="AD230" i="1"/>
  <c r="Q231" i="6"/>
  <c r="P231" i="6"/>
  <c r="O231" i="6"/>
  <c r="N231" i="6"/>
  <c r="M231" i="6"/>
  <c r="L231" i="6"/>
  <c r="K231" i="6"/>
  <c r="F231" i="6"/>
  <c r="E231" i="6"/>
  <c r="D231" i="6"/>
  <c r="C231" i="6"/>
  <c r="B231" i="6"/>
  <c r="W230" i="6"/>
  <c r="V230" i="6"/>
  <c r="U230" i="6"/>
  <c r="T230" i="6"/>
  <c r="S230" i="6"/>
  <c r="R230" i="6"/>
  <c r="AA229" i="1"/>
  <c r="AD229" i="1"/>
  <c r="Q230" i="6"/>
  <c r="P230" i="6"/>
  <c r="O230" i="6"/>
  <c r="N230" i="6"/>
  <c r="M230" i="6"/>
  <c r="L230" i="6"/>
  <c r="K230" i="6"/>
  <c r="F230" i="6"/>
  <c r="E230" i="6"/>
  <c r="D230" i="6"/>
  <c r="C230" i="6"/>
  <c r="B230" i="6"/>
  <c r="W229" i="6"/>
  <c r="V229" i="6"/>
  <c r="U229" i="6"/>
  <c r="T229" i="6"/>
  <c r="S229" i="6"/>
  <c r="R229" i="6"/>
  <c r="AA228" i="1"/>
  <c r="AD228" i="1"/>
  <c r="Q229" i="6"/>
  <c r="P229" i="6"/>
  <c r="O229" i="6"/>
  <c r="N229" i="6"/>
  <c r="M229" i="6"/>
  <c r="L229" i="6"/>
  <c r="K229" i="6"/>
  <c r="F229" i="6"/>
  <c r="E229" i="6"/>
  <c r="D229" i="6"/>
  <c r="C229" i="6"/>
  <c r="B229" i="6"/>
  <c r="W228" i="6"/>
  <c r="V228" i="6"/>
  <c r="U228" i="6"/>
  <c r="T228" i="6"/>
  <c r="S228" i="6"/>
  <c r="R228" i="6"/>
  <c r="AA227" i="1"/>
  <c r="AD227" i="1"/>
  <c r="Q228" i="6"/>
  <c r="P228" i="6"/>
  <c r="O228" i="6"/>
  <c r="N228" i="6"/>
  <c r="M228" i="6"/>
  <c r="L228" i="6"/>
  <c r="K228" i="6"/>
  <c r="F228" i="6"/>
  <c r="E228" i="6"/>
  <c r="D228" i="6"/>
  <c r="C228" i="6"/>
  <c r="B228" i="6"/>
  <c r="W227" i="6"/>
  <c r="V227" i="6"/>
  <c r="U227" i="6"/>
  <c r="T227" i="6"/>
  <c r="S227" i="6"/>
  <c r="R227" i="6"/>
  <c r="AA226" i="1"/>
  <c r="AD226" i="1"/>
  <c r="Q227" i="6"/>
  <c r="P227" i="6"/>
  <c r="O227" i="6"/>
  <c r="N227" i="6"/>
  <c r="M227" i="6"/>
  <c r="L227" i="6"/>
  <c r="K227" i="6"/>
  <c r="F227" i="6"/>
  <c r="E227" i="6"/>
  <c r="D227" i="6"/>
  <c r="C227" i="6"/>
  <c r="B227" i="6"/>
  <c r="W226" i="6"/>
  <c r="V226" i="6"/>
  <c r="U226" i="6"/>
  <c r="T226" i="6"/>
  <c r="S226" i="6"/>
  <c r="R226" i="6"/>
  <c r="AA225" i="1"/>
  <c r="AD225" i="1"/>
  <c r="Q226" i="6"/>
  <c r="P226" i="6"/>
  <c r="O226" i="6"/>
  <c r="N226" i="6"/>
  <c r="M226" i="6"/>
  <c r="L226" i="6"/>
  <c r="K226" i="6"/>
  <c r="F226" i="6"/>
  <c r="E226" i="6"/>
  <c r="D226" i="6"/>
  <c r="C226" i="6"/>
  <c r="B226" i="6"/>
  <c r="W225" i="6"/>
  <c r="V225" i="6"/>
  <c r="U225" i="6"/>
  <c r="T225" i="6"/>
  <c r="S225" i="6"/>
  <c r="R225" i="6"/>
  <c r="AA224" i="1"/>
  <c r="AD224" i="1"/>
  <c r="Q225" i="6"/>
  <c r="P225" i="6"/>
  <c r="O225" i="6"/>
  <c r="N225" i="6"/>
  <c r="M225" i="6"/>
  <c r="L225" i="6"/>
  <c r="K225" i="6"/>
  <c r="F225" i="6"/>
  <c r="E225" i="6"/>
  <c r="D225" i="6"/>
  <c r="C225" i="6"/>
  <c r="B225" i="6"/>
  <c r="W224" i="6"/>
  <c r="V224" i="6"/>
  <c r="U224" i="6"/>
  <c r="T224" i="6"/>
  <c r="S224" i="6"/>
  <c r="R224" i="6"/>
  <c r="AA223" i="1"/>
  <c r="AD223" i="1"/>
  <c r="Q224" i="6"/>
  <c r="P224" i="6"/>
  <c r="O224" i="6"/>
  <c r="N224" i="6"/>
  <c r="M224" i="6"/>
  <c r="L224" i="6"/>
  <c r="K224" i="6"/>
  <c r="F224" i="6"/>
  <c r="E224" i="6"/>
  <c r="D224" i="6"/>
  <c r="C224" i="6"/>
  <c r="B224" i="6"/>
  <c r="W223" i="6"/>
  <c r="V223" i="6"/>
  <c r="U223" i="6"/>
  <c r="T223" i="6"/>
  <c r="S223" i="6"/>
  <c r="R223" i="6"/>
  <c r="AA222" i="1"/>
  <c r="AD222" i="1"/>
  <c r="Q223" i="6"/>
  <c r="P223" i="6"/>
  <c r="O223" i="6"/>
  <c r="N223" i="6"/>
  <c r="M223" i="6"/>
  <c r="L223" i="6"/>
  <c r="K223" i="6"/>
  <c r="F223" i="6"/>
  <c r="E223" i="6"/>
  <c r="D223" i="6"/>
  <c r="C223" i="6"/>
  <c r="B223" i="6"/>
  <c r="W222" i="6"/>
  <c r="V222" i="6"/>
  <c r="U222" i="6"/>
  <c r="T222" i="6"/>
  <c r="S222" i="6"/>
  <c r="R222" i="6"/>
  <c r="AA221" i="1"/>
  <c r="AD221" i="1"/>
  <c r="Q222" i="6"/>
  <c r="P222" i="6"/>
  <c r="O222" i="6"/>
  <c r="N222" i="6"/>
  <c r="M222" i="6"/>
  <c r="L222" i="6"/>
  <c r="K222" i="6"/>
  <c r="F222" i="6"/>
  <c r="E222" i="6"/>
  <c r="D222" i="6"/>
  <c r="C222" i="6"/>
  <c r="B222" i="6"/>
  <c r="W221" i="6"/>
  <c r="V221" i="6"/>
  <c r="U221" i="6"/>
  <c r="T221" i="6"/>
  <c r="S221" i="6"/>
  <c r="R221" i="6"/>
  <c r="AA220" i="1"/>
  <c r="AD220" i="1"/>
  <c r="Q221" i="6"/>
  <c r="P221" i="6"/>
  <c r="O221" i="6"/>
  <c r="N221" i="6"/>
  <c r="M221" i="6"/>
  <c r="L221" i="6"/>
  <c r="K221" i="6"/>
  <c r="F221" i="6"/>
  <c r="E221" i="6"/>
  <c r="D221" i="6"/>
  <c r="C221" i="6"/>
  <c r="B221" i="6"/>
  <c r="W220" i="6"/>
  <c r="V220" i="6"/>
  <c r="U220" i="6"/>
  <c r="T220" i="6"/>
  <c r="S220" i="6"/>
  <c r="R220" i="6"/>
  <c r="AA219" i="1"/>
  <c r="AD219" i="1"/>
  <c r="Q220" i="6"/>
  <c r="P220" i="6"/>
  <c r="O220" i="6"/>
  <c r="N220" i="6"/>
  <c r="M220" i="6"/>
  <c r="L220" i="6"/>
  <c r="K220" i="6"/>
  <c r="F220" i="6"/>
  <c r="E220" i="6"/>
  <c r="D220" i="6"/>
  <c r="C220" i="6"/>
  <c r="B220" i="6"/>
  <c r="W219" i="6"/>
  <c r="V219" i="6"/>
  <c r="U219" i="6"/>
  <c r="T219" i="6"/>
  <c r="S219" i="6"/>
  <c r="R219" i="6"/>
  <c r="AA218" i="1"/>
  <c r="AD218" i="1"/>
  <c r="Q219" i="6"/>
  <c r="P219" i="6"/>
  <c r="O219" i="6"/>
  <c r="N219" i="6"/>
  <c r="M219" i="6"/>
  <c r="L219" i="6"/>
  <c r="K219" i="6"/>
  <c r="F219" i="6"/>
  <c r="E219" i="6"/>
  <c r="D219" i="6"/>
  <c r="C219" i="6"/>
  <c r="B219" i="6"/>
  <c r="W218" i="6"/>
  <c r="V218" i="6"/>
  <c r="U218" i="6"/>
  <c r="T218" i="6"/>
  <c r="S218" i="6"/>
  <c r="R218" i="6"/>
  <c r="AA217" i="1"/>
  <c r="AD217" i="1"/>
  <c r="Q218" i="6"/>
  <c r="P218" i="6"/>
  <c r="O218" i="6"/>
  <c r="N218" i="6"/>
  <c r="M218" i="6"/>
  <c r="L218" i="6"/>
  <c r="K218" i="6"/>
  <c r="F218" i="6"/>
  <c r="E218" i="6"/>
  <c r="D218" i="6"/>
  <c r="C218" i="6"/>
  <c r="B218" i="6"/>
  <c r="W217" i="6"/>
  <c r="V217" i="6"/>
  <c r="U217" i="6"/>
  <c r="T217" i="6"/>
  <c r="S217" i="6"/>
  <c r="R217" i="6"/>
  <c r="AA216" i="1"/>
  <c r="AD216" i="1"/>
  <c r="Q217" i="6"/>
  <c r="P217" i="6"/>
  <c r="O217" i="6"/>
  <c r="N217" i="6"/>
  <c r="M217" i="6"/>
  <c r="L217" i="6"/>
  <c r="K217" i="6"/>
  <c r="F217" i="6"/>
  <c r="E217" i="6"/>
  <c r="D217" i="6"/>
  <c r="C217" i="6"/>
  <c r="B217" i="6"/>
  <c r="W216" i="6"/>
  <c r="V216" i="6"/>
  <c r="U216" i="6"/>
  <c r="T216" i="6"/>
  <c r="S216" i="6"/>
  <c r="R216" i="6"/>
  <c r="AA215" i="1"/>
  <c r="AD215" i="1"/>
  <c r="Q216" i="6"/>
  <c r="P216" i="6"/>
  <c r="O216" i="6"/>
  <c r="N216" i="6"/>
  <c r="M216" i="6"/>
  <c r="L216" i="6"/>
  <c r="K216" i="6"/>
  <c r="F216" i="6"/>
  <c r="E216" i="6"/>
  <c r="D216" i="6"/>
  <c r="C216" i="6"/>
  <c r="B216" i="6"/>
  <c r="W215" i="6"/>
  <c r="V215" i="6"/>
  <c r="U215" i="6"/>
  <c r="T215" i="6"/>
  <c r="S215" i="6"/>
  <c r="R215" i="6"/>
  <c r="AA214" i="1"/>
  <c r="AD214" i="1"/>
  <c r="Q215" i="6"/>
  <c r="P215" i="6"/>
  <c r="O215" i="6"/>
  <c r="N215" i="6"/>
  <c r="M215" i="6"/>
  <c r="L215" i="6"/>
  <c r="K215" i="6"/>
  <c r="F215" i="6"/>
  <c r="E215" i="6"/>
  <c r="D215" i="6"/>
  <c r="C215" i="6"/>
  <c r="B215" i="6"/>
  <c r="W214" i="6"/>
  <c r="V214" i="6"/>
  <c r="U214" i="6"/>
  <c r="T214" i="6"/>
  <c r="S214" i="6"/>
  <c r="R214" i="6"/>
  <c r="AA213" i="1"/>
  <c r="AD213" i="1"/>
  <c r="Q214" i="6"/>
  <c r="P214" i="6"/>
  <c r="O214" i="6"/>
  <c r="N214" i="6"/>
  <c r="M214" i="6"/>
  <c r="L214" i="6"/>
  <c r="K214" i="6"/>
  <c r="F214" i="6"/>
  <c r="E214" i="6"/>
  <c r="D214" i="6"/>
  <c r="C214" i="6"/>
  <c r="B214" i="6"/>
  <c r="W213" i="6"/>
  <c r="V213" i="6"/>
  <c r="U213" i="6"/>
  <c r="T213" i="6"/>
  <c r="S213" i="6"/>
  <c r="R213" i="6"/>
  <c r="AA212" i="1"/>
  <c r="AD212" i="1"/>
  <c r="Q213" i="6"/>
  <c r="P213" i="6"/>
  <c r="O213" i="6"/>
  <c r="N213" i="6"/>
  <c r="M213" i="6"/>
  <c r="L213" i="6"/>
  <c r="K213" i="6"/>
  <c r="F213" i="6"/>
  <c r="E213" i="6"/>
  <c r="D213" i="6"/>
  <c r="C213" i="6"/>
  <c r="B213" i="6"/>
  <c r="W212" i="6"/>
  <c r="V212" i="6"/>
  <c r="U212" i="6"/>
  <c r="T212" i="6"/>
  <c r="S212" i="6"/>
  <c r="R212" i="6"/>
  <c r="AA211" i="1"/>
  <c r="AD211" i="1"/>
  <c r="Q212" i="6"/>
  <c r="P212" i="6"/>
  <c r="O212" i="6"/>
  <c r="N212" i="6"/>
  <c r="M212" i="6"/>
  <c r="L212" i="6"/>
  <c r="K212" i="6"/>
  <c r="F212" i="6"/>
  <c r="E212" i="6"/>
  <c r="D212" i="6"/>
  <c r="C212" i="6"/>
  <c r="B212" i="6"/>
  <c r="W211" i="6"/>
  <c r="V211" i="6"/>
  <c r="U211" i="6"/>
  <c r="T211" i="6"/>
  <c r="S211" i="6"/>
  <c r="R211" i="6"/>
  <c r="AA210" i="1"/>
  <c r="AD210" i="1"/>
  <c r="Q211" i="6"/>
  <c r="P211" i="6"/>
  <c r="O211" i="6"/>
  <c r="N211" i="6"/>
  <c r="M211" i="6"/>
  <c r="L211" i="6"/>
  <c r="K211" i="6"/>
  <c r="F211" i="6"/>
  <c r="E211" i="6"/>
  <c r="D211" i="6"/>
  <c r="C211" i="6"/>
  <c r="B211" i="6"/>
  <c r="W210" i="6"/>
  <c r="V210" i="6"/>
  <c r="U210" i="6"/>
  <c r="T210" i="6"/>
  <c r="S210" i="6"/>
  <c r="R210" i="6"/>
  <c r="AA209" i="1"/>
  <c r="AD209" i="1"/>
  <c r="Q210" i="6"/>
  <c r="P210" i="6"/>
  <c r="O210" i="6"/>
  <c r="N210" i="6"/>
  <c r="M210" i="6"/>
  <c r="L210" i="6"/>
  <c r="K210" i="6"/>
  <c r="F210" i="6"/>
  <c r="E210" i="6"/>
  <c r="D210" i="6"/>
  <c r="C210" i="6"/>
  <c r="B210" i="6"/>
  <c r="W209" i="6"/>
  <c r="V209" i="6"/>
  <c r="U209" i="6"/>
  <c r="T209" i="6"/>
  <c r="S209" i="6"/>
  <c r="R209" i="6"/>
  <c r="AA208" i="1"/>
  <c r="AD208" i="1"/>
  <c r="Q209" i="6"/>
  <c r="P209" i="6"/>
  <c r="O209" i="6"/>
  <c r="N209" i="6"/>
  <c r="M209" i="6"/>
  <c r="L209" i="6"/>
  <c r="K209" i="6"/>
  <c r="F209" i="6"/>
  <c r="E209" i="6"/>
  <c r="D209" i="6"/>
  <c r="C209" i="6"/>
  <c r="B209" i="6"/>
  <c r="W208" i="6"/>
  <c r="V208" i="6"/>
  <c r="U208" i="6"/>
  <c r="T208" i="6"/>
  <c r="S208" i="6"/>
  <c r="R208" i="6"/>
  <c r="AA207" i="1"/>
  <c r="AD207" i="1"/>
  <c r="Q208" i="6"/>
  <c r="P208" i="6"/>
  <c r="O208" i="6"/>
  <c r="N208" i="6"/>
  <c r="M208" i="6"/>
  <c r="L208" i="6"/>
  <c r="K208" i="6"/>
  <c r="F208" i="6"/>
  <c r="E208" i="6"/>
  <c r="D208" i="6"/>
  <c r="C208" i="6"/>
  <c r="B208" i="6"/>
  <c r="W207" i="6"/>
  <c r="V207" i="6"/>
  <c r="U207" i="6"/>
  <c r="T207" i="6"/>
  <c r="S207" i="6"/>
  <c r="R207" i="6"/>
  <c r="AA206" i="1"/>
  <c r="AD206" i="1"/>
  <c r="Q207" i="6"/>
  <c r="P207" i="6"/>
  <c r="O207" i="6"/>
  <c r="N207" i="6"/>
  <c r="M207" i="6"/>
  <c r="L207" i="6"/>
  <c r="K207" i="6"/>
  <c r="F207" i="6"/>
  <c r="E207" i="6"/>
  <c r="D207" i="6"/>
  <c r="C207" i="6"/>
  <c r="B207" i="6"/>
  <c r="W206" i="6"/>
  <c r="V206" i="6"/>
  <c r="U206" i="6"/>
  <c r="T206" i="6"/>
  <c r="S206" i="6"/>
  <c r="R206" i="6"/>
  <c r="AA205" i="1"/>
  <c r="AD205" i="1"/>
  <c r="Q206" i="6"/>
  <c r="P206" i="6"/>
  <c r="O206" i="6"/>
  <c r="N206" i="6"/>
  <c r="M206" i="6"/>
  <c r="L206" i="6"/>
  <c r="K206" i="6"/>
  <c r="F206" i="6"/>
  <c r="E206" i="6"/>
  <c r="D206" i="6"/>
  <c r="C206" i="6"/>
  <c r="B206" i="6"/>
  <c r="W205" i="6"/>
  <c r="V205" i="6"/>
  <c r="U205" i="6"/>
  <c r="T205" i="6"/>
  <c r="S205" i="6"/>
  <c r="R205" i="6"/>
  <c r="AA204" i="1"/>
  <c r="AD204" i="1"/>
  <c r="Q205" i="6"/>
  <c r="P205" i="6"/>
  <c r="O205" i="6"/>
  <c r="N205" i="6"/>
  <c r="M205" i="6"/>
  <c r="L205" i="6"/>
  <c r="K205" i="6"/>
  <c r="F205" i="6"/>
  <c r="E205" i="6"/>
  <c r="D205" i="6"/>
  <c r="C205" i="6"/>
  <c r="B205" i="6"/>
  <c r="W204" i="6"/>
  <c r="V204" i="6"/>
  <c r="U204" i="6"/>
  <c r="T204" i="6"/>
  <c r="S204" i="6"/>
  <c r="R204" i="6"/>
  <c r="AA203" i="1"/>
  <c r="AD203" i="1"/>
  <c r="Q204" i="6"/>
  <c r="P204" i="6"/>
  <c r="O204" i="6"/>
  <c r="N204" i="6"/>
  <c r="M204" i="6"/>
  <c r="L204" i="6"/>
  <c r="K204" i="6"/>
  <c r="F204" i="6"/>
  <c r="E204" i="6"/>
  <c r="D204" i="6"/>
  <c r="C204" i="6"/>
  <c r="B204" i="6"/>
  <c r="W203" i="6"/>
  <c r="V203" i="6"/>
  <c r="U203" i="6"/>
  <c r="T203" i="6"/>
  <c r="S203" i="6"/>
  <c r="R203" i="6"/>
  <c r="AA202" i="1"/>
  <c r="AD202" i="1"/>
  <c r="Q203" i="6"/>
  <c r="P203" i="6"/>
  <c r="O203" i="6"/>
  <c r="N203" i="6"/>
  <c r="M203" i="6"/>
  <c r="L203" i="6"/>
  <c r="K203" i="6"/>
  <c r="F203" i="6"/>
  <c r="E203" i="6"/>
  <c r="D203" i="6"/>
  <c r="C203" i="6"/>
  <c r="B203" i="6"/>
  <c r="W202" i="6"/>
  <c r="V202" i="6"/>
  <c r="U202" i="6"/>
  <c r="T202" i="6"/>
  <c r="S202" i="6"/>
  <c r="R202" i="6"/>
  <c r="AA201" i="1"/>
  <c r="AD201" i="1"/>
  <c r="Q202" i="6"/>
  <c r="P202" i="6"/>
  <c r="O202" i="6"/>
  <c r="N202" i="6"/>
  <c r="M202" i="6"/>
  <c r="L202" i="6"/>
  <c r="K202" i="6"/>
  <c r="F202" i="6"/>
  <c r="E202" i="6"/>
  <c r="D202" i="6"/>
  <c r="C202" i="6"/>
  <c r="B202" i="6"/>
  <c r="W201" i="6"/>
  <c r="V201" i="6"/>
  <c r="U201" i="6"/>
  <c r="T201" i="6"/>
  <c r="S201" i="6"/>
  <c r="R201" i="6"/>
  <c r="AA200" i="1"/>
  <c r="AD200" i="1"/>
  <c r="Q201" i="6"/>
  <c r="P201" i="6"/>
  <c r="O201" i="6"/>
  <c r="N201" i="6"/>
  <c r="M201" i="6"/>
  <c r="L201" i="6"/>
  <c r="K201" i="6"/>
  <c r="F201" i="6"/>
  <c r="E201" i="6"/>
  <c r="D201" i="6"/>
  <c r="C201" i="6"/>
  <c r="B201" i="6"/>
  <c r="W200" i="6"/>
  <c r="V200" i="6"/>
  <c r="U200" i="6"/>
  <c r="T200" i="6"/>
  <c r="S200" i="6"/>
  <c r="R200" i="6"/>
  <c r="AA199" i="1"/>
  <c r="AD199" i="1"/>
  <c r="Q200" i="6"/>
  <c r="P200" i="6"/>
  <c r="O200" i="6"/>
  <c r="N200" i="6"/>
  <c r="M200" i="6"/>
  <c r="L200" i="6"/>
  <c r="K200" i="6"/>
  <c r="F200" i="6"/>
  <c r="E200" i="6"/>
  <c r="D200" i="6"/>
  <c r="C200" i="6"/>
  <c r="B200" i="6"/>
  <c r="W199" i="6"/>
  <c r="V199" i="6"/>
  <c r="U199" i="6"/>
  <c r="T199" i="6"/>
  <c r="S199" i="6"/>
  <c r="R199" i="6"/>
  <c r="AA198" i="1"/>
  <c r="AD198" i="1"/>
  <c r="Q199" i="6"/>
  <c r="P199" i="6"/>
  <c r="O199" i="6"/>
  <c r="N199" i="6"/>
  <c r="M199" i="6"/>
  <c r="L199" i="6"/>
  <c r="K199" i="6"/>
  <c r="F199" i="6"/>
  <c r="E199" i="6"/>
  <c r="D199" i="6"/>
  <c r="C199" i="6"/>
  <c r="B199" i="6"/>
  <c r="W198" i="6"/>
  <c r="V198" i="6"/>
  <c r="U198" i="6"/>
  <c r="T198" i="6"/>
  <c r="S198" i="6"/>
  <c r="R198" i="6"/>
  <c r="AA197" i="1"/>
  <c r="AD197" i="1"/>
  <c r="Q198" i="6"/>
  <c r="P198" i="6"/>
  <c r="O198" i="6"/>
  <c r="N198" i="6"/>
  <c r="M198" i="6"/>
  <c r="L198" i="6"/>
  <c r="K198" i="6"/>
  <c r="F198" i="6"/>
  <c r="E198" i="6"/>
  <c r="D198" i="6"/>
  <c r="C198" i="6"/>
  <c r="B198" i="6"/>
  <c r="W197" i="6"/>
  <c r="V197" i="6"/>
  <c r="U197" i="6"/>
  <c r="T197" i="6"/>
  <c r="S197" i="6"/>
  <c r="R197" i="6"/>
  <c r="AA196" i="1"/>
  <c r="AD196" i="1"/>
  <c r="Q197" i="6"/>
  <c r="P197" i="6"/>
  <c r="O197" i="6"/>
  <c r="N197" i="6"/>
  <c r="M197" i="6"/>
  <c r="L197" i="6"/>
  <c r="K197" i="6"/>
  <c r="F197" i="6"/>
  <c r="E197" i="6"/>
  <c r="D197" i="6"/>
  <c r="C197" i="6"/>
  <c r="B197" i="6"/>
  <c r="W196" i="6"/>
  <c r="V196" i="6"/>
  <c r="U196" i="6"/>
  <c r="T196" i="6"/>
  <c r="S196" i="6"/>
  <c r="R196" i="6"/>
  <c r="AA195" i="1"/>
  <c r="AD195" i="1"/>
  <c r="Q196" i="6"/>
  <c r="P196" i="6"/>
  <c r="O196" i="6"/>
  <c r="N196" i="6"/>
  <c r="M196" i="6"/>
  <c r="L196" i="6"/>
  <c r="K196" i="6"/>
  <c r="F196" i="6"/>
  <c r="E196" i="6"/>
  <c r="D196" i="6"/>
  <c r="C196" i="6"/>
  <c r="B196" i="6"/>
  <c r="W195" i="6"/>
  <c r="V195" i="6"/>
  <c r="U195" i="6"/>
  <c r="T195" i="6"/>
  <c r="S195" i="6"/>
  <c r="R195" i="6"/>
  <c r="AA194" i="1"/>
  <c r="AD194" i="1"/>
  <c r="Q195" i="6"/>
  <c r="P195" i="6"/>
  <c r="O195" i="6"/>
  <c r="N195" i="6"/>
  <c r="M195" i="6"/>
  <c r="L195" i="6"/>
  <c r="K195" i="6"/>
  <c r="F195" i="6"/>
  <c r="E195" i="6"/>
  <c r="D195" i="6"/>
  <c r="C195" i="6"/>
  <c r="B195" i="6"/>
  <c r="W194" i="6"/>
  <c r="V194" i="6"/>
  <c r="U194" i="6"/>
  <c r="T194" i="6"/>
  <c r="S194" i="6"/>
  <c r="R194" i="6"/>
  <c r="AA193" i="1"/>
  <c r="AD193" i="1"/>
  <c r="Q194" i="6"/>
  <c r="P194" i="6"/>
  <c r="O194" i="6"/>
  <c r="N194" i="6"/>
  <c r="M194" i="6"/>
  <c r="L194" i="6"/>
  <c r="K194" i="6"/>
  <c r="F194" i="6"/>
  <c r="E194" i="6"/>
  <c r="D194" i="6"/>
  <c r="C194" i="6"/>
  <c r="B194" i="6"/>
  <c r="W193" i="6"/>
  <c r="V193" i="6"/>
  <c r="U193" i="6"/>
  <c r="T193" i="6"/>
  <c r="S193" i="6"/>
  <c r="R193" i="6"/>
  <c r="AA192" i="1"/>
  <c r="AD192" i="1"/>
  <c r="Q193" i="6"/>
  <c r="P193" i="6"/>
  <c r="O193" i="6"/>
  <c r="N193" i="6"/>
  <c r="M193" i="6"/>
  <c r="L193" i="6"/>
  <c r="K193" i="6"/>
  <c r="F193" i="6"/>
  <c r="E193" i="6"/>
  <c r="D193" i="6"/>
  <c r="C193" i="6"/>
  <c r="B193" i="6"/>
  <c r="W192" i="6"/>
  <c r="V192" i="6"/>
  <c r="U192" i="6"/>
  <c r="T192" i="6"/>
  <c r="S192" i="6"/>
  <c r="R192" i="6"/>
  <c r="AA191" i="1"/>
  <c r="AD191" i="1"/>
  <c r="Q192" i="6"/>
  <c r="P192" i="6"/>
  <c r="O192" i="6"/>
  <c r="N192" i="6"/>
  <c r="M192" i="6"/>
  <c r="L192" i="6"/>
  <c r="K192" i="6"/>
  <c r="F192" i="6"/>
  <c r="E192" i="6"/>
  <c r="D192" i="6"/>
  <c r="C192" i="6"/>
  <c r="B192" i="6"/>
  <c r="W191" i="6"/>
  <c r="V191" i="6"/>
  <c r="U191" i="6"/>
  <c r="T191" i="6"/>
  <c r="S191" i="6"/>
  <c r="R191" i="6"/>
  <c r="AA190" i="1"/>
  <c r="AD190" i="1"/>
  <c r="Q191" i="6"/>
  <c r="P191" i="6"/>
  <c r="O191" i="6"/>
  <c r="N191" i="6"/>
  <c r="M191" i="6"/>
  <c r="L191" i="6"/>
  <c r="K191" i="6"/>
  <c r="F191" i="6"/>
  <c r="E191" i="6"/>
  <c r="D191" i="6"/>
  <c r="C191" i="6"/>
  <c r="B191" i="6"/>
  <c r="W190" i="6"/>
  <c r="V190" i="6"/>
  <c r="U190" i="6"/>
  <c r="T190" i="6"/>
  <c r="S190" i="6"/>
  <c r="R190" i="6"/>
  <c r="AA189" i="1"/>
  <c r="AD189" i="1"/>
  <c r="Q190" i="6"/>
  <c r="P190" i="6"/>
  <c r="O190" i="6"/>
  <c r="N190" i="6"/>
  <c r="M190" i="6"/>
  <c r="L190" i="6"/>
  <c r="K190" i="6"/>
  <c r="F190" i="6"/>
  <c r="E190" i="6"/>
  <c r="D190" i="6"/>
  <c r="C190" i="6"/>
  <c r="B190" i="6"/>
  <c r="W189" i="6"/>
  <c r="V189" i="6"/>
  <c r="U189" i="6"/>
  <c r="T189" i="6"/>
  <c r="S189" i="6"/>
  <c r="R189" i="6"/>
  <c r="AA188" i="1"/>
  <c r="AD188" i="1"/>
  <c r="Q189" i="6"/>
  <c r="P189" i="6"/>
  <c r="O189" i="6"/>
  <c r="N189" i="6"/>
  <c r="M189" i="6"/>
  <c r="L189" i="6"/>
  <c r="K189" i="6"/>
  <c r="F189" i="6"/>
  <c r="E189" i="6"/>
  <c r="D189" i="6"/>
  <c r="C189" i="6"/>
  <c r="B189" i="6"/>
  <c r="W188" i="6"/>
  <c r="V188" i="6"/>
  <c r="U188" i="6"/>
  <c r="T188" i="6"/>
  <c r="S188" i="6"/>
  <c r="R188" i="6"/>
  <c r="AA187" i="1"/>
  <c r="AD187" i="1"/>
  <c r="Q188" i="6"/>
  <c r="P188" i="6"/>
  <c r="O188" i="6"/>
  <c r="N188" i="6"/>
  <c r="M188" i="6"/>
  <c r="L188" i="6"/>
  <c r="K188" i="6"/>
  <c r="F188" i="6"/>
  <c r="E188" i="6"/>
  <c r="D188" i="6"/>
  <c r="C188" i="6"/>
  <c r="B188" i="6"/>
  <c r="W187" i="6"/>
  <c r="V187" i="6"/>
  <c r="U187" i="6"/>
  <c r="T187" i="6"/>
  <c r="S187" i="6"/>
  <c r="R187" i="6"/>
  <c r="AA186" i="1"/>
  <c r="AD186" i="1"/>
  <c r="Q187" i="6"/>
  <c r="P187" i="6"/>
  <c r="O187" i="6"/>
  <c r="N187" i="6"/>
  <c r="M187" i="6"/>
  <c r="L187" i="6"/>
  <c r="K187" i="6"/>
  <c r="F187" i="6"/>
  <c r="E187" i="6"/>
  <c r="D187" i="6"/>
  <c r="C187" i="6"/>
  <c r="B187" i="6"/>
  <c r="W186" i="6"/>
  <c r="V186" i="6"/>
  <c r="U186" i="6"/>
  <c r="T186" i="6"/>
  <c r="S186" i="6"/>
  <c r="R186" i="6"/>
  <c r="AA185" i="1"/>
  <c r="AD185" i="1"/>
  <c r="Q186" i="6"/>
  <c r="P186" i="6"/>
  <c r="O186" i="6"/>
  <c r="N186" i="6"/>
  <c r="M186" i="6"/>
  <c r="L186" i="6"/>
  <c r="K186" i="6"/>
  <c r="F186" i="6"/>
  <c r="E186" i="6"/>
  <c r="D186" i="6"/>
  <c r="C186" i="6"/>
  <c r="B186" i="6"/>
  <c r="W185" i="6"/>
  <c r="V185" i="6"/>
  <c r="U185" i="6"/>
  <c r="T185" i="6"/>
  <c r="S185" i="6"/>
  <c r="R185" i="6"/>
  <c r="AA184" i="1"/>
  <c r="AD184" i="1"/>
  <c r="Q185" i="6"/>
  <c r="P185" i="6"/>
  <c r="O185" i="6"/>
  <c r="N185" i="6"/>
  <c r="M185" i="6"/>
  <c r="L185" i="6"/>
  <c r="K185" i="6"/>
  <c r="F185" i="6"/>
  <c r="E185" i="6"/>
  <c r="D185" i="6"/>
  <c r="C185" i="6"/>
  <c r="B185" i="6"/>
  <c r="W184" i="6"/>
  <c r="V184" i="6"/>
  <c r="U184" i="6"/>
  <c r="T184" i="6"/>
  <c r="S184" i="6"/>
  <c r="R184" i="6"/>
  <c r="AA183" i="1"/>
  <c r="AD183" i="1"/>
  <c r="Q184" i="6"/>
  <c r="P184" i="6"/>
  <c r="O184" i="6"/>
  <c r="N184" i="6"/>
  <c r="M184" i="6"/>
  <c r="L184" i="6"/>
  <c r="K184" i="6"/>
  <c r="F184" i="6"/>
  <c r="E184" i="6"/>
  <c r="D184" i="6"/>
  <c r="C184" i="6"/>
  <c r="B184" i="6"/>
  <c r="W183" i="6"/>
  <c r="V183" i="6"/>
  <c r="U183" i="6"/>
  <c r="T183" i="6"/>
  <c r="S183" i="6"/>
  <c r="R183" i="6"/>
  <c r="AA182" i="1"/>
  <c r="AD182" i="1"/>
  <c r="Q183" i="6"/>
  <c r="P183" i="6"/>
  <c r="O183" i="6"/>
  <c r="N183" i="6"/>
  <c r="M183" i="6"/>
  <c r="L183" i="6"/>
  <c r="K183" i="6"/>
  <c r="F183" i="6"/>
  <c r="E183" i="6"/>
  <c r="D183" i="6"/>
  <c r="C183" i="6"/>
  <c r="B183" i="6"/>
  <c r="W182" i="6"/>
  <c r="V182" i="6"/>
  <c r="U182" i="6"/>
  <c r="T182" i="6"/>
  <c r="S182" i="6"/>
  <c r="R182" i="6"/>
  <c r="AA181" i="1"/>
  <c r="AD181" i="1"/>
  <c r="Q182" i="6"/>
  <c r="P182" i="6"/>
  <c r="O182" i="6"/>
  <c r="N182" i="6"/>
  <c r="M182" i="6"/>
  <c r="L182" i="6"/>
  <c r="K182" i="6"/>
  <c r="F182" i="6"/>
  <c r="E182" i="6"/>
  <c r="D182" i="6"/>
  <c r="C182" i="6"/>
  <c r="B182" i="6"/>
  <c r="W181" i="6"/>
  <c r="V181" i="6"/>
  <c r="U181" i="6"/>
  <c r="T181" i="6"/>
  <c r="S181" i="6"/>
  <c r="R181" i="6"/>
  <c r="AA180" i="1"/>
  <c r="AD180" i="1"/>
  <c r="Q181" i="6"/>
  <c r="P181" i="6"/>
  <c r="O181" i="6"/>
  <c r="N181" i="6"/>
  <c r="M181" i="6"/>
  <c r="L181" i="6"/>
  <c r="K181" i="6"/>
  <c r="F181" i="6"/>
  <c r="E181" i="6"/>
  <c r="D181" i="6"/>
  <c r="C181" i="6"/>
  <c r="B181" i="6"/>
  <c r="W180" i="6"/>
  <c r="V180" i="6"/>
  <c r="U180" i="6"/>
  <c r="T180" i="6"/>
  <c r="S180" i="6"/>
  <c r="R180" i="6"/>
  <c r="AA179" i="1"/>
  <c r="AD179" i="1"/>
  <c r="Q180" i="6"/>
  <c r="P180" i="6"/>
  <c r="O180" i="6"/>
  <c r="N180" i="6"/>
  <c r="M180" i="6"/>
  <c r="L180" i="6"/>
  <c r="K180" i="6"/>
  <c r="F180" i="6"/>
  <c r="E180" i="6"/>
  <c r="D180" i="6"/>
  <c r="C180" i="6"/>
  <c r="B180" i="6"/>
  <c r="W179" i="6"/>
  <c r="V179" i="6"/>
  <c r="U179" i="6"/>
  <c r="T179" i="6"/>
  <c r="S179" i="6"/>
  <c r="R179" i="6"/>
  <c r="AA178" i="1"/>
  <c r="AD178" i="1"/>
  <c r="Q179" i="6"/>
  <c r="P179" i="6"/>
  <c r="O179" i="6"/>
  <c r="N179" i="6"/>
  <c r="M179" i="6"/>
  <c r="L179" i="6"/>
  <c r="K179" i="6"/>
  <c r="F179" i="6"/>
  <c r="E179" i="6"/>
  <c r="D179" i="6"/>
  <c r="C179" i="6"/>
  <c r="B179" i="6"/>
  <c r="W178" i="6"/>
  <c r="V178" i="6"/>
  <c r="U178" i="6"/>
  <c r="T178" i="6"/>
  <c r="S178" i="6"/>
  <c r="R178" i="6"/>
  <c r="AA177" i="1"/>
  <c r="AD177" i="1"/>
  <c r="Q178" i="6"/>
  <c r="P178" i="6"/>
  <c r="O178" i="6"/>
  <c r="N178" i="6"/>
  <c r="M178" i="6"/>
  <c r="L178" i="6"/>
  <c r="K178" i="6"/>
  <c r="F178" i="6"/>
  <c r="E178" i="6"/>
  <c r="D178" i="6"/>
  <c r="C178" i="6"/>
  <c r="B178" i="6"/>
  <c r="W177" i="6"/>
  <c r="V177" i="6"/>
  <c r="U177" i="6"/>
  <c r="T177" i="6"/>
  <c r="S177" i="6"/>
  <c r="R177" i="6"/>
  <c r="AA176" i="1"/>
  <c r="AD176" i="1"/>
  <c r="Q177" i="6"/>
  <c r="P177" i="6"/>
  <c r="O177" i="6"/>
  <c r="N177" i="6"/>
  <c r="M177" i="6"/>
  <c r="L177" i="6"/>
  <c r="K177" i="6"/>
  <c r="F177" i="6"/>
  <c r="E177" i="6"/>
  <c r="D177" i="6"/>
  <c r="C177" i="6"/>
  <c r="B177" i="6"/>
  <c r="W176" i="6"/>
  <c r="V176" i="6"/>
  <c r="U176" i="6"/>
  <c r="T176" i="6"/>
  <c r="S176" i="6"/>
  <c r="R176" i="6"/>
  <c r="AA175" i="1"/>
  <c r="AD175" i="1"/>
  <c r="Q176" i="6"/>
  <c r="P176" i="6"/>
  <c r="O176" i="6"/>
  <c r="N176" i="6"/>
  <c r="M176" i="6"/>
  <c r="L176" i="6"/>
  <c r="K176" i="6"/>
  <c r="F176" i="6"/>
  <c r="E176" i="6"/>
  <c r="D176" i="6"/>
  <c r="C176" i="6"/>
  <c r="B176" i="6"/>
  <c r="W175" i="6"/>
  <c r="V175" i="6"/>
  <c r="U175" i="6"/>
  <c r="T175" i="6"/>
  <c r="S175" i="6"/>
  <c r="R175" i="6"/>
  <c r="AA174" i="1"/>
  <c r="AD174" i="1"/>
  <c r="Q175" i="6"/>
  <c r="P175" i="6"/>
  <c r="O175" i="6"/>
  <c r="N175" i="6"/>
  <c r="M175" i="6"/>
  <c r="L175" i="6"/>
  <c r="K175" i="6"/>
  <c r="F175" i="6"/>
  <c r="E175" i="6"/>
  <c r="D175" i="6"/>
  <c r="C175" i="6"/>
  <c r="B175" i="6"/>
  <c r="W174" i="6"/>
  <c r="V174" i="6"/>
  <c r="U174" i="6"/>
  <c r="T174" i="6"/>
  <c r="S174" i="6"/>
  <c r="R174" i="6"/>
  <c r="AA173" i="1"/>
  <c r="AD173" i="1"/>
  <c r="Q174" i="6"/>
  <c r="P174" i="6"/>
  <c r="O174" i="6"/>
  <c r="N174" i="6"/>
  <c r="M174" i="6"/>
  <c r="L174" i="6"/>
  <c r="K174" i="6"/>
  <c r="F174" i="6"/>
  <c r="E174" i="6"/>
  <c r="D174" i="6"/>
  <c r="C174" i="6"/>
  <c r="B174" i="6"/>
  <c r="W173" i="6"/>
  <c r="V173" i="6"/>
  <c r="U173" i="6"/>
  <c r="T173" i="6"/>
  <c r="S173" i="6"/>
  <c r="R173" i="6"/>
  <c r="AA172" i="1"/>
  <c r="AD172" i="1"/>
  <c r="Q173" i="6"/>
  <c r="P173" i="6"/>
  <c r="O173" i="6"/>
  <c r="N173" i="6"/>
  <c r="M173" i="6"/>
  <c r="L173" i="6"/>
  <c r="K173" i="6"/>
  <c r="F173" i="6"/>
  <c r="E173" i="6"/>
  <c r="D173" i="6"/>
  <c r="C173" i="6"/>
  <c r="B173" i="6"/>
  <c r="W172" i="6"/>
  <c r="V172" i="6"/>
  <c r="U172" i="6"/>
  <c r="T172" i="6"/>
  <c r="S172" i="6"/>
  <c r="R172" i="6"/>
  <c r="AA171" i="1"/>
  <c r="AD171" i="1"/>
  <c r="Q172" i="6"/>
  <c r="P172" i="6"/>
  <c r="O172" i="6"/>
  <c r="N172" i="6"/>
  <c r="M172" i="6"/>
  <c r="L172" i="6"/>
  <c r="K172" i="6"/>
  <c r="F172" i="6"/>
  <c r="E172" i="6"/>
  <c r="D172" i="6"/>
  <c r="C172" i="6"/>
  <c r="B172" i="6"/>
  <c r="W171" i="6"/>
  <c r="V171" i="6"/>
  <c r="U171" i="6"/>
  <c r="T171" i="6"/>
  <c r="S171" i="6"/>
  <c r="R171" i="6"/>
  <c r="AA170" i="1"/>
  <c r="AD170" i="1"/>
  <c r="Q171" i="6"/>
  <c r="P171" i="6"/>
  <c r="O171" i="6"/>
  <c r="N171" i="6"/>
  <c r="M171" i="6"/>
  <c r="L171" i="6"/>
  <c r="K171" i="6"/>
  <c r="F171" i="6"/>
  <c r="E171" i="6"/>
  <c r="D171" i="6"/>
  <c r="C171" i="6"/>
  <c r="B171" i="6"/>
  <c r="W170" i="6"/>
  <c r="V170" i="6"/>
  <c r="U170" i="6"/>
  <c r="T170" i="6"/>
  <c r="S170" i="6"/>
  <c r="R170" i="6"/>
  <c r="AA169" i="1"/>
  <c r="AD169" i="1"/>
  <c r="Q170" i="6"/>
  <c r="P170" i="6"/>
  <c r="O170" i="6"/>
  <c r="N170" i="6"/>
  <c r="M170" i="6"/>
  <c r="L170" i="6"/>
  <c r="K170" i="6"/>
  <c r="F170" i="6"/>
  <c r="E170" i="6"/>
  <c r="D170" i="6"/>
  <c r="C170" i="6"/>
  <c r="B170" i="6"/>
  <c r="W169" i="6"/>
  <c r="V169" i="6"/>
  <c r="U169" i="6"/>
  <c r="T169" i="6"/>
  <c r="S169" i="6"/>
  <c r="R169" i="6"/>
  <c r="AA168" i="1"/>
  <c r="AD168" i="1"/>
  <c r="Q169" i="6"/>
  <c r="P169" i="6"/>
  <c r="O169" i="6"/>
  <c r="N169" i="6"/>
  <c r="M169" i="6"/>
  <c r="L169" i="6"/>
  <c r="K169" i="6"/>
  <c r="F169" i="6"/>
  <c r="E169" i="6"/>
  <c r="D169" i="6"/>
  <c r="C169" i="6"/>
  <c r="B169" i="6"/>
  <c r="W168" i="6"/>
  <c r="V168" i="6"/>
  <c r="U168" i="6"/>
  <c r="T168" i="6"/>
  <c r="S168" i="6"/>
  <c r="R168" i="6"/>
  <c r="AA167" i="1"/>
  <c r="AD167" i="1"/>
  <c r="Q168" i="6"/>
  <c r="P168" i="6"/>
  <c r="O168" i="6"/>
  <c r="N168" i="6"/>
  <c r="M168" i="6"/>
  <c r="L168" i="6"/>
  <c r="K168" i="6"/>
  <c r="F168" i="6"/>
  <c r="E168" i="6"/>
  <c r="D168" i="6"/>
  <c r="C168" i="6"/>
  <c r="B168" i="6"/>
  <c r="W167" i="6"/>
  <c r="V167" i="6"/>
  <c r="U167" i="6"/>
  <c r="T167" i="6"/>
  <c r="S167" i="6"/>
  <c r="R167" i="6"/>
  <c r="AA166" i="1"/>
  <c r="AD166" i="1"/>
  <c r="Q167" i="6"/>
  <c r="P167" i="6"/>
  <c r="O167" i="6"/>
  <c r="N167" i="6"/>
  <c r="M167" i="6"/>
  <c r="L167" i="6"/>
  <c r="K167" i="6"/>
  <c r="F167" i="6"/>
  <c r="E167" i="6"/>
  <c r="D167" i="6"/>
  <c r="C167" i="6"/>
  <c r="B167" i="6"/>
  <c r="W166" i="6"/>
  <c r="V166" i="6"/>
  <c r="U166" i="6"/>
  <c r="T166" i="6"/>
  <c r="S166" i="6"/>
  <c r="R166" i="6"/>
  <c r="AA165" i="1"/>
  <c r="AD165" i="1"/>
  <c r="Q166" i="6"/>
  <c r="P166" i="6"/>
  <c r="O166" i="6"/>
  <c r="N166" i="6"/>
  <c r="M166" i="6"/>
  <c r="L166" i="6"/>
  <c r="K166" i="6"/>
  <c r="F166" i="6"/>
  <c r="E166" i="6"/>
  <c r="D166" i="6"/>
  <c r="C166" i="6"/>
  <c r="B166" i="6"/>
  <c r="W165" i="6"/>
  <c r="V165" i="6"/>
  <c r="U165" i="6"/>
  <c r="T165" i="6"/>
  <c r="S165" i="6"/>
  <c r="R165" i="6"/>
  <c r="AA164" i="1"/>
  <c r="AD164" i="1"/>
  <c r="Q165" i="6"/>
  <c r="P165" i="6"/>
  <c r="O165" i="6"/>
  <c r="N165" i="6"/>
  <c r="M165" i="6"/>
  <c r="L165" i="6"/>
  <c r="K165" i="6"/>
  <c r="F165" i="6"/>
  <c r="E165" i="6"/>
  <c r="D165" i="6"/>
  <c r="C165" i="6"/>
  <c r="B165" i="6"/>
  <c r="W164" i="6"/>
  <c r="V164" i="6"/>
  <c r="U164" i="6"/>
  <c r="T164" i="6"/>
  <c r="S164" i="6"/>
  <c r="R164" i="6"/>
  <c r="AA163" i="1"/>
  <c r="AD163" i="1"/>
  <c r="Q164" i="6"/>
  <c r="P164" i="6"/>
  <c r="O164" i="6"/>
  <c r="N164" i="6"/>
  <c r="M164" i="6"/>
  <c r="L164" i="6"/>
  <c r="K164" i="6"/>
  <c r="F164" i="6"/>
  <c r="E164" i="6"/>
  <c r="D164" i="6"/>
  <c r="C164" i="6"/>
  <c r="B164" i="6"/>
  <c r="W163" i="6"/>
  <c r="V163" i="6"/>
  <c r="U163" i="6"/>
  <c r="T163" i="6"/>
  <c r="S163" i="6"/>
  <c r="R163" i="6"/>
  <c r="AA162" i="1"/>
  <c r="AD162" i="1"/>
  <c r="Q163" i="6"/>
  <c r="P163" i="6"/>
  <c r="O163" i="6"/>
  <c r="N163" i="6"/>
  <c r="M163" i="6"/>
  <c r="L163" i="6"/>
  <c r="K163" i="6"/>
  <c r="F163" i="6"/>
  <c r="E163" i="6"/>
  <c r="D163" i="6"/>
  <c r="C163" i="6"/>
  <c r="B163" i="6"/>
  <c r="W162" i="6"/>
  <c r="V162" i="6"/>
  <c r="U162" i="6"/>
  <c r="T162" i="6"/>
  <c r="S162" i="6"/>
  <c r="R162" i="6"/>
  <c r="AA161" i="1"/>
  <c r="AD161" i="1"/>
  <c r="Q162" i="6"/>
  <c r="P162" i="6"/>
  <c r="O162" i="6"/>
  <c r="N162" i="6"/>
  <c r="M162" i="6"/>
  <c r="L162" i="6"/>
  <c r="K162" i="6"/>
  <c r="F162" i="6"/>
  <c r="E162" i="6"/>
  <c r="D162" i="6"/>
  <c r="C162" i="6"/>
  <c r="B162" i="6"/>
  <c r="W161" i="6"/>
  <c r="V161" i="6"/>
  <c r="U161" i="6"/>
  <c r="T161" i="6"/>
  <c r="S161" i="6"/>
  <c r="R161" i="6"/>
  <c r="AA160" i="1"/>
  <c r="AD160" i="1"/>
  <c r="Q161" i="6"/>
  <c r="P161" i="6"/>
  <c r="O161" i="6"/>
  <c r="N161" i="6"/>
  <c r="M161" i="6"/>
  <c r="L161" i="6"/>
  <c r="K161" i="6"/>
  <c r="F161" i="6"/>
  <c r="E161" i="6"/>
  <c r="D161" i="6"/>
  <c r="C161" i="6"/>
  <c r="B161" i="6"/>
  <c r="W160" i="6"/>
  <c r="V160" i="6"/>
  <c r="U160" i="6"/>
  <c r="T160" i="6"/>
  <c r="S160" i="6"/>
  <c r="R160" i="6"/>
  <c r="AA159" i="1"/>
  <c r="AD159" i="1"/>
  <c r="Q160" i="6"/>
  <c r="P160" i="6"/>
  <c r="O160" i="6"/>
  <c r="N160" i="6"/>
  <c r="M160" i="6"/>
  <c r="L160" i="6"/>
  <c r="K160" i="6"/>
  <c r="F160" i="6"/>
  <c r="E160" i="6"/>
  <c r="D160" i="6"/>
  <c r="C160" i="6"/>
  <c r="B160" i="6"/>
  <c r="W159" i="6"/>
  <c r="V159" i="6"/>
  <c r="U159" i="6"/>
  <c r="T159" i="6"/>
  <c r="S159" i="6"/>
  <c r="R159" i="6"/>
  <c r="AA158" i="1"/>
  <c r="AD158" i="1"/>
  <c r="Q159" i="6"/>
  <c r="P159" i="6"/>
  <c r="O159" i="6"/>
  <c r="N159" i="6"/>
  <c r="M159" i="6"/>
  <c r="L159" i="6"/>
  <c r="K159" i="6"/>
  <c r="F159" i="6"/>
  <c r="E159" i="6"/>
  <c r="D159" i="6"/>
  <c r="C159" i="6"/>
  <c r="B159" i="6"/>
  <c r="W158" i="6"/>
  <c r="V158" i="6"/>
  <c r="U158" i="6"/>
  <c r="T158" i="6"/>
  <c r="S158" i="6"/>
  <c r="R158" i="6"/>
  <c r="AA157" i="1"/>
  <c r="AD157" i="1"/>
  <c r="Q158" i="6"/>
  <c r="P158" i="6"/>
  <c r="O158" i="6"/>
  <c r="N158" i="6"/>
  <c r="M158" i="6"/>
  <c r="L158" i="6"/>
  <c r="K158" i="6"/>
  <c r="F158" i="6"/>
  <c r="E158" i="6"/>
  <c r="D158" i="6"/>
  <c r="C158" i="6"/>
  <c r="B158" i="6"/>
  <c r="W157" i="6"/>
  <c r="V157" i="6"/>
  <c r="U157" i="6"/>
  <c r="T157" i="6"/>
  <c r="S157" i="6"/>
  <c r="R157" i="6"/>
  <c r="AA156" i="1"/>
  <c r="AD156" i="1"/>
  <c r="Q157" i="6"/>
  <c r="P157" i="6"/>
  <c r="O157" i="6"/>
  <c r="N157" i="6"/>
  <c r="M157" i="6"/>
  <c r="L157" i="6"/>
  <c r="K157" i="6"/>
  <c r="F157" i="6"/>
  <c r="E157" i="6"/>
  <c r="D157" i="6"/>
  <c r="C157" i="6"/>
  <c r="B157" i="6"/>
  <c r="W156" i="6"/>
  <c r="V156" i="6"/>
  <c r="U156" i="6"/>
  <c r="T156" i="6"/>
  <c r="S156" i="6"/>
  <c r="R156" i="6"/>
  <c r="AA155" i="1"/>
  <c r="AD155" i="1"/>
  <c r="Q156" i="6"/>
  <c r="P156" i="6"/>
  <c r="O156" i="6"/>
  <c r="N156" i="6"/>
  <c r="M156" i="6"/>
  <c r="L156" i="6"/>
  <c r="K156" i="6"/>
  <c r="F156" i="6"/>
  <c r="E156" i="6"/>
  <c r="D156" i="6"/>
  <c r="C156" i="6"/>
  <c r="B156" i="6"/>
  <c r="W155" i="6"/>
  <c r="V155" i="6"/>
  <c r="U155" i="6"/>
  <c r="T155" i="6"/>
  <c r="S155" i="6"/>
  <c r="R155" i="6"/>
  <c r="AA154" i="1"/>
  <c r="AD154" i="1"/>
  <c r="Q155" i="6"/>
  <c r="P155" i="6"/>
  <c r="O155" i="6"/>
  <c r="N155" i="6"/>
  <c r="M155" i="6"/>
  <c r="L155" i="6"/>
  <c r="K155" i="6"/>
  <c r="F155" i="6"/>
  <c r="E155" i="6"/>
  <c r="D155" i="6"/>
  <c r="C155" i="6"/>
  <c r="B155" i="6"/>
  <c r="W154" i="6"/>
  <c r="V154" i="6"/>
  <c r="U154" i="6"/>
  <c r="T154" i="6"/>
  <c r="S154" i="6"/>
  <c r="R154" i="6"/>
  <c r="AA153" i="1"/>
  <c r="AD153" i="1"/>
  <c r="Q154" i="6"/>
  <c r="P154" i="6"/>
  <c r="O154" i="6"/>
  <c r="N154" i="6"/>
  <c r="M154" i="6"/>
  <c r="L154" i="6"/>
  <c r="K154" i="6"/>
  <c r="F154" i="6"/>
  <c r="E154" i="6"/>
  <c r="D154" i="6"/>
  <c r="C154" i="6"/>
  <c r="B154" i="6"/>
  <c r="W153" i="6"/>
  <c r="V153" i="6"/>
  <c r="U153" i="6"/>
  <c r="T153" i="6"/>
  <c r="S153" i="6"/>
  <c r="R153" i="6"/>
  <c r="AA152" i="1"/>
  <c r="AD152" i="1"/>
  <c r="Q153" i="6"/>
  <c r="P153" i="6"/>
  <c r="O153" i="6"/>
  <c r="N153" i="6"/>
  <c r="M153" i="6"/>
  <c r="L153" i="6"/>
  <c r="K153" i="6"/>
  <c r="F153" i="6"/>
  <c r="E153" i="6"/>
  <c r="D153" i="6"/>
  <c r="C153" i="6"/>
  <c r="B153" i="6"/>
  <c r="W152" i="6"/>
  <c r="V152" i="6"/>
  <c r="U152" i="6"/>
  <c r="T152" i="6"/>
  <c r="S152" i="6"/>
  <c r="R152" i="6"/>
  <c r="AA151" i="1"/>
  <c r="AD151" i="1"/>
  <c r="Q152" i="6"/>
  <c r="P152" i="6"/>
  <c r="O152" i="6"/>
  <c r="N152" i="6"/>
  <c r="M152" i="6"/>
  <c r="L152" i="6"/>
  <c r="K152" i="6"/>
  <c r="F152" i="6"/>
  <c r="E152" i="6"/>
  <c r="D152" i="6"/>
  <c r="C152" i="6"/>
  <c r="B152" i="6"/>
  <c r="W151" i="6"/>
  <c r="V151" i="6"/>
  <c r="U151" i="6"/>
  <c r="T151" i="6"/>
  <c r="S151" i="6"/>
  <c r="R151" i="6"/>
  <c r="AA150" i="1"/>
  <c r="AD150" i="1"/>
  <c r="Q151" i="6"/>
  <c r="P151" i="6"/>
  <c r="O151" i="6"/>
  <c r="N151" i="6"/>
  <c r="M151" i="6"/>
  <c r="L151" i="6"/>
  <c r="K151" i="6"/>
  <c r="F151" i="6"/>
  <c r="E151" i="6"/>
  <c r="D151" i="6"/>
  <c r="C151" i="6"/>
  <c r="B151" i="6"/>
  <c r="W150" i="6"/>
  <c r="V150" i="6"/>
  <c r="U150" i="6"/>
  <c r="T150" i="6"/>
  <c r="S150" i="6"/>
  <c r="R150" i="6"/>
  <c r="AA149" i="1"/>
  <c r="AD149" i="1"/>
  <c r="Q150" i="6"/>
  <c r="P150" i="6"/>
  <c r="O150" i="6"/>
  <c r="N150" i="6"/>
  <c r="M150" i="6"/>
  <c r="L150" i="6"/>
  <c r="K150" i="6"/>
  <c r="F150" i="6"/>
  <c r="E150" i="6"/>
  <c r="D150" i="6"/>
  <c r="C150" i="6"/>
  <c r="B150" i="6"/>
  <c r="W149" i="6"/>
  <c r="V149" i="6"/>
  <c r="U149" i="6"/>
  <c r="T149" i="6"/>
  <c r="S149" i="6"/>
  <c r="R149" i="6"/>
  <c r="AA148" i="1"/>
  <c r="AD148" i="1"/>
  <c r="Q149" i="6"/>
  <c r="P149" i="6"/>
  <c r="O149" i="6"/>
  <c r="N149" i="6"/>
  <c r="M149" i="6"/>
  <c r="L149" i="6"/>
  <c r="K149" i="6"/>
  <c r="F149" i="6"/>
  <c r="E149" i="6"/>
  <c r="D149" i="6"/>
  <c r="C149" i="6"/>
  <c r="B149" i="6"/>
  <c r="W148" i="6"/>
  <c r="V148" i="6"/>
  <c r="U148" i="6"/>
  <c r="T148" i="6"/>
  <c r="S148" i="6"/>
  <c r="R148" i="6"/>
  <c r="AA147" i="1"/>
  <c r="AD147" i="1"/>
  <c r="Q148" i="6"/>
  <c r="P148" i="6"/>
  <c r="O148" i="6"/>
  <c r="N148" i="6"/>
  <c r="M148" i="6"/>
  <c r="L148" i="6"/>
  <c r="K148" i="6"/>
  <c r="F148" i="6"/>
  <c r="E148" i="6"/>
  <c r="D148" i="6"/>
  <c r="C148" i="6"/>
  <c r="B148" i="6"/>
  <c r="W147" i="6"/>
  <c r="V147" i="6"/>
  <c r="U147" i="6"/>
  <c r="T147" i="6"/>
  <c r="S147" i="6"/>
  <c r="R147" i="6"/>
  <c r="AA146" i="1"/>
  <c r="AD146" i="1"/>
  <c r="Q147" i="6"/>
  <c r="P147" i="6"/>
  <c r="O147" i="6"/>
  <c r="N147" i="6"/>
  <c r="M147" i="6"/>
  <c r="L147" i="6"/>
  <c r="K147" i="6"/>
  <c r="F147" i="6"/>
  <c r="E147" i="6"/>
  <c r="D147" i="6"/>
  <c r="C147" i="6"/>
  <c r="B147" i="6"/>
  <c r="W146" i="6"/>
  <c r="V146" i="6"/>
  <c r="U146" i="6"/>
  <c r="T146" i="6"/>
  <c r="S146" i="6"/>
  <c r="R146" i="6"/>
  <c r="AA145" i="1"/>
  <c r="AD145" i="1"/>
  <c r="Q146" i="6"/>
  <c r="P146" i="6"/>
  <c r="O146" i="6"/>
  <c r="N146" i="6"/>
  <c r="M146" i="6"/>
  <c r="L146" i="6"/>
  <c r="K146" i="6"/>
  <c r="F146" i="6"/>
  <c r="E146" i="6"/>
  <c r="D146" i="6"/>
  <c r="C146" i="6"/>
  <c r="B146" i="6"/>
  <c r="W145" i="6"/>
  <c r="V145" i="6"/>
  <c r="U145" i="6"/>
  <c r="T145" i="6"/>
  <c r="S145" i="6"/>
  <c r="R145" i="6"/>
  <c r="AA144" i="1"/>
  <c r="AD144" i="1"/>
  <c r="Q145" i="6"/>
  <c r="P145" i="6"/>
  <c r="O145" i="6"/>
  <c r="N145" i="6"/>
  <c r="M145" i="6"/>
  <c r="L145" i="6"/>
  <c r="K145" i="6"/>
  <c r="F145" i="6"/>
  <c r="E145" i="6"/>
  <c r="D145" i="6"/>
  <c r="C145" i="6"/>
  <c r="B145" i="6"/>
  <c r="W144" i="6"/>
  <c r="V144" i="6"/>
  <c r="U144" i="6"/>
  <c r="T144" i="6"/>
  <c r="S144" i="6"/>
  <c r="R144" i="6"/>
  <c r="AA143" i="1"/>
  <c r="AD143" i="1"/>
  <c r="Q144" i="6"/>
  <c r="P144" i="6"/>
  <c r="O144" i="6"/>
  <c r="N144" i="6"/>
  <c r="M144" i="6"/>
  <c r="L144" i="6"/>
  <c r="K144" i="6"/>
  <c r="F144" i="6"/>
  <c r="E144" i="6"/>
  <c r="D144" i="6"/>
  <c r="C144" i="6"/>
  <c r="B144" i="6"/>
  <c r="W143" i="6"/>
  <c r="V143" i="6"/>
  <c r="U143" i="6"/>
  <c r="T143" i="6"/>
  <c r="S143" i="6"/>
  <c r="R143" i="6"/>
  <c r="AA142" i="1"/>
  <c r="AD142" i="1"/>
  <c r="Q143" i="6"/>
  <c r="P143" i="6"/>
  <c r="O143" i="6"/>
  <c r="N143" i="6"/>
  <c r="M143" i="6"/>
  <c r="L143" i="6"/>
  <c r="K143" i="6"/>
  <c r="F143" i="6"/>
  <c r="E143" i="6"/>
  <c r="D143" i="6"/>
  <c r="C143" i="6"/>
  <c r="B143" i="6"/>
  <c r="W142" i="6"/>
  <c r="V142" i="6"/>
  <c r="U142" i="6"/>
  <c r="T142" i="6"/>
  <c r="S142" i="6"/>
  <c r="R142" i="6"/>
  <c r="AA141" i="1"/>
  <c r="AD141" i="1"/>
  <c r="Q142" i="6"/>
  <c r="P142" i="6"/>
  <c r="O142" i="6"/>
  <c r="N142" i="6"/>
  <c r="M142" i="6"/>
  <c r="L142" i="6"/>
  <c r="K142" i="6"/>
  <c r="F142" i="6"/>
  <c r="E142" i="6"/>
  <c r="D142" i="6"/>
  <c r="C142" i="6"/>
  <c r="B142" i="6"/>
  <c r="W141" i="6"/>
  <c r="V141" i="6"/>
  <c r="U141" i="6"/>
  <c r="T141" i="6"/>
  <c r="S141" i="6"/>
  <c r="R141" i="6"/>
  <c r="AA140" i="1"/>
  <c r="AD140" i="1"/>
  <c r="Q141" i="6"/>
  <c r="P141" i="6"/>
  <c r="O141" i="6"/>
  <c r="N141" i="6"/>
  <c r="M141" i="6"/>
  <c r="L141" i="6"/>
  <c r="K141" i="6"/>
  <c r="F141" i="6"/>
  <c r="E141" i="6"/>
  <c r="D141" i="6"/>
  <c r="C141" i="6"/>
  <c r="B141" i="6"/>
  <c r="W140" i="6"/>
  <c r="V140" i="6"/>
  <c r="U140" i="6"/>
  <c r="T140" i="6"/>
  <c r="S140" i="6"/>
  <c r="R140" i="6"/>
  <c r="AA139" i="1"/>
  <c r="AD139" i="1"/>
  <c r="Q140" i="6"/>
  <c r="P140" i="6"/>
  <c r="O140" i="6"/>
  <c r="N140" i="6"/>
  <c r="M140" i="6"/>
  <c r="L140" i="6"/>
  <c r="K140" i="6"/>
  <c r="F140" i="6"/>
  <c r="E140" i="6"/>
  <c r="D140" i="6"/>
  <c r="C140" i="6"/>
  <c r="B140" i="6"/>
  <c r="W139" i="6"/>
  <c r="V139" i="6"/>
  <c r="U139" i="6"/>
  <c r="T139" i="6"/>
  <c r="S139" i="6"/>
  <c r="R139" i="6"/>
  <c r="AA138" i="1"/>
  <c r="AD138" i="1"/>
  <c r="Q139" i="6"/>
  <c r="P139" i="6"/>
  <c r="O139" i="6"/>
  <c r="N139" i="6"/>
  <c r="M139" i="6"/>
  <c r="L139" i="6"/>
  <c r="K139" i="6"/>
  <c r="F139" i="6"/>
  <c r="E139" i="6"/>
  <c r="D139" i="6"/>
  <c r="C139" i="6"/>
  <c r="B139" i="6"/>
  <c r="W138" i="6"/>
  <c r="V138" i="6"/>
  <c r="U138" i="6"/>
  <c r="T138" i="6"/>
  <c r="S138" i="6"/>
  <c r="R138" i="6"/>
  <c r="AA137" i="1"/>
  <c r="AD137" i="1"/>
  <c r="Q138" i="6"/>
  <c r="P138" i="6"/>
  <c r="O138" i="6"/>
  <c r="N138" i="6"/>
  <c r="M138" i="6"/>
  <c r="L138" i="6"/>
  <c r="K138" i="6"/>
  <c r="F138" i="6"/>
  <c r="E138" i="6"/>
  <c r="D138" i="6"/>
  <c r="C138" i="6"/>
  <c r="B138" i="6"/>
  <c r="W137" i="6"/>
  <c r="V137" i="6"/>
  <c r="U137" i="6"/>
  <c r="T137" i="6"/>
  <c r="S137" i="6"/>
  <c r="R137" i="6"/>
  <c r="AA136" i="1"/>
  <c r="AD136" i="1"/>
  <c r="Q137" i="6"/>
  <c r="P137" i="6"/>
  <c r="O137" i="6"/>
  <c r="N137" i="6"/>
  <c r="M137" i="6"/>
  <c r="L137" i="6"/>
  <c r="K137" i="6"/>
  <c r="F137" i="6"/>
  <c r="E137" i="6"/>
  <c r="D137" i="6"/>
  <c r="C137" i="6"/>
  <c r="B137" i="6"/>
  <c r="W136" i="6"/>
  <c r="V136" i="6"/>
  <c r="U136" i="6"/>
  <c r="T136" i="6"/>
  <c r="S136" i="6"/>
  <c r="R136" i="6"/>
  <c r="AA135" i="1"/>
  <c r="AD135" i="1"/>
  <c r="Q136" i="6"/>
  <c r="P136" i="6"/>
  <c r="O136" i="6"/>
  <c r="N136" i="6"/>
  <c r="M136" i="6"/>
  <c r="L136" i="6"/>
  <c r="K136" i="6"/>
  <c r="F136" i="6"/>
  <c r="E136" i="6"/>
  <c r="D136" i="6"/>
  <c r="C136" i="6"/>
  <c r="B136" i="6"/>
  <c r="W135" i="6"/>
  <c r="V135" i="6"/>
  <c r="U135" i="6"/>
  <c r="T135" i="6"/>
  <c r="S135" i="6"/>
  <c r="R135" i="6"/>
  <c r="AA134" i="1"/>
  <c r="AD134" i="1"/>
  <c r="Q135" i="6"/>
  <c r="P135" i="6"/>
  <c r="O135" i="6"/>
  <c r="N135" i="6"/>
  <c r="M135" i="6"/>
  <c r="L135" i="6"/>
  <c r="K135" i="6"/>
  <c r="F135" i="6"/>
  <c r="E135" i="6"/>
  <c r="D135" i="6"/>
  <c r="C135" i="6"/>
  <c r="B135" i="6"/>
  <c r="W134" i="6"/>
  <c r="V134" i="6"/>
  <c r="U134" i="6"/>
  <c r="T134" i="6"/>
  <c r="S134" i="6"/>
  <c r="R134" i="6"/>
  <c r="AA133" i="1"/>
  <c r="AD133" i="1"/>
  <c r="Q134" i="6"/>
  <c r="P134" i="6"/>
  <c r="O134" i="6"/>
  <c r="N134" i="6"/>
  <c r="M134" i="6"/>
  <c r="L134" i="6"/>
  <c r="K134" i="6"/>
  <c r="F134" i="6"/>
  <c r="E134" i="6"/>
  <c r="D134" i="6"/>
  <c r="C134" i="6"/>
  <c r="B134" i="6"/>
  <c r="W133" i="6"/>
  <c r="V133" i="6"/>
  <c r="U133" i="6"/>
  <c r="T133" i="6"/>
  <c r="S133" i="6"/>
  <c r="R133" i="6"/>
  <c r="AA132" i="1"/>
  <c r="AD132" i="1"/>
  <c r="Q133" i="6"/>
  <c r="P133" i="6"/>
  <c r="O133" i="6"/>
  <c r="N133" i="6"/>
  <c r="M133" i="6"/>
  <c r="L133" i="6"/>
  <c r="K133" i="6"/>
  <c r="F133" i="6"/>
  <c r="E133" i="6"/>
  <c r="D133" i="6"/>
  <c r="C133" i="6"/>
  <c r="B133" i="6"/>
  <c r="W132" i="6"/>
  <c r="V132" i="6"/>
  <c r="U132" i="6"/>
  <c r="T132" i="6"/>
  <c r="S132" i="6"/>
  <c r="R132" i="6"/>
  <c r="AA131" i="1"/>
  <c r="AD131" i="1"/>
  <c r="Q132" i="6"/>
  <c r="P132" i="6"/>
  <c r="O132" i="6"/>
  <c r="N132" i="6"/>
  <c r="M132" i="6"/>
  <c r="L132" i="6"/>
  <c r="K132" i="6"/>
  <c r="F132" i="6"/>
  <c r="E132" i="6"/>
  <c r="D132" i="6"/>
  <c r="C132" i="6"/>
  <c r="B132" i="6"/>
  <c r="W131" i="6"/>
  <c r="V131" i="6"/>
  <c r="U131" i="6"/>
  <c r="T131" i="6"/>
  <c r="S131" i="6"/>
  <c r="R131" i="6"/>
  <c r="AA130" i="1"/>
  <c r="AD130" i="1"/>
  <c r="Q131" i="6"/>
  <c r="P131" i="6"/>
  <c r="O131" i="6"/>
  <c r="N131" i="6"/>
  <c r="M131" i="6"/>
  <c r="L131" i="6"/>
  <c r="K131" i="6"/>
  <c r="F131" i="6"/>
  <c r="E131" i="6"/>
  <c r="D131" i="6"/>
  <c r="C131" i="6"/>
  <c r="B131" i="6"/>
  <c r="W130" i="6"/>
  <c r="V130" i="6"/>
  <c r="U130" i="6"/>
  <c r="T130" i="6"/>
  <c r="S130" i="6"/>
  <c r="R130" i="6"/>
  <c r="AA129" i="1"/>
  <c r="AD129" i="1"/>
  <c r="Q130" i="6"/>
  <c r="P130" i="6"/>
  <c r="O130" i="6"/>
  <c r="N130" i="6"/>
  <c r="M130" i="6"/>
  <c r="L130" i="6"/>
  <c r="K130" i="6"/>
  <c r="F130" i="6"/>
  <c r="E130" i="6"/>
  <c r="D130" i="6"/>
  <c r="C130" i="6"/>
  <c r="B130" i="6"/>
  <c r="W129" i="6"/>
  <c r="V129" i="6"/>
  <c r="U129" i="6"/>
  <c r="T129" i="6"/>
  <c r="S129" i="6"/>
  <c r="R129" i="6"/>
  <c r="AA128" i="1"/>
  <c r="AD128" i="1"/>
  <c r="Q129" i="6"/>
  <c r="P129" i="6"/>
  <c r="O129" i="6"/>
  <c r="N129" i="6"/>
  <c r="M129" i="6"/>
  <c r="L129" i="6"/>
  <c r="K129" i="6"/>
  <c r="F129" i="6"/>
  <c r="E129" i="6"/>
  <c r="D129" i="6"/>
  <c r="C129" i="6"/>
  <c r="B129" i="6"/>
  <c r="W128" i="6"/>
  <c r="V128" i="6"/>
  <c r="U128" i="6"/>
  <c r="T128" i="6"/>
  <c r="S128" i="6"/>
  <c r="R128" i="6"/>
  <c r="AA127" i="1"/>
  <c r="AD127" i="1"/>
  <c r="Q128" i="6"/>
  <c r="P128" i="6"/>
  <c r="O128" i="6"/>
  <c r="N128" i="6"/>
  <c r="M128" i="6"/>
  <c r="L128" i="6"/>
  <c r="K128" i="6"/>
  <c r="F128" i="6"/>
  <c r="E128" i="6"/>
  <c r="D128" i="6"/>
  <c r="C128" i="6"/>
  <c r="B128" i="6"/>
  <c r="W127" i="6"/>
  <c r="V127" i="6"/>
  <c r="U127" i="6"/>
  <c r="T127" i="6"/>
  <c r="S127" i="6"/>
  <c r="R127" i="6"/>
  <c r="AA126" i="1"/>
  <c r="AD126" i="1"/>
  <c r="Q127" i="6"/>
  <c r="P127" i="6"/>
  <c r="O127" i="6"/>
  <c r="N127" i="6"/>
  <c r="M127" i="6"/>
  <c r="L127" i="6"/>
  <c r="K127" i="6"/>
  <c r="F127" i="6"/>
  <c r="E127" i="6"/>
  <c r="D127" i="6"/>
  <c r="C127" i="6"/>
  <c r="B127" i="6"/>
  <c r="W126" i="6"/>
  <c r="V126" i="6"/>
  <c r="U126" i="6"/>
  <c r="T126" i="6"/>
  <c r="S126" i="6"/>
  <c r="R126" i="6"/>
  <c r="AA125" i="1"/>
  <c r="AD125" i="1"/>
  <c r="Q126" i="6"/>
  <c r="P126" i="6"/>
  <c r="O126" i="6"/>
  <c r="N126" i="6"/>
  <c r="M126" i="6"/>
  <c r="L126" i="6"/>
  <c r="K126" i="6"/>
  <c r="F126" i="6"/>
  <c r="E126" i="6"/>
  <c r="D126" i="6"/>
  <c r="C126" i="6"/>
  <c r="B126" i="6"/>
  <c r="W125" i="6"/>
  <c r="V125" i="6"/>
  <c r="U125" i="6"/>
  <c r="T125" i="6"/>
  <c r="S125" i="6"/>
  <c r="R125" i="6"/>
  <c r="AA124" i="1"/>
  <c r="AD124" i="1"/>
  <c r="Q125" i="6"/>
  <c r="P125" i="6"/>
  <c r="O125" i="6"/>
  <c r="N125" i="6"/>
  <c r="M125" i="6"/>
  <c r="L125" i="6"/>
  <c r="K125" i="6"/>
  <c r="F125" i="6"/>
  <c r="E125" i="6"/>
  <c r="D125" i="6"/>
  <c r="C125" i="6"/>
  <c r="B125" i="6"/>
  <c r="W124" i="6"/>
  <c r="V124" i="6"/>
  <c r="U124" i="6"/>
  <c r="T124" i="6"/>
  <c r="S124" i="6"/>
  <c r="R124" i="6"/>
  <c r="AA123" i="1"/>
  <c r="AD123" i="1"/>
  <c r="Q124" i="6"/>
  <c r="P124" i="6"/>
  <c r="O124" i="6"/>
  <c r="N124" i="6"/>
  <c r="M124" i="6"/>
  <c r="L124" i="6"/>
  <c r="K124" i="6"/>
  <c r="F124" i="6"/>
  <c r="E124" i="6"/>
  <c r="D124" i="6"/>
  <c r="C124" i="6"/>
  <c r="B124" i="6"/>
  <c r="W123" i="6"/>
  <c r="V123" i="6"/>
  <c r="U123" i="6"/>
  <c r="T123" i="6"/>
  <c r="S123" i="6"/>
  <c r="R123" i="6"/>
  <c r="AA122" i="1"/>
  <c r="AD122" i="1"/>
  <c r="Q123" i="6"/>
  <c r="P123" i="6"/>
  <c r="O123" i="6"/>
  <c r="N123" i="6"/>
  <c r="M123" i="6"/>
  <c r="L123" i="6"/>
  <c r="K123" i="6"/>
  <c r="F123" i="6"/>
  <c r="E123" i="6"/>
  <c r="D123" i="6"/>
  <c r="C123" i="6"/>
  <c r="B123" i="6"/>
  <c r="W122" i="6"/>
  <c r="V122" i="6"/>
  <c r="U122" i="6"/>
  <c r="T122" i="6"/>
  <c r="S122" i="6"/>
  <c r="R122" i="6"/>
  <c r="AA121" i="1"/>
  <c r="AD121" i="1"/>
  <c r="Q122" i="6"/>
  <c r="P122" i="6"/>
  <c r="O122" i="6"/>
  <c r="N122" i="6"/>
  <c r="M122" i="6"/>
  <c r="L122" i="6"/>
  <c r="K122" i="6"/>
  <c r="F122" i="6"/>
  <c r="E122" i="6"/>
  <c r="D122" i="6"/>
  <c r="C122" i="6"/>
  <c r="B122" i="6"/>
  <c r="W121" i="6"/>
  <c r="V121" i="6"/>
  <c r="U121" i="6"/>
  <c r="T121" i="6"/>
  <c r="S121" i="6"/>
  <c r="R121" i="6"/>
  <c r="AA120" i="1"/>
  <c r="AD120" i="1"/>
  <c r="Q121" i="6"/>
  <c r="P121" i="6"/>
  <c r="O121" i="6"/>
  <c r="N121" i="6"/>
  <c r="M121" i="6"/>
  <c r="L121" i="6"/>
  <c r="K121" i="6"/>
  <c r="F121" i="6"/>
  <c r="E121" i="6"/>
  <c r="D121" i="6"/>
  <c r="C121" i="6"/>
  <c r="B121" i="6"/>
  <c r="W120" i="6"/>
  <c r="V120" i="6"/>
  <c r="U120" i="6"/>
  <c r="T120" i="6"/>
  <c r="S120" i="6"/>
  <c r="R120" i="6"/>
  <c r="AA119" i="1"/>
  <c r="AD119" i="1"/>
  <c r="Q120" i="6"/>
  <c r="P120" i="6"/>
  <c r="O120" i="6"/>
  <c r="N120" i="6"/>
  <c r="M120" i="6"/>
  <c r="L120" i="6"/>
  <c r="K120" i="6"/>
  <c r="F120" i="6"/>
  <c r="E120" i="6"/>
  <c r="D120" i="6"/>
  <c r="C120" i="6"/>
  <c r="B120" i="6"/>
  <c r="W119" i="6"/>
  <c r="V119" i="6"/>
  <c r="U119" i="6"/>
  <c r="T119" i="6"/>
  <c r="S119" i="6"/>
  <c r="R119" i="6"/>
  <c r="AA118" i="1"/>
  <c r="AD118" i="1"/>
  <c r="Q119" i="6"/>
  <c r="P119" i="6"/>
  <c r="O119" i="6"/>
  <c r="N119" i="6"/>
  <c r="M119" i="6"/>
  <c r="L119" i="6"/>
  <c r="K119" i="6"/>
  <c r="F119" i="6"/>
  <c r="E119" i="6"/>
  <c r="D119" i="6"/>
  <c r="C119" i="6"/>
  <c r="B119" i="6"/>
  <c r="W118" i="6"/>
  <c r="V118" i="6"/>
  <c r="U118" i="6"/>
  <c r="T118" i="6"/>
  <c r="S118" i="6"/>
  <c r="R118" i="6"/>
  <c r="AA117" i="1"/>
  <c r="AD117" i="1"/>
  <c r="Q118" i="6"/>
  <c r="P118" i="6"/>
  <c r="O118" i="6"/>
  <c r="N118" i="6"/>
  <c r="M118" i="6"/>
  <c r="L118" i="6"/>
  <c r="K118" i="6"/>
  <c r="F118" i="6"/>
  <c r="E118" i="6"/>
  <c r="D118" i="6"/>
  <c r="C118" i="6"/>
  <c r="B118" i="6"/>
  <c r="W117" i="6"/>
  <c r="V117" i="6"/>
  <c r="U117" i="6"/>
  <c r="T117" i="6"/>
  <c r="S117" i="6"/>
  <c r="R117" i="6"/>
  <c r="AA116" i="1"/>
  <c r="AD116" i="1"/>
  <c r="Q117" i="6"/>
  <c r="P117" i="6"/>
  <c r="O117" i="6"/>
  <c r="N117" i="6"/>
  <c r="M117" i="6"/>
  <c r="L117" i="6"/>
  <c r="K117" i="6"/>
  <c r="F117" i="6"/>
  <c r="E117" i="6"/>
  <c r="D117" i="6"/>
  <c r="C117" i="6"/>
  <c r="B117" i="6"/>
  <c r="W116" i="6"/>
  <c r="V116" i="6"/>
  <c r="U116" i="6"/>
  <c r="T116" i="6"/>
  <c r="S116" i="6"/>
  <c r="R116" i="6"/>
  <c r="AA115" i="1"/>
  <c r="AD115" i="1"/>
  <c r="Q116" i="6"/>
  <c r="P116" i="6"/>
  <c r="O116" i="6"/>
  <c r="N116" i="6"/>
  <c r="M116" i="6"/>
  <c r="L116" i="6"/>
  <c r="K116" i="6"/>
  <c r="F116" i="6"/>
  <c r="E116" i="6"/>
  <c r="D116" i="6"/>
  <c r="C116" i="6"/>
  <c r="B116" i="6"/>
  <c r="W115" i="6"/>
  <c r="V115" i="6"/>
  <c r="U115" i="6"/>
  <c r="T115" i="6"/>
  <c r="S115" i="6"/>
  <c r="R115" i="6"/>
  <c r="AA114" i="1"/>
  <c r="AD114" i="1"/>
  <c r="Q115" i="6"/>
  <c r="P115" i="6"/>
  <c r="O115" i="6"/>
  <c r="N115" i="6"/>
  <c r="M115" i="6"/>
  <c r="L115" i="6"/>
  <c r="K115" i="6"/>
  <c r="F115" i="6"/>
  <c r="E115" i="6"/>
  <c r="D115" i="6"/>
  <c r="C115" i="6"/>
  <c r="B115" i="6"/>
  <c r="W114" i="6"/>
  <c r="V114" i="6"/>
  <c r="U114" i="6"/>
  <c r="T114" i="6"/>
  <c r="S114" i="6"/>
  <c r="R114" i="6"/>
  <c r="AA113" i="1"/>
  <c r="AD113" i="1"/>
  <c r="Q114" i="6"/>
  <c r="P114" i="6"/>
  <c r="O114" i="6"/>
  <c r="N114" i="6"/>
  <c r="M114" i="6"/>
  <c r="L114" i="6"/>
  <c r="K114" i="6"/>
  <c r="F114" i="6"/>
  <c r="E114" i="6"/>
  <c r="D114" i="6"/>
  <c r="C114" i="6"/>
  <c r="B114" i="6"/>
  <c r="W113" i="6"/>
  <c r="V113" i="6"/>
  <c r="U113" i="6"/>
  <c r="T113" i="6"/>
  <c r="S113" i="6"/>
  <c r="R113" i="6"/>
  <c r="AA112" i="1"/>
  <c r="AD112" i="1"/>
  <c r="Q113" i="6"/>
  <c r="P113" i="6"/>
  <c r="O113" i="6"/>
  <c r="N113" i="6"/>
  <c r="M113" i="6"/>
  <c r="L113" i="6"/>
  <c r="K113" i="6"/>
  <c r="F113" i="6"/>
  <c r="E113" i="6"/>
  <c r="D113" i="6"/>
  <c r="C113" i="6"/>
  <c r="B113" i="6"/>
  <c r="W112" i="6"/>
  <c r="V112" i="6"/>
  <c r="U112" i="6"/>
  <c r="T112" i="6"/>
  <c r="S112" i="6"/>
  <c r="R112" i="6"/>
  <c r="AA111" i="1"/>
  <c r="AD111" i="1"/>
  <c r="Q112" i="6"/>
  <c r="P112" i="6"/>
  <c r="O112" i="6"/>
  <c r="N112" i="6"/>
  <c r="M112" i="6"/>
  <c r="L112" i="6"/>
  <c r="K112" i="6"/>
  <c r="F112" i="6"/>
  <c r="E112" i="6"/>
  <c r="D112" i="6"/>
  <c r="C112" i="6"/>
  <c r="B112" i="6"/>
  <c r="W111" i="6"/>
  <c r="V111" i="6"/>
  <c r="U111" i="6"/>
  <c r="T111" i="6"/>
  <c r="S111" i="6"/>
  <c r="R111" i="6"/>
  <c r="AA110" i="1"/>
  <c r="AD110" i="1"/>
  <c r="Q111" i="6"/>
  <c r="P111" i="6"/>
  <c r="O111" i="6"/>
  <c r="N111" i="6"/>
  <c r="M111" i="6"/>
  <c r="L111" i="6"/>
  <c r="K111" i="6"/>
  <c r="F111" i="6"/>
  <c r="E111" i="6"/>
  <c r="D111" i="6"/>
  <c r="C111" i="6"/>
  <c r="B111" i="6"/>
  <c r="W110" i="6"/>
  <c r="V110" i="6"/>
  <c r="U110" i="6"/>
  <c r="T110" i="6"/>
  <c r="S110" i="6"/>
  <c r="R110" i="6"/>
  <c r="AA109" i="1"/>
  <c r="AD109" i="1"/>
  <c r="Q110" i="6"/>
  <c r="P110" i="6"/>
  <c r="O110" i="6"/>
  <c r="N110" i="6"/>
  <c r="M110" i="6"/>
  <c r="L110" i="6"/>
  <c r="K110" i="6"/>
  <c r="F110" i="6"/>
  <c r="E110" i="6"/>
  <c r="D110" i="6"/>
  <c r="C110" i="6"/>
  <c r="B110" i="6"/>
  <c r="W109" i="6"/>
  <c r="V109" i="6"/>
  <c r="U109" i="6"/>
  <c r="T109" i="6"/>
  <c r="S109" i="6"/>
  <c r="R109" i="6"/>
  <c r="AA108" i="1"/>
  <c r="AD108" i="1"/>
  <c r="Q109" i="6"/>
  <c r="P109" i="6"/>
  <c r="O109" i="6"/>
  <c r="N109" i="6"/>
  <c r="M109" i="6"/>
  <c r="L109" i="6"/>
  <c r="K109" i="6"/>
  <c r="F109" i="6"/>
  <c r="E109" i="6"/>
  <c r="D109" i="6"/>
  <c r="C109" i="6"/>
  <c r="B109" i="6"/>
  <c r="W108" i="6"/>
  <c r="V108" i="6"/>
  <c r="U108" i="6"/>
  <c r="T108" i="6"/>
  <c r="S108" i="6"/>
  <c r="R108" i="6"/>
  <c r="AA107" i="1"/>
  <c r="AD107" i="1"/>
  <c r="Q108" i="6"/>
  <c r="P108" i="6"/>
  <c r="O108" i="6"/>
  <c r="N108" i="6"/>
  <c r="M108" i="6"/>
  <c r="L108" i="6"/>
  <c r="K108" i="6"/>
  <c r="F108" i="6"/>
  <c r="E108" i="6"/>
  <c r="D108" i="6"/>
  <c r="C108" i="6"/>
  <c r="B108" i="6"/>
  <c r="W107" i="6"/>
  <c r="V107" i="6"/>
  <c r="U107" i="6"/>
  <c r="T107" i="6"/>
  <c r="S107" i="6"/>
  <c r="R107" i="6"/>
  <c r="AA106" i="1"/>
  <c r="AD106" i="1"/>
  <c r="Q107" i="6"/>
  <c r="P107" i="6"/>
  <c r="O107" i="6"/>
  <c r="N107" i="6"/>
  <c r="M107" i="6"/>
  <c r="L107" i="6"/>
  <c r="K107" i="6"/>
  <c r="F107" i="6"/>
  <c r="E107" i="6"/>
  <c r="D107" i="6"/>
  <c r="C107" i="6"/>
  <c r="B107" i="6"/>
  <c r="W106" i="6"/>
  <c r="V106" i="6"/>
  <c r="U106" i="6"/>
  <c r="T106" i="6"/>
  <c r="S106" i="6"/>
  <c r="R106" i="6"/>
  <c r="AA105" i="1"/>
  <c r="AD105" i="1"/>
  <c r="Q106" i="6"/>
  <c r="P106" i="6"/>
  <c r="O106" i="6"/>
  <c r="N106" i="6"/>
  <c r="M106" i="6"/>
  <c r="L106" i="6"/>
  <c r="K106" i="6"/>
  <c r="F106" i="6"/>
  <c r="E106" i="6"/>
  <c r="D106" i="6"/>
  <c r="C106" i="6"/>
  <c r="B106" i="6"/>
  <c r="W105" i="6"/>
  <c r="V105" i="6"/>
  <c r="U105" i="6"/>
  <c r="T105" i="6"/>
  <c r="S105" i="6"/>
  <c r="R105" i="6"/>
  <c r="AA104" i="1"/>
  <c r="AD104" i="1"/>
  <c r="Q105" i="6"/>
  <c r="P105" i="6"/>
  <c r="O105" i="6"/>
  <c r="N105" i="6"/>
  <c r="M105" i="6"/>
  <c r="L105" i="6"/>
  <c r="K105" i="6"/>
  <c r="F105" i="6"/>
  <c r="E105" i="6"/>
  <c r="D105" i="6"/>
  <c r="C105" i="6"/>
  <c r="B105" i="6"/>
  <c r="W104" i="6"/>
  <c r="V104" i="6"/>
  <c r="U104" i="6"/>
  <c r="T104" i="6"/>
  <c r="S104" i="6"/>
  <c r="R104" i="6"/>
  <c r="AA103" i="1"/>
  <c r="AD103" i="1"/>
  <c r="Q104" i="6"/>
  <c r="P104" i="6"/>
  <c r="O104" i="6"/>
  <c r="N104" i="6"/>
  <c r="F104" i="6"/>
  <c r="E104" i="6"/>
  <c r="D104" i="6"/>
  <c r="C104" i="6"/>
  <c r="B104" i="6"/>
  <c r="W103" i="6"/>
  <c r="V103" i="6"/>
  <c r="U103" i="6"/>
  <c r="T103" i="6"/>
  <c r="S103" i="6"/>
  <c r="R103" i="6"/>
  <c r="AA102" i="1"/>
  <c r="AD102" i="1"/>
  <c r="Q103" i="6"/>
  <c r="P103" i="6"/>
  <c r="O103" i="6"/>
  <c r="N103" i="6"/>
  <c r="M103" i="6"/>
  <c r="L103" i="6"/>
  <c r="K103" i="6"/>
  <c r="F103" i="6"/>
  <c r="E103" i="6"/>
  <c r="D103" i="6"/>
  <c r="C103" i="6"/>
  <c r="B103" i="6"/>
  <c r="W102" i="6"/>
  <c r="V102" i="6"/>
  <c r="U102" i="6"/>
  <c r="T102" i="6"/>
  <c r="S102" i="6"/>
  <c r="R102" i="6"/>
  <c r="AA101" i="1"/>
  <c r="AD101" i="1"/>
  <c r="Q102" i="6"/>
  <c r="P102" i="6"/>
  <c r="O102" i="6"/>
  <c r="N102" i="6"/>
  <c r="M102" i="6"/>
  <c r="L102" i="6"/>
  <c r="K102" i="6"/>
  <c r="F102" i="6"/>
  <c r="E102" i="6"/>
  <c r="D102" i="6"/>
  <c r="C102" i="6"/>
  <c r="B102" i="6"/>
  <c r="W101" i="6"/>
  <c r="V101" i="6"/>
  <c r="U101" i="6"/>
  <c r="T101" i="6"/>
  <c r="S101" i="6"/>
  <c r="R101" i="6"/>
  <c r="AA100" i="1"/>
  <c r="AD100" i="1"/>
  <c r="Q101" i="6"/>
  <c r="P101" i="6"/>
  <c r="O101" i="6"/>
  <c r="N101" i="6"/>
  <c r="M101" i="6"/>
  <c r="L101" i="6"/>
  <c r="K101" i="6"/>
  <c r="F101" i="6"/>
  <c r="E101" i="6"/>
  <c r="D101" i="6"/>
  <c r="C101" i="6"/>
  <c r="B101" i="6"/>
  <c r="W100" i="6"/>
  <c r="V100" i="6"/>
  <c r="U100" i="6"/>
  <c r="T100" i="6"/>
  <c r="S100" i="6"/>
  <c r="R100" i="6"/>
  <c r="AA99" i="1"/>
  <c r="AD99" i="1"/>
  <c r="Q100" i="6"/>
  <c r="P100" i="6"/>
  <c r="O100" i="6"/>
  <c r="N100" i="6"/>
  <c r="M100" i="6"/>
  <c r="L100" i="6"/>
  <c r="K100" i="6"/>
  <c r="F100" i="6"/>
  <c r="E100" i="6"/>
  <c r="D100" i="6"/>
  <c r="C100" i="6"/>
  <c r="B100" i="6"/>
  <c r="W99" i="6"/>
  <c r="V99" i="6"/>
  <c r="U99" i="6"/>
  <c r="T99" i="6"/>
  <c r="S99" i="6"/>
  <c r="R99" i="6"/>
  <c r="AA98" i="1"/>
  <c r="AD98" i="1"/>
  <c r="Q99" i="6"/>
  <c r="P99" i="6"/>
  <c r="O99" i="6"/>
  <c r="N99" i="6"/>
  <c r="M99" i="6"/>
  <c r="L99" i="6"/>
  <c r="K99" i="6"/>
  <c r="F99" i="6"/>
  <c r="E99" i="6"/>
  <c r="D99" i="6"/>
  <c r="C99" i="6"/>
  <c r="B99" i="6"/>
  <c r="W98" i="6"/>
  <c r="V98" i="6"/>
  <c r="U98" i="6"/>
  <c r="T98" i="6"/>
  <c r="S98" i="6"/>
  <c r="R98" i="6"/>
  <c r="AA97" i="1"/>
  <c r="AD97" i="1"/>
  <c r="Q98" i="6"/>
  <c r="P98" i="6"/>
  <c r="O98" i="6"/>
  <c r="N98" i="6"/>
  <c r="M98" i="6"/>
  <c r="L98" i="6"/>
  <c r="K98" i="6"/>
  <c r="F98" i="6"/>
  <c r="E98" i="6"/>
  <c r="D98" i="6"/>
  <c r="C98" i="6"/>
  <c r="B98" i="6"/>
  <c r="W97" i="6"/>
  <c r="V97" i="6"/>
  <c r="U97" i="6"/>
  <c r="T97" i="6"/>
  <c r="S97" i="6"/>
  <c r="R97" i="6"/>
  <c r="AA96" i="1"/>
  <c r="AD96" i="1"/>
  <c r="Q97" i="6"/>
  <c r="P97" i="6"/>
  <c r="O97" i="6"/>
  <c r="N97" i="6"/>
  <c r="M97" i="6"/>
  <c r="L97" i="6"/>
  <c r="K97" i="6"/>
  <c r="F97" i="6"/>
  <c r="E97" i="6"/>
  <c r="D97" i="6"/>
  <c r="C97" i="6"/>
  <c r="B97" i="6"/>
  <c r="W96" i="6"/>
  <c r="V96" i="6"/>
  <c r="U96" i="6"/>
  <c r="T96" i="6"/>
  <c r="S96" i="6"/>
  <c r="R96" i="6"/>
  <c r="AA95" i="1"/>
  <c r="AD95" i="1"/>
  <c r="Q96" i="6"/>
  <c r="P96" i="6"/>
  <c r="O96" i="6"/>
  <c r="N96" i="6"/>
  <c r="M96" i="6"/>
  <c r="L96" i="6"/>
  <c r="K96" i="6"/>
  <c r="F96" i="6"/>
  <c r="E96" i="6"/>
  <c r="D96" i="6"/>
  <c r="C96" i="6"/>
  <c r="B96" i="6"/>
  <c r="W95" i="6"/>
  <c r="V95" i="6"/>
  <c r="U95" i="6"/>
  <c r="T95" i="6"/>
  <c r="S95" i="6"/>
  <c r="R95" i="6"/>
  <c r="AA94" i="1"/>
  <c r="AD94" i="1"/>
  <c r="Q95" i="6"/>
  <c r="P95" i="6"/>
  <c r="O95" i="6"/>
  <c r="N95" i="6"/>
  <c r="M95" i="6"/>
  <c r="L95" i="6"/>
  <c r="K95" i="6"/>
  <c r="F95" i="6"/>
  <c r="E95" i="6"/>
  <c r="D95" i="6"/>
  <c r="C95" i="6"/>
  <c r="B95" i="6"/>
  <c r="W94" i="6"/>
  <c r="V94" i="6"/>
  <c r="U94" i="6"/>
  <c r="T94" i="6"/>
  <c r="S94" i="6"/>
  <c r="R94" i="6"/>
  <c r="AA93" i="1"/>
  <c r="AD93" i="1"/>
  <c r="Q94" i="6"/>
  <c r="P94" i="6"/>
  <c r="O94" i="6"/>
  <c r="N94" i="6"/>
  <c r="M94" i="6"/>
  <c r="L94" i="6"/>
  <c r="K94" i="6"/>
  <c r="F94" i="6"/>
  <c r="E94" i="6"/>
  <c r="D94" i="6"/>
  <c r="C94" i="6"/>
  <c r="B94" i="6"/>
  <c r="W93" i="6"/>
  <c r="V93" i="6"/>
  <c r="U93" i="6"/>
  <c r="T93" i="6"/>
  <c r="S93" i="6"/>
  <c r="R93" i="6"/>
  <c r="AA92" i="1"/>
  <c r="AD92" i="1"/>
  <c r="Q93" i="6"/>
  <c r="P93" i="6"/>
  <c r="O93" i="6"/>
  <c r="N93" i="6"/>
  <c r="M93" i="6"/>
  <c r="L93" i="6"/>
  <c r="K93" i="6"/>
  <c r="F93" i="6"/>
  <c r="E93" i="6"/>
  <c r="D93" i="6"/>
  <c r="C93" i="6"/>
  <c r="B93" i="6"/>
  <c r="W92" i="6"/>
  <c r="V92" i="6"/>
  <c r="U92" i="6"/>
  <c r="T92" i="6"/>
  <c r="S92" i="6"/>
  <c r="R92" i="6"/>
  <c r="AA91" i="1"/>
  <c r="AD91" i="1"/>
  <c r="Q92" i="6"/>
  <c r="P92" i="6"/>
  <c r="O92" i="6"/>
  <c r="N92" i="6"/>
  <c r="M92" i="6"/>
  <c r="L92" i="6"/>
  <c r="K92" i="6"/>
  <c r="F92" i="6"/>
  <c r="E92" i="6"/>
  <c r="D92" i="6"/>
  <c r="C92" i="6"/>
  <c r="B92" i="6"/>
  <c r="W91" i="6"/>
  <c r="V91" i="6"/>
  <c r="U91" i="6"/>
  <c r="T91" i="6"/>
  <c r="S91" i="6"/>
  <c r="R91" i="6"/>
  <c r="AA90" i="1"/>
  <c r="AD90" i="1"/>
  <c r="Q91" i="6"/>
  <c r="P91" i="6"/>
  <c r="O91" i="6"/>
  <c r="N91" i="6"/>
  <c r="M91" i="6"/>
  <c r="L91" i="6"/>
  <c r="K91" i="6"/>
  <c r="F91" i="6"/>
  <c r="E91" i="6"/>
  <c r="D91" i="6"/>
  <c r="C91" i="6"/>
  <c r="B91" i="6"/>
  <c r="W90" i="6"/>
  <c r="V90" i="6"/>
  <c r="U90" i="6"/>
  <c r="T90" i="6"/>
  <c r="S90" i="6"/>
  <c r="R90" i="6"/>
  <c r="AA89" i="1"/>
  <c r="AD89" i="1"/>
  <c r="Q90" i="6"/>
  <c r="P90" i="6"/>
  <c r="O90" i="6"/>
  <c r="N90" i="6"/>
  <c r="F90" i="6"/>
  <c r="E90" i="6"/>
  <c r="D90" i="6"/>
  <c r="C90" i="6"/>
  <c r="B90" i="6"/>
  <c r="W89" i="6"/>
  <c r="V89" i="6"/>
  <c r="U89" i="6"/>
  <c r="T89" i="6"/>
  <c r="S89" i="6"/>
  <c r="R89" i="6"/>
  <c r="AA88" i="1"/>
  <c r="AD88" i="1"/>
  <c r="Q89" i="6"/>
  <c r="P89" i="6"/>
  <c r="O89" i="6"/>
  <c r="N89" i="6"/>
  <c r="M89" i="6"/>
  <c r="L89" i="6"/>
  <c r="K89" i="6"/>
  <c r="F89" i="6"/>
  <c r="E89" i="6"/>
  <c r="D89" i="6"/>
  <c r="C89" i="6"/>
  <c r="B89" i="6"/>
  <c r="W88" i="6"/>
  <c r="V88" i="6"/>
  <c r="U88" i="6"/>
  <c r="T88" i="6"/>
  <c r="S88" i="6"/>
  <c r="R88" i="6"/>
  <c r="AA87" i="1"/>
  <c r="AD87" i="1"/>
  <c r="Q88" i="6"/>
  <c r="P88" i="6"/>
  <c r="O88" i="6"/>
  <c r="N88" i="6"/>
  <c r="M88" i="6"/>
  <c r="L88" i="6"/>
  <c r="K88" i="6"/>
  <c r="F88" i="6"/>
  <c r="E88" i="6"/>
  <c r="D88" i="6"/>
  <c r="C88" i="6"/>
  <c r="B88" i="6"/>
  <c r="W87" i="6"/>
  <c r="V87" i="6"/>
  <c r="U87" i="6"/>
  <c r="T87" i="6"/>
  <c r="S87" i="6"/>
  <c r="R87" i="6"/>
  <c r="AA86" i="1"/>
  <c r="AD86" i="1"/>
  <c r="Q87" i="6"/>
  <c r="P87" i="6"/>
  <c r="O87" i="6"/>
  <c r="N87" i="6"/>
  <c r="M87" i="6"/>
  <c r="L87" i="6"/>
  <c r="K87" i="6"/>
  <c r="F87" i="6"/>
  <c r="E87" i="6"/>
  <c r="D87" i="6"/>
  <c r="C87" i="6"/>
  <c r="B87" i="6"/>
  <c r="W86" i="6"/>
  <c r="V86" i="6"/>
  <c r="U86" i="6"/>
  <c r="T86" i="6"/>
  <c r="S86" i="6"/>
  <c r="R86" i="6"/>
  <c r="AA85" i="1"/>
  <c r="AD85" i="1"/>
  <c r="Q86" i="6"/>
  <c r="P86" i="6"/>
  <c r="O86" i="6"/>
  <c r="N86" i="6"/>
  <c r="M86" i="6"/>
  <c r="L86" i="6"/>
  <c r="K86" i="6"/>
  <c r="F86" i="6"/>
  <c r="E86" i="6"/>
  <c r="D86" i="6"/>
  <c r="C86" i="6"/>
  <c r="B86" i="6"/>
  <c r="W85" i="6"/>
  <c r="V85" i="6"/>
  <c r="U85" i="6"/>
  <c r="T85" i="6"/>
  <c r="S85" i="6"/>
  <c r="R85" i="6"/>
  <c r="AA84" i="1"/>
  <c r="AD84" i="1"/>
  <c r="Q85" i="6"/>
  <c r="P85" i="6"/>
  <c r="O85" i="6"/>
  <c r="N85" i="6"/>
  <c r="M85" i="6"/>
  <c r="L85" i="6"/>
  <c r="K85" i="6"/>
  <c r="F85" i="6"/>
  <c r="E85" i="6"/>
  <c r="D85" i="6"/>
  <c r="C85" i="6"/>
  <c r="B85" i="6"/>
  <c r="W84" i="6"/>
  <c r="V84" i="6"/>
  <c r="U84" i="6"/>
  <c r="T84" i="6"/>
  <c r="S84" i="6"/>
  <c r="R84" i="6"/>
  <c r="AA83" i="1"/>
  <c r="AD83" i="1"/>
  <c r="Q84" i="6"/>
  <c r="P84" i="6"/>
  <c r="O84" i="6"/>
  <c r="N84" i="6"/>
  <c r="M84" i="6"/>
  <c r="L84" i="6"/>
  <c r="K84" i="6"/>
  <c r="F84" i="6"/>
  <c r="E84" i="6"/>
  <c r="D84" i="6"/>
  <c r="C84" i="6"/>
  <c r="B84" i="6"/>
  <c r="W83" i="6"/>
  <c r="V83" i="6"/>
  <c r="U83" i="6"/>
  <c r="T83" i="6"/>
  <c r="S83" i="6"/>
  <c r="R83" i="6"/>
  <c r="AA82" i="1"/>
  <c r="AD82" i="1"/>
  <c r="Q83" i="6"/>
  <c r="P83" i="6"/>
  <c r="O83" i="6"/>
  <c r="N83" i="6"/>
  <c r="M83" i="6"/>
  <c r="L83" i="6"/>
  <c r="K83" i="6"/>
  <c r="F83" i="6"/>
  <c r="E83" i="6"/>
  <c r="D83" i="6"/>
  <c r="C83" i="6"/>
  <c r="B83" i="6"/>
  <c r="W82" i="6"/>
  <c r="V82" i="6"/>
  <c r="U82" i="6"/>
  <c r="T82" i="6"/>
  <c r="S82" i="6"/>
  <c r="R82" i="6"/>
  <c r="AA81" i="1"/>
  <c r="AD81" i="1"/>
  <c r="Q82" i="6"/>
  <c r="P82" i="6"/>
  <c r="O82" i="6"/>
  <c r="N82" i="6"/>
  <c r="M82" i="6"/>
  <c r="L82" i="6"/>
  <c r="K82" i="6"/>
  <c r="F82" i="6"/>
  <c r="E82" i="6"/>
  <c r="D82" i="6"/>
  <c r="C82" i="6"/>
  <c r="B82" i="6"/>
  <c r="W81" i="6"/>
  <c r="V81" i="6"/>
  <c r="U81" i="6"/>
  <c r="T81" i="6"/>
  <c r="S81" i="6"/>
  <c r="R81" i="6"/>
  <c r="AA80" i="1"/>
  <c r="AD80" i="1"/>
  <c r="Q81" i="6"/>
  <c r="P81" i="6"/>
  <c r="O81" i="6"/>
  <c r="N81" i="6"/>
  <c r="M81" i="6"/>
  <c r="L81" i="6"/>
  <c r="K81" i="6"/>
  <c r="F81" i="6"/>
  <c r="E81" i="6"/>
  <c r="D81" i="6"/>
  <c r="C81" i="6"/>
  <c r="B81" i="6"/>
  <c r="W80" i="6"/>
  <c r="V80" i="6"/>
  <c r="U80" i="6"/>
  <c r="T80" i="6"/>
  <c r="S80" i="6"/>
  <c r="R80" i="6"/>
  <c r="AA79" i="1"/>
  <c r="AD79" i="1"/>
  <c r="Q80" i="6"/>
  <c r="P80" i="6"/>
  <c r="O80" i="6"/>
  <c r="N80" i="6"/>
  <c r="M80" i="6"/>
  <c r="L80" i="6"/>
  <c r="K80" i="6"/>
  <c r="F80" i="6"/>
  <c r="E80" i="6"/>
  <c r="D80" i="6"/>
  <c r="C80" i="6"/>
  <c r="B80" i="6"/>
  <c r="W79" i="6"/>
  <c r="V79" i="6"/>
  <c r="U79" i="6"/>
  <c r="T79" i="6"/>
  <c r="S79" i="6"/>
  <c r="R79" i="6"/>
  <c r="AA78" i="1"/>
  <c r="AD78" i="1"/>
  <c r="Q79" i="6"/>
  <c r="P79" i="6"/>
  <c r="O79" i="6"/>
  <c r="N79" i="6"/>
  <c r="M79" i="6"/>
  <c r="L79" i="6"/>
  <c r="K79" i="6"/>
  <c r="F79" i="6"/>
  <c r="E79" i="6"/>
  <c r="D79" i="6"/>
  <c r="C79" i="6"/>
  <c r="B79" i="6"/>
  <c r="W78" i="6"/>
  <c r="V78" i="6"/>
  <c r="U78" i="6"/>
  <c r="T78" i="6"/>
  <c r="S78" i="6"/>
  <c r="R78" i="6"/>
  <c r="AA77" i="1"/>
  <c r="AD77" i="1"/>
  <c r="Q78" i="6"/>
  <c r="P78" i="6"/>
  <c r="O78" i="6"/>
  <c r="N78" i="6"/>
  <c r="M78" i="6"/>
  <c r="L78" i="6"/>
  <c r="K78" i="6"/>
  <c r="F78" i="6"/>
  <c r="E78" i="6"/>
  <c r="D78" i="6"/>
  <c r="C78" i="6"/>
  <c r="B78" i="6"/>
  <c r="W77" i="6"/>
  <c r="V77" i="6"/>
  <c r="U77" i="6"/>
  <c r="T77" i="6"/>
  <c r="S77" i="6"/>
  <c r="R77" i="6"/>
  <c r="AA76" i="1"/>
  <c r="AD76" i="1"/>
  <c r="Q77" i="6"/>
  <c r="P77" i="6"/>
  <c r="O77" i="6"/>
  <c r="N77" i="6"/>
  <c r="M77" i="6"/>
  <c r="L77" i="6"/>
  <c r="K77" i="6"/>
  <c r="F77" i="6"/>
  <c r="E77" i="6"/>
  <c r="D77" i="6"/>
  <c r="C77" i="6"/>
  <c r="B77" i="6"/>
  <c r="W76" i="6"/>
  <c r="V76" i="6"/>
  <c r="U76" i="6"/>
  <c r="T76" i="6"/>
  <c r="S76" i="6"/>
  <c r="R76" i="6"/>
  <c r="AA75" i="1"/>
  <c r="AD75" i="1"/>
  <c r="Q76" i="6"/>
  <c r="P76" i="6"/>
  <c r="O76" i="6"/>
  <c r="N76" i="6"/>
  <c r="M76" i="6"/>
  <c r="L76" i="6"/>
  <c r="K76" i="6"/>
  <c r="F76" i="6"/>
  <c r="E76" i="6"/>
  <c r="D76" i="6"/>
  <c r="C76" i="6"/>
  <c r="B76" i="6"/>
  <c r="W75" i="6"/>
  <c r="V75" i="6"/>
  <c r="U75" i="6"/>
  <c r="T75" i="6"/>
  <c r="S75" i="6"/>
  <c r="R75" i="6"/>
  <c r="AA74" i="1"/>
  <c r="AD74" i="1"/>
  <c r="Q75" i="6"/>
  <c r="P75" i="6"/>
  <c r="O75" i="6"/>
  <c r="N75" i="6"/>
  <c r="F75" i="6"/>
  <c r="E75" i="6"/>
  <c r="D75" i="6"/>
  <c r="C75" i="6"/>
  <c r="B75" i="6"/>
  <c r="W74" i="6"/>
  <c r="V74" i="6"/>
  <c r="U74" i="6"/>
  <c r="T74" i="6"/>
  <c r="S74" i="6"/>
  <c r="R74" i="6"/>
  <c r="AA73" i="1"/>
  <c r="AD73" i="1"/>
  <c r="Q74" i="6"/>
  <c r="P74" i="6"/>
  <c r="O74" i="6"/>
  <c r="N74" i="6"/>
  <c r="M74" i="6"/>
  <c r="L74" i="6"/>
  <c r="K74" i="6"/>
  <c r="F74" i="6"/>
  <c r="E74" i="6"/>
  <c r="D74" i="6"/>
  <c r="C74" i="6"/>
  <c r="B74" i="6"/>
  <c r="W73" i="6"/>
  <c r="V73" i="6"/>
  <c r="U73" i="6"/>
  <c r="T73" i="6"/>
  <c r="S73" i="6"/>
  <c r="R73" i="6"/>
  <c r="AA72" i="1"/>
  <c r="AD72" i="1"/>
  <c r="Q73" i="6"/>
  <c r="P73" i="6"/>
  <c r="O73" i="6"/>
  <c r="N73" i="6"/>
  <c r="M73" i="6"/>
  <c r="L73" i="6"/>
  <c r="K73" i="6"/>
  <c r="F73" i="6"/>
  <c r="E73" i="6"/>
  <c r="D73" i="6"/>
  <c r="C73" i="6"/>
  <c r="B73" i="6"/>
  <c r="W72" i="6"/>
  <c r="V72" i="6"/>
  <c r="U72" i="6"/>
  <c r="T72" i="6"/>
  <c r="S72" i="6"/>
  <c r="R72" i="6"/>
  <c r="AA71" i="1"/>
  <c r="AD71" i="1"/>
  <c r="Q72" i="6"/>
  <c r="P72" i="6"/>
  <c r="O72" i="6"/>
  <c r="N72" i="6"/>
  <c r="M72" i="6"/>
  <c r="L72" i="6"/>
  <c r="K72" i="6"/>
  <c r="F72" i="6"/>
  <c r="E72" i="6"/>
  <c r="D72" i="6"/>
  <c r="C72" i="6"/>
  <c r="B72" i="6"/>
  <c r="W71" i="6"/>
  <c r="V71" i="6"/>
  <c r="U71" i="6"/>
  <c r="T71" i="6"/>
  <c r="S71" i="6"/>
  <c r="R71" i="6"/>
  <c r="AA70" i="1"/>
  <c r="AD70" i="1"/>
  <c r="Q71" i="6"/>
  <c r="P71" i="6"/>
  <c r="O71" i="6"/>
  <c r="N71" i="6"/>
  <c r="M71" i="6"/>
  <c r="L71" i="6"/>
  <c r="K71" i="6"/>
  <c r="F71" i="6"/>
  <c r="E71" i="6"/>
  <c r="D71" i="6"/>
  <c r="C71" i="6"/>
  <c r="B71" i="6"/>
  <c r="W70" i="6"/>
  <c r="V70" i="6"/>
  <c r="U70" i="6"/>
  <c r="T70" i="6"/>
  <c r="S70" i="6"/>
  <c r="R70" i="6"/>
  <c r="AA69" i="1"/>
  <c r="AD69" i="1"/>
  <c r="Q70" i="6"/>
  <c r="P70" i="6"/>
  <c r="O70" i="6"/>
  <c r="N70" i="6"/>
  <c r="M70" i="6"/>
  <c r="L70" i="6"/>
  <c r="K70" i="6"/>
  <c r="F70" i="6"/>
  <c r="E70" i="6"/>
  <c r="D70" i="6"/>
  <c r="C70" i="6"/>
  <c r="B70" i="6"/>
  <c r="W69" i="6"/>
  <c r="V69" i="6"/>
  <c r="U69" i="6"/>
  <c r="T69" i="6"/>
  <c r="S69" i="6"/>
  <c r="R69" i="6"/>
  <c r="AA68" i="1"/>
  <c r="AD68" i="1"/>
  <c r="Q69" i="6"/>
  <c r="P69" i="6"/>
  <c r="O69" i="6"/>
  <c r="N69" i="6"/>
  <c r="M69" i="6"/>
  <c r="L69" i="6"/>
  <c r="K69" i="6"/>
  <c r="F69" i="6"/>
  <c r="E69" i="6"/>
  <c r="D69" i="6"/>
  <c r="C69" i="6"/>
  <c r="B69" i="6"/>
  <c r="W68" i="6"/>
  <c r="V68" i="6"/>
  <c r="U68" i="6"/>
  <c r="T68" i="6"/>
  <c r="S68" i="6"/>
  <c r="R68" i="6"/>
  <c r="AA67" i="1"/>
  <c r="AD67" i="1"/>
  <c r="Q68" i="6"/>
  <c r="P68" i="6"/>
  <c r="O68" i="6"/>
  <c r="N68" i="6"/>
  <c r="M68" i="6"/>
  <c r="L68" i="6"/>
  <c r="K68" i="6"/>
  <c r="F68" i="6"/>
  <c r="E68" i="6"/>
  <c r="D68" i="6"/>
  <c r="C68" i="6"/>
  <c r="B68" i="6"/>
  <c r="W67" i="6"/>
  <c r="V67" i="6"/>
  <c r="U67" i="6"/>
  <c r="T67" i="6"/>
  <c r="S67" i="6"/>
  <c r="R67" i="6"/>
  <c r="AA66" i="1"/>
  <c r="AD66" i="1"/>
  <c r="Q67" i="6"/>
  <c r="P67" i="6"/>
  <c r="O67" i="6"/>
  <c r="N67" i="6"/>
  <c r="F67" i="6"/>
  <c r="E67" i="6"/>
  <c r="D67" i="6"/>
  <c r="C67" i="6"/>
  <c r="B67" i="6"/>
  <c r="W66" i="6"/>
  <c r="V66" i="6"/>
  <c r="U66" i="6"/>
  <c r="T66" i="6"/>
  <c r="S66" i="6"/>
  <c r="R66" i="6"/>
  <c r="AA65" i="1"/>
  <c r="AD65" i="1"/>
  <c r="Q66" i="6"/>
  <c r="P66" i="6"/>
  <c r="O66" i="6"/>
  <c r="N66" i="6"/>
  <c r="M66" i="6"/>
  <c r="L66" i="6"/>
  <c r="K66" i="6"/>
  <c r="F66" i="6"/>
  <c r="E66" i="6"/>
  <c r="D66" i="6"/>
  <c r="C66" i="6"/>
  <c r="B66" i="6"/>
  <c r="W65" i="6"/>
  <c r="V65" i="6"/>
  <c r="U65" i="6"/>
  <c r="T65" i="6"/>
  <c r="S65" i="6"/>
  <c r="R65" i="6"/>
  <c r="AA64" i="1"/>
  <c r="AD64" i="1"/>
  <c r="Q65" i="6"/>
  <c r="P65" i="6"/>
  <c r="O65" i="6"/>
  <c r="N65" i="6"/>
  <c r="M65" i="6"/>
  <c r="L65" i="6"/>
  <c r="K65" i="6"/>
  <c r="F65" i="6"/>
  <c r="E65" i="6"/>
  <c r="D65" i="6"/>
  <c r="C65" i="6"/>
  <c r="B65" i="6"/>
  <c r="W64" i="6"/>
  <c r="V64" i="6"/>
  <c r="U64" i="6"/>
  <c r="T64" i="6"/>
  <c r="S64" i="6"/>
  <c r="R64" i="6"/>
  <c r="AA63" i="1"/>
  <c r="AD63" i="1"/>
  <c r="Q64" i="6"/>
  <c r="P64" i="6"/>
  <c r="O64" i="6"/>
  <c r="N64" i="6"/>
  <c r="M64" i="6"/>
  <c r="L64" i="6"/>
  <c r="K64" i="6"/>
  <c r="F64" i="6"/>
  <c r="E64" i="6"/>
  <c r="D64" i="6"/>
  <c r="C64" i="6"/>
  <c r="B64" i="6"/>
  <c r="W63" i="6"/>
  <c r="V63" i="6"/>
  <c r="U63" i="6"/>
  <c r="T63" i="6"/>
  <c r="S63" i="6"/>
  <c r="R63" i="6"/>
  <c r="AA62" i="1"/>
  <c r="AD62" i="1"/>
  <c r="Q63" i="6"/>
  <c r="P63" i="6"/>
  <c r="O63" i="6"/>
  <c r="N63" i="6"/>
  <c r="M63" i="6"/>
  <c r="L63" i="6"/>
  <c r="K63" i="6"/>
  <c r="F63" i="6"/>
  <c r="E63" i="6"/>
  <c r="D63" i="6"/>
  <c r="C63" i="6"/>
  <c r="B63" i="6"/>
  <c r="W62" i="6"/>
  <c r="V62" i="6"/>
  <c r="U62" i="6"/>
  <c r="T62" i="6"/>
  <c r="S62" i="6"/>
  <c r="R62" i="6"/>
  <c r="AA61" i="1"/>
  <c r="AD61" i="1"/>
  <c r="Q62" i="6"/>
  <c r="P62" i="6"/>
  <c r="O62" i="6"/>
  <c r="N62" i="6"/>
  <c r="M62" i="6"/>
  <c r="L62" i="6"/>
  <c r="K62" i="6"/>
  <c r="F62" i="6"/>
  <c r="E62" i="6"/>
  <c r="D62" i="6"/>
  <c r="C62" i="6"/>
  <c r="B62" i="6"/>
  <c r="W61" i="6"/>
  <c r="V61" i="6"/>
  <c r="U61" i="6"/>
  <c r="T61" i="6"/>
  <c r="S61" i="6"/>
  <c r="R61" i="6"/>
  <c r="AA60" i="1"/>
  <c r="AD60" i="1"/>
  <c r="Q61" i="6"/>
  <c r="P61" i="6"/>
  <c r="O61" i="6"/>
  <c r="N61" i="6"/>
  <c r="M61" i="6"/>
  <c r="L61" i="6"/>
  <c r="K61" i="6"/>
  <c r="F61" i="6"/>
  <c r="E61" i="6"/>
  <c r="D61" i="6"/>
  <c r="C61" i="6"/>
  <c r="B61" i="6"/>
  <c r="W60" i="6"/>
  <c r="V60" i="6"/>
  <c r="U60" i="6"/>
  <c r="T60" i="6"/>
  <c r="S60" i="6"/>
  <c r="R60" i="6"/>
  <c r="AA59" i="1"/>
  <c r="AD59" i="1"/>
  <c r="Q60" i="6"/>
  <c r="P60" i="6"/>
  <c r="O60" i="6"/>
  <c r="N60" i="6"/>
  <c r="F60" i="6"/>
  <c r="E60" i="6"/>
  <c r="D60" i="6"/>
  <c r="C60" i="6"/>
  <c r="B60" i="6"/>
  <c r="W59" i="6"/>
  <c r="V59" i="6"/>
  <c r="U59" i="6"/>
  <c r="T59" i="6"/>
  <c r="S59" i="6"/>
  <c r="R59" i="6"/>
  <c r="AA58" i="1"/>
  <c r="AD58" i="1"/>
  <c r="Q59" i="6"/>
  <c r="P59" i="6"/>
  <c r="O59" i="6"/>
  <c r="N59" i="6"/>
  <c r="M59" i="6"/>
  <c r="L59" i="6"/>
  <c r="K59" i="6"/>
  <c r="F59" i="6"/>
  <c r="E59" i="6"/>
  <c r="D59" i="6"/>
  <c r="C59" i="6"/>
  <c r="B59" i="6"/>
  <c r="W58" i="6"/>
  <c r="V58" i="6"/>
  <c r="U58" i="6"/>
  <c r="T58" i="6"/>
  <c r="S58" i="6"/>
  <c r="R58" i="6"/>
  <c r="AA57" i="1"/>
  <c r="AD57" i="1"/>
  <c r="Q58" i="6"/>
  <c r="P58" i="6"/>
  <c r="O58" i="6"/>
  <c r="N58" i="6"/>
  <c r="M58" i="6"/>
  <c r="L58" i="6"/>
  <c r="K58" i="6"/>
  <c r="F58" i="6"/>
  <c r="E58" i="6"/>
  <c r="D58" i="6"/>
  <c r="C58" i="6"/>
  <c r="B58" i="6"/>
  <c r="W57" i="6"/>
  <c r="V57" i="6"/>
  <c r="U57" i="6"/>
  <c r="T57" i="6"/>
  <c r="S57" i="6"/>
  <c r="R57" i="6"/>
  <c r="AA56" i="1"/>
  <c r="AD56" i="1"/>
  <c r="Q57" i="6"/>
  <c r="P57" i="6"/>
  <c r="O57" i="6"/>
  <c r="N57" i="6"/>
  <c r="M57" i="6"/>
  <c r="L57" i="6"/>
  <c r="K57" i="6"/>
  <c r="F57" i="6"/>
  <c r="E57" i="6"/>
  <c r="D57" i="6"/>
  <c r="C57" i="6"/>
  <c r="B57" i="6"/>
  <c r="W56" i="6"/>
  <c r="V56" i="6"/>
  <c r="U56" i="6"/>
  <c r="T56" i="6"/>
  <c r="S56" i="6"/>
  <c r="R56" i="6"/>
  <c r="AA55" i="1"/>
  <c r="AD55" i="1"/>
  <c r="Q56" i="6"/>
  <c r="P56" i="6"/>
  <c r="O56" i="6"/>
  <c r="N56" i="6"/>
  <c r="M56" i="6"/>
  <c r="L56" i="6"/>
  <c r="K56" i="6"/>
  <c r="F56" i="6"/>
  <c r="E56" i="6"/>
  <c r="D56" i="6"/>
  <c r="C56" i="6"/>
  <c r="B56" i="6"/>
  <c r="W55" i="6"/>
  <c r="V55" i="6"/>
  <c r="U55" i="6"/>
  <c r="T55" i="6"/>
  <c r="S55" i="6"/>
  <c r="R55" i="6"/>
  <c r="AA54" i="1"/>
  <c r="AD54" i="1"/>
  <c r="Q55" i="6"/>
  <c r="P55" i="6"/>
  <c r="O55" i="6"/>
  <c r="N55" i="6"/>
  <c r="M55" i="6"/>
  <c r="L55" i="6"/>
  <c r="K55" i="6"/>
  <c r="F55" i="6"/>
  <c r="E55" i="6"/>
  <c r="D55" i="6"/>
  <c r="C55" i="6"/>
  <c r="B55" i="6"/>
  <c r="W54" i="6"/>
  <c r="V54" i="6"/>
  <c r="U54" i="6"/>
  <c r="T54" i="6"/>
  <c r="S54" i="6"/>
  <c r="R54" i="6"/>
  <c r="AA53" i="1"/>
  <c r="AD53" i="1"/>
  <c r="Q54" i="6"/>
  <c r="P54" i="6"/>
  <c r="O54" i="6"/>
  <c r="N54" i="6"/>
  <c r="M54" i="6"/>
  <c r="L54" i="6"/>
  <c r="K54" i="6"/>
  <c r="F54" i="6"/>
  <c r="E54" i="6"/>
  <c r="D54" i="6"/>
  <c r="C54" i="6"/>
  <c r="B54" i="6"/>
  <c r="W53" i="6"/>
  <c r="V53" i="6"/>
  <c r="U53" i="6"/>
  <c r="T53" i="6"/>
  <c r="S53" i="6"/>
  <c r="R53" i="6"/>
  <c r="AA52" i="1"/>
  <c r="AD52" i="1"/>
  <c r="Q53" i="6"/>
  <c r="P53" i="6"/>
  <c r="O53" i="6"/>
  <c r="N53" i="6"/>
  <c r="M53" i="6"/>
  <c r="L53" i="6"/>
  <c r="K53" i="6"/>
  <c r="F53" i="6"/>
  <c r="E53" i="6"/>
  <c r="D53" i="6"/>
  <c r="C53" i="6"/>
  <c r="B53" i="6"/>
  <c r="W52" i="6"/>
  <c r="V52" i="6"/>
  <c r="U52" i="6"/>
  <c r="T52" i="6"/>
  <c r="S52" i="6"/>
  <c r="R52" i="6"/>
  <c r="AA51" i="1"/>
  <c r="AD51" i="1"/>
  <c r="Q52" i="6"/>
  <c r="P52" i="6"/>
  <c r="O52" i="6"/>
  <c r="N52" i="6"/>
  <c r="M52" i="6"/>
  <c r="L52" i="6"/>
  <c r="K52" i="6"/>
  <c r="F52" i="6"/>
  <c r="E52" i="6"/>
  <c r="D52" i="6"/>
  <c r="C52" i="6"/>
  <c r="B52" i="6"/>
  <c r="W51" i="6"/>
  <c r="V51" i="6"/>
  <c r="U51" i="6"/>
  <c r="T51" i="6"/>
  <c r="S51" i="6"/>
  <c r="R51" i="6"/>
  <c r="AA50" i="1"/>
  <c r="AD50" i="1"/>
  <c r="Q51" i="6"/>
  <c r="P51" i="6"/>
  <c r="O51" i="6"/>
  <c r="N51" i="6"/>
  <c r="M51" i="6"/>
  <c r="L51" i="6"/>
  <c r="K51" i="6"/>
  <c r="F51" i="6"/>
  <c r="E51" i="6"/>
  <c r="D51" i="6"/>
  <c r="C51" i="6"/>
  <c r="B51" i="6"/>
  <c r="W50" i="6"/>
  <c r="V50" i="6"/>
  <c r="U50" i="6"/>
  <c r="T50" i="6"/>
  <c r="S50" i="6"/>
  <c r="R50" i="6"/>
  <c r="AA49" i="1"/>
  <c r="AD49" i="1"/>
  <c r="Q50" i="6"/>
  <c r="P50" i="6"/>
  <c r="O50" i="6"/>
  <c r="N50" i="6"/>
  <c r="M50" i="6"/>
  <c r="L50" i="6"/>
  <c r="K50" i="6"/>
  <c r="F50" i="6"/>
  <c r="E50" i="6"/>
  <c r="D50" i="6"/>
  <c r="C50" i="6"/>
  <c r="B50" i="6"/>
  <c r="W49" i="6"/>
  <c r="V49" i="6"/>
  <c r="U49" i="6"/>
  <c r="T49" i="6"/>
  <c r="S49" i="6"/>
  <c r="R49" i="6"/>
  <c r="AA48" i="1"/>
  <c r="AD48" i="1"/>
  <c r="Q49" i="6"/>
  <c r="P49" i="6"/>
  <c r="O49" i="6"/>
  <c r="N49" i="6"/>
  <c r="F49" i="6"/>
  <c r="E49" i="6"/>
  <c r="D49" i="6"/>
  <c r="C49" i="6"/>
  <c r="B49" i="6"/>
  <c r="W48" i="6"/>
  <c r="V48" i="6"/>
  <c r="U48" i="6"/>
  <c r="T48" i="6"/>
  <c r="S48" i="6"/>
  <c r="R48" i="6"/>
  <c r="AA47" i="1"/>
  <c r="AD47" i="1"/>
  <c r="Q48" i="6"/>
  <c r="P48" i="6"/>
  <c r="O48" i="6"/>
  <c r="N48" i="6"/>
  <c r="M48" i="6"/>
  <c r="L48" i="6"/>
  <c r="K48" i="6"/>
  <c r="F48" i="6"/>
  <c r="E48" i="6"/>
  <c r="D48" i="6"/>
  <c r="C48" i="6"/>
  <c r="B48" i="6"/>
  <c r="W47" i="6"/>
  <c r="V47" i="6"/>
  <c r="U47" i="6"/>
  <c r="T47" i="6"/>
  <c r="S47" i="6"/>
  <c r="R47" i="6"/>
  <c r="AA46" i="1"/>
  <c r="AD46" i="1"/>
  <c r="Q47" i="6"/>
  <c r="P47" i="6"/>
  <c r="O47" i="6"/>
  <c r="N47" i="6"/>
  <c r="M47" i="6"/>
  <c r="L47" i="6"/>
  <c r="K47" i="6"/>
  <c r="F47" i="6"/>
  <c r="E47" i="6"/>
  <c r="D47" i="6"/>
  <c r="C47" i="6"/>
  <c r="B47" i="6"/>
  <c r="W46" i="6"/>
  <c r="V46" i="6"/>
  <c r="U46" i="6"/>
  <c r="T46" i="6"/>
  <c r="S46" i="6"/>
  <c r="R46" i="6"/>
  <c r="AA45" i="1"/>
  <c r="AD45" i="1"/>
  <c r="Q46" i="6"/>
  <c r="P46" i="6"/>
  <c r="O46" i="6"/>
  <c r="N46" i="6"/>
  <c r="M46" i="6"/>
  <c r="L46" i="6"/>
  <c r="K46" i="6"/>
  <c r="F46" i="6"/>
  <c r="E46" i="6"/>
  <c r="D46" i="6"/>
  <c r="C46" i="6"/>
  <c r="B46" i="6"/>
  <c r="W45" i="6"/>
  <c r="V45" i="6"/>
  <c r="U45" i="6"/>
  <c r="T45" i="6"/>
  <c r="S45" i="6"/>
  <c r="R45" i="6"/>
  <c r="AA44" i="1"/>
  <c r="AD44" i="1"/>
  <c r="Q45" i="6"/>
  <c r="P45" i="6"/>
  <c r="O45" i="6"/>
  <c r="N45" i="6"/>
  <c r="M45" i="6"/>
  <c r="L45" i="6"/>
  <c r="K45" i="6"/>
  <c r="F45" i="6"/>
  <c r="E45" i="6"/>
  <c r="D45" i="6"/>
  <c r="C45" i="6"/>
  <c r="B45" i="6"/>
  <c r="W44" i="6"/>
  <c r="V44" i="6"/>
  <c r="U44" i="6"/>
  <c r="T44" i="6"/>
  <c r="S44" i="6"/>
  <c r="R44" i="6"/>
  <c r="AA43" i="1"/>
  <c r="AD43" i="1"/>
  <c r="Q44" i="6"/>
  <c r="P44" i="6"/>
  <c r="O44" i="6"/>
  <c r="N44" i="6"/>
  <c r="M44" i="6"/>
  <c r="L44" i="6"/>
  <c r="K44" i="6"/>
  <c r="F44" i="6"/>
  <c r="E44" i="6"/>
  <c r="D44" i="6"/>
  <c r="C44" i="6"/>
  <c r="B44" i="6"/>
  <c r="W43" i="6"/>
  <c r="V43" i="6"/>
  <c r="U43" i="6"/>
  <c r="T43" i="6"/>
  <c r="S43" i="6"/>
  <c r="R43" i="6"/>
  <c r="AA42" i="1"/>
  <c r="AD42" i="1"/>
  <c r="Q43" i="6"/>
  <c r="P43" i="6"/>
  <c r="O43" i="6"/>
  <c r="N43" i="6"/>
  <c r="M43" i="6"/>
  <c r="L43" i="6"/>
  <c r="K43" i="6"/>
  <c r="F43" i="6"/>
  <c r="E43" i="6"/>
  <c r="D43" i="6"/>
  <c r="C43" i="6"/>
  <c r="B43" i="6"/>
  <c r="W42" i="6"/>
  <c r="V42" i="6"/>
  <c r="U42" i="6"/>
  <c r="T42" i="6"/>
  <c r="S42" i="6"/>
  <c r="R42" i="6"/>
  <c r="AA41" i="1"/>
  <c r="AD41" i="1"/>
  <c r="Q42" i="6"/>
  <c r="P42" i="6"/>
  <c r="O42" i="6"/>
  <c r="N42" i="6"/>
  <c r="M42" i="6"/>
  <c r="L42" i="6"/>
  <c r="K42" i="6"/>
  <c r="F42" i="6"/>
  <c r="E42" i="6"/>
  <c r="D42" i="6"/>
  <c r="C42" i="6"/>
  <c r="B42" i="6"/>
  <c r="W41" i="6"/>
  <c r="V41" i="6"/>
  <c r="U41" i="6"/>
  <c r="T41" i="6"/>
  <c r="S41" i="6"/>
  <c r="R41" i="6"/>
  <c r="AA40" i="1"/>
  <c r="AD40" i="1"/>
  <c r="Q41" i="6"/>
  <c r="P41" i="6"/>
  <c r="O41" i="6"/>
  <c r="N41" i="6"/>
  <c r="M41" i="6"/>
  <c r="L41" i="6"/>
  <c r="K41" i="6"/>
  <c r="F41" i="6"/>
  <c r="E41" i="6"/>
  <c r="D41" i="6"/>
  <c r="C41" i="6"/>
  <c r="B41" i="6"/>
  <c r="W40" i="6"/>
  <c r="V40" i="6"/>
  <c r="U40" i="6"/>
  <c r="T40" i="6"/>
  <c r="S40" i="6"/>
  <c r="R40" i="6"/>
  <c r="AA39" i="1"/>
  <c r="AD39" i="1"/>
  <c r="Q40" i="6"/>
  <c r="P40" i="6"/>
  <c r="O40" i="6"/>
  <c r="N40" i="6"/>
  <c r="M40" i="6"/>
  <c r="L40" i="6"/>
  <c r="K40" i="6"/>
  <c r="F40" i="6"/>
  <c r="E40" i="6"/>
  <c r="D40" i="6"/>
  <c r="C40" i="6"/>
  <c r="B40" i="6"/>
  <c r="W39" i="6"/>
  <c r="V39" i="6"/>
  <c r="U39" i="6"/>
  <c r="T39" i="6"/>
  <c r="S39" i="6"/>
  <c r="R39" i="6"/>
  <c r="AA38" i="1"/>
  <c r="AD38" i="1"/>
  <c r="Q39" i="6"/>
  <c r="P39" i="6"/>
  <c r="O39" i="6"/>
  <c r="N39" i="6"/>
  <c r="M39" i="6"/>
  <c r="L39" i="6"/>
  <c r="K39" i="6"/>
  <c r="F39" i="6"/>
  <c r="E39" i="6"/>
  <c r="D39" i="6"/>
  <c r="C39" i="6"/>
  <c r="B39" i="6"/>
  <c r="W38" i="6"/>
  <c r="V38" i="6"/>
  <c r="U38" i="6"/>
  <c r="T38" i="6"/>
  <c r="S38" i="6"/>
  <c r="R38" i="6"/>
  <c r="AA37" i="1"/>
  <c r="AD37" i="1"/>
  <c r="Q38" i="6"/>
  <c r="P38" i="6"/>
  <c r="O38" i="6"/>
  <c r="N38" i="6"/>
  <c r="M38" i="6"/>
  <c r="L38" i="6"/>
  <c r="K38" i="6"/>
  <c r="F38" i="6"/>
  <c r="E38" i="6"/>
  <c r="D38" i="6"/>
  <c r="C38" i="6"/>
  <c r="B38" i="6"/>
  <c r="W37" i="6"/>
  <c r="V37" i="6"/>
  <c r="U37" i="6"/>
  <c r="T37" i="6"/>
  <c r="S37" i="6"/>
  <c r="R37" i="6"/>
  <c r="AA36" i="1"/>
  <c r="AD36" i="1"/>
  <c r="Q37" i="6"/>
  <c r="P37" i="6"/>
  <c r="O37" i="6"/>
  <c r="N37" i="6"/>
  <c r="F37" i="6"/>
  <c r="E37" i="6"/>
  <c r="D37" i="6"/>
  <c r="C37" i="6"/>
  <c r="B37" i="6"/>
  <c r="W36" i="6"/>
  <c r="V36" i="6"/>
  <c r="U36" i="6"/>
  <c r="T36" i="6"/>
  <c r="S36" i="6"/>
  <c r="R36" i="6"/>
  <c r="AA35" i="1"/>
  <c r="AD35" i="1"/>
  <c r="Q36" i="6"/>
  <c r="P36" i="6"/>
  <c r="O36" i="6"/>
  <c r="N36" i="6"/>
  <c r="M36" i="6"/>
  <c r="L36" i="6"/>
  <c r="K36" i="6"/>
  <c r="F36" i="6"/>
  <c r="E36" i="6"/>
  <c r="D36" i="6"/>
  <c r="C36" i="6"/>
  <c r="B36" i="6"/>
  <c r="W35" i="6"/>
  <c r="V35" i="6"/>
  <c r="U35" i="6"/>
  <c r="T35" i="6"/>
  <c r="S35" i="6"/>
  <c r="R35" i="6"/>
  <c r="AA34" i="1"/>
  <c r="AD34" i="1"/>
  <c r="Q35" i="6"/>
  <c r="P35" i="6"/>
  <c r="O35" i="6"/>
  <c r="N35" i="6"/>
  <c r="M35" i="6"/>
  <c r="L35" i="6"/>
  <c r="K35" i="6"/>
  <c r="F35" i="6"/>
  <c r="E35" i="6"/>
  <c r="D35" i="6"/>
  <c r="C35" i="6"/>
  <c r="B35" i="6"/>
  <c r="W34" i="6"/>
  <c r="V34" i="6"/>
  <c r="U34" i="6"/>
  <c r="T34" i="6"/>
  <c r="S34" i="6"/>
  <c r="R34" i="6"/>
  <c r="AA33" i="1"/>
  <c r="AD33" i="1"/>
  <c r="Q34" i="6"/>
  <c r="P34" i="6"/>
  <c r="O34" i="6"/>
  <c r="N34" i="6"/>
  <c r="M34" i="6"/>
  <c r="L34" i="6"/>
  <c r="K34" i="6"/>
  <c r="F34" i="6"/>
  <c r="E34" i="6"/>
  <c r="D34" i="6"/>
  <c r="C34" i="6"/>
  <c r="B34" i="6"/>
  <c r="W33" i="6"/>
  <c r="V33" i="6"/>
  <c r="U33" i="6"/>
  <c r="T33" i="6"/>
  <c r="S33" i="6"/>
  <c r="R33" i="6"/>
  <c r="AA32" i="1"/>
  <c r="AD32" i="1"/>
  <c r="Q33" i="6"/>
  <c r="P33" i="6"/>
  <c r="O33" i="6"/>
  <c r="N33" i="6"/>
  <c r="M33" i="6"/>
  <c r="L33" i="6"/>
  <c r="K33" i="6"/>
  <c r="F33" i="6"/>
  <c r="E33" i="6"/>
  <c r="D33" i="6"/>
  <c r="C33" i="6"/>
  <c r="B33" i="6"/>
  <c r="W32" i="6"/>
  <c r="V32" i="6"/>
  <c r="U32" i="6"/>
  <c r="T32" i="6"/>
  <c r="S32" i="6"/>
  <c r="R32" i="6"/>
  <c r="AA31" i="1"/>
  <c r="AD31" i="1"/>
  <c r="Q32" i="6"/>
  <c r="P32" i="6"/>
  <c r="O32" i="6"/>
  <c r="N32" i="6"/>
  <c r="F32" i="6"/>
  <c r="E32" i="6"/>
  <c r="D32" i="6"/>
  <c r="C32" i="6"/>
  <c r="B32" i="6"/>
  <c r="W31" i="6"/>
  <c r="V31" i="6"/>
  <c r="U31" i="6"/>
  <c r="T31" i="6"/>
  <c r="S31" i="6"/>
  <c r="R31" i="6"/>
  <c r="AA30" i="1"/>
  <c r="AD30" i="1"/>
  <c r="Q31" i="6"/>
  <c r="P31" i="6"/>
  <c r="O31" i="6"/>
  <c r="N31" i="6"/>
  <c r="M31" i="6"/>
  <c r="L31" i="6"/>
  <c r="K31" i="6"/>
  <c r="F31" i="6"/>
  <c r="E31" i="6"/>
  <c r="D31" i="6"/>
  <c r="C31" i="6"/>
  <c r="B31" i="6"/>
  <c r="W30" i="6"/>
  <c r="V30" i="6"/>
  <c r="U30" i="6"/>
  <c r="T30" i="6"/>
  <c r="S30" i="6"/>
  <c r="R30" i="6"/>
  <c r="AA29" i="1"/>
  <c r="AD29" i="1"/>
  <c r="Q30" i="6"/>
  <c r="P30" i="6"/>
  <c r="O30" i="6"/>
  <c r="N30" i="6"/>
  <c r="M30" i="6"/>
  <c r="L30" i="6"/>
  <c r="K30" i="6"/>
  <c r="F30" i="6"/>
  <c r="E30" i="6"/>
  <c r="D30" i="6"/>
  <c r="C30" i="6"/>
  <c r="B30" i="6"/>
  <c r="W29" i="6"/>
  <c r="V29" i="6"/>
  <c r="U29" i="6"/>
  <c r="T29" i="6"/>
  <c r="S29" i="6"/>
  <c r="R29" i="6"/>
  <c r="AA28" i="1"/>
  <c r="AD28" i="1"/>
  <c r="Q29" i="6"/>
  <c r="P29" i="6"/>
  <c r="O29" i="6"/>
  <c r="N29" i="6"/>
  <c r="M29" i="6"/>
  <c r="L29" i="6"/>
  <c r="K29" i="6"/>
  <c r="F29" i="6"/>
  <c r="E29" i="6"/>
  <c r="D29" i="6"/>
  <c r="C29" i="6"/>
  <c r="B29" i="6"/>
  <c r="W28" i="6"/>
  <c r="V28" i="6"/>
  <c r="U28" i="6"/>
  <c r="T28" i="6"/>
  <c r="S28" i="6"/>
  <c r="R28" i="6"/>
  <c r="AA27" i="1"/>
  <c r="AD27" i="1"/>
  <c r="Q28" i="6"/>
  <c r="P28" i="6"/>
  <c r="O28" i="6"/>
  <c r="N28" i="6"/>
  <c r="M28" i="6"/>
  <c r="L28" i="6"/>
  <c r="K28" i="6"/>
  <c r="F28" i="6"/>
  <c r="E28" i="6"/>
  <c r="D28" i="6"/>
  <c r="C28" i="6"/>
  <c r="B28" i="6"/>
  <c r="W27" i="6"/>
  <c r="V27" i="6"/>
  <c r="U27" i="6"/>
  <c r="T27" i="6"/>
  <c r="S27" i="6"/>
  <c r="R27" i="6"/>
  <c r="AA26" i="1"/>
  <c r="AD26" i="1"/>
  <c r="Q27" i="6"/>
  <c r="P27" i="6"/>
  <c r="O27" i="6"/>
  <c r="N27" i="6"/>
  <c r="M27" i="6"/>
  <c r="L27" i="6"/>
  <c r="K27" i="6"/>
  <c r="F27" i="6"/>
  <c r="E27" i="6"/>
  <c r="D27" i="6"/>
  <c r="C27" i="6"/>
  <c r="B27" i="6"/>
  <c r="W26" i="6"/>
  <c r="V26" i="6"/>
  <c r="U26" i="6"/>
  <c r="T26" i="6"/>
  <c r="S26" i="6"/>
  <c r="R26" i="6"/>
  <c r="AA25" i="1"/>
  <c r="AD25" i="1"/>
  <c r="Q26" i="6"/>
  <c r="P26" i="6"/>
  <c r="O26" i="6"/>
  <c r="N26" i="6"/>
  <c r="M26" i="6"/>
  <c r="L26" i="6"/>
  <c r="K26" i="6"/>
  <c r="F26" i="6"/>
  <c r="E26" i="6"/>
  <c r="D26" i="6"/>
  <c r="C26" i="6"/>
  <c r="B26" i="6"/>
  <c r="W25" i="6"/>
  <c r="V25" i="6"/>
  <c r="U25" i="6"/>
  <c r="T25" i="6"/>
  <c r="S25" i="6"/>
  <c r="R25" i="6"/>
  <c r="AA24" i="1"/>
  <c r="AD24" i="1"/>
  <c r="Q25" i="6"/>
  <c r="P25" i="6"/>
  <c r="O25" i="6"/>
  <c r="N25" i="6"/>
  <c r="F25" i="6"/>
  <c r="E25" i="6"/>
  <c r="D25" i="6"/>
  <c r="C25" i="6"/>
  <c r="B25" i="6"/>
  <c r="W24" i="6"/>
  <c r="V24" i="6"/>
  <c r="U24" i="6"/>
  <c r="T24" i="6"/>
  <c r="S24" i="6"/>
  <c r="R24" i="6"/>
  <c r="AA23" i="1"/>
  <c r="AD23" i="1"/>
  <c r="Q24" i="6"/>
  <c r="P24" i="6"/>
  <c r="O24" i="6"/>
  <c r="N24" i="6"/>
  <c r="M24" i="6"/>
  <c r="L24" i="6"/>
  <c r="K24" i="6"/>
  <c r="F24" i="6"/>
  <c r="E24" i="6"/>
  <c r="D24" i="6"/>
  <c r="C24" i="6"/>
  <c r="B24" i="6"/>
  <c r="W23" i="6"/>
  <c r="V23" i="6"/>
  <c r="U23" i="6"/>
  <c r="T23" i="6"/>
  <c r="S23" i="6"/>
  <c r="R23" i="6"/>
  <c r="AA22" i="1"/>
  <c r="AD22" i="1"/>
  <c r="Q23" i="6"/>
  <c r="P23" i="6"/>
  <c r="O23" i="6"/>
  <c r="N23" i="6"/>
  <c r="M23" i="6"/>
  <c r="L23" i="6"/>
  <c r="K23" i="6"/>
  <c r="F23" i="6"/>
  <c r="E23" i="6"/>
  <c r="D23" i="6"/>
  <c r="C23" i="6"/>
  <c r="B23" i="6"/>
  <c r="W22" i="6"/>
  <c r="V22" i="6"/>
  <c r="U22" i="6"/>
  <c r="T22" i="6"/>
  <c r="S22" i="6"/>
  <c r="R22" i="6"/>
  <c r="AA21" i="1"/>
  <c r="AD21" i="1"/>
  <c r="Q22" i="6"/>
  <c r="P22" i="6"/>
  <c r="O22" i="6"/>
  <c r="N22" i="6"/>
  <c r="M22" i="6"/>
  <c r="L22" i="6"/>
  <c r="K22" i="6"/>
  <c r="F22" i="6"/>
  <c r="E22" i="6"/>
  <c r="D22" i="6"/>
  <c r="C22" i="6"/>
  <c r="B22" i="6"/>
  <c r="W21" i="6"/>
  <c r="V21" i="6"/>
  <c r="U21" i="6"/>
  <c r="T21" i="6"/>
  <c r="S21" i="6"/>
  <c r="R21" i="6"/>
  <c r="AA20" i="1"/>
  <c r="AD20" i="1"/>
  <c r="Q21" i="6"/>
  <c r="P21" i="6"/>
  <c r="O21" i="6"/>
  <c r="N21" i="6"/>
  <c r="M21" i="6"/>
  <c r="L21" i="6"/>
  <c r="K21" i="6"/>
  <c r="F21" i="6"/>
  <c r="E21" i="6"/>
  <c r="D21" i="6"/>
  <c r="C21" i="6"/>
  <c r="B21" i="6"/>
  <c r="W20" i="6"/>
  <c r="V20" i="6"/>
  <c r="U20" i="6"/>
  <c r="T20" i="6"/>
  <c r="S20" i="6"/>
  <c r="R20" i="6"/>
  <c r="AA19" i="1"/>
  <c r="AD19" i="1"/>
  <c r="Q20" i="6"/>
  <c r="P20" i="6"/>
  <c r="O20" i="6"/>
  <c r="N20" i="6"/>
  <c r="M20" i="6"/>
  <c r="L20" i="6"/>
  <c r="K20" i="6"/>
  <c r="F20" i="6"/>
  <c r="E20" i="6"/>
  <c r="D20" i="6"/>
  <c r="C20" i="6"/>
  <c r="B20" i="6"/>
  <c r="W19" i="6"/>
  <c r="V19" i="6"/>
  <c r="U19" i="6"/>
  <c r="T19" i="6"/>
  <c r="S19" i="6"/>
  <c r="R19" i="6"/>
  <c r="AA18" i="1"/>
  <c r="AD18" i="1"/>
  <c r="Q19" i="6"/>
  <c r="P19" i="6"/>
  <c r="O19" i="6"/>
  <c r="N19" i="6"/>
  <c r="M19" i="6"/>
  <c r="L19" i="6"/>
  <c r="K19" i="6"/>
  <c r="F19" i="6"/>
  <c r="E19" i="6"/>
  <c r="D19" i="6"/>
  <c r="C19" i="6"/>
  <c r="B19" i="6"/>
  <c r="W18" i="6"/>
  <c r="V18" i="6"/>
  <c r="U18" i="6"/>
  <c r="T18" i="6"/>
  <c r="S18" i="6"/>
  <c r="R18" i="6"/>
  <c r="AA17" i="1"/>
  <c r="AD17" i="1"/>
  <c r="Q18" i="6"/>
  <c r="P18" i="6"/>
  <c r="O18" i="6"/>
  <c r="N18" i="6"/>
  <c r="M18" i="6"/>
  <c r="L18" i="6"/>
  <c r="K18" i="6"/>
  <c r="F18" i="6"/>
  <c r="E18" i="6"/>
  <c r="D18" i="6"/>
  <c r="C18" i="6"/>
  <c r="B18" i="6"/>
  <c r="W17" i="6"/>
  <c r="V17" i="6"/>
  <c r="U17" i="6"/>
  <c r="T17" i="6"/>
  <c r="S17" i="6"/>
  <c r="R17" i="6"/>
  <c r="AA16" i="1"/>
  <c r="AD16" i="1"/>
  <c r="Q17" i="6"/>
  <c r="P17" i="6"/>
  <c r="O17" i="6"/>
  <c r="N17" i="6"/>
  <c r="M17" i="6"/>
  <c r="L17" i="6"/>
  <c r="K17" i="6"/>
  <c r="F17" i="6"/>
  <c r="E17" i="6"/>
  <c r="D17" i="6"/>
  <c r="C17" i="6"/>
  <c r="B17" i="6"/>
  <c r="W16" i="6"/>
  <c r="V16" i="6"/>
  <c r="U16" i="6"/>
  <c r="T16" i="6"/>
  <c r="S16" i="6"/>
  <c r="R16" i="6"/>
  <c r="AA15" i="1"/>
  <c r="AD15" i="1"/>
  <c r="Q16" i="6"/>
  <c r="P16" i="6"/>
  <c r="O16" i="6"/>
  <c r="N16" i="6"/>
  <c r="M16" i="6"/>
  <c r="L16" i="6"/>
  <c r="K16" i="6"/>
  <c r="F16" i="6"/>
  <c r="E16" i="6"/>
  <c r="D16" i="6"/>
  <c r="C16" i="6"/>
  <c r="B16" i="6"/>
  <c r="W15" i="6"/>
  <c r="V15" i="6"/>
  <c r="U15" i="6"/>
  <c r="T15" i="6"/>
  <c r="S15" i="6"/>
  <c r="R15" i="6"/>
  <c r="AA14" i="1"/>
  <c r="AD14" i="1"/>
  <c r="Q15" i="6"/>
  <c r="P15" i="6"/>
  <c r="O15" i="6"/>
  <c r="N15" i="6"/>
  <c r="F15" i="6"/>
  <c r="E15" i="6"/>
  <c r="D15" i="6"/>
  <c r="C15" i="6"/>
  <c r="B15" i="6"/>
  <c r="W14" i="6"/>
  <c r="V14" i="6"/>
  <c r="U14" i="6"/>
  <c r="T14" i="6"/>
  <c r="S14" i="6"/>
  <c r="R14" i="6"/>
  <c r="AA13" i="1"/>
  <c r="AD13" i="1"/>
  <c r="Q14" i="6"/>
  <c r="P14" i="6"/>
  <c r="O14" i="6"/>
  <c r="N14" i="6"/>
  <c r="M14" i="6"/>
  <c r="L14" i="6"/>
  <c r="K14" i="6"/>
  <c r="F14" i="6"/>
  <c r="E14" i="6"/>
  <c r="D14" i="6"/>
  <c r="C14" i="6"/>
  <c r="B14" i="6"/>
  <c r="W13" i="6"/>
  <c r="V13" i="6"/>
  <c r="U13" i="6"/>
  <c r="T13" i="6"/>
  <c r="S13" i="6"/>
  <c r="R13" i="6"/>
  <c r="AA12" i="1"/>
  <c r="AD12" i="1"/>
  <c r="Q13" i="6"/>
  <c r="P13" i="6"/>
  <c r="O13" i="6"/>
  <c r="N13" i="6"/>
  <c r="M13" i="6"/>
  <c r="L13" i="6"/>
  <c r="K13" i="6"/>
  <c r="F13" i="6"/>
  <c r="E13" i="6"/>
  <c r="D13" i="6"/>
  <c r="C13" i="6"/>
  <c r="B13" i="6"/>
  <c r="W12" i="6"/>
  <c r="V12" i="6"/>
  <c r="U12" i="6"/>
  <c r="T12" i="6"/>
  <c r="S12" i="6"/>
  <c r="R12" i="6"/>
  <c r="AA11" i="1"/>
  <c r="AD11" i="1"/>
  <c r="Q12" i="6"/>
  <c r="P12" i="6"/>
  <c r="O12" i="6"/>
  <c r="N12" i="6"/>
  <c r="M12" i="6"/>
  <c r="L12" i="6"/>
  <c r="K12" i="6"/>
  <c r="F12" i="6"/>
  <c r="E12" i="6"/>
  <c r="D12" i="6"/>
  <c r="C12" i="6"/>
  <c r="B12" i="6"/>
  <c r="W11" i="6"/>
  <c r="V11" i="6"/>
  <c r="U11" i="6"/>
  <c r="T11" i="6"/>
  <c r="S11" i="6"/>
  <c r="R11" i="6"/>
  <c r="AA10" i="1"/>
  <c r="AD10" i="1"/>
  <c r="Q11" i="6"/>
  <c r="P11" i="6"/>
  <c r="O11" i="6"/>
  <c r="N11" i="6"/>
  <c r="M11" i="6"/>
  <c r="L11" i="6"/>
  <c r="K11" i="6"/>
  <c r="F11" i="6"/>
  <c r="E11" i="6"/>
  <c r="D11" i="6"/>
  <c r="C11" i="6"/>
  <c r="B11" i="6"/>
  <c r="W10" i="6"/>
  <c r="V10" i="6"/>
  <c r="U10" i="6"/>
  <c r="T10" i="6"/>
  <c r="S10" i="6"/>
  <c r="R10" i="6"/>
  <c r="AA9" i="1"/>
  <c r="AD9" i="1"/>
  <c r="Q10" i="6"/>
  <c r="P10" i="6"/>
  <c r="O10" i="6"/>
  <c r="N10" i="6"/>
  <c r="M10" i="6"/>
  <c r="L10" i="6"/>
  <c r="K10" i="6"/>
  <c r="F10" i="6"/>
  <c r="E10" i="6"/>
  <c r="D10" i="6"/>
  <c r="C10" i="6"/>
  <c r="B10" i="6"/>
  <c r="W9" i="6"/>
  <c r="V9" i="6"/>
  <c r="U9" i="6"/>
  <c r="T9" i="6"/>
  <c r="S9" i="6"/>
  <c r="R9" i="6"/>
  <c r="AA8" i="1"/>
  <c r="AD8" i="1"/>
  <c r="Q9" i="6"/>
  <c r="P9" i="6"/>
  <c r="O9" i="6"/>
  <c r="N9" i="6"/>
  <c r="M9" i="6"/>
  <c r="L9" i="6"/>
  <c r="K9" i="6"/>
  <c r="F9" i="6"/>
  <c r="E9" i="6"/>
  <c r="D9" i="6"/>
  <c r="C9" i="6"/>
  <c r="B9" i="6"/>
  <c r="W8" i="6"/>
  <c r="V8" i="6"/>
  <c r="U8" i="6"/>
  <c r="T8" i="6"/>
  <c r="S8" i="6"/>
  <c r="R8" i="6"/>
  <c r="AA7" i="1"/>
  <c r="AD7" i="1"/>
  <c r="Q8" i="6"/>
  <c r="P8" i="6"/>
  <c r="O8" i="6"/>
  <c r="N8" i="6"/>
  <c r="F8" i="6"/>
  <c r="E8" i="6"/>
  <c r="D8" i="6"/>
  <c r="C8" i="6"/>
  <c r="B8" i="6"/>
  <c r="W7" i="6"/>
  <c r="V7" i="6"/>
  <c r="U7" i="6"/>
  <c r="T7" i="6"/>
  <c r="S7" i="6"/>
  <c r="R7" i="6"/>
  <c r="AA6" i="1"/>
  <c r="AD6" i="1"/>
  <c r="Q7" i="6"/>
  <c r="P7" i="6"/>
  <c r="O7" i="6"/>
  <c r="N7" i="6"/>
  <c r="M7" i="6"/>
  <c r="L7" i="6"/>
  <c r="K7" i="6"/>
  <c r="F7" i="6"/>
  <c r="E7" i="6"/>
  <c r="D7" i="6"/>
  <c r="C7" i="6"/>
  <c r="B7" i="6"/>
  <c r="W6" i="6"/>
  <c r="V6" i="6"/>
  <c r="U6" i="6"/>
  <c r="T6" i="6"/>
  <c r="S6" i="6"/>
  <c r="R6" i="6"/>
  <c r="AA5" i="1"/>
  <c r="AD5" i="1"/>
  <c r="Q6" i="6"/>
  <c r="P6" i="6"/>
  <c r="O6" i="6"/>
  <c r="N6" i="6"/>
  <c r="M6" i="6"/>
  <c r="L6" i="6"/>
  <c r="K6" i="6"/>
  <c r="F6" i="6"/>
  <c r="E6" i="6"/>
  <c r="D6" i="6"/>
  <c r="C6" i="6"/>
  <c r="B6" i="6"/>
  <c r="W5" i="6"/>
  <c r="V5" i="6"/>
  <c r="U5" i="6"/>
  <c r="T5" i="6"/>
  <c r="S5" i="6"/>
  <c r="R5" i="6"/>
  <c r="AA4" i="1"/>
  <c r="AD4" i="1"/>
  <c r="Q5" i="6"/>
  <c r="P5" i="6"/>
  <c r="O5" i="6"/>
  <c r="N5" i="6"/>
  <c r="M5" i="6"/>
  <c r="L5" i="6"/>
  <c r="K5" i="6"/>
  <c r="F5" i="6"/>
  <c r="E5" i="6"/>
  <c r="D5" i="6"/>
  <c r="C5" i="6"/>
  <c r="B5" i="6"/>
  <c r="W4" i="6"/>
  <c r="V4" i="6"/>
  <c r="U4" i="6"/>
  <c r="T4" i="6"/>
  <c r="S4" i="6"/>
  <c r="R4" i="6"/>
  <c r="AA3" i="1"/>
  <c r="AD3" i="1"/>
  <c r="Q4" i="6"/>
  <c r="P4" i="6"/>
  <c r="O4" i="6"/>
  <c r="N4" i="6"/>
  <c r="M4" i="6"/>
  <c r="L4" i="6"/>
  <c r="K4" i="6"/>
  <c r="F4" i="6"/>
  <c r="E4" i="6"/>
  <c r="D4" i="6"/>
  <c r="C4" i="6"/>
  <c r="B4" i="6"/>
  <c r="AB230" i="1"/>
  <c r="Z230" i="1"/>
  <c r="N230" i="1"/>
  <c r="M230" i="1"/>
  <c r="L230" i="1"/>
  <c r="K230" i="1"/>
  <c r="J230" i="1"/>
  <c r="H230" i="1"/>
  <c r="E230" i="1"/>
  <c r="AB229" i="1"/>
  <c r="Z229" i="1"/>
  <c r="N229" i="1"/>
  <c r="M229" i="1"/>
  <c r="L229" i="1"/>
  <c r="K229" i="1"/>
  <c r="J229" i="1"/>
  <c r="H229" i="1"/>
  <c r="E229" i="1"/>
  <c r="AB207" i="1"/>
  <c r="Z207" i="1"/>
  <c r="N207" i="1"/>
  <c r="M207" i="1"/>
  <c r="L207" i="1"/>
  <c r="K207" i="1"/>
  <c r="J207" i="1"/>
  <c r="H207" i="1"/>
  <c r="E207" i="1"/>
  <c r="AB206" i="1"/>
  <c r="Z206" i="1"/>
  <c r="N206" i="1"/>
  <c r="M206" i="1"/>
  <c r="L206" i="1"/>
  <c r="K206" i="1"/>
  <c r="J206" i="1"/>
  <c r="H206" i="1"/>
  <c r="E206" i="1"/>
  <c r="AB154" i="1"/>
  <c r="Z154" i="1"/>
  <c r="N154" i="1"/>
  <c r="M154" i="1"/>
  <c r="L154" i="1"/>
  <c r="K154" i="1"/>
  <c r="J154" i="1"/>
  <c r="H154" i="1"/>
  <c r="E154" i="1"/>
  <c r="AB153" i="1"/>
  <c r="Z153" i="1"/>
  <c r="N153" i="1"/>
  <c r="M153" i="1"/>
  <c r="L153" i="1"/>
  <c r="K153" i="1"/>
  <c r="J153" i="1"/>
  <c r="H153" i="1"/>
  <c r="E153" i="1"/>
  <c r="AB139" i="1"/>
  <c r="Z139" i="1"/>
  <c r="N139" i="1"/>
  <c r="M139" i="1"/>
  <c r="L139" i="1"/>
  <c r="K139" i="1"/>
  <c r="J139" i="1"/>
  <c r="H139" i="1"/>
  <c r="E139" i="1"/>
  <c r="AB136" i="1"/>
  <c r="Z136" i="1"/>
  <c r="N136" i="1"/>
  <c r="M136" i="1"/>
  <c r="L136" i="1"/>
  <c r="K136" i="1"/>
  <c r="J136" i="1"/>
  <c r="H136" i="1"/>
  <c r="E136" i="1"/>
  <c r="AB132" i="1"/>
  <c r="Z132" i="1"/>
  <c r="N132" i="1"/>
  <c r="M132" i="1"/>
  <c r="L132" i="1"/>
  <c r="K132" i="1"/>
  <c r="J132" i="1"/>
  <c r="H132" i="1"/>
  <c r="E132" i="1"/>
  <c r="AB127" i="1"/>
  <c r="Z127" i="1"/>
  <c r="N127" i="1"/>
  <c r="M127" i="1"/>
  <c r="L127" i="1"/>
  <c r="K127" i="1"/>
  <c r="J127" i="1"/>
  <c r="H127" i="1"/>
  <c r="E127" i="1"/>
  <c r="AB123" i="1"/>
  <c r="Z123" i="1"/>
  <c r="N123" i="1"/>
  <c r="M123" i="1"/>
  <c r="L123" i="1"/>
  <c r="K123" i="1"/>
  <c r="J123" i="1"/>
  <c r="H123" i="1"/>
  <c r="E123" i="1"/>
  <c r="AB119" i="1"/>
  <c r="Z119" i="1"/>
  <c r="N119" i="1"/>
  <c r="M119" i="1"/>
  <c r="L119" i="1"/>
  <c r="K119" i="1"/>
  <c r="J119" i="1"/>
  <c r="H119" i="1"/>
  <c r="E119" i="1"/>
  <c r="AB114" i="1"/>
  <c r="Z114" i="1"/>
  <c r="N114" i="1"/>
  <c r="M114" i="1"/>
  <c r="L114" i="1"/>
  <c r="K114" i="1"/>
  <c r="J114" i="1"/>
  <c r="H114" i="1"/>
  <c r="E114" i="1"/>
  <c r="AB100" i="1"/>
  <c r="Z100" i="1"/>
  <c r="N100" i="1"/>
  <c r="M100" i="1"/>
  <c r="L100" i="1"/>
  <c r="K100" i="1"/>
  <c r="J100" i="1"/>
  <c r="H100" i="1"/>
  <c r="E100" i="1"/>
  <c r="AB96" i="1"/>
  <c r="Z96" i="1"/>
  <c r="N96" i="1"/>
  <c r="M96" i="1"/>
  <c r="L96" i="1"/>
  <c r="K96" i="1"/>
  <c r="J96" i="1"/>
  <c r="H96" i="1"/>
  <c r="E96" i="1"/>
  <c r="AB92" i="1"/>
  <c r="Z92" i="1"/>
  <c r="N92" i="1"/>
  <c r="M92" i="1"/>
  <c r="L92" i="1"/>
  <c r="K92" i="1"/>
  <c r="J92" i="1"/>
  <c r="H92" i="1"/>
  <c r="E92" i="1"/>
  <c r="AB85" i="1"/>
  <c r="Z85" i="1"/>
  <c r="N85" i="1"/>
  <c r="M85" i="1"/>
  <c r="L85" i="1"/>
  <c r="K85" i="1"/>
  <c r="J85" i="1"/>
  <c r="H85" i="1"/>
  <c r="E85" i="1"/>
  <c r="AB81" i="1"/>
  <c r="Z81" i="1"/>
  <c r="N81" i="1"/>
  <c r="M81" i="1"/>
  <c r="L81" i="1"/>
  <c r="K81" i="1"/>
  <c r="J81" i="1"/>
  <c r="H81" i="1"/>
  <c r="E81" i="1"/>
  <c r="AB77" i="1"/>
  <c r="Z77" i="1"/>
  <c r="N77" i="1"/>
  <c r="M77" i="1"/>
  <c r="L77" i="1"/>
  <c r="K77" i="1"/>
  <c r="J77" i="1"/>
  <c r="H77" i="1"/>
  <c r="E77" i="1"/>
  <c r="AB70" i="1"/>
  <c r="Z70" i="1"/>
  <c r="N70" i="1"/>
  <c r="M70" i="1"/>
  <c r="L70" i="1"/>
  <c r="K70" i="1"/>
  <c r="J70" i="1"/>
  <c r="H70" i="1"/>
  <c r="E70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1" i="1"/>
  <c r="J72" i="1"/>
  <c r="J73" i="1"/>
  <c r="J74" i="1"/>
  <c r="J75" i="1"/>
  <c r="J76" i="1"/>
  <c r="J78" i="1"/>
  <c r="J79" i="1"/>
  <c r="J80" i="1"/>
  <c r="J82" i="1"/>
  <c r="J83" i="1"/>
  <c r="J84" i="1"/>
  <c r="J86" i="1"/>
  <c r="J87" i="1"/>
  <c r="J88" i="1"/>
  <c r="J89" i="1"/>
  <c r="J90" i="1"/>
  <c r="J91" i="1"/>
  <c r="J93" i="1"/>
  <c r="J94" i="1"/>
  <c r="J95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5" i="1"/>
  <c r="J116" i="1"/>
  <c r="J117" i="1"/>
  <c r="J118" i="1"/>
  <c r="J120" i="1"/>
  <c r="J121" i="1"/>
  <c r="J122" i="1"/>
  <c r="J124" i="1"/>
  <c r="J125" i="1"/>
  <c r="J126" i="1"/>
  <c r="J128" i="1"/>
  <c r="J129" i="1"/>
  <c r="J130" i="1"/>
  <c r="J131" i="1"/>
  <c r="J133" i="1"/>
  <c r="J134" i="1"/>
  <c r="J135" i="1"/>
  <c r="J137" i="1"/>
  <c r="J138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AB148" i="1"/>
  <c r="Z148" i="1"/>
  <c r="N148" i="1"/>
  <c r="M148" i="1"/>
  <c r="L148" i="1"/>
  <c r="K148" i="1"/>
  <c r="H148" i="1"/>
  <c r="E148" i="1"/>
  <c r="AB147" i="1"/>
  <c r="Z147" i="1"/>
  <c r="N147" i="1"/>
  <c r="M147" i="1"/>
  <c r="L147" i="1"/>
  <c r="K147" i="1"/>
  <c r="H147" i="1"/>
  <c r="E147" i="1"/>
  <c r="AB146" i="1"/>
  <c r="Z146" i="1"/>
  <c r="N146" i="1"/>
  <c r="M146" i="1"/>
  <c r="L146" i="1"/>
  <c r="K146" i="1"/>
  <c r="H146" i="1"/>
  <c r="E146" i="1"/>
  <c r="AB145" i="1"/>
  <c r="Z145" i="1"/>
  <c r="N145" i="1"/>
  <c r="M145" i="1"/>
  <c r="L145" i="1"/>
  <c r="K145" i="1"/>
  <c r="H145" i="1"/>
  <c r="E145" i="1"/>
  <c r="AB144" i="1"/>
  <c r="Z144" i="1"/>
  <c r="N144" i="1"/>
  <c r="M144" i="1"/>
  <c r="L144" i="1"/>
  <c r="K144" i="1"/>
  <c r="H144" i="1"/>
  <c r="E144" i="1"/>
  <c r="AB143" i="1"/>
  <c r="Z143" i="1"/>
  <c r="N143" i="1"/>
  <c r="M143" i="1"/>
  <c r="L143" i="1"/>
  <c r="K143" i="1"/>
  <c r="H143" i="1"/>
  <c r="E143" i="1"/>
  <c r="AB142" i="1"/>
  <c r="Z142" i="1"/>
  <c r="N142" i="1"/>
  <c r="M142" i="1"/>
  <c r="L142" i="1"/>
  <c r="K142" i="1"/>
  <c r="H142" i="1"/>
  <c r="E142" i="1"/>
  <c r="AB109" i="1"/>
  <c r="Z109" i="1"/>
  <c r="N109" i="1"/>
  <c r="M109" i="1"/>
  <c r="L109" i="1"/>
  <c r="K109" i="1"/>
  <c r="H109" i="1"/>
  <c r="E109" i="1"/>
  <c r="AB108" i="1"/>
  <c r="Z108" i="1"/>
  <c r="N108" i="1"/>
  <c r="M108" i="1"/>
  <c r="L108" i="1"/>
  <c r="K108" i="1"/>
  <c r="H108" i="1"/>
  <c r="E108" i="1"/>
  <c r="AB107" i="1"/>
  <c r="Z107" i="1"/>
  <c r="N107" i="1"/>
  <c r="M107" i="1"/>
  <c r="L107" i="1"/>
  <c r="K107" i="1"/>
  <c r="H107" i="1"/>
  <c r="E107" i="1"/>
  <c r="AB106" i="1"/>
  <c r="Z106" i="1"/>
  <c r="N106" i="1"/>
  <c r="M106" i="1"/>
  <c r="L106" i="1"/>
  <c r="K106" i="1"/>
  <c r="H106" i="1"/>
  <c r="E106" i="1"/>
  <c r="AB105" i="1"/>
  <c r="Z105" i="1"/>
  <c r="N105" i="1"/>
  <c r="M105" i="1"/>
  <c r="L105" i="1"/>
  <c r="K105" i="1"/>
  <c r="H105" i="1"/>
  <c r="E105" i="1"/>
  <c r="AB104" i="1"/>
  <c r="Z104" i="1"/>
  <c r="N104" i="1"/>
  <c r="M104" i="1"/>
  <c r="L104" i="1"/>
  <c r="K104" i="1"/>
  <c r="H104" i="1"/>
  <c r="E104" i="1"/>
  <c r="AB103" i="1"/>
  <c r="Z103" i="1"/>
  <c r="N103" i="1"/>
  <c r="M103" i="1"/>
  <c r="L103" i="1"/>
  <c r="K103" i="1"/>
  <c r="H103" i="1"/>
  <c r="E103" i="1"/>
  <c r="AB65" i="1"/>
  <c r="Z65" i="1"/>
  <c r="N65" i="1"/>
  <c r="M65" i="1"/>
  <c r="L65" i="1"/>
  <c r="K65" i="1"/>
  <c r="H65" i="1"/>
  <c r="E65" i="1"/>
  <c r="AB64" i="1"/>
  <c r="Z64" i="1"/>
  <c r="N64" i="1"/>
  <c r="M64" i="1"/>
  <c r="L64" i="1"/>
  <c r="K64" i="1"/>
  <c r="H64" i="1"/>
  <c r="E64" i="1"/>
  <c r="AB63" i="1"/>
  <c r="Z63" i="1"/>
  <c r="N63" i="1"/>
  <c r="M63" i="1"/>
  <c r="L63" i="1"/>
  <c r="K63" i="1"/>
  <c r="H63" i="1"/>
  <c r="E63" i="1"/>
  <c r="AB62" i="1"/>
  <c r="Z62" i="1"/>
  <c r="N62" i="1"/>
  <c r="M62" i="1"/>
  <c r="L62" i="1"/>
  <c r="K62" i="1"/>
  <c r="H62" i="1"/>
  <c r="E62" i="1"/>
  <c r="AB61" i="1"/>
  <c r="Z61" i="1"/>
  <c r="N61" i="1"/>
  <c r="M61" i="1"/>
  <c r="L61" i="1"/>
  <c r="K61" i="1"/>
  <c r="H61" i="1"/>
  <c r="E61" i="1"/>
  <c r="AB60" i="1"/>
  <c r="Z60" i="1"/>
  <c r="N60" i="1"/>
  <c r="M60" i="1"/>
  <c r="L60" i="1"/>
  <c r="K60" i="1"/>
  <c r="H60" i="1"/>
  <c r="E60" i="1"/>
  <c r="AB59" i="1"/>
  <c r="Z59" i="1"/>
  <c r="N59" i="1"/>
  <c r="M59" i="1"/>
  <c r="L59" i="1"/>
  <c r="K59" i="1"/>
  <c r="H59" i="1"/>
  <c r="E59" i="1"/>
  <c r="AB30" i="1"/>
  <c r="Z30" i="1"/>
  <c r="N30" i="1"/>
  <c r="M30" i="1"/>
  <c r="L30" i="1"/>
  <c r="K30" i="1"/>
  <c r="H30" i="1"/>
  <c r="E30" i="1"/>
  <c r="AB29" i="1"/>
  <c r="Z29" i="1"/>
  <c r="N29" i="1"/>
  <c r="M29" i="1"/>
  <c r="L29" i="1"/>
  <c r="K29" i="1"/>
  <c r="H29" i="1"/>
  <c r="E29" i="1"/>
  <c r="AB28" i="1"/>
  <c r="Z28" i="1"/>
  <c r="N28" i="1"/>
  <c r="M28" i="1"/>
  <c r="L28" i="1"/>
  <c r="K28" i="1"/>
  <c r="H28" i="1"/>
  <c r="E28" i="1"/>
  <c r="AB27" i="1"/>
  <c r="Z27" i="1"/>
  <c r="N27" i="1"/>
  <c r="M27" i="1"/>
  <c r="L27" i="1"/>
  <c r="K27" i="1"/>
  <c r="H27" i="1"/>
  <c r="E27" i="1"/>
  <c r="AB26" i="1"/>
  <c r="Z26" i="1"/>
  <c r="N26" i="1"/>
  <c r="M26" i="1"/>
  <c r="L26" i="1"/>
  <c r="K26" i="1"/>
  <c r="H26" i="1"/>
  <c r="E26" i="1"/>
  <c r="AB24" i="1"/>
  <c r="Z24" i="1"/>
  <c r="N24" i="1"/>
  <c r="M24" i="1"/>
  <c r="L24" i="1"/>
  <c r="K24" i="1"/>
  <c r="H24" i="1"/>
  <c r="E24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5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66" i="1"/>
  <c r="H67" i="1"/>
  <c r="H68" i="1"/>
  <c r="H69" i="1"/>
  <c r="H71" i="1"/>
  <c r="H72" i="1"/>
  <c r="H73" i="1"/>
  <c r="H74" i="1"/>
  <c r="H75" i="1"/>
  <c r="H76" i="1"/>
  <c r="H78" i="1"/>
  <c r="H79" i="1"/>
  <c r="H80" i="1"/>
  <c r="H82" i="1"/>
  <c r="H83" i="1"/>
  <c r="H84" i="1"/>
  <c r="H86" i="1"/>
  <c r="H87" i="1"/>
  <c r="H88" i="1"/>
  <c r="H89" i="1"/>
  <c r="H90" i="1"/>
  <c r="H91" i="1"/>
  <c r="H93" i="1"/>
  <c r="H94" i="1"/>
  <c r="H95" i="1"/>
  <c r="H97" i="1"/>
  <c r="H98" i="1"/>
  <c r="H99" i="1"/>
  <c r="H101" i="1"/>
  <c r="H102" i="1"/>
  <c r="H110" i="1"/>
  <c r="H111" i="1"/>
  <c r="H112" i="1"/>
  <c r="H113" i="1"/>
  <c r="H115" i="1"/>
  <c r="H116" i="1"/>
  <c r="H117" i="1"/>
  <c r="H118" i="1"/>
  <c r="H120" i="1"/>
  <c r="H121" i="1"/>
  <c r="H122" i="1"/>
  <c r="H124" i="1"/>
  <c r="H125" i="1"/>
  <c r="H126" i="1"/>
  <c r="H128" i="1"/>
  <c r="H129" i="1"/>
  <c r="H130" i="1"/>
  <c r="H131" i="1"/>
  <c r="H133" i="1"/>
  <c r="H134" i="1"/>
  <c r="H135" i="1"/>
  <c r="H137" i="1"/>
  <c r="H138" i="1"/>
  <c r="H140" i="1"/>
  <c r="H141" i="1"/>
  <c r="H149" i="1"/>
  <c r="H150" i="1"/>
  <c r="H151" i="1"/>
  <c r="H152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A87" i="2"/>
  <c r="A85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6" i="2"/>
  <c r="E30" i="2"/>
  <c r="D30" i="2"/>
  <c r="B30" i="2"/>
  <c r="E29" i="2"/>
  <c r="D29" i="2"/>
  <c r="B29" i="2"/>
  <c r="AB138" i="1"/>
  <c r="Z138" i="1"/>
  <c r="N138" i="1"/>
  <c r="M138" i="1"/>
  <c r="L138" i="1"/>
  <c r="K138" i="1"/>
  <c r="E138" i="1"/>
  <c r="AB137" i="1"/>
  <c r="Z137" i="1"/>
  <c r="N137" i="1"/>
  <c r="M137" i="1"/>
  <c r="L137" i="1"/>
  <c r="K137" i="1"/>
  <c r="E137" i="1"/>
  <c r="AB126" i="1"/>
  <c r="Z126" i="1"/>
  <c r="N126" i="1"/>
  <c r="M126" i="1"/>
  <c r="L126" i="1"/>
  <c r="K126" i="1"/>
  <c r="E126" i="1"/>
  <c r="AB125" i="1"/>
  <c r="Z125" i="1"/>
  <c r="N125" i="1"/>
  <c r="M125" i="1"/>
  <c r="L125" i="1"/>
  <c r="K125" i="1"/>
  <c r="E125" i="1"/>
  <c r="AB124" i="1"/>
  <c r="Z124" i="1"/>
  <c r="N124" i="1"/>
  <c r="M124" i="1"/>
  <c r="L124" i="1"/>
  <c r="K124" i="1"/>
  <c r="E124" i="1"/>
  <c r="AB99" i="1"/>
  <c r="Z99" i="1"/>
  <c r="N99" i="1"/>
  <c r="M99" i="1"/>
  <c r="L99" i="1"/>
  <c r="K99" i="1"/>
  <c r="E99" i="1"/>
  <c r="AB98" i="1"/>
  <c r="Z98" i="1"/>
  <c r="N98" i="1"/>
  <c r="M98" i="1"/>
  <c r="L98" i="1"/>
  <c r="K98" i="1"/>
  <c r="E98" i="1"/>
  <c r="AB97" i="1"/>
  <c r="Z97" i="1"/>
  <c r="N97" i="1"/>
  <c r="M97" i="1"/>
  <c r="L97" i="1"/>
  <c r="K97" i="1"/>
  <c r="E97" i="1"/>
  <c r="AB84" i="1"/>
  <c r="Z84" i="1"/>
  <c r="N84" i="1"/>
  <c r="M84" i="1"/>
  <c r="L84" i="1"/>
  <c r="K84" i="1"/>
  <c r="E84" i="1"/>
  <c r="AB83" i="1"/>
  <c r="Z83" i="1"/>
  <c r="N83" i="1"/>
  <c r="M83" i="1"/>
  <c r="L83" i="1"/>
  <c r="K83" i="1"/>
  <c r="E83" i="1"/>
  <c r="AB82" i="1"/>
  <c r="Z82" i="1"/>
  <c r="N82" i="1"/>
  <c r="M82" i="1"/>
  <c r="L82" i="1"/>
  <c r="K82" i="1"/>
  <c r="E82" i="1"/>
  <c r="AB56" i="1"/>
  <c r="Z56" i="1"/>
  <c r="N56" i="1"/>
  <c r="M56" i="1"/>
  <c r="L56" i="1"/>
  <c r="K56" i="1"/>
  <c r="E56" i="1"/>
  <c r="AB55" i="1"/>
  <c r="Z55" i="1"/>
  <c r="N55" i="1"/>
  <c r="M55" i="1"/>
  <c r="L55" i="1"/>
  <c r="K55" i="1"/>
  <c r="E55" i="1"/>
  <c r="AB54" i="1"/>
  <c r="Z54" i="1"/>
  <c r="N54" i="1"/>
  <c r="M54" i="1"/>
  <c r="L54" i="1"/>
  <c r="K54" i="1"/>
  <c r="E54" i="1"/>
  <c r="AB44" i="1"/>
  <c r="Z44" i="1"/>
  <c r="N44" i="1"/>
  <c r="M44" i="1"/>
  <c r="L44" i="1"/>
  <c r="K44" i="1"/>
  <c r="E44" i="1"/>
  <c r="AB43" i="1"/>
  <c r="Z43" i="1"/>
  <c r="N43" i="1"/>
  <c r="M43" i="1"/>
  <c r="L43" i="1"/>
  <c r="K43" i="1"/>
  <c r="E43" i="1"/>
  <c r="AB42" i="1"/>
  <c r="Z42" i="1"/>
  <c r="N42" i="1"/>
  <c r="M42" i="1"/>
  <c r="L42" i="1"/>
  <c r="K42" i="1"/>
  <c r="E42" i="1"/>
  <c r="AB22" i="1"/>
  <c r="Z22" i="1"/>
  <c r="N22" i="1"/>
  <c r="M22" i="1"/>
  <c r="L22" i="1"/>
  <c r="K22" i="1"/>
  <c r="J22" i="1"/>
  <c r="E22" i="1"/>
  <c r="AB21" i="1"/>
  <c r="Z21" i="1"/>
  <c r="N21" i="1"/>
  <c r="M21" i="1"/>
  <c r="L21" i="1"/>
  <c r="K21" i="1"/>
  <c r="J21" i="1"/>
  <c r="E21" i="1"/>
  <c r="AB20" i="1"/>
  <c r="Z20" i="1"/>
  <c r="N20" i="1"/>
  <c r="M20" i="1"/>
  <c r="L20" i="1"/>
  <c r="K20" i="1"/>
  <c r="J20" i="1"/>
  <c r="E20" i="1"/>
  <c r="E56" i="2"/>
  <c r="D56" i="2"/>
  <c r="B56" i="2"/>
  <c r="E52" i="2"/>
  <c r="D52" i="2"/>
  <c r="B52" i="2"/>
  <c r="E40" i="2"/>
  <c r="D40" i="2"/>
  <c r="B40" i="2"/>
  <c r="E37" i="2"/>
  <c r="D37" i="2"/>
  <c r="B37" i="2"/>
  <c r="E24" i="2"/>
  <c r="D24" i="2"/>
  <c r="B24" i="2"/>
  <c r="E20" i="2"/>
  <c r="D20" i="2"/>
  <c r="B20" i="2"/>
  <c r="E10" i="2"/>
  <c r="D10" i="2"/>
  <c r="B10" i="2"/>
  <c r="E62" i="2"/>
  <c r="D62" i="2"/>
  <c r="B62" i="2"/>
  <c r="E61" i="2"/>
  <c r="D61" i="2"/>
  <c r="B61" i="2"/>
  <c r="E46" i="2"/>
  <c r="D46" i="2"/>
  <c r="B46" i="2"/>
  <c r="E45" i="2"/>
  <c r="D45" i="2"/>
  <c r="B45" i="2"/>
  <c r="AB141" i="1"/>
  <c r="Z141" i="1"/>
  <c r="N141" i="1"/>
  <c r="M141" i="1"/>
  <c r="L141" i="1"/>
  <c r="K141" i="1"/>
  <c r="E141" i="1"/>
  <c r="AB101" i="1"/>
  <c r="Z101" i="1"/>
  <c r="N101" i="1"/>
  <c r="M101" i="1"/>
  <c r="L101" i="1"/>
  <c r="K101" i="1"/>
  <c r="E101" i="1"/>
  <c r="AB58" i="1"/>
  <c r="Z58" i="1"/>
  <c r="N58" i="1"/>
  <c r="M58" i="1"/>
  <c r="L58" i="1"/>
  <c r="K58" i="1"/>
  <c r="E58" i="1"/>
  <c r="AB275" i="1"/>
  <c r="Z275" i="1"/>
  <c r="N275" i="1"/>
  <c r="M275" i="1"/>
  <c r="L275" i="1"/>
  <c r="K275" i="1"/>
  <c r="E275" i="1"/>
  <c r="AB274" i="1"/>
  <c r="Z274" i="1"/>
  <c r="N274" i="1"/>
  <c r="M274" i="1"/>
  <c r="L274" i="1"/>
  <c r="K274" i="1"/>
  <c r="E274" i="1"/>
  <c r="AB273" i="1"/>
  <c r="Z273" i="1"/>
  <c r="N273" i="1"/>
  <c r="M273" i="1"/>
  <c r="L273" i="1"/>
  <c r="K273" i="1"/>
  <c r="E273" i="1"/>
  <c r="AB272" i="1"/>
  <c r="Z272" i="1"/>
  <c r="N272" i="1"/>
  <c r="M272" i="1"/>
  <c r="L272" i="1"/>
  <c r="K272" i="1"/>
  <c r="E272" i="1"/>
  <c r="E87" i="2"/>
  <c r="D87" i="2"/>
  <c r="B87" i="2"/>
  <c r="E86" i="2"/>
  <c r="D86" i="2"/>
  <c r="B86" i="2"/>
  <c r="AB88" i="1"/>
  <c r="Z88" i="1"/>
  <c r="N88" i="1"/>
  <c r="M88" i="1"/>
  <c r="L88" i="1"/>
  <c r="K88" i="1"/>
  <c r="E88" i="1"/>
  <c r="AB86" i="1"/>
  <c r="Z86" i="1"/>
  <c r="N86" i="1"/>
  <c r="M86" i="1"/>
  <c r="L86" i="1"/>
  <c r="K86" i="1"/>
  <c r="E86" i="1"/>
  <c r="AB73" i="1"/>
  <c r="Z73" i="1"/>
  <c r="N73" i="1"/>
  <c r="M73" i="1"/>
  <c r="L73" i="1"/>
  <c r="K73" i="1"/>
  <c r="E73" i="1"/>
  <c r="AB71" i="1"/>
  <c r="Z71" i="1"/>
  <c r="N71" i="1"/>
  <c r="M71" i="1"/>
  <c r="L71" i="1"/>
  <c r="K71" i="1"/>
  <c r="E71" i="1"/>
  <c r="AB47" i="1"/>
  <c r="Z47" i="1"/>
  <c r="N47" i="1"/>
  <c r="M47" i="1"/>
  <c r="L47" i="1"/>
  <c r="K47" i="1"/>
  <c r="E47" i="1"/>
  <c r="AB45" i="1"/>
  <c r="Z45" i="1"/>
  <c r="N45" i="1"/>
  <c r="M45" i="1"/>
  <c r="L45" i="1"/>
  <c r="K45" i="1"/>
  <c r="E45" i="1"/>
  <c r="AB115" i="1"/>
  <c r="Z115" i="1"/>
  <c r="N115" i="1"/>
  <c r="M115" i="1"/>
  <c r="L115" i="1"/>
  <c r="K115" i="1"/>
  <c r="E115" i="1"/>
  <c r="E257" i="1"/>
  <c r="K257" i="1"/>
  <c r="L257" i="1"/>
  <c r="M257" i="1"/>
  <c r="N257" i="1"/>
  <c r="Z257" i="1"/>
  <c r="AB257" i="1"/>
  <c r="E41" i="1"/>
  <c r="K41" i="1"/>
  <c r="L41" i="1"/>
  <c r="M41" i="1"/>
  <c r="N41" i="1"/>
  <c r="Z41" i="1"/>
  <c r="AB41" i="1"/>
  <c r="W3" i="6"/>
  <c r="V3" i="6"/>
  <c r="U3" i="6"/>
  <c r="T3" i="6"/>
  <c r="S3" i="6"/>
  <c r="AA2" i="1"/>
  <c r="AD2" i="1"/>
  <c r="E85" i="2"/>
  <c r="D85" i="2"/>
  <c r="B85" i="2"/>
  <c r="E84" i="2"/>
  <c r="D84" i="2"/>
  <c r="B84" i="2"/>
  <c r="E83" i="2"/>
  <c r="D83" i="2"/>
  <c r="B83" i="2"/>
  <c r="AB271" i="1"/>
  <c r="Z271" i="1"/>
  <c r="N271" i="1"/>
  <c r="M271" i="1"/>
  <c r="L271" i="1"/>
  <c r="K271" i="1"/>
  <c r="E271" i="1"/>
  <c r="AB270" i="1"/>
  <c r="Z270" i="1"/>
  <c r="N270" i="1"/>
  <c r="M270" i="1"/>
  <c r="L270" i="1"/>
  <c r="K270" i="1"/>
  <c r="E270" i="1"/>
  <c r="AB269" i="1"/>
  <c r="Z269" i="1"/>
  <c r="N269" i="1"/>
  <c r="M269" i="1"/>
  <c r="L269" i="1"/>
  <c r="K269" i="1"/>
  <c r="E269" i="1"/>
  <c r="AB268" i="1"/>
  <c r="Z268" i="1"/>
  <c r="N268" i="1"/>
  <c r="M268" i="1"/>
  <c r="L268" i="1"/>
  <c r="K268" i="1"/>
  <c r="E268" i="1"/>
  <c r="AB267" i="1"/>
  <c r="Z267" i="1"/>
  <c r="N267" i="1"/>
  <c r="M267" i="1"/>
  <c r="L267" i="1"/>
  <c r="K267" i="1"/>
  <c r="E267" i="1"/>
  <c r="AB266" i="1"/>
  <c r="Z266" i="1"/>
  <c r="N266" i="1"/>
  <c r="M266" i="1"/>
  <c r="L266" i="1"/>
  <c r="K266" i="1"/>
  <c r="E266" i="1"/>
  <c r="AB265" i="1"/>
  <c r="Z265" i="1"/>
  <c r="N265" i="1"/>
  <c r="M265" i="1"/>
  <c r="L265" i="1"/>
  <c r="K265" i="1"/>
  <c r="E265" i="1"/>
  <c r="AB264" i="1"/>
  <c r="Z264" i="1"/>
  <c r="N264" i="1"/>
  <c r="M264" i="1"/>
  <c r="L264" i="1"/>
  <c r="K264" i="1"/>
  <c r="E264" i="1"/>
  <c r="AB263" i="1"/>
  <c r="Z263" i="1"/>
  <c r="N263" i="1"/>
  <c r="M263" i="1"/>
  <c r="L263" i="1"/>
  <c r="K263" i="1"/>
  <c r="E263" i="1"/>
  <c r="B82" i="2"/>
  <c r="E262" i="1"/>
  <c r="E261" i="1"/>
  <c r="E260" i="1"/>
  <c r="E15" i="2"/>
  <c r="D15" i="2"/>
  <c r="B15" i="2"/>
  <c r="E82" i="2"/>
  <c r="D82" i="2"/>
  <c r="AB25" i="1"/>
  <c r="Z25" i="1"/>
  <c r="N25" i="1"/>
  <c r="M25" i="1"/>
  <c r="L25" i="1"/>
  <c r="K25" i="1"/>
  <c r="AB23" i="1"/>
  <c r="Z23" i="1"/>
  <c r="N23" i="1"/>
  <c r="M23" i="1"/>
  <c r="L23" i="1"/>
  <c r="K23" i="1"/>
  <c r="J23" i="1"/>
  <c r="AB19" i="1"/>
  <c r="Z19" i="1"/>
  <c r="N19" i="1"/>
  <c r="M19" i="1"/>
  <c r="L19" i="1"/>
  <c r="K19" i="1"/>
  <c r="J19" i="1"/>
  <c r="AB18" i="1"/>
  <c r="Z18" i="1"/>
  <c r="N18" i="1"/>
  <c r="M18" i="1"/>
  <c r="L18" i="1"/>
  <c r="K18" i="1"/>
  <c r="J18" i="1"/>
  <c r="AB17" i="1"/>
  <c r="Z17" i="1"/>
  <c r="N17" i="1"/>
  <c r="M17" i="1"/>
  <c r="L17" i="1"/>
  <c r="K17" i="1"/>
  <c r="J17" i="1"/>
  <c r="AB16" i="1"/>
  <c r="Z16" i="1"/>
  <c r="N16" i="1"/>
  <c r="M16" i="1"/>
  <c r="L16" i="1"/>
  <c r="K16" i="1"/>
  <c r="J16" i="1"/>
  <c r="AB15" i="1"/>
  <c r="Z15" i="1"/>
  <c r="N15" i="1"/>
  <c r="M15" i="1"/>
  <c r="L15" i="1"/>
  <c r="K15" i="1"/>
  <c r="J15" i="1"/>
  <c r="AB14" i="1"/>
  <c r="Z14" i="1"/>
  <c r="N14" i="1"/>
  <c r="M14" i="1"/>
  <c r="L14" i="1"/>
  <c r="K14" i="1"/>
  <c r="J14" i="1"/>
  <c r="AB13" i="1"/>
  <c r="Z13" i="1"/>
  <c r="N13" i="1"/>
  <c r="M13" i="1"/>
  <c r="L13" i="1"/>
  <c r="K13" i="1"/>
  <c r="J13" i="1"/>
  <c r="AB12" i="1"/>
  <c r="Z12" i="1"/>
  <c r="N12" i="1"/>
  <c r="M12" i="1"/>
  <c r="L12" i="1"/>
  <c r="K12" i="1"/>
  <c r="J12" i="1"/>
  <c r="AB11" i="1"/>
  <c r="Z11" i="1"/>
  <c r="N11" i="1"/>
  <c r="M11" i="1"/>
  <c r="L11" i="1"/>
  <c r="K11" i="1"/>
  <c r="J11" i="1"/>
  <c r="AB10" i="1"/>
  <c r="Z10" i="1"/>
  <c r="N10" i="1"/>
  <c r="M10" i="1"/>
  <c r="L10" i="1"/>
  <c r="K10" i="1"/>
  <c r="J10" i="1"/>
  <c r="AB9" i="1"/>
  <c r="Z9" i="1"/>
  <c r="N9" i="1"/>
  <c r="M9" i="1"/>
  <c r="L9" i="1"/>
  <c r="K9" i="1"/>
  <c r="J9" i="1"/>
  <c r="AB8" i="1"/>
  <c r="Z8" i="1"/>
  <c r="N8" i="1"/>
  <c r="M8" i="1"/>
  <c r="L8" i="1"/>
  <c r="K8" i="1"/>
  <c r="J8" i="1"/>
  <c r="AB7" i="1"/>
  <c r="Z7" i="1"/>
  <c r="N7" i="1"/>
  <c r="M7" i="1"/>
  <c r="L7" i="1"/>
  <c r="K7" i="1"/>
  <c r="J7" i="1"/>
  <c r="AB6" i="1"/>
  <c r="Z6" i="1"/>
  <c r="N6" i="1"/>
  <c r="M6" i="1"/>
  <c r="L6" i="1"/>
  <c r="K6" i="1"/>
  <c r="J6" i="1"/>
  <c r="AB5" i="1"/>
  <c r="Z5" i="1"/>
  <c r="N5" i="1"/>
  <c r="M5" i="1"/>
  <c r="L5" i="1"/>
  <c r="K5" i="1"/>
  <c r="J5" i="1"/>
  <c r="AB4" i="1"/>
  <c r="Z4" i="1"/>
  <c r="N4" i="1"/>
  <c r="M4" i="1"/>
  <c r="L4" i="1"/>
  <c r="K4" i="1"/>
  <c r="J4" i="1"/>
  <c r="AB3" i="1"/>
  <c r="Z3" i="1"/>
  <c r="N3" i="1"/>
  <c r="M3" i="1"/>
  <c r="L3" i="1"/>
  <c r="K3" i="1"/>
  <c r="J3" i="1"/>
  <c r="AB2" i="1"/>
  <c r="Z2" i="1"/>
  <c r="N2" i="1"/>
  <c r="M2" i="1"/>
  <c r="L2" i="1"/>
  <c r="K2" i="1"/>
  <c r="J2" i="1"/>
  <c r="E140" i="1"/>
  <c r="E135" i="1"/>
  <c r="E134" i="1"/>
  <c r="E133" i="1"/>
  <c r="E131" i="1"/>
  <c r="E130" i="1"/>
  <c r="E129" i="1"/>
  <c r="E128" i="1"/>
  <c r="E122" i="1"/>
  <c r="E121" i="1"/>
  <c r="E120" i="1"/>
  <c r="E118" i="1"/>
  <c r="E117" i="1"/>
  <c r="E116" i="1"/>
  <c r="E113" i="1"/>
  <c r="E112" i="1"/>
  <c r="E111" i="1"/>
  <c r="E110" i="1"/>
  <c r="E73" i="2"/>
  <c r="D73" i="2"/>
  <c r="B73" i="2"/>
  <c r="E81" i="2"/>
  <c r="D81" i="2"/>
  <c r="B81" i="2"/>
  <c r="E80" i="2"/>
  <c r="D80" i="2"/>
  <c r="B80" i="2"/>
  <c r="E79" i="2"/>
  <c r="D79" i="2"/>
  <c r="B79" i="2"/>
  <c r="E78" i="2"/>
  <c r="D78" i="2"/>
  <c r="B78" i="2"/>
  <c r="E77" i="2"/>
  <c r="D77" i="2"/>
  <c r="B77" i="2"/>
  <c r="E76" i="2"/>
  <c r="D76" i="2"/>
  <c r="B76" i="2"/>
  <c r="E75" i="2"/>
  <c r="D75" i="2"/>
  <c r="B75" i="2"/>
  <c r="E74" i="2"/>
  <c r="D74" i="2"/>
  <c r="B74" i="2"/>
  <c r="E259" i="1"/>
  <c r="E258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AB262" i="1"/>
  <c r="Z262" i="1"/>
  <c r="N262" i="1"/>
  <c r="M262" i="1"/>
  <c r="L262" i="1"/>
  <c r="K262" i="1"/>
  <c r="E243" i="1"/>
  <c r="AB261" i="1"/>
  <c r="Z261" i="1"/>
  <c r="N261" i="1"/>
  <c r="M261" i="1"/>
  <c r="L261" i="1"/>
  <c r="K261" i="1"/>
  <c r="E242" i="1"/>
  <c r="AB260" i="1"/>
  <c r="Z260" i="1"/>
  <c r="N260" i="1"/>
  <c r="M260" i="1"/>
  <c r="L260" i="1"/>
  <c r="K260" i="1"/>
  <c r="E241" i="1"/>
  <c r="AB259" i="1"/>
  <c r="Z259" i="1"/>
  <c r="N259" i="1"/>
  <c r="M259" i="1"/>
  <c r="L259" i="1"/>
  <c r="K259" i="1"/>
  <c r="E240" i="1"/>
  <c r="AB258" i="1"/>
  <c r="Z258" i="1"/>
  <c r="N258" i="1"/>
  <c r="M258" i="1"/>
  <c r="L258" i="1"/>
  <c r="K258" i="1"/>
  <c r="E239" i="1"/>
  <c r="E238" i="1"/>
  <c r="E237" i="1"/>
  <c r="E236" i="1"/>
  <c r="E235" i="1"/>
  <c r="AB256" i="1"/>
  <c r="Z256" i="1"/>
  <c r="N256" i="1"/>
  <c r="M256" i="1"/>
  <c r="L256" i="1"/>
  <c r="K256" i="1"/>
  <c r="E234" i="1"/>
  <c r="AB255" i="1"/>
  <c r="Z255" i="1"/>
  <c r="N255" i="1"/>
  <c r="M255" i="1"/>
  <c r="L255" i="1"/>
  <c r="K255" i="1"/>
  <c r="AB254" i="1"/>
  <c r="Z254" i="1"/>
  <c r="N254" i="1"/>
  <c r="M254" i="1"/>
  <c r="L254" i="1"/>
  <c r="K254" i="1"/>
  <c r="AB253" i="1"/>
  <c r="Z253" i="1"/>
  <c r="N253" i="1"/>
  <c r="M253" i="1"/>
  <c r="L253" i="1"/>
  <c r="K253" i="1"/>
  <c r="E233" i="1"/>
  <c r="AB252" i="1"/>
  <c r="Z252" i="1"/>
  <c r="N252" i="1"/>
  <c r="M252" i="1"/>
  <c r="L252" i="1"/>
  <c r="K252" i="1"/>
  <c r="E232" i="1"/>
  <c r="AB251" i="1"/>
  <c r="Z251" i="1"/>
  <c r="N251" i="1"/>
  <c r="M251" i="1"/>
  <c r="L251" i="1"/>
  <c r="K251" i="1"/>
  <c r="E231" i="1"/>
  <c r="AB250" i="1"/>
  <c r="Z250" i="1"/>
  <c r="N250" i="1"/>
  <c r="M250" i="1"/>
  <c r="L250" i="1"/>
  <c r="K250" i="1"/>
  <c r="E228" i="1"/>
  <c r="AB249" i="1"/>
  <c r="Z249" i="1"/>
  <c r="N249" i="1"/>
  <c r="M249" i="1"/>
  <c r="L249" i="1"/>
  <c r="K249" i="1"/>
  <c r="E227" i="1"/>
  <c r="AB248" i="1"/>
  <c r="Z248" i="1"/>
  <c r="N248" i="1"/>
  <c r="M248" i="1"/>
  <c r="L248" i="1"/>
  <c r="K248" i="1"/>
  <c r="E226" i="1"/>
  <c r="AB247" i="1"/>
  <c r="Z247" i="1"/>
  <c r="N247" i="1"/>
  <c r="M247" i="1"/>
  <c r="L247" i="1"/>
  <c r="K247" i="1"/>
  <c r="E225" i="1"/>
  <c r="AB246" i="1"/>
  <c r="Z246" i="1"/>
  <c r="N246" i="1"/>
  <c r="M246" i="1"/>
  <c r="L246" i="1"/>
  <c r="K246" i="1"/>
  <c r="E224" i="1"/>
  <c r="AB245" i="1"/>
  <c r="Z245" i="1"/>
  <c r="N245" i="1"/>
  <c r="M245" i="1"/>
  <c r="L245" i="1"/>
  <c r="K245" i="1"/>
  <c r="E223" i="1"/>
  <c r="AB244" i="1"/>
  <c r="Z244" i="1"/>
  <c r="N244" i="1"/>
  <c r="M244" i="1"/>
  <c r="L244" i="1"/>
  <c r="K244" i="1"/>
  <c r="E222" i="1"/>
  <c r="AB243" i="1"/>
  <c r="Z243" i="1"/>
  <c r="N243" i="1"/>
  <c r="M243" i="1"/>
  <c r="L243" i="1"/>
  <c r="K243" i="1"/>
  <c r="E221" i="1"/>
  <c r="AB242" i="1"/>
  <c r="Z242" i="1"/>
  <c r="N242" i="1"/>
  <c r="M242" i="1"/>
  <c r="L242" i="1"/>
  <c r="K242" i="1"/>
  <c r="E220" i="1"/>
  <c r="AB241" i="1"/>
  <c r="Z241" i="1"/>
  <c r="N241" i="1"/>
  <c r="M241" i="1"/>
  <c r="L241" i="1"/>
  <c r="K241" i="1"/>
  <c r="E219" i="1"/>
  <c r="AB240" i="1"/>
  <c r="Z240" i="1"/>
  <c r="N240" i="1"/>
  <c r="M240" i="1"/>
  <c r="L240" i="1"/>
  <c r="K240" i="1"/>
  <c r="E218" i="1"/>
  <c r="AB239" i="1"/>
  <c r="Z239" i="1"/>
  <c r="N239" i="1"/>
  <c r="M239" i="1"/>
  <c r="L239" i="1"/>
  <c r="K239" i="1"/>
  <c r="E217" i="1"/>
  <c r="AB238" i="1"/>
  <c r="Z238" i="1"/>
  <c r="N238" i="1"/>
  <c r="M238" i="1"/>
  <c r="L238" i="1"/>
  <c r="K238" i="1"/>
  <c r="E216" i="1"/>
  <c r="AB237" i="1"/>
  <c r="Z237" i="1"/>
  <c r="N237" i="1"/>
  <c r="M237" i="1"/>
  <c r="L237" i="1"/>
  <c r="K237" i="1"/>
  <c r="E215" i="1"/>
  <c r="AB236" i="1"/>
  <c r="Z236" i="1"/>
  <c r="N236" i="1"/>
  <c r="M236" i="1"/>
  <c r="L236" i="1"/>
  <c r="K236" i="1"/>
  <c r="E214" i="1"/>
  <c r="AB235" i="1"/>
  <c r="Z235" i="1"/>
  <c r="N235" i="1"/>
  <c r="M235" i="1"/>
  <c r="L235" i="1"/>
  <c r="K235" i="1"/>
  <c r="E213" i="1"/>
  <c r="AB234" i="1"/>
  <c r="Z234" i="1"/>
  <c r="N234" i="1"/>
  <c r="M234" i="1"/>
  <c r="L234" i="1"/>
  <c r="K234" i="1"/>
  <c r="E212" i="1"/>
  <c r="E211" i="1"/>
  <c r="E210" i="1"/>
  <c r="E209" i="1"/>
  <c r="AB233" i="1"/>
  <c r="Z233" i="1"/>
  <c r="N233" i="1"/>
  <c r="M233" i="1"/>
  <c r="L233" i="1"/>
  <c r="K233" i="1"/>
  <c r="E208" i="1"/>
  <c r="AB232" i="1"/>
  <c r="Z232" i="1"/>
  <c r="N232" i="1"/>
  <c r="M232" i="1"/>
  <c r="L232" i="1"/>
  <c r="K232" i="1"/>
  <c r="AB231" i="1"/>
  <c r="Z231" i="1"/>
  <c r="N231" i="1"/>
  <c r="M231" i="1"/>
  <c r="L231" i="1"/>
  <c r="K231" i="1"/>
  <c r="E205" i="1"/>
  <c r="E204" i="1"/>
  <c r="AB228" i="1"/>
  <c r="Z228" i="1"/>
  <c r="N228" i="1"/>
  <c r="M228" i="1"/>
  <c r="L228" i="1"/>
  <c r="K228" i="1"/>
  <c r="AB227" i="1"/>
  <c r="Z227" i="1"/>
  <c r="N227" i="1"/>
  <c r="M227" i="1"/>
  <c r="L227" i="1"/>
  <c r="K227" i="1"/>
  <c r="E203" i="1"/>
  <c r="E202" i="1"/>
  <c r="AB226" i="1"/>
  <c r="Z226" i="1"/>
  <c r="N226" i="1"/>
  <c r="M226" i="1"/>
  <c r="L226" i="1"/>
  <c r="K226" i="1"/>
  <c r="E201" i="1"/>
  <c r="AB225" i="1"/>
  <c r="Z225" i="1"/>
  <c r="N225" i="1"/>
  <c r="M225" i="1"/>
  <c r="L225" i="1"/>
  <c r="K225" i="1"/>
  <c r="AB224" i="1"/>
  <c r="Z224" i="1"/>
  <c r="N224" i="1"/>
  <c r="M224" i="1"/>
  <c r="L224" i="1"/>
  <c r="K224" i="1"/>
  <c r="E200" i="1"/>
  <c r="E199" i="1"/>
  <c r="AB223" i="1"/>
  <c r="Z223" i="1"/>
  <c r="N223" i="1"/>
  <c r="M223" i="1"/>
  <c r="L223" i="1"/>
  <c r="K223" i="1"/>
  <c r="E198" i="1"/>
  <c r="AB222" i="1"/>
  <c r="Z222" i="1"/>
  <c r="N222" i="1"/>
  <c r="M222" i="1"/>
  <c r="L222" i="1"/>
  <c r="K222" i="1"/>
  <c r="E197" i="1"/>
  <c r="AB221" i="1"/>
  <c r="Z221" i="1"/>
  <c r="N221" i="1"/>
  <c r="M221" i="1"/>
  <c r="L221" i="1"/>
  <c r="K221" i="1"/>
  <c r="E196" i="1"/>
  <c r="AB220" i="1"/>
  <c r="Z220" i="1"/>
  <c r="N220" i="1"/>
  <c r="M220" i="1"/>
  <c r="L220" i="1"/>
  <c r="K220" i="1"/>
  <c r="E195" i="1"/>
  <c r="AB219" i="1"/>
  <c r="Z219" i="1"/>
  <c r="N219" i="1"/>
  <c r="M219" i="1"/>
  <c r="L219" i="1"/>
  <c r="K219" i="1"/>
  <c r="E194" i="1"/>
  <c r="AB218" i="1"/>
  <c r="Z218" i="1"/>
  <c r="N218" i="1"/>
  <c r="M218" i="1"/>
  <c r="L218" i="1"/>
  <c r="K218" i="1"/>
  <c r="E193" i="1"/>
  <c r="AB217" i="1"/>
  <c r="Z217" i="1"/>
  <c r="N217" i="1"/>
  <c r="M217" i="1"/>
  <c r="L217" i="1"/>
  <c r="K217" i="1"/>
  <c r="E192" i="1"/>
  <c r="AB216" i="1"/>
  <c r="Z216" i="1"/>
  <c r="N216" i="1"/>
  <c r="M216" i="1"/>
  <c r="L216" i="1"/>
  <c r="K216" i="1"/>
  <c r="E191" i="1"/>
  <c r="AB215" i="1"/>
  <c r="Z215" i="1"/>
  <c r="N215" i="1"/>
  <c r="M215" i="1"/>
  <c r="L215" i="1"/>
  <c r="K215" i="1"/>
  <c r="E190" i="1"/>
  <c r="AB214" i="1"/>
  <c r="Z214" i="1"/>
  <c r="N214" i="1"/>
  <c r="M214" i="1"/>
  <c r="L214" i="1"/>
  <c r="K214" i="1"/>
  <c r="E189" i="1"/>
  <c r="AB213" i="1"/>
  <c r="Z213" i="1"/>
  <c r="N213" i="1"/>
  <c r="M213" i="1"/>
  <c r="L213" i="1"/>
  <c r="K213" i="1"/>
  <c r="E188" i="1"/>
  <c r="AB212" i="1"/>
  <c r="Z212" i="1"/>
  <c r="N212" i="1"/>
  <c r="M212" i="1"/>
  <c r="L212" i="1"/>
  <c r="K212" i="1"/>
  <c r="E187" i="1"/>
  <c r="AB211" i="1"/>
  <c r="Z211" i="1"/>
  <c r="N211" i="1"/>
  <c r="M211" i="1"/>
  <c r="L211" i="1"/>
  <c r="K211" i="1"/>
  <c r="E186" i="1"/>
  <c r="AB210" i="1"/>
  <c r="Z210" i="1"/>
  <c r="N210" i="1"/>
  <c r="M210" i="1"/>
  <c r="L210" i="1"/>
  <c r="K210" i="1"/>
  <c r="E185" i="1"/>
  <c r="AB209" i="1"/>
  <c r="Z209" i="1"/>
  <c r="N209" i="1"/>
  <c r="M209" i="1"/>
  <c r="L209" i="1"/>
  <c r="K209" i="1"/>
  <c r="AB208" i="1"/>
  <c r="Z208" i="1"/>
  <c r="N208" i="1"/>
  <c r="M208" i="1"/>
  <c r="L208" i="1"/>
  <c r="K208" i="1"/>
  <c r="E184" i="1"/>
  <c r="E183" i="1"/>
  <c r="E182" i="1"/>
  <c r="AB205" i="1"/>
  <c r="Z205" i="1"/>
  <c r="N205" i="1"/>
  <c r="M205" i="1"/>
  <c r="L205" i="1"/>
  <c r="K205" i="1"/>
  <c r="AB204" i="1"/>
  <c r="Z204" i="1"/>
  <c r="N204" i="1"/>
  <c r="M204" i="1"/>
  <c r="L204" i="1"/>
  <c r="K204" i="1"/>
  <c r="E181" i="1"/>
  <c r="E180" i="1"/>
  <c r="AB203" i="1"/>
  <c r="Z203" i="1"/>
  <c r="N203" i="1"/>
  <c r="M203" i="1"/>
  <c r="L203" i="1"/>
  <c r="K203" i="1"/>
  <c r="E179" i="1"/>
  <c r="AB202" i="1"/>
  <c r="Z202" i="1"/>
  <c r="N202" i="1"/>
  <c r="M202" i="1"/>
  <c r="L202" i="1"/>
  <c r="K202" i="1"/>
  <c r="AB201" i="1"/>
  <c r="Z201" i="1"/>
  <c r="N201" i="1"/>
  <c r="M201" i="1"/>
  <c r="L201" i="1"/>
  <c r="K201" i="1"/>
  <c r="E178" i="1"/>
  <c r="E177" i="1"/>
  <c r="AB200" i="1"/>
  <c r="Z200" i="1"/>
  <c r="N200" i="1"/>
  <c r="M200" i="1"/>
  <c r="L200" i="1"/>
  <c r="K200" i="1"/>
  <c r="E176" i="1"/>
  <c r="AB199" i="1"/>
  <c r="Z199" i="1"/>
  <c r="N199" i="1"/>
  <c r="M199" i="1"/>
  <c r="L199" i="1"/>
  <c r="K199" i="1"/>
  <c r="E175" i="1"/>
  <c r="AB198" i="1"/>
  <c r="Z198" i="1"/>
  <c r="N198" i="1"/>
  <c r="M198" i="1"/>
  <c r="L198" i="1"/>
  <c r="K198" i="1"/>
  <c r="E174" i="1"/>
  <c r="AB197" i="1"/>
  <c r="Z197" i="1"/>
  <c r="N197" i="1"/>
  <c r="M197" i="1"/>
  <c r="L197" i="1"/>
  <c r="K197" i="1"/>
  <c r="E173" i="1"/>
  <c r="AB196" i="1"/>
  <c r="Z196" i="1"/>
  <c r="N196" i="1"/>
  <c r="M196" i="1"/>
  <c r="L196" i="1"/>
  <c r="K196" i="1"/>
  <c r="E172" i="1"/>
  <c r="AB195" i="1"/>
  <c r="Z195" i="1"/>
  <c r="N195" i="1"/>
  <c r="M195" i="1"/>
  <c r="L195" i="1"/>
  <c r="K195" i="1"/>
  <c r="E171" i="1"/>
  <c r="AB194" i="1"/>
  <c r="Z194" i="1"/>
  <c r="N194" i="1"/>
  <c r="M194" i="1"/>
  <c r="L194" i="1"/>
  <c r="K194" i="1"/>
  <c r="E170" i="1"/>
  <c r="AB193" i="1"/>
  <c r="Z193" i="1"/>
  <c r="N193" i="1"/>
  <c r="M193" i="1"/>
  <c r="L193" i="1"/>
  <c r="K193" i="1"/>
  <c r="E169" i="1"/>
  <c r="AB192" i="1"/>
  <c r="Z192" i="1"/>
  <c r="N192" i="1"/>
  <c r="M192" i="1"/>
  <c r="L192" i="1"/>
  <c r="K192" i="1"/>
  <c r="E168" i="1"/>
  <c r="AB191" i="1"/>
  <c r="Z191" i="1"/>
  <c r="N191" i="1"/>
  <c r="M191" i="1"/>
  <c r="L191" i="1"/>
  <c r="K191" i="1"/>
  <c r="E167" i="1"/>
  <c r="AB190" i="1"/>
  <c r="Z190" i="1"/>
  <c r="N190" i="1"/>
  <c r="M190" i="1"/>
  <c r="L190" i="1"/>
  <c r="K190" i="1"/>
  <c r="E166" i="1"/>
  <c r="AB189" i="1"/>
  <c r="Z189" i="1"/>
  <c r="N189" i="1"/>
  <c r="M189" i="1"/>
  <c r="L189" i="1"/>
  <c r="K189" i="1"/>
  <c r="E165" i="1"/>
  <c r="AB188" i="1"/>
  <c r="Z188" i="1"/>
  <c r="N188" i="1"/>
  <c r="M188" i="1"/>
  <c r="L188" i="1"/>
  <c r="K188" i="1"/>
  <c r="E164" i="1"/>
  <c r="AB187" i="1"/>
  <c r="Z187" i="1"/>
  <c r="N187" i="1"/>
  <c r="M187" i="1"/>
  <c r="L187" i="1"/>
  <c r="K187" i="1"/>
  <c r="E163" i="1"/>
  <c r="AB186" i="1"/>
  <c r="Z186" i="1"/>
  <c r="N186" i="1"/>
  <c r="M186" i="1"/>
  <c r="L186" i="1"/>
  <c r="K186" i="1"/>
  <c r="AB185" i="1"/>
  <c r="Z185" i="1"/>
  <c r="N185" i="1"/>
  <c r="M185" i="1"/>
  <c r="L185" i="1"/>
  <c r="K185" i="1"/>
  <c r="AB184" i="1"/>
  <c r="Z184" i="1"/>
  <c r="N184" i="1"/>
  <c r="M184" i="1"/>
  <c r="L184" i="1"/>
  <c r="K184" i="1"/>
  <c r="AB183" i="1"/>
  <c r="Z183" i="1"/>
  <c r="N183" i="1"/>
  <c r="M183" i="1"/>
  <c r="L183" i="1"/>
  <c r="K183" i="1"/>
  <c r="AB182" i="1"/>
  <c r="Z182" i="1"/>
  <c r="N182" i="1"/>
  <c r="M182" i="1"/>
  <c r="L182" i="1"/>
  <c r="K182" i="1"/>
  <c r="AB181" i="1"/>
  <c r="Z181" i="1"/>
  <c r="N181" i="1"/>
  <c r="M181" i="1"/>
  <c r="L181" i="1"/>
  <c r="K181" i="1"/>
  <c r="AB180" i="1"/>
  <c r="Z180" i="1"/>
  <c r="N180" i="1"/>
  <c r="M180" i="1"/>
  <c r="L180" i="1"/>
  <c r="K180" i="1"/>
  <c r="AB179" i="1"/>
  <c r="Z179" i="1"/>
  <c r="N179" i="1"/>
  <c r="M179" i="1"/>
  <c r="L179" i="1"/>
  <c r="K179" i="1"/>
  <c r="AB178" i="1"/>
  <c r="Z178" i="1"/>
  <c r="N178" i="1"/>
  <c r="M178" i="1"/>
  <c r="L178" i="1"/>
  <c r="K178" i="1"/>
  <c r="E162" i="1"/>
  <c r="AB177" i="1"/>
  <c r="Z177" i="1"/>
  <c r="N177" i="1"/>
  <c r="M177" i="1"/>
  <c r="L177" i="1"/>
  <c r="K177" i="1"/>
  <c r="E161" i="1"/>
  <c r="AB176" i="1"/>
  <c r="Z176" i="1"/>
  <c r="N176" i="1"/>
  <c r="M176" i="1"/>
  <c r="L176" i="1"/>
  <c r="K176" i="1"/>
  <c r="E160" i="1"/>
  <c r="AB175" i="1"/>
  <c r="Z175" i="1"/>
  <c r="N175" i="1"/>
  <c r="M175" i="1"/>
  <c r="L175" i="1"/>
  <c r="K175" i="1"/>
  <c r="E159" i="1"/>
  <c r="AB174" i="1"/>
  <c r="Z174" i="1"/>
  <c r="N174" i="1"/>
  <c r="M174" i="1"/>
  <c r="L174" i="1"/>
  <c r="K174" i="1"/>
  <c r="E158" i="1"/>
  <c r="AB173" i="1"/>
  <c r="Z173" i="1"/>
  <c r="N173" i="1"/>
  <c r="M173" i="1"/>
  <c r="L173" i="1"/>
  <c r="K173" i="1"/>
  <c r="E157" i="1"/>
  <c r="AB172" i="1"/>
  <c r="Z172" i="1"/>
  <c r="N172" i="1"/>
  <c r="M172" i="1"/>
  <c r="L172" i="1"/>
  <c r="K172" i="1"/>
  <c r="E156" i="1"/>
  <c r="AB171" i="1"/>
  <c r="Z171" i="1"/>
  <c r="N171" i="1"/>
  <c r="M171" i="1"/>
  <c r="L171" i="1"/>
  <c r="K171" i="1"/>
  <c r="E155" i="1"/>
  <c r="AB170" i="1"/>
  <c r="Z170" i="1"/>
  <c r="N170" i="1"/>
  <c r="M170" i="1"/>
  <c r="L170" i="1"/>
  <c r="K170" i="1"/>
  <c r="E152" i="1"/>
  <c r="AB169" i="1"/>
  <c r="Z169" i="1"/>
  <c r="N169" i="1"/>
  <c r="M169" i="1"/>
  <c r="L169" i="1"/>
  <c r="K169" i="1"/>
  <c r="E151" i="1"/>
  <c r="AB168" i="1"/>
  <c r="Z168" i="1"/>
  <c r="N168" i="1"/>
  <c r="M168" i="1"/>
  <c r="L168" i="1"/>
  <c r="K168" i="1"/>
  <c r="E150" i="1"/>
  <c r="AB167" i="1"/>
  <c r="Z167" i="1"/>
  <c r="N167" i="1"/>
  <c r="M167" i="1"/>
  <c r="L167" i="1"/>
  <c r="K167" i="1"/>
  <c r="E149" i="1"/>
  <c r="AB166" i="1"/>
  <c r="Z166" i="1"/>
  <c r="N166" i="1"/>
  <c r="M166" i="1"/>
  <c r="L166" i="1"/>
  <c r="K166" i="1"/>
  <c r="AB165" i="1"/>
  <c r="Z165" i="1"/>
  <c r="N165" i="1"/>
  <c r="M165" i="1"/>
  <c r="L165" i="1"/>
  <c r="K165" i="1"/>
  <c r="AB164" i="1"/>
  <c r="Z164" i="1"/>
  <c r="N164" i="1"/>
  <c r="M164" i="1"/>
  <c r="L164" i="1"/>
  <c r="K164" i="1"/>
  <c r="AB163" i="1"/>
  <c r="Z163" i="1"/>
  <c r="N163" i="1"/>
  <c r="M163" i="1"/>
  <c r="L163" i="1"/>
  <c r="K163" i="1"/>
  <c r="AB162" i="1"/>
  <c r="Z162" i="1"/>
  <c r="N162" i="1"/>
  <c r="M162" i="1"/>
  <c r="L162" i="1"/>
  <c r="K162" i="1"/>
  <c r="AB161" i="1"/>
  <c r="Z161" i="1"/>
  <c r="N161" i="1"/>
  <c r="M161" i="1"/>
  <c r="L161" i="1"/>
  <c r="K161" i="1"/>
  <c r="AB160" i="1"/>
  <c r="Z160" i="1"/>
  <c r="N160" i="1"/>
  <c r="M160" i="1"/>
  <c r="L160" i="1"/>
  <c r="K160" i="1"/>
  <c r="AB159" i="1"/>
  <c r="Z159" i="1"/>
  <c r="N159" i="1"/>
  <c r="M159" i="1"/>
  <c r="L159" i="1"/>
  <c r="K159" i="1"/>
  <c r="AB158" i="1"/>
  <c r="Z158" i="1"/>
  <c r="N158" i="1"/>
  <c r="M158" i="1"/>
  <c r="L158" i="1"/>
  <c r="K158" i="1"/>
  <c r="AB157" i="1"/>
  <c r="Z157" i="1"/>
  <c r="N157" i="1"/>
  <c r="M157" i="1"/>
  <c r="L157" i="1"/>
  <c r="K157" i="1"/>
  <c r="AB156" i="1"/>
  <c r="Z156" i="1"/>
  <c r="N156" i="1"/>
  <c r="M156" i="1"/>
  <c r="L156" i="1"/>
  <c r="K156" i="1"/>
  <c r="AB155" i="1"/>
  <c r="Z155" i="1"/>
  <c r="N155" i="1"/>
  <c r="M155" i="1"/>
  <c r="L155" i="1"/>
  <c r="K155" i="1"/>
  <c r="AB152" i="1"/>
  <c r="Z152" i="1"/>
  <c r="N152" i="1"/>
  <c r="M152" i="1"/>
  <c r="L152" i="1"/>
  <c r="K152" i="1"/>
  <c r="AB151" i="1"/>
  <c r="Z151" i="1"/>
  <c r="N151" i="1"/>
  <c r="M151" i="1"/>
  <c r="L151" i="1"/>
  <c r="K151" i="1"/>
  <c r="AB150" i="1"/>
  <c r="Z150" i="1"/>
  <c r="N150" i="1"/>
  <c r="M150" i="1"/>
  <c r="L150" i="1"/>
  <c r="K150" i="1"/>
  <c r="AB149" i="1"/>
  <c r="Z149" i="1"/>
  <c r="N149" i="1"/>
  <c r="M149" i="1"/>
  <c r="L149" i="1"/>
  <c r="K149" i="1"/>
  <c r="AB140" i="1"/>
  <c r="Z140" i="1"/>
  <c r="N140" i="1"/>
  <c r="M140" i="1"/>
  <c r="L140" i="1"/>
  <c r="K140" i="1"/>
  <c r="E102" i="1"/>
  <c r="AB135" i="1"/>
  <c r="Z135" i="1"/>
  <c r="N135" i="1"/>
  <c r="M135" i="1"/>
  <c r="L135" i="1"/>
  <c r="K135" i="1"/>
  <c r="E95" i="1"/>
  <c r="AB134" i="1"/>
  <c r="Z134" i="1"/>
  <c r="N134" i="1"/>
  <c r="M134" i="1"/>
  <c r="L134" i="1"/>
  <c r="K134" i="1"/>
  <c r="E94" i="1"/>
  <c r="AB133" i="1"/>
  <c r="Z133" i="1"/>
  <c r="N133" i="1"/>
  <c r="M133" i="1"/>
  <c r="L133" i="1"/>
  <c r="K133" i="1"/>
  <c r="E93" i="1"/>
  <c r="AB131" i="1"/>
  <c r="Z131" i="1"/>
  <c r="N131" i="1"/>
  <c r="M131" i="1"/>
  <c r="L131" i="1"/>
  <c r="K131" i="1"/>
  <c r="E91" i="1"/>
  <c r="AB130" i="1"/>
  <c r="Z130" i="1"/>
  <c r="N130" i="1"/>
  <c r="M130" i="1"/>
  <c r="L130" i="1"/>
  <c r="K130" i="1"/>
  <c r="E90" i="1"/>
  <c r="AB129" i="1"/>
  <c r="Z129" i="1"/>
  <c r="N129" i="1"/>
  <c r="M129" i="1"/>
  <c r="L129" i="1"/>
  <c r="K129" i="1"/>
  <c r="E89" i="1"/>
  <c r="AB128" i="1"/>
  <c r="Z128" i="1"/>
  <c r="N128" i="1"/>
  <c r="M128" i="1"/>
  <c r="L128" i="1"/>
  <c r="K128" i="1"/>
  <c r="E87" i="1"/>
  <c r="AB122" i="1"/>
  <c r="Z122" i="1"/>
  <c r="N122" i="1"/>
  <c r="M122" i="1"/>
  <c r="L122" i="1"/>
  <c r="K122" i="1"/>
  <c r="E80" i="1"/>
  <c r="AB121" i="1"/>
  <c r="Z121" i="1"/>
  <c r="N121" i="1"/>
  <c r="M121" i="1"/>
  <c r="L121" i="1"/>
  <c r="K121" i="1"/>
  <c r="E79" i="1"/>
  <c r="AB120" i="1"/>
  <c r="Z120" i="1"/>
  <c r="N120" i="1"/>
  <c r="M120" i="1"/>
  <c r="L120" i="1"/>
  <c r="K120" i="1"/>
  <c r="E78" i="1"/>
  <c r="AB118" i="1"/>
  <c r="Z118" i="1"/>
  <c r="N118" i="1"/>
  <c r="M118" i="1"/>
  <c r="L118" i="1"/>
  <c r="K118" i="1"/>
  <c r="E76" i="1"/>
  <c r="AB117" i="1"/>
  <c r="Z117" i="1"/>
  <c r="N117" i="1"/>
  <c r="M117" i="1"/>
  <c r="L117" i="1"/>
  <c r="K117" i="1"/>
  <c r="E75" i="1"/>
  <c r="AB116" i="1"/>
  <c r="Z116" i="1"/>
  <c r="N116" i="1"/>
  <c r="M116" i="1"/>
  <c r="L116" i="1"/>
  <c r="K116" i="1"/>
  <c r="E74" i="1"/>
  <c r="E72" i="1"/>
  <c r="AB113" i="1"/>
  <c r="Z113" i="1"/>
  <c r="N113" i="1"/>
  <c r="M113" i="1"/>
  <c r="L113" i="1"/>
  <c r="K113" i="1"/>
  <c r="E69" i="1"/>
  <c r="AB112" i="1"/>
  <c r="Z112" i="1"/>
  <c r="N112" i="1"/>
  <c r="M112" i="1"/>
  <c r="L112" i="1"/>
  <c r="K112" i="1"/>
  <c r="E68" i="1"/>
  <c r="AB111" i="1"/>
  <c r="Z111" i="1"/>
  <c r="N111" i="1"/>
  <c r="M111" i="1"/>
  <c r="L111" i="1"/>
  <c r="K111" i="1"/>
  <c r="E67" i="1"/>
  <c r="AB110" i="1"/>
  <c r="Z110" i="1"/>
  <c r="N110" i="1"/>
  <c r="M110" i="1"/>
  <c r="L110" i="1"/>
  <c r="K110" i="1"/>
  <c r="E66" i="1"/>
  <c r="AB102" i="1"/>
  <c r="Z102" i="1"/>
  <c r="N102" i="1"/>
  <c r="M102" i="1"/>
  <c r="L102" i="1"/>
  <c r="K102" i="1"/>
  <c r="E57" i="1"/>
  <c r="AB95" i="1"/>
  <c r="Z95" i="1"/>
  <c r="N95" i="1"/>
  <c r="M95" i="1"/>
  <c r="L95" i="1"/>
  <c r="K95" i="1"/>
  <c r="E53" i="1"/>
  <c r="AB94" i="1"/>
  <c r="Z94" i="1"/>
  <c r="N94" i="1"/>
  <c r="M94" i="1"/>
  <c r="L94" i="1"/>
  <c r="K94" i="1"/>
  <c r="E52" i="1"/>
  <c r="AB93" i="1"/>
  <c r="Z93" i="1"/>
  <c r="N93" i="1"/>
  <c r="M93" i="1"/>
  <c r="L93" i="1"/>
  <c r="K93" i="1"/>
  <c r="E51" i="1"/>
  <c r="AB91" i="1"/>
  <c r="Z91" i="1"/>
  <c r="N91" i="1"/>
  <c r="M91" i="1"/>
  <c r="L91" i="1"/>
  <c r="K91" i="1"/>
  <c r="E50" i="1"/>
  <c r="AB90" i="1"/>
  <c r="Z90" i="1"/>
  <c r="N90" i="1"/>
  <c r="M90" i="1"/>
  <c r="L90" i="1"/>
  <c r="K90" i="1"/>
  <c r="E49" i="1"/>
  <c r="AB89" i="1"/>
  <c r="Z89" i="1"/>
  <c r="N89" i="1"/>
  <c r="M89" i="1"/>
  <c r="L89" i="1"/>
  <c r="K89" i="1"/>
  <c r="E48" i="1"/>
  <c r="AB87" i="1"/>
  <c r="Z87" i="1"/>
  <c r="N87" i="1"/>
  <c r="M87" i="1"/>
  <c r="L87" i="1"/>
  <c r="K87" i="1"/>
  <c r="E46" i="1"/>
  <c r="AB80" i="1"/>
  <c r="Z80" i="1"/>
  <c r="N80" i="1"/>
  <c r="M80" i="1"/>
  <c r="L80" i="1"/>
  <c r="K80" i="1"/>
  <c r="AB79" i="1"/>
  <c r="Z79" i="1"/>
  <c r="N79" i="1"/>
  <c r="M79" i="1"/>
  <c r="L79" i="1"/>
  <c r="K79" i="1"/>
  <c r="E40" i="1"/>
  <c r="AB78" i="1"/>
  <c r="Z78" i="1"/>
  <c r="N78" i="1"/>
  <c r="M78" i="1"/>
  <c r="L78" i="1"/>
  <c r="K78" i="1"/>
  <c r="E39" i="1"/>
  <c r="AB76" i="1"/>
  <c r="Z76" i="1"/>
  <c r="N76" i="1"/>
  <c r="M76" i="1"/>
  <c r="L76" i="1"/>
  <c r="K76" i="1"/>
  <c r="E38" i="1"/>
  <c r="AB75" i="1"/>
  <c r="Z75" i="1"/>
  <c r="N75" i="1"/>
  <c r="M75" i="1"/>
  <c r="L75" i="1"/>
  <c r="K75" i="1"/>
  <c r="E37" i="1"/>
  <c r="AB74" i="1"/>
  <c r="Z74" i="1"/>
  <c r="N74" i="1"/>
  <c r="M74" i="1"/>
  <c r="L74" i="1"/>
  <c r="K74" i="1"/>
  <c r="E36" i="1"/>
  <c r="AB72" i="1"/>
  <c r="Z72" i="1"/>
  <c r="N72" i="1"/>
  <c r="M72" i="1"/>
  <c r="L72" i="1"/>
  <c r="K72" i="1"/>
  <c r="E35" i="1"/>
  <c r="AB69" i="1"/>
  <c r="Z69" i="1"/>
  <c r="N69" i="1"/>
  <c r="M69" i="1"/>
  <c r="L69" i="1"/>
  <c r="K69" i="1"/>
  <c r="E34" i="1"/>
  <c r="AB68" i="1"/>
  <c r="Z68" i="1"/>
  <c r="N68" i="1"/>
  <c r="M68" i="1"/>
  <c r="L68" i="1"/>
  <c r="K68" i="1"/>
  <c r="E33" i="1"/>
  <c r="AB67" i="1"/>
  <c r="Z67" i="1"/>
  <c r="N67" i="1"/>
  <c r="M67" i="1"/>
  <c r="L67" i="1"/>
  <c r="K67" i="1"/>
  <c r="E32" i="1"/>
  <c r="AB66" i="1"/>
  <c r="Z66" i="1"/>
  <c r="N66" i="1"/>
  <c r="M66" i="1"/>
  <c r="L66" i="1"/>
  <c r="K66" i="1"/>
  <c r="E31" i="1"/>
  <c r="E25" i="1"/>
  <c r="AB57" i="1"/>
  <c r="Z57" i="1"/>
  <c r="N57" i="1"/>
  <c r="M57" i="1"/>
  <c r="L57" i="1"/>
  <c r="K57" i="1"/>
  <c r="E23" i="1"/>
  <c r="E19" i="1"/>
  <c r="AB53" i="1"/>
  <c r="Z53" i="1"/>
  <c r="N53" i="1"/>
  <c r="M53" i="1"/>
  <c r="L53" i="1"/>
  <c r="K53" i="1"/>
  <c r="AB52" i="1"/>
  <c r="Z52" i="1"/>
  <c r="N52" i="1"/>
  <c r="M52" i="1"/>
  <c r="L52" i="1"/>
  <c r="K52" i="1"/>
  <c r="E18" i="1"/>
  <c r="AB51" i="1"/>
  <c r="Z51" i="1"/>
  <c r="N51" i="1"/>
  <c r="M51" i="1"/>
  <c r="L51" i="1"/>
  <c r="K51" i="1"/>
  <c r="E17" i="1"/>
  <c r="E16" i="1"/>
  <c r="AB50" i="1"/>
  <c r="Z50" i="1"/>
  <c r="N50" i="1"/>
  <c r="M50" i="1"/>
  <c r="L50" i="1"/>
  <c r="K50" i="1"/>
  <c r="AB49" i="1"/>
  <c r="Z49" i="1"/>
  <c r="N49" i="1"/>
  <c r="M49" i="1"/>
  <c r="L49" i="1"/>
  <c r="K49" i="1"/>
  <c r="E15" i="1"/>
  <c r="AB48" i="1"/>
  <c r="Z48" i="1"/>
  <c r="N48" i="1"/>
  <c r="M48" i="1"/>
  <c r="L48" i="1"/>
  <c r="K48" i="1"/>
  <c r="E14" i="1"/>
  <c r="AB46" i="1"/>
  <c r="Z46" i="1"/>
  <c r="N46" i="1"/>
  <c r="M46" i="1"/>
  <c r="L46" i="1"/>
  <c r="K46" i="1"/>
  <c r="E13" i="1"/>
  <c r="E12" i="1"/>
  <c r="AB40" i="1"/>
  <c r="Z40" i="1"/>
  <c r="N40" i="1"/>
  <c r="M40" i="1"/>
  <c r="L40" i="1"/>
  <c r="K40" i="1"/>
  <c r="E11" i="1"/>
  <c r="AB39" i="1"/>
  <c r="Z39" i="1"/>
  <c r="N39" i="1"/>
  <c r="M39" i="1"/>
  <c r="L39" i="1"/>
  <c r="K39" i="1"/>
  <c r="E10" i="1"/>
  <c r="E9" i="1"/>
  <c r="AB38" i="1"/>
  <c r="Z38" i="1"/>
  <c r="N38" i="1"/>
  <c r="M38" i="1"/>
  <c r="L38" i="1"/>
  <c r="K38" i="1"/>
  <c r="AB37" i="1"/>
  <c r="Z37" i="1"/>
  <c r="N37" i="1"/>
  <c r="M37" i="1"/>
  <c r="L37" i="1"/>
  <c r="K37" i="1"/>
  <c r="E8" i="1"/>
  <c r="AB36" i="1"/>
  <c r="Z36" i="1"/>
  <c r="N36" i="1"/>
  <c r="M36" i="1"/>
  <c r="L36" i="1"/>
  <c r="K36" i="1"/>
  <c r="E7" i="1"/>
  <c r="AB35" i="1"/>
  <c r="Z35" i="1"/>
  <c r="N35" i="1"/>
  <c r="M35" i="1"/>
  <c r="L35" i="1"/>
  <c r="K35" i="1"/>
  <c r="E6" i="1"/>
  <c r="AB34" i="1"/>
  <c r="Z34" i="1"/>
  <c r="N34" i="1"/>
  <c r="M34" i="1"/>
  <c r="L34" i="1"/>
  <c r="K34" i="1"/>
  <c r="E5" i="1"/>
  <c r="AB33" i="1"/>
  <c r="Z33" i="1"/>
  <c r="N33" i="1"/>
  <c r="M33" i="1"/>
  <c r="L33" i="1"/>
  <c r="K33" i="1"/>
  <c r="E4" i="1"/>
  <c r="AB32" i="1"/>
  <c r="Z32" i="1"/>
  <c r="N32" i="1"/>
  <c r="M32" i="1"/>
  <c r="L32" i="1"/>
  <c r="K32" i="1"/>
  <c r="E3" i="1"/>
  <c r="AB31" i="1"/>
  <c r="Z31" i="1"/>
  <c r="N31" i="1"/>
  <c r="M31" i="1"/>
  <c r="L31" i="1"/>
  <c r="K31" i="1"/>
  <c r="E2" i="1"/>
  <c r="E72" i="2"/>
  <c r="D72" i="2"/>
  <c r="B72" i="2"/>
  <c r="E71" i="2"/>
  <c r="D71" i="2"/>
  <c r="B71" i="2"/>
  <c r="E70" i="2"/>
  <c r="D70" i="2"/>
  <c r="B70" i="2"/>
  <c r="E69" i="2"/>
  <c r="D69" i="2"/>
  <c r="B69" i="2"/>
  <c r="E68" i="2"/>
  <c r="D68" i="2"/>
  <c r="B68" i="2"/>
  <c r="E67" i="2"/>
  <c r="D67" i="2"/>
  <c r="B67" i="2"/>
  <c r="E66" i="2"/>
  <c r="D66" i="2"/>
  <c r="B66" i="2"/>
  <c r="E65" i="2"/>
  <c r="D65" i="2"/>
  <c r="B65" i="2"/>
  <c r="E64" i="2"/>
  <c r="D64" i="2"/>
  <c r="B64" i="2"/>
  <c r="E63" i="2"/>
  <c r="D63" i="2"/>
  <c r="B63" i="2"/>
  <c r="E60" i="2"/>
  <c r="D60" i="2"/>
  <c r="B60" i="2"/>
  <c r="E59" i="2"/>
  <c r="D59" i="2"/>
  <c r="B59" i="2"/>
  <c r="E58" i="2"/>
  <c r="D58" i="2"/>
  <c r="B58" i="2"/>
  <c r="E57" i="2"/>
  <c r="D57" i="2"/>
  <c r="B57" i="2"/>
  <c r="E55" i="2"/>
  <c r="D55" i="2"/>
  <c r="B55" i="2"/>
  <c r="E38" i="2"/>
  <c r="D38" i="2"/>
  <c r="B38" i="2"/>
  <c r="E36" i="2"/>
  <c r="D36" i="2"/>
  <c r="B36" i="2"/>
  <c r="E35" i="2"/>
  <c r="D35" i="2"/>
  <c r="B35" i="2"/>
  <c r="E34" i="2"/>
  <c r="D34" i="2"/>
  <c r="B34" i="2"/>
  <c r="E33" i="2"/>
  <c r="D33" i="2"/>
  <c r="B33" i="2"/>
  <c r="E32" i="2"/>
  <c r="D32" i="2"/>
  <c r="B32" i="2"/>
  <c r="E31" i="2"/>
  <c r="D31" i="2"/>
  <c r="B31" i="2"/>
  <c r="E41" i="2"/>
  <c r="D41" i="2"/>
  <c r="B41" i="2"/>
  <c r="E39" i="2"/>
  <c r="D39" i="2"/>
  <c r="B39" i="2"/>
  <c r="E26" i="2"/>
  <c r="D26" i="2"/>
  <c r="B26" i="2"/>
  <c r="E28" i="2"/>
  <c r="D28" i="2"/>
  <c r="B28" i="2"/>
  <c r="E27" i="2"/>
  <c r="D27" i="2"/>
  <c r="B27" i="2"/>
  <c r="E21" i="2"/>
  <c r="D21" i="2"/>
  <c r="B21" i="2"/>
  <c r="E19" i="2"/>
  <c r="D19" i="2"/>
  <c r="B19" i="2"/>
  <c r="E18" i="2"/>
  <c r="D18" i="2"/>
  <c r="B18" i="2"/>
  <c r="E17" i="2"/>
  <c r="D17" i="2"/>
  <c r="B17" i="2"/>
  <c r="E16" i="2"/>
  <c r="D16" i="2"/>
  <c r="B16" i="2"/>
  <c r="E5" i="2"/>
  <c r="D5" i="2"/>
  <c r="B5" i="2"/>
  <c r="E14" i="2"/>
  <c r="D14" i="2"/>
  <c r="B14" i="2"/>
  <c r="E13" i="2"/>
  <c r="D13" i="2"/>
  <c r="B13" i="2"/>
  <c r="E12" i="2"/>
  <c r="D12" i="2"/>
  <c r="B12" i="2"/>
  <c r="E11" i="2"/>
  <c r="D11" i="2"/>
  <c r="B11" i="2"/>
  <c r="E9" i="2"/>
  <c r="D9" i="2"/>
  <c r="B9" i="2"/>
  <c r="E8" i="2"/>
  <c r="D8" i="2"/>
  <c r="B8" i="2"/>
  <c r="E7" i="2"/>
  <c r="D7" i="2"/>
  <c r="B7" i="2"/>
  <c r="E6" i="2"/>
  <c r="D6" i="2"/>
  <c r="B6" i="2"/>
  <c r="E54" i="2"/>
  <c r="D54" i="2"/>
  <c r="B54" i="2"/>
  <c r="E53" i="2"/>
  <c r="D53" i="2"/>
  <c r="B53" i="2"/>
  <c r="E51" i="2"/>
  <c r="D51" i="2"/>
  <c r="B51" i="2"/>
  <c r="E50" i="2"/>
  <c r="D50" i="2"/>
  <c r="B50" i="2"/>
  <c r="E49" i="2"/>
  <c r="D49" i="2"/>
  <c r="B49" i="2"/>
  <c r="E48" i="2"/>
  <c r="D48" i="2"/>
  <c r="B48" i="2"/>
  <c r="E47" i="2"/>
  <c r="D47" i="2"/>
  <c r="B47" i="2"/>
  <c r="E44" i="2"/>
  <c r="D44" i="2"/>
  <c r="B44" i="2"/>
  <c r="E43" i="2"/>
  <c r="D43" i="2"/>
  <c r="B43" i="2"/>
  <c r="E42" i="2"/>
  <c r="D42" i="2"/>
  <c r="B42" i="2"/>
  <c r="E25" i="2"/>
  <c r="D25" i="2"/>
  <c r="B25" i="2"/>
  <c r="E23" i="2"/>
  <c r="D23" i="2"/>
  <c r="B23" i="2"/>
  <c r="E22" i="2"/>
  <c r="D22" i="2"/>
  <c r="B22" i="2"/>
  <c r="E4" i="2"/>
  <c r="D4" i="2"/>
  <c r="B4" i="2"/>
  <c r="E3" i="2"/>
  <c r="D3" i="2"/>
  <c r="B3" i="2"/>
  <c r="E2" i="2"/>
  <c r="D2" i="2"/>
  <c r="B2" i="2"/>
  <c r="B3" i="6"/>
  <c r="C3" i="6"/>
  <c r="D3" i="6"/>
  <c r="E3" i="6"/>
  <c r="F3" i="6"/>
  <c r="L3" i="6"/>
  <c r="N3" i="6"/>
  <c r="O3" i="6"/>
  <c r="P3" i="6"/>
  <c r="Q3" i="6"/>
  <c r="R3" i="6"/>
  <c r="A3" i="5"/>
  <c r="F3" i="5"/>
  <c r="E3" i="5"/>
  <c r="D3" i="5"/>
  <c r="C3" i="5"/>
  <c r="B3" i="5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<sst xmlns="http://schemas.openxmlformats.org/spreadsheetml/2006/main" count="76" uniqueCount="55">
  <si>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</si>
  <si>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</si>
  <si>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</si>
  <si>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</si>
  <si>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</si>
  <si>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</si>
  <si>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</si>
  <si>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</si>
  <si>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</si>
  <si>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</si>
  <si>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</si>
  <si>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</si>
  <si>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</si>
  <si>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</si>
  <si>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</si>
  <si>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</si>
  <si>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</si>
  <si>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</si>
  <si>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</si>
  <si>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</si>
  <si>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</si>
  <si>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</si>
  <si>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</si>
  <si>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</si>
  <si>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</si>
  <si>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</si>
  <si>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</si>
  <si>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</si>
  <si>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</si>
  <si>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</si>
  <si>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</si>
  <si>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</si>
  <si>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</si>
  <si>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</si>
  <si>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</si>
  <si>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</si>
  <si>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</si>
  <si>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</si>
  <si>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</si>
  <si>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</si>
  <si>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</si>
  <si>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</si>
  <si>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</si>
  <si>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</si>
  <si>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hp_plus</t>
  </si>
  <si>
    <t>attack_plus</t>
  </si>
  <si>
    <t>defense_plus</t>
  </si>
  <si>
    <t>heal_plus</t>
  </si>
  <si>
    <t>bug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</si>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</sst>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924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8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8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</cellXfs>
  <cellStyles count="924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  <cell r="AC2" t="str">
            <v>なし</v>
          </cell>
          <cell r="AD2">
            <v>1</v>
          </cell>
          <cell r="AE2">
            <v>0.9</v>
          </cell>
          <cell r="AF2">
            <v>0</v>
          </cell>
          <cell r="AG2">
            <v>500</v>
          </cell>
          <cell r="AH2">
            <v>101</v>
          </cell>
          <cell r="AI2">
            <v>0</v>
          </cell>
          <cell r="AJ2">
            <v>20300</v>
          </cell>
          <cell r="AK2">
            <v>4090</v>
          </cell>
          <cell r="AL2">
            <v>0</v>
          </cell>
          <cell r="AM2">
            <v>340</v>
          </cell>
          <cell r="AN2">
            <v>0</v>
          </cell>
          <cell r="AO2">
            <v>0</v>
          </cell>
          <cell r="AP2" t="str">
            <v>NULL</v>
          </cell>
          <cell r="AQ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87"/>
  <sheetViews>
    <sheetView showGridLines="0" zoomScale="85" zoomScaleNormal="85" zoomScalePageLayoutView="85" workbookViewId="0">
      <pane ySplit="1" topLeftCell="A2" activePane="bottomLeft" state="frozen"/>
      <selection activeCell="V2" sqref="V2:X34"/>
      <selection pane="bottomLeft" activeCell="J9" sqref="J9"/>
    </sheetView>
  </sheetViews>
  <sheetFormatPr baseColWidth="12" defaultColWidth="13" defaultRowHeight="21" customHeight="1" outlineLevelCol="1" x14ac:dyDescent="0.15"/>
  <cols>
    <col min="1" max="1" width="8.83203125" style="30" bestFit="1" customWidth="1"/>
    <col min="2" max="2" width="5" style="30" bestFit="1" customWidth="1"/>
    <col min="3" max="3" width="7.1640625" style="10" bestFit="1" customWidth="1"/>
    <col min="4" max="4" width="14.6640625" style="4" bestFit="1" customWidth="1" outlineLevel="1"/>
    <col min="5" max="5" width="10.33203125" style="4" customWidth="1" outlineLevel="1"/>
    <col min="6" max="6" width="7" style="4" bestFit="1" customWidth="1"/>
    <col min="7" max="7" width="8.83203125" style="30" customWidth="1" outlineLevel="1"/>
    <col min="8" max="8" width="20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14" x14ac:dyDescent="0.15">
      <c r="A1" s="21" t="s">
        <v>31</v>
      </c>
      <c r="B1" s="21" t="s">
        <v>38</v>
      </c>
      <c r="C1" s="1" t="s">
        <v>0</v>
      </c>
      <c r="D1" s="2" t="s">
        <v>18</v>
      </c>
      <c r="E1" s="20" t="s">
        <v>35</v>
      </c>
      <c r="F1" s="1" t="s">
        <v>1</v>
      </c>
      <c r="G1" s="34" t="s">
        <v>34</v>
      </c>
      <c r="H1" s="20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1" t="str">
        <f t="shared" ref="A2:A66" si="0">G2&amp;"-"&amp;I2</f>
        <v>2_1-1</v>
      </c>
      <c r="B2" s="21" t="str">
        <f>IF(COUNTIF(enemy_habitats_DL1!$H:$H,A2),"OK","NG")</f>
        <v>OK</v>
      </c>
      <c r="C2" s="32">
        <v>2</v>
      </c>
      <c r="D2" s="12" t="str">
        <f ca="1">VLOOKUP($C2,OFFSET([1]quests!$A$1,0,0,COUNTA([1]quests!$A:$A),MATCH(D$1,[1]quests!$1:$1,0)-MATCH($C$1,[1]quests!$1:$1,0)+1),MATCH(D$1,[1]quests!$1:$1,0)-MATCH($C$1,[1]quests!$1:$1,0)+1,FALSE)</f>
        <v>2．火之柄神社</v>
      </c>
      <c r="E2" s="29" t="str">
        <f ca="1">VLOOKUP($C2,OFFSET([1]quests!$A$1,0,0,COUNTA([1]quests!$A:$A),MATCH(E$1,[1]quests!$1:$1,0)-MATCH($C$1,[1]quests!$1:$1,0)+1),MATCH(E$1,[1]quests!$1:$1,0)-MATCH($C$1,[1]quests!$1:$1,0)+1,FALSE)</f>
        <v>赤DL1</v>
      </c>
      <c r="F2" s="32">
        <v>1</v>
      </c>
      <c r="G2" s="34" t="str">
        <f t="shared" ref="G2:G66" si="1">C2&amp;"_"&amp;F2</f>
        <v>2_1</v>
      </c>
      <c r="H2" s="20" t="str">
        <f ca="1">VLOOKUP($G2,OFFSET([1]stages!$A$1,0,0,COUNTA([1]stages!$A:$A),MATCH(H$1,[1]stages!$2:$2,0)-MATCH($G$1,[1]stages!$2:$2,0)+1),MATCH(H$1,[1]stages!$2:$2,0)-MATCH($G$1,[1]stages!$2:$2,0)+1,FALSE)</f>
        <v>2-1. 悪戯な炎</v>
      </c>
      <c r="I2" s="32">
        <v>1</v>
      </c>
      <c r="J2" s="13">
        <v>15</v>
      </c>
      <c r="K2" s="13">
        <v>45</v>
      </c>
    </row>
    <row r="3" spans="1:11" ht="21" customHeight="1" x14ac:dyDescent="0.15">
      <c r="A3" s="21" t="str">
        <f t="shared" si="0"/>
        <v>2_1-2</v>
      </c>
      <c r="B3" s="21" t="str">
        <f>IF(COUNTIF(enemy_habitats_DL1!$H:$H,A3),"OK","NG")</f>
        <v>OK</v>
      </c>
      <c r="C3" s="32">
        <v>2</v>
      </c>
      <c r="D3" s="12" t="str">
        <f ca="1">VLOOKUP($C3,OFFSET([1]quests!$A$1,0,0,COUNTA([1]quests!$A:$A),MATCH(D$1,[1]quests!$1:$1,0)-MATCH($C$1,[1]quests!$1:$1,0)+1),MATCH(D$1,[1]quests!$1:$1,0)-MATCH($C$1,[1]quests!$1:$1,0)+1,FALSE)</f>
        <v>2．火之柄神社</v>
      </c>
      <c r="E3" s="29" t="str">
        <f ca="1">VLOOKUP($C3,OFFSET([1]quests!$A$1,0,0,COUNTA([1]quests!$A:$A),MATCH(E$1,[1]quests!$1:$1,0)-MATCH($C$1,[1]quests!$1:$1,0)+1),MATCH(E$1,[1]quests!$1:$1,0)-MATCH($C$1,[1]quests!$1:$1,0)+1,FALSE)</f>
        <v>赤DL1</v>
      </c>
      <c r="F3" s="32">
        <v>1</v>
      </c>
      <c r="G3" s="34" t="str">
        <f t="shared" si="1"/>
        <v>2_1</v>
      </c>
      <c r="H3" s="20" t="str">
        <f ca="1">VLOOKUP($G3,OFFSET([1]stages!$A$1,0,0,COUNTA([1]stages!$A:$A),MATCH(H$1,[1]stages!$2:$2,0)-MATCH($G$1,[1]stages!$2:$2,0)+1),MATCH(H$1,[1]stages!$2:$2,0)-MATCH($G$1,[1]stages!$2:$2,0)+1,FALSE)</f>
        <v>2-1. 悪戯な炎</v>
      </c>
      <c r="I3" s="32">
        <v>2</v>
      </c>
      <c r="J3" s="13">
        <v>45</v>
      </c>
      <c r="K3" s="13">
        <v>45</v>
      </c>
    </row>
    <row r="4" spans="1:11" ht="21" customHeight="1" x14ac:dyDescent="0.15">
      <c r="A4" s="21" t="str">
        <f t="shared" si="0"/>
        <v>2_1-3</v>
      </c>
      <c r="B4" s="21" t="str">
        <f>IF(COUNTIF(enemy_habitats_DL1!$H:$H,A4),"OK","NG")</f>
        <v>OK</v>
      </c>
      <c r="C4" s="32">
        <v>2</v>
      </c>
      <c r="D4" s="12" t="str">
        <f ca="1">VLOOKUP($C4,OFFSET([1]quests!$A$1,0,0,COUNTA([1]quests!$A:$A),MATCH(D$1,[1]quests!$1:$1,0)-MATCH($C$1,[1]quests!$1:$1,0)+1),MATCH(D$1,[1]quests!$1:$1,0)-MATCH($C$1,[1]quests!$1:$1,0)+1,FALSE)</f>
        <v>2．火之柄神社</v>
      </c>
      <c r="E4" s="29" t="str">
        <f ca="1">VLOOKUP($C4,OFFSET([1]quests!$A$1,0,0,COUNTA([1]quests!$A:$A),MATCH(E$1,[1]quests!$1:$1,0)-MATCH($C$1,[1]quests!$1:$1,0)+1),MATCH(E$1,[1]quests!$1:$1,0)-MATCH($C$1,[1]quests!$1:$1,0)+1,FALSE)</f>
        <v>赤DL1</v>
      </c>
      <c r="F4" s="32">
        <v>1</v>
      </c>
      <c r="G4" s="34" t="str">
        <f t="shared" si="1"/>
        <v>2_1</v>
      </c>
      <c r="H4" s="20" t="str">
        <f ca="1">VLOOKUP($G4,OFFSET([1]stages!$A$1,0,0,COUNTA([1]stages!$A:$A),MATCH(H$1,[1]stages!$2:$2,0)-MATCH($G$1,[1]stages!$2:$2,0)+1),MATCH(H$1,[1]stages!$2:$2,0)-MATCH($G$1,[1]stages!$2:$2,0)+1,FALSE)</f>
        <v>2-1. 悪戯な炎</v>
      </c>
      <c r="I4" s="32">
        <v>3</v>
      </c>
      <c r="J4" s="13">
        <v>45</v>
      </c>
      <c r="K4" s="13">
        <v>45</v>
      </c>
    </row>
    <row r="5" spans="1:11" ht="21" customHeight="1" x14ac:dyDescent="0.15">
      <c r="A5" s="21" t="str">
        <f t="shared" ref="A5:A21" si="2">G5&amp;"-"&amp;I5</f>
        <v>2_2-1</v>
      </c>
      <c r="B5" s="21" t="str">
        <f>IF(COUNTIF(enemy_habitats_DL1!$H:$H,A5),"OK","NG")</f>
        <v>OK</v>
      </c>
      <c r="C5" s="32">
        <v>2</v>
      </c>
      <c r="D5" s="12" t="str">
        <f ca="1">VLOOKUP($C5,OFFSET([1]quests!$A$1,0,0,COUNTA([1]quests!$A:$A),MATCH(D$1,[1]quests!$1:$1,0)-MATCH($C$1,[1]quests!$1:$1,0)+1),MATCH(D$1,[1]quests!$1:$1,0)-MATCH($C$1,[1]quests!$1:$1,0)+1,FALSE)</f>
        <v>2．火之柄神社</v>
      </c>
      <c r="E5" s="29" t="str">
        <f ca="1">VLOOKUP($C5,OFFSET([1]quests!$A$1,0,0,COUNTA([1]quests!$A:$A),MATCH(E$1,[1]quests!$1:$1,0)-MATCH($C$1,[1]quests!$1:$1,0)+1),MATCH(E$1,[1]quests!$1:$1,0)-MATCH($C$1,[1]quests!$1:$1,0)+1,FALSE)</f>
        <v>赤DL1</v>
      </c>
      <c r="F5" s="32">
        <v>2</v>
      </c>
      <c r="G5" s="34" t="str">
        <f t="shared" ref="G5:G21" si="3">C5&amp;"_"&amp;F5</f>
        <v>2_2</v>
      </c>
      <c r="H5" s="20" t="str">
        <f ca="1">VLOOKUP($G5,OFFSET([1]stages!$A$1,0,0,COUNTA([1]stages!$A:$A),MATCH(H$1,[1]stages!$2:$2,0)-MATCH($G$1,[1]stages!$2:$2,0)+1),MATCH(H$1,[1]stages!$2:$2,0)-MATCH($G$1,[1]stages!$2:$2,0)+1,FALSE)</f>
        <v>2-2. 火線のファンタジスタ</v>
      </c>
      <c r="I5" s="32">
        <v>1</v>
      </c>
      <c r="J5" s="13">
        <v>30</v>
      </c>
      <c r="K5" s="13">
        <v>45</v>
      </c>
    </row>
    <row r="6" spans="1:11" ht="21" customHeight="1" x14ac:dyDescent="0.15">
      <c r="A6" s="21" t="str">
        <f t="shared" si="2"/>
        <v>2_2-2</v>
      </c>
      <c r="B6" s="21" t="str">
        <f>IF(COUNTIF(enemy_habitats_DL1!$H:$H,A6),"OK","NG")</f>
        <v>OK</v>
      </c>
      <c r="C6" s="32">
        <v>2</v>
      </c>
      <c r="D6" s="12" t="str">
        <f ca="1">VLOOKUP($C6,OFFSET([1]quests!$A$1,0,0,COUNTA([1]quests!$A:$A),MATCH(D$1,[1]quests!$1:$1,0)-MATCH($C$1,[1]quests!$1:$1,0)+1),MATCH(D$1,[1]quests!$1:$1,0)-MATCH($C$1,[1]quests!$1:$1,0)+1,FALSE)</f>
        <v>2．火之柄神社</v>
      </c>
      <c r="E6" s="29" t="str">
        <f ca="1">VLOOKUP($C6,OFFSET([1]quests!$A$1,0,0,COUNTA([1]quests!$A:$A),MATCH(E$1,[1]quests!$1:$1,0)-MATCH($C$1,[1]quests!$1:$1,0)+1),MATCH(E$1,[1]quests!$1:$1,0)-MATCH($C$1,[1]quests!$1:$1,0)+1,FALSE)</f>
        <v>赤DL1</v>
      </c>
      <c r="F6" s="32">
        <v>2</v>
      </c>
      <c r="G6" s="34" t="str">
        <f t="shared" si="3"/>
        <v>2_2</v>
      </c>
      <c r="H6" s="20" t="str">
        <f ca="1">VLOOKUP($G6,OFFSET([1]stages!$A$1,0,0,COUNTA([1]stages!$A:$A),MATCH(H$1,[1]stages!$2:$2,0)-MATCH($G$1,[1]stages!$2:$2,0)+1),MATCH(H$1,[1]stages!$2:$2,0)-MATCH($G$1,[1]stages!$2:$2,0)+1,FALSE)</f>
        <v>2-2. 火線のファンタジスタ</v>
      </c>
      <c r="I6" s="32">
        <v>2</v>
      </c>
      <c r="J6" s="13">
        <v>45</v>
      </c>
      <c r="K6" s="13">
        <v>45</v>
      </c>
    </row>
    <row r="7" spans="1:11" ht="21" customHeight="1" x14ac:dyDescent="0.15">
      <c r="A7" s="21" t="str">
        <f t="shared" si="2"/>
        <v>2_2-3</v>
      </c>
      <c r="B7" s="21" t="str">
        <f>IF(COUNTIF(enemy_habitats_DL1!$H:$H,A7),"OK","NG")</f>
        <v>OK</v>
      </c>
      <c r="C7" s="32">
        <v>2</v>
      </c>
      <c r="D7" s="12" t="str">
        <f ca="1">VLOOKUP($C7,OFFSET([1]quests!$A$1,0,0,COUNTA([1]quests!$A:$A),MATCH(D$1,[1]quests!$1:$1,0)-MATCH($C$1,[1]quests!$1:$1,0)+1),MATCH(D$1,[1]quests!$1:$1,0)-MATCH($C$1,[1]quests!$1:$1,0)+1,FALSE)</f>
        <v>2．火之柄神社</v>
      </c>
      <c r="E7" s="29" t="str">
        <f ca="1">VLOOKUP($C7,OFFSET([1]quests!$A$1,0,0,COUNTA([1]quests!$A:$A),MATCH(E$1,[1]quests!$1:$1,0)-MATCH($C$1,[1]quests!$1:$1,0)+1),MATCH(E$1,[1]quests!$1:$1,0)-MATCH($C$1,[1]quests!$1:$1,0)+1,FALSE)</f>
        <v>赤DL1</v>
      </c>
      <c r="F7" s="32">
        <v>2</v>
      </c>
      <c r="G7" s="34" t="str">
        <f t="shared" si="3"/>
        <v>2_2</v>
      </c>
      <c r="H7" s="20" t="str">
        <f ca="1">VLOOKUP($G7,OFFSET([1]stages!$A$1,0,0,COUNTA([1]stages!$A:$A),MATCH(H$1,[1]stages!$2:$2,0)-MATCH($G$1,[1]stages!$2:$2,0)+1),MATCH(H$1,[1]stages!$2:$2,0)-MATCH($G$1,[1]stages!$2:$2,0)+1,FALSE)</f>
        <v>2-2. 火線のファンタジスタ</v>
      </c>
      <c r="I7" s="32">
        <v>3</v>
      </c>
      <c r="J7" s="13">
        <v>45</v>
      </c>
      <c r="K7" s="13">
        <v>45</v>
      </c>
    </row>
    <row r="8" spans="1:11" ht="21" customHeight="1" x14ac:dyDescent="0.15">
      <c r="A8" s="21" t="str">
        <f t="shared" si="2"/>
        <v>2_3-1</v>
      </c>
      <c r="B8" s="21" t="str">
        <f>IF(COUNTIF(enemy_habitats_DL1!$H:$H,A8),"OK","NG")</f>
        <v>OK</v>
      </c>
      <c r="C8" s="32">
        <v>2</v>
      </c>
      <c r="D8" s="12" t="str">
        <f ca="1">VLOOKUP($C8,OFFSET([1]quests!$A$1,0,0,COUNTA([1]quests!$A:$A),MATCH(D$1,[1]quests!$1:$1,0)-MATCH($C$1,[1]quests!$1:$1,0)+1),MATCH(D$1,[1]quests!$1:$1,0)-MATCH($C$1,[1]quests!$1:$1,0)+1,FALSE)</f>
        <v>2．火之柄神社</v>
      </c>
      <c r="E8" s="29" t="str">
        <f ca="1">VLOOKUP($C8,OFFSET([1]quests!$A$1,0,0,COUNTA([1]quests!$A:$A),MATCH(E$1,[1]quests!$1:$1,0)-MATCH($C$1,[1]quests!$1:$1,0)+1),MATCH(E$1,[1]quests!$1:$1,0)-MATCH($C$1,[1]quests!$1:$1,0)+1,FALSE)</f>
        <v>赤DL1</v>
      </c>
      <c r="F8" s="32">
        <v>3</v>
      </c>
      <c r="G8" s="34" t="str">
        <f t="shared" si="3"/>
        <v>2_3</v>
      </c>
      <c r="H8" s="20" t="str">
        <f ca="1">VLOOKUP($G8,OFFSET([1]stages!$A$1,0,0,COUNTA([1]stages!$A:$A),MATCH(H$1,[1]stages!$2:$2,0)-MATCH($G$1,[1]stages!$2:$2,0)+1),MATCH(H$1,[1]stages!$2:$2,0)-MATCH($G$1,[1]stages!$2:$2,0)+1,FALSE)</f>
        <v>2-3. 妖炎の誘い</v>
      </c>
      <c r="I8" s="32">
        <v>1</v>
      </c>
      <c r="J8" s="13">
        <v>45</v>
      </c>
      <c r="K8" s="13">
        <v>45</v>
      </c>
    </row>
    <row r="9" spans="1:11" ht="21" customHeight="1" x14ac:dyDescent="0.15">
      <c r="A9" s="21" t="str">
        <f t="shared" si="2"/>
        <v>2_3-2</v>
      </c>
      <c r="B9" s="21" t="str">
        <f>IF(COUNTIF(enemy_habitats_DL1!$H:$H,A9),"OK","NG")</f>
        <v>OK</v>
      </c>
      <c r="C9" s="32">
        <v>2</v>
      </c>
      <c r="D9" s="12" t="str">
        <f ca="1">VLOOKUP($C9,OFFSET([1]quests!$A$1,0,0,COUNTA([1]quests!$A:$A),MATCH(D$1,[1]quests!$1:$1,0)-MATCH($C$1,[1]quests!$1:$1,0)+1),MATCH(D$1,[1]quests!$1:$1,0)-MATCH($C$1,[1]quests!$1:$1,0)+1,FALSE)</f>
        <v>2．火之柄神社</v>
      </c>
      <c r="E9" s="29" t="str">
        <f ca="1">VLOOKUP($C9,OFFSET([1]quests!$A$1,0,0,COUNTA([1]quests!$A:$A),MATCH(E$1,[1]quests!$1:$1,0)-MATCH($C$1,[1]quests!$1:$1,0)+1),MATCH(E$1,[1]quests!$1:$1,0)-MATCH($C$1,[1]quests!$1:$1,0)+1,FALSE)</f>
        <v>赤DL1</v>
      </c>
      <c r="F9" s="32">
        <v>3</v>
      </c>
      <c r="G9" s="34" t="str">
        <f t="shared" si="3"/>
        <v>2_3</v>
      </c>
      <c r="H9" s="20" t="str">
        <f ca="1">VLOOKUP($G9,OFFSET([1]stages!$A$1,0,0,COUNTA([1]stages!$A:$A),MATCH(H$1,[1]stages!$2:$2,0)-MATCH($G$1,[1]stages!$2:$2,0)+1),MATCH(H$1,[1]stages!$2:$2,0)-MATCH($G$1,[1]stages!$2:$2,0)+1,FALSE)</f>
        <v>2-3. 妖炎の誘い</v>
      </c>
      <c r="I9" s="32">
        <v>2</v>
      </c>
      <c r="J9" s="13">
        <v>45</v>
      </c>
      <c r="K9" s="13">
        <v>45</v>
      </c>
    </row>
    <row r="10" spans="1:11" ht="21" customHeight="1" x14ac:dyDescent="0.15">
      <c r="A10" s="21" t="str">
        <f t="shared" ref="A10" si="4">G10&amp;"-"&amp;I10</f>
        <v>2_3-3</v>
      </c>
      <c r="B10" s="21" t="str">
        <f>IF(COUNTIF(enemy_habitats_DL1!$H:$H,A10),"OK","NG")</f>
        <v>OK</v>
      </c>
      <c r="C10" s="32">
        <v>2</v>
      </c>
      <c r="D10" s="12" t="str">
        <f ca="1">VLOOKUP($C10,OFFSET([1]quests!$A$1,0,0,COUNTA([1]quests!$A:$A),MATCH(D$1,[1]quests!$1:$1,0)-MATCH($C$1,[1]quests!$1:$1,0)+1),MATCH(D$1,[1]quests!$1:$1,0)-MATCH($C$1,[1]quests!$1:$1,0)+1,FALSE)</f>
        <v>2．火之柄神社</v>
      </c>
      <c r="E10" s="29" t="str">
        <f ca="1">VLOOKUP($C10,OFFSET([1]quests!$A$1,0,0,COUNTA([1]quests!$A:$A),MATCH(E$1,[1]quests!$1:$1,0)-MATCH($C$1,[1]quests!$1:$1,0)+1),MATCH(E$1,[1]quests!$1:$1,0)-MATCH($C$1,[1]quests!$1:$1,0)+1,FALSE)</f>
        <v>赤DL1</v>
      </c>
      <c r="F10" s="32">
        <v>3</v>
      </c>
      <c r="G10" s="34" t="str">
        <f t="shared" ref="G10" si="5">C10&amp;"_"&amp;F10</f>
        <v>2_3</v>
      </c>
      <c r="H10" s="20" t="str">
        <f ca="1">VLOOKUP($G10,OFFSET([1]stages!$A$1,0,0,COUNTA([1]stages!$A:$A),MATCH(H$1,[1]stages!$2:$2,0)-MATCH($G$1,[1]stages!$2:$2,0)+1),MATCH(H$1,[1]stages!$2:$2,0)-MATCH($G$1,[1]stages!$2:$2,0)+1,FALSE)</f>
        <v>2-3. 妖炎の誘い</v>
      </c>
      <c r="I10" s="32">
        <v>3</v>
      </c>
      <c r="J10" s="13">
        <v>45</v>
      </c>
      <c r="K10" s="13">
        <v>45</v>
      </c>
    </row>
    <row r="11" spans="1:11" ht="21" customHeight="1" x14ac:dyDescent="0.15">
      <c r="A11" s="21" t="str">
        <f t="shared" si="2"/>
        <v>2_3-4</v>
      </c>
      <c r="B11" s="21" t="str">
        <f>IF(COUNTIF(enemy_habitats_DL1!$H:$H,A11),"OK","NG")</f>
        <v>OK</v>
      </c>
      <c r="C11" s="32">
        <v>2</v>
      </c>
      <c r="D11" s="12" t="str">
        <f ca="1">VLOOKUP($C11,OFFSET([1]quests!$A$1,0,0,COUNTA([1]quests!$A:$A),MATCH(D$1,[1]quests!$1:$1,0)-MATCH($C$1,[1]quests!$1:$1,0)+1),MATCH(D$1,[1]quests!$1:$1,0)-MATCH($C$1,[1]quests!$1:$1,0)+1,FALSE)</f>
        <v>2．火之柄神社</v>
      </c>
      <c r="E11" s="29" t="str">
        <f ca="1">VLOOKUP($C11,OFFSET([1]quests!$A$1,0,0,COUNTA([1]quests!$A:$A),MATCH(E$1,[1]quests!$1:$1,0)-MATCH($C$1,[1]quests!$1:$1,0)+1),MATCH(E$1,[1]quests!$1:$1,0)-MATCH($C$1,[1]quests!$1:$1,0)+1,FALSE)</f>
        <v>赤DL1</v>
      </c>
      <c r="F11" s="32">
        <v>3</v>
      </c>
      <c r="G11" s="34" t="str">
        <f t="shared" si="3"/>
        <v>2_3</v>
      </c>
      <c r="H11" s="20" t="str">
        <f ca="1">VLOOKUP($G11,OFFSET([1]stages!$A$1,0,0,COUNTA([1]stages!$A:$A),MATCH(H$1,[1]stages!$2:$2,0)-MATCH($G$1,[1]stages!$2:$2,0)+1),MATCH(H$1,[1]stages!$2:$2,0)-MATCH($G$1,[1]stages!$2:$2,0)+1,FALSE)</f>
        <v>2-3. 妖炎の誘い</v>
      </c>
      <c r="I11" s="32">
        <v>4</v>
      </c>
      <c r="J11" s="13">
        <v>25</v>
      </c>
      <c r="K11" s="13">
        <v>25</v>
      </c>
    </row>
    <row r="12" spans="1:11" ht="21" customHeight="1" x14ac:dyDescent="0.15">
      <c r="A12" s="21" t="str">
        <f t="shared" si="2"/>
        <v>2_4-1</v>
      </c>
      <c r="B12" s="21" t="str">
        <f>IF(COUNTIF(enemy_habitats_DL1!$H:$H,A12),"OK","NG")</f>
        <v>OK</v>
      </c>
      <c r="C12" s="32">
        <v>2</v>
      </c>
      <c r="D12" s="12" t="str">
        <f ca="1">VLOOKUP($C12,OFFSET([1]quests!$A$1,0,0,COUNTA([1]quests!$A:$A),MATCH(D$1,[1]quests!$1:$1,0)-MATCH($C$1,[1]quests!$1:$1,0)+1),MATCH(D$1,[1]quests!$1:$1,0)-MATCH($C$1,[1]quests!$1:$1,0)+1,FALSE)</f>
        <v>2．火之柄神社</v>
      </c>
      <c r="E12" s="29" t="str">
        <f ca="1">VLOOKUP($C12,OFFSET([1]quests!$A$1,0,0,COUNTA([1]quests!$A:$A),MATCH(E$1,[1]quests!$1:$1,0)-MATCH($C$1,[1]quests!$1:$1,0)+1),MATCH(E$1,[1]quests!$1:$1,0)-MATCH($C$1,[1]quests!$1:$1,0)+1,FALSE)</f>
        <v>赤DL1</v>
      </c>
      <c r="F12" s="32">
        <v>4</v>
      </c>
      <c r="G12" s="34" t="str">
        <f t="shared" si="3"/>
        <v>2_4</v>
      </c>
      <c r="H12" s="20" t="str">
        <f ca="1">VLOOKUP($G12,OFFSET([1]stages!$A$1,0,0,COUNTA([1]stages!$A:$A),MATCH(H$1,[1]stages!$2:$2,0)-MATCH($G$1,[1]stages!$2:$2,0)+1),MATCH(H$1,[1]stages!$2:$2,0)-MATCH($G$1,[1]stages!$2:$2,0)+1,FALSE)</f>
        <v>2-4. 【1回のみ】ボーナスステージ</v>
      </c>
      <c r="I12" s="32">
        <v>1</v>
      </c>
      <c r="J12" s="13">
        <v>45</v>
      </c>
      <c r="K12" s="13">
        <v>45</v>
      </c>
    </row>
    <row r="13" spans="1:11" ht="21" customHeight="1" x14ac:dyDescent="0.15">
      <c r="A13" s="21" t="str">
        <f t="shared" si="2"/>
        <v>2_4-2</v>
      </c>
      <c r="B13" s="21" t="str">
        <f>IF(COUNTIF(enemy_habitats_DL1!$H:$H,A13),"OK","NG")</f>
        <v>OK</v>
      </c>
      <c r="C13" s="32">
        <v>2</v>
      </c>
      <c r="D13" s="12" t="str">
        <f ca="1">VLOOKUP($C13,OFFSET([1]quests!$A$1,0,0,COUNTA([1]quests!$A:$A),MATCH(D$1,[1]quests!$1:$1,0)-MATCH($C$1,[1]quests!$1:$1,0)+1),MATCH(D$1,[1]quests!$1:$1,0)-MATCH($C$1,[1]quests!$1:$1,0)+1,FALSE)</f>
        <v>2．火之柄神社</v>
      </c>
      <c r="E13" s="29" t="str">
        <f ca="1">VLOOKUP($C13,OFFSET([1]quests!$A$1,0,0,COUNTA([1]quests!$A:$A),MATCH(E$1,[1]quests!$1:$1,0)-MATCH($C$1,[1]quests!$1:$1,0)+1),MATCH(E$1,[1]quests!$1:$1,0)-MATCH($C$1,[1]quests!$1:$1,0)+1,FALSE)</f>
        <v>赤DL1</v>
      </c>
      <c r="F13" s="32">
        <v>4</v>
      </c>
      <c r="G13" s="34" t="str">
        <f t="shared" si="3"/>
        <v>2_4</v>
      </c>
      <c r="H13" s="20" t="str">
        <f ca="1">VLOOKUP($G13,OFFSET([1]stages!$A$1,0,0,COUNTA([1]stages!$A:$A),MATCH(H$1,[1]stages!$2:$2,0)-MATCH($G$1,[1]stages!$2:$2,0)+1),MATCH(H$1,[1]stages!$2:$2,0)-MATCH($G$1,[1]stages!$2:$2,0)+1,FALSE)</f>
        <v>2-4. 【1回のみ】ボーナスステージ</v>
      </c>
      <c r="I13" s="32">
        <v>2</v>
      </c>
      <c r="J13" s="13">
        <v>45</v>
      </c>
      <c r="K13" s="13">
        <v>45</v>
      </c>
    </row>
    <row r="14" spans="1:11" ht="21" customHeight="1" x14ac:dyDescent="0.15">
      <c r="A14" s="21" t="str">
        <f t="shared" si="2"/>
        <v>2_4-3</v>
      </c>
      <c r="B14" s="21" t="str">
        <f>IF(COUNTIF(enemy_habitats_DL1!$H:$H,A14),"OK","NG")</f>
        <v>OK</v>
      </c>
      <c r="C14" s="32">
        <v>2</v>
      </c>
      <c r="D14" s="12" t="str">
        <f ca="1">VLOOKUP($C14,OFFSET([1]quests!$A$1,0,0,COUNTA([1]quests!$A:$A),MATCH(D$1,[1]quests!$1:$1,0)-MATCH($C$1,[1]quests!$1:$1,0)+1),MATCH(D$1,[1]quests!$1:$1,0)-MATCH($C$1,[1]quests!$1:$1,0)+1,FALSE)</f>
        <v>2．火之柄神社</v>
      </c>
      <c r="E14" s="29" t="str">
        <f ca="1">VLOOKUP($C14,OFFSET([1]quests!$A$1,0,0,COUNTA([1]quests!$A:$A),MATCH(E$1,[1]quests!$1:$1,0)-MATCH($C$1,[1]quests!$1:$1,0)+1),MATCH(E$1,[1]quests!$1:$1,0)-MATCH($C$1,[1]quests!$1:$1,0)+1,FALSE)</f>
        <v>赤DL1</v>
      </c>
      <c r="F14" s="32">
        <v>4</v>
      </c>
      <c r="G14" s="34" t="str">
        <f t="shared" si="3"/>
        <v>2_4</v>
      </c>
      <c r="H14" s="20" t="str">
        <f ca="1">VLOOKUP($G14,OFFSET([1]stages!$A$1,0,0,COUNTA([1]stages!$A:$A),MATCH(H$1,[1]stages!$2:$2,0)-MATCH($G$1,[1]stages!$2:$2,0)+1),MATCH(H$1,[1]stages!$2:$2,0)-MATCH($G$1,[1]stages!$2:$2,0)+1,FALSE)</f>
        <v>2-4. 【1回のみ】ボーナスステージ</v>
      </c>
      <c r="I14" s="32">
        <v>3</v>
      </c>
      <c r="J14" s="13">
        <v>45</v>
      </c>
      <c r="K14" s="13">
        <v>45</v>
      </c>
    </row>
    <row r="15" spans="1:11" ht="21" customHeight="1" x14ac:dyDescent="0.15">
      <c r="A15" s="21" t="str">
        <f t="shared" ref="A15" si="6">G15&amp;"-"&amp;I15</f>
        <v>3_1-1</v>
      </c>
      <c r="B15" s="21" t="str">
        <f>IF(COUNTIF(enemy_habitats_DL1!$H:$H,A15),"OK","NG")</f>
        <v>OK</v>
      </c>
      <c r="C15" s="32">
        <v>3</v>
      </c>
      <c r="D15" s="12" t="str">
        <f ca="1">VLOOKUP($C15,OFFSET([1]quests!$A$1,0,0,COUNTA([1]quests!$A:$A),MATCH(D$1,[1]quests!$1:$1,0)-MATCH($C$1,[1]quests!$1:$1,0)+1),MATCH(D$1,[1]quests!$1:$1,0)-MATCH($C$1,[1]quests!$1:$1,0)+1,FALSE)</f>
        <v>3．グリーンモール</v>
      </c>
      <c r="E15" s="29" t="str">
        <f ca="1">VLOOKUP($C15,OFFSET([1]quests!$A$1,0,0,COUNTA([1]quests!$A:$A),MATCH(E$1,[1]quests!$1:$1,0)-MATCH($C$1,[1]quests!$1:$1,0)+1),MATCH(E$1,[1]quests!$1:$1,0)-MATCH($C$1,[1]quests!$1:$1,0)+1,FALSE)</f>
        <v>緑DL1</v>
      </c>
      <c r="F15" s="32">
        <v>1</v>
      </c>
      <c r="G15" s="34" t="str">
        <f t="shared" ref="G15" si="7">C15&amp;"_"&amp;F15</f>
        <v>3_1</v>
      </c>
      <c r="H15" s="20" t="str">
        <f ca="1">VLOOKUP($G15,OFFSET([1]stages!$A$1,0,0,COUNTA([1]stages!$A:$A),MATCH(H$1,[1]stages!$2:$2,0)-MATCH($G$1,[1]stages!$2:$2,0)+1),MATCH(H$1,[1]stages!$2:$2,0)-MATCH($G$1,[1]stages!$2:$2,0)+1,FALSE)</f>
        <v>3-1. 緑の警備員</v>
      </c>
      <c r="I15" s="32">
        <v>1</v>
      </c>
      <c r="J15" s="13">
        <v>15</v>
      </c>
      <c r="K15" s="13">
        <v>45</v>
      </c>
    </row>
    <row r="16" spans="1:11" ht="21" customHeight="1" x14ac:dyDescent="0.15">
      <c r="A16" s="21" t="str">
        <f t="shared" si="2"/>
        <v>3_1-2</v>
      </c>
      <c r="B16" s="21" t="str">
        <f>IF(COUNTIF(enemy_habitats_DL1!$H:$H,A16),"OK","NG")</f>
        <v>OK</v>
      </c>
      <c r="C16" s="32">
        <v>3</v>
      </c>
      <c r="D16" s="12" t="str">
        <f ca="1">VLOOKUP($C16,OFFSET([1]quests!$A$1,0,0,COUNTA([1]quests!$A:$A),MATCH(D$1,[1]quests!$1:$1,0)-MATCH($C$1,[1]quests!$1:$1,0)+1),MATCH(D$1,[1]quests!$1:$1,0)-MATCH($C$1,[1]quests!$1:$1,0)+1,FALSE)</f>
        <v>3．グリーンモール</v>
      </c>
      <c r="E16" s="29" t="str">
        <f ca="1">VLOOKUP($C16,OFFSET([1]quests!$A$1,0,0,COUNTA([1]quests!$A:$A),MATCH(E$1,[1]quests!$1:$1,0)-MATCH($C$1,[1]quests!$1:$1,0)+1),MATCH(E$1,[1]quests!$1:$1,0)-MATCH($C$1,[1]quests!$1:$1,0)+1,FALSE)</f>
        <v>緑DL1</v>
      </c>
      <c r="F16" s="32">
        <v>1</v>
      </c>
      <c r="G16" s="34" t="str">
        <f t="shared" si="3"/>
        <v>3_1</v>
      </c>
      <c r="H16" s="20" t="str">
        <f ca="1">VLOOKUP($G16,OFFSET([1]stages!$A$1,0,0,COUNTA([1]stages!$A:$A),MATCH(H$1,[1]stages!$2:$2,0)-MATCH($G$1,[1]stages!$2:$2,0)+1),MATCH(H$1,[1]stages!$2:$2,0)-MATCH($G$1,[1]stages!$2:$2,0)+1,FALSE)</f>
        <v>3-1. 緑の警備員</v>
      </c>
      <c r="I16" s="32">
        <v>2</v>
      </c>
      <c r="J16" s="13">
        <v>45</v>
      </c>
      <c r="K16" s="13">
        <v>45</v>
      </c>
    </row>
    <row r="17" spans="1:11" ht="21" customHeight="1" x14ac:dyDescent="0.15">
      <c r="A17" s="21" t="str">
        <f t="shared" si="2"/>
        <v>3_1-3</v>
      </c>
      <c r="B17" s="21" t="str">
        <f>IF(COUNTIF(enemy_habitats_DL1!$H:$H,A17),"OK","NG")</f>
        <v>OK</v>
      </c>
      <c r="C17" s="32">
        <v>3</v>
      </c>
      <c r="D17" s="12" t="str">
        <f ca="1">VLOOKUP($C17,OFFSET([1]quests!$A$1,0,0,COUNTA([1]quests!$A:$A),MATCH(D$1,[1]quests!$1:$1,0)-MATCH($C$1,[1]quests!$1:$1,0)+1),MATCH(D$1,[1]quests!$1:$1,0)-MATCH($C$1,[1]quests!$1:$1,0)+1,FALSE)</f>
        <v>3．グリーンモール</v>
      </c>
      <c r="E17" s="29" t="str">
        <f ca="1">VLOOKUP($C17,OFFSET([1]quests!$A$1,0,0,COUNTA([1]quests!$A:$A),MATCH(E$1,[1]quests!$1:$1,0)-MATCH($C$1,[1]quests!$1:$1,0)+1),MATCH(E$1,[1]quests!$1:$1,0)-MATCH($C$1,[1]quests!$1:$1,0)+1,FALSE)</f>
        <v>緑DL1</v>
      </c>
      <c r="F17" s="32">
        <v>1</v>
      </c>
      <c r="G17" s="34" t="str">
        <f t="shared" si="3"/>
        <v>3_1</v>
      </c>
      <c r="H17" s="20" t="str">
        <f ca="1">VLOOKUP($G17,OFFSET([1]stages!$A$1,0,0,COUNTA([1]stages!$A:$A),MATCH(H$1,[1]stages!$2:$2,0)-MATCH($G$1,[1]stages!$2:$2,0)+1),MATCH(H$1,[1]stages!$2:$2,0)-MATCH($G$1,[1]stages!$2:$2,0)+1,FALSE)</f>
        <v>3-1. 緑の警備員</v>
      </c>
      <c r="I17" s="32">
        <v>3</v>
      </c>
      <c r="J17" s="13">
        <v>45</v>
      </c>
      <c r="K17" s="13">
        <v>45</v>
      </c>
    </row>
    <row r="18" spans="1:11" ht="21" customHeight="1" x14ac:dyDescent="0.15">
      <c r="A18" s="21" t="str">
        <f t="shared" si="2"/>
        <v>3_2-1</v>
      </c>
      <c r="B18" s="21" t="str">
        <f>IF(COUNTIF(enemy_habitats_DL1!$H:$H,A18),"OK","NG")</f>
        <v>OK</v>
      </c>
      <c r="C18" s="32">
        <v>3</v>
      </c>
      <c r="D18" s="12" t="str">
        <f ca="1">VLOOKUP($C18,OFFSET([1]quests!$A$1,0,0,COUNTA([1]quests!$A:$A),MATCH(D$1,[1]quests!$1:$1,0)-MATCH($C$1,[1]quests!$1:$1,0)+1),MATCH(D$1,[1]quests!$1:$1,0)-MATCH($C$1,[1]quests!$1:$1,0)+1,FALSE)</f>
        <v>3．グリーンモール</v>
      </c>
      <c r="E18" s="29" t="str">
        <f ca="1">VLOOKUP($C18,OFFSET([1]quests!$A$1,0,0,COUNTA([1]quests!$A:$A),MATCH(E$1,[1]quests!$1:$1,0)-MATCH($C$1,[1]quests!$1:$1,0)+1),MATCH(E$1,[1]quests!$1:$1,0)-MATCH($C$1,[1]quests!$1:$1,0)+1,FALSE)</f>
        <v>緑DL1</v>
      </c>
      <c r="F18" s="32">
        <v>2</v>
      </c>
      <c r="G18" s="34" t="str">
        <f t="shared" si="3"/>
        <v>3_2</v>
      </c>
      <c r="H18" s="20" t="str">
        <f ca="1">VLOOKUP($G18,OFFSET([1]stages!$A$1,0,0,COUNTA([1]stages!$A:$A),MATCH(H$1,[1]stages!$2:$2,0)-MATCH($G$1,[1]stages!$2:$2,0)+1),MATCH(H$1,[1]stages!$2:$2,0)-MATCH($G$1,[1]stages!$2:$2,0)+1,FALSE)</f>
        <v>3-2. 買い物好きの刺客</v>
      </c>
      <c r="I18" s="32">
        <v>1</v>
      </c>
      <c r="J18" s="13">
        <v>30</v>
      </c>
      <c r="K18" s="13">
        <v>45</v>
      </c>
    </row>
    <row r="19" spans="1:11" ht="21" customHeight="1" x14ac:dyDescent="0.15">
      <c r="A19" s="21" t="str">
        <f t="shared" si="2"/>
        <v>3_2-2</v>
      </c>
      <c r="B19" s="21" t="str">
        <f>IF(COUNTIF(enemy_habitats_DL1!$H:$H,A19),"OK","NG")</f>
        <v>OK</v>
      </c>
      <c r="C19" s="32">
        <v>3</v>
      </c>
      <c r="D19" s="12" t="str">
        <f ca="1">VLOOKUP($C19,OFFSET([1]quests!$A$1,0,0,COUNTA([1]quests!$A:$A),MATCH(D$1,[1]quests!$1:$1,0)-MATCH($C$1,[1]quests!$1:$1,0)+1),MATCH(D$1,[1]quests!$1:$1,0)-MATCH($C$1,[1]quests!$1:$1,0)+1,FALSE)</f>
        <v>3．グリーンモール</v>
      </c>
      <c r="E19" s="29" t="str">
        <f ca="1">VLOOKUP($C19,OFFSET([1]quests!$A$1,0,0,COUNTA([1]quests!$A:$A),MATCH(E$1,[1]quests!$1:$1,0)-MATCH($C$1,[1]quests!$1:$1,0)+1),MATCH(E$1,[1]quests!$1:$1,0)-MATCH($C$1,[1]quests!$1:$1,0)+1,FALSE)</f>
        <v>緑DL1</v>
      </c>
      <c r="F19" s="32">
        <v>2</v>
      </c>
      <c r="G19" s="34" t="str">
        <f t="shared" si="3"/>
        <v>3_2</v>
      </c>
      <c r="H19" s="20" t="str">
        <f ca="1">VLOOKUP($G19,OFFSET([1]stages!$A$1,0,0,COUNTA([1]stages!$A:$A),MATCH(H$1,[1]stages!$2:$2,0)-MATCH($G$1,[1]stages!$2:$2,0)+1),MATCH(H$1,[1]stages!$2:$2,0)-MATCH($G$1,[1]stages!$2:$2,0)+1,FALSE)</f>
        <v>3-2. 買い物好きの刺客</v>
      </c>
      <c r="I19" s="32">
        <v>2</v>
      </c>
      <c r="J19" s="13">
        <v>45</v>
      </c>
      <c r="K19" s="13">
        <v>45</v>
      </c>
    </row>
    <row r="20" spans="1:11" ht="21" customHeight="1" x14ac:dyDescent="0.15">
      <c r="A20" s="21" t="str">
        <f t="shared" ref="A20" si="8">G20&amp;"-"&amp;I20</f>
        <v>3_2-3</v>
      </c>
      <c r="B20" s="21" t="str">
        <f>IF(COUNTIF(enemy_habitats_DL1!$H:$H,A20),"OK","NG")</f>
        <v>OK</v>
      </c>
      <c r="C20" s="32">
        <v>3</v>
      </c>
      <c r="D20" s="12" t="str">
        <f ca="1">VLOOKUP($C20,OFFSET([1]quests!$A$1,0,0,COUNTA([1]quests!$A:$A),MATCH(D$1,[1]quests!$1:$1,0)-MATCH($C$1,[1]quests!$1:$1,0)+1),MATCH(D$1,[1]quests!$1:$1,0)-MATCH($C$1,[1]quests!$1:$1,0)+1,FALSE)</f>
        <v>3．グリーンモール</v>
      </c>
      <c r="E20" s="29" t="str">
        <f ca="1">VLOOKUP($C20,OFFSET([1]quests!$A$1,0,0,COUNTA([1]quests!$A:$A),MATCH(E$1,[1]quests!$1:$1,0)-MATCH($C$1,[1]quests!$1:$1,0)+1),MATCH(E$1,[1]quests!$1:$1,0)-MATCH($C$1,[1]quests!$1:$1,0)+1,FALSE)</f>
        <v>緑DL1</v>
      </c>
      <c r="F20" s="32">
        <v>2</v>
      </c>
      <c r="G20" s="34" t="str">
        <f t="shared" ref="G20" si="9">C20&amp;"_"&amp;F20</f>
        <v>3_2</v>
      </c>
      <c r="H20" s="20" t="str">
        <f ca="1">VLOOKUP($G20,OFFSET([1]stages!$A$1,0,0,COUNTA([1]stages!$A:$A),MATCH(H$1,[1]stages!$2:$2,0)-MATCH($G$1,[1]stages!$2:$2,0)+1),MATCH(H$1,[1]stages!$2:$2,0)-MATCH($G$1,[1]stages!$2:$2,0)+1,FALSE)</f>
        <v>3-2. 買い物好きの刺客</v>
      </c>
      <c r="I20" s="32">
        <v>3</v>
      </c>
      <c r="J20" s="13">
        <v>45</v>
      </c>
      <c r="K20" s="13">
        <v>45</v>
      </c>
    </row>
    <row r="21" spans="1:11" ht="21" customHeight="1" x14ac:dyDescent="0.15">
      <c r="A21" s="21" t="str">
        <f t="shared" si="2"/>
        <v>3_2-4</v>
      </c>
      <c r="B21" s="21" t="str">
        <f>IF(COUNTIF(enemy_habitats_DL1!$H:$H,A21),"OK","NG")</f>
        <v>OK</v>
      </c>
      <c r="C21" s="32">
        <v>3</v>
      </c>
      <c r="D21" s="12" t="str">
        <f ca="1">VLOOKUP($C21,OFFSET([1]quests!$A$1,0,0,COUNTA([1]quests!$A:$A),MATCH(D$1,[1]quests!$1:$1,0)-MATCH($C$1,[1]quests!$1:$1,0)+1),MATCH(D$1,[1]quests!$1:$1,0)-MATCH($C$1,[1]quests!$1:$1,0)+1,FALSE)</f>
        <v>3．グリーンモール</v>
      </c>
      <c r="E21" s="29" t="str">
        <f ca="1">VLOOKUP($C21,OFFSET([1]quests!$A$1,0,0,COUNTA([1]quests!$A:$A),MATCH(E$1,[1]quests!$1:$1,0)-MATCH($C$1,[1]quests!$1:$1,0)+1),MATCH(E$1,[1]quests!$1:$1,0)-MATCH($C$1,[1]quests!$1:$1,0)+1,FALSE)</f>
        <v>緑DL1</v>
      </c>
      <c r="F21" s="32">
        <v>2</v>
      </c>
      <c r="G21" s="34" t="str">
        <f t="shared" si="3"/>
        <v>3_2</v>
      </c>
      <c r="H21" s="20" t="str">
        <f ca="1">VLOOKUP($G21,OFFSET([1]stages!$A$1,0,0,COUNTA([1]stages!$A:$A),MATCH(H$1,[1]stages!$2:$2,0)-MATCH($G$1,[1]stages!$2:$2,0)+1),MATCH(H$1,[1]stages!$2:$2,0)-MATCH($G$1,[1]stages!$2:$2,0)+1,FALSE)</f>
        <v>3-2. 買い物好きの刺客</v>
      </c>
      <c r="I21" s="32">
        <v>4</v>
      </c>
      <c r="J21" s="13">
        <v>60</v>
      </c>
      <c r="K21" s="13">
        <v>60</v>
      </c>
    </row>
    <row r="22" spans="1:11" ht="21" customHeight="1" x14ac:dyDescent="0.15">
      <c r="A22" s="21" t="str">
        <f t="shared" si="0"/>
        <v>3_3-1</v>
      </c>
      <c r="B22" s="21" t="str">
        <f>IF(COUNTIF(enemy_habitats_DL1!$H:$H,A22),"OK","NG")</f>
        <v>OK</v>
      </c>
      <c r="C22" s="32">
        <v>3</v>
      </c>
      <c r="D22" s="12" t="str">
        <f ca="1">VLOOKUP($C22,OFFSET([1]quests!$A$1,0,0,COUNTA([1]quests!$A:$A),MATCH(D$1,[1]quests!$1:$1,0)-MATCH($C$1,[1]quests!$1:$1,0)+1),MATCH(D$1,[1]quests!$1:$1,0)-MATCH($C$1,[1]quests!$1:$1,0)+1,FALSE)</f>
        <v>3．グリーンモール</v>
      </c>
      <c r="E22" s="29" t="str">
        <f ca="1">VLOOKUP($C22,OFFSET([1]quests!$A$1,0,0,COUNTA([1]quests!$A:$A),MATCH(E$1,[1]quests!$1:$1,0)-MATCH($C$1,[1]quests!$1:$1,0)+1),MATCH(E$1,[1]quests!$1:$1,0)-MATCH($C$1,[1]quests!$1:$1,0)+1,FALSE)</f>
        <v>緑DL1</v>
      </c>
      <c r="F22" s="32">
        <v>3</v>
      </c>
      <c r="G22" s="34" t="str">
        <f t="shared" si="1"/>
        <v>3_3</v>
      </c>
      <c r="H22" s="20" t="str">
        <f ca="1">VLOOKUP($G22,OFFSET([1]stages!$A$1,0,0,COUNTA([1]stages!$A:$A),MATCH(H$1,[1]stages!$2:$2,0)-MATCH($G$1,[1]stages!$2:$2,0)+1),MATCH(H$1,[1]stages!$2:$2,0)-MATCH($G$1,[1]stages!$2:$2,0)+1,FALSE)</f>
        <v>3-3. 舞い散る木の葉</v>
      </c>
      <c r="I22" s="32">
        <v>1</v>
      </c>
      <c r="J22" s="13">
        <v>45</v>
      </c>
      <c r="K22" s="13">
        <v>45</v>
      </c>
    </row>
    <row r="23" spans="1:11" ht="21" customHeight="1" x14ac:dyDescent="0.15">
      <c r="A23" s="21" t="str">
        <f t="shared" si="0"/>
        <v>3_3-2</v>
      </c>
      <c r="B23" s="21" t="str">
        <f>IF(COUNTIF(enemy_habitats_DL1!$H:$H,A23),"OK","NG")</f>
        <v>OK</v>
      </c>
      <c r="C23" s="32">
        <v>3</v>
      </c>
      <c r="D23" s="12" t="str">
        <f ca="1">VLOOKUP($C23,OFFSET([1]quests!$A$1,0,0,COUNTA([1]quests!$A:$A),MATCH(D$1,[1]quests!$1:$1,0)-MATCH($C$1,[1]quests!$1:$1,0)+1),MATCH(D$1,[1]quests!$1:$1,0)-MATCH($C$1,[1]quests!$1:$1,0)+1,FALSE)</f>
        <v>3．グリーンモール</v>
      </c>
      <c r="E23" s="29" t="str">
        <f ca="1">VLOOKUP($C23,OFFSET([1]quests!$A$1,0,0,COUNTA([1]quests!$A:$A),MATCH(E$1,[1]quests!$1:$1,0)-MATCH($C$1,[1]quests!$1:$1,0)+1),MATCH(E$1,[1]quests!$1:$1,0)-MATCH($C$1,[1]quests!$1:$1,0)+1,FALSE)</f>
        <v>緑DL1</v>
      </c>
      <c r="F23" s="32">
        <v>3</v>
      </c>
      <c r="G23" s="34" t="str">
        <f t="shared" si="1"/>
        <v>3_3</v>
      </c>
      <c r="H23" s="20" t="str">
        <f ca="1">VLOOKUP($G23,OFFSET([1]stages!$A$1,0,0,COUNTA([1]stages!$A:$A),MATCH(H$1,[1]stages!$2:$2,0)-MATCH($G$1,[1]stages!$2:$2,0)+1),MATCH(H$1,[1]stages!$2:$2,0)-MATCH($G$1,[1]stages!$2:$2,0)+1,FALSE)</f>
        <v>3-3. 舞い散る木の葉</v>
      </c>
      <c r="I23" s="32">
        <v>2</v>
      </c>
      <c r="J23" s="13">
        <v>45</v>
      </c>
      <c r="K23" s="13">
        <v>45</v>
      </c>
    </row>
    <row r="24" spans="1:11" ht="21" customHeight="1" x14ac:dyDescent="0.15">
      <c r="A24" s="21" t="str">
        <f t="shared" ref="A24" si="10">G24&amp;"-"&amp;I24</f>
        <v>3_3-3</v>
      </c>
      <c r="B24" s="21" t="str">
        <f>IF(COUNTIF(enemy_habitats_DL1!$H:$H,A24),"OK","NG")</f>
        <v>OK</v>
      </c>
      <c r="C24" s="32">
        <v>3</v>
      </c>
      <c r="D24" s="12" t="str">
        <f ca="1">VLOOKUP($C24,OFFSET([1]quests!$A$1,0,0,COUNTA([1]quests!$A:$A),MATCH(D$1,[1]quests!$1:$1,0)-MATCH($C$1,[1]quests!$1:$1,0)+1),MATCH(D$1,[1]quests!$1:$1,0)-MATCH($C$1,[1]quests!$1:$1,0)+1,FALSE)</f>
        <v>3．グリーンモール</v>
      </c>
      <c r="E24" s="29" t="str">
        <f ca="1">VLOOKUP($C24,OFFSET([1]quests!$A$1,0,0,COUNTA([1]quests!$A:$A),MATCH(E$1,[1]quests!$1:$1,0)-MATCH($C$1,[1]quests!$1:$1,0)+1),MATCH(E$1,[1]quests!$1:$1,0)-MATCH($C$1,[1]quests!$1:$1,0)+1,FALSE)</f>
        <v>緑DL1</v>
      </c>
      <c r="F24" s="32">
        <v>3</v>
      </c>
      <c r="G24" s="34" t="str">
        <f t="shared" ref="G24" si="11">C24&amp;"_"&amp;F24</f>
        <v>3_3</v>
      </c>
      <c r="H24" s="20" t="str">
        <f ca="1">VLOOKUP($G24,OFFSET([1]stages!$A$1,0,0,COUNTA([1]stages!$A:$A),MATCH(H$1,[1]stages!$2:$2,0)-MATCH($G$1,[1]stages!$2:$2,0)+1),MATCH(H$1,[1]stages!$2:$2,0)-MATCH($G$1,[1]stages!$2:$2,0)+1,FALSE)</f>
        <v>3-3. 舞い散る木の葉</v>
      </c>
      <c r="I24" s="32">
        <v>3</v>
      </c>
      <c r="J24" s="13">
        <v>45</v>
      </c>
      <c r="K24" s="13">
        <v>45</v>
      </c>
    </row>
    <row r="25" spans="1:11" ht="21" customHeight="1" x14ac:dyDescent="0.15">
      <c r="A25" s="21" t="str">
        <f t="shared" si="0"/>
        <v>3_3-4</v>
      </c>
      <c r="B25" s="21" t="str">
        <f>IF(COUNTIF(enemy_habitats_DL1!$H:$H,A25),"OK","NG")</f>
        <v>OK</v>
      </c>
      <c r="C25" s="32">
        <v>3</v>
      </c>
      <c r="D25" s="12" t="str">
        <f ca="1">VLOOKUP($C25,OFFSET([1]quests!$A$1,0,0,COUNTA([1]quests!$A:$A),MATCH(D$1,[1]quests!$1:$1,0)-MATCH($C$1,[1]quests!$1:$1,0)+1),MATCH(D$1,[1]quests!$1:$1,0)-MATCH($C$1,[1]quests!$1:$1,0)+1,FALSE)</f>
        <v>3．グリーンモール</v>
      </c>
      <c r="E25" s="29" t="str">
        <f ca="1">VLOOKUP($C25,OFFSET([1]quests!$A$1,0,0,COUNTA([1]quests!$A:$A),MATCH(E$1,[1]quests!$1:$1,0)-MATCH($C$1,[1]quests!$1:$1,0)+1),MATCH(E$1,[1]quests!$1:$1,0)-MATCH($C$1,[1]quests!$1:$1,0)+1,FALSE)</f>
        <v>緑DL1</v>
      </c>
      <c r="F25" s="32">
        <v>3</v>
      </c>
      <c r="G25" s="34" t="str">
        <f t="shared" si="1"/>
        <v>3_3</v>
      </c>
      <c r="H25" s="20" t="str">
        <f ca="1">VLOOKUP($G25,OFFSET([1]stages!$A$1,0,0,COUNTA([1]stages!$A:$A),MATCH(H$1,[1]stages!$2:$2,0)-MATCH($G$1,[1]stages!$2:$2,0)+1),MATCH(H$1,[1]stages!$2:$2,0)-MATCH($G$1,[1]stages!$2:$2,0)+1,FALSE)</f>
        <v>3-3. 舞い散る木の葉</v>
      </c>
      <c r="I25" s="32">
        <v>4</v>
      </c>
      <c r="J25" s="13">
        <v>60</v>
      </c>
      <c r="K25" s="13">
        <v>60</v>
      </c>
    </row>
    <row r="26" spans="1:11" ht="21" customHeight="1" x14ac:dyDescent="0.15">
      <c r="A26" s="21" t="str">
        <f t="shared" ref="A26:A41" si="12">G26&amp;"-"&amp;I26</f>
        <v>3_4-1</v>
      </c>
      <c r="B26" s="21" t="str">
        <f>IF(COUNTIF(enemy_habitats_DL1!$H:$H,A26),"OK","NG")</f>
        <v>OK</v>
      </c>
      <c r="C26" s="32">
        <v>3</v>
      </c>
      <c r="D26" s="12" t="str">
        <f ca="1">VLOOKUP($C26,OFFSET([1]quests!$A$1,0,0,COUNTA([1]quests!$A:$A),MATCH(D$1,[1]quests!$1:$1,0)-MATCH($C$1,[1]quests!$1:$1,0)+1),MATCH(D$1,[1]quests!$1:$1,0)-MATCH($C$1,[1]quests!$1:$1,0)+1,FALSE)</f>
        <v>3．グリーンモール</v>
      </c>
      <c r="E26" s="29" t="str">
        <f ca="1">VLOOKUP($C26,OFFSET([1]quests!$A$1,0,0,COUNTA([1]quests!$A:$A),MATCH(E$1,[1]quests!$1:$1,0)-MATCH($C$1,[1]quests!$1:$1,0)+1),MATCH(E$1,[1]quests!$1:$1,0)-MATCH($C$1,[1]quests!$1:$1,0)+1,FALSE)</f>
        <v>緑DL1</v>
      </c>
      <c r="F26" s="32">
        <v>4</v>
      </c>
      <c r="G26" s="34" t="str">
        <f t="shared" ref="G26:G41" si="13">C26&amp;"_"&amp;F26</f>
        <v>3_4</v>
      </c>
      <c r="H26" s="20" t="str">
        <f ca="1">VLOOKUP($G26,OFFSET([1]stages!$A$1,0,0,COUNTA([1]stages!$A:$A),MATCH(H$1,[1]stages!$2:$2,0)-MATCH($G$1,[1]stages!$2:$2,0)+1),MATCH(H$1,[1]stages!$2:$2,0)-MATCH($G$1,[1]stages!$2:$2,0)+1,FALSE)</f>
        <v>3-4. 【1回のみ】ボーナスステージ</v>
      </c>
      <c r="I26" s="32">
        <v>1</v>
      </c>
      <c r="J26" s="13">
        <v>45</v>
      </c>
      <c r="K26" s="13">
        <v>45</v>
      </c>
    </row>
    <row r="27" spans="1:11" ht="21" customHeight="1" x14ac:dyDescent="0.15">
      <c r="A27" s="21" t="str">
        <f t="shared" si="12"/>
        <v>3_4-2</v>
      </c>
      <c r="B27" s="21" t="str">
        <f>IF(COUNTIF(enemy_habitats_DL1!$H:$H,A27),"OK","NG")</f>
        <v>OK</v>
      </c>
      <c r="C27" s="32">
        <v>3</v>
      </c>
      <c r="D27" s="12" t="str">
        <f ca="1">VLOOKUP($C27,OFFSET([1]quests!$A$1,0,0,COUNTA([1]quests!$A:$A),MATCH(D$1,[1]quests!$1:$1,0)-MATCH($C$1,[1]quests!$1:$1,0)+1),MATCH(D$1,[1]quests!$1:$1,0)-MATCH($C$1,[1]quests!$1:$1,0)+1,FALSE)</f>
        <v>3．グリーンモール</v>
      </c>
      <c r="E27" s="29" t="str">
        <f ca="1">VLOOKUP($C27,OFFSET([1]quests!$A$1,0,0,COUNTA([1]quests!$A:$A),MATCH(E$1,[1]quests!$1:$1,0)-MATCH($C$1,[1]quests!$1:$1,0)+1),MATCH(E$1,[1]quests!$1:$1,0)-MATCH($C$1,[1]quests!$1:$1,0)+1,FALSE)</f>
        <v>緑DL1</v>
      </c>
      <c r="F27" s="32">
        <v>4</v>
      </c>
      <c r="G27" s="34" t="str">
        <f t="shared" si="13"/>
        <v>3_4</v>
      </c>
      <c r="H27" s="20" t="str">
        <f ca="1">VLOOKUP($G27,OFFSET([1]stages!$A$1,0,0,COUNTA([1]stages!$A:$A),MATCH(H$1,[1]stages!$2:$2,0)-MATCH($G$1,[1]stages!$2:$2,0)+1),MATCH(H$1,[1]stages!$2:$2,0)-MATCH($G$1,[1]stages!$2:$2,0)+1,FALSE)</f>
        <v>3-4. 【1回のみ】ボーナスステージ</v>
      </c>
      <c r="I27" s="32">
        <v>2</v>
      </c>
      <c r="J27" s="13">
        <v>45</v>
      </c>
      <c r="K27" s="13">
        <v>45</v>
      </c>
    </row>
    <row r="28" spans="1:11" ht="21" customHeight="1" x14ac:dyDescent="0.15">
      <c r="A28" s="21" t="str">
        <f t="shared" si="12"/>
        <v>3_4-3</v>
      </c>
      <c r="B28" s="21" t="str">
        <f>IF(COUNTIF(enemy_habitats_DL1!$H:$H,A28),"OK","NG")</f>
        <v>OK</v>
      </c>
      <c r="C28" s="32">
        <v>3</v>
      </c>
      <c r="D28" s="12" t="str">
        <f ca="1">VLOOKUP($C28,OFFSET([1]quests!$A$1,0,0,COUNTA([1]quests!$A:$A),MATCH(D$1,[1]quests!$1:$1,0)-MATCH($C$1,[1]quests!$1:$1,0)+1),MATCH(D$1,[1]quests!$1:$1,0)-MATCH($C$1,[1]quests!$1:$1,0)+1,FALSE)</f>
        <v>3．グリーンモール</v>
      </c>
      <c r="E28" s="29" t="str">
        <f ca="1">VLOOKUP($C28,OFFSET([1]quests!$A$1,0,0,COUNTA([1]quests!$A:$A),MATCH(E$1,[1]quests!$1:$1,0)-MATCH($C$1,[1]quests!$1:$1,0)+1),MATCH(E$1,[1]quests!$1:$1,0)-MATCH($C$1,[1]quests!$1:$1,0)+1,FALSE)</f>
        <v>緑DL1</v>
      </c>
      <c r="F28" s="32">
        <v>4</v>
      </c>
      <c r="G28" s="34" t="str">
        <f t="shared" si="13"/>
        <v>3_4</v>
      </c>
      <c r="H28" s="20" t="str">
        <f ca="1">VLOOKUP($G28,OFFSET([1]stages!$A$1,0,0,COUNTA([1]stages!$A:$A),MATCH(H$1,[1]stages!$2:$2,0)-MATCH($G$1,[1]stages!$2:$2,0)+1),MATCH(H$1,[1]stages!$2:$2,0)-MATCH($G$1,[1]stages!$2:$2,0)+1,FALSE)</f>
        <v>3-4. 【1回のみ】ボーナスステージ</v>
      </c>
      <c r="I28" s="32">
        <v>3</v>
      </c>
      <c r="J28" s="13">
        <v>45</v>
      </c>
      <c r="K28" s="13">
        <v>45</v>
      </c>
    </row>
    <row r="29" spans="1:11" ht="21" customHeight="1" x14ac:dyDescent="0.15">
      <c r="A29" s="21" t="str">
        <f t="shared" ref="A29" si="14">G29&amp;"-"&amp;I29</f>
        <v>3_4-4</v>
      </c>
      <c r="B29" s="21" t="str">
        <f>IF(COUNTIF(enemy_habitats_DL1!$H:$H,A29),"OK","NG")</f>
        <v>OK</v>
      </c>
      <c r="C29" s="32">
        <v>3</v>
      </c>
      <c r="D29" s="12" t="str">
        <f ca="1">VLOOKUP($C29,OFFSET([1]quests!$A$1,0,0,COUNTA([1]quests!$A:$A),MATCH(D$1,[1]quests!$1:$1,0)-MATCH($C$1,[1]quests!$1:$1,0)+1),MATCH(D$1,[1]quests!$1:$1,0)-MATCH($C$1,[1]quests!$1:$1,0)+1,FALSE)</f>
        <v>3．グリーンモール</v>
      </c>
      <c r="E29" s="29" t="str">
        <f ca="1">VLOOKUP($C29,OFFSET([1]quests!$A$1,0,0,COUNTA([1]quests!$A:$A),MATCH(E$1,[1]quests!$1:$1,0)-MATCH($C$1,[1]quests!$1:$1,0)+1),MATCH(E$1,[1]quests!$1:$1,0)-MATCH($C$1,[1]quests!$1:$1,0)+1,FALSE)</f>
        <v>緑DL1</v>
      </c>
      <c r="F29" s="32">
        <v>4</v>
      </c>
      <c r="G29" s="34" t="str">
        <f t="shared" ref="G29" si="15">C29&amp;"_"&amp;F29</f>
        <v>3_4</v>
      </c>
      <c r="H29" s="20" t="str">
        <f ca="1">VLOOKUP($G29,OFFSET([1]stages!$A$1,0,0,COUNTA([1]stages!$A:$A),MATCH(H$1,[1]stages!$2:$2,0)-MATCH($G$1,[1]stages!$2:$2,0)+1),MATCH(H$1,[1]stages!$2:$2,0)-MATCH($G$1,[1]stages!$2:$2,0)+1,FALSE)</f>
        <v>3-4. 【1回のみ】ボーナスステージ</v>
      </c>
      <c r="I29" s="32">
        <v>4</v>
      </c>
      <c r="J29" s="13">
        <v>45</v>
      </c>
      <c r="K29" s="13">
        <v>45</v>
      </c>
    </row>
    <row r="30" spans="1:11" ht="21" customHeight="1" x14ac:dyDescent="0.15">
      <c r="A30" s="21" t="str">
        <f t="shared" ref="A30" si="16">G30&amp;"-"&amp;I30</f>
        <v>3_4-5</v>
      </c>
      <c r="B30" s="21" t="str">
        <f>IF(COUNTIF(enemy_habitats_DL1!$H:$H,A30),"OK","NG")</f>
        <v>OK</v>
      </c>
      <c r="C30" s="32">
        <v>3</v>
      </c>
      <c r="D30" s="12" t="str">
        <f ca="1">VLOOKUP($C30,OFFSET([1]quests!$A$1,0,0,COUNTA([1]quests!$A:$A),MATCH(D$1,[1]quests!$1:$1,0)-MATCH($C$1,[1]quests!$1:$1,0)+1),MATCH(D$1,[1]quests!$1:$1,0)-MATCH($C$1,[1]quests!$1:$1,0)+1,FALSE)</f>
        <v>3．グリーンモール</v>
      </c>
      <c r="E30" s="29" t="str">
        <f ca="1">VLOOKUP($C30,OFFSET([1]quests!$A$1,0,0,COUNTA([1]quests!$A:$A),MATCH(E$1,[1]quests!$1:$1,0)-MATCH($C$1,[1]quests!$1:$1,0)+1),MATCH(E$1,[1]quests!$1:$1,0)-MATCH($C$1,[1]quests!$1:$1,0)+1,FALSE)</f>
        <v>緑DL1</v>
      </c>
      <c r="F30" s="32">
        <v>4</v>
      </c>
      <c r="G30" s="34" t="str">
        <f t="shared" ref="G30" si="17">C30&amp;"_"&amp;F30</f>
        <v>3_4</v>
      </c>
      <c r="H30" s="20" t="str">
        <f ca="1">VLOOKUP($G30,OFFSET([1]stages!$A$1,0,0,COUNTA([1]stages!$A:$A),MATCH(H$1,[1]stages!$2:$2,0)-MATCH($G$1,[1]stages!$2:$2,0)+1),MATCH(H$1,[1]stages!$2:$2,0)-MATCH($G$1,[1]stages!$2:$2,0)+1,FALSE)</f>
        <v>3-4. 【1回のみ】ボーナスステージ</v>
      </c>
      <c r="I30" s="32">
        <v>5</v>
      </c>
      <c r="J30" s="13">
        <v>60</v>
      </c>
      <c r="K30" s="13">
        <v>60</v>
      </c>
    </row>
    <row r="31" spans="1:11" ht="21" customHeight="1" x14ac:dyDescent="0.15">
      <c r="A31" s="21" t="str">
        <f t="shared" si="12"/>
        <v>4_1-1</v>
      </c>
      <c r="B31" s="21" t="str">
        <f>IF(COUNTIF(enemy_habitats_DL1!$H:$H,A31),"OK","NG")</f>
        <v>OK</v>
      </c>
      <c r="C31" s="32">
        <v>4</v>
      </c>
      <c r="D31" s="12" t="str">
        <f ca="1">VLOOKUP($C31,OFFSET([1]quests!$A$1,0,0,COUNTA([1]quests!$A:$A),MATCH(D$1,[1]quests!$1:$1,0)-MATCH($C$1,[1]quests!$1:$1,0)+1),MATCH(D$1,[1]quests!$1:$1,0)-MATCH($C$1,[1]quests!$1:$1,0)+1,FALSE)</f>
        <v>4．イエロープラント</v>
      </c>
      <c r="E31" s="29" t="str">
        <f ca="1">VLOOKUP($C31,OFFSET([1]quests!$A$1,0,0,COUNTA([1]quests!$A:$A),MATCH(E$1,[1]quests!$1:$1,0)-MATCH($C$1,[1]quests!$1:$1,0)+1),MATCH(E$1,[1]quests!$1:$1,0)-MATCH($C$1,[1]quests!$1:$1,0)+1,FALSE)</f>
        <v>黄DL1</v>
      </c>
      <c r="F31" s="32">
        <v>1</v>
      </c>
      <c r="G31" s="34" t="str">
        <f t="shared" si="13"/>
        <v>4_1</v>
      </c>
      <c r="H31" s="20" t="str">
        <f ca="1">VLOOKUP($G31,OFFSET([1]stages!$A$1,0,0,COUNTA([1]stages!$A:$A),MATCH(H$1,[1]stages!$2:$2,0)-MATCH($G$1,[1]stages!$2:$2,0)+1),MATCH(H$1,[1]stages!$2:$2,0)-MATCH($G$1,[1]stages!$2:$2,0)+1,FALSE)</f>
        <v>4-1. 花弁にひそむ妖精</v>
      </c>
      <c r="I31" s="32">
        <v>1</v>
      </c>
      <c r="J31" s="13">
        <v>30</v>
      </c>
      <c r="K31" s="13">
        <v>45</v>
      </c>
    </row>
    <row r="32" spans="1:11" ht="21" customHeight="1" x14ac:dyDescent="0.15">
      <c r="A32" s="21" t="str">
        <f t="shared" si="12"/>
        <v>4_1-2</v>
      </c>
      <c r="B32" s="21" t="str">
        <f>IF(COUNTIF(enemy_habitats_DL1!$H:$H,A32),"OK","NG")</f>
        <v>OK</v>
      </c>
      <c r="C32" s="32">
        <v>4</v>
      </c>
      <c r="D32" s="12" t="str">
        <f ca="1">VLOOKUP($C32,OFFSET([1]quests!$A$1,0,0,COUNTA([1]quests!$A:$A),MATCH(D$1,[1]quests!$1:$1,0)-MATCH($C$1,[1]quests!$1:$1,0)+1),MATCH(D$1,[1]quests!$1:$1,0)-MATCH($C$1,[1]quests!$1:$1,0)+1,FALSE)</f>
        <v>4．イエロープラント</v>
      </c>
      <c r="E32" s="29" t="str">
        <f ca="1">VLOOKUP($C32,OFFSET([1]quests!$A$1,0,0,COUNTA([1]quests!$A:$A),MATCH(E$1,[1]quests!$1:$1,0)-MATCH($C$1,[1]quests!$1:$1,0)+1),MATCH(E$1,[1]quests!$1:$1,0)-MATCH($C$1,[1]quests!$1:$1,0)+1,FALSE)</f>
        <v>黄DL1</v>
      </c>
      <c r="F32" s="32">
        <v>1</v>
      </c>
      <c r="G32" s="34" t="str">
        <f t="shared" si="13"/>
        <v>4_1</v>
      </c>
      <c r="H32" s="20" t="str">
        <f ca="1">VLOOKUP($G32,OFFSET([1]stages!$A$1,0,0,COUNTA([1]stages!$A:$A),MATCH(H$1,[1]stages!$2:$2,0)-MATCH($G$1,[1]stages!$2:$2,0)+1),MATCH(H$1,[1]stages!$2:$2,0)-MATCH($G$1,[1]stages!$2:$2,0)+1,FALSE)</f>
        <v>4-1. 花弁にひそむ妖精</v>
      </c>
      <c r="I32" s="32">
        <v>2</v>
      </c>
      <c r="J32" s="13">
        <v>30</v>
      </c>
      <c r="K32" s="13">
        <v>45</v>
      </c>
    </row>
    <row r="33" spans="1:11" ht="21" customHeight="1" x14ac:dyDescent="0.15">
      <c r="A33" s="21" t="str">
        <f t="shared" si="12"/>
        <v>4_1-3</v>
      </c>
      <c r="B33" s="21" t="str">
        <f>IF(COUNTIF(enemy_habitats_DL1!$H:$H,A33),"OK","NG")</f>
        <v>OK</v>
      </c>
      <c r="C33" s="32">
        <v>4</v>
      </c>
      <c r="D33" s="12" t="str">
        <f ca="1">VLOOKUP($C33,OFFSET([1]quests!$A$1,0,0,COUNTA([1]quests!$A:$A),MATCH(D$1,[1]quests!$1:$1,0)-MATCH($C$1,[1]quests!$1:$1,0)+1),MATCH(D$1,[1]quests!$1:$1,0)-MATCH($C$1,[1]quests!$1:$1,0)+1,FALSE)</f>
        <v>4．イエロープラント</v>
      </c>
      <c r="E33" s="29" t="str">
        <f ca="1">VLOOKUP($C33,OFFSET([1]quests!$A$1,0,0,COUNTA([1]quests!$A:$A),MATCH(E$1,[1]quests!$1:$1,0)-MATCH($C$1,[1]quests!$1:$1,0)+1),MATCH(E$1,[1]quests!$1:$1,0)-MATCH($C$1,[1]quests!$1:$1,0)+1,FALSE)</f>
        <v>黄DL1</v>
      </c>
      <c r="F33" s="32">
        <v>1</v>
      </c>
      <c r="G33" s="34" t="str">
        <f t="shared" si="13"/>
        <v>4_1</v>
      </c>
      <c r="H33" s="20" t="str">
        <f ca="1">VLOOKUP($G33,OFFSET([1]stages!$A$1,0,0,COUNTA([1]stages!$A:$A),MATCH(H$1,[1]stages!$2:$2,0)-MATCH($G$1,[1]stages!$2:$2,0)+1),MATCH(H$1,[1]stages!$2:$2,0)-MATCH($G$1,[1]stages!$2:$2,0)+1,FALSE)</f>
        <v>4-1. 花弁にひそむ妖精</v>
      </c>
      <c r="I33" s="32">
        <v>3</v>
      </c>
      <c r="J33" s="13">
        <v>60</v>
      </c>
      <c r="K33" s="13">
        <v>60</v>
      </c>
    </row>
    <row r="34" spans="1:11" ht="21" customHeight="1" x14ac:dyDescent="0.15">
      <c r="A34" s="21" t="str">
        <f t="shared" si="12"/>
        <v>4_2-1</v>
      </c>
      <c r="B34" s="21" t="str">
        <f>IF(COUNTIF(enemy_habitats_DL1!$H:$H,A34),"OK","NG")</f>
        <v>OK</v>
      </c>
      <c r="C34" s="32">
        <v>4</v>
      </c>
      <c r="D34" s="12" t="str">
        <f ca="1">VLOOKUP($C34,OFFSET([1]quests!$A$1,0,0,COUNTA([1]quests!$A:$A),MATCH(D$1,[1]quests!$1:$1,0)-MATCH($C$1,[1]quests!$1:$1,0)+1),MATCH(D$1,[1]quests!$1:$1,0)-MATCH($C$1,[1]quests!$1:$1,0)+1,FALSE)</f>
        <v>4．イエロープラント</v>
      </c>
      <c r="E34" s="29" t="str">
        <f ca="1">VLOOKUP($C34,OFFSET([1]quests!$A$1,0,0,COUNTA([1]quests!$A:$A),MATCH(E$1,[1]quests!$1:$1,0)-MATCH($C$1,[1]quests!$1:$1,0)+1),MATCH(E$1,[1]quests!$1:$1,0)-MATCH($C$1,[1]quests!$1:$1,0)+1,FALSE)</f>
        <v>黄DL1</v>
      </c>
      <c r="F34" s="32">
        <v>2</v>
      </c>
      <c r="G34" s="34" t="str">
        <f t="shared" si="13"/>
        <v>4_2</v>
      </c>
      <c r="H34" s="20" t="str">
        <f ca="1">VLOOKUP($G34,OFFSET([1]stages!$A$1,0,0,COUNTA([1]stages!$A:$A),MATCH(H$1,[1]stages!$2:$2,0)-MATCH($G$1,[1]stages!$2:$2,0)+1),MATCH(H$1,[1]stages!$2:$2,0)-MATCH($G$1,[1]stages!$2:$2,0)+1,FALSE)</f>
        <v>4-2. 振りかざされる木槌</v>
      </c>
      <c r="I34" s="32">
        <v>1</v>
      </c>
      <c r="J34" s="13">
        <v>30</v>
      </c>
      <c r="K34" s="13">
        <v>45</v>
      </c>
    </row>
    <row r="35" spans="1:11" ht="21" customHeight="1" x14ac:dyDescent="0.15">
      <c r="A35" s="21" t="str">
        <f t="shared" si="12"/>
        <v>4_2-2</v>
      </c>
      <c r="B35" s="21" t="str">
        <f>IF(COUNTIF(enemy_habitats_DL1!$H:$H,A35),"OK","NG")</f>
        <v>OK</v>
      </c>
      <c r="C35" s="32">
        <v>4</v>
      </c>
      <c r="D35" s="12" t="str">
        <f ca="1">VLOOKUP($C35,OFFSET([1]quests!$A$1,0,0,COUNTA([1]quests!$A:$A),MATCH(D$1,[1]quests!$1:$1,0)-MATCH($C$1,[1]quests!$1:$1,0)+1),MATCH(D$1,[1]quests!$1:$1,0)-MATCH($C$1,[1]quests!$1:$1,0)+1,FALSE)</f>
        <v>4．イエロープラント</v>
      </c>
      <c r="E35" s="29" t="str">
        <f ca="1">VLOOKUP($C35,OFFSET([1]quests!$A$1,0,0,COUNTA([1]quests!$A:$A),MATCH(E$1,[1]quests!$1:$1,0)-MATCH($C$1,[1]quests!$1:$1,0)+1),MATCH(E$1,[1]quests!$1:$1,0)-MATCH($C$1,[1]quests!$1:$1,0)+1,FALSE)</f>
        <v>黄DL1</v>
      </c>
      <c r="F35" s="32">
        <v>2</v>
      </c>
      <c r="G35" s="34" t="str">
        <f t="shared" si="13"/>
        <v>4_2</v>
      </c>
      <c r="H35" s="20" t="str">
        <f ca="1">VLOOKUP($G35,OFFSET([1]stages!$A$1,0,0,COUNTA([1]stages!$A:$A),MATCH(H$1,[1]stages!$2:$2,0)-MATCH($G$1,[1]stages!$2:$2,0)+1),MATCH(H$1,[1]stages!$2:$2,0)-MATCH($G$1,[1]stages!$2:$2,0)+1,FALSE)</f>
        <v>4-2. 振りかざされる木槌</v>
      </c>
      <c r="I35" s="32">
        <v>2</v>
      </c>
      <c r="J35" s="13">
        <v>30</v>
      </c>
      <c r="K35" s="13">
        <v>45</v>
      </c>
    </row>
    <row r="36" spans="1:11" ht="21" customHeight="1" x14ac:dyDescent="0.15">
      <c r="A36" s="21" t="str">
        <f t="shared" si="12"/>
        <v>4_2-3</v>
      </c>
      <c r="B36" s="21" t="str">
        <f>IF(COUNTIF(enemy_habitats_DL1!$H:$H,A36),"OK","NG")</f>
        <v>OK</v>
      </c>
      <c r="C36" s="32">
        <v>4</v>
      </c>
      <c r="D36" s="12" t="str">
        <f ca="1">VLOOKUP($C36,OFFSET([1]quests!$A$1,0,0,COUNTA([1]quests!$A:$A),MATCH(D$1,[1]quests!$1:$1,0)-MATCH($C$1,[1]quests!$1:$1,0)+1),MATCH(D$1,[1]quests!$1:$1,0)-MATCH($C$1,[1]quests!$1:$1,0)+1,FALSE)</f>
        <v>4．イエロープラント</v>
      </c>
      <c r="E36" s="29" t="str">
        <f ca="1">VLOOKUP($C36,OFFSET([1]quests!$A$1,0,0,COUNTA([1]quests!$A:$A),MATCH(E$1,[1]quests!$1:$1,0)-MATCH($C$1,[1]quests!$1:$1,0)+1),MATCH(E$1,[1]quests!$1:$1,0)-MATCH($C$1,[1]quests!$1:$1,0)+1,FALSE)</f>
        <v>黄DL1</v>
      </c>
      <c r="F36" s="32">
        <v>2</v>
      </c>
      <c r="G36" s="34" t="str">
        <f t="shared" si="13"/>
        <v>4_2</v>
      </c>
      <c r="H36" s="20" t="str">
        <f ca="1">VLOOKUP($G36,OFFSET([1]stages!$A$1,0,0,COUNTA([1]stages!$A:$A),MATCH(H$1,[1]stages!$2:$2,0)-MATCH($G$1,[1]stages!$2:$2,0)+1),MATCH(H$1,[1]stages!$2:$2,0)-MATCH($G$1,[1]stages!$2:$2,0)+1,FALSE)</f>
        <v>4-2. 振りかざされる木槌</v>
      </c>
      <c r="I36" s="32">
        <v>3</v>
      </c>
      <c r="J36" s="13">
        <v>30</v>
      </c>
      <c r="K36" s="13">
        <v>45</v>
      </c>
    </row>
    <row r="37" spans="1:11" ht="21" customHeight="1" x14ac:dyDescent="0.15">
      <c r="A37" s="21" t="str">
        <f t="shared" ref="A37" si="18">G37&amp;"-"&amp;I37</f>
        <v>4_2-4</v>
      </c>
      <c r="B37" s="21" t="str">
        <f>IF(COUNTIF(enemy_habitats_DL1!$H:$H,A37),"OK","NG")</f>
        <v>OK</v>
      </c>
      <c r="C37" s="32">
        <v>4</v>
      </c>
      <c r="D37" s="12" t="str">
        <f ca="1">VLOOKUP($C37,OFFSET([1]quests!$A$1,0,0,COUNTA([1]quests!$A:$A),MATCH(D$1,[1]quests!$1:$1,0)-MATCH($C$1,[1]quests!$1:$1,0)+1),MATCH(D$1,[1]quests!$1:$1,0)-MATCH($C$1,[1]quests!$1:$1,0)+1,FALSE)</f>
        <v>4．イエロープラント</v>
      </c>
      <c r="E37" s="29" t="str">
        <f ca="1">VLOOKUP($C37,OFFSET([1]quests!$A$1,0,0,COUNTA([1]quests!$A:$A),MATCH(E$1,[1]quests!$1:$1,0)-MATCH($C$1,[1]quests!$1:$1,0)+1),MATCH(E$1,[1]quests!$1:$1,0)-MATCH($C$1,[1]quests!$1:$1,0)+1,FALSE)</f>
        <v>黄DL1</v>
      </c>
      <c r="F37" s="32">
        <v>2</v>
      </c>
      <c r="G37" s="34" t="str">
        <f t="shared" ref="G37" si="19">C37&amp;"_"&amp;F37</f>
        <v>4_2</v>
      </c>
      <c r="H37" s="20" t="str">
        <f ca="1">VLOOKUP($G37,OFFSET([1]stages!$A$1,0,0,COUNTA([1]stages!$A:$A),MATCH(H$1,[1]stages!$2:$2,0)-MATCH($G$1,[1]stages!$2:$2,0)+1),MATCH(H$1,[1]stages!$2:$2,0)-MATCH($G$1,[1]stages!$2:$2,0)+1,FALSE)</f>
        <v>4-2. 振りかざされる木槌</v>
      </c>
      <c r="I37" s="32">
        <v>4</v>
      </c>
      <c r="J37" s="13">
        <v>60</v>
      </c>
      <c r="K37" s="13">
        <v>60</v>
      </c>
    </row>
    <row r="38" spans="1:11" ht="21" customHeight="1" x14ac:dyDescent="0.15">
      <c r="A38" s="21" t="str">
        <f t="shared" si="12"/>
        <v>4_3-1</v>
      </c>
      <c r="B38" s="21" t="str">
        <f>IF(COUNTIF(enemy_habitats_DL1!$H:$H,A38),"OK","NG")</f>
        <v>OK</v>
      </c>
      <c r="C38" s="32">
        <v>4</v>
      </c>
      <c r="D38" s="12" t="str">
        <f ca="1">VLOOKUP($C38,OFFSET([1]quests!$A$1,0,0,COUNTA([1]quests!$A:$A),MATCH(D$1,[1]quests!$1:$1,0)-MATCH($C$1,[1]quests!$1:$1,0)+1),MATCH(D$1,[1]quests!$1:$1,0)-MATCH($C$1,[1]quests!$1:$1,0)+1,FALSE)</f>
        <v>4．イエロープラント</v>
      </c>
      <c r="E38" s="29" t="str">
        <f ca="1">VLOOKUP($C38,OFFSET([1]quests!$A$1,0,0,COUNTA([1]quests!$A:$A),MATCH(E$1,[1]quests!$1:$1,0)-MATCH($C$1,[1]quests!$1:$1,0)+1),MATCH(E$1,[1]quests!$1:$1,0)-MATCH($C$1,[1]quests!$1:$1,0)+1,FALSE)</f>
        <v>黄DL1</v>
      </c>
      <c r="F38" s="32">
        <v>3</v>
      </c>
      <c r="G38" s="34" t="str">
        <f t="shared" si="13"/>
        <v>4_3</v>
      </c>
      <c r="H38" s="20" t="str">
        <f ca="1">VLOOKUP($G38,OFFSET([1]stages!$A$1,0,0,COUNTA([1]stages!$A:$A),MATCH(H$1,[1]stages!$2:$2,0)-MATCH($G$1,[1]stages!$2:$2,0)+1),MATCH(H$1,[1]stages!$2:$2,0)-MATCH($G$1,[1]stages!$2:$2,0)+1,FALSE)</f>
        <v>4-3. 晩夏の狐</v>
      </c>
      <c r="I38" s="32">
        <v>1</v>
      </c>
      <c r="J38" s="13">
        <v>30</v>
      </c>
      <c r="K38" s="13">
        <v>45</v>
      </c>
    </row>
    <row r="39" spans="1:11" ht="21" customHeight="1" x14ac:dyDescent="0.15">
      <c r="A39" s="21" t="str">
        <f t="shared" si="12"/>
        <v>4_3-2</v>
      </c>
      <c r="B39" s="21" t="str">
        <f>IF(COUNTIF(enemy_habitats_DL1!$H:$H,A39),"OK","NG")</f>
        <v>OK</v>
      </c>
      <c r="C39" s="32">
        <v>4</v>
      </c>
      <c r="D39" s="12" t="str">
        <f ca="1">VLOOKUP($C39,OFFSET([1]quests!$A$1,0,0,COUNTA([1]quests!$A:$A),MATCH(D$1,[1]quests!$1:$1,0)-MATCH($C$1,[1]quests!$1:$1,0)+1),MATCH(D$1,[1]quests!$1:$1,0)-MATCH($C$1,[1]quests!$1:$1,0)+1,FALSE)</f>
        <v>4．イエロープラント</v>
      </c>
      <c r="E39" s="29" t="str">
        <f ca="1">VLOOKUP($C39,OFFSET([1]quests!$A$1,0,0,COUNTA([1]quests!$A:$A),MATCH(E$1,[1]quests!$1:$1,0)-MATCH($C$1,[1]quests!$1:$1,0)+1),MATCH(E$1,[1]quests!$1:$1,0)-MATCH($C$1,[1]quests!$1:$1,0)+1,FALSE)</f>
        <v>黄DL1</v>
      </c>
      <c r="F39" s="32">
        <v>3</v>
      </c>
      <c r="G39" s="34" t="str">
        <f t="shared" si="13"/>
        <v>4_3</v>
      </c>
      <c r="H39" s="20" t="str">
        <f ca="1">VLOOKUP($G39,OFFSET([1]stages!$A$1,0,0,COUNTA([1]stages!$A:$A),MATCH(H$1,[1]stages!$2:$2,0)-MATCH($G$1,[1]stages!$2:$2,0)+1),MATCH(H$1,[1]stages!$2:$2,0)-MATCH($G$1,[1]stages!$2:$2,0)+1,FALSE)</f>
        <v>4-3. 晩夏の狐</v>
      </c>
      <c r="I39" s="32">
        <v>2</v>
      </c>
      <c r="J39" s="13">
        <v>45</v>
      </c>
      <c r="K39" s="13">
        <v>45</v>
      </c>
    </row>
    <row r="40" spans="1:11" ht="21" customHeight="1" x14ac:dyDescent="0.15">
      <c r="A40" s="21" t="str">
        <f t="shared" ref="A40" si="20">G40&amp;"-"&amp;I40</f>
        <v>4_3-3</v>
      </c>
      <c r="B40" s="21" t="str">
        <f>IF(COUNTIF(enemy_habitats_DL1!$H:$H,A40),"OK","NG")</f>
        <v>OK</v>
      </c>
      <c r="C40" s="32">
        <v>4</v>
      </c>
      <c r="D40" s="12" t="str">
        <f ca="1">VLOOKUP($C40,OFFSET([1]quests!$A$1,0,0,COUNTA([1]quests!$A:$A),MATCH(D$1,[1]quests!$1:$1,0)-MATCH($C$1,[1]quests!$1:$1,0)+1),MATCH(D$1,[1]quests!$1:$1,0)-MATCH($C$1,[1]quests!$1:$1,0)+1,FALSE)</f>
        <v>4．イエロープラント</v>
      </c>
      <c r="E40" s="29" t="str">
        <f ca="1">VLOOKUP($C40,OFFSET([1]quests!$A$1,0,0,COUNTA([1]quests!$A:$A),MATCH(E$1,[1]quests!$1:$1,0)-MATCH($C$1,[1]quests!$1:$1,0)+1),MATCH(E$1,[1]quests!$1:$1,0)-MATCH($C$1,[1]quests!$1:$1,0)+1,FALSE)</f>
        <v>黄DL1</v>
      </c>
      <c r="F40" s="32">
        <v>3</v>
      </c>
      <c r="G40" s="34" t="str">
        <f t="shared" ref="G40" si="21">C40&amp;"_"&amp;F40</f>
        <v>4_3</v>
      </c>
      <c r="H40" s="20" t="str">
        <f ca="1">VLOOKUP($G40,OFFSET([1]stages!$A$1,0,0,COUNTA([1]stages!$A:$A),MATCH(H$1,[1]stages!$2:$2,0)-MATCH($G$1,[1]stages!$2:$2,0)+1),MATCH(H$1,[1]stages!$2:$2,0)-MATCH($G$1,[1]stages!$2:$2,0)+1,FALSE)</f>
        <v>4-3. 晩夏の狐</v>
      </c>
      <c r="I40" s="32">
        <v>3</v>
      </c>
      <c r="J40" s="13">
        <v>45</v>
      </c>
      <c r="K40" s="13">
        <v>45</v>
      </c>
    </row>
    <row r="41" spans="1:11" ht="21" customHeight="1" x14ac:dyDescent="0.15">
      <c r="A41" s="21" t="str">
        <f t="shared" si="12"/>
        <v>4_3-4</v>
      </c>
      <c r="B41" s="21" t="str">
        <f>IF(COUNTIF(enemy_habitats_DL1!$H:$H,A41),"OK","NG")</f>
        <v>OK</v>
      </c>
      <c r="C41" s="32">
        <v>4</v>
      </c>
      <c r="D41" s="12" t="str">
        <f ca="1">VLOOKUP($C41,OFFSET([1]quests!$A$1,0,0,COUNTA([1]quests!$A:$A),MATCH(D$1,[1]quests!$1:$1,0)-MATCH($C$1,[1]quests!$1:$1,0)+1),MATCH(D$1,[1]quests!$1:$1,0)-MATCH($C$1,[1]quests!$1:$1,0)+1,FALSE)</f>
        <v>4．イエロープラント</v>
      </c>
      <c r="E41" s="29" t="str">
        <f ca="1">VLOOKUP($C41,OFFSET([1]quests!$A$1,0,0,COUNTA([1]quests!$A:$A),MATCH(E$1,[1]quests!$1:$1,0)-MATCH($C$1,[1]quests!$1:$1,0)+1),MATCH(E$1,[1]quests!$1:$1,0)-MATCH($C$1,[1]quests!$1:$1,0)+1,FALSE)</f>
        <v>黄DL1</v>
      </c>
      <c r="F41" s="32">
        <v>3</v>
      </c>
      <c r="G41" s="34" t="str">
        <f t="shared" si="13"/>
        <v>4_3</v>
      </c>
      <c r="H41" s="20" t="str">
        <f ca="1">VLOOKUP($G41,OFFSET([1]stages!$A$1,0,0,COUNTA([1]stages!$A:$A),MATCH(H$1,[1]stages!$2:$2,0)-MATCH($G$1,[1]stages!$2:$2,0)+1),MATCH(H$1,[1]stages!$2:$2,0)-MATCH($G$1,[1]stages!$2:$2,0)+1,FALSE)</f>
        <v>4-3. 晩夏の狐</v>
      </c>
      <c r="I41" s="32">
        <v>4</v>
      </c>
      <c r="J41" s="13">
        <v>60</v>
      </c>
      <c r="K41" s="13">
        <v>60</v>
      </c>
    </row>
    <row r="42" spans="1:11" ht="21" customHeight="1" x14ac:dyDescent="0.15">
      <c r="A42" s="21" t="str">
        <f t="shared" si="0"/>
        <v>4_4-1</v>
      </c>
      <c r="B42" s="21" t="str">
        <f>IF(COUNTIF(enemy_habitats_DL1!$H:$H,A42),"OK","NG")</f>
        <v>OK</v>
      </c>
      <c r="C42" s="32">
        <v>4</v>
      </c>
      <c r="D42" s="12" t="str">
        <f ca="1">VLOOKUP($C42,OFFSET([1]quests!$A$1,0,0,COUNTA([1]quests!$A:$A),MATCH(D$1,[1]quests!$1:$1,0)-MATCH($C$1,[1]quests!$1:$1,0)+1),MATCH(D$1,[1]quests!$1:$1,0)-MATCH($C$1,[1]quests!$1:$1,0)+1,FALSE)</f>
        <v>4．イエロープラント</v>
      </c>
      <c r="E42" s="29" t="str">
        <f ca="1">VLOOKUP($C42,OFFSET([1]quests!$A$1,0,0,COUNTA([1]quests!$A:$A),MATCH(E$1,[1]quests!$1:$1,0)-MATCH($C$1,[1]quests!$1:$1,0)+1),MATCH(E$1,[1]quests!$1:$1,0)-MATCH($C$1,[1]quests!$1:$1,0)+1,FALSE)</f>
        <v>黄DL1</v>
      </c>
      <c r="F42" s="32">
        <v>4</v>
      </c>
      <c r="G42" s="34" t="str">
        <f t="shared" si="1"/>
        <v>4_4</v>
      </c>
      <c r="H42" s="20" t="str">
        <f ca="1">VLOOKUP($G42,OFFSET([1]stages!$A$1,0,0,COUNTA([1]stages!$A:$A),MATCH(H$1,[1]stages!$2:$2,0)-MATCH($G$1,[1]stages!$2:$2,0)+1),MATCH(H$1,[1]stages!$2:$2,0)-MATCH($G$1,[1]stages!$2:$2,0)+1,FALSE)</f>
        <v>4-4. 【1回のみ】ボーナスステージ</v>
      </c>
      <c r="I42" s="32">
        <v>1</v>
      </c>
      <c r="J42" s="13">
        <v>45</v>
      </c>
      <c r="K42" s="13">
        <v>45</v>
      </c>
    </row>
    <row r="43" spans="1:11" ht="21" customHeight="1" x14ac:dyDescent="0.15">
      <c r="A43" s="21" t="str">
        <f t="shared" si="0"/>
        <v>4_4-2</v>
      </c>
      <c r="B43" s="21" t="str">
        <f>IF(COUNTIF(enemy_habitats_DL1!$H:$H,A43),"OK","NG")</f>
        <v>OK</v>
      </c>
      <c r="C43" s="32">
        <v>4</v>
      </c>
      <c r="D43" s="12" t="str">
        <f ca="1">VLOOKUP($C43,OFFSET([1]quests!$A$1,0,0,COUNTA([1]quests!$A:$A),MATCH(D$1,[1]quests!$1:$1,0)-MATCH($C$1,[1]quests!$1:$1,0)+1),MATCH(D$1,[1]quests!$1:$1,0)-MATCH($C$1,[1]quests!$1:$1,0)+1,FALSE)</f>
        <v>4．イエロープラント</v>
      </c>
      <c r="E43" s="29" t="str">
        <f ca="1">VLOOKUP($C43,OFFSET([1]quests!$A$1,0,0,COUNTA([1]quests!$A:$A),MATCH(E$1,[1]quests!$1:$1,0)-MATCH($C$1,[1]quests!$1:$1,0)+1),MATCH(E$1,[1]quests!$1:$1,0)-MATCH($C$1,[1]quests!$1:$1,0)+1,FALSE)</f>
        <v>黄DL1</v>
      </c>
      <c r="F43" s="32">
        <v>4</v>
      </c>
      <c r="G43" s="34" t="str">
        <f t="shared" si="1"/>
        <v>4_4</v>
      </c>
      <c r="H43" s="20" t="str">
        <f ca="1">VLOOKUP($G43,OFFSET([1]stages!$A$1,0,0,COUNTA([1]stages!$A:$A),MATCH(H$1,[1]stages!$2:$2,0)-MATCH($G$1,[1]stages!$2:$2,0)+1),MATCH(H$1,[1]stages!$2:$2,0)-MATCH($G$1,[1]stages!$2:$2,0)+1,FALSE)</f>
        <v>4-4. 【1回のみ】ボーナスステージ</v>
      </c>
      <c r="I43" s="32">
        <v>2</v>
      </c>
      <c r="J43" s="13">
        <v>45</v>
      </c>
      <c r="K43" s="13">
        <v>45</v>
      </c>
    </row>
    <row r="44" spans="1:11" ht="21" customHeight="1" x14ac:dyDescent="0.15">
      <c r="A44" s="21" t="str">
        <f t="shared" si="0"/>
        <v>4_4-3</v>
      </c>
      <c r="B44" s="21" t="str">
        <f>IF(COUNTIF(enemy_habitats_DL1!$H:$H,A44),"OK","NG")</f>
        <v>OK</v>
      </c>
      <c r="C44" s="32">
        <v>4</v>
      </c>
      <c r="D44" s="12" t="str">
        <f ca="1">VLOOKUP($C44,OFFSET([1]quests!$A$1,0,0,COUNTA([1]quests!$A:$A),MATCH(D$1,[1]quests!$1:$1,0)-MATCH($C$1,[1]quests!$1:$1,0)+1),MATCH(D$1,[1]quests!$1:$1,0)-MATCH($C$1,[1]quests!$1:$1,0)+1,FALSE)</f>
        <v>4．イエロープラント</v>
      </c>
      <c r="E44" s="29" t="str">
        <f ca="1">VLOOKUP($C44,OFFSET([1]quests!$A$1,0,0,COUNTA([1]quests!$A:$A),MATCH(E$1,[1]quests!$1:$1,0)-MATCH($C$1,[1]quests!$1:$1,0)+1),MATCH(E$1,[1]quests!$1:$1,0)-MATCH($C$1,[1]quests!$1:$1,0)+1,FALSE)</f>
        <v>黄DL1</v>
      </c>
      <c r="F44" s="32">
        <v>4</v>
      </c>
      <c r="G44" s="34" t="str">
        <f t="shared" si="1"/>
        <v>4_4</v>
      </c>
      <c r="H44" s="20" t="str">
        <f ca="1">VLOOKUP($G44,OFFSET([1]stages!$A$1,0,0,COUNTA([1]stages!$A:$A),MATCH(H$1,[1]stages!$2:$2,0)-MATCH($G$1,[1]stages!$2:$2,0)+1),MATCH(H$1,[1]stages!$2:$2,0)-MATCH($G$1,[1]stages!$2:$2,0)+1,FALSE)</f>
        <v>4-4. 【1回のみ】ボーナスステージ</v>
      </c>
      <c r="I44" s="32">
        <v>3</v>
      </c>
      <c r="J44" s="13">
        <v>45</v>
      </c>
      <c r="K44" s="13">
        <v>45</v>
      </c>
    </row>
    <row r="45" spans="1:11" ht="21" customHeight="1" x14ac:dyDescent="0.15">
      <c r="A45" s="21" t="str">
        <f t="shared" ref="A45:A46" si="22">G45&amp;"-"&amp;I45</f>
        <v>4_4-4</v>
      </c>
      <c r="B45" s="21" t="str">
        <f>IF(COUNTIF(enemy_habitats_DL1!$H:$H,A45),"OK","NG")</f>
        <v>OK</v>
      </c>
      <c r="C45" s="32">
        <v>4</v>
      </c>
      <c r="D45" s="12" t="str">
        <f ca="1">VLOOKUP($C45,OFFSET([1]quests!$A$1,0,0,COUNTA([1]quests!$A:$A),MATCH(D$1,[1]quests!$1:$1,0)-MATCH($C$1,[1]quests!$1:$1,0)+1),MATCH(D$1,[1]quests!$1:$1,0)-MATCH($C$1,[1]quests!$1:$1,0)+1,FALSE)</f>
        <v>4．イエロープラント</v>
      </c>
      <c r="E45" s="29" t="str">
        <f ca="1">VLOOKUP($C45,OFFSET([1]quests!$A$1,0,0,COUNTA([1]quests!$A:$A),MATCH(E$1,[1]quests!$1:$1,0)-MATCH($C$1,[1]quests!$1:$1,0)+1),MATCH(E$1,[1]quests!$1:$1,0)-MATCH($C$1,[1]quests!$1:$1,0)+1,FALSE)</f>
        <v>黄DL1</v>
      </c>
      <c r="F45" s="32">
        <v>4</v>
      </c>
      <c r="G45" s="34" t="str">
        <f t="shared" ref="G45:G46" si="23">C45&amp;"_"&amp;F45</f>
        <v>4_4</v>
      </c>
      <c r="H45" s="20" t="str">
        <f ca="1">VLOOKUP($G45,OFFSET([1]stages!$A$1,0,0,COUNTA([1]stages!$A:$A),MATCH(H$1,[1]stages!$2:$2,0)-MATCH($G$1,[1]stages!$2:$2,0)+1),MATCH(H$1,[1]stages!$2:$2,0)-MATCH($G$1,[1]stages!$2:$2,0)+1,FALSE)</f>
        <v>4-4. 【1回のみ】ボーナスステージ</v>
      </c>
      <c r="I45" s="32">
        <v>4</v>
      </c>
      <c r="J45" s="13">
        <v>45</v>
      </c>
      <c r="K45" s="13">
        <v>45</v>
      </c>
    </row>
    <row r="46" spans="1:11" ht="21" customHeight="1" x14ac:dyDescent="0.15">
      <c r="A46" s="21" t="str">
        <f t="shared" si="22"/>
        <v>4_4-5</v>
      </c>
      <c r="B46" s="21" t="str">
        <f>IF(COUNTIF(enemy_habitats_DL1!$H:$H,A46),"OK","NG")</f>
        <v>OK</v>
      </c>
      <c r="C46" s="32">
        <v>4</v>
      </c>
      <c r="D46" s="12" t="str">
        <f ca="1">VLOOKUP($C46,OFFSET([1]quests!$A$1,0,0,COUNTA([1]quests!$A:$A),MATCH(D$1,[1]quests!$1:$1,0)-MATCH($C$1,[1]quests!$1:$1,0)+1),MATCH(D$1,[1]quests!$1:$1,0)-MATCH($C$1,[1]quests!$1:$1,0)+1,FALSE)</f>
        <v>4．イエロープラント</v>
      </c>
      <c r="E46" s="29" t="str">
        <f ca="1">VLOOKUP($C46,OFFSET([1]quests!$A$1,0,0,COUNTA([1]quests!$A:$A),MATCH(E$1,[1]quests!$1:$1,0)-MATCH($C$1,[1]quests!$1:$1,0)+1),MATCH(E$1,[1]quests!$1:$1,0)-MATCH($C$1,[1]quests!$1:$1,0)+1,FALSE)</f>
        <v>黄DL1</v>
      </c>
      <c r="F46" s="32">
        <v>4</v>
      </c>
      <c r="G46" s="34" t="str">
        <f t="shared" si="23"/>
        <v>4_4</v>
      </c>
      <c r="H46" s="20" t="str">
        <f ca="1">VLOOKUP($G46,OFFSET([1]stages!$A$1,0,0,COUNTA([1]stages!$A:$A),MATCH(H$1,[1]stages!$2:$2,0)-MATCH($G$1,[1]stages!$2:$2,0)+1),MATCH(H$1,[1]stages!$2:$2,0)-MATCH($G$1,[1]stages!$2:$2,0)+1,FALSE)</f>
        <v>4-4. 【1回のみ】ボーナスステージ</v>
      </c>
      <c r="I46" s="32">
        <v>5</v>
      </c>
      <c r="J46" s="13">
        <v>60</v>
      </c>
      <c r="K46" s="13">
        <v>60</v>
      </c>
    </row>
    <row r="47" spans="1:11" ht="21" customHeight="1" x14ac:dyDescent="0.15">
      <c r="A47" s="21" t="str">
        <f t="shared" si="0"/>
        <v>5_1-1</v>
      </c>
      <c r="B47" s="21" t="str">
        <f>IF(COUNTIF(enemy_habitats_DL1!$H:$H,A47),"OK","NG")</f>
        <v>OK</v>
      </c>
      <c r="C47" s="32">
        <v>5</v>
      </c>
      <c r="D47" s="12" t="str">
        <f ca="1">VLOOKUP($C47,OFFSET([1]quests!$A$1,0,0,COUNTA([1]quests!$A:$A),MATCH(D$1,[1]quests!$1:$1,0)-MATCH($C$1,[1]quests!$1:$1,0)+1),MATCH(D$1,[1]quests!$1:$1,0)-MATCH($C$1,[1]quests!$1:$1,0)+1,FALSE)</f>
        <v>5．ウォーターランド</v>
      </c>
      <c r="E47" s="29" t="str">
        <f ca="1">VLOOKUP($C47,OFFSET([1]quests!$A$1,0,0,COUNTA([1]quests!$A:$A),MATCH(E$1,[1]quests!$1:$1,0)-MATCH($C$1,[1]quests!$1:$1,0)+1),MATCH(E$1,[1]quests!$1:$1,0)-MATCH($C$1,[1]quests!$1:$1,0)+1,FALSE)</f>
        <v>青DL1</v>
      </c>
      <c r="F47" s="32">
        <v>1</v>
      </c>
      <c r="G47" s="34" t="str">
        <f t="shared" si="1"/>
        <v>5_1</v>
      </c>
      <c r="H47" s="20" t="str">
        <f ca="1">VLOOKUP($G47,OFFSET([1]stages!$A$1,0,0,COUNTA([1]stages!$A:$A),MATCH(H$1,[1]stages!$2:$2,0)-MATCH($G$1,[1]stages!$2:$2,0)+1),MATCH(H$1,[1]stages!$2:$2,0)-MATCH($G$1,[1]stages!$2:$2,0)+1,FALSE)</f>
        <v>5-1. 水面を凍らす咆哮</v>
      </c>
      <c r="I47" s="32">
        <v>1</v>
      </c>
      <c r="J47" s="13">
        <v>15</v>
      </c>
      <c r="K47" s="13">
        <v>45</v>
      </c>
    </row>
    <row r="48" spans="1:11" ht="21" customHeight="1" x14ac:dyDescent="0.15">
      <c r="A48" s="21" t="str">
        <f t="shared" si="0"/>
        <v>5_1-2</v>
      </c>
      <c r="B48" s="21" t="str">
        <f>IF(COUNTIF(enemy_habitats_DL1!$H:$H,A48),"OK","NG")</f>
        <v>OK</v>
      </c>
      <c r="C48" s="32">
        <v>5</v>
      </c>
      <c r="D48" s="12" t="str">
        <f ca="1">VLOOKUP($C48,OFFSET([1]quests!$A$1,0,0,COUNTA([1]quests!$A:$A),MATCH(D$1,[1]quests!$1:$1,0)-MATCH($C$1,[1]quests!$1:$1,0)+1),MATCH(D$1,[1]quests!$1:$1,0)-MATCH($C$1,[1]quests!$1:$1,0)+1,FALSE)</f>
        <v>5．ウォーターランド</v>
      </c>
      <c r="E48" s="29" t="str">
        <f ca="1">VLOOKUP($C48,OFFSET([1]quests!$A$1,0,0,COUNTA([1]quests!$A:$A),MATCH(E$1,[1]quests!$1:$1,0)-MATCH($C$1,[1]quests!$1:$1,0)+1),MATCH(E$1,[1]quests!$1:$1,0)-MATCH($C$1,[1]quests!$1:$1,0)+1,FALSE)</f>
        <v>青DL1</v>
      </c>
      <c r="F48" s="32">
        <v>1</v>
      </c>
      <c r="G48" s="34" t="str">
        <f t="shared" si="1"/>
        <v>5_1</v>
      </c>
      <c r="H48" s="20" t="str">
        <f ca="1">VLOOKUP($G48,OFFSET([1]stages!$A$1,0,0,COUNTA([1]stages!$A:$A),MATCH(H$1,[1]stages!$2:$2,0)-MATCH($G$1,[1]stages!$2:$2,0)+1),MATCH(H$1,[1]stages!$2:$2,0)-MATCH($G$1,[1]stages!$2:$2,0)+1,FALSE)</f>
        <v>5-1. 水面を凍らす咆哮</v>
      </c>
      <c r="I48" s="32">
        <v>2</v>
      </c>
      <c r="J48" s="13">
        <v>45</v>
      </c>
      <c r="K48" s="13">
        <v>45</v>
      </c>
    </row>
    <row r="49" spans="1:11" ht="21" customHeight="1" x14ac:dyDescent="0.15">
      <c r="A49" s="21" t="str">
        <f t="shared" si="0"/>
        <v>5_1-3</v>
      </c>
      <c r="B49" s="21" t="str">
        <f>IF(COUNTIF(enemy_habitats_DL1!$H:$H,A49),"OK","NG")</f>
        <v>OK</v>
      </c>
      <c r="C49" s="32">
        <v>5</v>
      </c>
      <c r="D49" s="12" t="str">
        <f ca="1">VLOOKUP($C49,OFFSET([1]quests!$A$1,0,0,COUNTA([1]quests!$A:$A),MATCH(D$1,[1]quests!$1:$1,0)-MATCH($C$1,[1]quests!$1:$1,0)+1),MATCH(D$1,[1]quests!$1:$1,0)-MATCH($C$1,[1]quests!$1:$1,0)+1,FALSE)</f>
        <v>5．ウォーターランド</v>
      </c>
      <c r="E49" s="29" t="str">
        <f ca="1">VLOOKUP($C49,OFFSET([1]quests!$A$1,0,0,COUNTA([1]quests!$A:$A),MATCH(E$1,[1]quests!$1:$1,0)-MATCH($C$1,[1]quests!$1:$1,0)+1),MATCH(E$1,[1]quests!$1:$1,0)-MATCH($C$1,[1]quests!$1:$1,0)+1,FALSE)</f>
        <v>青DL1</v>
      </c>
      <c r="F49" s="32">
        <v>1</v>
      </c>
      <c r="G49" s="34" t="str">
        <f t="shared" si="1"/>
        <v>5_1</v>
      </c>
      <c r="H49" s="20" t="str">
        <f ca="1">VLOOKUP($G49,OFFSET([1]stages!$A$1,0,0,COUNTA([1]stages!$A:$A),MATCH(H$1,[1]stages!$2:$2,0)-MATCH($G$1,[1]stages!$2:$2,0)+1),MATCH(H$1,[1]stages!$2:$2,0)-MATCH($G$1,[1]stages!$2:$2,0)+1,FALSE)</f>
        <v>5-1. 水面を凍らす咆哮</v>
      </c>
      <c r="I49" s="32">
        <v>3</v>
      </c>
      <c r="J49" s="13">
        <v>45</v>
      </c>
      <c r="K49" s="13">
        <v>45</v>
      </c>
    </row>
    <row r="50" spans="1:11" ht="21" customHeight="1" x14ac:dyDescent="0.15">
      <c r="A50" s="21" t="str">
        <f t="shared" si="0"/>
        <v>5_2-1</v>
      </c>
      <c r="B50" s="21" t="str">
        <f>IF(COUNTIF(enemy_habitats_DL1!$H:$H,A50),"OK","NG")</f>
        <v>OK</v>
      </c>
      <c r="C50" s="32">
        <v>5</v>
      </c>
      <c r="D50" s="12" t="str">
        <f ca="1">VLOOKUP($C50,OFFSET([1]quests!$A$1,0,0,COUNTA([1]quests!$A:$A),MATCH(D$1,[1]quests!$1:$1,0)-MATCH($C$1,[1]quests!$1:$1,0)+1),MATCH(D$1,[1]quests!$1:$1,0)-MATCH($C$1,[1]quests!$1:$1,0)+1,FALSE)</f>
        <v>5．ウォーターランド</v>
      </c>
      <c r="E50" s="29" t="str">
        <f ca="1">VLOOKUP($C50,OFFSET([1]quests!$A$1,0,0,COUNTA([1]quests!$A:$A),MATCH(E$1,[1]quests!$1:$1,0)-MATCH($C$1,[1]quests!$1:$1,0)+1),MATCH(E$1,[1]quests!$1:$1,0)-MATCH($C$1,[1]quests!$1:$1,0)+1,FALSE)</f>
        <v>青DL1</v>
      </c>
      <c r="F50" s="32">
        <v>2</v>
      </c>
      <c r="G50" s="34" t="str">
        <f t="shared" si="1"/>
        <v>5_2</v>
      </c>
      <c r="H50" s="20" t="str">
        <f ca="1">VLOOKUP($G50,OFFSET([1]stages!$A$1,0,0,COUNTA([1]stages!$A:$A),MATCH(H$1,[1]stages!$2:$2,0)-MATCH($G$1,[1]stages!$2:$2,0)+1),MATCH(H$1,[1]stages!$2:$2,0)-MATCH($G$1,[1]stages!$2:$2,0)+1,FALSE)</f>
        <v>5-2. 波をさばく剣豪</v>
      </c>
      <c r="I50" s="32">
        <v>1</v>
      </c>
      <c r="J50" s="13">
        <v>30</v>
      </c>
      <c r="K50" s="13">
        <v>45</v>
      </c>
    </row>
    <row r="51" spans="1:11" ht="21" customHeight="1" x14ac:dyDescent="0.15">
      <c r="A51" s="21" t="str">
        <f t="shared" si="0"/>
        <v>5_2-2</v>
      </c>
      <c r="B51" s="21" t="str">
        <f>IF(COUNTIF(enemy_habitats_DL1!$H:$H,A51),"OK","NG")</f>
        <v>OK</v>
      </c>
      <c r="C51" s="32">
        <v>5</v>
      </c>
      <c r="D51" s="12" t="str">
        <f ca="1">VLOOKUP($C51,OFFSET([1]quests!$A$1,0,0,COUNTA([1]quests!$A:$A),MATCH(D$1,[1]quests!$1:$1,0)-MATCH($C$1,[1]quests!$1:$1,0)+1),MATCH(D$1,[1]quests!$1:$1,0)-MATCH($C$1,[1]quests!$1:$1,0)+1,FALSE)</f>
        <v>5．ウォーターランド</v>
      </c>
      <c r="E51" s="29" t="str">
        <f ca="1">VLOOKUP($C51,OFFSET([1]quests!$A$1,0,0,COUNTA([1]quests!$A:$A),MATCH(E$1,[1]quests!$1:$1,0)-MATCH($C$1,[1]quests!$1:$1,0)+1),MATCH(E$1,[1]quests!$1:$1,0)-MATCH($C$1,[1]quests!$1:$1,0)+1,FALSE)</f>
        <v>青DL1</v>
      </c>
      <c r="F51" s="32">
        <v>2</v>
      </c>
      <c r="G51" s="34" t="str">
        <f t="shared" si="1"/>
        <v>5_2</v>
      </c>
      <c r="H51" s="20" t="str">
        <f ca="1">VLOOKUP($G51,OFFSET([1]stages!$A$1,0,0,COUNTA([1]stages!$A:$A),MATCH(H$1,[1]stages!$2:$2,0)-MATCH($G$1,[1]stages!$2:$2,0)+1),MATCH(H$1,[1]stages!$2:$2,0)-MATCH($G$1,[1]stages!$2:$2,0)+1,FALSE)</f>
        <v>5-2. 波をさばく剣豪</v>
      </c>
      <c r="I51" s="32">
        <v>2</v>
      </c>
      <c r="J51" s="13">
        <v>45</v>
      </c>
      <c r="K51" s="13">
        <v>45</v>
      </c>
    </row>
    <row r="52" spans="1:11" ht="21" customHeight="1" x14ac:dyDescent="0.15">
      <c r="A52" s="21" t="str">
        <f t="shared" ref="A52" si="24">G52&amp;"-"&amp;I52</f>
        <v>5_2-3</v>
      </c>
      <c r="B52" s="21" t="str">
        <f>IF(COUNTIF(enemy_habitats_DL1!$H:$H,A52),"OK","NG")</f>
        <v>OK</v>
      </c>
      <c r="C52" s="32">
        <v>5</v>
      </c>
      <c r="D52" s="12" t="str">
        <f ca="1">VLOOKUP($C52,OFFSET([1]quests!$A$1,0,0,COUNTA([1]quests!$A:$A),MATCH(D$1,[1]quests!$1:$1,0)-MATCH($C$1,[1]quests!$1:$1,0)+1),MATCH(D$1,[1]quests!$1:$1,0)-MATCH($C$1,[1]quests!$1:$1,0)+1,FALSE)</f>
        <v>5．ウォーターランド</v>
      </c>
      <c r="E52" s="29" t="str">
        <f ca="1">VLOOKUP($C52,OFFSET([1]quests!$A$1,0,0,COUNTA([1]quests!$A:$A),MATCH(E$1,[1]quests!$1:$1,0)-MATCH($C$1,[1]quests!$1:$1,0)+1),MATCH(E$1,[1]quests!$1:$1,0)-MATCH($C$1,[1]quests!$1:$1,0)+1,FALSE)</f>
        <v>青DL1</v>
      </c>
      <c r="F52" s="32">
        <v>2</v>
      </c>
      <c r="G52" s="34" t="str">
        <f t="shared" ref="G52" si="25">C52&amp;"_"&amp;F52</f>
        <v>5_2</v>
      </c>
      <c r="H52" s="20" t="str">
        <f ca="1">VLOOKUP($G52,OFFSET([1]stages!$A$1,0,0,COUNTA([1]stages!$A:$A),MATCH(H$1,[1]stages!$2:$2,0)-MATCH($G$1,[1]stages!$2:$2,0)+1),MATCH(H$1,[1]stages!$2:$2,0)-MATCH($G$1,[1]stages!$2:$2,0)+1,FALSE)</f>
        <v>5-2. 波をさばく剣豪</v>
      </c>
      <c r="I52" s="32">
        <v>3</v>
      </c>
      <c r="J52" s="13">
        <v>45</v>
      </c>
      <c r="K52" s="13">
        <v>45</v>
      </c>
    </row>
    <row r="53" spans="1:11" ht="21" customHeight="1" x14ac:dyDescent="0.15">
      <c r="A53" s="21" t="str">
        <f t="shared" si="0"/>
        <v>5_2-4</v>
      </c>
      <c r="B53" s="21" t="str">
        <f>IF(COUNTIF(enemy_habitats_DL1!$H:$H,A53),"OK","NG")</f>
        <v>OK</v>
      </c>
      <c r="C53" s="32">
        <v>5</v>
      </c>
      <c r="D53" s="12" t="str">
        <f ca="1">VLOOKUP($C53,OFFSET([1]quests!$A$1,0,0,COUNTA([1]quests!$A:$A),MATCH(D$1,[1]quests!$1:$1,0)-MATCH($C$1,[1]quests!$1:$1,0)+1),MATCH(D$1,[1]quests!$1:$1,0)-MATCH($C$1,[1]quests!$1:$1,0)+1,FALSE)</f>
        <v>5．ウォーターランド</v>
      </c>
      <c r="E53" s="29" t="str">
        <f ca="1">VLOOKUP($C53,OFFSET([1]quests!$A$1,0,0,COUNTA([1]quests!$A:$A),MATCH(E$1,[1]quests!$1:$1,0)-MATCH($C$1,[1]quests!$1:$1,0)+1),MATCH(E$1,[1]quests!$1:$1,0)-MATCH($C$1,[1]quests!$1:$1,0)+1,FALSE)</f>
        <v>青DL1</v>
      </c>
      <c r="F53" s="32">
        <v>2</v>
      </c>
      <c r="G53" s="34" t="str">
        <f t="shared" si="1"/>
        <v>5_2</v>
      </c>
      <c r="H53" s="20" t="str">
        <f ca="1">VLOOKUP($G53,OFFSET([1]stages!$A$1,0,0,COUNTA([1]stages!$A:$A),MATCH(H$1,[1]stages!$2:$2,0)-MATCH($G$1,[1]stages!$2:$2,0)+1),MATCH(H$1,[1]stages!$2:$2,0)-MATCH($G$1,[1]stages!$2:$2,0)+1,FALSE)</f>
        <v>5-2. 波をさばく剣豪</v>
      </c>
      <c r="I53" s="32">
        <v>4</v>
      </c>
      <c r="J53" s="13">
        <v>45</v>
      </c>
      <c r="K53" s="13">
        <v>45</v>
      </c>
    </row>
    <row r="54" spans="1:11" ht="21" customHeight="1" x14ac:dyDescent="0.15">
      <c r="A54" s="21" t="str">
        <f t="shared" si="0"/>
        <v>5_3-1</v>
      </c>
      <c r="B54" s="21" t="str">
        <f>IF(COUNTIF(enemy_habitats_DL1!$H:$H,A54),"OK","NG")</f>
        <v>OK</v>
      </c>
      <c r="C54" s="32">
        <v>5</v>
      </c>
      <c r="D54" s="12" t="str">
        <f ca="1">VLOOKUP($C54,OFFSET([1]quests!$A$1,0,0,COUNTA([1]quests!$A:$A),MATCH(D$1,[1]quests!$1:$1,0)-MATCH($C$1,[1]quests!$1:$1,0)+1),MATCH(D$1,[1]quests!$1:$1,0)-MATCH($C$1,[1]quests!$1:$1,0)+1,FALSE)</f>
        <v>5．ウォーターランド</v>
      </c>
      <c r="E54" s="29" t="str">
        <f ca="1">VLOOKUP($C54,OFFSET([1]quests!$A$1,0,0,COUNTA([1]quests!$A:$A),MATCH(E$1,[1]quests!$1:$1,0)-MATCH($C$1,[1]quests!$1:$1,0)+1),MATCH(E$1,[1]quests!$1:$1,0)-MATCH($C$1,[1]quests!$1:$1,0)+1,FALSE)</f>
        <v>青DL1</v>
      </c>
      <c r="F54" s="32">
        <v>3</v>
      </c>
      <c r="G54" s="34" t="str">
        <f t="shared" si="1"/>
        <v>5_3</v>
      </c>
      <c r="H54" s="20" t="str">
        <f ca="1">VLOOKUP($G54,OFFSET([1]stages!$A$1,0,0,COUNTA([1]stages!$A:$A),MATCH(H$1,[1]stages!$2:$2,0)-MATCH($G$1,[1]stages!$2:$2,0)+1),MATCH(H$1,[1]stages!$2:$2,0)-MATCH($G$1,[1]stages!$2:$2,0)+1,FALSE)</f>
        <v>5-3. 水天一碧の凪刀</v>
      </c>
      <c r="I54" s="32">
        <v>1</v>
      </c>
      <c r="J54" s="13">
        <v>45</v>
      </c>
      <c r="K54" s="13">
        <v>45</v>
      </c>
    </row>
    <row r="55" spans="1:11" ht="21" customHeight="1" x14ac:dyDescent="0.15">
      <c r="A55" s="21" t="str">
        <f t="shared" si="0"/>
        <v>5_3-2</v>
      </c>
      <c r="B55" s="21" t="str">
        <f>IF(COUNTIF(enemy_habitats_DL1!$H:$H,A55),"OK","NG")</f>
        <v>OK</v>
      </c>
      <c r="C55" s="32">
        <v>5</v>
      </c>
      <c r="D55" s="12" t="str">
        <f ca="1">VLOOKUP($C55,OFFSET([1]quests!$A$1,0,0,COUNTA([1]quests!$A:$A),MATCH(D$1,[1]quests!$1:$1,0)-MATCH($C$1,[1]quests!$1:$1,0)+1),MATCH(D$1,[1]quests!$1:$1,0)-MATCH($C$1,[1]quests!$1:$1,0)+1,FALSE)</f>
        <v>5．ウォーターランド</v>
      </c>
      <c r="E55" s="29" t="str">
        <f ca="1">VLOOKUP($C55,OFFSET([1]quests!$A$1,0,0,COUNTA([1]quests!$A:$A),MATCH(E$1,[1]quests!$1:$1,0)-MATCH($C$1,[1]quests!$1:$1,0)+1),MATCH(E$1,[1]quests!$1:$1,0)-MATCH($C$1,[1]quests!$1:$1,0)+1,FALSE)</f>
        <v>青DL1</v>
      </c>
      <c r="F55" s="32">
        <v>3</v>
      </c>
      <c r="G55" s="34" t="str">
        <f t="shared" si="1"/>
        <v>5_3</v>
      </c>
      <c r="H55" s="20" t="str">
        <f ca="1">VLOOKUP($G55,OFFSET([1]stages!$A$1,0,0,COUNTA([1]stages!$A:$A),MATCH(H$1,[1]stages!$2:$2,0)-MATCH($G$1,[1]stages!$2:$2,0)+1),MATCH(H$1,[1]stages!$2:$2,0)-MATCH($G$1,[1]stages!$2:$2,0)+1,FALSE)</f>
        <v>5-3. 水天一碧の凪刀</v>
      </c>
      <c r="I55" s="32">
        <v>2</v>
      </c>
      <c r="J55" s="13">
        <v>45</v>
      </c>
      <c r="K55" s="13">
        <v>45</v>
      </c>
    </row>
    <row r="56" spans="1:11" ht="21" customHeight="1" x14ac:dyDescent="0.15">
      <c r="A56" s="21" t="str">
        <f t="shared" ref="A56" si="26">G56&amp;"-"&amp;I56</f>
        <v>5_3-3</v>
      </c>
      <c r="B56" s="21" t="str">
        <f>IF(COUNTIF(enemy_habitats_DL1!$H:$H,A56),"OK","NG")</f>
        <v>OK</v>
      </c>
      <c r="C56" s="32">
        <v>5</v>
      </c>
      <c r="D56" s="12" t="str">
        <f ca="1">VLOOKUP($C56,OFFSET([1]quests!$A$1,0,0,COUNTA([1]quests!$A:$A),MATCH(D$1,[1]quests!$1:$1,0)-MATCH($C$1,[1]quests!$1:$1,0)+1),MATCH(D$1,[1]quests!$1:$1,0)-MATCH($C$1,[1]quests!$1:$1,0)+1,FALSE)</f>
        <v>5．ウォーターランド</v>
      </c>
      <c r="E56" s="29" t="str">
        <f ca="1">VLOOKUP($C56,OFFSET([1]quests!$A$1,0,0,COUNTA([1]quests!$A:$A),MATCH(E$1,[1]quests!$1:$1,0)-MATCH($C$1,[1]quests!$1:$1,0)+1),MATCH(E$1,[1]quests!$1:$1,0)-MATCH($C$1,[1]quests!$1:$1,0)+1,FALSE)</f>
        <v>青DL1</v>
      </c>
      <c r="F56" s="32">
        <v>3</v>
      </c>
      <c r="G56" s="34" t="str">
        <f t="shared" ref="G56" si="27">C56&amp;"_"&amp;F56</f>
        <v>5_3</v>
      </c>
      <c r="H56" s="20" t="str">
        <f ca="1">VLOOKUP($G56,OFFSET([1]stages!$A$1,0,0,COUNTA([1]stages!$A:$A),MATCH(H$1,[1]stages!$2:$2,0)-MATCH($G$1,[1]stages!$2:$2,0)+1),MATCH(H$1,[1]stages!$2:$2,0)-MATCH($G$1,[1]stages!$2:$2,0)+1,FALSE)</f>
        <v>5-3. 水天一碧の凪刀</v>
      </c>
      <c r="I56" s="32">
        <v>3</v>
      </c>
      <c r="J56" s="13">
        <v>45</v>
      </c>
      <c r="K56" s="13">
        <v>45</v>
      </c>
    </row>
    <row r="57" spans="1:11" ht="21" customHeight="1" x14ac:dyDescent="0.15">
      <c r="A57" s="21" t="str">
        <f t="shared" si="0"/>
        <v>5_3-4</v>
      </c>
      <c r="B57" s="21" t="str">
        <f>IF(COUNTIF(enemy_habitats_DL1!$H:$H,A57),"OK","NG")</f>
        <v>OK</v>
      </c>
      <c r="C57" s="32">
        <v>5</v>
      </c>
      <c r="D57" s="12" t="str">
        <f ca="1">VLOOKUP($C57,OFFSET([1]quests!$A$1,0,0,COUNTA([1]quests!$A:$A),MATCH(D$1,[1]quests!$1:$1,0)-MATCH($C$1,[1]quests!$1:$1,0)+1),MATCH(D$1,[1]quests!$1:$1,0)-MATCH($C$1,[1]quests!$1:$1,0)+1,FALSE)</f>
        <v>5．ウォーターランド</v>
      </c>
      <c r="E57" s="29" t="str">
        <f ca="1">VLOOKUP($C57,OFFSET([1]quests!$A$1,0,0,COUNTA([1]quests!$A:$A),MATCH(E$1,[1]quests!$1:$1,0)-MATCH($C$1,[1]quests!$1:$1,0)+1),MATCH(E$1,[1]quests!$1:$1,0)-MATCH($C$1,[1]quests!$1:$1,0)+1,FALSE)</f>
        <v>青DL1</v>
      </c>
      <c r="F57" s="32">
        <v>3</v>
      </c>
      <c r="G57" s="34" t="str">
        <f t="shared" si="1"/>
        <v>5_3</v>
      </c>
      <c r="H57" s="20" t="str">
        <f ca="1">VLOOKUP($G57,OFFSET([1]stages!$A$1,0,0,COUNTA([1]stages!$A:$A),MATCH(H$1,[1]stages!$2:$2,0)-MATCH($G$1,[1]stages!$2:$2,0)+1),MATCH(H$1,[1]stages!$2:$2,0)-MATCH($G$1,[1]stages!$2:$2,0)+1,FALSE)</f>
        <v>5-3. 水天一碧の凪刀</v>
      </c>
      <c r="I57" s="32">
        <v>4</v>
      </c>
      <c r="J57" s="13">
        <v>60</v>
      </c>
      <c r="K57" s="13">
        <v>60</v>
      </c>
    </row>
    <row r="58" spans="1:11" ht="21" customHeight="1" x14ac:dyDescent="0.15">
      <c r="A58" s="21" t="str">
        <f t="shared" si="0"/>
        <v>5_4-1</v>
      </c>
      <c r="B58" s="21" t="str">
        <f>IF(COUNTIF(enemy_habitats_DL1!$H:$H,A58),"OK","NG")</f>
        <v>OK</v>
      </c>
      <c r="C58" s="32">
        <v>5</v>
      </c>
      <c r="D58" s="12" t="str">
        <f ca="1">VLOOKUP($C58,OFFSET([1]quests!$A$1,0,0,COUNTA([1]quests!$A:$A),MATCH(D$1,[1]quests!$1:$1,0)-MATCH($C$1,[1]quests!$1:$1,0)+1),MATCH(D$1,[1]quests!$1:$1,0)-MATCH($C$1,[1]quests!$1:$1,0)+1,FALSE)</f>
        <v>5．ウォーターランド</v>
      </c>
      <c r="E58" s="29" t="str">
        <f ca="1">VLOOKUP($C58,OFFSET([1]quests!$A$1,0,0,COUNTA([1]quests!$A:$A),MATCH(E$1,[1]quests!$1:$1,0)-MATCH($C$1,[1]quests!$1:$1,0)+1),MATCH(E$1,[1]quests!$1:$1,0)-MATCH($C$1,[1]quests!$1:$1,0)+1,FALSE)</f>
        <v>青DL1</v>
      </c>
      <c r="F58" s="32">
        <v>4</v>
      </c>
      <c r="G58" s="34" t="str">
        <f t="shared" si="1"/>
        <v>5_4</v>
      </c>
      <c r="H58" s="20" t="str">
        <f ca="1">VLOOKUP($G58,OFFSET([1]stages!$A$1,0,0,COUNTA([1]stages!$A:$A),MATCH(H$1,[1]stages!$2:$2,0)-MATCH($G$1,[1]stages!$2:$2,0)+1),MATCH(H$1,[1]stages!$2:$2,0)-MATCH($G$1,[1]stages!$2:$2,0)+1,FALSE)</f>
        <v>5-4. 【1回のみ】ボーナスステージ</v>
      </c>
      <c r="I58" s="32">
        <v>1</v>
      </c>
      <c r="J58" s="13">
        <v>30</v>
      </c>
      <c r="K58" s="13">
        <v>45</v>
      </c>
    </row>
    <row r="59" spans="1:11" ht="21" customHeight="1" x14ac:dyDescent="0.15">
      <c r="A59" s="21" t="str">
        <f t="shared" si="0"/>
        <v>5_4-2</v>
      </c>
      <c r="B59" s="21" t="str">
        <f>IF(COUNTIF(enemy_habitats_DL1!$H:$H,A59),"OK","NG")</f>
        <v>OK</v>
      </c>
      <c r="C59" s="32">
        <v>5</v>
      </c>
      <c r="D59" s="12" t="str">
        <f ca="1">VLOOKUP($C59,OFFSET([1]quests!$A$1,0,0,COUNTA([1]quests!$A:$A),MATCH(D$1,[1]quests!$1:$1,0)-MATCH($C$1,[1]quests!$1:$1,0)+1),MATCH(D$1,[1]quests!$1:$1,0)-MATCH($C$1,[1]quests!$1:$1,0)+1,FALSE)</f>
        <v>5．ウォーターランド</v>
      </c>
      <c r="E59" s="29" t="str">
        <f ca="1">VLOOKUP($C59,OFFSET([1]quests!$A$1,0,0,COUNTA([1]quests!$A:$A),MATCH(E$1,[1]quests!$1:$1,0)-MATCH($C$1,[1]quests!$1:$1,0)+1),MATCH(E$1,[1]quests!$1:$1,0)-MATCH($C$1,[1]quests!$1:$1,0)+1,FALSE)</f>
        <v>青DL1</v>
      </c>
      <c r="F59" s="32">
        <v>4</v>
      </c>
      <c r="G59" s="34" t="str">
        <f t="shared" si="1"/>
        <v>5_4</v>
      </c>
      <c r="H59" s="20" t="str">
        <f ca="1">VLOOKUP($G59,OFFSET([1]stages!$A$1,0,0,COUNTA([1]stages!$A:$A),MATCH(H$1,[1]stages!$2:$2,0)-MATCH($G$1,[1]stages!$2:$2,0)+1),MATCH(H$1,[1]stages!$2:$2,0)-MATCH($G$1,[1]stages!$2:$2,0)+1,FALSE)</f>
        <v>5-4. 【1回のみ】ボーナスステージ</v>
      </c>
      <c r="I59" s="32">
        <v>2</v>
      </c>
      <c r="J59" s="13">
        <v>45</v>
      </c>
      <c r="K59" s="13">
        <v>45</v>
      </c>
    </row>
    <row r="60" spans="1:11" ht="21" customHeight="1" x14ac:dyDescent="0.15">
      <c r="A60" s="21" t="str">
        <f t="shared" si="0"/>
        <v>5_4-3</v>
      </c>
      <c r="B60" s="21" t="str">
        <f>IF(COUNTIF(enemy_habitats_DL1!$H:$H,A60),"OK","NG")</f>
        <v>OK</v>
      </c>
      <c r="C60" s="32">
        <v>5</v>
      </c>
      <c r="D60" s="12" t="str">
        <f ca="1">VLOOKUP($C60,OFFSET([1]quests!$A$1,0,0,COUNTA([1]quests!$A:$A),MATCH(D$1,[1]quests!$1:$1,0)-MATCH($C$1,[1]quests!$1:$1,0)+1),MATCH(D$1,[1]quests!$1:$1,0)-MATCH($C$1,[1]quests!$1:$1,0)+1,FALSE)</f>
        <v>5．ウォーターランド</v>
      </c>
      <c r="E60" s="29" t="str">
        <f ca="1">VLOOKUP($C60,OFFSET([1]quests!$A$1,0,0,COUNTA([1]quests!$A:$A),MATCH(E$1,[1]quests!$1:$1,0)-MATCH($C$1,[1]quests!$1:$1,0)+1),MATCH(E$1,[1]quests!$1:$1,0)-MATCH($C$1,[1]quests!$1:$1,0)+1,FALSE)</f>
        <v>青DL1</v>
      </c>
      <c r="F60" s="32">
        <v>4</v>
      </c>
      <c r="G60" s="34" t="str">
        <f t="shared" si="1"/>
        <v>5_4</v>
      </c>
      <c r="H60" s="20" t="str">
        <f ca="1">VLOOKUP($G60,OFFSET([1]stages!$A$1,0,0,COUNTA([1]stages!$A:$A),MATCH(H$1,[1]stages!$2:$2,0)-MATCH($G$1,[1]stages!$2:$2,0)+1),MATCH(H$1,[1]stages!$2:$2,0)-MATCH($G$1,[1]stages!$2:$2,0)+1,FALSE)</f>
        <v>5-4. 【1回のみ】ボーナスステージ</v>
      </c>
      <c r="I60" s="32">
        <v>3</v>
      </c>
      <c r="J60" s="13">
        <v>60</v>
      </c>
      <c r="K60" s="13">
        <v>60</v>
      </c>
    </row>
    <row r="61" spans="1:11" ht="21" customHeight="1" x14ac:dyDescent="0.15">
      <c r="A61" s="21" t="str">
        <f t="shared" ref="A61:A62" si="28">G61&amp;"-"&amp;I61</f>
        <v>5_4-4</v>
      </c>
      <c r="B61" s="21" t="str">
        <f>IF(COUNTIF(enemy_habitats_DL1!$H:$H,A61),"OK","NG")</f>
        <v>OK</v>
      </c>
      <c r="C61" s="32">
        <v>5</v>
      </c>
      <c r="D61" s="12" t="str">
        <f ca="1">VLOOKUP($C61,OFFSET([1]quests!$A$1,0,0,COUNTA([1]quests!$A:$A),MATCH(D$1,[1]quests!$1:$1,0)-MATCH($C$1,[1]quests!$1:$1,0)+1),MATCH(D$1,[1]quests!$1:$1,0)-MATCH($C$1,[1]quests!$1:$1,0)+1,FALSE)</f>
        <v>5．ウォーターランド</v>
      </c>
      <c r="E61" s="29" t="str">
        <f ca="1">VLOOKUP($C61,OFFSET([1]quests!$A$1,0,0,COUNTA([1]quests!$A:$A),MATCH(E$1,[1]quests!$1:$1,0)-MATCH($C$1,[1]quests!$1:$1,0)+1),MATCH(E$1,[1]quests!$1:$1,0)-MATCH($C$1,[1]quests!$1:$1,0)+1,FALSE)</f>
        <v>青DL1</v>
      </c>
      <c r="F61" s="32">
        <v>4</v>
      </c>
      <c r="G61" s="34" t="str">
        <f t="shared" ref="G61:G62" si="29">C61&amp;"_"&amp;F61</f>
        <v>5_4</v>
      </c>
      <c r="H61" s="20" t="str">
        <f ca="1">VLOOKUP($G61,OFFSET([1]stages!$A$1,0,0,COUNTA([1]stages!$A:$A),MATCH(H$1,[1]stages!$2:$2,0)-MATCH($G$1,[1]stages!$2:$2,0)+1),MATCH(H$1,[1]stages!$2:$2,0)-MATCH($G$1,[1]stages!$2:$2,0)+1,FALSE)</f>
        <v>5-4. 【1回のみ】ボーナスステージ</v>
      </c>
      <c r="I61" s="32">
        <v>4</v>
      </c>
      <c r="J61" s="13">
        <v>45</v>
      </c>
      <c r="K61" s="13">
        <v>45</v>
      </c>
    </row>
    <row r="62" spans="1:11" ht="21" customHeight="1" x14ac:dyDescent="0.15">
      <c r="A62" s="21" t="str">
        <f t="shared" si="28"/>
        <v>5_4-5</v>
      </c>
      <c r="B62" s="21" t="str">
        <f>IF(COUNTIF(enemy_habitats_DL1!$H:$H,A62),"OK","NG")</f>
        <v>OK</v>
      </c>
      <c r="C62" s="32">
        <v>5</v>
      </c>
      <c r="D62" s="12" t="str">
        <f ca="1">VLOOKUP($C62,OFFSET([1]quests!$A$1,0,0,COUNTA([1]quests!$A:$A),MATCH(D$1,[1]quests!$1:$1,0)-MATCH($C$1,[1]quests!$1:$1,0)+1),MATCH(D$1,[1]quests!$1:$1,0)-MATCH($C$1,[1]quests!$1:$1,0)+1,FALSE)</f>
        <v>5．ウォーターランド</v>
      </c>
      <c r="E62" s="29" t="str">
        <f ca="1">VLOOKUP($C62,OFFSET([1]quests!$A$1,0,0,COUNTA([1]quests!$A:$A),MATCH(E$1,[1]quests!$1:$1,0)-MATCH($C$1,[1]quests!$1:$1,0)+1),MATCH(E$1,[1]quests!$1:$1,0)-MATCH($C$1,[1]quests!$1:$1,0)+1,FALSE)</f>
        <v>青DL1</v>
      </c>
      <c r="F62" s="32">
        <v>4</v>
      </c>
      <c r="G62" s="34" t="str">
        <f t="shared" si="29"/>
        <v>5_4</v>
      </c>
      <c r="H62" s="20" t="str">
        <f ca="1">VLOOKUP($G62,OFFSET([1]stages!$A$1,0,0,COUNTA([1]stages!$A:$A),MATCH(H$1,[1]stages!$2:$2,0)-MATCH($G$1,[1]stages!$2:$2,0)+1),MATCH(H$1,[1]stages!$2:$2,0)-MATCH($G$1,[1]stages!$2:$2,0)+1,FALSE)</f>
        <v>5-4. 【1回のみ】ボーナスステージ</v>
      </c>
      <c r="I62" s="32">
        <v>5</v>
      </c>
      <c r="J62" s="13">
        <v>60</v>
      </c>
      <c r="K62" s="13">
        <v>60</v>
      </c>
    </row>
    <row r="63" spans="1:11" ht="21" customHeight="1" x14ac:dyDescent="0.15">
      <c r="A63" s="21" t="str">
        <f t="shared" si="0"/>
        <v>6_1-1</v>
      </c>
      <c r="B63" s="21" t="str">
        <f>IF(COUNTIF(enemy_habitats_DL1!$H:$H,A63),"OK","NG")</f>
        <v>OK</v>
      </c>
      <c r="C63" s="32">
        <v>6</v>
      </c>
      <c r="D63" s="12" t="str">
        <f ca="1">VLOOKUP($C63,OFFSET([1]quests!$A$1,0,0,COUNTA([1]quests!$A:$A),MATCH(D$1,[1]quests!$1:$1,0)-MATCH($C$1,[1]quests!$1:$1,0)+1),MATCH(D$1,[1]quests!$1:$1,0)-MATCH($C$1,[1]quests!$1:$1,0)+1,FALSE)</f>
        <v>6．ドリームパーク</v>
      </c>
      <c r="E63" s="29" t="str">
        <f ca="1">VLOOKUP($C63,OFFSET([1]quests!$A$1,0,0,COUNTA([1]quests!$A:$A),MATCH(E$1,[1]quests!$1:$1,0)-MATCH($C$1,[1]quests!$1:$1,0)+1),MATCH(E$1,[1]quests!$1:$1,0)-MATCH($C$1,[1]quests!$1:$1,0)+1,FALSE)</f>
        <v>混色DL1</v>
      </c>
      <c r="F63" s="32">
        <v>1</v>
      </c>
      <c r="G63" s="34" t="str">
        <f t="shared" si="1"/>
        <v>6_1</v>
      </c>
      <c r="H63" s="20" t="str">
        <f ca="1">VLOOKUP($G63,OFFSET([1]stages!$A$1,0,0,COUNTA([1]stages!$A:$A),MATCH(H$1,[1]stages!$2:$2,0)-MATCH($G$1,[1]stages!$2:$2,0)+1),MATCH(H$1,[1]stages!$2:$2,0)-MATCH($G$1,[1]stages!$2:$2,0)+1,FALSE)</f>
        <v>6-1. 虚構の国</v>
      </c>
      <c r="I63" s="32">
        <v>1</v>
      </c>
      <c r="J63" s="13">
        <v>30</v>
      </c>
      <c r="K63" s="13">
        <v>45</v>
      </c>
    </row>
    <row r="64" spans="1:11" ht="21" customHeight="1" x14ac:dyDescent="0.15">
      <c r="A64" s="21" t="str">
        <f t="shared" si="0"/>
        <v>6_1-2</v>
      </c>
      <c r="B64" s="21" t="str">
        <f>IF(COUNTIF(enemy_habitats_DL1!$H:$H,A64),"OK","NG")</f>
        <v>OK</v>
      </c>
      <c r="C64" s="32">
        <v>6</v>
      </c>
      <c r="D64" s="12" t="str">
        <f ca="1">VLOOKUP($C64,OFFSET([1]quests!$A$1,0,0,COUNTA([1]quests!$A:$A),MATCH(D$1,[1]quests!$1:$1,0)-MATCH($C$1,[1]quests!$1:$1,0)+1),MATCH(D$1,[1]quests!$1:$1,0)-MATCH($C$1,[1]quests!$1:$1,0)+1,FALSE)</f>
        <v>6．ドリームパーク</v>
      </c>
      <c r="E64" s="29" t="str">
        <f ca="1">VLOOKUP($C64,OFFSET([1]quests!$A$1,0,0,COUNTA([1]quests!$A:$A),MATCH(E$1,[1]quests!$1:$1,0)-MATCH($C$1,[1]quests!$1:$1,0)+1),MATCH(E$1,[1]quests!$1:$1,0)-MATCH($C$1,[1]quests!$1:$1,0)+1,FALSE)</f>
        <v>混色DL1</v>
      </c>
      <c r="F64" s="32">
        <v>1</v>
      </c>
      <c r="G64" s="34" t="str">
        <f t="shared" si="1"/>
        <v>6_1</v>
      </c>
      <c r="H64" s="20" t="str">
        <f ca="1">VLOOKUP($G64,OFFSET([1]stages!$A$1,0,0,COUNTA([1]stages!$A:$A),MATCH(H$1,[1]stages!$2:$2,0)-MATCH($G$1,[1]stages!$2:$2,0)+1),MATCH(H$1,[1]stages!$2:$2,0)-MATCH($G$1,[1]stages!$2:$2,0)+1,FALSE)</f>
        <v>6-1. 虚構の国</v>
      </c>
      <c r="I64" s="32">
        <v>2</v>
      </c>
      <c r="J64" s="13">
        <v>30</v>
      </c>
      <c r="K64" s="13">
        <v>45</v>
      </c>
    </row>
    <row r="65" spans="1:11" ht="21" customHeight="1" x14ac:dyDescent="0.15">
      <c r="A65" s="21" t="str">
        <f t="shared" si="0"/>
        <v>6_1-3</v>
      </c>
      <c r="B65" s="21" t="str">
        <f>IF(COUNTIF(enemy_habitats_DL1!$H:$H,A65),"OK","NG")</f>
        <v>OK</v>
      </c>
      <c r="C65" s="32">
        <v>6</v>
      </c>
      <c r="D65" s="12" t="str">
        <f ca="1">VLOOKUP($C65,OFFSET([1]quests!$A$1,0,0,COUNTA([1]quests!$A:$A),MATCH(D$1,[1]quests!$1:$1,0)-MATCH($C$1,[1]quests!$1:$1,0)+1),MATCH(D$1,[1]quests!$1:$1,0)-MATCH($C$1,[1]quests!$1:$1,0)+1,FALSE)</f>
        <v>6．ドリームパーク</v>
      </c>
      <c r="E65" s="29" t="str">
        <f ca="1">VLOOKUP($C65,OFFSET([1]quests!$A$1,0,0,COUNTA([1]quests!$A:$A),MATCH(E$1,[1]quests!$1:$1,0)-MATCH($C$1,[1]quests!$1:$1,0)+1),MATCH(E$1,[1]quests!$1:$1,0)-MATCH($C$1,[1]quests!$1:$1,0)+1,FALSE)</f>
        <v>混色DL1</v>
      </c>
      <c r="F65" s="32">
        <v>1</v>
      </c>
      <c r="G65" s="34" t="str">
        <f t="shared" si="1"/>
        <v>6_1</v>
      </c>
      <c r="H65" s="20" t="str">
        <f ca="1">VLOOKUP($G65,OFFSET([1]stages!$A$1,0,0,COUNTA([1]stages!$A:$A),MATCH(H$1,[1]stages!$2:$2,0)-MATCH($G$1,[1]stages!$2:$2,0)+1),MATCH(H$1,[1]stages!$2:$2,0)-MATCH($G$1,[1]stages!$2:$2,0)+1,FALSE)</f>
        <v>6-1. 虚構の国</v>
      </c>
      <c r="I65" s="32">
        <v>3</v>
      </c>
      <c r="J65" s="13">
        <v>60</v>
      </c>
      <c r="K65" s="13">
        <v>60</v>
      </c>
    </row>
    <row r="66" spans="1:11" ht="21" customHeight="1" x14ac:dyDescent="0.15">
      <c r="A66" s="21" t="str">
        <f t="shared" si="0"/>
        <v>6_2-1</v>
      </c>
      <c r="B66" s="21" t="str">
        <f>IF(COUNTIF(enemy_habitats_DL1!$H:$H,A66),"OK","NG")</f>
        <v>OK</v>
      </c>
      <c r="C66" s="32">
        <v>6</v>
      </c>
      <c r="D66" s="12" t="str">
        <f ca="1">VLOOKUP($C66,OFFSET([1]quests!$A$1,0,0,COUNTA([1]quests!$A:$A),MATCH(D$1,[1]quests!$1:$1,0)-MATCH($C$1,[1]quests!$1:$1,0)+1),MATCH(D$1,[1]quests!$1:$1,0)-MATCH($C$1,[1]quests!$1:$1,0)+1,FALSE)</f>
        <v>6．ドリームパーク</v>
      </c>
      <c r="E66" s="29" t="str">
        <f ca="1">VLOOKUP($C66,OFFSET([1]quests!$A$1,0,0,COUNTA([1]quests!$A:$A),MATCH(E$1,[1]quests!$1:$1,0)-MATCH($C$1,[1]quests!$1:$1,0)+1),MATCH(E$1,[1]quests!$1:$1,0)-MATCH($C$1,[1]quests!$1:$1,0)+1,FALSE)</f>
        <v>混色DL1</v>
      </c>
      <c r="F66" s="32">
        <v>2</v>
      </c>
      <c r="G66" s="34" t="str">
        <f t="shared" si="1"/>
        <v>6_2</v>
      </c>
      <c r="H66" s="20" t="str">
        <f ca="1">VLOOKUP($G66,OFFSET([1]stages!$A$1,0,0,COUNTA([1]stages!$A:$A),MATCH(H$1,[1]stages!$2:$2,0)-MATCH($G$1,[1]stages!$2:$2,0)+1),MATCH(H$1,[1]stages!$2:$2,0)-MATCH($G$1,[1]stages!$2:$2,0)+1,FALSE)</f>
        <v>6-2. 夢の国の洗礼</v>
      </c>
      <c r="I66" s="32">
        <v>1</v>
      </c>
      <c r="J66" s="13">
        <v>30</v>
      </c>
      <c r="K66" s="13">
        <v>45</v>
      </c>
    </row>
    <row r="67" spans="1:11" ht="21" customHeight="1" x14ac:dyDescent="0.15">
      <c r="A67" s="21" t="str">
        <f t="shared" ref="A67:A72" si="30">G67&amp;"-"&amp;I67</f>
        <v>6_2-2</v>
      </c>
      <c r="B67" s="21" t="str">
        <f>IF(COUNTIF(enemy_habitats_DL1!$H:$H,A67),"OK","NG")</f>
        <v>OK</v>
      </c>
      <c r="C67" s="32">
        <v>6</v>
      </c>
      <c r="D67" s="12" t="str">
        <f ca="1">VLOOKUP($C67,OFFSET([1]quests!$A$1,0,0,COUNTA([1]quests!$A:$A),MATCH(D$1,[1]quests!$1:$1,0)-MATCH($C$1,[1]quests!$1:$1,0)+1),MATCH(D$1,[1]quests!$1:$1,0)-MATCH($C$1,[1]quests!$1:$1,0)+1,FALSE)</f>
        <v>6．ドリームパーク</v>
      </c>
      <c r="E67" s="29" t="str">
        <f ca="1">VLOOKUP($C67,OFFSET([1]quests!$A$1,0,0,COUNTA([1]quests!$A:$A),MATCH(E$1,[1]quests!$1:$1,0)-MATCH($C$1,[1]quests!$1:$1,0)+1),MATCH(E$1,[1]quests!$1:$1,0)-MATCH($C$1,[1]quests!$1:$1,0)+1,FALSE)</f>
        <v>混色DL1</v>
      </c>
      <c r="F67" s="32">
        <v>2</v>
      </c>
      <c r="G67" s="34" t="str">
        <f t="shared" ref="G67:G72" si="31">C67&amp;"_"&amp;F67</f>
        <v>6_2</v>
      </c>
      <c r="H67" s="20" t="str">
        <f ca="1">VLOOKUP($G67,OFFSET([1]stages!$A$1,0,0,COUNTA([1]stages!$A:$A),MATCH(H$1,[1]stages!$2:$2,0)-MATCH($G$1,[1]stages!$2:$2,0)+1),MATCH(H$1,[1]stages!$2:$2,0)-MATCH($G$1,[1]stages!$2:$2,0)+1,FALSE)</f>
        <v>6-2. 夢の国の洗礼</v>
      </c>
      <c r="I67" s="32">
        <v>2</v>
      </c>
      <c r="J67" s="13">
        <v>30</v>
      </c>
      <c r="K67" s="13">
        <v>45</v>
      </c>
    </row>
    <row r="68" spans="1:11" ht="21" customHeight="1" x14ac:dyDescent="0.15">
      <c r="A68" s="21" t="str">
        <f t="shared" si="30"/>
        <v>6_2-3</v>
      </c>
      <c r="B68" s="21" t="str">
        <f>IF(COUNTIF(enemy_habitats_DL1!$H:$H,A68),"OK","NG")</f>
        <v>OK</v>
      </c>
      <c r="C68" s="32">
        <v>6</v>
      </c>
      <c r="D68" s="12" t="str">
        <f ca="1">VLOOKUP($C68,OFFSET([1]quests!$A$1,0,0,COUNTA([1]quests!$A:$A),MATCH(D$1,[1]quests!$1:$1,0)-MATCH($C$1,[1]quests!$1:$1,0)+1),MATCH(D$1,[1]quests!$1:$1,0)-MATCH($C$1,[1]quests!$1:$1,0)+1,FALSE)</f>
        <v>6．ドリームパーク</v>
      </c>
      <c r="E68" s="29" t="str">
        <f ca="1">VLOOKUP($C68,OFFSET([1]quests!$A$1,0,0,COUNTA([1]quests!$A:$A),MATCH(E$1,[1]quests!$1:$1,0)-MATCH($C$1,[1]quests!$1:$1,0)+1),MATCH(E$1,[1]quests!$1:$1,0)-MATCH($C$1,[1]quests!$1:$1,0)+1,FALSE)</f>
        <v>混色DL1</v>
      </c>
      <c r="F68" s="32">
        <v>2</v>
      </c>
      <c r="G68" s="34" t="str">
        <f t="shared" si="31"/>
        <v>6_2</v>
      </c>
      <c r="H68" s="20" t="str">
        <f ca="1">VLOOKUP($G68,OFFSET([1]stages!$A$1,0,0,COUNTA([1]stages!$A:$A),MATCH(H$1,[1]stages!$2:$2,0)-MATCH($G$1,[1]stages!$2:$2,0)+1),MATCH(H$1,[1]stages!$2:$2,0)-MATCH($G$1,[1]stages!$2:$2,0)+1,FALSE)</f>
        <v>6-2. 夢の国の洗礼</v>
      </c>
      <c r="I68" s="32">
        <v>3</v>
      </c>
      <c r="J68" s="13">
        <v>45</v>
      </c>
      <c r="K68" s="13">
        <v>45</v>
      </c>
    </row>
    <row r="69" spans="1:11" ht="21" customHeight="1" x14ac:dyDescent="0.15">
      <c r="A69" s="21" t="str">
        <f t="shared" si="30"/>
        <v>6_2-4</v>
      </c>
      <c r="B69" s="21" t="str">
        <f>IF(COUNTIF(enemy_habitats_DL1!$H:$H,A69),"OK","NG")</f>
        <v>OK</v>
      </c>
      <c r="C69" s="32">
        <v>6</v>
      </c>
      <c r="D69" s="12" t="str">
        <f ca="1">VLOOKUP($C69,OFFSET([1]quests!$A$1,0,0,COUNTA([1]quests!$A:$A),MATCH(D$1,[1]quests!$1:$1,0)-MATCH($C$1,[1]quests!$1:$1,0)+1),MATCH(D$1,[1]quests!$1:$1,0)-MATCH($C$1,[1]quests!$1:$1,0)+1,FALSE)</f>
        <v>6．ドリームパーク</v>
      </c>
      <c r="E69" s="29" t="str">
        <f ca="1">VLOOKUP($C69,OFFSET([1]quests!$A$1,0,0,COUNTA([1]quests!$A:$A),MATCH(E$1,[1]quests!$1:$1,0)-MATCH($C$1,[1]quests!$1:$1,0)+1),MATCH(E$1,[1]quests!$1:$1,0)-MATCH($C$1,[1]quests!$1:$1,0)+1,FALSE)</f>
        <v>混色DL1</v>
      </c>
      <c r="F69" s="32">
        <v>2</v>
      </c>
      <c r="G69" s="34" t="str">
        <f t="shared" si="31"/>
        <v>6_2</v>
      </c>
      <c r="H69" s="20" t="str">
        <f ca="1">VLOOKUP($G69,OFFSET([1]stages!$A$1,0,0,COUNTA([1]stages!$A:$A),MATCH(H$1,[1]stages!$2:$2,0)-MATCH($G$1,[1]stages!$2:$2,0)+1),MATCH(H$1,[1]stages!$2:$2,0)-MATCH($G$1,[1]stages!$2:$2,0)+1,FALSE)</f>
        <v>6-2. 夢の国の洗礼</v>
      </c>
      <c r="I69" s="32">
        <v>4</v>
      </c>
      <c r="J69" s="13">
        <v>30</v>
      </c>
      <c r="K69" s="13">
        <v>30</v>
      </c>
    </row>
    <row r="70" spans="1:11" ht="21" customHeight="1" x14ac:dyDescent="0.15">
      <c r="A70" s="21" t="str">
        <f t="shared" si="30"/>
        <v>6_3-1</v>
      </c>
      <c r="B70" s="21" t="str">
        <f>IF(COUNTIF(enemy_habitats_DL1!$H:$H,A70),"OK","NG")</f>
        <v>OK</v>
      </c>
      <c r="C70" s="32">
        <v>6</v>
      </c>
      <c r="D70" s="12" t="str">
        <f ca="1">VLOOKUP($C70,OFFSET([1]quests!$A$1,0,0,COUNTA([1]quests!$A:$A),MATCH(D$1,[1]quests!$1:$1,0)-MATCH($C$1,[1]quests!$1:$1,0)+1),MATCH(D$1,[1]quests!$1:$1,0)-MATCH($C$1,[1]quests!$1:$1,0)+1,FALSE)</f>
        <v>6．ドリームパーク</v>
      </c>
      <c r="E70" s="29" t="str">
        <f ca="1">VLOOKUP($C70,OFFSET([1]quests!$A$1,0,0,COUNTA([1]quests!$A:$A),MATCH(E$1,[1]quests!$1:$1,0)-MATCH($C$1,[1]quests!$1:$1,0)+1),MATCH(E$1,[1]quests!$1:$1,0)-MATCH($C$1,[1]quests!$1:$1,0)+1,FALSE)</f>
        <v>混色DL1</v>
      </c>
      <c r="F70" s="32">
        <v>3</v>
      </c>
      <c r="G70" s="34" t="str">
        <f t="shared" si="31"/>
        <v>6_3</v>
      </c>
      <c r="H70" s="20" t="str">
        <f ca="1">VLOOKUP($G70,OFFSET([1]stages!$A$1,0,0,COUNTA([1]stages!$A:$A),MATCH(H$1,[1]stages!$2:$2,0)-MATCH($G$1,[1]stages!$2:$2,0)+1),MATCH(H$1,[1]stages!$2:$2,0)-MATCH($G$1,[1]stages!$2:$2,0)+1,FALSE)</f>
        <v>6-3. 正体不明のきぐるみ</v>
      </c>
      <c r="I70" s="32">
        <v>1</v>
      </c>
      <c r="J70" s="13">
        <v>45</v>
      </c>
      <c r="K70" s="13">
        <v>45</v>
      </c>
    </row>
    <row r="71" spans="1:11" ht="21" customHeight="1" x14ac:dyDescent="0.15">
      <c r="A71" s="21" t="str">
        <f t="shared" si="30"/>
        <v>6_3-2</v>
      </c>
      <c r="B71" s="21" t="str">
        <f>IF(COUNTIF(enemy_habitats_DL1!$H:$H,A71),"OK","NG")</f>
        <v>OK</v>
      </c>
      <c r="C71" s="32">
        <v>6</v>
      </c>
      <c r="D71" s="12" t="str">
        <f ca="1">VLOOKUP($C71,OFFSET([1]quests!$A$1,0,0,COUNTA([1]quests!$A:$A),MATCH(D$1,[1]quests!$1:$1,0)-MATCH($C$1,[1]quests!$1:$1,0)+1),MATCH(D$1,[1]quests!$1:$1,0)-MATCH($C$1,[1]quests!$1:$1,0)+1,FALSE)</f>
        <v>6．ドリームパーク</v>
      </c>
      <c r="E71" s="29" t="str">
        <f ca="1">VLOOKUP($C71,OFFSET([1]quests!$A$1,0,0,COUNTA([1]quests!$A:$A),MATCH(E$1,[1]quests!$1:$1,0)-MATCH($C$1,[1]quests!$1:$1,0)+1),MATCH(E$1,[1]quests!$1:$1,0)-MATCH($C$1,[1]quests!$1:$1,0)+1,FALSE)</f>
        <v>混色DL1</v>
      </c>
      <c r="F71" s="32">
        <v>3</v>
      </c>
      <c r="G71" s="34" t="str">
        <f t="shared" si="31"/>
        <v>6_3</v>
      </c>
      <c r="H71" s="20" t="str">
        <f ca="1">VLOOKUP($G71,OFFSET([1]stages!$A$1,0,0,COUNTA([1]stages!$A:$A),MATCH(H$1,[1]stages!$2:$2,0)-MATCH($G$1,[1]stages!$2:$2,0)+1),MATCH(H$1,[1]stages!$2:$2,0)-MATCH($G$1,[1]stages!$2:$2,0)+1,FALSE)</f>
        <v>6-3. 正体不明のきぐるみ</v>
      </c>
      <c r="I71" s="32">
        <v>2</v>
      </c>
      <c r="J71" s="13">
        <v>45</v>
      </c>
      <c r="K71" s="13">
        <v>45</v>
      </c>
    </row>
    <row r="72" spans="1:11" ht="21" customHeight="1" x14ac:dyDescent="0.15">
      <c r="A72" s="21" t="str">
        <f t="shared" si="30"/>
        <v>6_3-3</v>
      </c>
      <c r="B72" s="21" t="str">
        <f>IF(COUNTIF(enemy_habitats_DL1!$H:$H,A72),"OK","NG")</f>
        <v>OK</v>
      </c>
      <c r="C72" s="32">
        <v>6</v>
      </c>
      <c r="D72" s="12" t="str">
        <f ca="1">VLOOKUP($C72,OFFSET([1]quests!$A$1,0,0,COUNTA([1]quests!$A:$A),MATCH(D$1,[1]quests!$1:$1,0)-MATCH($C$1,[1]quests!$1:$1,0)+1),MATCH(D$1,[1]quests!$1:$1,0)-MATCH($C$1,[1]quests!$1:$1,0)+1,FALSE)</f>
        <v>6．ドリームパーク</v>
      </c>
      <c r="E72" s="29" t="str">
        <f ca="1">VLOOKUP($C72,OFFSET([1]quests!$A$1,0,0,COUNTA([1]quests!$A:$A),MATCH(E$1,[1]quests!$1:$1,0)-MATCH($C$1,[1]quests!$1:$1,0)+1),MATCH(E$1,[1]quests!$1:$1,0)-MATCH($C$1,[1]quests!$1:$1,0)+1,FALSE)</f>
        <v>混色DL1</v>
      </c>
      <c r="F72" s="32">
        <v>3</v>
      </c>
      <c r="G72" s="34" t="str">
        <f t="shared" si="31"/>
        <v>6_3</v>
      </c>
      <c r="H72" s="20" t="str">
        <f ca="1">VLOOKUP($G72,OFFSET([1]stages!$A$1,0,0,COUNTA([1]stages!$A:$A),MATCH(H$1,[1]stages!$2:$2,0)-MATCH($G$1,[1]stages!$2:$2,0)+1),MATCH(H$1,[1]stages!$2:$2,0)-MATCH($G$1,[1]stages!$2:$2,0)+1,FALSE)</f>
        <v>6-3. 正体不明のきぐるみ</v>
      </c>
      <c r="I72" s="32">
        <v>3</v>
      </c>
      <c r="J72" s="13">
        <v>45</v>
      </c>
      <c r="K72" s="13">
        <v>60</v>
      </c>
    </row>
    <row r="73" spans="1:11" ht="21" customHeight="1" x14ac:dyDescent="0.15">
      <c r="A73" s="21" t="str">
        <f t="shared" ref="A73" si="32">G73&amp;"-"&amp;I73</f>
        <v>6_3-4</v>
      </c>
      <c r="B73" s="21" t="str">
        <f>IF(COUNTIF(enemy_habitats_DL1!$H:$H,A73),"OK","NG")</f>
        <v>OK</v>
      </c>
      <c r="C73" s="32">
        <v>6</v>
      </c>
      <c r="D73" s="12" t="str">
        <f ca="1">VLOOKUP($C73,OFFSET([1]quests!$A$1,0,0,COUNTA([1]quests!$A:$A),MATCH(D$1,[1]quests!$1:$1,0)-MATCH($C$1,[1]quests!$1:$1,0)+1),MATCH(D$1,[1]quests!$1:$1,0)-MATCH($C$1,[1]quests!$1:$1,0)+1,FALSE)</f>
        <v>6．ドリームパーク</v>
      </c>
      <c r="E73" s="29" t="str">
        <f ca="1">VLOOKUP($C73,OFFSET([1]quests!$A$1,0,0,COUNTA([1]quests!$A:$A),MATCH(E$1,[1]quests!$1:$1,0)-MATCH($C$1,[1]quests!$1:$1,0)+1),MATCH(E$1,[1]quests!$1:$1,0)-MATCH($C$1,[1]quests!$1:$1,0)+1,FALSE)</f>
        <v>混色DL1</v>
      </c>
      <c r="F73" s="32">
        <v>3</v>
      </c>
      <c r="G73" s="34" t="str">
        <f t="shared" ref="G73" si="33">C73&amp;"_"&amp;F73</f>
        <v>6_3</v>
      </c>
      <c r="H73" s="20" t="str">
        <f ca="1">VLOOKUP($G73,OFFSET([1]stages!$A$1,0,0,COUNTA([1]stages!$A:$A),MATCH(H$1,[1]stages!$2:$2,0)-MATCH($G$1,[1]stages!$2:$2,0)+1),MATCH(H$1,[1]stages!$2:$2,0)-MATCH($G$1,[1]stages!$2:$2,0)+1,FALSE)</f>
        <v>6-3. 正体不明のきぐるみ</v>
      </c>
      <c r="I73" s="32">
        <v>4</v>
      </c>
      <c r="J73" s="13">
        <v>30</v>
      </c>
      <c r="K73" s="13">
        <v>30</v>
      </c>
    </row>
    <row r="74" spans="1:11" ht="21" customHeight="1" x14ac:dyDescent="0.15">
      <c r="A74" s="21" t="str">
        <f t="shared" ref="A74" si="34">G74&amp;"-"&amp;I74</f>
        <v>6_4-1</v>
      </c>
      <c r="B74" s="21" t="str">
        <f>IF(COUNTIF(enemy_habitats_DL1!$H:$H,A74),"OK","NG")</f>
        <v>OK</v>
      </c>
      <c r="C74" s="32">
        <v>6</v>
      </c>
      <c r="D74" s="12" t="str">
        <f ca="1">VLOOKUP($C74,OFFSET([1]quests!$A$1,0,0,COUNTA([1]quests!$A:$A),MATCH(D$1,[1]quests!$1:$1,0)-MATCH($C$1,[1]quests!$1:$1,0)+1),MATCH(D$1,[1]quests!$1:$1,0)-MATCH($C$1,[1]quests!$1:$1,0)+1,FALSE)</f>
        <v>6．ドリームパーク</v>
      </c>
      <c r="E74" s="29" t="str">
        <f ca="1">VLOOKUP($C74,OFFSET([1]quests!$A$1,0,0,COUNTA([1]quests!$A:$A),MATCH(E$1,[1]quests!$1:$1,0)-MATCH($C$1,[1]quests!$1:$1,0)+1),MATCH(E$1,[1]quests!$1:$1,0)-MATCH($C$1,[1]quests!$1:$1,0)+1,FALSE)</f>
        <v>混色DL1</v>
      </c>
      <c r="F74" s="32">
        <v>4</v>
      </c>
      <c r="G74" s="34" t="str">
        <f t="shared" ref="G74" si="35">C74&amp;"_"&amp;F74</f>
        <v>6_4</v>
      </c>
      <c r="H74" s="20" t="str">
        <f ca="1">VLOOKUP($G74,OFFSET([1]stages!$A$1,0,0,COUNTA([1]stages!$A:$A),MATCH(H$1,[1]stages!$2:$2,0)-MATCH($G$1,[1]stages!$2:$2,0)+1),MATCH(H$1,[1]stages!$2:$2,0)-MATCH($G$1,[1]stages!$2:$2,0)+1,FALSE)</f>
        <v>6-4. 悪夢へのスイッチ</v>
      </c>
      <c r="I74" s="32">
        <v>1</v>
      </c>
      <c r="J74" s="13">
        <v>45</v>
      </c>
      <c r="K74" s="13">
        <v>45</v>
      </c>
    </row>
    <row r="75" spans="1:11" ht="21" customHeight="1" x14ac:dyDescent="0.15">
      <c r="A75" s="21" t="str">
        <f t="shared" ref="A75:A76" si="36">G75&amp;"-"&amp;I75</f>
        <v>6_4-2</v>
      </c>
      <c r="B75" s="21" t="str">
        <f>IF(COUNTIF(enemy_habitats_DL1!$H:$H,A75),"OK","NG")</f>
        <v>OK</v>
      </c>
      <c r="C75" s="32">
        <v>6</v>
      </c>
      <c r="D75" s="12" t="str">
        <f ca="1">VLOOKUP($C75,OFFSET([1]quests!$A$1,0,0,COUNTA([1]quests!$A:$A),MATCH(D$1,[1]quests!$1:$1,0)-MATCH($C$1,[1]quests!$1:$1,0)+1),MATCH(D$1,[1]quests!$1:$1,0)-MATCH($C$1,[1]quests!$1:$1,0)+1,FALSE)</f>
        <v>6．ドリームパーク</v>
      </c>
      <c r="E75" s="29" t="str">
        <f ca="1">VLOOKUP($C75,OFFSET([1]quests!$A$1,0,0,COUNTA([1]quests!$A:$A),MATCH(E$1,[1]quests!$1:$1,0)-MATCH($C$1,[1]quests!$1:$1,0)+1),MATCH(E$1,[1]quests!$1:$1,0)-MATCH($C$1,[1]quests!$1:$1,0)+1,FALSE)</f>
        <v>混色DL1</v>
      </c>
      <c r="F75" s="32">
        <v>4</v>
      </c>
      <c r="G75" s="34" t="str">
        <f t="shared" ref="G75:G76" si="37">C75&amp;"_"&amp;F75</f>
        <v>6_4</v>
      </c>
      <c r="H75" s="20" t="str">
        <f ca="1">VLOOKUP($G75,OFFSET([1]stages!$A$1,0,0,COUNTA([1]stages!$A:$A),MATCH(H$1,[1]stages!$2:$2,0)-MATCH($G$1,[1]stages!$2:$2,0)+1),MATCH(H$1,[1]stages!$2:$2,0)-MATCH($G$1,[1]stages!$2:$2,0)+1,FALSE)</f>
        <v>6-4. 悪夢へのスイッチ</v>
      </c>
      <c r="I75" s="32">
        <v>2</v>
      </c>
      <c r="J75" s="13">
        <v>45</v>
      </c>
      <c r="K75" s="13">
        <v>60</v>
      </c>
    </row>
    <row r="76" spans="1:11" ht="21" customHeight="1" x14ac:dyDescent="0.15">
      <c r="A76" s="21" t="str">
        <f t="shared" si="36"/>
        <v>6_4-3</v>
      </c>
      <c r="B76" s="21" t="str">
        <f>IF(COUNTIF(enemy_habitats_DL1!$H:$H,A76),"OK","NG")</f>
        <v>OK</v>
      </c>
      <c r="C76" s="32">
        <v>6</v>
      </c>
      <c r="D76" s="12" t="str">
        <f ca="1">VLOOKUP($C76,OFFSET([1]quests!$A$1,0,0,COUNTA([1]quests!$A:$A),MATCH(D$1,[1]quests!$1:$1,0)-MATCH($C$1,[1]quests!$1:$1,0)+1),MATCH(D$1,[1]quests!$1:$1,0)-MATCH($C$1,[1]quests!$1:$1,0)+1,FALSE)</f>
        <v>6．ドリームパーク</v>
      </c>
      <c r="E76" s="29" t="str">
        <f ca="1">VLOOKUP($C76,OFFSET([1]quests!$A$1,0,0,COUNTA([1]quests!$A:$A),MATCH(E$1,[1]quests!$1:$1,0)-MATCH($C$1,[1]quests!$1:$1,0)+1),MATCH(E$1,[1]quests!$1:$1,0)-MATCH($C$1,[1]quests!$1:$1,0)+1,FALSE)</f>
        <v>混色DL1</v>
      </c>
      <c r="F76" s="32">
        <v>4</v>
      </c>
      <c r="G76" s="34" t="str">
        <f t="shared" si="37"/>
        <v>6_4</v>
      </c>
      <c r="H76" s="20" t="str">
        <f ca="1">VLOOKUP($G76,OFFSET([1]stages!$A$1,0,0,COUNTA([1]stages!$A:$A),MATCH(H$1,[1]stages!$2:$2,0)-MATCH($G$1,[1]stages!$2:$2,0)+1),MATCH(H$1,[1]stages!$2:$2,0)-MATCH($G$1,[1]stages!$2:$2,0)+1,FALSE)</f>
        <v>6-4. 悪夢へのスイッチ</v>
      </c>
      <c r="I76" s="32">
        <v>3</v>
      </c>
      <c r="J76" s="13">
        <v>45</v>
      </c>
      <c r="K76" s="13">
        <v>60</v>
      </c>
    </row>
    <row r="77" spans="1:11" ht="21" customHeight="1" x14ac:dyDescent="0.15">
      <c r="A77" s="21" t="str">
        <f t="shared" ref="A77:A80" si="38">G77&amp;"-"&amp;I77</f>
        <v>6_4-4</v>
      </c>
      <c r="B77" s="21" t="str">
        <f>IF(COUNTIF(enemy_habitats_DL1!$H:$H,A77),"OK","NG")</f>
        <v>OK</v>
      </c>
      <c r="C77" s="32">
        <v>6</v>
      </c>
      <c r="D77" s="12" t="str">
        <f ca="1">VLOOKUP($C77,OFFSET([1]quests!$A$1,0,0,COUNTA([1]quests!$A:$A),MATCH(D$1,[1]quests!$1:$1,0)-MATCH($C$1,[1]quests!$1:$1,0)+1),MATCH(D$1,[1]quests!$1:$1,0)-MATCH($C$1,[1]quests!$1:$1,0)+1,FALSE)</f>
        <v>6．ドリームパーク</v>
      </c>
      <c r="E77" s="29" t="str">
        <f ca="1">VLOOKUP($C77,OFFSET([1]quests!$A$1,0,0,COUNTA([1]quests!$A:$A),MATCH(E$1,[1]quests!$1:$1,0)-MATCH($C$1,[1]quests!$1:$1,0)+1),MATCH(E$1,[1]quests!$1:$1,0)-MATCH($C$1,[1]quests!$1:$1,0)+1,FALSE)</f>
        <v>混色DL1</v>
      </c>
      <c r="F77" s="32">
        <v>4</v>
      </c>
      <c r="G77" s="34" t="str">
        <f t="shared" ref="G77:G80" si="39">C77&amp;"_"&amp;F77</f>
        <v>6_4</v>
      </c>
      <c r="H77" s="20" t="str">
        <f ca="1">VLOOKUP($G77,OFFSET([1]stages!$A$1,0,0,COUNTA([1]stages!$A:$A),MATCH(H$1,[1]stages!$2:$2,0)-MATCH($G$1,[1]stages!$2:$2,0)+1),MATCH(H$1,[1]stages!$2:$2,0)-MATCH($G$1,[1]stages!$2:$2,0)+1,FALSE)</f>
        <v>6-4. 悪夢へのスイッチ</v>
      </c>
      <c r="I77" s="32">
        <v>4</v>
      </c>
      <c r="J77" s="13">
        <v>60</v>
      </c>
      <c r="K77" s="13">
        <v>60</v>
      </c>
    </row>
    <row r="78" spans="1:11" ht="21" customHeight="1" x14ac:dyDescent="0.15">
      <c r="A78" s="21" t="str">
        <f t="shared" si="38"/>
        <v>6_5-1</v>
      </c>
      <c r="B78" s="21" t="str">
        <f>IF(COUNTIF(enemy_habitats_DL1!$H:$H,A78),"OK","NG")</f>
        <v>OK</v>
      </c>
      <c r="C78" s="32">
        <v>6</v>
      </c>
      <c r="D78" s="12" t="str">
        <f ca="1">VLOOKUP($C78,OFFSET([1]quests!$A$1,0,0,COUNTA([1]quests!$A:$A),MATCH(D$1,[1]quests!$1:$1,0)-MATCH($C$1,[1]quests!$1:$1,0)+1),MATCH(D$1,[1]quests!$1:$1,0)-MATCH($C$1,[1]quests!$1:$1,0)+1,FALSE)</f>
        <v>6．ドリームパーク</v>
      </c>
      <c r="E78" s="29" t="str">
        <f ca="1">VLOOKUP($C78,OFFSET([1]quests!$A$1,0,0,COUNTA([1]quests!$A:$A),MATCH(E$1,[1]quests!$1:$1,0)-MATCH($C$1,[1]quests!$1:$1,0)+1),MATCH(E$1,[1]quests!$1:$1,0)-MATCH($C$1,[1]quests!$1:$1,0)+1,FALSE)</f>
        <v>混色DL1</v>
      </c>
      <c r="F78" s="32">
        <v>5</v>
      </c>
      <c r="G78" s="34" t="str">
        <f t="shared" si="39"/>
        <v>6_5</v>
      </c>
      <c r="H78" s="20" t="str">
        <f ca="1">VLOOKUP($G78,OFFSET([1]stages!$A$1,0,0,COUNTA([1]stages!$A:$A),MATCH(H$1,[1]stages!$2:$2,0)-MATCH($G$1,[1]stages!$2:$2,0)+1),MATCH(H$1,[1]stages!$2:$2,0)-MATCH($G$1,[1]stages!$2:$2,0)+1,FALSE)</f>
        <v>6-5. 来園者の末路</v>
      </c>
      <c r="I78" s="32">
        <v>1</v>
      </c>
      <c r="J78" s="13">
        <v>45</v>
      </c>
      <c r="K78" s="13">
        <v>45</v>
      </c>
    </row>
    <row r="79" spans="1:11" ht="21" customHeight="1" x14ac:dyDescent="0.15">
      <c r="A79" s="21" t="str">
        <f t="shared" si="38"/>
        <v>6_5-2</v>
      </c>
      <c r="B79" s="21" t="str">
        <f>IF(COUNTIF(enemy_habitats_DL1!$H:$H,A79),"OK","NG")</f>
        <v>OK</v>
      </c>
      <c r="C79" s="32">
        <v>6</v>
      </c>
      <c r="D79" s="12" t="str">
        <f ca="1">VLOOKUP($C79,OFFSET([1]quests!$A$1,0,0,COUNTA([1]quests!$A:$A),MATCH(D$1,[1]quests!$1:$1,0)-MATCH($C$1,[1]quests!$1:$1,0)+1),MATCH(D$1,[1]quests!$1:$1,0)-MATCH($C$1,[1]quests!$1:$1,0)+1,FALSE)</f>
        <v>6．ドリームパーク</v>
      </c>
      <c r="E79" s="29" t="str">
        <f ca="1">VLOOKUP($C79,OFFSET([1]quests!$A$1,0,0,COUNTA([1]quests!$A:$A),MATCH(E$1,[1]quests!$1:$1,0)-MATCH($C$1,[1]quests!$1:$1,0)+1),MATCH(E$1,[1]quests!$1:$1,0)-MATCH($C$1,[1]quests!$1:$1,0)+1,FALSE)</f>
        <v>混色DL1</v>
      </c>
      <c r="F79" s="32">
        <v>5</v>
      </c>
      <c r="G79" s="34" t="str">
        <f t="shared" si="39"/>
        <v>6_5</v>
      </c>
      <c r="H79" s="20" t="str">
        <f ca="1">VLOOKUP($G79,OFFSET([1]stages!$A$1,0,0,COUNTA([1]stages!$A:$A),MATCH(H$1,[1]stages!$2:$2,0)-MATCH($G$1,[1]stages!$2:$2,0)+1),MATCH(H$1,[1]stages!$2:$2,0)-MATCH($G$1,[1]stages!$2:$2,0)+1,FALSE)</f>
        <v>6-5. 来園者の末路</v>
      </c>
      <c r="I79" s="32">
        <v>2</v>
      </c>
      <c r="J79" s="13">
        <v>45</v>
      </c>
      <c r="K79" s="13">
        <v>60</v>
      </c>
    </row>
    <row r="80" spans="1:11" ht="21" customHeight="1" x14ac:dyDescent="0.15">
      <c r="A80" s="21" t="str">
        <f t="shared" si="38"/>
        <v>6_5-3</v>
      </c>
      <c r="B80" s="21" t="str">
        <f>IF(COUNTIF(enemy_habitats_DL1!$H:$H,A80),"OK","NG")</f>
        <v>OK</v>
      </c>
      <c r="C80" s="32">
        <v>6</v>
      </c>
      <c r="D80" s="12" t="str">
        <f ca="1">VLOOKUP($C80,OFFSET([1]quests!$A$1,0,0,COUNTA([1]quests!$A:$A),MATCH(D$1,[1]quests!$1:$1,0)-MATCH($C$1,[1]quests!$1:$1,0)+1),MATCH(D$1,[1]quests!$1:$1,0)-MATCH($C$1,[1]quests!$1:$1,0)+1,FALSE)</f>
        <v>6．ドリームパーク</v>
      </c>
      <c r="E80" s="29" t="str">
        <f ca="1">VLOOKUP($C80,OFFSET([1]quests!$A$1,0,0,COUNTA([1]quests!$A:$A),MATCH(E$1,[1]quests!$1:$1,0)-MATCH($C$1,[1]quests!$1:$1,0)+1),MATCH(E$1,[1]quests!$1:$1,0)-MATCH($C$1,[1]quests!$1:$1,0)+1,FALSE)</f>
        <v>混色DL1</v>
      </c>
      <c r="F80" s="32">
        <v>5</v>
      </c>
      <c r="G80" s="34" t="str">
        <f t="shared" si="39"/>
        <v>6_5</v>
      </c>
      <c r="H80" s="20" t="str">
        <f ca="1">VLOOKUP($G80,OFFSET([1]stages!$A$1,0,0,COUNTA([1]stages!$A:$A),MATCH(H$1,[1]stages!$2:$2,0)-MATCH($G$1,[1]stages!$2:$2,0)+1),MATCH(H$1,[1]stages!$2:$2,0)-MATCH($G$1,[1]stages!$2:$2,0)+1,FALSE)</f>
        <v>6-5. 来園者の末路</v>
      </c>
      <c r="I80" s="32">
        <v>3</v>
      </c>
      <c r="J80" s="13">
        <v>45</v>
      </c>
      <c r="K80" s="13">
        <v>60</v>
      </c>
    </row>
    <row r="81" spans="1:11" ht="21" customHeight="1" x14ac:dyDescent="0.15">
      <c r="A81" s="21" t="str">
        <f t="shared" ref="A81" si="40">G81&amp;"-"&amp;I81</f>
        <v>6_5-4</v>
      </c>
      <c r="B81" s="21" t="str">
        <f>IF(COUNTIF(enemy_habitats_DL1!$H:$H,A81),"OK","NG")</f>
        <v>OK</v>
      </c>
      <c r="C81" s="32">
        <v>6</v>
      </c>
      <c r="D81" s="12" t="str">
        <f ca="1">VLOOKUP($C81,OFFSET([1]quests!$A$1,0,0,COUNTA([1]quests!$A:$A),MATCH(D$1,[1]quests!$1:$1,0)-MATCH($C$1,[1]quests!$1:$1,0)+1),MATCH(D$1,[1]quests!$1:$1,0)-MATCH($C$1,[1]quests!$1:$1,0)+1,FALSE)</f>
        <v>6．ドリームパーク</v>
      </c>
      <c r="E81" s="29" t="str">
        <f ca="1">VLOOKUP($C81,OFFSET([1]quests!$A$1,0,0,COUNTA([1]quests!$A:$A),MATCH(E$1,[1]quests!$1:$1,0)-MATCH($C$1,[1]quests!$1:$1,0)+1),MATCH(E$1,[1]quests!$1:$1,0)-MATCH($C$1,[1]quests!$1:$1,0)+1,FALSE)</f>
        <v>混色DL1</v>
      </c>
      <c r="F81" s="32">
        <v>5</v>
      </c>
      <c r="G81" s="34" t="str">
        <f t="shared" ref="G81" si="41">C81&amp;"_"&amp;F81</f>
        <v>6_5</v>
      </c>
      <c r="H81" s="20" t="str">
        <f ca="1">VLOOKUP($G81,OFFSET([1]stages!$A$1,0,0,COUNTA([1]stages!$A:$A),MATCH(H$1,[1]stages!$2:$2,0)-MATCH($G$1,[1]stages!$2:$2,0)+1),MATCH(H$1,[1]stages!$2:$2,0)-MATCH($G$1,[1]stages!$2:$2,0)+1,FALSE)</f>
        <v>6-5. 来園者の末路</v>
      </c>
      <c r="I81" s="32">
        <v>4</v>
      </c>
      <c r="J81" s="13">
        <v>45</v>
      </c>
      <c r="K81" s="13">
        <v>45</v>
      </c>
    </row>
    <row r="82" spans="1:11" ht="21" customHeight="1" x14ac:dyDescent="0.15">
      <c r="A82" s="21" t="str">
        <f t="shared" ref="A82" si="42">G82&amp;"-"&amp;I82</f>
        <v>6_5-5</v>
      </c>
      <c r="B82" s="21" t="str">
        <f>IF(COUNTIF(enemy_habitats_DL1!$H:$H,A82),"OK","NG")</f>
        <v>OK</v>
      </c>
      <c r="C82" s="32">
        <v>6</v>
      </c>
      <c r="D82" s="12" t="str">
        <f ca="1">VLOOKUP($C82,OFFSET([1]quests!$A$1,0,0,COUNTA([1]quests!$A:$A),MATCH(D$1,[1]quests!$1:$1,0)-MATCH($C$1,[1]quests!$1:$1,0)+1),MATCH(D$1,[1]quests!$1:$1,0)-MATCH($C$1,[1]quests!$1:$1,0)+1,FALSE)</f>
        <v>6．ドリームパーク</v>
      </c>
      <c r="E82" s="29" t="str">
        <f ca="1">VLOOKUP($C82,OFFSET([1]quests!$A$1,0,0,COUNTA([1]quests!$A:$A),MATCH(E$1,[1]quests!$1:$1,0)-MATCH($C$1,[1]quests!$1:$1,0)+1),MATCH(E$1,[1]quests!$1:$1,0)-MATCH($C$1,[1]quests!$1:$1,0)+1,FALSE)</f>
        <v>混色DL1</v>
      </c>
      <c r="F82" s="32">
        <v>5</v>
      </c>
      <c r="G82" s="34" t="str">
        <f t="shared" ref="G82" si="43">C82&amp;"_"&amp;F82</f>
        <v>6_5</v>
      </c>
      <c r="H82" s="20" t="str">
        <f ca="1">VLOOKUP($G82,OFFSET([1]stages!$A$1,0,0,COUNTA([1]stages!$A:$A),MATCH(H$1,[1]stages!$2:$2,0)-MATCH($G$1,[1]stages!$2:$2,0)+1),MATCH(H$1,[1]stages!$2:$2,0)-MATCH($G$1,[1]stages!$2:$2,0)+1,FALSE)</f>
        <v>6-5. 来園者の末路</v>
      </c>
      <c r="I82" s="32">
        <v>5</v>
      </c>
      <c r="J82" s="13">
        <v>25</v>
      </c>
      <c r="K82" s="13">
        <v>25</v>
      </c>
    </row>
    <row r="83" spans="1:11" ht="21" customHeight="1" x14ac:dyDescent="0.15">
      <c r="A83" s="21" t="str">
        <f t="shared" ref="A83:A84" si="44">G83&amp;"-"&amp;I83</f>
        <v>6_6-1</v>
      </c>
      <c r="B83" s="21" t="str">
        <f>IF(COUNTIF(enemy_habitats_DL1!$H:$H,A83),"OK","NG")</f>
        <v>OK</v>
      </c>
      <c r="C83" s="32">
        <v>6</v>
      </c>
      <c r="D83" s="12" t="str">
        <f ca="1">VLOOKUP($C83,OFFSET([1]quests!$A$1,0,0,COUNTA([1]quests!$A:$A),MATCH(D$1,[1]quests!$1:$1,0)-MATCH($C$1,[1]quests!$1:$1,0)+1),MATCH(D$1,[1]quests!$1:$1,0)-MATCH($C$1,[1]quests!$1:$1,0)+1,FALSE)</f>
        <v>6．ドリームパーク</v>
      </c>
      <c r="E83" s="29" t="str">
        <f ca="1">VLOOKUP($C83,OFFSET([1]quests!$A$1,0,0,COUNTA([1]quests!$A:$A),MATCH(E$1,[1]quests!$1:$1,0)-MATCH($C$1,[1]quests!$1:$1,0)+1),MATCH(E$1,[1]quests!$1:$1,0)-MATCH($C$1,[1]quests!$1:$1,0)+1,FALSE)</f>
        <v>混色DL1</v>
      </c>
      <c r="F83" s="32">
        <v>6</v>
      </c>
      <c r="G83" s="34" t="str">
        <f t="shared" ref="G83:G84" si="45">C83&amp;"_"&amp;F83</f>
        <v>6_6</v>
      </c>
      <c r="H83" s="20" t="str">
        <f ca="1">VLOOKUP($G83,OFFSET([1]stages!$A$1,0,0,COUNTA([1]stages!$A:$A),MATCH(H$1,[1]stages!$2:$2,0)-MATCH($G$1,[1]stages!$2:$2,0)+1),MATCH(H$1,[1]stages!$2:$2,0)-MATCH($G$1,[1]stages!$2:$2,0)+1,FALSE)</f>
        <v>6-6. 【1回のみ】ボーナスステージ</v>
      </c>
      <c r="I83" s="32">
        <v>1</v>
      </c>
      <c r="J83" s="13">
        <v>45</v>
      </c>
      <c r="K83" s="13">
        <v>45</v>
      </c>
    </row>
    <row r="84" spans="1:11" ht="21" customHeight="1" x14ac:dyDescent="0.15">
      <c r="A84" s="21" t="str">
        <f t="shared" si="44"/>
        <v>6_6-2</v>
      </c>
      <c r="B84" s="21" t="str">
        <f>IF(COUNTIF(enemy_habitats_DL1!$H:$H,A84),"OK","NG")</f>
        <v>OK</v>
      </c>
      <c r="C84" s="32">
        <v>6</v>
      </c>
      <c r="D84" s="12" t="str">
        <f ca="1">VLOOKUP($C84,OFFSET([1]quests!$A$1,0,0,COUNTA([1]quests!$A:$A),MATCH(D$1,[1]quests!$1:$1,0)-MATCH($C$1,[1]quests!$1:$1,0)+1),MATCH(D$1,[1]quests!$1:$1,0)-MATCH($C$1,[1]quests!$1:$1,0)+1,FALSE)</f>
        <v>6．ドリームパーク</v>
      </c>
      <c r="E84" s="29" t="str">
        <f ca="1">VLOOKUP($C84,OFFSET([1]quests!$A$1,0,0,COUNTA([1]quests!$A:$A),MATCH(E$1,[1]quests!$1:$1,0)-MATCH($C$1,[1]quests!$1:$1,0)+1),MATCH(E$1,[1]quests!$1:$1,0)-MATCH($C$1,[1]quests!$1:$1,0)+1,FALSE)</f>
        <v>混色DL1</v>
      </c>
      <c r="F84" s="32">
        <v>6</v>
      </c>
      <c r="G84" s="34" t="str">
        <f t="shared" si="45"/>
        <v>6_6</v>
      </c>
      <c r="H84" s="20" t="str">
        <f ca="1">VLOOKUP($G84,OFFSET([1]stages!$A$1,0,0,COUNTA([1]stages!$A:$A),MATCH(H$1,[1]stages!$2:$2,0)-MATCH($G$1,[1]stages!$2:$2,0)+1),MATCH(H$1,[1]stages!$2:$2,0)-MATCH($G$1,[1]stages!$2:$2,0)+1,FALSE)</f>
        <v>6-6. 【1回のみ】ボーナスステージ</v>
      </c>
      <c r="I84" s="32">
        <v>2</v>
      </c>
      <c r="J84" s="13">
        <v>45</v>
      </c>
      <c r="K84" s="13">
        <v>45</v>
      </c>
    </row>
    <row r="85" spans="1:11" ht="21" customHeight="1" x14ac:dyDescent="0.15">
      <c r="A85" s="21" t="str">
        <f t="shared" ref="A85" si="46">G85&amp;"-"&amp;I85</f>
        <v>6_6-3</v>
      </c>
      <c r="B85" s="21" t="str">
        <f>IF(COUNTIF(enemy_habitats_DL1!$H:$H,A85),"OK","NG")</f>
        <v>OK</v>
      </c>
      <c r="C85" s="32">
        <v>6</v>
      </c>
      <c r="D85" s="12" t="str">
        <f ca="1">VLOOKUP($C85,OFFSET([1]quests!$A$1,0,0,COUNTA([1]quests!$A:$A),MATCH(D$1,[1]quests!$1:$1,0)-MATCH($C$1,[1]quests!$1:$1,0)+1),MATCH(D$1,[1]quests!$1:$1,0)-MATCH($C$1,[1]quests!$1:$1,0)+1,FALSE)</f>
        <v>6．ドリームパーク</v>
      </c>
      <c r="E85" s="29" t="str">
        <f ca="1">VLOOKUP($C85,OFFSET([1]quests!$A$1,0,0,COUNTA([1]quests!$A:$A),MATCH(E$1,[1]quests!$1:$1,0)-MATCH($C$1,[1]quests!$1:$1,0)+1),MATCH(E$1,[1]quests!$1:$1,0)-MATCH($C$1,[1]quests!$1:$1,0)+1,FALSE)</f>
        <v>混色DL1</v>
      </c>
      <c r="F85" s="32">
        <v>6</v>
      </c>
      <c r="G85" s="34" t="str">
        <f t="shared" ref="G85" si="47">C85&amp;"_"&amp;F85</f>
        <v>6_6</v>
      </c>
      <c r="H85" s="20" t="str">
        <f ca="1">VLOOKUP($G85,OFFSET([1]stages!$A$1,0,0,COUNTA([1]stages!$A:$A),MATCH(H$1,[1]stages!$2:$2,0)-MATCH($G$1,[1]stages!$2:$2,0)+1),MATCH(H$1,[1]stages!$2:$2,0)-MATCH($G$1,[1]stages!$2:$2,0)+1,FALSE)</f>
        <v>6-6. 【1回のみ】ボーナスステージ</v>
      </c>
      <c r="I85" s="32">
        <v>3</v>
      </c>
      <c r="J85" s="13">
        <v>45</v>
      </c>
      <c r="K85" s="13">
        <v>45</v>
      </c>
    </row>
    <row r="86" spans="1:11" ht="21" customHeight="1" x14ac:dyDescent="0.15">
      <c r="A86" s="21" t="str">
        <f t="shared" ref="A86:A87" si="48">G86&amp;"-"&amp;I86</f>
        <v>6_6-4</v>
      </c>
      <c r="B86" s="21" t="str">
        <f>IF(COUNTIF(enemy_habitats_DL1!$H:$H,A86),"OK","NG")</f>
        <v>OK</v>
      </c>
      <c r="C86" s="32">
        <v>6</v>
      </c>
      <c r="D86" s="12" t="str">
        <f ca="1">VLOOKUP($C86,OFFSET([1]quests!$A$1,0,0,COUNTA([1]quests!$A:$A),MATCH(D$1,[1]quests!$1:$1,0)-MATCH($C$1,[1]quests!$1:$1,0)+1),MATCH(D$1,[1]quests!$1:$1,0)-MATCH($C$1,[1]quests!$1:$1,0)+1,FALSE)</f>
        <v>6．ドリームパーク</v>
      </c>
      <c r="E86" s="29" t="str">
        <f ca="1">VLOOKUP($C86,OFFSET([1]quests!$A$1,0,0,COUNTA([1]quests!$A:$A),MATCH(E$1,[1]quests!$1:$1,0)-MATCH($C$1,[1]quests!$1:$1,0)+1),MATCH(E$1,[1]quests!$1:$1,0)-MATCH($C$1,[1]quests!$1:$1,0)+1,FALSE)</f>
        <v>混色DL1</v>
      </c>
      <c r="F86" s="32">
        <v>6</v>
      </c>
      <c r="G86" s="34" t="str">
        <f t="shared" ref="G86:G87" si="49">C86&amp;"_"&amp;F86</f>
        <v>6_6</v>
      </c>
      <c r="H86" s="20" t="str">
        <f ca="1">VLOOKUP($G86,OFFSET([1]stages!$A$1,0,0,COUNTA([1]stages!$A:$A),MATCH(H$1,[1]stages!$2:$2,0)-MATCH($G$1,[1]stages!$2:$2,0)+1),MATCH(H$1,[1]stages!$2:$2,0)-MATCH($G$1,[1]stages!$2:$2,0)+1,FALSE)</f>
        <v>6-6. 【1回のみ】ボーナスステージ</v>
      </c>
      <c r="I86" s="32">
        <v>4</v>
      </c>
      <c r="J86" s="13">
        <v>60</v>
      </c>
      <c r="K86" s="13">
        <v>60</v>
      </c>
    </row>
    <row r="87" spans="1:11" ht="21" customHeight="1" x14ac:dyDescent="0.15">
      <c r="A87" s="21" t="str">
        <f t="shared" si="48"/>
        <v>6_6-5</v>
      </c>
      <c r="B87" s="21" t="str">
        <f>IF(COUNTIF(enemy_habitats_DL1!$H:$H,A87),"OK","NG")</f>
        <v>OK</v>
      </c>
      <c r="C87" s="32">
        <v>6</v>
      </c>
      <c r="D87" s="12" t="str">
        <f ca="1">VLOOKUP($C87,OFFSET([1]quests!$A$1,0,0,COUNTA([1]quests!$A:$A),MATCH(D$1,[1]quests!$1:$1,0)-MATCH($C$1,[1]quests!$1:$1,0)+1),MATCH(D$1,[1]quests!$1:$1,0)-MATCH($C$1,[1]quests!$1:$1,0)+1,FALSE)</f>
        <v>6．ドリームパーク</v>
      </c>
      <c r="E87" s="29" t="str">
        <f ca="1">VLOOKUP($C87,OFFSET([1]quests!$A$1,0,0,COUNTA([1]quests!$A:$A),MATCH(E$1,[1]quests!$1:$1,0)-MATCH($C$1,[1]quests!$1:$1,0)+1),MATCH(E$1,[1]quests!$1:$1,0)-MATCH($C$1,[1]quests!$1:$1,0)+1,FALSE)</f>
        <v>混色DL1</v>
      </c>
      <c r="F87" s="32">
        <v>6</v>
      </c>
      <c r="G87" s="34" t="str">
        <f t="shared" si="49"/>
        <v>6_6</v>
      </c>
      <c r="H87" s="20" t="str">
        <f ca="1">VLOOKUP($G87,OFFSET([1]stages!$A$1,0,0,COUNTA([1]stages!$A:$A),MATCH(H$1,[1]stages!$2:$2,0)-MATCH($G$1,[1]stages!$2:$2,0)+1),MATCH(H$1,[1]stages!$2:$2,0)-MATCH($G$1,[1]stages!$2:$2,0)+1,FALSE)</f>
        <v>6-6. 【1回のみ】ボーナスステージ</v>
      </c>
      <c r="I87" s="32">
        <v>5</v>
      </c>
      <c r="J87" s="13">
        <v>60</v>
      </c>
      <c r="K87" s="13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298"/>
  <sheetViews>
    <sheetView showGridLines="0" zoomScale="75" zoomScaleNormal="75" zoomScalePageLayoutView="75" workbookViewId="0">
      <pane xSplit="14" ySplit="1" topLeftCell="R2" activePane="bottomRight" state="frozen"/>
      <selection pane="topRight" activeCell="N1" sqref="N1"/>
      <selection pane="bottomLeft" activeCell="A2" sqref="A2"/>
      <selection pane="bottomRight" activeCell="T2" sqref="T2:W2"/>
    </sheetView>
  </sheetViews>
  <sheetFormatPr baseColWidth="12" defaultColWidth="13" defaultRowHeight="21" customHeight="1" outlineLevelCol="1" x14ac:dyDescent="0.15"/>
  <cols>
    <col min="1" max="1" width="14.1640625" style="30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5" width="15.6640625" style="4" customWidth="1" outlineLevel="1"/>
    <col min="6" max="6" width="19.6640625" style="4" bestFit="1" customWidth="1" outlineLevel="1"/>
    <col min="7" max="7" width="11.83203125" style="4" bestFit="1" customWidth="1"/>
    <col min="8" max="8" width="12.33203125" style="4" customWidth="1"/>
    <col min="9" max="9" width="15.33203125" style="10" bestFit="1" customWidth="1" collapsed="1"/>
    <col min="10" max="10" width="17.6640625" style="4" hidden="1" customWidth="1" outlineLevel="1"/>
    <col min="11" max="11" width="10.33203125" style="4" hidden="1" customWidth="1" outlineLevel="1"/>
    <col min="12" max="12" width="13.6640625" style="4" hidden="1" customWidth="1" outlineLevel="1"/>
    <col min="13" max="13" width="22.83203125" style="4" hidden="1" customWidth="1" outlineLevel="1"/>
    <col min="14" max="14" width="11.6640625" style="4" hidden="1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26.6640625" style="4" bestFit="1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4" customWidth="1" outlineLevel="1"/>
    <col min="27" max="28" width="13.6640625" style="15" customWidth="1" outlineLevel="1"/>
    <col min="29" max="29" width="16.83203125" style="11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21" t="s">
        <v>29</v>
      </c>
      <c r="B1" s="1" t="s">
        <v>0</v>
      </c>
      <c r="C1" s="1" t="s">
        <v>1</v>
      </c>
      <c r="D1" s="20" t="s">
        <v>28</v>
      </c>
      <c r="E1" s="2" t="s">
        <v>20</v>
      </c>
      <c r="F1" s="2" t="s">
        <v>20</v>
      </c>
      <c r="G1" s="1" t="s">
        <v>19</v>
      </c>
      <c r="H1" s="20" t="s">
        <v>37</v>
      </c>
      <c r="I1" s="1" t="s">
        <v>2</v>
      </c>
      <c r="J1" s="25" t="s">
        <v>21</v>
      </c>
      <c r="K1" s="20" t="s">
        <v>24</v>
      </c>
      <c r="L1" s="20" t="s">
        <v>23</v>
      </c>
      <c r="M1" s="27" t="s">
        <v>26</v>
      </c>
      <c r="N1" s="2" t="s">
        <v>25</v>
      </c>
      <c r="O1" s="1" t="s">
        <v>3</v>
      </c>
      <c r="P1" s="42" t="s">
        <v>49</v>
      </c>
      <c r="Q1" s="42" t="s">
        <v>50</v>
      </c>
      <c r="R1" s="42" t="s">
        <v>51</v>
      </c>
      <c r="S1" s="20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2" t="s">
        <v>16</v>
      </c>
      <c r="AA1" s="22" t="s">
        <v>17</v>
      </c>
      <c r="AB1" s="22" t="s">
        <v>27</v>
      </c>
      <c r="AC1" s="3" t="s">
        <v>10</v>
      </c>
      <c r="AD1" s="1" t="s">
        <v>11</v>
      </c>
      <c r="AE1" s="1" t="s">
        <v>12</v>
      </c>
      <c r="AF1" s="37" t="s">
        <v>39</v>
      </c>
      <c r="AG1" s="37" t="s">
        <v>40</v>
      </c>
      <c r="AH1" s="37" t="s">
        <v>41</v>
      </c>
      <c r="AI1" s="37" t="s">
        <v>42</v>
      </c>
      <c r="AJ1" s="37" t="s">
        <v>43</v>
      </c>
    </row>
    <row r="2" spans="1:36" ht="21" customHeight="1" x14ac:dyDescent="0.15">
      <c r="A2" s="21" t="e">
        <f ca="1">B2&amp;"_"&amp;C2&amp;"-"&amp;G2&amp;"/"&amp;I2&amp;"&lt;lv"&amp;O2&amp;"&gt;s"&amp;X2</f>
        <v>#N/A</v>
      </c>
      <c r="B2" s="33">
        <v>2</v>
      </c>
      <c r="C2" s="32">
        <v>1</v>
      </c>
      <c r="D2" s="2" t="str">
        <f t="shared" ref="D2:D32" si="0">B2&amp;"_"&amp;C2</f>
        <v>2_1</v>
      </c>
      <c r="E2" s="5" t="str">
        <f ca="1">VLOOKUP($B2,OFFSET([1]quests!$A$1,0,0,COUNTA([1]quests!$A:$A),MATCH(E$1,[1]quests!$1:$1,0)-MATCH($B$1,[1]quests!$1:$1,0)+1),MATCH(E$1,[1]quests!$1:$1,0)-MATCH($B$1,[1]quests!$1:$1,0)+1,FALSE)</f>
        <v>2．火之柄神社</v>
      </c>
      <c r="F2" s="5" t="str">
        <f ca="1">VLOOKUP($D2,OFFSET([1]stages!$A$1,0,0,COUNTA([1]stages!$A:$A),MATCH(F$1,[1]stages!$2:$2,0)-MATCH($D$1,[1]stages!$2:$2,0)+1),MATCH(F$1,[1]stages!$2:$2,0)-MATCH($D$1,[1]stages!$2:$2,0)+1,FALSE)</f>
        <v>2-1. 悪戯な炎</v>
      </c>
      <c r="G2" s="32">
        <v>1</v>
      </c>
      <c r="H2" s="20" t="str">
        <f t="shared" ref="H2:H32" si="1">B2&amp;"_"&amp;C2&amp;"-"&amp;G2</f>
        <v>2_1-1</v>
      </c>
      <c r="I2" s="31">
        <v>1</v>
      </c>
      <c r="J2" s="26" t="e">
        <f ca="1">VLOOKUP($I2,OFFSET([2]enemies!$A$1,0,0,COUNTA([2]enemies!$A:$A),MATCH(J$1,[2]enemies!$2:$2,0)-MATCH($I$1,[2]enemies!$2:$2,0)+1),MATCH(J$1,[2]enemies!$2:$2,0)-MATCH($I$1,[2]enemies!$2:$2,0)+1,FALSE)</f>
        <v>#N/A</v>
      </c>
      <c r="K2" s="29" t="e">
        <f ca="1">VLOOKUP($I2,OFFSET([2]enemies!$A$1,0,0,COUNTA([2]enemies!$A:$A),MATCH(K$1,[2]enemies!$2:$2,0)-MATCH($I$1,[2]enemies!$2:$2,0)+1),MATCH(K$1,[2]enemies!$2:$2,0)-MATCH($I$1,[2]enemies!$2:$2,0)+1,FALSE)</f>
        <v>#N/A</v>
      </c>
      <c r="L2" s="29" t="e">
        <f ca="1">VLOOKUP($I2,OFFSET([3]characters!$A$1,0,0,COUNTA([3]characters!$A:$A),MATCH(L$1,[3]characters!$2:$2,0)-MATCH($I$1,[3]characters!$2:$2,0)+1),MATCH(L$1,[3]characters!$2:$2,0)-MATCH($I$1,[3]characters!$2:$2,0)+1,FALSE)</f>
        <v>#N/A</v>
      </c>
      <c r="M2" s="28" t="e">
        <f ca="1">VLOOKUP($I2,OFFSET([3]characters!$A$1,0,0,COUNTA([3]characters!$A:$A),MATCH(M$1,[3]characters!$2:$2,0)-MATCH($I$1,[3]characters!$2:$2,0)+2),MATCH(M$1,[3]characters!$2:$2,0)-MATCH($I$1,[3]characters!$2:$2,0)+2,FALSE)</f>
        <v>#N/A</v>
      </c>
      <c r="N2" s="5" t="e">
        <f ca="1">VLOOKUP($I2,OFFSET([2]enemies!$A$1,0,0,COUNTA([2]enemies!$A:$A),MATCH(N$1,[2]enemies!$2:$2,0)-MATCH($I$1,[2]enemies!$2:$2,0)+1),MATCH(N$1,[2]enemies!$2:$2,0)-MATCH($I$1,[2]enemies!$2:$2,0)+1,FALSE)</f>
        <v>#N/A</v>
      </c>
      <c r="O2" s="6">
        <v>1</v>
      </c>
      <c r="P2" s="43">
        <v>1</v>
      </c>
      <c r="Q2" s="43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2" s="5">
        <v>560001</v>
      </c>
      <c r="U2" s="7">
        <v>1</v>
      </c>
      <c r="V2" s="7">
        <v>100</v>
      </c>
      <c r="W2" s="7">
        <v>1</v>
      </c>
      <c r="X2" s="26" t="e">
        <f ca="1">VLOOKUP($I2,OFFSET([2]enemies!$A$1,0,0,COUNTA([2]enemies!$A:$A),MATCH(X$1,[2]enemies!$2:$2,0)-MATCH($I$1,[2]enemies!$2:$2,0)+1),MATCH(X$1,[2]enemies!$2:$2,0)-MATCH($I$1,[2]enemies!$2:$2,0)+1,FALSE)</f>
        <v>#N/A</v>
      </c>
      <c r="Y2" s="31">
        <v>1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/>
      </c>
      <c r="AA2" s="5" t="str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/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/>
      </c>
      <c r="AC2" s="8">
        <v>1</v>
      </c>
      <c r="AD2" s="8" t="str">
        <f ca="1">AA2</f>
        <v/>
      </c>
      <c r="AE2" s="9">
        <v>40</v>
      </c>
      <c r="AF2" s="38">
        <v>0</v>
      </c>
      <c r="AG2" s="38">
        <v>0</v>
      </c>
      <c r="AH2" s="38">
        <v>0</v>
      </c>
      <c r="AI2" s="38">
        <v>0</v>
      </c>
      <c r="AJ2" s="38">
        <v>1</v>
      </c>
    </row>
    <row r="3" spans="1:36" ht="21" customHeight="1" x14ac:dyDescent="0.15">
      <c r="A3" s="21" t="e">
        <f t="shared" ref="A3:A102" ca="1" si="2">B3&amp;"_"&amp;C3&amp;"-"&amp;G3&amp;"/"&amp;I3&amp;"&lt;lv"&amp;O3&amp;"&gt;s"&amp;X3</f>
        <v>#N/A</v>
      </c>
      <c r="B3" s="33">
        <v>2</v>
      </c>
      <c r="C3" s="32">
        <v>1</v>
      </c>
      <c r="D3" s="2" t="str">
        <f t="shared" si="0"/>
        <v>2_1</v>
      </c>
      <c r="E3" s="5" t="str">
        <f ca="1">VLOOKUP($B3,OFFSET([1]quests!$A$1,0,0,COUNTA([1]quests!$A:$A),MATCH(E$1,[1]quests!$1:$1,0)-MATCH($B$1,[1]quests!$1:$1,0)+1),MATCH(E$1,[1]quests!$1:$1,0)-MATCH($B$1,[1]quests!$1:$1,0)+1,FALSE)</f>
        <v>2．火之柄神社</v>
      </c>
      <c r="F3" s="5" t="str">
        <f ca="1">VLOOKUP($D3,OFFSET([1]stages!$A$1,0,0,COUNTA([1]stages!$A:$A),MATCH(F$1,[1]stages!$2:$2,0)-MATCH($D$1,[1]stages!$2:$2,0)+1),MATCH(F$1,[1]stages!$2:$2,0)-MATCH($D$1,[1]stages!$2:$2,0)+1,FALSE)</f>
        <v>2-1. 悪戯な炎</v>
      </c>
      <c r="G3" s="32">
        <v>1</v>
      </c>
      <c r="H3" s="20" t="str">
        <f t="shared" si="1"/>
        <v>2_1-1</v>
      </c>
      <c r="I3" s="31">
        <v>9</v>
      </c>
      <c r="J3" s="26" t="e">
        <f ca="1">VLOOKUP($I3,OFFSET([2]enemies!$A$1,0,0,COUNTA([2]enemies!$A:$A),MATCH(J$1,[2]enemies!$2:$2,0)-MATCH($I$1,[2]enemies!$2:$2,0)+1),MATCH(J$1,[2]enemies!$2:$2,0)-MATCH($I$1,[2]enemies!$2:$2,0)+1,FALSE)</f>
        <v>#N/A</v>
      </c>
      <c r="K3" s="29" t="e">
        <f ca="1">VLOOKUP($I3,OFFSET([2]enemies!$A$1,0,0,COUNTA([2]enemies!$A:$A),MATCH(K$1,[2]enemies!$2:$2,0)-MATCH($I$1,[2]enemies!$2:$2,0)+1),MATCH(K$1,[2]enemies!$2:$2,0)-MATCH($I$1,[2]enemies!$2:$2,0)+1,FALSE)</f>
        <v>#N/A</v>
      </c>
      <c r="L3" s="29" t="e">
        <f ca="1">VLOOKUP($I3,OFFSET([3]characters!$A$1,0,0,COUNTA([3]characters!$A:$A),MATCH(L$1,[3]characters!$2:$2,0)-MATCH($I$1,[3]characters!$2:$2,0)+1),MATCH(L$1,[3]characters!$2:$2,0)-MATCH($I$1,[3]characters!$2:$2,0)+1,FALSE)</f>
        <v>#N/A</v>
      </c>
      <c r="M3" s="28" t="e">
        <f ca="1">VLOOKUP($I3,OFFSET([3]characters!$A$1,0,0,COUNTA([3]characters!$A:$A),MATCH(M$1,[3]characters!$2:$2,0)-MATCH($I$1,[3]characters!$2:$2,0)+2),MATCH(M$1,[3]characters!$2:$2,0)-MATCH($I$1,[3]characters!$2:$2,0)+2,FALSE)</f>
        <v>#N/A</v>
      </c>
      <c r="N3" s="5" t="e">
        <f ca="1">VLOOKUP($I3,OFFSET([2]enemies!$A$1,0,0,COUNTA([2]enemies!$A:$A),MATCH(N$1,[2]enemies!$2:$2,0)-MATCH($I$1,[2]enemies!$2:$2,0)+1),MATCH(N$1,[2]enemies!$2:$2,0)-MATCH($I$1,[2]enemies!$2:$2,0)+1,FALSE)</f>
        <v>#N/A</v>
      </c>
      <c r="O3" s="6">
        <v>1</v>
      </c>
      <c r="P3" s="43">
        <v>1</v>
      </c>
      <c r="Q3" s="43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v>0</v>
      </c>
      <c r="U3" s="7">
        <v>0</v>
      </c>
      <c r="V3" s="7">
        <v>100</v>
      </c>
      <c r="W3" s="7">
        <v>0</v>
      </c>
      <c r="X3" s="26" t="e">
        <f ca="1">VLOOKUP($I3,OFFSET([2]enemies!$A$1,0,0,COUNTA([2]enemies!$A:$A),MATCH(X$1,[2]enemies!$2:$2,0)-MATCH($I$1,[2]enemies!$2:$2,0)+1),MATCH(X$1,[2]enemies!$2:$2,0)-MATCH($I$1,[2]enemies!$2:$2,0)+1,FALSE)</f>
        <v>#N/A</v>
      </c>
      <c r="Y3" s="31">
        <v>9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/>
      </c>
      <c r="AA3" s="5" t="str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/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/>
      </c>
      <c r="AC3" s="8">
        <v>1</v>
      </c>
      <c r="AD3" s="8" t="str">
        <f t="shared" ref="AD3:AD67" ca="1" si="3">AA3</f>
        <v/>
      </c>
      <c r="AE3" s="9">
        <v>40</v>
      </c>
      <c r="AF3" s="38">
        <v>0</v>
      </c>
      <c r="AG3" s="38">
        <v>0</v>
      </c>
      <c r="AH3" s="38">
        <v>0</v>
      </c>
      <c r="AI3" s="38">
        <v>0</v>
      </c>
      <c r="AJ3" s="38">
        <v>1</v>
      </c>
    </row>
    <row r="4" spans="1:36" ht="21" customHeight="1" x14ac:dyDescent="0.15">
      <c r="A4" s="21" t="e">
        <f t="shared" ca="1" si="2"/>
        <v>#N/A</v>
      </c>
      <c r="B4" s="33">
        <v>2</v>
      </c>
      <c r="C4" s="32">
        <v>1</v>
      </c>
      <c r="D4" s="2" t="str">
        <f t="shared" si="0"/>
        <v>2_1</v>
      </c>
      <c r="E4" s="5" t="str">
        <f ca="1">VLOOKUP($B4,OFFSET([1]quests!$A$1,0,0,COUNTA([1]quests!$A:$A),MATCH(E$1,[1]quests!$1:$1,0)-MATCH($B$1,[1]quests!$1:$1,0)+1),MATCH(E$1,[1]quests!$1:$1,0)-MATCH($B$1,[1]quests!$1:$1,0)+1,FALSE)</f>
        <v>2．火之柄神社</v>
      </c>
      <c r="F4" s="5" t="str">
        <f ca="1">VLOOKUP($D4,OFFSET([1]stages!$A$1,0,0,COUNTA([1]stages!$A:$A),MATCH(F$1,[1]stages!$2:$2,0)-MATCH($D$1,[1]stages!$2:$2,0)+1),MATCH(F$1,[1]stages!$2:$2,0)-MATCH($D$1,[1]stages!$2:$2,0)+1,FALSE)</f>
        <v>2-1. 悪戯な炎</v>
      </c>
      <c r="G4" s="32">
        <v>2</v>
      </c>
      <c r="H4" s="20" t="str">
        <f t="shared" si="1"/>
        <v>2_1-2</v>
      </c>
      <c r="I4" s="31">
        <v>1</v>
      </c>
      <c r="J4" s="26" t="e">
        <f ca="1">VLOOKUP($I4,OFFSET([2]enemies!$A$1,0,0,COUNTA([2]enemies!$A:$A),MATCH(J$1,[2]enemies!$2:$2,0)-MATCH($I$1,[2]enemies!$2:$2,0)+1),MATCH(J$1,[2]enemies!$2:$2,0)-MATCH($I$1,[2]enemies!$2:$2,0)+1,FALSE)</f>
        <v>#N/A</v>
      </c>
      <c r="K4" s="29" t="e">
        <f ca="1">VLOOKUP($I4,OFFSET([2]enemies!$A$1,0,0,COUNTA([2]enemies!$A:$A),MATCH(K$1,[2]enemies!$2:$2,0)-MATCH($I$1,[2]enemies!$2:$2,0)+1),MATCH(K$1,[2]enemies!$2:$2,0)-MATCH($I$1,[2]enemies!$2:$2,0)+1,FALSE)</f>
        <v>#N/A</v>
      </c>
      <c r="L4" s="29" t="e">
        <f ca="1">VLOOKUP($I4,OFFSET([3]characters!$A$1,0,0,COUNTA([3]characters!$A:$A),MATCH(L$1,[3]characters!$2:$2,0)-MATCH($I$1,[3]characters!$2:$2,0)+1),MATCH(L$1,[3]characters!$2:$2,0)-MATCH($I$1,[3]characters!$2:$2,0)+1,FALSE)</f>
        <v>#N/A</v>
      </c>
      <c r="M4" s="28" t="e">
        <f ca="1">VLOOKUP($I4,OFFSET([3]characters!$A$1,0,0,COUNTA([3]characters!$A:$A),MATCH(M$1,[3]characters!$2:$2,0)-MATCH($I$1,[3]characters!$2:$2,0)+2),MATCH(M$1,[3]characters!$2:$2,0)-MATCH($I$1,[3]characters!$2:$2,0)+2,FALSE)</f>
        <v>#N/A</v>
      </c>
      <c r="N4" s="5" t="e">
        <f ca="1">VLOOKUP($I4,OFFSET([2]enemies!$A$1,0,0,COUNTA([2]enemies!$A:$A),MATCH(N$1,[2]enemies!$2:$2,0)-MATCH($I$1,[2]enemies!$2:$2,0)+1),MATCH(N$1,[2]enemies!$2:$2,0)-MATCH($I$1,[2]enemies!$2:$2,0)+1,FALSE)</f>
        <v>#N/A</v>
      </c>
      <c r="O4" s="6">
        <v>1</v>
      </c>
      <c r="P4" s="43">
        <v>1</v>
      </c>
      <c r="Q4" s="43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v>0</v>
      </c>
      <c r="U4" s="7">
        <v>0</v>
      </c>
      <c r="V4" s="7">
        <v>100</v>
      </c>
      <c r="W4" s="7">
        <v>0</v>
      </c>
      <c r="X4" s="26" t="e">
        <f ca="1">VLOOKUP($I4,OFFSET([2]enemies!$A$1,0,0,COUNTA([2]enemies!$A:$A),MATCH(X$1,[2]enemies!$2:$2,0)-MATCH($I$1,[2]enemies!$2:$2,0)+1),MATCH(X$1,[2]enemies!$2:$2,0)-MATCH($I$1,[2]enemies!$2:$2,0)+1,FALSE)</f>
        <v>#N/A</v>
      </c>
      <c r="Y4" s="31">
        <v>1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/>
      </c>
      <c r="AA4" s="5" t="str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/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/>
      </c>
      <c r="AC4" s="8">
        <v>1</v>
      </c>
      <c r="AD4" s="8" t="str">
        <f t="shared" ca="1" si="3"/>
        <v/>
      </c>
      <c r="AE4" s="9">
        <v>30</v>
      </c>
      <c r="AF4" s="38">
        <v>0</v>
      </c>
      <c r="AG4" s="38">
        <v>0</v>
      </c>
      <c r="AH4" s="38">
        <v>0</v>
      </c>
      <c r="AI4" s="38">
        <v>0</v>
      </c>
      <c r="AJ4" s="38">
        <v>1</v>
      </c>
    </row>
    <row r="5" spans="1:36" ht="21" customHeight="1" x14ac:dyDescent="0.15">
      <c r="A5" s="21" t="e">
        <f t="shared" ca="1" si="2"/>
        <v>#N/A</v>
      </c>
      <c r="B5" s="33">
        <v>2</v>
      </c>
      <c r="C5" s="32">
        <v>1</v>
      </c>
      <c r="D5" s="2" t="str">
        <f t="shared" si="0"/>
        <v>2_1</v>
      </c>
      <c r="E5" s="5" t="str">
        <f ca="1">VLOOKUP($B5,OFFSET([1]quests!$A$1,0,0,COUNTA([1]quests!$A:$A),MATCH(E$1,[1]quests!$1:$1,0)-MATCH($B$1,[1]quests!$1:$1,0)+1),MATCH(E$1,[1]quests!$1:$1,0)-MATCH($B$1,[1]quests!$1:$1,0)+1,FALSE)</f>
        <v>2．火之柄神社</v>
      </c>
      <c r="F5" s="5" t="str">
        <f ca="1">VLOOKUP($D5,OFFSET([1]stages!$A$1,0,0,COUNTA([1]stages!$A:$A),MATCH(F$1,[1]stages!$2:$2,0)-MATCH($D$1,[1]stages!$2:$2,0)+1),MATCH(F$1,[1]stages!$2:$2,0)-MATCH($D$1,[1]stages!$2:$2,0)+1,FALSE)</f>
        <v>2-1. 悪戯な炎</v>
      </c>
      <c r="G5" s="32">
        <v>2</v>
      </c>
      <c r="H5" s="20" t="str">
        <f t="shared" si="1"/>
        <v>2_1-2</v>
      </c>
      <c r="I5" s="31">
        <v>9</v>
      </c>
      <c r="J5" s="26" t="e">
        <f ca="1">VLOOKUP($I5,OFFSET([2]enemies!$A$1,0,0,COUNTA([2]enemies!$A:$A),MATCH(J$1,[2]enemies!$2:$2,0)-MATCH($I$1,[2]enemies!$2:$2,0)+1),MATCH(J$1,[2]enemies!$2:$2,0)-MATCH($I$1,[2]enemies!$2:$2,0)+1,FALSE)</f>
        <v>#N/A</v>
      </c>
      <c r="K5" s="29" t="e">
        <f ca="1">VLOOKUP($I5,OFFSET([2]enemies!$A$1,0,0,COUNTA([2]enemies!$A:$A),MATCH(K$1,[2]enemies!$2:$2,0)-MATCH($I$1,[2]enemies!$2:$2,0)+1),MATCH(K$1,[2]enemies!$2:$2,0)-MATCH($I$1,[2]enemies!$2:$2,0)+1,FALSE)</f>
        <v>#N/A</v>
      </c>
      <c r="L5" s="29" t="e">
        <f ca="1">VLOOKUP($I5,OFFSET([3]characters!$A$1,0,0,COUNTA([3]characters!$A:$A),MATCH(L$1,[3]characters!$2:$2,0)-MATCH($I$1,[3]characters!$2:$2,0)+1),MATCH(L$1,[3]characters!$2:$2,0)-MATCH($I$1,[3]characters!$2:$2,0)+1,FALSE)</f>
        <v>#N/A</v>
      </c>
      <c r="M5" s="28" t="e">
        <f ca="1">VLOOKUP($I5,OFFSET([3]characters!$A$1,0,0,COUNTA([3]characters!$A:$A),MATCH(M$1,[3]characters!$2:$2,0)-MATCH($I$1,[3]characters!$2:$2,0)+2),MATCH(M$1,[3]characters!$2:$2,0)-MATCH($I$1,[3]characters!$2:$2,0)+2,FALSE)</f>
        <v>#N/A</v>
      </c>
      <c r="N5" s="5" t="e">
        <f ca="1">VLOOKUP($I5,OFFSET([2]enemies!$A$1,0,0,COUNTA([2]enemies!$A:$A),MATCH(N$1,[2]enemies!$2:$2,0)-MATCH($I$1,[2]enemies!$2:$2,0)+1),MATCH(N$1,[2]enemies!$2:$2,0)-MATCH($I$1,[2]enemies!$2:$2,0)+1,FALSE)</f>
        <v>#N/A</v>
      </c>
      <c r="O5" s="6">
        <v>1</v>
      </c>
      <c r="P5" s="43">
        <v>1</v>
      </c>
      <c r="Q5" s="43">
        <v>1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v>0</v>
      </c>
      <c r="U5" s="7">
        <v>0</v>
      </c>
      <c r="V5" s="7">
        <v>100</v>
      </c>
      <c r="W5" s="7">
        <v>0</v>
      </c>
      <c r="X5" s="26" t="e">
        <f ca="1">VLOOKUP($I5,OFFSET([2]enemies!$A$1,0,0,COUNTA([2]enemies!$A:$A),MATCH(X$1,[2]enemies!$2:$2,0)-MATCH($I$1,[2]enemies!$2:$2,0)+1),MATCH(X$1,[2]enemies!$2:$2,0)-MATCH($I$1,[2]enemies!$2:$2,0)+1,FALSE)</f>
        <v>#N/A</v>
      </c>
      <c r="Y5" s="31">
        <v>9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/>
      </c>
      <c r="AA5" s="5" t="str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/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/>
      </c>
      <c r="AC5" s="8">
        <v>1</v>
      </c>
      <c r="AD5" s="8" t="str">
        <f t="shared" ca="1" si="3"/>
        <v/>
      </c>
      <c r="AE5" s="9">
        <v>30</v>
      </c>
      <c r="AF5" s="38">
        <v>0</v>
      </c>
      <c r="AG5" s="38">
        <v>0</v>
      </c>
      <c r="AH5" s="38">
        <v>0</v>
      </c>
      <c r="AI5" s="38">
        <v>0</v>
      </c>
      <c r="AJ5" s="38">
        <v>1</v>
      </c>
    </row>
    <row r="6" spans="1:36" ht="21" customHeight="1" x14ac:dyDescent="0.15">
      <c r="A6" s="21" t="e">
        <f t="shared" ca="1" si="2"/>
        <v>#N/A</v>
      </c>
      <c r="B6" s="33">
        <v>2</v>
      </c>
      <c r="C6" s="32">
        <v>1</v>
      </c>
      <c r="D6" s="2" t="str">
        <f t="shared" si="0"/>
        <v>2_1</v>
      </c>
      <c r="E6" s="5" t="str">
        <f ca="1">VLOOKUP($B6,OFFSET([1]quests!$A$1,0,0,COUNTA([1]quests!$A:$A),MATCH(E$1,[1]quests!$1:$1,0)-MATCH($B$1,[1]quests!$1:$1,0)+1),MATCH(E$1,[1]quests!$1:$1,0)-MATCH($B$1,[1]quests!$1:$1,0)+1,FALSE)</f>
        <v>2．火之柄神社</v>
      </c>
      <c r="F6" s="5" t="str">
        <f ca="1">VLOOKUP($D6,OFFSET([1]stages!$A$1,0,0,COUNTA([1]stages!$A:$A),MATCH(F$1,[1]stages!$2:$2,0)-MATCH($D$1,[1]stages!$2:$2,0)+1),MATCH(F$1,[1]stages!$2:$2,0)-MATCH($D$1,[1]stages!$2:$2,0)+1,FALSE)</f>
        <v>2-1. 悪戯な炎</v>
      </c>
      <c r="G6" s="32">
        <v>3</v>
      </c>
      <c r="H6" s="20" t="str">
        <f t="shared" si="1"/>
        <v>2_1-3</v>
      </c>
      <c r="I6" s="31">
        <v>10</v>
      </c>
      <c r="J6" s="26" t="e">
        <f ca="1">VLOOKUP($I6,OFFSET([2]enemies!$A$1,0,0,COUNTA([2]enemies!$A:$A),MATCH(J$1,[2]enemies!$2:$2,0)-MATCH($I$1,[2]enemies!$2:$2,0)+1),MATCH(J$1,[2]enemies!$2:$2,0)-MATCH($I$1,[2]enemies!$2:$2,0)+1,FALSE)</f>
        <v>#N/A</v>
      </c>
      <c r="K6" s="29" t="e">
        <f ca="1">VLOOKUP($I6,OFFSET([2]enemies!$A$1,0,0,COUNTA([2]enemies!$A:$A),MATCH(K$1,[2]enemies!$2:$2,0)-MATCH($I$1,[2]enemies!$2:$2,0)+1),MATCH(K$1,[2]enemies!$2:$2,0)-MATCH($I$1,[2]enemies!$2:$2,0)+1,FALSE)</f>
        <v>#N/A</v>
      </c>
      <c r="L6" s="29" t="e">
        <f ca="1">VLOOKUP($I6,OFFSET([3]characters!$A$1,0,0,COUNTA([3]characters!$A:$A),MATCH(L$1,[3]characters!$2:$2,0)-MATCH($I$1,[3]characters!$2:$2,0)+1),MATCH(L$1,[3]characters!$2:$2,0)-MATCH($I$1,[3]characters!$2:$2,0)+1,FALSE)</f>
        <v>#N/A</v>
      </c>
      <c r="M6" s="28" t="e">
        <f ca="1">VLOOKUP($I6,OFFSET([3]characters!$A$1,0,0,COUNTA([3]characters!$A:$A),MATCH(M$1,[3]characters!$2:$2,0)-MATCH($I$1,[3]characters!$2:$2,0)+2),MATCH(M$1,[3]characters!$2:$2,0)-MATCH($I$1,[3]characters!$2:$2,0)+2,FALSE)</f>
        <v>#N/A</v>
      </c>
      <c r="N6" s="5" t="e">
        <f ca="1">VLOOKUP($I6,OFFSET([2]enemies!$A$1,0,0,COUNTA([2]enemies!$A:$A),MATCH(N$1,[2]enemies!$2:$2,0)-MATCH($I$1,[2]enemies!$2:$2,0)+1),MATCH(N$1,[2]enemies!$2:$2,0)-MATCH($I$1,[2]enemies!$2:$2,0)+1,FALSE)</f>
        <v>#N/A</v>
      </c>
      <c r="O6" s="6">
        <v>2</v>
      </c>
      <c r="P6" s="43">
        <v>1</v>
      </c>
      <c r="Q6" s="43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v>0</v>
      </c>
      <c r="U6" s="7">
        <v>2</v>
      </c>
      <c r="V6" s="7">
        <v>100</v>
      </c>
      <c r="W6" s="7">
        <v>1</v>
      </c>
      <c r="X6" s="26" t="e">
        <f ca="1">VLOOKUP($I6,OFFSET([2]enemies!$A$1,0,0,COUNTA([2]enemies!$A:$A),MATCH(X$1,[2]enemies!$2:$2,0)-MATCH($I$1,[2]enemies!$2:$2,0)+1),MATCH(X$1,[2]enemies!$2:$2,0)-MATCH($I$1,[2]enemies!$2:$2,0)+1,FALSE)</f>
        <v>#N/A</v>
      </c>
      <c r="Y6" s="31">
        <v>9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/>
      </c>
      <c r="AA6" s="5" t="str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/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/>
      </c>
      <c r="AC6" s="8">
        <v>1</v>
      </c>
      <c r="AD6" s="8" t="str">
        <f t="shared" ca="1" si="3"/>
        <v/>
      </c>
      <c r="AE6" s="9">
        <v>0</v>
      </c>
      <c r="AF6" s="38">
        <v>0</v>
      </c>
      <c r="AG6" s="38">
        <v>0</v>
      </c>
      <c r="AH6" s="38">
        <v>0</v>
      </c>
      <c r="AI6" s="38">
        <v>0</v>
      </c>
      <c r="AJ6" s="38">
        <v>1</v>
      </c>
    </row>
    <row r="7" spans="1:36" ht="21" customHeight="1" x14ac:dyDescent="0.15">
      <c r="A7" s="21" t="e">
        <f t="shared" ca="1" si="2"/>
        <v>#N/A</v>
      </c>
      <c r="B7" s="33">
        <v>2</v>
      </c>
      <c r="C7" s="32">
        <v>2</v>
      </c>
      <c r="D7" s="2" t="str">
        <f t="shared" si="0"/>
        <v>2_2</v>
      </c>
      <c r="E7" s="5" t="str">
        <f ca="1">VLOOKUP($B7,OFFSET([1]quests!$A$1,0,0,COUNTA([1]quests!$A:$A),MATCH(E$1,[1]quests!$1:$1,0)-MATCH($B$1,[1]quests!$1:$1,0)+1),MATCH(E$1,[1]quests!$1:$1,0)-MATCH($B$1,[1]quests!$1:$1,0)+1,FALSE)</f>
        <v>2．火之柄神社</v>
      </c>
      <c r="F7" s="5" t="str">
        <f ca="1">VLOOKUP($D7,OFFSET([1]stages!$A$1,0,0,COUNTA([1]stages!$A:$A),MATCH(F$1,[1]stages!$2:$2,0)-MATCH($D$1,[1]stages!$2:$2,0)+1),MATCH(F$1,[1]stages!$2:$2,0)-MATCH($D$1,[1]stages!$2:$2,0)+1,FALSE)</f>
        <v>2-2. 火線のファンタジスタ</v>
      </c>
      <c r="G7" s="32">
        <v>1</v>
      </c>
      <c r="H7" s="20" t="str">
        <f t="shared" si="1"/>
        <v>2_2-1</v>
      </c>
      <c r="I7" s="31">
        <v>1</v>
      </c>
      <c r="J7" s="26" t="e">
        <f ca="1">VLOOKUP($I7,OFFSET([2]enemies!$A$1,0,0,COUNTA([2]enemies!$A:$A),MATCH(J$1,[2]enemies!$2:$2,0)-MATCH($I$1,[2]enemies!$2:$2,0)+1),MATCH(J$1,[2]enemies!$2:$2,0)-MATCH($I$1,[2]enemies!$2:$2,0)+1,FALSE)</f>
        <v>#N/A</v>
      </c>
      <c r="K7" s="29" t="e">
        <f ca="1">VLOOKUP($I7,OFFSET([2]enemies!$A$1,0,0,COUNTA([2]enemies!$A:$A),MATCH(K$1,[2]enemies!$2:$2,0)-MATCH($I$1,[2]enemies!$2:$2,0)+1),MATCH(K$1,[2]enemies!$2:$2,0)-MATCH($I$1,[2]enemies!$2:$2,0)+1,FALSE)</f>
        <v>#N/A</v>
      </c>
      <c r="L7" s="29" t="e">
        <f ca="1">VLOOKUP($I7,OFFSET([3]characters!$A$1,0,0,COUNTA([3]characters!$A:$A),MATCH(L$1,[3]characters!$2:$2,0)-MATCH($I$1,[3]characters!$2:$2,0)+1),MATCH(L$1,[3]characters!$2:$2,0)-MATCH($I$1,[3]characters!$2:$2,0)+1,FALSE)</f>
        <v>#N/A</v>
      </c>
      <c r="M7" s="28" t="e">
        <f ca="1">VLOOKUP($I7,OFFSET([3]characters!$A$1,0,0,COUNTA([3]characters!$A:$A),MATCH(M$1,[3]characters!$2:$2,0)-MATCH($I$1,[3]characters!$2:$2,0)+2),MATCH(M$1,[3]characters!$2:$2,0)-MATCH($I$1,[3]characters!$2:$2,0)+2,FALSE)</f>
        <v>#N/A</v>
      </c>
      <c r="N7" s="5" t="e">
        <f ca="1">VLOOKUP($I7,OFFSET([2]enemies!$A$1,0,0,COUNTA([2]enemies!$A:$A),MATCH(N$1,[2]enemies!$2:$2,0)-MATCH($I$1,[2]enemies!$2:$2,0)+1),MATCH(N$1,[2]enemies!$2:$2,0)-MATCH($I$1,[2]enemies!$2:$2,0)+1,FALSE)</f>
        <v>#N/A</v>
      </c>
      <c r="O7" s="6">
        <v>1</v>
      </c>
      <c r="P7" s="43">
        <v>1</v>
      </c>
      <c r="Q7" s="43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7" s="5">
        <v>560001</v>
      </c>
      <c r="U7" s="7">
        <v>1</v>
      </c>
      <c r="V7" s="7">
        <v>100</v>
      </c>
      <c r="W7" s="7">
        <v>1</v>
      </c>
      <c r="X7" s="26" t="e">
        <f ca="1">VLOOKUP($I7,OFFSET([2]enemies!$A$1,0,0,COUNTA([2]enemies!$A:$A),MATCH(X$1,[2]enemies!$2:$2,0)-MATCH($I$1,[2]enemies!$2:$2,0)+1),MATCH(X$1,[2]enemies!$2:$2,0)-MATCH($I$1,[2]enemies!$2:$2,0)+1,FALSE)</f>
        <v>#N/A</v>
      </c>
      <c r="Y7" s="31">
        <v>1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/>
      </c>
      <c r="AA7" s="5" t="str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/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/>
      </c>
      <c r="AC7" s="8">
        <v>2</v>
      </c>
      <c r="AD7" s="8" t="str">
        <f t="shared" ca="1" si="3"/>
        <v/>
      </c>
      <c r="AE7" s="9">
        <v>30</v>
      </c>
      <c r="AF7" s="38">
        <v>0</v>
      </c>
      <c r="AG7" s="38">
        <v>0</v>
      </c>
      <c r="AH7" s="38">
        <v>0</v>
      </c>
      <c r="AI7" s="38">
        <v>0</v>
      </c>
      <c r="AJ7" s="38">
        <v>1</v>
      </c>
    </row>
    <row r="8" spans="1:36" ht="21" customHeight="1" x14ac:dyDescent="0.15">
      <c r="A8" s="21" t="e">
        <f t="shared" ca="1" si="2"/>
        <v>#N/A</v>
      </c>
      <c r="B8" s="33">
        <v>2</v>
      </c>
      <c r="C8" s="32">
        <v>2</v>
      </c>
      <c r="D8" s="2" t="str">
        <f t="shared" si="0"/>
        <v>2_2</v>
      </c>
      <c r="E8" s="5" t="str">
        <f ca="1">VLOOKUP($B8,OFFSET([1]quests!$A$1,0,0,COUNTA([1]quests!$A:$A),MATCH(E$1,[1]quests!$1:$1,0)-MATCH($B$1,[1]quests!$1:$1,0)+1),MATCH(E$1,[1]quests!$1:$1,0)-MATCH($B$1,[1]quests!$1:$1,0)+1,FALSE)</f>
        <v>2．火之柄神社</v>
      </c>
      <c r="F8" s="5" t="str">
        <f ca="1">VLOOKUP($D8,OFFSET([1]stages!$A$1,0,0,COUNTA([1]stages!$A:$A),MATCH(F$1,[1]stages!$2:$2,0)-MATCH($D$1,[1]stages!$2:$2,0)+1),MATCH(F$1,[1]stages!$2:$2,0)-MATCH($D$1,[1]stages!$2:$2,0)+1,FALSE)</f>
        <v>2-2. 火線のファンタジスタ</v>
      </c>
      <c r="G8" s="32">
        <v>1</v>
      </c>
      <c r="H8" s="20" t="str">
        <f t="shared" si="1"/>
        <v>2_2-1</v>
      </c>
      <c r="I8" s="31">
        <v>9</v>
      </c>
      <c r="J8" s="26" t="e">
        <f ca="1">VLOOKUP($I8,OFFSET([2]enemies!$A$1,0,0,COUNTA([2]enemies!$A:$A),MATCH(J$1,[2]enemies!$2:$2,0)-MATCH($I$1,[2]enemies!$2:$2,0)+1),MATCH(J$1,[2]enemies!$2:$2,0)-MATCH($I$1,[2]enemies!$2:$2,0)+1,FALSE)</f>
        <v>#N/A</v>
      </c>
      <c r="K8" s="29" t="e">
        <f ca="1">VLOOKUP($I8,OFFSET([2]enemies!$A$1,0,0,COUNTA([2]enemies!$A:$A),MATCH(K$1,[2]enemies!$2:$2,0)-MATCH($I$1,[2]enemies!$2:$2,0)+1),MATCH(K$1,[2]enemies!$2:$2,0)-MATCH($I$1,[2]enemies!$2:$2,0)+1,FALSE)</f>
        <v>#N/A</v>
      </c>
      <c r="L8" s="29" t="e">
        <f ca="1">VLOOKUP($I8,OFFSET([3]characters!$A$1,0,0,COUNTA([3]characters!$A:$A),MATCH(L$1,[3]characters!$2:$2,0)-MATCH($I$1,[3]characters!$2:$2,0)+1),MATCH(L$1,[3]characters!$2:$2,0)-MATCH($I$1,[3]characters!$2:$2,0)+1,FALSE)</f>
        <v>#N/A</v>
      </c>
      <c r="M8" s="28" t="e">
        <f ca="1">VLOOKUP($I8,OFFSET([3]characters!$A$1,0,0,COUNTA([3]characters!$A:$A),MATCH(M$1,[3]characters!$2:$2,0)-MATCH($I$1,[3]characters!$2:$2,0)+2),MATCH(M$1,[3]characters!$2:$2,0)-MATCH($I$1,[3]characters!$2:$2,0)+2,FALSE)</f>
        <v>#N/A</v>
      </c>
      <c r="N8" s="5" t="e">
        <f ca="1">VLOOKUP($I8,OFFSET([2]enemies!$A$1,0,0,COUNTA([2]enemies!$A:$A),MATCH(N$1,[2]enemies!$2:$2,0)-MATCH($I$1,[2]enemies!$2:$2,0)+1),MATCH(N$1,[2]enemies!$2:$2,0)-MATCH($I$1,[2]enemies!$2:$2,0)+1,FALSE)</f>
        <v>#N/A</v>
      </c>
      <c r="O8" s="6">
        <v>1</v>
      </c>
      <c r="P8" s="43">
        <v>1</v>
      </c>
      <c r="Q8" s="43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v>0</v>
      </c>
      <c r="U8" s="7">
        <v>0</v>
      </c>
      <c r="V8" s="7">
        <v>100</v>
      </c>
      <c r="W8" s="7">
        <v>0</v>
      </c>
      <c r="X8" s="26" t="e">
        <f ca="1">VLOOKUP($I8,OFFSET([2]enemies!$A$1,0,0,COUNTA([2]enemies!$A:$A),MATCH(X$1,[2]enemies!$2:$2,0)-MATCH($I$1,[2]enemies!$2:$2,0)+1),MATCH(X$1,[2]enemies!$2:$2,0)-MATCH($I$1,[2]enemies!$2:$2,0)+1,FALSE)</f>
        <v>#N/A</v>
      </c>
      <c r="Y8" s="31">
        <v>9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/>
      </c>
      <c r="AA8" s="5" t="str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/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/>
      </c>
      <c r="AC8" s="8">
        <v>1</v>
      </c>
      <c r="AD8" s="8" t="str">
        <f t="shared" ca="1" si="3"/>
        <v/>
      </c>
      <c r="AE8" s="9">
        <v>30</v>
      </c>
      <c r="AF8" s="38">
        <v>0</v>
      </c>
      <c r="AG8" s="38">
        <v>0</v>
      </c>
      <c r="AH8" s="38">
        <v>0</v>
      </c>
      <c r="AI8" s="38">
        <v>0</v>
      </c>
      <c r="AJ8" s="38">
        <v>1</v>
      </c>
    </row>
    <row r="9" spans="1:36" ht="21" customHeight="1" x14ac:dyDescent="0.15">
      <c r="A9" s="21" t="e">
        <f t="shared" ca="1" si="2"/>
        <v>#N/A</v>
      </c>
      <c r="B9" s="33">
        <v>2</v>
      </c>
      <c r="C9" s="32">
        <v>2</v>
      </c>
      <c r="D9" s="2" t="str">
        <f t="shared" si="0"/>
        <v>2_2</v>
      </c>
      <c r="E9" s="5" t="str">
        <f ca="1">VLOOKUP($B9,OFFSET([1]quests!$A$1,0,0,COUNTA([1]quests!$A:$A),MATCH(E$1,[1]quests!$1:$1,0)-MATCH($B$1,[1]quests!$1:$1,0)+1),MATCH(E$1,[1]quests!$1:$1,0)-MATCH($B$1,[1]quests!$1:$1,0)+1,FALSE)</f>
        <v>2．火之柄神社</v>
      </c>
      <c r="F9" s="5" t="str">
        <f ca="1">VLOOKUP($D9,OFFSET([1]stages!$A$1,0,0,COUNTA([1]stages!$A:$A),MATCH(F$1,[1]stages!$2:$2,0)-MATCH($D$1,[1]stages!$2:$2,0)+1),MATCH(F$1,[1]stages!$2:$2,0)-MATCH($D$1,[1]stages!$2:$2,0)+1,FALSE)</f>
        <v>2-2. 火線のファンタジスタ</v>
      </c>
      <c r="G9" s="32">
        <v>1</v>
      </c>
      <c r="H9" s="20" t="str">
        <f t="shared" si="1"/>
        <v>2_2-1</v>
      </c>
      <c r="I9" s="31">
        <v>15</v>
      </c>
      <c r="J9" s="26" t="e">
        <f ca="1">VLOOKUP($I9,OFFSET([2]enemies!$A$1,0,0,COUNTA([2]enemies!$A:$A),MATCH(J$1,[2]enemies!$2:$2,0)-MATCH($I$1,[2]enemies!$2:$2,0)+1),MATCH(J$1,[2]enemies!$2:$2,0)-MATCH($I$1,[2]enemies!$2:$2,0)+1,FALSE)</f>
        <v>#N/A</v>
      </c>
      <c r="K9" s="29" t="e">
        <f ca="1">VLOOKUP($I9,OFFSET([2]enemies!$A$1,0,0,COUNTA([2]enemies!$A:$A),MATCH(K$1,[2]enemies!$2:$2,0)-MATCH($I$1,[2]enemies!$2:$2,0)+1),MATCH(K$1,[2]enemies!$2:$2,0)-MATCH($I$1,[2]enemies!$2:$2,0)+1,FALSE)</f>
        <v>#N/A</v>
      </c>
      <c r="L9" s="29" t="e">
        <f ca="1">VLOOKUP($I9,OFFSET([3]characters!$A$1,0,0,COUNTA([3]characters!$A:$A),MATCH(L$1,[3]characters!$2:$2,0)-MATCH($I$1,[3]characters!$2:$2,0)+1),MATCH(L$1,[3]characters!$2:$2,0)-MATCH($I$1,[3]characters!$2:$2,0)+1,FALSE)</f>
        <v>#N/A</v>
      </c>
      <c r="M9" s="28" t="e">
        <f ca="1">VLOOKUP($I9,OFFSET([3]characters!$A$1,0,0,COUNTA([3]characters!$A:$A),MATCH(M$1,[3]characters!$2:$2,0)-MATCH($I$1,[3]characters!$2:$2,0)+2),MATCH(M$1,[3]characters!$2:$2,0)-MATCH($I$1,[3]characters!$2:$2,0)+2,FALSE)</f>
        <v>#N/A</v>
      </c>
      <c r="N9" s="5" t="e">
        <f ca="1">VLOOKUP($I9,OFFSET([2]enemies!$A$1,0,0,COUNTA([2]enemies!$A:$A),MATCH(N$1,[2]enemies!$2:$2,0)-MATCH($I$1,[2]enemies!$2:$2,0)+1),MATCH(N$1,[2]enemies!$2:$2,0)-MATCH($I$1,[2]enemies!$2:$2,0)+1,FALSE)</f>
        <v>#N/A</v>
      </c>
      <c r="O9" s="6">
        <v>1</v>
      </c>
      <c r="P9" s="43">
        <v>1</v>
      </c>
      <c r="Q9" s="43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v>0</v>
      </c>
      <c r="U9" s="7">
        <v>0</v>
      </c>
      <c r="V9" s="7">
        <v>100</v>
      </c>
      <c r="W9" s="7">
        <v>0</v>
      </c>
      <c r="X9" s="26" t="e">
        <f ca="1">VLOOKUP($I9,OFFSET([2]enemies!$A$1,0,0,COUNTA([2]enemies!$A:$A),MATCH(X$1,[2]enemies!$2:$2,0)-MATCH($I$1,[2]enemies!$2:$2,0)+1),MATCH(X$1,[2]enemies!$2:$2,0)-MATCH($I$1,[2]enemies!$2:$2,0)+1,FALSE)</f>
        <v>#N/A</v>
      </c>
      <c r="Y9" s="31">
        <v>15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/>
      </c>
      <c r="AA9" s="5" t="str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/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/>
      </c>
      <c r="AC9" s="8">
        <v>1</v>
      </c>
      <c r="AD9" s="8" t="str">
        <f t="shared" ca="1" si="3"/>
        <v/>
      </c>
      <c r="AE9" s="9">
        <v>30</v>
      </c>
      <c r="AF9" s="38">
        <v>0</v>
      </c>
      <c r="AG9" s="38">
        <v>0</v>
      </c>
      <c r="AH9" s="38">
        <v>0</v>
      </c>
      <c r="AI9" s="38">
        <v>0</v>
      </c>
      <c r="AJ9" s="38">
        <v>1</v>
      </c>
    </row>
    <row r="10" spans="1:36" ht="21" customHeight="1" x14ac:dyDescent="0.15">
      <c r="A10" s="21" t="e">
        <f t="shared" ca="1" si="2"/>
        <v>#N/A</v>
      </c>
      <c r="B10" s="33">
        <v>2</v>
      </c>
      <c r="C10" s="32">
        <v>2</v>
      </c>
      <c r="D10" s="2" t="str">
        <f t="shared" si="0"/>
        <v>2_2</v>
      </c>
      <c r="E10" s="5" t="str">
        <f ca="1">VLOOKUP($B10,OFFSET([1]quests!$A$1,0,0,COUNTA([1]quests!$A:$A),MATCH(E$1,[1]quests!$1:$1,0)-MATCH($B$1,[1]quests!$1:$1,0)+1),MATCH(E$1,[1]quests!$1:$1,0)-MATCH($B$1,[1]quests!$1:$1,0)+1,FALSE)</f>
        <v>2．火之柄神社</v>
      </c>
      <c r="F10" s="5" t="str">
        <f ca="1">VLOOKUP($D10,OFFSET([1]stages!$A$1,0,0,COUNTA([1]stages!$A:$A),MATCH(F$1,[1]stages!$2:$2,0)-MATCH($D$1,[1]stages!$2:$2,0)+1),MATCH(F$1,[1]stages!$2:$2,0)-MATCH($D$1,[1]stages!$2:$2,0)+1,FALSE)</f>
        <v>2-2. 火線のファンタジスタ</v>
      </c>
      <c r="G10" s="32">
        <v>2</v>
      </c>
      <c r="H10" s="20" t="str">
        <f t="shared" si="1"/>
        <v>2_2-2</v>
      </c>
      <c r="I10" s="31">
        <v>1</v>
      </c>
      <c r="J10" s="26" t="e">
        <f ca="1">VLOOKUP($I10,OFFSET([2]enemies!$A$1,0,0,COUNTA([2]enemies!$A:$A),MATCH(J$1,[2]enemies!$2:$2,0)-MATCH($I$1,[2]enemies!$2:$2,0)+1),MATCH(J$1,[2]enemies!$2:$2,0)-MATCH($I$1,[2]enemies!$2:$2,0)+1,FALSE)</f>
        <v>#N/A</v>
      </c>
      <c r="K10" s="29" t="e">
        <f ca="1">VLOOKUP($I10,OFFSET([2]enemies!$A$1,0,0,COUNTA([2]enemies!$A:$A),MATCH(K$1,[2]enemies!$2:$2,0)-MATCH($I$1,[2]enemies!$2:$2,0)+1),MATCH(K$1,[2]enemies!$2:$2,0)-MATCH($I$1,[2]enemies!$2:$2,0)+1,FALSE)</f>
        <v>#N/A</v>
      </c>
      <c r="L10" s="29" t="e">
        <f ca="1">VLOOKUP($I10,OFFSET([3]characters!$A$1,0,0,COUNTA([3]characters!$A:$A),MATCH(L$1,[3]characters!$2:$2,0)-MATCH($I$1,[3]characters!$2:$2,0)+1),MATCH(L$1,[3]characters!$2:$2,0)-MATCH($I$1,[3]characters!$2:$2,0)+1,FALSE)</f>
        <v>#N/A</v>
      </c>
      <c r="M10" s="28" t="e">
        <f ca="1">VLOOKUP($I10,OFFSET([3]characters!$A$1,0,0,COUNTA([3]characters!$A:$A),MATCH(M$1,[3]characters!$2:$2,0)-MATCH($I$1,[3]characters!$2:$2,0)+2),MATCH(M$1,[3]characters!$2:$2,0)-MATCH($I$1,[3]characters!$2:$2,0)+2,FALSE)</f>
        <v>#N/A</v>
      </c>
      <c r="N10" s="5" t="e">
        <f ca="1">VLOOKUP($I10,OFFSET([2]enemies!$A$1,0,0,COUNTA([2]enemies!$A:$A),MATCH(N$1,[2]enemies!$2:$2,0)-MATCH($I$1,[2]enemies!$2:$2,0)+1),MATCH(N$1,[2]enemies!$2:$2,0)-MATCH($I$1,[2]enemies!$2:$2,0)+1,FALSE)</f>
        <v>#N/A</v>
      </c>
      <c r="O10" s="6">
        <v>1</v>
      </c>
      <c r="P10" s="43">
        <v>1</v>
      </c>
      <c r="Q10" s="43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v>0</v>
      </c>
      <c r="U10" s="7">
        <v>0</v>
      </c>
      <c r="V10" s="7">
        <v>100</v>
      </c>
      <c r="W10" s="7">
        <v>0</v>
      </c>
      <c r="X10" s="26" t="e">
        <f ca="1">VLOOKUP($I10,OFFSET([2]enemies!$A$1,0,0,COUNTA([2]enemies!$A:$A),MATCH(X$1,[2]enemies!$2:$2,0)-MATCH($I$1,[2]enemies!$2:$2,0)+1),MATCH(X$1,[2]enemies!$2:$2,0)-MATCH($I$1,[2]enemies!$2:$2,0)+1,FALSE)</f>
        <v>#N/A</v>
      </c>
      <c r="Y10" s="31">
        <v>1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/>
      </c>
      <c r="AA10" s="5" t="str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/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/>
      </c>
      <c r="AC10" s="8">
        <v>2</v>
      </c>
      <c r="AD10" s="8" t="str">
        <f t="shared" ca="1" si="3"/>
        <v/>
      </c>
      <c r="AE10" s="9">
        <v>30</v>
      </c>
      <c r="AF10" s="38">
        <v>0</v>
      </c>
      <c r="AG10" s="38">
        <v>0</v>
      </c>
      <c r="AH10" s="38">
        <v>0</v>
      </c>
      <c r="AI10" s="38">
        <v>0</v>
      </c>
      <c r="AJ10" s="38">
        <v>1</v>
      </c>
    </row>
    <row r="11" spans="1:36" ht="21" customHeight="1" x14ac:dyDescent="0.15">
      <c r="A11" s="21" t="e">
        <f t="shared" ca="1" si="2"/>
        <v>#N/A</v>
      </c>
      <c r="B11" s="33">
        <v>2</v>
      </c>
      <c r="C11" s="32">
        <v>2</v>
      </c>
      <c r="D11" s="2" t="str">
        <f t="shared" si="0"/>
        <v>2_2</v>
      </c>
      <c r="E11" s="5" t="str">
        <f ca="1">VLOOKUP($B11,OFFSET([1]quests!$A$1,0,0,COUNTA([1]quests!$A:$A),MATCH(E$1,[1]quests!$1:$1,0)-MATCH($B$1,[1]quests!$1:$1,0)+1),MATCH(E$1,[1]quests!$1:$1,0)-MATCH($B$1,[1]quests!$1:$1,0)+1,FALSE)</f>
        <v>2．火之柄神社</v>
      </c>
      <c r="F11" s="5" t="str">
        <f ca="1">VLOOKUP($D11,OFFSET([1]stages!$A$1,0,0,COUNTA([1]stages!$A:$A),MATCH(F$1,[1]stages!$2:$2,0)-MATCH($D$1,[1]stages!$2:$2,0)+1),MATCH(F$1,[1]stages!$2:$2,0)-MATCH($D$1,[1]stages!$2:$2,0)+1,FALSE)</f>
        <v>2-2. 火線のファンタジスタ</v>
      </c>
      <c r="G11" s="32">
        <v>2</v>
      </c>
      <c r="H11" s="20" t="str">
        <f t="shared" si="1"/>
        <v>2_2-2</v>
      </c>
      <c r="I11" s="31">
        <v>9</v>
      </c>
      <c r="J11" s="26" t="e">
        <f ca="1">VLOOKUP($I11,OFFSET([2]enemies!$A$1,0,0,COUNTA([2]enemies!$A:$A),MATCH(J$1,[2]enemies!$2:$2,0)-MATCH($I$1,[2]enemies!$2:$2,0)+1),MATCH(J$1,[2]enemies!$2:$2,0)-MATCH($I$1,[2]enemies!$2:$2,0)+1,FALSE)</f>
        <v>#N/A</v>
      </c>
      <c r="K11" s="29" t="e">
        <f ca="1">VLOOKUP($I11,OFFSET([2]enemies!$A$1,0,0,COUNTA([2]enemies!$A:$A),MATCH(K$1,[2]enemies!$2:$2,0)-MATCH($I$1,[2]enemies!$2:$2,0)+1),MATCH(K$1,[2]enemies!$2:$2,0)-MATCH($I$1,[2]enemies!$2:$2,0)+1,FALSE)</f>
        <v>#N/A</v>
      </c>
      <c r="L11" s="29" t="e">
        <f ca="1">VLOOKUP($I11,OFFSET([3]characters!$A$1,0,0,COUNTA([3]characters!$A:$A),MATCH(L$1,[3]characters!$2:$2,0)-MATCH($I$1,[3]characters!$2:$2,0)+1),MATCH(L$1,[3]characters!$2:$2,0)-MATCH($I$1,[3]characters!$2:$2,0)+1,FALSE)</f>
        <v>#N/A</v>
      </c>
      <c r="M11" s="28" t="e">
        <f ca="1">VLOOKUP($I11,OFFSET([3]characters!$A$1,0,0,COUNTA([3]characters!$A:$A),MATCH(M$1,[3]characters!$2:$2,0)-MATCH($I$1,[3]characters!$2:$2,0)+2),MATCH(M$1,[3]characters!$2:$2,0)-MATCH($I$1,[3]characters!$2:$2,0)+2,FALSE)</f>
        <v>#N/A</v>
      </c>
      <c r="N11" s="5" t="e">
        <f ca="1">VLOOKUP($I11,OFFSET([2]enemies!$A$1,0,0,COUNTA([2]enemies!$A:$A),MATCH(N$1,[2]enemies!$2:$2,0)-MATCH($I$1,[2]enemies!$2:$2,0)+1),MATCH(N$1,[2]enemies!$2:$2,0)-MATCH($I$1,[2]enemies!$2:$2,0)+1,FALSE)</f>
        <v>#N/A</v>
      </c>
      <c r="O11" s="6">
        <v>1</v>
      </c>
      <c r="P11" s="43">
        <v>1</v>
      </c>
      <c r="Q11" s="43">
        <v>1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v>0</v>
      </c>
      <c r="U11" s="7">
        <v>0</v>
      </c>
      <c r="V11" s="7">
        <v>100</v>
      </c>
      <c r="W11" s="7">
        <v>0</v>
      </c>
      <c r="X11" s="26" t="e">
        <f ca="1">VLOOKUP($I11,OFFSET([2]enemies!$A$1,0,0,COUNTA([2]enemies!$A:$A),MATCH(X$1,[2]enemies!$2:$2,0)-MATCH($I$1,[2]enemies!$2:$2,0)+1),MATCH(X$1,[2]enemies!$2:$2,0)-MATCH($I$1,[2]enemies!$2:$2,0)+1,FALSE)</f>
        <v>#N/A</v>
      </c>
      <c r="Y11" s="31">
        <v>9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/>
      </c>
      <c r="AA11" s="5" t="str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/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/>
      </c>
      <c r="AC11" s="8">
        <v>1</v>
      </c>
      <c r="AD11" s="8" t="str">
        <f t="shared" ca="1" si="3"/>
        <v/>
      </c>
      <c r="AE11" s="9">
        <v>30</v>
      </c>
      <c r="AF11" s="38">
        <v>0</v>
      </c>
      <c r="AG11" s="38">
        <v>0</v>
      </c>
      <c r="AH11" s="38">
        <v>0</v>
      </c>
      <c r="AI11" s="38">
        <v>0</v>
      </c>
      <c r="AJ11" s="38">
        <v>1</v>
      </c>
    </row>
    <row r="12" spans="1:36" ht="21" customHeight="1" x14ac:dyDescent="0.15">
      <c r="A12" s="21" t="e">
        <f t="shared" ca="1" si="2"/>
        <v>#N/A</v>
      </c>
      <c r="B12" s="33">
        <v>2</v>
      </c>
      <c r="C12" s="32">
        <v>2</v>
      </c>
      <c r="D12" s="2" t="str">
        <f t="shared" si="0"/>
        <v>2_2</v>
      </c>
      <c r="E12" s="5" t="str">
        <f ca="1">VLOOKUP($B12,OFFSET([1]quests!$A$1,0,0,COUNTA([1]quests!$A:$A),MATCH(E$1,[1]quests!$1:$1,0)-MATCH($B$1,[1]quests!$1:$1,0)+1),MATCH(E$1,[1]quests!$1:$1,0)-MATCH($B$1,[1]quests!$1:$1,0)+1,FALSE)</f>
        <v>2．火之柄神社</v>
      </c>
      <c r="F12" s="5" t="str">
        <f ca="1">VLOOKUP($D12,OFFSET([1]stages!$A$1,0,0,COUNTA([1]stages!$A:$A),MATCH(F$1,[1]stages!$2:$2,0)-MATCH($D$1,[1]stages!$2:$2,0)+1),MATCH(F$1,[1]stages!$2:$2,0)-MATCH($D$1,[1]stages!$2:$2,0)+1,FALSE)</f>
        <v>2-2. 火線のファンタジスタ</v>
      </c>
      <c r="G12" s="32">
        <v>2</v>
      </c>
      <c r="H12" s="20" t="str">
        <f t="shared" si="1"/>
        <v>2_2-2</v>
      </c>
      <c r="I12" s="31">
        <v>15</v>
      </c>
      <c r="J12" s="26" t="e">
        <f ca="1">VLOOKUP($I12,OFFSET([2]enemies!$A$1,0,0,COUNTA([2]enemies!$A:$A),MATCH(J$1,[2]enemies!$2:$2,0)-MATCH($I$1,[2]enemies!$2:$2,0)+1),MATCH(J$1,[2]enemies!$2:$2,0)-MATCH($I$1,[2]enemies!$2:$2,0)+1,FALSE)</f>
        <v>#N/A</v>
      </c>
      <c r="K12" s="29" t="e">
        <f ca="1">VLOOKUP($I12,OFFSET([2]enemies!$A$1,0,0,COUNTA([2]enemies!$A:$A),MATCH(K$1,[2]enemies!$2:$2,0)-MATCH($I$1,[2]enemies!$2:$2,0)+1),MATCH(K$1,[2]enemies!$2:$2,0)-MATCH($I$1,[2]enemies!$2:$2,0)+1,FALSE)</f>
        <v>#N/A</v>
      </c>
      <c r="L12" s="29" t="e">
        <f ca="1">VLOOKUP($I12,OFFSET([3]characters!$A$1,0,0,COUNTA([3]characters!$A:$A),MATCH(L$1,[3]characters!$2:$2,0)-MATCH($I$1,[3]characters!$2:$2,0)+1),MATCH(L$1,[3]characters!$2:$2,0)-MATCH($I$1,[3]characters!$2:$2,0)+1,FALSE)</f>
        <v>#N/A</v>
      </c>
      <c r="M12" s="28" t="e">
        <f ca="1">VLOOKUP($I12,OFFSET([3]characters!$A$1,0,0,COUNTA([3]characters!$A:$A),MATCH(M$1,[3]characters!$2:$2,0)-MATCH($I$1,[3]characters!$2:$2,0)+2),MATCH(M$1,[3]characters!$2:$2,0)-MATCH($I$1,[3]characters!$2:$2,0)+2,FALSE)</f>
        <v>#N/A</v>
      </c>
      <c r="N12" s="5" t="e">
        <f ca="1">VLOOKUP($I12,OFFSET([2]enemies!$A$1,0,0,COUNTA([2]enemies!$A:$A),MATCH(N$1,[2]enemies!$2:$2,0)-MATCH($I$1,[2]enemies!$2:$2,0)+1),MATCH(N$1,[2]enemies!$2:$2,0)-MATCH($I$1,[2]enemies!$2:$2,0)+1,FALSE)</f>
        <v>#N/A</v>
      </c>
      <c r="O12" s="6">
        <v>1</v>
      </c>
      <c r="P12" s="43">
        <v>1</v>
      </c>
      <c r="Q12" s="43">
        <v>1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5">
        <v>0</v>
      </c>
      <c r="U12" s="7">
        <v>0</v>
      </c>
      <c r="V12" s="7">
        <v>100</v>
      </c>
      <c r="W12" s="7">
        <v>0</v>
      </c>
      <c r="X12" s="26" t="e">
        <f ca="1">VLOOKUP($I12,OFFSET([2]enemies!$A$1,0,0,COUNTA([2]enemies!$A:$A),MATCH(X$1,[2]enemies!$2:$2,0)-MATCH($I$1,[2]enemies!$2:$2,0)+1),MATCH(X$1,[2]enemies!$2:$2,0)-MATCH($I$1,[2]enemies!$2:$2,0)+1,FALSE)</f>
        <v>#N/A</v>
      </c>
      <c r="Y12" s="31">
        <v>15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/>
      </c>
      <c r="AA12" s="5" t="str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/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/>
      </c>
      <c r="AC12" s="8">
        <v>1</v>
      </c>
      <c r="AD12" s="8" t="str">
        <f t="shared" ca="1" si="3"/>
        <v/>
      </c>
      <c r="AE12" s="9">
        <v>0</v>
      </c>
      <c r="AF12" s="38">
        <v>0</v>
      </c>
      <c r="AG12" s="38">
        <v>0</v>
      </c>
      <c r="AH12" s="38">
        <v>0</v>
      </c>
      <c r="AI12" s="38">
        <v>0</v>
      </c>
      <c r="AJ12" s="38">
        <v>1</v>
      </c>
    </row>
    <row r="13" spans="1:36" ht="21" customHeight="1" x14ac:dyDescent="0.15">
      <c r="A13" s="21" t="e">
        <f t="shared" ca="1" si="2"/>
        <v>#N/A</v>
      </c>
      <c r="B13" s="33">
        <v>2</v>
      </c>
      <c r="C13" s="32">
        <v>2</v>
      </c>
      <c r="D13" s="2" t="str">
        <f t="shared" si="0"/>
        <v>2_2</v>
      </c>
      <c r="E13" s="5" t="str">
        <f ca="1">VLOOKUP($B13,OFFSET([1]quests!$A$1,0,0,COUNTA([1]quests!$A:$A),MATCH(E$1,[1]quests!$1:$1,0)-MATCH($B$1,[1]quests!$1:$1,0)+1),MATCH(E$1,[1]quests!$1:$1,0)-MATCH($B$1,[1]quests!$1:$1,0)+1,FALSE)</f>
        <v>2．火之柄神社</v>
      </c>
      <c r="F13" s="5" t="str">
        <f ca="1">VLOOKUP($D13,OFFSET([1]stages!$A$1,0,0,COUNTA([1]stages!$A:$A),MATCH(F$1,[1]stages!$2:$2,0)-MATCH($D$1,[1]stages!$2:$2,0)+1),MATCH(F$1,[1]stages!$2:$2,0)-MATCH($D$1,[1]stages!$2:$2,0)+1,FALSE)</f>
        <v>2-2. 火線のファンタジスタ</v>
      </c>
      <c r="G13" s="32">
        <v>3</v>
      </c>
      <c r="H13" s="20" t="str">
        <f t="shared" si="1"/>
        <v>2_2-3</v>
      </c>
      <c r="I13" s="31">
        <v>49</v>
      </c>
      <c r="J13" s="26" t="e">
        <f ca="1">VLOOKUP($I13,OFFSET([2]enemies!$A$1,0,0,COUNTA([2]enemies!$A:$A),MATCH(J$1,[2]enemies!$2:$2,0)-MATCH($I$1,[2]enemies!$2:$2,0)+1),MATCH(J$1,[2]enemies!$2:$2,0)-MATCH($I$1,[2]enemies!$2:$2,0)+1,FALSE)</f>
        <v>#N/A</v>
      </c>
      <c r="K13" s="29" t="e">
        <f ca="1">VLOOKUP($I13,OFFSET([2]enemies!$A$1,0,0,COUNTA([2]enemies!$A:$A),MATCH(K$1,[2]enemies!$2:$2,0)-MATCH($I$1,[2]enemies!$2:$2,0)+1),MATCH(K$1,[2]enemies!$2:$2,0)-MATCH($I$1,[2]enemies!$2:$2,0)+1,FALSE)</f>
        <v>#N/A</v>
      </c>
      <c r="L13" s="29" t="e">
        <f ca="1">VLOOKUP($I13,OFFSET([3]characters!$A$1,0,0,COUNTA([3]characters!$A:$A),MATCH(L$1,[3]characters!$2:$2,0)-MATCH($I$1,[3]characters!$2:$2,0)+1),MATCH(L$1,[3]characters!$2:$2,0)-MATCH($I$1,[3]characters!$2:$2,0)+1,FALSE)</f>
        <v>#N/A</v>
      </c>
      <c r="M13" s="28" t="e">
        <f ca="1">VLOOKUP($I13,OFFSET([3]characters!$A$1,0,0,COUNTA([3]characters!$A:$A),MATCH(M$1,[3]characters!$2:$2,0)-MATCH($I$1,[3]characters!$2:$2,0)+2),MATCH(M$1,[3]characters!$2:$2,0)-MATCH($I$1,[3]characters!$2:$2,0)+2,FALSE)</f>
        <v>#N/A</v>
      </c>
      <c r="N13" s="5" t="e">
        <f ca="1">VLOOKUP($I13,OFFSET([2]enemies!$A$1,0,0,COUNTA([2]enemies!$A:$A),MATCH(N$1,[2]enemies!$2:$2,0)-MATCH($I$1,[2]enemies!$2:$2,0)+1),MATCH(N$1,[2]enemies!$2:$2,0)-MATCH($I$1,[2]enemies!$2:$2,0)+1,FALSE)</f>
        <v>#N/A</v>
      </c>
      <c r="O13" s="6">
        <v>3</v>
      </c>
      <c r="P13" s="43">
        <v>1</v>
      </c>
      <c r="Q13" s="43">
        <v>1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3" s="5">
        <v>49</v>
      </c>
      <c r="U13" s="7">
        <v>1</v>
      </c>
      <c r="V13" s="7">
        <v>100</v>
      </c>
      <c r="W13" s="7">
        <v>1</v>
      </c>
      <c r="X13" s="26" t="e">
        <f ca="1">VLOOKUP($I13,OFFSET([2]enemies!$A$1,0,0,COUNTA([2]enemies!$A:$A),MATCH(X$1,[2]enemies!$2:$2,0)-MATCH($I$1,[2]enemies!$2:$2,0)+1),MATCH(X$1,[2]enemies!$2:$2,0)-MATCH($I$1,[2]enemies!$2:$2,0)+1,FALSE)</f>
        <v>#N/A</v>
      </c>
      <c r="Y13" s="31">
        <v>49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/>
      </c>
      <c r="AA13" s="5" t="str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/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/>
      </c>
      <c r="AC13" s="8">
        <v>1</v>
      </c>
      <c r="AD13" s="8" t="str">
        <f t="shared" ca="1" si="3"/>
        <v/>
      </c>
      <c r="AE13" s="9">
        <v>100</v>
      </c>
      <c r="AF13" s="38">
        <v>0</v>
      </c>
      <c r="AG13" s="38">
        <v>0</v>
      </c>
      <c r="AH13" s="38">
        <v>0</v>
      </c>
      <c r="AI13" s="38">
        <v>0</v>
      </c>
      <c r="AJ13" s="38">
        <v>1</v>
      </c>
    </row>
    <row r="14" spans="1:36" ht="21" customHeight="1" x14ac:dyDescent="0.15">
      <c r="A14" s="21" t="e">
        <f t="shared" ca="1" si="2"/>
        <v>#N/A</v>
      </c>
      <c r="B14" s="33">
        <v>2</v>
      </c>
      <c r="C14" s="32">
        <v>3</v>
      </c>
      <c r="D14" s="2" t="str">
        <f t="shared" si="0"/>
        <v>2_3</v>
      </c>
      <c r="E14" s="5" t="str">
        <f ca="1">VLOOKUP($B14,OFFSET([1]quests!$A$1,0,0,COUNTA([1]quests!$A:$A),MATCH(E$1,[1]quests!$1:$1,0)-MATCH($B$1,[1]quests!$1:$1,0)+1),MATCH(E$1,[1]quests!$1:$1,0)-MATCH($B$1,[1]quests!$1:$1,0)+1,FALSE)</f>
        <v>2．火之柄神社</v>
      </c>
      <c r="F14" s="5" t="str">
        <f ca="1">VLOOKUP($D14,OFFSET([1]stages!$A$1,0,0,COUNTA([1]stages!$A:$A),MATCH(F$1,[1]stages!$2:$2,0)-MATCH($D$1,[1]stages!$2:$2,0)+1),MATCH(F$1,[1]stages!$2:$2,0)-MATCH($D$1,[1]stages!$2:$2,0)+1,FALSE)</f>
        <v>2-3. 妖炎の誘い</v>
      </c>
      <c r="G14" s="32">
        <v>1</v>
      </c>
      <c r="H14" s="20" t="str">
        <f t="shared" si="1"/>
        <v>2_3-1</v>
      </c>
      <c r="I14" s="31">
        <v>1</v>
      </c>
      <c r="J14" s="26" t="e">
        <f ca="1">VLOOKUP($I14,OFFSET([2]enemies!$A$1,0,0,COUNTA([2]enemies!$A:$A),MATCH(J$1,[2]enemies!$2:$2,0)-MATCH($I$1,[2]enemies!$2:$2,0)+1),MATCH(J$1,[2]enemies!$2:$2,0)-MATCH($I$1,[2]enemies!$2:$2,0)+1,FALSE)</f>
        <v>#N/A</v>
      </c>
      <c r="K14" s="29" t="e">
        <f ca="1">VLOOKUP($I14,OFFSET([2]enemies!$A$1,0,0,COUNTA([2]enemies!$A:$A),MATCH(K$1,[2]enemies!$2:$2,0)-MATCH($I$1,[2]enemies!$2:$2,0)+1),MATCH(K$1,[2]enemies!$2:$2,0)-MATCH($I$1,[2]enemies!$2:$2,0)+1,FALSE)</f>
        <v>#N/A</v>
      </c>
      <c r="L14" s="29" t="e">
        <f ca="1">VLOOKUP($I14,OFFSET([3]characters!$A$1,0,0,COUNTA([3]characters!$A:$A),MATCH(L$1,[3]characters!$2:$2,0)-MATCH($I$1,[3]characters!$2:$2,0)+1),MATCH(L$1,[3]characters!$2:$2,0)-MATCH($I$1,[3]characters!$2:$2,0)+1,FALSE)</f>
        <v>#N/A</v>
      </c>
      <c r="M14" s="28" t="e">
        <f ca="1">VLOOKUP($I14,OFFSET([3]characters!$A$1,0,0,COUNTA([3]characters!$A:$A),MATCH(M$1,[3]characters!$2:$2,0)-MATCH($I$1,[3]characters!$2:$2,0)+2),MATCH(M$1,[3]characters!$2:$2,0)-MATCH($I$1,[3]characters!$2:$2,0)+2,FALSE)</f>
        <v>#N/A</v>
      </c>
      <c r="N14" s="5" t="e">
        <f ca="1">VLOOKUP($I14,OFFSET([2]enemies!$A$1,0,0,COUNTA([2]enemies!$A:$A),MATCH(N$1,[2]enemies!$2:$2,0)-MATCH($I$1,[2]enemies!$2:$2,0)+1),MATCH(N$1,[2]enemies!$2:$2,0)-MATCH($I$1,[2]enemies!$2:$2,0)+1,FALSE)</f>
        <v>#N/A</v>
      </c>
      <c r="O14" s="6">
        <v>2</v>
      </c>
      <c r="P14" s="43">
        <v>1</v>
      </c>
      <c r="Q14" s="43">
        <v>1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14" s="5">
        <v>560001</v>
      </c>
      <c r="U14" s="7">
        <v>1</v>
      </c>
      <c r="V14" s="7">
        <v>100</v>
      </c>
      <c r="W14" s="7">
        <v>1</v>
      </c>
      <c r="X14" s="26" t="e">
        <f ca="1">VLOOKUP($I14,OFFSET([2]enemies!$A$1,0,0,COUNTA([2]enemies!$A:$A),MATCH(X$1,[2]enemies!$2:$2,0)-MATCH($I$1,[2]enemies!$2:$2,0)+1),MATCH(X$1,[2]enemies!$2:$2,0)-MATCH($I$1,[2]enemies!$2:$2,0)+1,FALSE)</f>
        <v>#N/A</v>
      </c>
      <c r="Y14" s="31">
        <v>1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/>
      </c>
      <c r="AA14" s="5" t="str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/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/>
      </c>
      <c r="AC14" s="8">
        <v>3</v>
      </c>
      <c r="AD14" s="8" t="str">
        <f t="shared" ca="1" si="3"/>
        <v/>
      </c>
      <c r="AE14" s="9">
        <v>0</v>
      </c>
      <c r="AF14" s="38">
        <v>0</v>
      </c>
      <c r="AG14" s="38">
        <v>0</v>
      </c>
      <c r="AH14" s="38">
        <v>0</v>
      </c>
      <c r="AI14" s="38">
        <v>0</v>
      </c>
      <c r="AJ14" s="38">
        <v>1</v>
      </c>
    </row>
    <row r="15" spans="1:36" ht="21" customHeight="1" x14ac:dyDescent="0.15">
      <c r="A15" s="21" t="e">
        <f t="shared" ca="1" si="2"/>
        <v>#N/A</v>
      </c>
      <c r="B15" s="33">
        <v>2</v>
      </c>
      <c r="C15" s="32">
        <v>3</v>
      </c>
      <c r="D15" s="2" t="str">
        <f t="shared" si="0"/>
        <v>2_3</v>
      </c>
      <c r="E15" s="5" t="str">
        <f ca="1">VLOOKUP($B15,OFFSET([1]quests!$A$1,0,0,COUNTA([1]quests!$A:$A),MATCH(E$1,[1]quests!$1:$1,0)-MATCH($B$1,[1]quests!$1:$1,0)+1),MATCH(E$1,[1]quests!$1:$1,0)-MATCH($B$1,[1]quests!$1:$1,0)+1,FALSE)</f>
        <v>2．火之柄神社</v>
      </c>
      <c r="F15" s="5" t="str">
        <f ca="1">VLOOKUP($D15,OFFSET([1]stages!$A$1,0,0,COUNTA([1]stages!$A:$A),MATCH(F$1,[1]stages!$2:$2,0)-MATCH($D$1,[1]stages!$2:$2,0)+1),MATCH(F$1,[1]stages!$2:$2,0)-MATCH($D$1,[1]stages!$2:$2,0)+1,FALSE)</f>
        <v>2-3. 妖炎の誘い</v>
      </c>
      <c r="G15" s="32">
        <v>1</v>
      </c>
      <c r="H15" s="20" t="str">
        <f t="shared" si="1"/>
        <v>2_3-1</v>
      </c>
      <c r="I15" s="31">
        <v>9</v>
      </c>
      <c r="J15" s="26" t="e">
        <f ca="1">VLOOKUP($I15,OFFSET([2]enemies!$A$1,0,0,COUNTA([2]enemies!$A:$A),MATCH(J$1,[2]enemies!$2:$2,0)-MATCH($I$1,[2]enemies!$2:$2,0)+1),MATCH(J$1,[2]enemies!$2:$2,0)-MATCH($I$1,[2]enemies!$2:$2,0)+1,FALSE)</f>
        <v>#N/A</v>
      </c>
      <c r="K15" s="29" t="e">
        <f ca="1">VLOOKUP($I15,OFFSET([2]enemies!$A$1,0,0,COUNTA([2]enemies!$A:$A),MATCH(K$1,[2]enemies!$2:$2,0)-MATCH($I$1,[2]enemies!$2:$2,0)+1),MATCH(K$1,[2]enemies!$2:$2,0)-MATCH($I$1,[2]enemies!$2:$2,0)+1,FALSE)</f>
        <v>#N/A</v>
      </c>
      <c r="L15" s="29" t="e">
        <f ca="1">VLOOKUP($I15,OFFSET([3]characters!$A$1,0,0,COUNTA([3]characters!$A:$A),MATCH(L$1,[3]characters!$2:$2,0)-MATCH($I$1,[3]characters!$2:$2,0)+1),MATCH(L$1,[3]characters!$2:$2,0)-MATCH($I$1,[3]characters!$2:$2,0)+1,FALSE)</f>
        <v>#N/A</v>
      </c>
      <c r="M15" s="28" t="e">
        <f ca="1">VLOOKUP($I15,OFFSET([3]characters!$A$1,0,0,COUNTA([3]characters!$A:$A),MATCH(M$1,[3]characters!$2:$2,0)-MATCH($I$1,[3]characters!$2:$2,0)+2),MATCH(M$1,[3]characters!$2:$2,0)-MATCH($I$1,[3]characters!$2:$2,0)+2,FALSE)</f>
        <v>#N/A</v>
      </c>
      <c r="N15" s="5" t="e">
        <f ca="1">VLOOKUP($I15,OFFSET([2]enemies!$A$1,0,0,COUNTA([2]enemies!$A:$A),MATCH(N$1,[2]enemies!$2:$2,0)-MATCH($I$1,[2]enemies!$2:$2,0)+1),MATCH(N$1,[2]enemies!$2:$2,0)-MATCH($I$1,[2]enemies!$2:$2,0)+1,FALSE)</f>
        <v>#N/A</v>
      </c>
      <c r="O15" s="6">
        <v>2</v>
      </c>
      <c r="P15" s="43">
        <v>1</v>
      </c>
      <c r="Q15" s="43">
        <v>1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v>0</v>
      </c>
      <c r="U15" s="7">
        <v>0</v>
      </c>
      <c r="V15" s="7">
        <v>100</v>
      </c>
      <c r="W15" s="7">
        <v>0</v>
      </c>
      <c r="X15" s="26" t="e">
        <f ca="1">VLOOKUP($I15,OFFSET([2]enemies!$A$1,0,0,COUNTA([2]enemies!$A:$A),MATCH(X$1,[2]enemies!$2:$2,0)-MATCH($I$1,[2]enemies!$2:$2,0)+1),MATCH(X$1,[2]enemies!$2:$2,0)-MATCH($I$1,[2]enemies!$2:$2,0)+1,FALSE)</f>
        <v>#N/A</v>
      </c>
      <c r="Y15" s="31">
        <v>9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/>
      </c>
      <c r="AA15" s="5" t="str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/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/>
      </c>
      <c r="AC15" s="8">
        <v>1</v>
      </c>
      <c r="AD15" s="8" t="str">
        <f t="shared" ca="1" si="3"/>
        <v/>
      </c>
      <c r="AE15" s="9">
        <v>40</v>
      </c>
      <c r="AF15" s="38">
        <v>0</v>
      </c>
      <c r="AG15" s="38">
        <v>0</v>
      </c>
      <c r="AH15" s="38">
        <v>0</v>
      </c>
      <c r="AI15" s="38">
        <v>0</v>
      </c>
      <c r="AJ15" s="38">
        <v>1</v>
      </c>
    </row>
    <row r="16" spans="1:36" ht="21" customHeight="1" x14ac:dyDescent="0.15">
      <c r="A16" s="21" t="e">
        <f t="shared" ca="1" si="2"/>
        <v>#N/A</v>
      </c>
      <c r="B16" s="33">
        <v>2</v>
      </c>
      <c r="C16" s="32">
        <v>3</v>
      </c>
      <c r="D16" s="2" t="str">
        <f t="shared" si="0"/>
        <v>2_3</v>
      </c>
      <c r="E16" s="5" t="str">
        <f ca="1">VLOOKUP($B16,OFFSET([1]quests!$A$1,0,0,COUNTA([1]quests!$A:$A),MATCH(E$1,[1]quests!$1:$1,0)-MATCH($B$1,[1]quests!$1:$1,0)+1),MATCH(E$1,[1]quests!$1:$1,0)-MATCH($B$1,[1]quests!$1:$1,0)+1,FALSE)</f>
        <v>2．火之柄神社</v>
      </c>
      <c r="F16" s="5" t="str">
        <f ca="1">VLOOKUP($D16,OFFSET([1]stages!$A$1,0,0,COUNTA([1]stages!$A:$A),MATCH(F$1,[1]stages!$2:$2,0)-MATCH($D$1,[1]stages!$2:$2,0)+1),MATCH(F$1,[1]stages!$2:$2,0)-MATCH($D$1,[1]stages!$2:$2,0)+1,FALSE)</f>
        <v>2-3. 妖炎の誘い</v>
      </c>
      <c r="G16" s="32">
        <v>1</v>
      </c>
      <c r="H16" s="20" t="str">
        <f t="shared" si="1"/>
        <v>2_3-1</v>
      </c>
      <c r="I16" s="31">
        <v>15</v>
      </c>
      <c r="J16" s="26" t="e">
        <f ca="1">VLOOKUP($I16,OFFSET([2]enemies!$A$1,0,0,COUNTA([2]enemies!$A:$A),MATCH(J$1,[2]enemies!$2:$2,0)-MATCH($I$1,[2]enemies!$2:$2,0)+1),MATCH(J$1,[2]enemies!$2:$2,0)-MATCH($I$1,[2]enemies!$2:$2,0)+1,FALSE)</f>
        <v>#N/A</v>
      </c>
      <c r="K16" s="29" t="e">
        <f ca="1">VLOOKUP($I16,OFFSET([2]enemies!$A$1,0,0,COUNTA([2]enemies!$A:$A),MATCH(K$1,[2]enemies!$2:$2,0)-MATCH($I$1,[2]enemies!$2:$2,0)+1),MATCH(K$1,[2]enemies!$2:$2,0)-MATCH($I$1,[2]enemies!$2:$2,0)+1,FALSE)</f>
        <v>#N/A</v>
      </c>
      <c r="L16" s="29" t="e">
        <f ca="1">VLOOKUP($I16,OFFSET([3]characters!$A$1,0,0,COUNTA([3]characters!$A:$A),MATCH(L$1,[3]characters!$2:$2,0)-MATCH($I$1,[3]characters!$2:$2,0)+1),MATCH(L$1,[3]characters!$2:$2,0)-MATCH($I$1,[3]characters!$2:$2,0)+1,FALSE)</f>
        <v>#N/A</v>
      </c>
      <c r="M16" s="28" t="e">
        <f ca="1">VLOOKUP($I16,OFFSET([3]characters!$A$1,0,0,COUNTA([3]characters!$A:$A),MATCH(M$1,[3]characters!$2:$2,0)-MATCH($I$1,[3]characters!$2:$2,0)+2),MATCH(M$1,[3]characters!$2:$2,0)-MATCH($I$1,[3]characters!$2:$2,0)+2,FALSE)</f>
        <v>#N/A</v>
      </c>
      <c r="N16" s="5" t="e">
        <f ca="1">VLOOKUP($I16,OFFSET([2]enemies!$A$1,0,0,COUNTA([2]enemies!$A:$A),MATCH(N$1,[2]enemies!$2:$2,0)-MATCH($I$1,[2]enemies!$2:$2,0)+1),MATCH(N$1,[2]enemies!$2:$2,0)-MATCH($I$1,[2]enemies!$2:$2,0)+1,FALSE)</f>
        <v>#N/A</v>
      </c>
      <c r="O16" s="6">
        <v>2</v>
      </c>
      <c r="P16" s="43">
        <v>1</v>
      </c>
      <c r="Q16" s="43">
        <v>1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v>0</v>
      </c>
      <c r="U16" s="7">
        <v>0</v>
      </c>
      <c r="V16" s="7">
        <v>100</v>
      </c>
      <c r="W16" s="7">
        <v>0</v>
      </c>
      <c r="X16" s="26" t="e">
        <f ca="1">VLOOKUP($I16,OFFSET([2]enemies!$A$1,0,0,COUNTA([2]enemies!$A:$A),MATCH(X$1,[2]enemies!$2:$2,0)-MATCH($I$1,[2]enemies!$2:$2,0)+1),MATCH(X$1,[2]enemies!$2:$2,0)-MATCH($I$1,[2]enemies!$2:$2,0)+1,FALSE)</f>
        <v>#N/A</v>
      </c>
      <c r="Y16" s="31">
        <v>15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/>
      </c>
      <c r="AA16" s="5" t="str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/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/>
      </c>
      <c r="AC16" s="8">
        <v>1</v>
      </c>
      <c r="AD16" s="8" t="str">
        <f t="shared" ca="1" si="3"/>
        <v/>
      </c>
      <c r="AE16" s="9">
        <v>40</v>
      </c>
      <c r="AF16" s="38">
        <v>0</v>
      </c>
      <c r="AG16" s="38">
        <v>0</v>
      </c>
      <c r="AH16" s="38">
        <v>0</v>
      </c>
      <c r="AI16" s="38">
        <v>0</v>
      </c>
      <c r="AJ16" s="38">
        <v>1</v>
      </c>
    </row>
    <row r="17" spans="1:36" ht="21" customHeight="1" x14ac:dyDescent="0.15">
      <c r="A17" s="21" t="e">
        <f t="shared" ca="1" si="2"/>
        <v>#N/A</v>
      </c>
      <c r="B17" s="33">
        <v>2</v>
      </c>
      <c r="C17" s="32">
        <v>3</v>
      </c>
      <c r="D17" s="2" t="str">
        <f t="shared" si="0"/>
        <v>2_3</v>
      </c>
      <c r="E17" s="5" t="str">
        <f ca="1">VLOOKUP($B17,OFFSET([1]quests!$A$1,0,0,COUNTA([1]quests!$A:$A),MATCH(E$1,[1]quests!$1:$1,0)-MATCH($B$1,[1]quests!$1:$1,0)+1),MATCH(E$1,[1]quests!$1:$1,0)-MATCH($B$1,[1]quests!$1:$1,0)+1,FALSE)</f>
        <v>2．火之柄神社</v>
      </c>
      <c r="F17" s="5" t="str">
        <f ca="1">VLOOKUP($D17,OFFSET([1]stages!$A$1,0,0,COUNTA([1]stages!$A:$A),MATCH(F$1,[1]stages!$2:$2,0)-MATCH($D$1,[1]stages!$2:$2,0)+1),MATCH(F$1,[1]stages!$2:$2,0)-MATCH($D$1,[1]stages!$2:$2,0)+1,FALSE)</f>
        <v>2-3. 妖炎の誘い</v>
      </c>
      <c r="G17" s="32">
        <v>2</v>
      </c>
      <c r="H17" s="20" t="str">
        <f t="shared" si="1"/>
        <v>2_3-2</v>
      </c>
      <c r="I17" s="31">
        <v>1</v>
      </c>
      <c r="J17" s="26" t="e">
        <f ca="1">VLOOKUP($I17,OFFSET([2]enemies!$A$1,0,0,COUNTA([2]enemies!$A:$A),MATCH(J$1,[2]enemies!$2:$2,0)-MATCH($I$1,[2]enemies!$2:$2,0)+1),MATCH(J$1,[2]enemies!$2:$2,0)-MATCH($I$1,[2]enemies!$2:$2,0)+1,FALSE)</f>
        <v>#N/A</v>
      </c>
      <c r="K17" s="29" t="e">
        <f ca="1">VLOOKUP($I17,OFFSET([2]enemies!$A$1,0,0,COUNTA([2]enemies!$A:$A),MATCH(K$1,[2]enemies!$2:$2,0)-MATCH($I$1,[2]enemies!$2:$2,0)+1),MATCH(K$1,[2]enemies!$2:$2,0)-MATCH($I$1,[2]enemies!$2:$2,0)+1,FALSE)</f>
        <v>#N/A</v>
      </c>
      <c r="L17" s="29" t="e">
        <f ca="1">VLOOKUP($I17,OFFSET([3]characters!$A$1,0,0,COUNTA([3]characters!$A:$A),MATCH(L$1,[3]characters!$2:$2,0)-MATCH($I$1,[3]characters!$2:$2,0)+1),MATCH(L$1,[3]characters!$2:$2,0)-MATCH($I$1,[3]characters!$2:$2,0)+1,FALSE)</f>
        <v>#N/A</v>
      </c>
      <c r="M17" s="28" t="e">
        <f ca="1">VLOOKUP($I17,OFFSET([3]characters!$A$1,0,0,COUNTA([3]characters!$A:$A),MATCH(M$1,[3]characters!$2:$2,0)-MATCH($I$1,[3]characters!$2:$2,0)+2),MATCH(M$1,[3]characters!$2:$2,0)-MATCH($I$1,[3]characters!$2:$2,0)+2,FALSE)</f>
        <v>#N/A</v>
      </c>
      <c r="N17" s="5" t="e">
        <f ca="1">VLOOKUP($I17,OFFSET([2]enemies!$A$1,0,0,COUNTA([2]enemies!$A:$A),MATCH(N$1,[2]enemies!$2:$2,0)-MATCH($I$1,[2]enemies!$2:$2,0)+1),MATCH(N$1,[2]enemies!$2:$2,0)-MATCH($I$1,[2]enemies!$2:$2,0)+1,FALSE)</f>
        <v>#N/A</v>
      </c>
      <c r="O17" s="6">
        <v>2</v>
      </c>
      <c r="P17" s="43">
        <v>1</v>
      </c>
      <c r="Q17" s="43">
        <v>1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5">
        <v>0</v>
      </c>
      <c r="U17" s="7">
        <v>0</v>
      </c>
      <c r="V17" s="7">
        <v>100</v>
      </c>
      <c r="W17" s="7">
        <v>0</v>
      </c>
      <c r="X17" s="26" t="e">
        <f ca="1">VLOOKUP($I17,OFFSET([2]enemies!$A$1,0,0,COUNTA([2]enemies!$A:$A),MATCH(X$1,[2]enemies!$2:$2,0)-MATCH($I$1,[2]enemies!$2:$2,0)+1),MATCH(X$1,[2]enemies!$2:$2,0)-MATCH($I$1,[2]enemies!$2:$2,0)+1,FALSE)</f>
        <v>#N/A</v>
      </c>
      <c r="Y17" s="31">
        <v>1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/>
      </c>
      <c r="AA17" s="5" t="str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/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/>
      </c>
      <c r="AC17" s="8">
        <v>3</v>
      </c>
      <c r="AD17" s="8" t="str">
        <f t="shared" ca="1" si="3"/>
        <v/>
      </c>
      <c r="AE17" s="9">
        <v>40</v>
      </c>
      <c r="AF17" s="38">
        <v>0</v>
      </c>
      <c r="AG17" s="38">
        <v>0</v>
      </c>
      <c r="AH17" s="38">
        <v>0</v>
      </c>
      <c r="AI17" s="38">
        <v>0</v>
      </c>
      <c r="AJ17" s="38">
        <v>1</v>
      </c>
    </row>
    <row r="18" spans="1:36" ht="21" customHeight="1" x14ac:dyDescent="0.15">
      <c r="A18" s="21" t="e">
        <f t="shared" ca="1" si="2"/>
        <v>#N/A</v>
      </c>
      <c r="B18" s="33">
        <v>2</v>
      </c>
      <c r="C18" s="32">
        <v>3</v>
      </c>
      <c r="D18" s="2" t="str">
        <f t="shared" si="0"/>
        <v>2_3</v>
      </c>
      <c r="E18" s="5" t="str">
        <f ca="1">VLOOKUP($B18,OFFSET([1]quests!$A$1,0,0,COUNTA([1]quests!$A:$A),MATCH(E$1,[1]quests!$1:$1,0)-MATCH($B$1,[1]quests!$1:$1,0)+1),MATCH(E$1,[1]quests!$1:$1,0)-MATCH($B$1,[1]quests!$1:$1,0)+1,FALSE)</f>
        <v>2．火之柄神社</v>
      </c>
      <c r="F18" s="5" t="str">
        <f ca="1">VLOOKUP($D18,OFFSET([1]stages!$A$1,0,0,COUNTA([1]stages!$A:$A),MATCH(F$1,[1]stages!$2:$2,0)-MATCH($D$1,[1]stages!$2:$2,0)+1),MATCH(F$1,[1]stages!$2:$2,0)-MATCH($D$1,[1]stages!$2:$2,0)+1,FALSE)</f>
        <v>2-3. 妖炎の誘い</v>
      </c>
      <c r="G18" s="32">
        <v>2</v>
      </c>
      <c r="H18" s="20" t="str">
        <f t="shared" si="1"/>
        <v>2_3-2</v>
      </c>
      <c r="I18" s="31">
        <v>9</v>
      </c>
      <c r="J18" s="26" t="e">
        <f ca="1">VLOOKUP($I18,OFFSET([2]enemies!$A$1,0,0,COUNTA([2]enemies!$A:$A),MATCH(J$1,[2]enemies!$2:$2,0)-MATCH($I$1,[2]enemies!$2:$2,0)+1),MATCH(J$1,[2]enemies!$2:$2,0)-MATCH($I$1,[2]enemies!$2:$2,0)+1,FALSE)</f>
        <v>#N/A</v>
      </c>
      <c r="K18" s="29" t="e">
        <f ca="1">VLOOKUP($I18,OFFSET([2]enemies!$A$1,0,0,COUNTA([2]enemies!$A:$A),MATCH(K$1,[2]enemies!$2:$2,0)-MATCH($I$1,[2]enemies!$2:$2,0)+1),MATCH(K$1,[2]enemies!$2:$2,0)-MATCH($I$1,[2]enemies!$2:$2,0)+1,FALSE)</f>
        <v>#N/A</v>
      </c>
      <c r="L18" s="29" t="e">
        <f ca="1">VLOOKUP($I18,OFFSET([3]characters!$A$1,0,0,COUNTA([3]characters!$A:$A),MATCH(L$1,[3]characters!$2:$2,0)-MATCH($I$1,[3]characters!$2:$2,0)+1),MATCH(L$1,[3]characters!$2:$2,0)-MATCH($I$1,[3]characters!$2:$2,0)+1,FALSE)</f>
        <v>#N/A</v>
      </c>
      <c r="M18" s="28" t="e">
        <f ca="1">VLOOKUP($I18,OFFSET([3]characters!$A$1,0,0,COUNTA([3]characters!$A:$A),MATCH(M$1,[3]characters!$2:$2,0)-MATCH($I$1,[3]characters!$2:$2,0)+2),MATCH(M$1,[3]characters!$2:$2,0)-MATCH($I$1,[3]characters!$2:$2,0)+2,FALSE)</f>
        <v>#N/A</v>
      </c>
      <c r="N18" s="5" t="e">
        <f ca="1">VLOOKUP($I18,OFFSET([2]enemies!$A$1,0,0,COUNTA([2]enemies!$A:$A),MATCH(N$1,[2]enemies!$2:$2,0)-MATCH($I$1,[2]enemies!$2:$2,0)+1),MATCH(N$1,[2]enemies!$2:$2,0)-MATCH($I$1,[2]enemies!$2:$2,0)+1,FALSE)</f>
        <v>#N/A</v>
      </c>
      <c r="O18" s="6">
        <v>2</v>
      </c>
      <c r="P18" s="43">
        <v>1</v>
      </c>
      <c r="Q18" s="43">
        <v>1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5">
        <v>0</v>
      </c>
      <c r="U18" s="7">
        <v>0</v>
      </c>
      <c r="V18" s="7">
        <v>100</v>
      </c>
      <c r="W18" s="7">
        <v>0</v>
      </c>
      <c r="X18" s="26" t="e">
        <f ca="1">VLOOKUP($I18,OFFSET([2]enemies!$A$1,0,0,COUNTA([2]enemies!$A:$A),MATCH(X$1,[2]enemies!$2:$2,0)-MATCH($I$1,[2]enemies!$2:$2,0)+1),MATCH(X$1,[2]enemies!$2:$2,0)-MATCH($I$1,[2]enemies!$2:$2,0)+1,FALSE)</f>
        <v>#N/A</v>
      </c>
      <c r="Y18" s="31">
        <v>9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/>
      </c>
      <c r="AA18" s="5" t="str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/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/>
      </c>
      <c r="AC18" s="8">
        <v>1</v>
      </c>
      <c r="AD18" s="8" t="str">
        <f t="shared" ca="1" si="3"/>
        <v/>
      </c>
      <c r="AE18" s="9">
        <v>40</v>
      </c>
      <c r="AF18" s="38">
        <v>0</v>
      </c>
      <c r="AG18" s="38">
        <v>0</v>
      </c>
      <c r="AH18" s="38">
        <v>0</v>
      </c>
      <c r="AI18" s="38">
        <v>0</v>
      </c>
      <c r="AJ18" s="38">
        <v>1</v>
      </c>
    </row>
    <row r="19" spans="1:36" ht="21" customHeight="1" x14ac:dyDescent="0.15">
      <c r="A19" s="21" t="e">
        <f t="shared" ca="1" si="2"/>
        <v>#N/A</v>
      </c>
      <c r="B19" s="33">
        <v>2</v>
      </c>
      <c r="C19" s="32">
        <v>3</v>
      </c>
      <c r="D19" s="2" t="str">
        <f t="shared" si="0"/>
        <v>2_3</v>
      </c>
      <c r="E19" s="5" t="str">
        <f ca="1">VLOOKUP($B19,OFFSET([1]quests!$A$1,0,0,COUNTA([1]quests!$A:$A),MATCH(E$1,[1]quests!$1:$1,0)-MATCH($B$1,[1]quests!$1:$1,0)+1),MATCH(E$1,[1]quests!$1:$1,0)-MATCH($B$1,[1]quests!$1:$1,0)+1,FALSE)</f>
        <v>2．火之柄神社</v>
      </c>
      <c r="F19" s="5" t="str">
        <f ca="1">VLOOKUP($D19,OFFSET([1]stages!$A$1,0,0,COUNTA([1]stages!$A:$A),MATCH(F$1,[1]stages!$2:$2,0)-MATCH($D$1,[1]stages!$2:$2,0)+1),MATCH(F$1,[1]stages!$2:$2,0)-MATCH($D$1,[1]stages!$2:$2,0)+1,FALSE)</f>
        <v>2-3. 妖炎の誘い</v>
      </c>
      <c r="G19" s="32">
        <v>2</v>
      </c>
      <c r="H19" s="20" t="str">
        <f t="shared" si="1"/>
        <v>2_3-2</v>
      </c>
      <c r="I19" s="31">
        <v>15</v>
      </c>
      <c r="J19" s="26" t="e">
        <f ca="1">VLOOKUP($I19,OFFSET([2]enemies!$A$1,0,0,COUNTA([2]enemies!$A:$A),MATCH(J$1,[2]enemies!$2:$2,0)-MATCH($I$1,[2]enemies!$2:$2,0)+1),MATCH(J$1,[2]enemies!$2:$2,0)-MATCH($I$1,[2]enemies!$2:$2,0)+1,FALSE)</f>
        <v>#N/A</v>
      </c>
      <c r="K19" s="29" t="e">
        <f ca="1">VLOOKUP($I19,OFFSET([2]enemies!$A$1,0,0,COUNTA([2]enemies!$A:$A),MATCH(K$1,[2]enemies!$2:$2,0)-MATCH($I$1,[2]enemies!$2:$2,0)+1),MATCH(K$1,[2]enemies!$2:$2,0)-MATCH($I$1,[2]enemies!$2:$2,0)+1,FALSE)</f>
        <v>#N/A</v>
      </c>
      <c r="L19" s="29" t="e">
        <f ca="1">VLOOKUP($I19,OFFSET([3]characters!$A$1,0,0,COUNTA([3]characters!$A:$A),MATCH(L$1,[3]characters!$2:$2,0)-MATCH($I$1,[3]characters!$2:$2,0)+1),MATCH(L$1,[3]characters!$2:$2,0)-MATCH($I$1,[3]characters!$2:$2,0)+1,FALSE)</f>
        <v>#N/A</v>
      </c>
      <c r="M19" s="28" t="e">
        <f ca="1">VLOOKUP($I19,OFFSET([3]characters!$A$1,0,0,COUNTA([3]characters!$A:$A),MATCH(M$1,[3]characters!$2:$2,0)-MATCH($I$1,[3]characters!$2:$2,0)+2),MATCH(M$1,[3]characters!$2:$2,0)-MATCH($I$1,[3]characters!$2:$2,0)+2,FALSE)</f>
        <v>#N/A</v>
      </c>
      <c r="N19" s="5" t="e">
        <f ca="1">VLOOKUP($I19,OFFSET([2]enemies!$A$1,0,0,COUNTA([2]enemies!$A:$A),MATCH(N$1,[2]enemies!$2:$2,0)-MATCH($I$1,[2]enemies!$2:$2,0)+1),MATCH(N$1,[2]enemies!$2:$2,0)-MATCH($I$1,[2]enemies!$2:$2,0)+1,FALSE)</f>
        <v>#N/A</v>
      </c>
      <c r="O19" s="6">
        <v>2</v>
      </c>
      <c r="P19" s="43">
        <v>1</v>
      </c>
      <c r="Q19" s="43">
        <v>1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5">
        <v>0</v>
      </c>
      <c r="U19" s="7">
        <v>0</v>
      </c>
      <c r="V19" s="7">
        <v>100</v>
      </c>
      <c r="W19" s="7">
        <v>0</v>
      </c>
      <c r="X19" s="26" t="e">
        <f ca="1">VLOOKUP($I19,OFFSET([2]enemies!$A$1,0,0,COUNTA([2]enemies!$A:$A),MATCH(X$1,[2]enemies!$2:$2,0)-MATCH($I$1,[2]enemies!$2:$2,0)+1),MATCH(X$1,[2]enemies!$2:$2,0)-MATCH($I$1,[2]enemies!$2:$2,0)+1,FALSE)</f>
        <v>#N/A</v>
      </c>
      <c r="Y19" s="31">
        <v>15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/>
      </c>
      <c r="AA19" s="5" t="str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/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/>
      </c>
      <c r="AC19" s="8">
        <v>1</v>
      </c>
      <c r="AD19" s="8" t="str">
        <f t="shared" ca="1" si="3"/>
        <v/>
      </c>
      <c r="AE19" s="9">
        <v>40</v>
      </c>
      <c r="AF19" s="38">
        <v>0</v>
      </c>
      <c r="AG19" s="38">
        <v>0</v>
      </c>
      <c r="AH19" s="38">
        <v>0</v>
      </c>
      <c r="AI19" s="38">
        <v>0</v>
      </c>
      <c r="AJ19" s="38">
        <v>1</v>
      </c>
    </row>
    <row r="20" spans="1:36" ht="21" customHeight="1" x14ac:dyDescent="0.15">
      <c r="A20" s="21" t="e">
        <f t="shared" ref="A20:A22" ca="1" si="4">B20&amp;"_"&amp;C20&amp;"-"&amp;G20&amp;"/"&amp;I20&amp;"&lt;lv"&amp;O20&amp;"&gt;s"&amp;X20</f>
        <v>#N/A</v>
      </c>
      <c r="B20" s="33">
        <v>2</v>
      </c>
      <c r="C20" s="32">
        <v>3</v>
      </c>
      <c r="D20" s="2" t="str">
        <f t="shared" ref="D20:D22" si="5">B20&amp;"_"&amp;C20</f>
        <v>2_3</v>
      </c>
      <c r="E20" s="5" t="str">
        <f ca="1">VLOOKUP($B20,OFFSET([1]quests!$A$1,0,0,COUNTA([1]quests!$A:$A),MATCH(E$1,[1]quests!$1:$1,0)-MATCH($B$1,[1]quests!$1:$1,0)+1),MATCH(E$1,[1]quests!$1:$1,0)-MATCH($B$1,[1]quests!$1:$1,0)+1,FALSE)</f>
        <v>2．火之柄神社</v>
      </c>
      <c r="F20" s="5" t="str">
        <f ca="1">VLOOKUP($D20,OFFSET([1]stages!$A$1,0,0,COUNTA([1]stages!$A:$A),MATCH(F$1,[1]stages!$2:$2,0)-MATCH($D$1,[1]stages!$2:$2,0)+1),MATCH(F$1,[1]stages!$2:$2,0)-MATCH($D$1,[1]stages!$2:$2,0)+1,FALSE)</f>
        <v>2-3. 妖炎の誘い</v>
      </c>
      <c r="G20" s="32">
        <v>3</v>
      </c>
      <c r="H20" s="20" t="str">
        <f t="shared" ref="H20:H22" si="6">B20&amp;"_"&amp;C20&amp;"-"&amp;G20</f>
        <v>2_3-3</v>
      </c>
      <c r="I20" s="31">
        <v>1</v>
      </c>
      <c r="J20" s="26" t="e">
        <f ca="1">VLOOKUP($I20,OFFSET([2]enemies!$A$1,0,0,COUNTA([2]enemies!$A:$A),MATCH(J$1,[2]enemies!$2:$2,0)-MATCH($I$1,[2]enemies!$2:$2,0)+1),MATCH(J$1,[2]enemies!$2:$2,0)-MATCH($I$1,[2]enemies!$2:$2,0)+1,FALSE)</f>
        <v>#N/A</v>
      </c>
      <c r="K20" s="29" t="e">
        <f ca="1">VLOOKUP($I20,OFFSET([2]enemies!$A$1,0,0,COUNTA([2]enemies!$A:$A),MATCH(K$1,[2]enemies!$2:$2,0)-MATCH($I$1,[2]enemies!$2:$2,0)+1),MATCH(K$1,[2]enemies!$2:$2,0)-MATCH($I$1,[2]enemies!$2:$2,0)+1,FALSE)</f>
        <v>#N/A</v>
      </c>
      <c r="L20" s="29" t="e">
        <f ca="1">VLOOKUP($I20,OFFSET([3]characters!$A$1,0,0,COUNTA([3]characters!$A:$A),MATCH(L$1,[3]characters!$2:$2,0)-MATCH($I$1,[3]characters!$2:$2,0)+1),MATCH(L$1,[3]characters!$2:$2,0)-MATCH($I$1,[3]characters!$2:$2,0)+1,FALSE)</f>
        <v>#N/A</v>
      </c>
      <c r="M20" s="28" t="e">
        <f ca="1">VLOOKUP($I20,OFFSET([3]characters!$A$1,0,0,COUNTA([3]characters!$A:$A),MATCH(M$1,[3]characters!$2:$2,0)-MATCH($I$1,[3]characters!$2:$2,0)+2),MATCH(M$1,[3]characters!$2:$2,0)-MATCH($I$1,[3]characters!$2:$2,0)+2,FALSE)</f>
        <v>#N/A</v>
      </c>
      <c r="N20" s="5" t="e">
        <f ca="1">VLOOKUP($I20,OFFSET([2]enemies!$A$1,0,0,COUNTA([2]enemies!$A:$A),MATCH(N$1,[2]enemies!$2:$2,0)-MATCH($I$1,[2]enemies!$2:$2,0)+1),MATCH(N$1,[2]enemies!$2:$2,0)-MATCH($I$1,[2]enemies!$2:$2,0)+1,FALSE)</f>
        <v>#N/A</v>
      </c>
      <c r="O20" s="6">
        <v>2</v>
      </c>
      <c r="P20" s="43">
        <v>1</v>
      </c>
      <c r="Q20" s="43">
        <v>1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5">
        <v>0</v>
      </c>
      <c r="U20" s="7">
        <v>0</v>
      </c>
      <c r="V20" s="7">
        <v>100</v>
      </c>
      <c r="W20" s="7">
        <v>0</v>
      </c>
      <c r="X20" s="26" t="e">
        <f ca="1">VLOOKUP($I20,OFFSET([2]enemies!$A$1,0,0,COUNTA([2]enemies!$A:$A),MATCH(X$1,[2]enemies!$2:$2,0)-MATCH($I$1,[2]enemies!$2:$2,0)+1),MATCH(X$1,[2]enemies!$2:$2,0)-MATCH($I$1,[2]enemies!$2:$2,0)+1,FALSE)</f>
        <v>#N/A</v>
      </c>
      <c r="Y20" s="31">
        <v>1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/>
      </c>
      <c r="AA20" s="5" t="str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/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/>
      </c>
      <c r="AC20" s="8">
        <v>3</v>
      </c>
      <c r="AD20" s="8" t="str">
        <f t="shared" ref="AD20:AD22" ca="1" si="7">AA20</f>
        <v/>
      </c>
      <c r="AE20" s="9">
        <v>40</v>
      </c>
      <c r="AF20" s="38">
        <v>0</v>
      </c>
      <c r="AG20" s="38">
        <v>0</v>
      </c>
      <c r="AH20" s="38">
        <v>0</v>
      </c>
      <c r="AI20" s="38">
        <v>0</v>
      </c>
      <c r="AJ20" s="38">
        <v>1</v>
      </c>
    </row>
    <row r="21" spans="1:36" ht="21" customHeight="1" x14ac:dyDescent="0.15">
      <c r="A21" s="21" t="e">
        <f t="shared" ca="1" si="4"/>
        <v>#N/A</v>
      </c>
      <c r="B21" s="33">
        <v>2</v>
      </c>
      <c r="C21" s="32">
        <v>3</v>
      </c>
      <c r="D21" s="2" t="str">
        <f t="shared" si="5"/>
        <v>2_3</v>
      </c>
      <c r="E21" s="5" t="str">
        <f ca="1">VLOOKUP($B21,OFFSET([1]quests!$A$1,0,0,COUNTA([1]quests!$A:$A),MATCH(E$1,[1]quests!$1:$1,0)-MATCH($B$1,[1]quests!$1:$1,0)+1),MATCH(E$1,[1]quests!$1:$1,0)-MATCH($B$1,[1]quests!$1:$1,0)+1,FALSE)</f>
        <v>2．火之柄神社</v>
      </c>
      <c r="F21" s="5" t="str">
        <f ca="1">VLOOKUP($D21,OFFSET([1]stages!$A$1,0,0,COUNTA([1]stages!$A:$A),MATCH(F$1,[1]stages!$2:$2,0)-MATCH($D$1,[1]stages!$2:$2,0)+1),MATCH(F$1,[1]stages!$2:$2,0)-MATCH($D$1,[1]stages!$2:$2,0)+1,FALSE)</f>
        <v>2-3. 妖炎の誘い</v>
      </c>
      <c r="G21" s="32">
        <v>3</v>
      </c>
      <c r="H21" s="20" t="str">
        <f t="shared" si="6"/>
        <v>2_3-3</v>
      </c>
      <c r="I21" s="31">
        <v>9</v>
      </c>
      <c r="J21" s="26" t="e">
        <f ca="1">VLOOKUP($I21,OFFSET([2]enemies!$A$1,0,0,COUNTA([2]enemies!$A:$A),MATCH(J$1,[2]enemies!$2:$2,0)-MATCH($I$1,[2]enemies!$2:$2,0)+1),MATCH(J$1,[2]enemies!$2:$2,0)-MATCH($I$1,[2]enemies!$2:$2,0)+1,FALSE)</f>
        <v>#N/A</v>
      </c>
      <c r="K21" s="29" t="e">
        <f ca="1">VLOOKUP($I21,OFFSET([2]enemies!$A$1,0,0,COUNTA([2]enemies!$A:$A),MATCH(K$1,[2]enemies!$2:$2,0)-MATCH($I$1,[2]enemies!$2:$2,0)+1),MATCH(K$1,[2]enemies!$2:$2,0)-MATCH($I$1,[2]enemies!$2:$2,0)+1,FALSE)</f>
        <v>#N/A</v>
      </c>
      <c r="L21" s="29" t="e">
        <f ca="1">VLOOKUP($I21,OFFSET([3]characters!$A$1,0,0,COUNTA([3]characters!$A:$A),MATCH(L$1,[3]characters!$2:$2,0)-MATCH($I$1,[3]characters!$2:$2,0)+1),MATCH(L$1,[3]characters!$2:$2,0)-MATCH($I$1,[3]characters!$2:$2,0)+1,FALSE)</f>
        <v>#N/A</v>
      </c>
      <c r="M21" s="28" t="e">
        <f ca="1">VLOOKUP($I21,OFFSET([3]characters!$A$1,0,0,COUNTA([3]characters!$A:$A),MATCH(M$1,[3]characters!$2:$2,0)-MATCH($I$1,[3]characters!$2:$2,0)+2),MATCH(M$1,[3]characters!$2:$2,0)-MATCH($I$1,[3]characters!$2:$2,0)+2,FALSE)</f>
        <v>#N/A</v>
      </c>
      <c r="N21" s="5" t="e">
        <f ca="1">VLOOKUP($I21,OFFSET([2]enemies!$A$1,0,0,COUNTA([2]enemies!$A:$A),MATCH(N$1,[2]enemies!$2:$2,0)-MATCH($I$1,[2]enemies!$2:$2,0)+1),MATCH(N$1,[2]enemies!$2:$2,0)-MATCH($I$1,[2]enemies!$2:$2,0)+1,FALSE)</f>
        <v>#N/A</v>
      </c>
      <c r="O21" s="6">
        <v>2</v>
      </c>
      <c r="P21" s="43">
        <v>1</v>
      </c>
      <c r="Q21" s="43">
        <v>1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5">
        <v>0</v>
      </c>
      <c r="U21" s="7">
        <v>0</v>
      </c>
      <c r="V21" s="7">
        <v>100</v>
      </c>
      <c r="W21" s="7">
        <v>0</v>
      </c>
      <c r="X21" s="26" t="e">
        <f ca="1">VLOOKUP($I21,OFFSET([2]enemies!$A$1,0,0,COUNTA([2]enemies!$A:$A),MATCH(X$1,[2]enemies!$2:$2,0)-MATCH($I$1,[2]enemies!$2:$2,0)+1),MATCH(X$1,[2]enemies!$2:$2,0)-MATCH($I$1,[2]enemies!$2:$2,0)+1,FALSE)</f>
        <v>#N/A</v>
      </c>
      <c r="Y21" s="31">
        <v>9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/>
      </c>
      <c r="AA21" s="5" t="str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/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/>
      </c>
      <c r="AC21" s="8">
        <v>1</v>
      </c>
      <c r="AD21" s="8" t="str">
        <f t="shared" ca="1" si="7"/>
        <v/>
      </c>
      <c r="AE21" s="9">
        <v>40</v>
      </c>
      <c r="AF21" s="38">
        <v>0</v>
      </c>
      <c r="AG21" s="38">
        <v>0</v>
      </c>
      <c r="AH21" s="38">
        <v>0</v>
      </c>
      <c r="AI21" s="38">
        <v>0</v>
      </c>
      <c r="AJ21" s="38">
        <v>1</v>
      </c>
    </row>
    <row r="22" spans="1:36" ht="21" customHeight="1" x14ac:dyDescent="0.15">
      <c r="A22" s="21" t="e">
        <f t="shared" ca="1" si="4"/>
        <v>#N/A</v>
      </c>
      <c r="B22" s="33">
        <v>2</v>
      </c>
      <c r="C22" s="32">
        <v>3</v>
      </c>
      <c r="D22" s="2" t="str">
        <f t="shared" si="5"/>
        <v>2_3</v>
      </c>
      <c r="E22" s="5" t="str">
        <f ca="1">VLOOKUP($B22,OFFSET([1]quests!$A$1,0,0,COUNTA([1]quests!$A:$A),MATCH(E$1,[1]quests!$1:$1,0)-MATCH($B$1,[1]quests!$1:$1,0)+1),MATCH(E$1,[1]quests!$1:$1,0)-MATCH($B$1,[1]quests!$1:$1,0)+1,FALSE)</f>
        <v>2．火之柄神社</v>
      </c>
      <c r="F22" s="5" t="str">
        <f ca="1">VLOOKUP($D22,OFFSET([1]stages!$A$1,0,0,COUNTA([1]stages!$A:$A),MATCH(F$1,[1]stages!$2:$2,0)-MATCH($D$1,[1]stages!$2:$2,0)+1),MATCH(F$1,[1]stages!$2:$2,0)-MATCH($D$1,[1]stages!$2:$2,0)+1,FALSE)</f>
        <v>2-3. 妖炎の誘い</v>
      </c>
      <c r="G22" s="32">
        <v>3</v>
      </c>
      <c r="H22" s="20" t="str">
        <f t="shared" si="6"/>
        <v>2_3-3</v>
      </c>
      <c r="I22" s="31">
        <v>15</v>
      </c>
      <c r="J22" s="26" t="e">
        <f ca="1">VLOOKUP($I22,OFFSET([2]enemies!$A$1,0,0,COUNTA([2]enemies!$A:$A),MATCH(J$1,[2]enemies!$2:$2,0)-MATCH($I$1,[2]enemies!$2:$2,0)+1),MATCH(J$1,[2]enemies!$2:$2,0)-MATCH($I$1,[2]enemies!$2:$2,0)+1,FALSE)</f>
        <v>#N/A</v>
      </c>
      <c r="K22" s="29" t="e">
        <f ca="1">VLOOKUP($I22,OFFSET([2]enemies!$A$1,0,0,COUNTA([2]enemies!$A:$A),MATCH(K$1,[2]enemies!$2:$2,0)-MATCH($I$1,[2]enemies!$2:$2,0)+1),MATCH(K$1,[2]enemies!$2:$2,0)-MATCH($I$1,[2]enemies!$2:$2,0)+1,FALSE)</f>
        <v>#N/A</v>
      </c>
      <c r="L22" s="29" t="e">
        <f ca="1">VLOOKUP($I22,OFFSET([3]characters!$A$1,0,0,COUNTA([3]characters!$A:$A),MATCH(L$1,[3]characters!$2:$2,0)-MATCH($I$1,[3]characters!$2:$2,0)+1),MATCH(L$1,[3]characters!$2:$2,0)-MATCH($I$1,[3]characters!$2:$2,0)+1,FALSE)</f>
        <v>#N/A</v>
      </c>
      <c r="M22" s="28" t="e">
        <f ca="1">VLOOKUP($I22,OFFSET([3]characters!$A$1,0,0,COUNTA([3]characters!$A:$A),MATCH(M$1,[3]characters!$2:$2,0)-MATCH($I$1,[3]characters!$2:$2,0)+2),MATCH(M$1,[3]characters!$2:$2,0)-MATCH($I$1,[3]characters!$2:$2,0)+2,FALSE)</f>
        <v>#N/A</v>
      </c>
      <c r="N22" s="5" t="e">
        <f ca="1">VLOOKUP($I22,OFFSET([2]enemies!$A$1,0,0,COUNTA([2]enemies!$A:$A),MATCH(N$1,[2]enemies!$2:$2,0)-MATCH($I$1,[2]enemies!$2:$2,0)+1),MATCH(N$1,[2]enemies!$2:$2,0)-MATCH($I$1,[2]enemies!$2:$2,0)+1,FALSE)</f>
        <v>#N/A</v>
      </c>
      <c r="O22" s="6">
        <v>2</v>
      </c>
      <c r="P22" s="43">
        <v>1</v>
      </c>
      <c r="Q22" s="43">
        <v>1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v>0</v>
      </c>
      <c r="U22" s="7">
        <v>0</v>
      </c>
      <c r="V22" s="7">
        <v>100</v>
      </c>
      <c r="W22" s="7">
        <v>0</v>
      </c>
      <c r="X22" s="26" t="e">
        <f ca="1">VLOOKUP($I22,OFFSET([2]enemies!$A$1,0,0,COUNTA([2]enemies!$A:$A),MATCH(X$1,[2]enemies!$2:$2,0)-MATCH($I$1,[2]enemies!$2:$2,0)+1),MATCH(X$1,[2]enemies!$2:$2,0)-MATCH($I$1,[2]enemies!$2:$2,0)+1,FALSE)</f>
        <v>#N/A</v>
      </c>
      <c r="Y22" s="31">
        <v>15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/>
      </c>
      <c r="AA22" s="5" t="str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/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/>
      </c>
      <c r="AC22" s="8">
        <v>1</v>
      </c>
      <c r="AD22" s="8" t="str">
        <f t="shared" ca="1" si="7"/>
        <v/>
      </c>
      <c r="AE22" s="9">
        <v>40</v>
      </c>
      <c r="AF22" s="38">
        <v>0</v>
      </c>
      <c r="AG22" s="38">
        <v>0</v>
      </c>
      <c r="AH22" s="38">
        <v>0</v>
      </c>
      <c r="AI22" s="38">
        <v>0</v>
      </c>
      <c r="AJ22" s="38">
        <v>1</v>
      </c>
    </row>
    <row r="23" spans="1:36" ht="21" customHeight="1" x14ac:dyDescent="0.15">
      <c r="A23" s="21" t="e">
        <f t="shared" ca="1" si="2"/>
        <v>#N/A</v>
      </c>
      <c r="B23" s="33">
        <v>2</v>
      </c>
      <c r="C23" s="32">
        <v>3</v>
      </c>
      <c r="D23" s="2" t="str">
        <f t="shared" si="0"/>
        <v>2_3</v>
      </c>
      <c r="E23" s="5" t="str">
        <f ca="1">VLOOKUP($B23,OFFSET([1]quests!$A$1,0,0,COUNTA([1]quests!$A:$A),MATCH(E$1,[1]quests!$1:$1,0)-MATCH($B$1,[1]quests!$1:$1,0)+1),MATCH(E$1,[1]quests!$1:$1,0)-MATCH($B$1,[1]quests!$1:$1,0)+1,FALSE)</f>
        <v>2．火之柄神社</v>
      </c>
      <c r="F23" s="5" t="str">
        <f ca="1">VLOOKUP($D23,OFFSET([1]stages!$A$1,0,0,COUNTA([1]stages!$A:$A),MATCH(F$1,[1]stages!$2:$2,0)-MATCH($D$1,[1]stages!$2:$2,0)+1),MATCH(F$1,[1]stages!$2:$2,0)-MATCH($D$1,[1]stages!$2:$2,0)+1,FALSE)</f>
        <v>2-3. 妖炎の誘い</v>
      </c>
      <c r="G23" s="32">
        <v>4</v>
      </c>
      <c r="H23" s="20" t="str">
        <f t="shared" si="1"/>
        <v>2_3-4</v>
      </c>
      <c r="I23" s="31">
        <v>190</v>
      </c>
      <c r="J23" s="26" t="e">
        <f ca="1">VLOOKUP($I23,OFFSET([2]enemies!$A$1,0,0,COUNTA([2]enemies!$A:$A),MATCH(J$1,[2]enemies!$2:$2,0)-MATCH($I$1,[2]enemies!$2:$2,0)+1),MATCH(J$1,[2]enemies!$2:$2,0)-MATCH($I$1,[2]enemies!$2:$2,0)+1,FALSE)</f>
        <v>#N/A</v>
      </c>
      <c r="K23" s="29" t="e">
        <f ca="1">VLOOKUP($I23,OFFSET([2]enemies!$A$1,0,0,COUNTA([2]enemies!$A:$A),MATCH(K$1,[2]enemies!$2:$2,0)-MATCH($I$1,[2]enemies!$2:$2,0)+1),MATCH(K$1,[2]enemies!$2:$2,0)-MATCH($I$1,[2]enemies!$2:$2,0)+1,FALSE)</f>
        <v>#N/A</v>
      </c>
      <c r="L23" s="29" t="e">
        <f ca="1">VLOOKUP($I23,OFFSET([3]characters!$A$1,0,0,COUNTA([3]characters!$A:$A),MATCH(L$1,[3]characters!$2:$2,0)-MATCH($I$1,[3]characters!$2:$2,0)+1),MATCH(L$1,[3]characters!$2:$2,0)-MATCH($I$1,[3]characters!$2:$2,0)+1,FALSE)</f>
        <v>#N/A</v>
      </c>
      <c r="M23" s="28" t="e">
        <f ca="1">VLOOKUP($I23,OFFSET([3]characters!$A$1,0,0,COUNTA([3]characters!$A:$A),MATCH(M$1,[3]characters!$2:$2,0)-MATCH($I$1,[3]characters!$2:$2,0)+2),MATCH(M$1,[3]characters!$2:$2,0)-MATCH($I$1,[3]characters!$2:$2,0)+2,FALSE)</f>
        <v>#N/A</v>
      </c>
      <c r="N23" s="5" t="e">
        <f ca="1">VLOOKUP($I23,OFFSET([2]enemies!$A$1,0,0,COUNTA([2]enemies!$A:$A),MATCH(N$1,[2]enemies!$2:$2,0)-MATCH($I$1,[2]enemies!$2:$2,0)+1),MATCH(N$1,[2]enemies!$2:$2,0)-MATCH($I$1,[2]enemies!$2:$2,0)+1,FALSE)</f>
        <v>#N/A</v>
      </c>
      <c r="O23" s="6">
        <v>4</v>
      </c>
      <c r="P23" s="43">
        <v>1</v>
      </c>
      <c r="Q23" s="43">
        <v>1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5">
        <v>0</v>
      </c>
      <c r="U23" s="7">
        <v>1</v>
      </c>
      <c r="V23" s="7">
        <v>100</v>
      </c>
      <c r="W23" s="7">
        <v>1</v>
      </c>
      <c r="X23" s="26" t="e">
        <f ca="1">VLOOKUP($I23,OFFSET([2]enemies!$A$1,0,0,COUNTA([2]enemies!$A:$A),MATCH(X$1,[2]enemies!$2:$2,0)-MATCH($I$1,[2]enemies!$2:$2,0)+1),MATCH(X$1,[2]enemies!$2:$2,0)-MATCH($I$1,[2]enemies!$2:$2,0)+1,FALSE)</f>
        <v>#N/A</v>
      </c>
      <c r="Y23" s="31">
        <v>190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/>
      </c>
      <c r="AA23" s="5" t="str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/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/>
      </c>
      <c r="AC23" s="8">
        <v>1</v>
      </c>
      <c r="AD23" s="8" t="str">
        <f t="shared" ca="1" si="3"/>
        <v/>
      </c>
      <c r="AE23" s="9">
        <v>0</v>
      </c>
      <c r="AF23" s="38">
        <v>0</v>
      </c>
      <c r="AG23" s="38">
        <v>0</v>
      </c>
      <c r="AH23" s="38">
        <v>0</v>
      </c>
      <c r="AI23" s="38">
        <v>0</v>
      </c>
      <c r="AJ23" s="38">
        <v>1</v>
      </c>
    </row>
    <row r="24" spans="1:36" ht="21" customHeight="1" x14ac:dyDescent="0.15">
      <c r="A24" s="21" t="e">
        <f t="shared" ref="A24" ca="1" si="8">B24&amp;"_"&amp;C24&amp;"-"&amp;G24&amp;"/"&amp;I24&amp;"&lt;lv"&amp;O24&amp;"&gt;s"&amp;X24</f>
        <v>#N/A</v>
      </c>
      <c r="B24" s="33">
        <v>2</v>
      </c>
      <c r="C24" s="32">
        <v>4</v>
      </c>
      <c r="D24" s="2" t="str">
        <f t="shared" ref="D24" si="9">B24&amp;"_"&amp;C24</f>
        <v>2_4</v>
      </c>
      <c r="E24" s="5" t="str">
        <f ca="1">VLOOKUP($B24,OFFSET([1]quests!$A$1,0,0,COUNTA([1]quests!$A:$A),MATCH(E$1,[1]quests!$1:$1,0)-MATCH($B$1,[1]quests!$1:$1,0)+1),MATCH(E$1,[1]quests!$1:$1,0)-MATCH($B$1,[1]quests!$1:$1,0)+1,FALSE)</f>
        <v>2．火之柄神社</v>
      </c>
      <c r="F24" s="5" t="str">
        <f ca="1">VLOOKUP($D24,OFFSET([1]stages!$A$1,0,0,COUNTA([1]stages!$A:$A),MATCH(F$1,[1]stages!$2:$2,0)-MATCH($D$1,[1]stages!$2:$2,0)+1),MATCH(F$1,[1]stages!$2:$2,0)-MATCH($D$1,[1]stages!$2:$2,0)+1,FALSE)</f>
        <v>2-4. 【1回のみ】ボーナスステージ</v>
      </c>
      <c r="G24" s="32">
        <v>1</v>
      </c>
      <c r="H24" s="20" t="str">
        <f t="shared" ref="H24" si="10">B24&amp;"_"&amp;C24&amp;"-"&amp;G24</f>
        <v>2_4-1</v>
      </c>
      <c r="I24" s="41">
        <v>332</v>
      </c>
      <c r="J24" s="26" t="e">
        <f ca="1">VLOOKUP($I24,OFFSET([2]enemies!$A$1,0,0,COUNTA([2]enemies!$A:$A),MATCH(J$1,[2]enemies!$2:$2,0)-MATCH($I$1,[2]enemies!$2:$2,0)+1),MATCH(J$1,[2]enemies!$2:$2,0)-MATCH($I$1,[2]enemies!$2:$2,0)+1,FALSE)</f>
        <v>#N/A</v>
      </c>
      <c r="K24" s="29" t="e">
        <f ca="1">VLOOKUP($I24,OFFSET([2]enemies!$A$1,0,0,COUNTA([2]enemies!$A:$A),MATCH(K$1,[2]enemies!$2:$2,0)-MATCH($I$1,[2]enemies!$2:$2,0)+1),MATCH(K$1,[2]enemies!$2:$2,0)-MATCH($I$1,[2]enemies!$2:$2,0)+1,FALSE)</f>
        <v>#N/A</v>
      </c>
      <c r="L24" s="29" t="e">
        <f ca="1">VLOOKUP($I24,OFFSET([3]characters!$A$1,0,0,COUNTA([3]characters!$A:$A),MATCH(L$1,[3]characters!$2:$2,0)-MATCH($I$1,[3]characters!$2:$2,0)+1),MATCH(L$1,[3]characters!$2:$2,0)-MATCH($I$1,[3]characters!$2:$2,0)+1,FALSE)</f>
        <v>#N/A</v>
      </c>
      <c r="M24" s="28" t="e">
        <f ca="1">VLOOKUP($I24,OFFSET([3]characters!$A$1,0,0,COUNTA([3]characters!$A:$A),MATCH(M$1,[3]characters!$2:$2,0)-MATCH($I$1,[3]characters!$2:$2,0)+2),MATCH(M$1,[3]characters!$2:$2,0)-MATCH($I$1,[3]characters!$2:$2,0)+2,FALSE)</f>
        <v>#N/A</v>
      </c>
      <c r="N24" s="5" t="e">
        <f ca="1">VLOOKUP($I24,OFFSET([2]enemies!$A$1,0,0,COUNTA([2]enemies!$A:$A),MATCH(N$1,[2]enemies!$2:$2,0)-MATCH($I$1,[2]enemies!$2:$2,0)+1),MATCH(N$1,[2]enemies!$2:$2,0)-MATCH($I$1,[2]enemies!$2:$2,0)+1,FALSE)</f>
        <v>#N/A</v>
      </c>
      <c r="O24" s="6">
        <v>1</v>
      </c>
      <c r="P24" s="43">
        <v>1</v>
      </c>
      <c r="Q24" s="43">
        <v>1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24" s="5">
        <v>560001</v>
      </c>
      <c r="U24" s="7">
        <v>0</v>
      </c>
      <c r="V24" s="7">
        <v>100</v>
      </c>
      <c r="W24" s="7">
        <v>0</v>
      </c>
      <c r="X24" s="26" t="e">
        <f ca="1">VLOOKUP($I24,OFFSET([2]enemies!$A$1,0,0,COUNTA([2]enemies!$A:$A),MATCH(X$1,[2]enemies!$2:$2,0)-MATCH($I$1,[2]enemies!$2:$2,0)+1),MATCH(X$1,[2]enemies!$2:$2,0)-MATCH($I$1,[2]enemies!$2:$2,0)+1,FALSE)</f>
        <v>#N/A</v>
      </c>
      <c r="Y24" s="41">
        <v>332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/>
      </c>
      <c r="AA24" s="5" t="str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/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/>
      </c>
      <c r="AC24" s="8">
        <v>1</v>
      </c>
      <c r="AD24" s="8" t="str">
        <f t="shared" ref="AD24" ca="1" si="11">AA24</f>
        <v/>
      </c>
      <c r="AE24" s="9">
        <v>100</v>
      </c>
      <c r="AF24" s="38">
        <v>0</v>
      </c>
      <c r="AG24" s="38">
        <v>0</v>
      </c>
      <c r="AH24" s="38">
        <v>0</v>
      </c>
      <c r="AI24" s="38">
        <v>0</v>
      </c>
      <c r="AJ24" s="38">
        <v>1</v>
      </c>
    </row>
    <row r="25" spans="1:36" ht="21" customHeight="1" x14ac:dyDescent="0.15">
      <c r="A25" s="21" t="e">
        <f ca="1">B25&amp;"_"&amp;C25&amp;"-"&amp;G25&amp;"/"&amp;I25&amp;"&lt;lv"&amp;O25&amp;"&gt;s"&amp;X25</f>
        <v>#N/A</v>
      </c>
      <c r="B25" s="33">
        <v>2</v>
      </c>
      <c r="C25" s="32">
        <v>4</v>
      </c>
      <c r="D25" s="2" t="str">
        <f>B25&amp;"_"&amp;C25</f>
        <v>2_4</v>
      </c>
      <c r="E25" s="5" t="str">
        <f ca="1">VLOOKUP($B25,OFFSET([1]quests!$A$1,0,0,COUNTA([1]quests!$A:$A),MATCH(E$1,[1]quests!$1:$1,0)-MATCH($B$1,[1]quests!$1:$1,0)+1),MATCH(E$1,[1]quests!$1:$1,0)-MATCH($B$1,[1]quests!$1:$1,0)+1,FALSE)</f>
        <v>2．火之柄神社</v>
      </c>
      <c r="F25" s="5" t="str">
        <f ca="1">VLOOKUP($D25,OFFSET([1]stages!$A$1,0,0,COUNTA([1]stages!$A:$A),MATCH(F$1,[1]stages!$2:$2,0)-MATCH($D$1,[1]stages!$2:$2,0)+1),MATCH(F$1,[1]stages!$2:$2,0)-MATCH($D$1,[1]stages!$2:$2,0)+1,FALSE)</f>
        <v>2-4. 【1回のみ】ボーナスステージ</v>
      </c>
      <c r="G25" s="32">
        <v>2</v>
      </c>
      <c r="H25" s="20" t="str">
        <f>B25&amp;"_"&amp;C25&amp;"-"&amp;G25</f>
        <v>2_4-2</v>
      </c>
      <c r="I25" s="31">
        <v>117</v>
      </c>
      <c r="J25" s="26" t="e">
        <f ca="1">VLOOKUP($I25,OFFSET([2]enemies!$A$1,0,0,COUNTA([2]enemies!$A:$A),MATCH(J$1,[2]enemies!$2:$2,0)-MATCH($I$1,[2]enemies!$2:$2,0)+1),MATCH(J$1,[2]enemies!$2:$2,0)-MATCH($I$1,[2]enemies!$2:$2,0)+1,FALSE)</f>
        <v>#N/A</v>
      </c>
      <c r="K25" s="29" t="e">
        <f ca="1">VLOOKUP($I25,OFFSET([2]enemies!$A$1,0,0,COUNTA([2]enemies!$A:$A),MATCH(K$1,[2]enemies!$2:$2,0)-MATCH($I$1,[2]enemies!$2:$2,0)+1),MATCH(K$1,[2]enemies!$2:$2,0)-MATCH($I$1,[2]enemies!$2:$2,0)+1,FALSE)</f>
        <v>#N/A</v>
      </c>
      <c r="L25" s="29" t="e">
        <f ca="1">VLOOKUP($I25,OFFSET([3]characters!$A$1,0,0,COUNTA([3]characters!$A:$A),MATCH(L$1,[3]characters!$2:$2,0)-MATCH($I$1,[3]characters!$2:$2,0)+1),MATCH(L$1,[3]characters!$2:$2,0)-MATCH($I$1,[3]characters!$2:$2,0)+1,FALSE)</f>
        <v>#N/A</v>
      </c>
      <c r="M25" s="28" t="e">
        <f ca="1">VLOOKUP($I25,OFFSET([3]characters!$A$1,0,0,COUNTA([3]characters!$A:$A),MATCH(M$1,[3]characters!$2:$2,0)-MATCH($I$1,[3]characters!$2:$2,0)+2),MATCH(M$1,[3]characters!$2:$2,0)-MATCH($I$1,[3]characters!$2:$2,0)+2,FALSE)</f>
        <v>#N/A</v>
      </c>
      <c r="N25" s="5" t="e">
        <f ca="1">VLOOKUP($I25,OFFSET([2]enemies!$A$1,0,0,COUNTA([2]enemies!$A:$A),MATCH(N$1,[2]enemies!$2:$2,0)-MATCH($I$1,[2]enemies!$2:$2,0)+1),MATCH(N$1,[2]enemies!$2:$2,0)-MATCH($I$1,[2]enemies!$2:$2,0)+1,FALSE)</f>
        <v>#N/A</v>
      </c>
      <c r="O25" s="6">
        <v>1</v>
      </c>
      <c r="P25" s="43">
        <v>1</v>
      </c>
      <c r="Q25" s="43">
        <v>1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5">
        <v>0</v>
      </c>
      <c r="U25" s="7">
        <v>0</v>
      </c>
      <c r="V25" s="7">
        <v>100</v>
      </c>
      <c r="W25" s="7">
        <v>0</v>
      </c>
      <c r="X25" s="26" t="e">
        <f ca="1">VLOOKUP($I25,OFFSET([2]enemies!$A$1,0,0,COUNTA([2]enemies!$A:$A),MATCH(X$1,[2]enemies!$2:$2,0)-MATCH($I$1,[2]enemies!$2:$2,0)+1),MATCH(X$1,[2]enemies!$2:$2,0)-MATCH($I$1,[2]enemies!$2:$2,0)+1,FALSE)</f>
        <v>#N/A</v>
      </c>
      <c r="Y25" s="31">
        <v>117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/>
      </c>
      <c r="AA25" s="5" t="str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/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/>
      </c>
      <c r="AC25" s="8">
        <v>1</v>
      </c>
      <c r="AD25" s="8" t="str">
        <f ca="1">AA25</f>
        <v/>
      </c>
      <c r="AE25" s="9">
        <v>100</v>
      </c>
      <c r="AF25" s="38">
        <v>0</v>
      </c>
      <c r="AG25" s="38">
        <v>0</v>
      </c>
      <c r="AH25" s="38">
        <v>0</v>
      </c>
      <c r="AI25" s="38">
        <v>0</v>
      </c>
      <c r="AJ25" s="38">
        <v>1</v>
      </c>
    </row>
    <row r="26" spans="1:36" ht="21" customHeight="1" x14ac:dyDescent="0.15">
      <c r="A26" s="21" t="e">
        <f t="shared" ref="A26:A28" ca="1" si="12">B26&amp;"_"&amp;C26&amp;"-"&amp;G26&amp;"/"&amp;I26&amp;"&lt;lv"&amp;O26&amp;"&gt;s"&amp;X26</f>
        <v>#N/A</v>
      </c>
      <c r="B26" s="33">
        <v>2</v>
      </c>
      <c r="C26" s="32">
        <v>4</v>
      </c>
      <c r="D26" s="2" t="str">
        <f t="shared" ref="D26:D28" si="13">B26&amp;"_"&amp;C26</f>
        <v>2_4</v>
      </c>
      <c r="E26" s="5" t="str">
        <f ca="1">VLOOKUP($B26,OFFSET([1]quests!$A$1,0,0,COUNTA([1]quests!$A:$A),MATCH(E$1,[1]quests!$1:$1,0)-MATCH($B$1,[1]quests!$1:$1,0)+1),MATCH(E$1,[1]quests!$1:$1,0)-MATCH($B$1,[1]quests!$1:$1,0)+1,FALSE)</f>
        <v>2．火之柄神社</v>
      </c>
      <c r="F26" s="5" t="str">
        <f ca="1">VLOOKUP($D26,OFFSET([1]stages!$A$1,0,0,COUNTA([1]stages!$A:$A),MATCH(F$1,[1]stages!$2:$2,0)-MATCH($D$1,[1]stages!$2:$2,0)+1),MATCH(F$1,[1]stages!$2:$2,0)-MATCH($D$1,[1]stages!$2:$2,0)+1,FALSE)</f>
        <v>2-4. 【1回のみ】ボーナスステージ</v>
      </c>
      <c r="G26" s="32">
        <v>3</v>
      </c>
      <c r="H26" s="20" t="str">
        <f t="shared" ref="H26:H28" si="14">B26&amp;"_"&amp;C26&amp;"-"&amp;G26</f>
        <v>2_4-3</v>
      </c>
      <c r="I26" s="41">
        <v>332</v>
      </c>
      <c r="J26" s="26" t="e">
        <f ca="1">VLOOKUP($I26,OFFSET([2]enemies!$A$1,0,0,COUNTA([2]enemies!$A:$A),MATCH(J$1,[2]enemies!$2:$2,0)-MATCH($I$1,[2]enemies!$2:$2,0)+1),MATCH(J$1,[2]enemies!$2:$2,0)-MATCH($I$1,[2]enemies!$2:$2,0)+1,FALSE)</f>
        <v>#N/A</v>
      </c>
      <c r="K26" s="29" t="e">
        <f ca="1">VLOOKUP($I26,OFFSET([2]enemies!$A$1,0,0,COUNTA([2]enemies!$A:$A),MATCH(K$1,[2]enemies!$2:$2,0)-MATCH($I$1,[2]enemies!$2:$2,0)+1),MATCH(K$1,[2]enemies!$2:$2,0)-MATCH($I$1,[2]enemies!$2:$2,0)+1,FALSE)</f>
        <v>#N/A</v>
      </c>
      <c r="L26" s="29" t="e">
        <f ca="1">VLOOKUP($I26,OFFSET([3]characters!$A$1,0,0,COUNTA([3]characters!$A:$A),MATCH(L$1,[3]characters!$2:$2,0)-MATCH($I$1,[3]characters!$2:$2,0)+1),MATCH(L$1,[3]characters!$2:$2,0)-MATCH($I$1,[3]characters!$2:$2,0)+1,FALSE)</f>
        <v>#N/A</v>
      </c>
      <c r="M26" s="28" t="e">
        <f ca="1">VLOOKUP($I26,OFFSET([3]characters!$A$1,0,0,COUNTA([3]characters!$A:$A),MATCH(M$1,[3]characters!$2:$2,0)-MATCH($I$1,[3]characters!$2:$2,0)+2),MATCH(M$1,[3]characters!$2:$2,0)-MATCH($I$1,[3]characters!$2:$2,0)+2,FALSE)</f>
        <v>#N/A</v>
      </c>
      <c r="N26" s="5" t="e">
        <f ca="1">VLOOKUP($I26,OFFSET([2]enemies!$A$1,0,0,COUNTA([2]enemies!$A:$A),MATCH(N$1,[2]enemies!$2:$2,0)-MATCH($I$1,[2]enemies!$2:$2,0)+1),MATCH(N$1,[2]enemies!$2:$2,0)-MATCH($I$1,[2]enemies!$2:$2,0)+1,FALSE)</f>
        <v>#N/A</v>
      </c>
      <c r="O26" s="6">
        <v>1</v>
      </c>
      <c r="P26" s="43">
        <v>1</v>
      </c>
      <c r="Q26" s="43">
        <v>1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5">
        <v>0</v>
      </c>
      <c r="U26" s="7">
        <v>0</v>
      </c>
      <c r="V26" s="7">
        <v>100</v>
      </c>
      <c r="W26" s="7">
        <v>0</v>
      </c>
      <c r="X26" s="26" t="e">
        <f ca="1">VLOOKUP($I26,OFFSET([2]enemies!$A$1,0,0,COUNTA([2]enemies!$A:$A),MATCH(X$1,[2]enemies!$2:$2,0)-MATCH($I$1,[2]enemies!$2:$2,0)+1),MATCH(X$1,[2]enemies!$2:$2,0)-MATCH($I$1,[2]enemies!$2:$2,0)+1,FALSE)</f>
        <v>#N/A</v>
      </c>
      <c r="Y26" s="41">
        <v>332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/>
      </c>
      <c r="AA26" s="5" t="str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/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/>
      </c>
      <c r="AC26" s="8">
        <v>1</v>
      </c>
      <c r="AD26" s="8" t="str">
        <f t="shared" ref="AD26:AD28" ca="1" si="15">AA26</f>
        <v/>
      </c>
      <c r="AE26" s="9">
        <v>100</v>
      </c>
      <c r="AF26" s="38">
        <v>0</v>
      </c>
      <c r="AG26" s="38">
        <v>0</v>
      </c>
      <c r="AH26" s="38">
        <v>0</v>
      </c>
      <c r="AI26" s="38">
        <v>0</v>
      </c>
      <c r="AJ26" s="38">
        <v>1</v>
      </c>
    </row>
    <row r="27" spans="1:36" ht="21" customHeight="1" x14ac:dyDescent="0.15">
      <c r="A27" s="21" t="e">
        <f t="shared" ca="1" si="12"/>
        <v>#N/A</v>
      </c>
      <c r="B27" s="33">
        <v>2</v>
      </c>
      <c r="C27" s="32">
        <v>4</v>
      </c>
      <c r="D27" s="2" t="str">
        <f t="shared" si="13"/>
        <v>2_4</v>
      </c>
      <c r="E27" s="5" t="str">
        <f ca="1">VLOOKUP($B27,OFFSET([1]quests!$A$1,0,0,COUNTA([1]quests!$A:$A),MATCH(E$1,[1]quests!$1:$1,0)-MATCH($B$1,[1]quests!$1:$1,0)+1),MATCH(E$1,[1]quests!$1:$1,0)-MATCH($B$1,[1]quests!$1:$1,0)+1,FALSE)</f>
        <v>2．火之柄神社</v>
      </c>
      <c r="F27" s="5" t="str">
        <f ca="1">VLOOKUP($D27,OFFSET([1]stages!$A$1,0,0,COUNTA([1]stages!$A:$A),MATCH(F$1,[1]stages!$2:$2,0)-MATCH($D$1,[1]stages!$2:$2,0)+1),MATCH(F$1,[1]stages!$2:$2,0)-MATCH($D$1,[1]stages!$2:$2,0)+1,FALSE)</f>
        <v>2-4. 【1回のみ】ボーナスステージ</v>
      </c>
      <c r="G27" s="32">
        <v>4</v>
      </c>
      <c r="H27" s="20" t="str">
        <f t="shared" si="14"/>
        <v>2_4-4</v>
      </c>
      <c r="I27" s="31">
        <v>117</v>
      </c>
      <c r="J27" s="26" t="e">
        <f ca="1">VLOOKUP($I27,OFFSET([2]enemies!$A$1,0,0,COUNTA([2]enemies!$A:$A),MATCH(J$1,[2]enemies!$2:$2,0)-MATCH($I$1,[2]enemies!$2:$2,0)+1),MATCH(J$1,[2]enemies!$2:$2,0)-MATCH($I$1,[2]enemies!$2:$2,0)+1,FALSE)</f>
        <v>#N/A</v>
      </c>
      <c r="K27" s="29" t="e">
        <f ca="1">VLOOKUP($I27,OFFSET([2]enemies!$A$1,0,0,COUNTA([2]enemies!$A:$A),MATCH(K$1,[2]enemies!$2:$2,0)-MATCH($I$1,[2]enemies!$2:$2,0)+1),MATCH(K$1,[2]enemies!$2:$2,0)-MATCH($I$1,[2]enemies!$2:$2,0)+1,FALSE)</f>
        <v>#N/A</v>
      </c>
      <c r="L27" s="29" t="e">
        <f ca="1">VLOOKUP($I27,OFFSET([3]characters!$A$1,0,0,COUNTA([3]characters!$A:$A),MATCH(L$1,[3]characters!$2:$2,0)-MATCH($I$1,[3]characters!$2:$2,0)+1),MATCH(L$1,[3]characters!$2:$2,0)-MATCH($I$1,[3]characters!$2:$2,0)+1,FALSE)</f>
        <v>#N/A</v>
      </c>
      <c r="M27" s="28" t="e">
        <f ca="1">VLOOKUP($I27,OFFSET([3]characters!$A$1,0,0,COUNTA([3]characters!$A:$A),MATCH(M$1,[3]characters!$2:$2,0)-MATCH($I$1,[3]characters!$2:$2,0)+2),MATCH(M$1,[3]characters!$2:$2,0)-MATCH($I$1,[3]characters!$2:$2,0)+2,FALSE)</f>
        <v>#N/A</v>
      </c>
      <c r="N27" s="5" t="e">
        <f ca="1">VLOOKUP($I27,OFFSET([2]enemies!$A$1,0,0,COUNTA([2]enemies!$A:$A),MATCH(N$1,[2]enemies!$2:$2,0)-MATCH($I$1,[2]enemies!$2:$2,0)+1),MATCH(N$1,[2]enemies!$2:$2,0)-MATCH($I$1,[2]enemies!$2:$2,0)+1,FALSE)</f>
        <v>#N/A</v>
      </c>
      <c r="O27" s="6">
        <v>1</v>
      </c>
      <c r="P27" s="43">
        <v>1</v>
      </c>
      <c r="Q27" s="43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v>0</v>
      </c>
      <c r="U27" s="7">
        <v>2</v>
      </c>
      <c r="V27" s="7">
        <v>100</v>
      </c>
      <c r="W27" s="7">
        <v>0</v>
      </c>
      <c r="X27" s="26" t="e">
        <f ca="1">VLOOKUP($I27,OFFSET([2]enemies!$A$1,0,0,COUNTA([2]enemies!$A:$A),MATCH(X$1,[2]enemies!$2:$2,0)-MATCH($I$1,[2]enemies!$2:$2,0)+1),MATCH(X$1,[2]enemies!$2:$2,0)-MATCH($I$1,[2]enemies!$2:$2,0)+1,FALSE)</f>
        <v>#N/A</v>
      </c>
      <c r="Y27" s="31">
        <v>117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/>
      </c>
      <c r="AA27" s="5" t="str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/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/>
      </c>
      <c r="AC27" s="8">
        <v>1</v>
      </c>
      <c r="AD27" s="8" t="str">
        <f t="shared" ca="1" si="15"/>
        <v/>
      </c>
      <c r="AE27" s="9">
        <v>0</v>
      </c>
      <c r="AF27" s="38">
        <v>0</v>
      </c>
      <c r="AG27" s="38">
        <v>0</v>
      </c>
      <c r="AH27" s="38">
        <v>0</v>
      </c>
      <c r="AI27" s="38">
        <v>0</v>
      </c>
      <c r="AJ27" s="38">
        <v>1</v>
      </c>
    </row>
    <row r="28" spans="1:36" ht="21" customHeight="1" x14ac:dyDescent="0.15">
      <c r="A28" s="21" t="e">
        <f t="shared" ca="1" si="12"/>
        <v>#N/A</v>
      </c>
      <c r="B28" s="33">
        <v>2</v>
      </c>
      <c r="C28" s="32">
        <v>4</v>
      </c>
      <c r="D28" s="2" t="str">
        <f t="shared" si="13"/>
        <v>2_4</v>
      </c>
      <c r="E28" s="5" t="str">
        <f ca="1">VLOOKUP($B28,OFFSET([1]quests!$A$1,0,0,COUNTA([1]quests!$A:$A),MATCH(E$1,[1]quests!$1:$1,0)-MATCH($B$1,[1]quests!$1:$1,0)+1),MATCH(E$1,[1]quests!$1:$1,0)-MATCH($B$1,[1]quests!$1:$1,0)+1,FALSE)</f>
        <v>2．火之柄神社</v>
      </c>
      <c r="F28" s="5" t="str">
        <f ca="1">VLOOKUP($D28,OFFSET([1]stages!$A$1,0,0,COUNTA([1]stages!$A:$A),MATCH(F$1,[1]stages!$2:$2,0)-MATCH($D$1,[1]stages!$2:$2,0)+1),MATCH(F$1,[1]stages!$2:$2,0)-MATCH($D$1,[1]stages!$2:$2,0)+1,FALSE)</f>
        <v>2-4. 【1回のみ】ボーナスステージ</v>
      </c>
      <c r="G28" s="32">
        <v>4</v>
      </c>
      <c r="H28" s="20" t="str">
        <f t="shared" si="14"/>
        <v>2_4-4</v>
      </c>
      <c r="I28" s="31">
        <v>118</v>
      </c>
      <c r="J28" s="26" t="e">
        <f ca="1">VLOOKUP($I28,OFFSET([2]enemies!$A$1,0,0,COUNTA([2]enemies!$A:$A),MATCH(J$1,[2]enemies!$2:$2,0)-MATCH($I$1,[2]enemies!$2:$2,0)+1),MATCH(J$1,[2]enemies!$2:$2,0)-MATCH($I$1,[2]enemies!$2:$2,0)+1,FALSE)</f>
        <v>#N/A</v>
      </c>
      <c r="K28" s="29" t="e">
        <f ca="1">VLOOKUP($I28,OFFSET([2]enemies!$A$1,0,0,COUNTA([2]enemies!$A:$A),MATCH(K$1,[2]enemies!$2:$2,0)-MATCH($I$1,[2]enemies!$2:$2,0)+1),MATCH(K$1,[2]enemies!$2:$2,0)-MATCH($I$1,[2]enemies!$2:$2,0)+1,FALSE)</f>
        <v>#N/A</v>
      </c>
      <c r="L28" s="29" t="e">
        <f ca="1">VLOOKUP($I28,OFFSET([3]characters!$A$1,0,0,COUNTA([3]characters!$A:$A),MATCH(L$1,[3]characters!$2:$2,0)-MATCH($I$1,[3]characters!$2:$2,0)+1),MATCH(L$1,[3]characters!$2:$2,0)-MATCH($I$1,[3]characters!$2:$2,0)+1,FALSE)</f>
        <v>#N/A</v>
      </c>
      <c r="M28" s="28" t="e">
        <f ca="1">VLOOKUP($I28,OFFSET([3]characters!$A$1,0,0,COUNTA([3]characters!$A:$A),MATCH(M$1,[3]characters!$2:$2,0)-MATCH($I$1,[3]characters!$2:$2,0)+2),MATCH(M$1,[3]characters!$2:$2,0)-MATCH($I$1,[3]characters!$2:$2,0)+2,FALSE)</f>
        <v>#N/A</v>
      </c>
      <c r="N28" s="5" t="e">
        <f ca="1">VLOOKUP($I28,OFFSET([2]enemies!$A$1,0,0,COUNTA([2]enemies!$A:$A),MATCH(N$1,[2]enemies!$2:$2,0)-MATCH($I$1,[2]enemies!$2:$2,0)+1),MATCH(N$1,[2]enemies!$2:$2,0)-MATCH($I$1,[2]enemies!$2:$2,0)+1,FALSE)</f>
        <v>#N/A</v>
      </c>
      <c r="O28" s="6">
        <v>1</v>
      </c>
      <c r="P28" s="43">
        <v>1</v>
      </c>
      <c r="Q28" s="43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v>0</v>
      </c>
      <c r="U28" s="7">
        <v>1</v>
      </c>
      <c r="V28" s="7">
        <v>100</v>
      </c>
      <c r="W28" s="7">
        <v>1</v>
      </c>
      <c r="X28" s="26" t="e">
        <f ca="1">VLOOKUP($I28,OFFSET([2]enemies!$A$1,0,0,COUNTA([2]enemies!$A:$A),MATCH(X$1,[2]enemies!$2:$2,0)-MATCH($I$1,[2]enemies!$2:$2,0)+1),MATCH(X$1,[2]enemies!$2:$2,0)-MATCH($I$1,[2]enemies!$2:$2,0)+1,FALSE)</f>
        <v>#N/A</v>
      </c>
      <c r="Y28" s="31">
        <v>118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/>
      </c>
      <c r="AA28" s="5" t="str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/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/>
      </c>
      <c r="AC28" s="8">
        <v>1</v>
      </c>
      <c r="AD28" s="8" t="str">
        <f t="shared" ca="1" si="15"/>
        <v/>
      </c>
      <c r="AE28" s="9">
        <v>100</v>
      </c>
      <c r="AF28" s="38">
        <v>0</v>
      </c>
      <c r="AG28" s="38">
        <v>0</v>
      </c>
      <c r="AH28" s="38">
        <v>0</v>
      </c>
      <c r="AI28" s="38">
        <v>0</v>
      </c>
      <c r="AJ28" s="38">
        <v>1</v>
      </c>
    </row>
    <row r="29" spans="1:36" ht="21" customHeight="1" x14ac:dyDescent="0.15">
      <c r="A29" s="21" t="e">
        <f t="shared" ref="A29" ca="1" si="16">B29&amp;"_"&amp;C29&amp;"-"&amp;G29&amp;"/"&amp;I29&amp;"&lt;lv"&amp;O29&amp;"&gt;s"&amp;X29</f>
        <v>#N/A</v>
      </c>
      <c r="B29" s="33">
        <v>2</v>
      </c>
      <c r="C29" s="32">
        <v>4</v>
      </c>
      <c r="D29" s="2" t="str">
        <f t="shared" ref="D29" si="17">B29&amp;"_"&amp;C29</f>
        <v>2_4</v>
      </c>
      <c r="E29" s="5" t="str">
        <f ca="1">VLOOKUP($B29,OFFSET([1]quests!$A$1,0,0,COUNTA([1]quests!$A:$A),MATCH(E$1,[1]quests!$1:$1,0)-MATCH($B$1,[1]quests!$1:$1,0)+1),MATCH(E$1,[1]quests!$1:$1,0)-MATCH($B$1,[1]quests!$1:$1,0)+1,FALSE)</f>
        <v>2．火之柄神社</v>
      </c>
      <c r="F29" s="5" t="str">
        <f ca="1">VLOOKUP($D29,OFFSET([1]stages!$A$1,0,0,COUNTA([1]stages!$A:$A),MATCH(F$1,[1]stages!$2:$2,0)-MATCH($D$1,[1]stages!$2:$2,0)+1),MATCH(F$1,[1]stages!$2:$2,0)-MATCH($D$1,[1]stages!$2:$2,0)+1,FALSE)</f>
        <v>2-4. 【1回のみ】ボーナスステージ</v>
      </c>
      <c r="G29" s="32">
        <v>5</v>
      </c>
      <c r="H29" s="20" t="str">
        <f t="shared" ref="H29" si="18">B29&amp;"_"&amp;C29&amp;"-"&amp;G29</f>
        <v>2_4-5</v>
      </c>
      <c r="I29" s="41">
        <v>332</v>
      </c>
      <c r="J29" s="26" t="e">
        <f ca="1">VLOOKUP($I29,OFFSET([2]enemies!$A$1,0,0,COUNTA([2]enemies!$A:$A),MATCH(J$1,[2]enemies!$2:$2,0)-MATCH($I$1,[2]enemies!$2:$2,0)+1),MATCH(J$1,[2]enemies!$2:$2,0)-MATCH($I$1,[2]enemies!$2:$2,0)+1,FALSE)</f>
        <v>#N/A</v>
      </c>
      <c r="K29" s="29" t="e">
        <f ca="1">VLOOKUP($I29,OFFSET([2]enemies!$A$1,0,0,COUNTA([2]enemies!$A:$A),MATCH(K$1,[2]enemies!$2:$2,0)-MATCH($I$1,[2]enemies!$2:$2,0)+1),MATCH(K$1,[2]enemies!$2:$2,0)-MATCH($I$1,[2]enemies!$2:$2,0)+1,FALSE)</f>
        <v>#N/A</v>
      </c>
      <c r="L29" s="29" t="e">
        <f ca="1">VLOOKUP($I29,OFFSET([3]characters!$A$1,0,0,COUNTA([3]characters!$A:$A),MATCH(L$1,[3]characters!$2:$2,0)-MATCH($I$1,[3]characters!$2:$2,0)+1),MATCH(L$1,[3]characters!$2:$2,0)-MATCH($I$1,[3]characters!$2:$2,0)+1,FALSE)</f>
        <v>#N/A</v>
      </c>
      <c r="M29" s="28" t="e">
        <f ca="1">VLOOKUP($I29,OFFSET([3]characters!$A$1,0,0,COUNTA([3]characters!$A:$A),MATCH(M$1,[3]characters!$2:$2,0)-MATCH($I$1,[3]characters!$2:$2,0)+2),MATCH(M$1,[3]characters!$2:$2,0)-MATCH($I$1,[3]characters!$2:$2,0)+2,FALSE)</f>
        <v>#N/A</v>
      </c>
      <c r="N29" s="5" t="e">
        <f ca="1">VLOOKUP($I29,OFFSET([2]enemies!$A$1,0,0,COUNTA([2]enemies!$A:$A),MATCH(N$1,[2]enemies!$2:$2,0)-MATCH($I$1,[2]enemies!$2:$2,0)+1),MATCH(N$1,[2]enemies!$2:$2,0)-MATCH($I$1,[2]enemies!$2:$2,0)+1,FALSE)</f>
        <v>#N/A</v>
      </c>
      <c r="O29" s="6">
        <v>1</v>
      </c>
      <c r="P29" s="43">
        <v>1</v>
      </c>
      <c r="Q29" s="43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5">
        <v>0</v>
      </c>
      <c r="U29" s="7">
        <v>2</v>
      </c>
      <c r="V29" s="7">
        <v>100</v>
      </c>
      <c r="W29" s="7">
        <v>0</v>
      </c>
      <c r="X29" s="26" t="e">
        <f ca="1">VLOOKUP($I29,OFFSET([2]enemies!$A$1,0,0,COUNTA([2]enemies!$A:$A),MATCH(X$1,[2]enemies!$2:$2,0)-MATCH($I$1,[2]enemies!$2:$2,0)+1),MATCH(X$1,[2]enemies!$2:$2,0)-MATCH($I$1,[2]enemies!$2:$2,0)+1,FALSE)</f>
        <v>#N/A</v>
      </c>
      <c r="Y29" s="41">
        <v>332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/>
      </c>
      <c r="AA29" s="5" t="str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/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/>
      </c>
      <c r="AC29" s="8">
        <v>1</v>
      </c>
      <c r="AD29" s="8" t="str">
        <f t="shared" ref="AD29" ca="1" si="19">AA29</f>
        <v/>
      </c>
      <c r="AE29" s="9">
        <v>0</v>
      </c>
      <c r="AF29" s="38">
        <v>0</v>
      </c>
      <c r="AG29" s="38">
        <v>0</v>
      </c>
      <c r="AH29" s="38">
        <v>0</v>
      </c>
      <c r="AI29" s="38">
        <v>0</v>
      </c>
      <c r="AJ29" s="38">
        <v>1</v>
      </c>
    </row>
    <row r="30" spans="1:36" ht="21" customHeight="1" x14ac:dyDescent="0.15">
      <c r="A30" s="21" t="e">
        <f t="shared" ref="A30" ca="1" si="20">B30&amp;"_"&amp;C30&amp;"-"&amp;G30&amp;"/"&amp;I30&amp;"&lt;lv"&amp;O30&amp;"&gt;s"&amp;X30</f>
        <v>#N/A</v>
      </c>
      <c r="B30" s="33">
        <v>2</v>
      </c>
      <c r="C30" s="32">
        <v>4</v>
      </c>
      <c r="D30" s="2" t="str">
        <f t="shared" ref="D30" si="21">B30&amp;"_"&amp;C30</f>
        <v>2_4</v>
      </c>
      <c r="E30" s="5" t="str">
        <f ca="1">VLOOKUP($B30,OFFSET([1]quests!$A$1,0,0,COUNTA([1]quests!$A:$A),MATCH(E$1,[1]quests!$1:$1,0)-MATCH($B$1,[1]quests!$1:$1,0)+1),MATCH(E$1,[1]quests!$1:$1,0)-MATCH($B$1,[1]quests!$1:$1,0)+1,FALSE)</f>
        <v>2．火之柄神社</v>
      </c>
      <c r="F30" s="5" t="str">
        <f ca="1">VLOOKUP($D30,OFFSET([1]stages!$A$1,0,0,COUNTA([1]stages!$A:$A),MATCH(F$1,[1]stages!$2:$2,0)-MATCH($D$1,[1]stages!$2:$2,0)+1),MATCH(F$1,[1]stages!$2:$2,0)-MATCH($D$1,[1]stages!$2:$2,0)+1,FALSE)</f>
        <v>2-4. 【1回のみ】ボーナスステージ</v>
      </c>
      <c r="G30" s="32">
        <v>5</v>
      </c>
      <c r="H30" s="20" t="str">
        <f t="shared" ref="H30" si="22">B30&amp;"_"&amp;C30&amp;"-"&amp;G30</f>
        <v>2_4-5</v>
      </c>
      <c r="I30" s="41">
        <v>333</v>
      </c>
      <c r="J30" s="26" t="e">
        <f ca="1">VLOOKUP($I30,OFFSET([2]enemies!$A$1,0,0,COUNTA([2]enemies!$A:$A),MATCH(J$1,[2]enemies!$2:$2,0)-MATCH($I$1,[2]enemies!$2:$2,0)+1),MATCH(J$1,[2]enemies!$2:$2,0)-MATCH($I$1,[2]enemies!$2:$2,0)+1,FALSE)</f>
        <v>#N/A</v>
      </c>
      <c r="K30" s="29" t="e">
        <f ca="1">VLOOKUP($I30,OFFSET([2]enemies!$A$1,0,0,COUNTA([2]enemies!$A:$A),MATCH(K$1,[2]enemies!$2:$2,0)-MATCH($I$1,[2]enemies!$2:$2,0)+1),MATCH(K$1,[2]enemies!$2:$2,0)-MATCH($I$1,[2]enemies!$2:$2,0)+1,FALSE)</f>
        <v>#N/A</v>
      </c>
      <c r="L30" s="29" t="e">
        <f ca="1">VLOOKUP($I30,OFFSET([3]characters!$A$1,0,0,COUNTA([3]characters!$A:$A),MATCH(L$1,[3]characters!$2:$2,0)-MATCH($I$1,[3]characters!$2:$2,0)+1),MATCH(L$1,[3]characters!$2:$2,0)-MATCH($I$1,[3]characters!$2:$2,0)+1,FALSE)</f>
        <v>#N/A</v>
      </c>
      <c r="M30" s="28" t="e">
        <f ca="1">VLOOKUP($I30,OFFSET([3]characters!$A$1,0,0,COUNTA([3]characters!$A:$A),MATCH(M$1,[3]characters!$2:$2,0)-MATCH($I$1,[3]characters!$2:$2,0)+2),MATCH(M$1,[3]characters!$2:$2,0)-MATCH($I$1,[3]characters!$2:$2,0)+2,FALSE)</f>
        <v>#N/A</v>
      </c>
      <c r="N30" s="5" t="e">
        <f ca="1">VLOOKUP($I30,OFFSET([2]enemies!$A$1,0,0,COUNTA([2]enemies!$A:$A),MATCH(N$1,[2]enemies!$2:$2,0)-MATCH($I$1,[2]enemies!$2:$2,0)+1),MATCH(N$1,[2]enemies!$2:$2,0)-MATCH($I$1,[2]enemies!$2:$2,0)+1,FALSE)</f>
        <v>#N/A</v>
      </c>
      <c r="O30" s="6">
        <v>1</v>
      </c>
      <c r="P30" s="43">
        <v>1</v>
      </c>
      <c r="Q30" s="43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5">
        <v>0</v>
      </c>
      <c r="U30" s="7">
        <v>1</v>
      </c>
      <c r="V30" s="7">
        <v>100</v>
      </c>
      <c r="W30" s="7">
        <v>1</v>
      </c>
      <c r="X30" s="26" t="e">
        <f ca="1">VLOOKUP($I30,OFFSET([2]enemies!$A$1,0,0,COUNTA([2]enemies!$A:$A),MATCH(X$1,[2]enemies!$2:$2,0)-MATCH($I$1,[2]enemies!$2:$2,0)+1),MATCH(X$1,[2]enemies!$2:$2,0)-MATCH($I$1,[2]enemies!$2:$2,0)+1,FALSE)</f>
        <v>#N/A</v>
      </c>
      <c r="Y30" s="41">
        <v>333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/>
      </c>
      <c r="AA30" s="5" t="str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/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/>
      </c>
      <c r="AC30" s="8">
        <v>1</v>
      </c>
      <c r="AD30" s="8" t="str">
        <f t="shared" ref="AD30" ca="1" si="23">AA30</f>
        <v/>
      </c>
      <c r="AE30" s="9">
        <v>100</v>
      </c>
      <c r="AF30" s="38">
        <v>0</v>
      </c>
      <c r="AG30" s="38">
        <v>0</v>
      </c>
      <c r="AH30" s="38">
        <v>0</v>
      </c>
      <c r="AI30" s="38">
        <v>0</v>
      </c>
      <c r="AJ30" s="38">
        <v>1</v>
      </c>
    </row>
    <row r="31" spans="1:36" ht="21" customHeight="1" x14ac:dyDescent="0.15">
      <c r="A31" s="21" t="e">
        <f t="shared" ca="1" si="2"/>
        <v>#N/A</v>
      </c>
      <c r="B31" s="33">
        <v>3</v>
      </c>
      <c r="C31" s="32">
        <v>1</v>
      </c>
      <c r="D31" s="2" t="str">
        <f t="shared" si="0"/>
        <v>3_1</v>
      </c>
      <c r="E31" s="5" t="str">
        <f ca="1">VLOOKUP($B31,OFFSET([1]quests!$A$1,0,0,COUNTA([1]quests!$A:$A),MATCH(E$1,[1]quests!$1:$1,0)-MATCH($B$1,[1]quests!$1:$1,0)+1),MATCH(E$1,[1]quests!$1:$1,0)-MATCH($B$1,[1]quests!$1:$1,0)+1,FALSE)</f>
        <v>3．グリーンモール</v>
      </c>
      <c r="F31" s="5" t="str">
        <f ca="1">VLOOKUP($D31,OFFSET([1]stages!$A$1,0,0,COUNTA([1]stages!$A:$A),MATCH(F$1,[1]stages!$2:$2,0)-MATCH($D$1,[1]stages!$2:$2,0)+1),MATCH(F$1,[1]stages!$2:$2,0)-MATCH($D$1,[1]stages!$2:$2,0)+1,FALSE)</f>
        <v>3-1. 緑の警備員</v>
      </c>
      <c r="G31" s="32">
        <v>1</v>
      </c>
      <c r="H31" s="20" t="str">
        <f t="shared" si="1"/>
        <v>3_1-1</v>
      </c>
      <c r="I31" s="31">
        <v>3</v>
      </c>
      <c r="J31" s="26" t="e">
        <f ca="1">VLOOKUP($I31,OFFSET([2]enemies!$A$1,0,0,COUNTA([2]enemies!$A:$A),MATCH(J$1,[2]enemies!$2:$2,0)-MATCH($I$1,[2]enemies!$2:$2,0)+1),MATCH(J$1,[2]enemies!$2:$2,0)-MATCH($I$1,[2]enemies!$2:$2,0)+1,FALSE)</f>
        <v>#N/A</v>
      </c>
      <c r="K31" s="29" t="e">
        <f ca="1">VLOOKUP($I31,OFFSET([2]enemies!$A$1,0,0,COUNTA([2]enemies!$A:$A),MATCH(K$1,[2]enemies!$2:$2,0)-MATCH($I$1,[2]enemies!$2:$2,0)+1),MATCH(K$1,[2]enemies!$2:$2,0)-MATCH($I$1,[2]enemies!$2:$2,0)+1,FALSE)</f>
        <v>#N/A</v>
      </c>
      <c r="L31" s="29" t="e">
        <f ca="1">VLOOKUP($I31,OFFSET([3]characters!$A$1,0,0,COUNTA([3]characters!$A:$A),MATCH(L$1,[3]characters!$2:$2,0)-MATCH($I$1,[3]characters!$2:$2,0)+1),MATCH(L$1,[3]characters!$2:$2,0)-MATCH($I$1,[3]characters!$2:$2,0)+1,FALSE)</f>
        <v>#N/A</v>
      </c>
      <c r="M31" s="28" t="e">
        <f ca="1">VLOOKUP($I31,OFFSET([3]characters!$A$1,0,0,COUNTA([3]characters!$A:$A),MATCH(M$1,[3]characters!$2:$2,0)-MATCH($I$1,[3]characters!$2:$2,0)+2),MATCH(M$1,[3]characters!$2:$2,0)-MATCH($I$1,[3]characters!$2:$2,0)+2,FALSE)</f>
        <v>#N/A</v>
      </c>
      <c r="N31" s="5" t="e">
        <f ca="1">VLOOKUP($I31,OFFSET([2]enemies!$A$1,0,0,COUNTA([2]enemies!$A:$A),MATCH(N$1,[2]enemies!$2:$2,0)-MATCH($I$1,[2]enemies!$2:$2,0)+1),MATCH(N$1,[2]enemies!$2:$2,0)-MATCH($I$1,[2]enemies!$2:$2,0)+1,FALSE)</f>
        <v>#N/A</v>
      </c>
      <c r="O31" s="6">
        <v>5</v>
      </c>
      <c r="P31" s="43">
        <v>1</v>
      </c>
      <c r="Q31" s="43">
        <v>1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31" s="5">
        <v>560001</v>
      </c>
      <c r="U31" s="7">
        <v>0</v>
      </c>
      <c r="V31" s="7">
        <v>100</v>
      </c>
      <c r="W31" s="7">
        <v>0</v>
      </c>
      <c r="X31" s="26" t="e">
        <f ca="1">VLOOKUP($I31,OFFSET([2]enemies!$A$1,0,0,COUNTA([2]enemies!$A:$A),MATCH(X$1,[2]enemies!$2:$2,0)-MATCH($I$1,[2]enemies!$2:$2,0)+1),MATCH(X$1,[2]enemies!$2:$2,0)-MATCH($I$1,[2]enemies!$2:$2,0)+1,FALSE)</f>
        <v>#N/A</v>
      </c>
      <c r="Y31" s="31">
        <v>3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/>
      </c>
      <c r="AA31" s="5" t="str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/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/>
      </c>
      <c r="AC31" s="8">
        <v>1</v>
      </c>
      <c r="AD31" s="8" t="str">
        <f t="shared" ca="1" si="3"/>
        <v/>
      </c>
      <c r="AE31" s="9">
        <v>40</v>
      </c>
      <c r="AF31" s="38">
        <v>0</v>
      </c>
      <c r="AG31" s="38">
        <v>0</v>
      </c>
      <c r="AH31" s="38">
        <v>0</v>
      </c>
      <c r="AI31" s="38">
        <v>0</v>
      </c>
      <c r="AJ31" s="38">
        <v>1</v>
      </c>
    </row>
    <row r="32" spans="1:36" ht="21" customHeight="1" x14ac:dyDescent="0.15">
      <c r="A32" s="21" t="e">
        <f t="shared" ca="1" si="2"/>
        <v>#N/A</v>
      </c>
      <c r="B32" s="33">
        <v>3</v>
      </c>
      <c r="C32" s="32">
        <v>1</v>
      </c>
      <c r="D32" s="2" t="str">
        <f t="shared" si="0"/>
        <v>3_1</v>
      </c>
      <c r="E32" s="5" t="str">
        <f ca="1">VLOOKUP($B32,OFFSET([1]quests!$A$1,0,0,COUNTA([1]quests!$A:$A),MATCH(E$1,[1]quests!$1:$1,0)-MATCH($B$1,[1]quests!$1:$1,0)+1),MATCH(E$1,[1]quests!$1:$1,0)-MATCH($B$1,[1]quests!$1:$1,0)+1,FALSE)</f>
        <v>3．グリーンモール</v>
      </c>
      <c r="F32" s="5" t="str">
        <f ca="1">VLOOKUP($D32,OFFSET([1]stages!$A$1,0,0,COUNTA([1]stages!$A:$A),MATCH(F$1,[1]stages!$2:$2,0)-MATCH($D$1,[1]stages!$2:$2,0)+1),MATCH(F$1,[1]stages!$2:$2,0)-MATCH($D$1,[1]stages!$2:$2,0)+1,FALSE)</f>
        <v>3-1. 緑の警備員</v>
      </c>
      <c r="G32" s="32">
        <v>1</v>
      </c>
      <c r="H32" s="20" t="str">
        <f t="shared" si="1"/>
        <v>3_1-1</v>
      </c>
      <c r="I32" s="31">
        <v>11</v>
      </c>
      <c r="J32" s="26" t="e">
        <f ca="1">VLOOKUP($I32,OFFSET([2]enemies!$A$1,0,0,COUNTA([2]enemies!$A:$A),MATCH(J$1,[2]enemies!$2:$2,0)-MATCH($I$1,[2]enemies!$2:$2,0)+1),MATCH(J$1,[2]enemies!$2:$2,0)-MATCH($I$1,[2]enemies!$2:$2,0)+1,FALSE)</f>
        <v>#N/A</v>
      </c>
      <c r="K32" s="29" t="e">
        <f ca="1">VLOOKUP($I32,OFFSET([2]enemies!$A$1,0,0,COUNTA([2]enemies!$A:$A),MATCH(K$1,[2]enemies!$2:$2,0)-MATCH($I$1,[2]enemies!$2:$2,0)+1),MATCH(K$1,[2]enemies!$2:$2,0)-MATCH($I$1,[2]enemies!$2:$2,0)+1,FALSE)</f>
        <v>#N/A</v>
      </c>
      <c r="L32" s="29" t="e">
        <f ca="1">VLOOKUP($I32,OFFSET([3]characters!$A$1,0,0,COUNTA([3]characters!$A:$A),MATCH(L$1,[3]characters!$2:$2,0)-MATCH($I$1,[3]characters!$2:$2,0)+1),MATCH(L$1,[3]characters!$2:$2,0)-MATCH($I$1,[3]characters!$2:$2,0)+1,FALSE)</f>
        <v>#N/A</v>
      </c>
      <c r="M32" s="28" t="e">
        <f ca="1">VLOOKUP($I32,OFFSET([3]characters!$A$1,0,0,COUNTA([3]characters!$A:$A),MATCH(M$1,[3]characters!$2:$2,0)-MATCH($I$1,[3]characters!$2:$2,0)+2),MATCH(M$1,[3]characters!$2:$2,0)-MATCH($I$1,[3]characters!$2:$2,0)+2,FALSE)</f>
        <v>#N/A</v>
      </c>
      <c r="N32" s="5" t="e">
        <f ca="1">VLOOKUP($I32,OFFSET([2]enemies!$A$1,0,0,COUNTA([2]enemies!$A:$A),MATCH(N$1,[2]enemies!$2:$2,0)-MATCH($I$1,[2]enemies!$2:$2,0)+1),MATCH(N$1,[2]enemies!$2:$2,0)-MATCH($I$1,[2]enemies!$2:$2,0)+1,FALSE)</f>
        <v>#N/A</v>
      </c>
      <c r="O32" s="6">
        <v>5</v>
      </c>
      <c r="P32" s="43">
        <v>1</v>
      </c>
      <c r="Q32" s="43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5">
        <v>0</v>
      </c>
      <c r="U32" s="7">
        <v>0</v>
      </c>
      <c r="V32" s="7">
        <v>100</v>
      </c>
      <c r="W32" s="7">
        <v>0</v>
      </c>
      <c r="X32" s="26" t="e">
        <f ca="1">VLOOKUP($I32,OFFSET([2]enemies!$A$1,0,0,COUNTA([2]enemies!$A:$A),MATCH(X$1,[2]enemies!$2:$2,0)-MATCH($I$1,[2]enemies!$2:$2,0)+1),MATCH(X$1,[2]enemies!$2:$2,0)-MATCH($I$1,[2]enemies!$2:$2,0)+1,FALSE)</f>
        <v>#N/A</v>
      </c>
      <c r="Y32" s="31">
        <v>11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/>
      </c>
      <c r="AA32" s="5" t="str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/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/>
      </c>
      <c r="AC32" s="8">
        <v>1</v>
      </c>
      <c r="AD32" s="8" t="str">
        <f t="shared" ca="1" si="3"/>
        <v/>
      </c>
      <c r="AE32" s="9">
        <v>40</v>
      </c>
      <c r="AF32" s="38">
        <v>0</v>
      </c>
      <c r="AG32" s="38">
        <v>0</v>
      </c>
      <c r="AH32" s="38">
        <v>0</v>
      </c>
      <c r="AI32" s="38">
        <v>0</v>
      </c>
      <c r="AJ32" s="38">
        <v>1</v>
      </c>
    </row>
    <row r="33" spans="1:36" ht="21" customHeight="1" x14ac:dyDescent="0.15">
      <c r="A33" s="21" t="e">
        <f t="shared" ca="1" si="2"/>
        <v>#N/A</v>
      </c>
      <c r="B33" s="33">
        <v>3</v>
      </c>
      <c r="C33" s="32">
        <v>1</v>
      </c>
      <c r="D33" s="2" t="str">
        <f t="shared" ref="D33:D112" si="24">B33&amp;"_"&amp;C33</f>
        <v>3_1</v>
      </c>
      <c r="E33" s="5" t="str">
        <f ca="1">VLOOKUP($B33,OFFSET([1]quests!$A$1,0,0,COUNTA([1]quests!$A:$A),MATCH(E$1,[1]quests!$1:$1,0)-MATCH($B$1,[1]quests!$1:$1,0)+1),MATCH(E$1,[1]quests!$1:$1,0)-MATCH($B$1,[1]quests!$1:$1,0)+1,FALSE)</f>
        <v>3．グリーンモール</v>
      </c>
      <c r="F33" s="5" t="str">
        <f ca="1">VLOOKUP($D33,OFFSET([1]stages!$A$1,0,0,COUNTA([1]stages!$A:$A),MATCH(F$1,[1]stages!$2:$2,0)-MATCH($D$1,[1]stages!$2:$2,0)+1),MATCH(F$1,[1]stages!$2:$2,0)-MATCH($D$1,[1]stages!$2:$2,0)+1,FALSE)</f>
        <v>3-1. 緑の警備員</v>
      </c>
      <c r="G33" s="32">
        <v>2</v>
      </c>
      <c r="H33" s="20" t="str">
        <f t="shared" ref="H33:H112" si="25">B33&amp;"_"&amp;C33&amp;"-"&amp;G33</f>
        <v>3_1-2</v>
      </c>
      <c r="I33" s="31">
        <v>3</v>
      </c>
      <c r="J33" s="26" t="e">
        <f ca="1">VLOOKUP($I33,OFFSET([2]enemies!$A$1,0,0,COUNTA([2]enemies!$A:$A),MATCH(J$1,[2]enemies!$2:$2,0)-MATCH($I$1,[2]enemies!$2:$2,0)+1),MATCH(J$1,[2]enemies!$2:$2,0)-MATCH($I$1,[2]enemies!$2:$2,0)+1,FALSE)</f>
        <v>#N/A</v>
      </c>
      <c r="K33" s="29" t="e">
        <f ca="1">VLOOKUP($I33,OFFSET([2]enemies!$A$1,0,0,COUNTA([2]enemies!$A:$A),MATCH(K$1,[2]enemies!$2:$2,0)-MATCH($I$1,[2]enemies!$2:$2,0)+1),MATCH(K$1,[2]enemies!$2:$2,0)-MATCH($I$1,[2]enemies!$2:$2,0)+1,FALSE)</f>
        <v>#N/A</v>
      </c>
      <c r="L33" s="29" t="e">
        <f ca="1">VLOOKUP($I33,OFFSET([3]characters!$A$1,0,0,COUNTA([3]characters!$A:$A),MATCH(L$1,[3]characters!$2:$2,0)-MATCH($I$1,[3]characters!$2:$2,0)+1),MATCH(L$1,[3]characters!$2:$2,0)-MATCH($I$1,[3]characters!$2:$2,0)+1,FALSE)</f>
        <v>#N/A</v>
      </c>
      <c r="M33" s="28" t="e">
        <f ca="1">VLOOKUP($I33,OFFSET([3]characters!$A$1,0,0,COUNTA([3]characters!$A:$A),MATCH(M$1,[3]characters!$2:$2,0)-MATCH($I$1,[3]characters!$2:$2,0)+2),MATCH(M$1,[3]characters!$2:$2,0)-MATCH($I$1,[3]characters!$2:$2,0)+2,FALSE)</f>
        <v>#N/A</v>
      </c>
      <c r="N33" s="5" t="e">
        <f ca="1">VLOOKUP($I33,OFFSET([2]enemies!$A$1,0,0,COUNTA([2]enemies!$A:$A),MATCH(N$1,[2]enemies!$2:$2,0)-MATCH($I$1,[2]enemies!$2:$2,0)+1),MATCH(N$1,[2]enemies!$2:$2,0)-MATCH($I$1,[2]enemies!$2:$2,0)+1,FALSE)</f>
        <v>#N/A</v>
      </c>
      <c r="O33" s="6">
        <v>5</v>
      </c>
      <c r="P33" s="43">
        <v>1</v>
      </c>
      <c r="Q33" s="43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v>0</v>
      </c>
      <c r="U33" s="7">
        <v>0</v>
      </c>
      <c r="V33" s="7">
        <v>100</v>
      </c>
      <c r="W33" s="7">
        <v>0</v>
      </c>
      <c r="X33" s="26" t="e">
        <f ca="1">VLOOKUP($I33,OFFSET([2]enemies!$A$1,0,0,COUNTA([2]enemies!$A:$A),MATCH(X$1,[2]enemies!$2:$2,0)-MATCH($I$1,[2]enemies!$2:$2,0)+1),MATCH(X$1,[2]enemies!$2:$2,0)-MATCH($I$1,[2]enemies!$2:$2,0)+1,FALSE)</f>
        <v>#N/A</v>
      </c>
      <c r="Y33" s="31">
        <v>3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/>
      </c>
      <c r="AA33" s="5" t="str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/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/>
      </c>
      <c r="AC33" s="8">
        <v>1</v>
      </c>
      <c r="AD33" s="8" t="str">
        <f t="shared" ca="1" si="3"/>
        <v/>
      </c>
      <c r="AE33" s="9">
        <v>30</v>
      </c>
      <c r="AF33" s="38">
        <v>0</v>
      </c>
      <c r="AG33" s="38">
        <v>0</v>
      </c>
      <c r="AH33" s="38">
        <v>0</v>
      </c>
      <c r="AI33" s="38">
        <v>0</v>
      </c>
      <c r="AJ33" s="38">
        <v>1</v>
      </c>
    </row>
    <row r="34" spans="1:36" ht="21" customHeight="1" x14ac:dyDescent="0.15">
      <c r="A34" s="21" t="e">
        <f t="shared" ca="1" si="2"/>
        <v>#N/A</v>
      </c>
      <c r="B34" s="33">
        <v>3</v>
      </c>
      <c r="C34" s="32">
        <v>1</v>
      </c>
      <c r="D34" s="2" t="str">
        <f t="shared" si="24"/>
        <v>3_1</v>
      </c>
      <c r="E34" s="5" t="str">
        <f ca="1">VLOOKUP($B34,OFFSET([1]quests!$A$1,0,0,COUNTA([1]quests!$A:$A),MATCH(E$1,[1]quests!$1:$1,0)-MATCH($B$1,[1]quests!$1:$1,0)+1),MATCH(E$1,[1]quests!$1:$1,0)-MATCH($B$1,[1]quests!$1:$1,0)+1,FALSE)</f>
        <v>3．グリーンモール</v>
      </c>
      <c r="F34" s="5" t="str">
        <f ca="1">VLOOKUP($D34,OFFSET([1]stages!$A$1,0,0,COUNTA([1]stages!$A:$A),MATCH(F$1,[1]stages!$2:$2,0)-MATCH($D$1,[1]stages!$2:$2,0)+1),MATCH(F$1,[1]stages!$2:$2,0)-MATCH($D$1,[1]stages!$2:$2,0)+1,FALSE)</f>
        <v>3-1. 緑の警備員</v>
      </c>
      <c r="G34" s="32">
        <v>2</v>
      </c>
      <c r="H34" s="20" t="str">
        <f t="shared" si="25"/>
        <v>3_1-2</v>
      </c>
      <c r="I34" s="31">
        <v>11</v>
      </c>
      <c r="J34" s="26" t="e">
        <f ca="1">VLOOKUP($I34,OFFSET([2]enemies!$A$1,0,0,COUNTA([2]enemies!$A:$A),MATCH(J$1,[2]enemies!$2:$2,0)-MATCH($I$1,[2]enemies!$2:$2,0)+1),MATCH(J$1,[2]enemies!$2:$2,0)-MATCH($I$1,[2]enemies!$2:$2,0)+1,FALSE)</f>
        <v>#N/A</v>
      </c>
      <c r="K34" s="29" t="e">
        <f ca="1">VLOOKUP($I34,OFFSET([2]enemies!$A$1,0,0,COUNTA([2]enemies!$A:$A),MATCH(K$1,[2]enemies!$2:$2,0)-MATCH($I$1,[2]enemies!$2:$2,0)+1),MATCH(K$1,[2]enemies!$2:$2,0)-MATCH($I$1,[2]enemies!$2:$2,0)+1,FALSE)</f>
        <v>#N/A</v>
      </c>
      <c r="L34" s="29" t="e">
        <f ca="1">VLOOKUP($I34,OFFSET([3]characters!$A$1,0,0,COUNTA([3]characters!$A:$A),MATCH(L$1,[3]characters!$2:$2,0)-MATCH($I$1,[3]characters!$2:$2,0)+1),MATCH(L$1,[3]characters!$2:$2,0)-MATCH($I$1,[3]characters!$2:$2,0)+1,FALSE)</f>
        <v>#N/A</v>
      </c>
      <c r="M34" s="28" t="e">
        <f ca="1">VLOOKUP($I34,OFFSET([3]characters!$A$1,0,0,COUNTA([3]characters!$A:$A),MATCH(M$1,[3]characters!$2:$2,0)-MATCH($I$1,[3]characters!$2:$2,0)+2),MATCH(M$1,[3]characters!$2:$2,0)-MATCH($I$1,[3]characters!$2:$2,0)+2,FALSE)</f>
        <v>#N/A</v>
      </c>
      <c r="N34" s="5" t="e">
        <f ca="1">VLOOKUP($I34,OFFSET([2]enemies!$A$1,0,0,COUNTA([2]enemies!$A:$A),MATCH(N$1,[2]enemies!$2:$2,0)-MATCH($I$1,[2]enemies!$2:$2,0)+1),MATCH(N$1,[2]enemies!$2:$2,0)-MATCH($I$1,[2]enemies!$2:$2,0)+1,FALSE)</f>
        <v>#N/A</v>
      </c>
      <c r="O34" s="6">
        <v>5</v>
      </c>
      <c r="P34" s="43">
        <v>1</v>
      </c>
      <c r="Q34" s="43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5">
        <v>0</v>
      </c>
      <c r="U34" s="7">
        <v>0</v>
      </c>
      <c r="V34" s="7">
        <v>100</v>
      </c>
      <c r="W34" s="7">
        <v>0</v>
      </c>
      <c r="X34" s="26" t="e">
        <f ca="1">VLOOKUP($I34,OFFSET([2]enemies!$A$1,0,0,COUNTA([2]enemies!$A:$A),MATCH(X$1,[2]enemies!$2:$2,0)-MATCH($I$1,[2]enemies!$2:$2,0)+1),MATCH(X$1,[2]enemies!$2:$2,0)-MATCH($I$1,[2]enemies!$2:$2,0)+1,FALSE)</f>
        <v>#N/A</v>
      </c>
      <c r="Y34" s="31">
        <v>11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/>
      </c>
      <c r="AA34" s="5" t="str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/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/>
      </c>
      <c r="AC34" s="8">
        <v>1</v>
      </c>
      <c r="AD34" s="8" t="str">
        <f t="shared" ca="1" si="3"/>
        <v/>
      </c>
      <c r="AE34" s="9">
        <v>30</v>
      </c>
      <c r="AF34" s="38">
        <v>0</v>
      </c>
      <c r="AG34" s="38">
        <v>0</v>
      </c>
      <c r="AH34" s="38">
        <v>0</v>
      </c>
      <c r="AI34" s="38">
        <v>0</v>
      </c>
      <c r="AJ34" s="38">
        <v>1</v>
      </c>
    </row>
    <row r="35" spans="1:36" ht="21" customHeight="1" x14ac:dyDescent="0.15">
      <c r="A35" s="21" t="e">
        <f t="shared" ca="1" si="2"/>
        <v>#N/A</v>
      </c>
      <c r="B35" s="33">
        <v>3</v>
      </c>
      <c r="C35" s="32">
        <v>1</v>
      </c>
      <c r="D35" s="2" t="str">
        <f t="shared" si="24"/>
        <v>3_1</v>
      </c>
      <c r="E35" s="5" t="str">
        <f ca="1">VLOOKUP($B35,OFFSET([1]quests!$A$1,0,0,COUNTA([1]quests!$A:$A),MATCH(E$1,[1]quests!$1:$1,0)-MATCH($B$1,[1]quests!$1:$1,0)+1),MATCH(E$1,[1]quests!$1:$1,0)-MATCH($B$1,[1]quests!$1:$1,0)+1,FALSE)</f>
        <v>3．グリーンモール</v>
      </c>
      <c r="F35" s="5" t="str">
        <f ca="1">VLOOKUP($D35,OFFSET([1]stages!$A$1,0,0,COUNTA([1]stages!$A:$A),MATCH(F$1,[1]stages!$2:$2,0)-MATCH($D$1,[1]stages!$2:$2,0)+1),MATCH(F$1,[1]stages!$2:$2,0)-MATCH($D$1,[1]stages!$2:$2,0)+1,FALSE)</f>
        <v>3-1. 緑の警備員</v>
      </c>
      <c r="G35" s="32">
        <v>3</v>
      </c>
      <c r="H35" s="20" t="str">
        <f t="shared" si="25"/>
        <v>3_1-3</v>
      </c>
      <c r="I35" s="31">
        <v>28</v>
      </c>
      <c r="J35" s="26" t="e">
        <f ca="1">VLOOKUP($I35,OFFSET([2]enemies!$A$1,0,0,COUNTA([2]enemies!$A:$A),MATCH(J$1,[2]enemies!$2:$2,0)-MATCH($I$1,[2]enemies!$2:$2,0)+1),MATCH(J$1,[2]enemies!$2:$2,0)-MATCH($I$1,[2]enemies!$2:$2,0)+1,FALSE)</f>
        <v>#N/A</v>
      </c>
      <c r="K35" s="29" t="e">
        <f ca="1">VLOOKUP($I35,OFFSET([2]enemies!$A$1,0,0,COUNTA([2]enemies!$A:$A),MATCH(K$1,[2]enemies!$2:$2,0)-MATCH($I$1,[2]enemies!$2:$2,0)+1),MATCH(K$1,[2]enemies!$2:$2,0)-MATCH($I$1,[2]enemies!$2:$2,0)+1,FALSE)</f>
        <v>#N/A</v>
      </c>
      <c r="L35" s="29" t="e">
        <f ca="1">VLOOKUP($I35,OFFSET([3]characters!$A$1,0,0,COUNTA([3]characters!$A:$A),MATCH(L$1,[3]characters!$2:$2,0)-MATCH($I$1,[3]characters!$2:$2,0)+1),MATCH(L$1,[3]characters!$2:$2,0)-MATCH($I$1,[3]characters!$2:$2,0)+1,FALSE)</f>
        <v>#N/A</v>
      </c>
      <c r="M35" s="28" t="e">
        <f ca="1">VLOOKUP($I35,OFFSET([3]characters!$A$1,0,0,COUNTA([3]characters!$A:$A),MATCH(M$1,[3]characters!$2:$2,0)-MATCH($I$1,[3]characters!$2:$2,0)+2),MATCH(M$1,[3]characters!$2:$2,0)-MATCH($I$1,[3]characters!$2:$2,0)+2,FALSE)</f>
        <v>#N/A</v>
      </c>
      <c r="N35" s="5" t="e">
        <f ca="1">VLOOKUP($I35,OFFSET([2]enemies!$A$1,0,0,COUNTA([2]enemies!$A:$A),MATCH(N$1,[2]enemies!$2:$2,0)-MATCH($I$1,[2]enemies!$2:$2,0)+1),MATCH(N$1,[2]enemies!$2:$2,0)-MATCH($I$1,[2]enemies!$2:$2,0)+1,FALSE)</f>
        <v>#N/A</v>
      </c>
      <c r="O35" s="6">
        <v>6</v>
      </c>
      <c r="P35" s="43">
        <v>1</v>
      </c>
      <c r="Q35" s="43">
        <v>1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5" s="5">
        <v>28</v>
      </c>
      <c r="U35" s="7">
        <v>2</v>
      </c>
      <c r="V35" s="7">
        <v>100</v>
      </c>
      <c r="W35" s="7">
        <v>1</v>
      </c>
      <c r="X35" s="26" t="e">
        <f ca="1">VLOOKUP($I35,OFFSET([2]enemies!$A$1,0,0,COUNTA([2]enemies!$A:$A),MATCH(X$1,[2]enemies!$2:$2,0)-MATCH($I$1,[2]enemies!$2:$2,0)+1),MATCH(X$1,[2]enemies!$2:$2,0)-MATCH($I$1,[2]enemies!$2:$2,0)+1,FALSE)</f>
        <v>#N/A</v>
      </c>
      <c r="Y35" s="31">
        <v>27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/>
      </c>
      <c r="AA35" s="5" t="str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/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/>
      </c>
      <c r="AC35" s="8">
        <v>1</v>
      </c>
      <c r="AD35" s="8" t="str">
        <f t="shared" ca="1" si="3"/>
        <v/>
      </c>
      <c r="AE35" s="9">
        <v>0</v>
      </c>
      <c r="AF35" s="38">
        <v>0</v>
      </c>
      <c r="AG35" s="38">
        <v>0</v>
      </c>
      <c r="AH35" s="38">
        <v>0</v>
      </c>
      <c r="AI35" s="38">
        <v>0</v>
      </c>
      <c r="AJ35" s="38">
        <v>1</v>
      </c>
    </row>
    <row r="36" spans="1:36" ht="21" customHeight="1" x14ac:dyDescent="0.15">
      <c r="A36" s="21" t="e">
        <f t="shared" ca="1" si="2"/>
        <v>#N/A</v>
      </c>
      <c r="B36" s="33">
        <v>3</v>
      </c>
      <c r="C36" s="32">
        <v>2</v>
      </c>
      <c r="D36" s="2" t="str">
        <f t="shared" si="24"/>
        <v>3_2</v>
      </c>
      <c r="E36" s="5" t="str">
        <f ca="1">VLOOKUP($B36,OFFSET([1]quests!$A$1,0,0,COUNTA([1]quests!$A:$A),MATCH(E$1,[1]quests!$1:$1,0)-MATCH($B$1,[1]quests!$1:$1,0)+1),MATCH(E$1,[1]quests!$1:$1,0)-MATCH($B$1,[1]quests!$1:$1,0)+1,FALSE)</f>
        <v>3．グリーンモール</v>
      </c>
      <c r="F36" s="5" t="str">
        <f ca="1">VLOOKUP($D36,OFFSET([1]stages!$A$1,0,0,COUNTA([1]stages!$A:$A),MATCH(F$1,[1]stages!$2:$2,0)-MATCH($D$1,[1]stages!$2:$2,0)+1),MATCH(F$1,[1]stages!$2:$2,0)-MATCH($D$1,[1]stages!$2:$2,0)+1,FALSE)</f>
        <v>3-2. 買い物好きの刺客</v>
      </c>
      <c r="G36" s="32">
        <v>1</v>
      </c>
      <c r="H36" s="20" t="str">
        <f t="shared" si="25"/>
        <v>3_2-1</v>
      </c>
      <c r="I36" s="31">
        <v>3</v>
      </c>
      <c r="J36" s="26" t="e">
        <f ca="1">VLOOKUP($I36,OFFSET([2]enemies!$A$1,0,0,COUNTA([2]enemies!$A:$A),MATCH(J$1,[2]enemies!$2:$2,0)-MATCH($I$1,[2]enemies!$2:$2,0)+1),MATCH(J$1,[2]enemies!$2:$2,0)-MATCH($I$1,[2]enemies!$2:$2,0)+1,FALSE)</f>
        <v>#N/A</v>
      </c>
      <c r="K36" s="29" t="e">
        <f ca="1">VLOOKUP($I36,OFFSET([2]enemies!$A$1,0,0,COUNTA([2]enemies!$A:$A),MATCH(K$1,[2]enemies!$2:$2,0)-MATCH($I$1,[2]enemies!$2:$2,0)+1),MATCH(K$1,[2]enemies!$2:$2,0)-MATCH($I$1,[2]enemies!$2:$2,0)+1,FALSE)</f>
        <v>#N/A</v>
      </c>
      <c r="L36" s="29" t="e">
        <f ca="1">VLOOKUP($I36,OFFSET([3]characters!$A$1,0,0,COUNTA([3]characters!$A:$A),MATCH(L$1,[3]characters!$2:$2,0)-MATCH($I$1,[3]characters!$2:$2,0)+1),MATCH(L$1,[3]characters!$2:$2,0)-MATCH($I$1,[3]characters!$2:$2,0)+1,FALSE)</f>
        <v>#N/A</v>
      </c>
      <c r="M36" s="28" t="e">
        <f ca="1">VLOOKUP($I36,OFFSET([3]characters!$A$1,0,0,COUNTA([3]characters!$A:$A),MATCH(M$1,[3]characters!$2:$2,0)-MATCH($I$1,[3]characters!$2:$2,0)+2),MATCH(M$1,[3]characters!$2:$2,0)-MATCH($I$1,[3]characters!$2:$2,0)+2,FALSE)</f>
        <v>#N/A</v>
      </c>
      <c r="N36" s="5" t="e">
        <f ca="1">VLOOKUP($I36,OFFSET([2]enemies!$A$1,0,0,COUNTA([2]enemies!$A:$A),MATCH(N$1,[2]enemies!$2:$2,0)-MATCH($I$1,[2]enemies!$2:$2,0)+1),MATCH(N$1,[2]enemies!$2:$2,0)-MATCH($I$1,[2]enemies!$2:$2,0)+1,FALSE)</f>
        <v>#N/A</v>
      </c>
      <c r="O36" s="6">
        <v>5</v>
      </c>
      <c r="P36" s="43">
        <v>1</v>
      </c>
      <c r="Q36" s="43">
        <v>1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36" s="5">
        <v>560001</v>
      </c>
      <c r="U36" s="7">
        <v>0</v>
      </c>
      <c r="V36" s="7">
        <v>100</v>
      </c>
      <c r="W36" s="7">
        <v>0</v>
      </c>
      <c r="X36" s="26" t="e">
        <f ca="1">VLOOKUP($I36,OFFSET([2]enemies!$A$1,0,0,COUNTA([2]enemies!$A:$A),MATCH(X$1,[2]enemies!$2:$2,0)-MATCH($I$1,[2]enemies!$2:$2,0)+1),MATCH(X$1,[2]enemies!$2:$2,0)-MATCH($I$1,[2]enemies!$2:$2,0)+1,FALSE)</f>
        <v>#N/A</v>
      </c>
      <c r="Y36" s="31">
        <v>3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/>
      </c>
      <c r="AA36" s="5" t="str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/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/>
      </c>
      <c r="AC36" s="8">
        <v>2</v>
      </c>
      <c r="AD36" s="8" t="str">
        <f t="shared" ca="1" si="3"/>
        <v/>
      </c>
      <c r="AE36" s="9">
        <v>30</v>
      </c>
      <c r="AF36" s="38">
        <v>0</v>
      </c>
      <c r="AG36" s="38">
        <v>0</v>
      </c>
      <c r="AH36" s="38">
        <v>0</v>
      </c>
      <c r="AI36" s="38">
        <v>0</v>
      </c>
      <c r="AJ36" s="38">
        <v>1</v>
      </c>
    </row>
    <row r="37" spans="1:36" ht="21" customHeight="1" x14ac:dyDescent="0.15">
      <c r="A37" s="21" t="e">
        <f t="shared" ca="1" si="2"/>
        <v>#N/A</v>
      </c>
      <c r="B37" s="33">
        <v>3</v>
      </c>
      <c r="C37" s="32">
        <v>2</v>
      </c>
      <c r="D37" s="2" t="str">
        <f t="shared" si="24"/>
        <v>3_2</v>
      </c>
      <c r="E37" s="5" t="str">
        <f ca="1">VLOOKUP($B37,OFFSET([1]quests!$A$1,0,0,COUNTA([1]quests!$A:$A),MATCH(E$1,[1]quests!$1:$1,0)-MATCH($B$1,[1]quests!$1:$1,0)+1),MATCH(E$1,[1]quests!$1:$1,0)-MATCH($B$1,[1]quests!$1:$1,0)+1,FALSE)</f>
        <v>3．グリーンモール</v>
      </c>
      <c r="F37" s="5" t="str">
        <f ca="1">VLOOKUP($D37,OFFSET([1]stages!$A$1,0,0,COUNTA([1]stages!$A:$A),MATCH(F$1,[1]stages!$2:$2,0)-MATCH($D$1,[1]stages!$2:$2,0)+1),MATCH(F$1,[1]stages!$2:$2,0)-MATCH($D$1,[1]stages!$2:$2,0)+1,FALSE)</f>
        <v>3-2. 買い物好きの刺客</v>
      </c>
      <c r="G37" s="32">
        <v>1</v>
      </c>
      <c r="H37" s="20" t="str">
        <f t="shared" si="25"/>
        <v>3_2-1</v>
      </c>
      <c r="I37" s="31">
        <v>11</v>
      </c>
      <c r="J37" s="26" t="e">
        <f ca="1">VLOOKUP($I37,OFFSET([2]enemies!$A$1,0,0,COUNTA([2]enemies!$A:$A),MATCH(J$1,[2]enemies!$2:$2,0)-MATCH($I$1,[2]enemies!$2:$2,0)+1),MATCH(J$1,[2]enemies!$2:$2,0)-MATCH($I$1,[2]enemies!$2:$2,0)+1,FALSE)</f>
        <v>#N/A</v>
      </c>
      <c r="K37" s="29" t="e">
        <f ca="1">VLOOKUP($I37,OFFSET([2]enemies!$A$1,0,0,COUNTA([2]enemies!$A:$A),MATCH(K$1,[2]enemies!$2:$2,0)-MATCH($I$1,[2]enemies!$2:$2,0)+1),MATCH(K$1,[2]enemies!$2:$2,0)-MATCH($I$1,[2]enemies!$2:$2,0)+1,FALSE)</f>
        <v>#N/A</v>
      </c>
      <c r="L37" s="29" t="e">
        <f ca="1">VLOOKUP($I37,OFFSET([3]characters!$A$1,0,0,COUNTA([3]characters!$A:$A),MATCH(L$1,[3]characters!$2:$2,0)-MATCH($I$1,[3]characters!$2:$2,0)+1),MATCH(L$1,[3]characters!$2:$2,0)-MATCH($I$1,[3]characters!$2:$2,0)+1,FALSE)</f>
        <v>#N/A</v>
      </c>
      <c r="M37" s="28" t="e">
        <f ca="1">VLOOKUP($I37,OFFSET([3]characters!$A$1,0,0,COUNTA([3]characters!$A:$A),MATCH(M$1,[3]characters!$2:$2,0)-MATCH($I$1,[3]characters!$2:$2,0)+2),MATCH(M$1,[3]characters!$2:$2,0)-MATCH($I$1,[3]characters!$2:$2,0)+2,FALSE)</f>
        <v>#N/A</v>
      </c>
      <c r="N37" s="5" t="e">
        <f ca="1">VLOOKUP($I37,OFFSET([2]enemies!$A$1,0,0,COUNTA([2]enemies!$A:$A),MATCH(N$1,[2]enemies!$2:$2,0)-MATCH($I$1,[2]enemies!$2:$2,0)+1),MATCH(N$1,[2]enemies!$2:$2,0)-MATCH($I$1,[2]enemies!$2:$2,0)+1,FALSE)</f>
        <v>#N/A</v>
      </c>
      <c r="O37" s="6">
        <v>5</v>
      </c>
      <c r="P37" s="43">
        <v>1</v>
      </c>
      <c r="Q37" s="43">
        <v>1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5">
        <v>0</v>
      </c>
      <c r="U37" s="7">
        <v>0</v>
      </c>
      <c r="V37" s="7">
        <v>100</v>
      </c>
      <c r="W37" s="7">
        <v>0</v>
      </c>
      <c r="X37" s="26" t="e">
        <f ca="1">VLOOKUP($I37,OFFSET([2]enemies!$A$1,0,0,COUNTA([2]enemies!$A:$A),MATCH(X$1,[2]enemies!$2:$2,0)-MATCH($I$1,[2]enemies!$2:$2,0)+1),MATCH(X$1,[2]enemies!$2:$2,0)-MATCH($I$1,[2]enemies!$2:$2,0)+1,FALSE)</f>
        <v>#N/A</v>
      </c>
      <c r="Y37" s="31">
        <v>11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/>
      </c>
      <c r="AA37" s="5" t="str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/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/>
      </c>
      <c r="AC37" s="8">
        <v>1</v>
      </c>
      <c r="AD37" s="8" t="str">
        <f t="shared" ca="1" si="3"/>
        <v/>
      </c>
      <c r="AE37" s="9">
        <v>30</v>
      </c>
      <c r="AF37" s="38">
        <v>0</v>
      </c>
      <c r="AG37" s="38">
        <v>0</v>
      </c>
      <c r="AH37" s="38">
        <v>0</v>
      </c>
      <c r="AI37" s="38">
        <v>0</v>
      </c>
      <c r="AJ37" s="38">
        <v>1</v>
      </c>
    </row>
    <row r="38" spans="1:36" ht="21" customHeight="1" x14ac:dyDescent="0.15">
      <c r="A38" s="21" t="e">
        <f t="shared" ca="1" si="2"/>
        <v>#N/A</v>
      </c>
      <c r="B38" s="33">
        <v>3</v>
      </c>
      <c r="C38" s="32">
        <v>2</v>
      </c>
      <c r="D38" s="2" t="str">
        <f t="shared" si="24"/>
        <v>3_2</v>
      </c>
      <c r="E38" s="5" t="str">
        <f ca="1">VLOOKUP($B38,OFFSET([1]quests!$A$1,0,0,COUNTA([1]quests!$A:$A),MATCH(E$1,[1]quests!$1:$1,0)-MATCH($B$1,[1]quests!$1:$1,0)+1),MATCH(E$1,[1]quests!$1:$1,0)-MATCH($B$1,[1]quests!$1:$1,0)+1,FALSE)</f>
        <v>3．グリーンモール</v>
      </c>
      <c r="F38" s="5" t="str">
        <f ca="1">VLOOKUP($D38,OFFSET([1]stages!$A$1,0,0,COUNTA([1]stages!$A:$A),MATCH(F$1,[1]stages!$2:$2,0)-MATCH($D$1,[1]stages!$2:$2,0)+1),MATCH(F$1,[1]stages!$2:$2,0)-MATCH($D$1,[1]stages!$2:$2,0)+1,FALSE)</f>
        <v>3-2. 買い物好きの刺客</v>
      </c>
      <c r="G38" s="32">
        <v>1</v>
      </c>
      <c r="H38" s="20" t="str">
        <f t="shared" si="25"/>
        <v>3_2-1</v>
      </c>
      <c r="I38" s="31">
        <v>23</v>
      </c>
      <c r="J38" s="26" t="e">
        <f ca="1">VLOOKUP($I38,OFFSET([2]enemies!$A$1,0,0,COUNTA([2]enemies!$A:$A),MATCH(J$1,[2]enemies!$2:$2,0)-MATCH($I$1,[2]enemies!$2:$2,0)+1),MATCH(J$1,[2]enemies!$2:$2,0)-MATCH($I$1,[2]enemies!$2:$2,0)+1,FALSE)</f>
        <v>#N/A</v>
      </c>
      <c r="K38" s="29" t="e">
        <f ca="1">VLOOKUP($I38,OFFSET([2]enemies!$A$1,0,0,COUNTA([2]enemies!$A:$A),MATCH(K$1,[2]enemies!$2:$2,0)-MATCH($I$1,[2]enemies!$2:$2,0)+1),MATCH(K$1,[2]enemies!$2:$2,0)-MATCH($I$1,[2]enemies!$2:$2,0)+1,FALSE)</f>
        <v>#N/A</v>
      </c>
      <c r="L38" s="29" t="e">
        <f ca="1">VLOOKUP($I38,OFFSET([3]characters!$A$1,0,0,COUNTA([3]characters!$A:$A),MATCH(L$1,[3]characters!$2:$2,0)-MATCH($I$1,[3]characters!$2:$2,0)+1),MATCH(L$1,[3]characters!$2:$2,0)-MATCH($I$1,[3]characters!$2:$2,0)+1,FALSE)</f>
        <v>#N/A</v>
      </c>
      <c r="M38" s="28" t="e">
        <f ca="1">VLOOKUP($I38,OFFSET([3]characters!$A$1,0,0,COUNTA([3]characters!$A:$A),MATCH(M$1,[3]characters!$2:$2,0)-MATCH($I$1,[3]characters!$2:$2,0)+2),MATCH(M$1,[3]characters!$2:$2,0)-MATCH($I$1,[3]characters!$2:$2,0)+2,FALSE)</f>
        <v>#N/A</v>
      </c>
      <c r="N38" s="5" t="e">
        <f ca="1">VLOOKUP($I38,OFFSET([2]enemies!$A$1,0,0,COUNTA([2]enemies!$A:$A),MATCH(N$1,[2]enemies!$2:$2,0)-MATCH($I$1,[2]enemies!$2:$2,0)+1),MATCH(N$1,[2]enemies!$2:$2,0)-MATCH($I$1,[2]enemies!$2:$2,0)+1,FALSE)</f>
        <v>#N/A</v>
      </c>
      <c r="O38" s="6">
        <v>5</v>
      </c>
      <c r="P38" s="43">
        <v>1</v>
      </c>
      <c r="Q38" s="43">
        <v>1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5">
        <v>0</v>
      </c>
      <c r="U38" s="7">
        <v>0</v>
      </c>
      <c r="V38" s="7">
        <v>100</v>
      </c>
      <c r="W38" s="7">
        <v>0</v>
      </c>
      <c r="X38" s="26" t="e">
        <f ca="1">VLOOKUP($I38,OFFSET([2]enemies!$A$1,0,0,COUNTA([2]enemies!$A:$A),MATCH(X$1,[2]enemies!$2:$2,0)-MATCH($I$1,[2]enemies!$2:$2,0)+1),MATCH(X$1,[2]enemies!$2:$2,0)-MATCH($I$1,[2]enemies!$2:$2,0)+1,FALSE)</f>
        <v>#N/A</v>
      </c>
      <c r="Y38" s="31">
        <v>23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/>
      </c>
      <c r="AA38" s="5" t="str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/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/>
      </c>
      <c r="AC38" s="8">
        <v>1</v>
      </c>
      <c r="AD38" s="8" t="str">
        <f t="shared" ca="1" si="3"/>
        <v/>
      </c>
      <c r="AE38" s="9">
        <v>30</v>
      </c>
      <c r="AF38" s="38">
        <v>0</v>
      </c>
      <c r="AG38" s="38">
        <v>0</v>
      </c>
      <c r="AH38" s="38">
        <v>0</v>
      </c>
      <c r="AI38" s="38">
        <v>0</v>
      </c>
      <c r="AJ38" s="38">
        <v>1</v>
      </c>
    </row>
    <row r="39" spans="1:36" ht="21" customHeight="1" x14ac:dyDescent="0.15">
      <c r="A39" s="21" t="e">
        <f t="shared" ca="1" si="2"/>
        <v>#N/A</v>
      </c>
      <c r="B39" s="33">
        <v>3</v>
      </c>
      <c r="C39" s="32">
        <v>2</v>
      </c>
      <c r="D39" s="2" t="str">
        <f t="shared" si="24"/>
        <v>3_2</v>
      </c>
      <c r="E39" s="5" t="str">
        <f ca="1">VLOOKUP($B39,OFFSET([1]quests!$A$1,0,0,COUNTA([1]quests!$A:$A),MATCH(E$1,[1]quests!$1:$1,0)-MATCH($B$1,[1]quests!$1:$1,0)+1),MATCH(E$1,[1]quests!$1:$1,0)-MATCH($B$1,[1]quests!$1:$1,0)+1,FALSE)</f>
        <v>3．グリーンモール</v>
      </c>
      <c r="F39" s="5" t="str">
        <f ca="1">VLOOKUP($D39,OFFSET([1]stages!$A$1,0,0,COUNTA([1]stages!$A:$A),MATCH(F$1,[1]stages!$2:$2,0)-MATCH($D$1,[1]stages!$2:$2,0)+1),MATCH(F$1,[1]stages!$2:$2,0)-MATCH($D$1,[1]stages!$2:$2,0)+1,FALSE)</f>
        <v>3-2. 買い物好きの刺客</v>
      </c>
      <c r="G39" s="32">
        <v>2</v>
      </c>
      <c r="H39" s="20" t="str">
        <f t="shared" si="25"/>
        <v>3_2-2</v>
      </c>
      <c r="I39" s="31">
        <v>3</v>
      </c>
      <c r="J39" s="26" t="e">
        <f ca="1">VLOOKUP($I39,OFFSET([2]enemies!$A$1,0,0,COUNTA([2]enemies!$A:$A),MATCH(J$1,[2]enemies!$2:$2,0)-MATCH($I$1,[2]enemies!$2:$2,0)+1),MATCH(J$1,[2]enemies!$2:$2,0)-MATCH($I$1,[2]enemies!$2:$2,0)+1,FALSE)</f>
        <v>#N/A</v>
      </c>
      <c r="K39" s="29" t="e">
        <f ca="1">VLOOKUP($I39,OFFSET([2]enemies!$A$1,0,0,COUNTA([2]enemies!$A:$A),MATCH(K$1,[2]enemies!$2:$2,0)-MATCH($I$1,[2]enemies!$2:$2,0)+1),MATCH(K$1,[2]enemies!$2:$2,0)-MATCH($I$1,[2]enemies!$2:$2,0)+1,FALSE)</f>
        <v>#N/A</v>
      </c>
      <c r="L39" s="29" t="e">
        <f ca="1">VLOOKUP($I39,OFFSET([3]characters!$A$1,0,0,COUNTA([3]characters!$A:$A),MATCH(L$1,[3]characters!$2:$2,0)-MATCH($I$1,[3]characters!$2:$2,0)+1),MATCH(L$1,[3]characters!$2:$2,0)-MATCH($I$1,[3]characters!$2:$2,0)+1,FALSE)</f>
        <v>#N/A</v>
      </c>
      <c r="M39" s="28" t="e">
        <f ca="1">VLOOKUP($I39,OFFSET([3]characters!$A$1,0,0,COUNTA([3]characters!$A:$A),MATCH(M$1,[3]characters!$2:$2,0)-MATCH($I$1,[3]characters!$2:$2,0)+2),MATCH(M$1,[3]characters!$2:$2,0)-MATCH($I$1,[3]characters!$2:$2,0)+2,FALSE)</f>
        <v>#N/A</v>
      </c>
      <c r="N39" s="5" t="e">
        <f ca="1">VLOOKUP($I39,OFFSET([2]enemies!$A$1,0,0,COUNTA([2]enemies!$A:$A),MATCH(N$1,[2]enemies!$2:$2,0)-MATCH($I$1,[2]enemies!$2:$2,0)+1),MATCH(N$1,[2]enemies!$2:$2,0)-MATCH($I$1,[2]enemies!$2:$2,0)+1,FALSE)</f>
        <v>#N/A</v>
      </c>
      <c r="O39" s="6">
        <v>5</v>
      </c>
      <c r="P39" s="43">
        <v>1</v>
      </c>
      <c r="Q39" s="43">
        <v>1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5">
        <v>0</v>
      </c>
      <c r="U39" s="7">
        <v>0</v>
      </c>
      <c r="V39" s="7">
        <v>100</v>
      </c>
      <c r="W39" s="7">
        <v>0</v>
      </c>
      <c r="X39" s="26" t="e">
        <f ca="1">VLOOKUP($I39,OFFSET([2]enemies!$A$1,0,0,COUNTA([2]enemies!$A:$A),MATCH(X$1,[2]enemies!$2:$2,0)-MATCH($I$1,[2]enemies!$2:$2,0)+1),MATCH(X$1,[2]enemies!$2:$2,0)-MATCH($I$1,[2]enemies!$2:$2,0)+1,FALSE)</f>
        <v>#N/A</v>
      </c>
      <c r="Y39" s="31">
        <v>3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/>
      </c>
      <c r="AA39" s="5" t="str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/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/>
      </c>
      <c r="AC39" s="8">
        <v>2</v>
      </c>
      <c r="AD39" s="8" t="str">
        <f t="shared" ca="1" si="3"/>
        <v/>
      </c>
      <c r="AE39" s="9">
        <v>40</v>
      </c>
      <c r="AF39" s="38">
        <v>0</v>
      </c>
      <c r="AG39" s="38">
        <v>0</v>
      </c>
      <c r="AH39" s="38">
        <v>0</v>
      </c>
      <c r="AI39" s="38">
        <v>0</v>
      </c>
      <c r="AJ39" s="38">
        <v>1</v>
      </c>
    </row>
    <row r="40" spans="1:36" ht="21" customHeight="1" x14ac:dyDescent="0.15">
      <c r="A40" s="21" t="e">
        <f t="shared" ca="1" si="2"/>
        <v>#N/A</v>
      </c>
      <c r="B40" s="33">
        <v>3</v>
      </c>
      <c r="C40" s="32">
        <v>2</v>
      </c>
      <c r="D40" s="2" t="str">
        <f t="shared" si="24"/>
        <v>3_2</v>
      </c>
      <c r="E40" s="5" t="str">
        <f ca="1">VLOOKUP($B40,OFFSET([1]quests!$A$1,0,0,COUNTA([1]quests!$A:$A),MATCH(E$1,[1]quests!$1:$1,0)-MATCH($B$1,[1]quests!$1:$1,0)+1),MATCH(E$1,[1]quests!$1:$1,0)-MATCH($B$1,[1]quests!$1:$1,0)+1,FALSE)</f>
        <v>3．グリーンモール</v>
      </c>
      <c r="F40" s="5" t="str">
        <f ca="1">VLOOKUP($D40,OFFSET([1]stages!$A$1,0,0,COUNTA([1]stages!$A:$A),MATCH(F$1,[1]stages!$2:$2,0)-MATCH($D$1,[1]stages!$2:$2,0)+1),MATCH(F$1,[1]stages!$2:$2,0)-MATCH($D$1,[1]stages!$2:$2,0)+1,FALSE)</f>
        <v>3-2. 買い物好きの刺客</v>
      </c>
      <c r="G40" s="32">
        <v>2</v>
      </c>
      <c r="H40" s="20" t="str">
        <f t="shared" si="25"/>
        <v>3_2-2</v>
      </c>
      <c r="I40" s="31">
        <v>11</v>
      </c>
      <c r="J40" s="26" t="e">
        <f ca="1">VLOOKUP($I40,OFFSET([2]enemies!$A$1,0,0,COUNTA([2]enemies!$A:$A),MATCH(J$1,[2]enemies!$2:$2,0)-MATCH($I$1,[2]enemies!$2:$2,0)+1),MATCH(J$1,[2]enemies!$2:$2,0)-MATCH($I$1,[2]enemies!$2:$2,0)+1,FALSE)</f>
        <v>#N/A</v>
      </c>
      <c r="K40" s="29" t="e">
        <f ca="1">VLOOKUP($I40,OFFSET([2]enemies!$A$1,0,0,COUNTA([2]enemies!$A:$A),MATCH(K$1,[2]enemies!$2:$2,0)-MATCH($I$1,[2]enemies!$2:$2,0)+1),MATCH(K$1,[2]enemies!$2:$2,0)-MATCH($I$1,[2]enemies!$2:$2,0)+1,FALSE)</f>
        <v>#N/A</v>
      </c>
      <c r="L40" s="29" t="e">
        <f ca="1">VLOOKUP($I40,OFFSET([3]characters!$A$1,0,0,COUNTA([3]characters!$A:$A),MATCH(L$1,[3]characters!$2:$2,0)-MATCH($I$1,[3]characters!$2:$2,0)+1),MATCH(L$1,[3]characters!$2:$2,0)-MATCH($I$1,[3]characters!$2:$2,0)+1,FALSE)</f>
        <v>#N/A</v>
      </c>
      <c r="M40" s="28" t="e">
        <f ca="1">VLOOKUP($I40,OFFSET([3]characters!$A$1,0,0,COUNTA([3]characters!$A:$A),MATCH(M$1,[3]characters!$2:$2,0)-MATCH($I$1,[3]characters!$2:$2,0)+2),MATCH(M$1,[3]characters!$2:$2,0)-MATCH($I$1,[3]characters!$2:$2,0)+2,FALSE)</f>
        <v>#N/A</v>
      </c>
      <c r="N40" s="5" t="e">
        <f ca="1">VLOOKUP($I40,OFFSET([2]enemies!$A$1,0,0,COUNTA([2]enemies!$A:$A),MATCH(N$1,[2]enemies!$2:$2,0)-MATCH($I$1,[2]enemies!$2:$2,0)+1),MATCH(N$1,[2]enemies!$2:$2,0)-MATCH($I$1,[2]enemies!$2:$2,0)+1,FALSE)</f>
        <v>#N/A</v>
      </c>
      <c r="O40" s="6">
        <v>5</v>
      </c>
      <c r="P40" s="43">
        <v>1</v>
      </c>
      <c r="Q40" s="43">
        <v>1</v>
      </c>
      <c r="R40" s="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5">
        <v>0</v>
      </c>
      <c r="U40" s="7">
        <v>0</v>
      </c>
      <c r="V40" s="7">
        <v>100</v>
      </c>
      <c r="W40" s="7">
        <v>0</v>
      </c>
      <c r="X40" s="26" t="e">
        <f ca="1">VLOOKUP($I40,OFFSET([2]enemies!$A$1,0,0,COUNTA([2]enemies!$A:$A),MATCH(X$1,[2]enemies!$2:$2,0)-MATCH($I$1,[2]enemies!$2:$2,0)+1),MATCH(X$1,[2]enemies!$2:$2,0)-MATCH($I$1,[2]enemies!$2:$2,0)+1,FALSE)</f>
        <v>#N/A</v>
      </c>
      <c r="Y40" s="31">
        <v>11</v>
      </c>
      <c r="Z40" s="5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/>
      </c>
      <c r="AA40" s="5" t="str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/>
      </c>
      <c r="AB40" s="5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/>
      </c>
      <c r="AC40" s="8">
        <v>1</v>
      </c>
      <c r="AD40" s="8" t="str">
        <f t="shared" ca="1" si="3"/>
        <v/>
      </c>
      <c r="AE40" s="9">
        <v>40</v>
      </c>
      <c r="AF40" s="38">
        <v>0</v>
      </c>
      <c r="AG40" s="38">
        <v>0</v>
      </c>
      <c r="AH40" s="38">
        <v>0</v>
      </c>
      <c r="AI40" s="38">
        <v>0</v>
      </c>
      <c r="AJ40" s="38">
        <v>1</v>
      </c>
    </row>
    <row r="41" spans="1:36" ht="21" customHeight="1" x14ac:dyDescent="0.15">
      <c r="A41" s="21" t="e">
        <f t="shared" ca="1" si="2"/>
        <v>#N/A</v>
      </c>
      <c r="B41" s="33">
        <v>3</v>
      </c>
      <c r="C41" s="32">
        <v>2</v>
      </c>
      <c r="D41" s="2" t="str">
        <f t="shared" si="24"/>
        <v>3_2</v>
      </c>
      <c r="E41" s="5" t="str">
        <f ca="1">VLOOKUP($B41,OFFSET([1]quests!$A$1,0,0,COUNTA([1]quests!$A:$A),MATCH(E$1,[1]quests!$1:$1,0)-MATCH($B$1,[1]quests!$1:$1,0)+1),MATCH(E$1,[1]quests!$1:$1,0)-MATCH($B$1,[1]quests!$1:$1,0)+1,FALSE)</f>
        <v>3．グリーンモール</v>
      </c>
      <c r="F41" s="5" t="str">
        <f ca="1">VLOOKUP($D41,OFFSET([1]stages!$A$1,0,0,COUNTA([1]stages!$A:$A),MATCH(F$1,[1]stages!$2:$2,0)-MATCH($D$1,[1]stages!$2:$2,0)+1),MATCH(F$1,[1]stages!$2:$2,0)-MATCH($D$1,[1]stages!$2:$2,0)+1,FALSE)</f>
        <v>3-2. 買い物好きの刺客</v>
      </c>
      <c r="G41" s="32">
        <v>2</v>
      </c>
      <c r="H41" s="20" t="str">
        <f t="shared" si="25"/>
        <v>3_2-2</v>
      </c>
      <c r="I41" s="31">
        <v>23</v>
      </c>
      <c r="J41" s="26" t="e">
        <f ca="1">VLOOKUP($I41,OFFSET([2]enemies!$A$1,0,0,COUNTA([2]enemies!$A:$A),MATCH(J$1,[2]enemies!$2:$2,0)-MATCH($I$1,[2]enemies!$2:$2,0)+1),MATCH(J$1,[2]enemies!$2:$2,0)-MATCH($I$1,[2]enemies!$2:$2,0)+1,FALSE)</f>
        <v>#N/A</v>
      </c>
      <c r="K41" s="29" t="e">
        <f ca="1">VLOOKUP($I41,OFFSET([2]enemies!$A$1,0,0,COUNTA([2]enemies!$A:$A),MATCH(K$1,[2]enemies!$2:$2,0)-MATCH($I$1,[2]enemies!$2:$2,0)+1),MATCH(K$1,[2]enemies!$2:$2,0)-MATCH($I$1,[2]enemies!$2:$2,0)+1,FALSE)</f>
        <v>#N/A</v>
      </c>
      <c r="L41" s="29" t="e">
        <f ca="1">VLOOKUP($I41,OFFSET([3]characters!$A$1,0,0,COUNTA([3]characters!$A:$A),MATCH(L$1,[3]characters!$2:$2,0)-MATCH($I$1,[3]characters!$2:$2,0)+1),MATCH(L$1,[3]characters!$2:$2,0)-MATCH($I$1,[3]characters!$2:$2,0)+1,FALSE)</f>
        <v>#N/A</v>
      </c>
      <c r="M41" s="28" t="e">
        <f ca="1">VLOOKUP($I41,OFFSET([3]characters!$A$1,0,0,COUNTA([3]characters!$A:$A),MATCH(M$1,[3]characters!$2:$2,0)-MATCH($I$1,[3]characters!$2:$2,0)+2),MATCH(M$1,[3]characters!$2:$2,0)-MATCH($I$1,[3]characters!$2:$2,0)+2,FALSE)</f>
        <v>#N/A</v>
      </c>
      <c r="N41" s="5" t="e">
        <f ca="1">VLOOKUP($I41,OFFSET([2]enemies!$A$1,0,0,COUNTA([2]enemies!$A:$A),MATCH(N$1,[2]enemies!$2:$2,0)-MATCH($I$1,[2]enemies!$2:$2,0)+1),MATCH(N$1,[2]enemies!$2:$2,0)-MATCH($I$1,[2]enemies!$2:$2,0)+1,FALSE)</f>
        <v>#N/A</v>
      </c>
      <c r="O41" s="6">
        <v>5</v>
      </c>
      <c r="P41" s="43">
        <v>1</v>
      </c>
      <c r="Q41" s="43">
        <v>1</v>
      </c>
      <c r="R41" s="6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5">
        <v>0</v>
      </c>
      <c r="U41" s="7">
        <v>0</v>
      </c>
      <c r="V41" s="7">
        <v>100</v>
      </c>
      <c r="W41" s="7">
        <v>0</v>
      </c>
      <c r="X41" s="26" t="e">
        <f ca="1">VLOOKUP($I41,OFFSET([2]enemies!$A$1,0,0,COUNTA([2]enemies!$A:$A),MATCH(X$1,[2]enemies!$2:$2,0)-MATCH($I$1,[2]enemies!$2:$2,0)+1),MATCH(X$1,[2]enemies!$2:$2,0)-MATCH($I$1,[2]enemies!$2:$2,0)+1,FALSE)</f>
        <v>#N/A</v>
      </c>
      <c r="Y41" s="31">
        <v>23</v>
      </c>
      <c r="Z41" s="5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/>
      </c>
      <c r="AA41" s="5" t="str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/>
      </c>
      <c r="AB41" s="5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/>
      </c>
      <c r="AC41" s="8">
        <v>1</v>
      </c>
      <c r="AD41" s="8" t="str">
        <f t="shared" ca="1" si="3"/>
        <v/>
      </c>
      <c r="AE41" s="9">
        <v>40</v>
      </c>
      <c r="AF41" s="38">
        <v>0</v>
      </c>
      <c r="AG41" s="38">
        <v>0</v>
      </c>
      <c r="AH41" s="38">
        <v>0</v>
      </c>
      <c r="AI41" s="38">
        <v>0</v>
      </c>
      <c r="AJ41" s="38">
        <v>1</v>
      </c>
    </row>
    <row r="42" spans="1:36" ht="21" customHeight="1" x14ac:dyDescent="0.15">
      <c r="A42" s="21" t="e">
        <f t="shared" ref="A42:A44" ca="1" si="26">B42&amp;"_"&amp;C42&amp;"-"&amp;G42&amp;"/"&amp;I42&amp;"&lt;lv"&amp;O42&amp;"&gt;s"&amp;X42</f>
        <v>#N/A</v>
      </c>
      <c r="B42" s="33">
        <v>3</v>
      </c>
      <c r="C42" s="32">
        <v>2</v>
      </c>
      <c r="D42" s="2" t="str">
        <f t="shared" ref="D42:D44" si="27">B42&amp;"_"&amp;C42</f>
        <v>3_2</v>
      </c>
      <c r="E42" s="5" t="str">
        <f ca="1">VLOOKUP($B42,OFFSET([1]quests!$A$1,0,0,COUNTA([1]quests!$A:$A),MATCH(E$1,[1]quests!$1:$1,0)-MATCH($B$1,[1]quests!$1:$1,0)+1),MATCH(E$1,[1]quests!$1:$1,0)-MATCH($B$1,[1]quests!$1:$1,0)+1,FALSE)</f>
        <v>3．グリーンモール</v>
      </c>
      <c r="F42" s="5" t="str">
        <f ca="1">VLOOKUP($D42,OFFSET([1]stages!$A$1,0,0,COUNTA([1]stages!$A:$A),MATCH(F$1,[1]stages!$2:$2,0)-MATCH($D$1,[1]stages!$2:$2,0)+1),MATCH(F$1,[1]stages!$2:$2,0)-MATCH($D$1,[1]stages!$2:$2,0)+1,FALSE)</f>
        <v>3-2. 買い物好きの刺客</v>
      </c>
      <c r="G42" s="32">
        <v>3</v>
      </c>
      <c r="H42" s="20" t="str">
        <f t="shared" ref="H42:H44" si="28">B42&amp;"_"&amp;C42&amp;"-"&amp;G42</f>
        <v>3_2-3</v>
      </c>
      <c r="I42" s="31">
        <v>3</v>
      </c>
      <c r="J42" s="26" t="e">
        <f ca="1">VLOOKUP($I42,OFFSET([2]enemies!$A$1,0,0,COUNTA([2]enemies!$A:$A),MATCH(J$1,[2]enemies!$2:$2,0)-MATCH($I$1,[2]enemies!$2:$2,0)+1),MATCH(J$1,[2]enemies!$2:$2,0)-MATCH($I$1,[2]enemies!$2:$2,0)+1,FALSE)</f>
        <v>#N/A</v>
      </c>
      <c r="K42" s="29" t="e">
        <f ca="1">VLOOKUP($I42,OFFSET([2]enemies!$A$1,0,0,COUNTA([2]enemies!$A:$A),MATCH(K$1,[2]enemies!$2:$2,0)-MATCH($I$1,[2]enemies!$2:$2,0)+1),MATCH(K$1,[2]enemies!$2:$2,0)-MATCH($I$1,[2]enemies!$2:$2,0)+1,FALSE)</f>
        <v>#N/A</v>
      </c>
      <c r="L42" s="29" t="e">
        <f ca="1">VLOOKUP($I42,OFFSET([3]characters!$A$1,0,0,COUNTA([3]characters!$A:$A),MATCH(L$1,[3]characters!$2:$2,0)-MATCH($I$1,[3]characters!$2:$2,0)+1),MATCH(L$1,[3]characters!$2:$2,0)-MATCH($I$1,[3]characters!$2:$2,0)+1,FALSE)</f>
        <v>#N/A</v>
      </c>
      <c r="M42" s="28" t="e">
        <f ca="1">VLOOKUP($I42,OFFSET([3]characters!$A$1,0,0,COUNTA([3]characters!$A:$A),MATCH(M$1,[3]characters!$2:$2,0)-MATCH($I$1,[3]characters!$2:$2,0)+2),MATCH(M$1,[3]characters!$2:$2,0)-MATCH($I$1,[3]characters!$2:$2,0)+2,FALSE)</f>
        <v>#N/A</v>
      </c>
      <c r="N42" s="5" t="e">
        <f ca="1">VLOOKUP($I42,OFFSET([2]enemies!$A$1,0,0,COUNTA([2]enemies!$A:$A),MATCH(N$1,[2]enemies!$2:$2,0)-MATCH($I$1,[2]enemies!$2:$2,0)+1),MATCH(N$1,[2]enemies!$2:$2,0)-MATCH($I$1,[2]enemies!$2:$2,0)+1,FALSE)</f>
        <v>#N/A</v>
      </c>
      <c r="O42" s="6">
        <v>5</v>
      </c>
      <c r="P42" s="43">
        <v>1</v>
      </c>
      <c r="Q42" s="43">
        <v>1</v>
      </c>
      <c r="R42" s="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5">
        <v>0</v>
      </c>
      <c r="U42" s="7">
        <v>0</v>
      </c>
      <c r="V42" s="7">
        <v>100</v>
      </c>
      <c r="W42" s="7">
        <v>0</v>
      </c>
      <c r="X42" s="26" t="e">
        <f ca="1">VLOOKUP($I42,OFFSET([2]enemies!$A$1,0,0,COUNTA([2]enemies!$A:$A),MATCH(X$1,[2]enemies!$2:$2,0)-MATCH($I$1,[2]enemies!$2:$2,0)+1),MATCH(X$1,[2]enemies!$2:$2,0)-MATCH($I$1,[2]enemies!$2:$2,0)+1,FALSE)</f>
        <v>#N/A</v>
      </c>
      <c r="Y42" s="31">
        <v>3</v>
      </c>
      <c r="Z42" s="5" t="str">
        <f ca="1">IFERROR(VLOOKUP($Y42,OFFSET([3]characters!$A$1,0,0,COUNTA([3]characters!$A:$A),MATCH(Z$1,[3]characters!$2:$2,0)-MATCH("character_id",[3]characters!$2:$2,0)+1),MATCH(Z$1,[3]characters!$2:$2,0)-MATCH("character_id",[3]characters!$2:$2,0)+1,FALSE),"")</f>
        <v/>
      </c>
      <c r="AA42" s="5" t="str">
        <f ca="1">IFERROR(VLOOKUP($Y42,OFFSET([3]characters!$A$1,0,0,COUNTA([3]characters!$A:$A),MATCH(AA$1,[3]characters!$2:$2,0)-MATCH("character_id",[3]characters!$2:$2,0)+1),MATCH(AA$1,[3]characters!$2:$2,0)-MATCH("character_id",[3]characters!$2:$2,0)+1,FALSE),"")</f>
        <v/>
      </c>
      <c r="AB42" s="5" t="str">
        <f ca="1">IFERROR(VLOOKUP($Y42,OFFSET([3]characters!$A$1,0,0,COUNTA([3]characters!$A:$A),MATCH(AB$1,[3]characters!$2:$2,0)-MATCH("character_id",[3]characters!$2:$2,0)+1),MATCH(AB$1,[3]characters!$2:$2,0)-MATCH("character_id",[3]characters!$2:$2,0)+1,FALSE),"")</f>
        <v/>
      </c>
      <c r="AC42" s="8">
        <v>2</v>
      </c>
      <c r="AD42" s="8" t="str">
        <f t="shared" ref="AD42:AD44" ca="1" si="29">AA42</f>
        <v/>
      </c>
      <c r="AE42" s="9">
        <v>30</v>
      </c>
      <c r="AF42" s="38">
        <v>0</v>
      </c>
      <c r="AG42" s="38">
        <v>0</v>
      </c>
      <c r="AH42" s="38">
        <v>0</v>
      </c>
      <c r="AI42" s="38">
        <v>0</v>
      </c>
      <c r="AJ42" s="38">
        <v>1</v>
      </c>
    </row>
    <row r="43" spans="1:36" ht="21" customHeight="1" x14ac:dyDescent="0.15">
      <c r="A43" s="21" t="e">
        <f t="shared" ca="1" si="26"/>
        <v>#N/A</v>
      </c>
      <c r="B43" s="33">
        <v>3</v>
      </c>
      <c r="C43" s="32">
        <v>2</v>
      </c>
      <c r="D43" s="2" t="str">
        <f t="shared" si="27"/>
        <v>3_2</v>
      </c>
      <c r="E43" s="5" t="str">
        <f ca="1">VLOOKUP($B43,OFFSET([1]quests!$A$1,0,0,COUNTA([1]quests!$A:$A),MATCH(E$1,[1]quests!$1:$1,0)-MATCH($B$1,[1]quests!$1:$1,0)+1),MATCH(E$1,[1]quests!$1:$1,0)-MATCH($B$1,[1]quests!$1:$1,0)+1,FALSE)</f>
        <v>3．グリーンモール</v>
      </c>
      <c r="F43" s="5" t="str">
        <f ca="1">VLOOKUP($D43,OFFSET([1]stages!$A$1,0,0,COUNTA([1]stages!$A:$A),MATCH(F$1,[1]stages!$2:$2,0)-MATCH($D$1,[1]stages!$2:$2,0)+1),MATCH(F$1,[1]stages!$2:$2,0)-MATCH($D$1,[1]stages!$2:$2,0)+1,FALSE)</f>
        <v>3-2. 買い物好きの刺客</v>
      </c>
      <c r="G43" s="32">
        <v>3</v>
      </c>
      <c r="H43" s="20" t="str">
        <f t="shared" si="28"/>
        <v>3_2-3</v>
      </c>
      <c r="I43" s="31">
        <v>11</v>
      </c>
      <c r="J43" s="26" t="e">
        <f ca="1">VLOOKUP($I43,OFFSET([2]enemies!$A$1,0,0,COUNTA([2]enemies!$A:$A),MATCH(J$1,[2]enemies!$2:$2,0)-MATCH($I$1,[2]enemies!$2:$2,0)+1),MATCH(J$1,[2]enemies!$2:$2,0)-MATCH($I$1,[2]enemies!$2:$2,0)+1,FALSE)</f>
        <v>#N/A</v>
      </c>
      <c r="K43" s="29" t="e">
        <f ca="1">VLOOKUP($I43,OFFSET([2]enemies!$A$1,0,0,COUNTA([2]enemies!$A:$A),MATCH(K$1,[2]enemies!$2:$2,0)-MATCH($I$1,[2]enemies!$2:$2,0)+1),MATCH(K$1,[2]enemies!$2:$2,0)-MATCH($I$1,[2]enemies!$2:$2,0)+1,FALSE)</f>
        <v>#N/A</v>
      </c>
      <c r="L43" s="29" t="e">
        <f ca="1">VLOOKUP($I43,OFFSET([3]characters!$A$1,0,0,COUNTA([3]characters!$A:$A),MATCH(L$1,[3]characters!$2:$2,0)-MATCH($I$1,[3]characters!$2:$2,0)+1),MATCH(L$1,[3]characters!$2:$2,0)-MATCH($I$1,[3]characters!$2:$2,0)+1,FALSE)</f>
        <v>#N/A</v>
      </c>
      <c r="M43" s="28" t="e">
        <f ca="1">VLOOKUP($I43,OFFSET([3]characters!$A$1,0,0,COUNTA([3]characters!$A:$A),MATCH(M$1,[3]characters!$2:$2,0)-MATCH($I$1,[3]characters!$2:$2,0)+2),MATCH(M$1,[3]characters!$2:$2,0)-MATCH($I$1,[3]characters!$2:$2,0)+2,FALSE)</f>
        <v>#N/A</v>
      </c>
      <c r="N43" s="5" t="e">
        <f ca="1">VLOOKUP($I43,OFFSET([2]enemies!$A$1,0,0,COUNTA([2]enemies!$A:$A),MATCH(N$1,[2]enemies!$2:$2,0)-MATCH($I$1,[2]enemies!$2:$2,0)+1),MATCH(N$1,[2]enemies!$2:$2,0)-MATCH($I$1,[2]enemies!$2:$2,0)+1,FALSE)</f>
        <v>#N/A</v>
      </c>
      <c r="O43" s="6">
        <v>5</v>
      </c>
      <c r="P43" s="43">
        <v>1</v>
      </c>
      <c r="Q43" s="43">
        <v>1</v>
      </c>
      <c r="R43" s="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5">
        <v>0</v>
      </c>
      <c r="U43" s="7">
        <v>0</v>
      </c>
      <c r="V43" s="7">
        <v>100</v>
      </c>
      <c r="W43" s="7">
        <v>0</v>
      </c>
      <c r="X43" s="26" t="e">
        <f ca="1">VLOOKUP($I43,OFFSET([2]enemies!$A$1,0,0,COUNTA([2]enemies!$A:$A),MATCH(X$1,[2]enemies!$2:$2,0)-MATCH($I$1,[2]enemies!$2:$2,0)+1),MATCH(X$1,[2]enemies!$2:$2,0)-MATCH($I$1,[2]enemies!$2:$2,0)+1,FALSE)</f>
        <v>#N/A</v>
      </c>
      <c r="Y43" s="31">
        <v>11</v>
      </c>
      <c r="Z43" s="5" t="str">
        <f ca="1">IFERROR(VLOOKUP($Y43,OFFSET([3]characters!$A$1,0,0,COUNTA([3]characters!$A:$A),MATCH(Z$1,[3]characters!$2:$2,0)-MATCH("character_id",[3]characters!$2:$2,0)+1),MATCH(Z$1,[3]characters!$2:$2,0)-MATCH("character_id",[3]characters!$2:$2,0)+1,FALSE),"")</f>
        <v/>
      </c>
      <c r="AA43" s="5" t="str">
        <f ca="1">IFERROR(VLOOKUP($Y43,OFFSET([3]characters!$A$1,0,0,COUNTA([3]characters!$A:$A),MATCH(AA$1,[3]characters!$2:$2,0)-MATCH("character_id",[3]characters!$2:$2,0)+1),MATCH(AA$1,[3]characters!$2:$2,0)-MATCH("character_id",[3]characters!$2:$2,0)+1,FALSE),"")</f>
        <v/>
      </c>
      <c r="AB43" s="5" t="str">
        <f ca="1">IFERROR(VLOOKUP($Y43,OFFSET([3]characters!$A$1,0,0,COUNTA([3]characters!$A:$A),MATCH(AB$1,[3]characters!$2:$2,0)-MATCH("character_id",[3]characters!$2:$2,0)+1),MATCH(AB$1,[3]characters!$2:$2,0)-MATCH("character_id",[3]characters!$2:$2,0)+1,FALSE),"")</f>
        <v/>
      </c>
      <c r="AC43" s="8">
        <v>1</v>
      </c>
      <c r="AD43" s="8" t="str">
        <f t="shared" ca="1" si="29"/>
        <v/>
      </c>
      <c r="AE43" s="9">
        <v>30</v>
      </c>
      <c r="AF43" s="38">
        <v>0</v>
      </c>
      <c r="AG43" s="38">
        <v>0</v>
      </c>
      <c r="AH43" s="38">
        <v>0</v>
      </c>
      <c r="AI43" s="38">
        <v>0</v>
      </c>
      <c r="AJ43" s="38">
        <v>1</v>
      </c>
    </row>
    <row r="44" spans="1:36" ht="21" customHeight="1" x14ac:dyDescent="0.15">
      <c r="A44" s="21" t="e">
        <f t="shared" ca="1" si="26"/>
        <v>#N/A</v>
      </c>
      <c r="B44" s="33">
        <v>3</v>
      </c>
      <c r="C44" s="32">
        <v>2</v>
      </c>
      <c r="D44" s="2" t="str">
        <f t="shared" si="27"/>
        <v>3_2</v>
      </c>
      <c r="E44" s="5" t="str">
        <f ca="1">VLOOKUP($B44,OFFSET([1]quests!$A$1,0,0,COUNTA([1]quests!$A:$A),MATCH(E$1,[1]quests!$1:$1,0)-MATCH($B$1,[1]quests!$1:$1,0)+1),MATCH(E$1,[1]quests!$1:$1,0)-MATCH($B$1,[1]quests!$1:$1,0)+1,FALSE)</f>
        <v>3．グリーンモール</v>
      </c>
      <c r="F44" s="5" t="str">
        <f ca="1">VLOOKUP($D44,OFFSET([1]stages!$A$1,0,0,COUNTA([1]stages!$A:$A),MATCH(F$1,[1]stages!$2:$2,0)-MATCH($D$1,[1]stages!$2:$2,0)+1),MATCH(F$1,[1]stages!$2:$2,0)-MATCH($D$1,[1]stages!$2:$2,0)+1,FALSE)</f>
        <v>3-2. 買い物好きの刺客</v>
      </c>
      <c r="G44" s="32">
        <v>3</v>
      </c>
      <c r="H44" s="20" t="str">
        <f t="shared" si="28"/>
        <v>3_2-3</v>
      </c>
      <c r="I44" s="31">
        <v>23</v>
      </c>
      <c r="J44" s="26" t="e">
        <f ca="1">VLOOKUP($I44,OFFSET([2]enemies!$A$1,0,0,COUNTA([2]enemies!$A:$A),MATCH(J$1,[2]enemies!$2:$2,0)-MATCH($I$1,[2]enemies!$2:$2,0)+1),MATCH(J$1,[2]enemies!$2:$2,0)-MATCH($I$1,[2]enemies!$2:$2,0)+1,FALSE)</f>
        <v>#N/A</v>
      </c>
      <c r="K44" s="29" t="e">
        <f ca="1">VLOOKUP($I44,OFFSET([2]enemies!$A$1,0,0,COUNTA([2]enemies!$A:$A),MATCH(K$1,[2]enemies!$2:$2,0)-MATCH($I$1,[2]enemies!$2:$2,0)+1),MATCH(K$1,[2]enemies!$2:$2,0)-MATCH($I$1,[2]enemies!$2:$2,0)+1,FALSE)</f>
        <v>#N/A</v>
      </c>
      <c r="L44" s="29" t="e">
        <f ca="1">VLOOKUP($I44,OFFSET([3]characters!$A$1,0,0,COUNTA([3]characters!$A:$A),MATCH(L$1,[3]characters!$2:$2,0)-MATCH($I$1,[3]characters!$2:$2,0)+1),MATCH(L$1,[3]characters!$2:$2,0)-MATCH($I$1,[3]characters!$2:$2,0)+1,FALSE)</f>
        <v>#N/A</v>
      </c>
      <c r="M44" s="28" t="e">
        <f ca="1">VLOOKUP($I44,OFFSET([3]characters!$A$1,0,0,COUNTA([3]characters!$A:$A),MATCH(M$1,[3]characters!$2:$2,0)-MATCH($I$1,[3]characters!$2:$2,0)+2),MATCH(M$1,[3]characters!$2:$2,0)-MATCH($I$1,[3]characters!$2:$2,0)+2,FALSE)</f>
        <v>#N/A</v>
      </c>
      <c r="N44" s="5" t="e">
        <f ca="1">VLOOKUP($I44,OFFSET([2]enemies!$A$1,0,0,COUNTA([2]enemies!$A:$A),MATCH(N$1,[2]enemies!$2:$2,0)-MATCH($I$1,[2]enemies!$2:$2,0)+1),MATCH(N$1,[2]enemies!$2:$2,0)-MATCH($I$1,[2]enemies!$2:$2,0)+1,FALSE)</f>
        <v>#N/A</v>
      </c>
      <c r="O44" s="6">
        <v>5</v>
      </c>
      <c r="P44" s="43">
        <v>1</v>
      </c>
      <c r="Q44" s="43">
        <v>1</v>
      </c>
      <c r="R44" s="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5">
        <v>0</v>
      </c>
      <c r="U44" s="7">
        <v>0</v>
      </c>
      <c r="V44" s="7">
        <v>100</v>
      </c>
      <c r="W44" s="7">
        <v>0</v>
      </c>
      <c r="X44" s="26" t="e">
        <f ca="1">VLOOKUP($I44,OFFSET([2]enemies!$A$1,0,0,COUNTA([2]enemies!$A:$A),MATCH(X$1,[2]enemies!$2:$2,0)-MATCH($I$1,[2]enemies!$2:$2,0)+1),MATCH(X$1,[2]enemies!$2:$2,0)-MATCH($I$1,[2]enemies!$2:$2,0)+1,FALSE)</f>
        <v>#N/A</v>
      </c>
      <c r="Y44" s="31">
        <v>23</v>
      </c>
      <c r="Z44" s="5" t="str">
        <f ca="1">IFERROR(VLOOKUP($Y44,OFFSET([3]characters!$A$1,0,0,COUNTA([3]characters!$A:$A),MATCH(Z$1,[3]characters!$2:$2,0)-MATCH("character_id",[3]characters!$2:$2,0)+1),MATCH(Z$1,[3]characters!$2:$2,0)-MATCH("character_id",[3]characters!$2:$2,0)+1,FALSE),"")</f>
        <v/>
      </c>
      <c r="AA44" s="5" t="str">
        <f ca="1">IFERROR(VLOOKUP($Y44,OFFSET([3]characters!$A$1,0,0,COUNTA([3]characters!$A:$A),MATCH(AA$1,[3]characters!$2:$2,0)-MATCH("character_id",[3]characters!$2:$2,0)+1),MATCH(AA$1,[3]characters!$2:$2,0)-MATCH("character_id",[3]characters!$2:$2,0)+1,FALSE),"")</f>
        <v/>
      </c>
      <c r="AB44" s="5" t="str">
        <f ca="1">IFERROR(VLOOKUP($Y44,OFFSET([3]characters!$A$1,0,0,COUNTA([3]characters!$A:$A),MATCH(AB$1,[3]characters!$2:$2,0)-MATCH("character_id",[3]characters!$2:$2,0)+1),MATCH(AB$1,[3]characters!$2:$2,0)-MATCH("character_id",[3]characters!$2:$2,0)+1,FALSE),"")</f>
        <v/>
      </c>
      <c r="AC44" s="8">
        <v>1</v>
      </c>
      <c r="AD44" s="8" t="str">
        <f t="shared" ca="1" si="29"/>
        <v/>
      </c>
      <c r="AE44" s="9">
        <v>30</v>
      </c>
      <c r="AF44" s="38">
        <v>0</v>
      </c>
      <c r="AG44" s="38">
        <v>0</v>
      </c>
      <c r="AH44" s="38">
        <v>0</v>
      </c>
      <c r="AI44" s="38">
        <v>0</v>
      </c>
      <c r="AJ44" s="38">
        <v>1</v>
      </c>
    </row>
    <row r="45" spans="1:36" ht="21" customHeight="1" x14ac:dyDescent="0.15">
      <c r="A45" s="21" t="e">
        <f t="shared" ref="A45" ca="1" si="30">B45&amp;"_"&amp;C45&amp;"-"&amp;G45&amp;"/"&amp;I45&amp;"&lt;lv"&amp;O45&amp;"&gt;s"&amp;X45</f>
        <v>#N/A</v>
      </c>
      <c r="B45" s="33">
        <v>3</v>
      </c>
      <c r="C45" s="32">
        <v>2</v>
      </c>
      <c r="D45" s="2" t="str">
        <f t="shared" ref="D45" si="31">B45&amp;"_"&amp;C45</f>
        <v>3_2</v>
      </c>
      <c r="E45" s="5" t="str">
        <f ca="1">VLOOKUP($B45,OFFSET([1]quests!$A$1,0,0,COUNTA([1]quests!$A:$A),MATCH(E$1,[1]quests!$1:$1,0)-MATCH($B$1,[1]quests!$1:$1,0)+1),MATCH(E$1,[1]quests!$1:$1,0)-MATCH($B$1,[1]quests!$1:$1,0)+1,FALSE)</f>
        <v>3．グリーンモール</v>
      </c>
      <c r="F45" s="5" t="str">
        <f ca="1">VLOOKUP($D45,OFFSET([1]stages!$A$1,0,0,COUNTA([1]stages!$A:$A),MATCH(F$1,[1]stages!$2:$2,0)-MATCH($D$1,[1]stages!$2:$2,0)+1),MATCH(F$1,[1]stages!$2:$2,0)-MATCH($D$1,[1]stages!$2:$2,0)+1,FALSE)</f>
        <v>3-2. 買い物好きの刺客</v>
      </c>
      <c r="G45" s="32">
        <v>4</v>
      </c>
      <c r="H45" s="20" t="str">
        <f t="shared" ref="H45" si="32">B45&amp;"_"&amp;C45&amp;"-"&amp;G45</f>
        <v>3_2-4</v>
      </c>
      <c r="I45" s="31">
        <v>3</v>
      </c>
      <c r="J45" s="26" t="e">
        <f ca="1">VLOOKUP($I45,OFFSET([2]enemies!$A$1,0,0,COUNTA([2]enemies!$A:$A),MATCH(J$1,[2]enemies!$2:$2,0)-MATCH($I$1,[2]enemies!$2:$2,0)+1),MATCH(J$1,[2]enemies!$2:$2,0)-MATCH($I$1,[2]enemies!$2:$2,0)+1,FALSE)</f>
        <v>#N/A</v>
      </c>
      <c r="K45" s="29" t="e">
        <f ca="1">VLOOKUP($I45,OFFSET([2]enemies!$A$1,0,0,COUNTA([2]enemies!$A:$A),MATCH(K$1,[2]enemies!$2:$2,0)-MATCH($I$1,[2]enemies!$2:$2,0)+1),MATCH(K$1,[2]enemies!$2:$2,0)-MATCH($I$1,[2]enemies!$2:$2,0)+1,FALSE)</f>
        <v>#N/A</v>
      </c>
      <c r="L45" s="29" t="e">
        <f ca="1">VLOOKUP($I45,OFFSET([3]characters!$A$1,0,0,COUNTA([3]characters!$A:$A),MATCH(L$1,[3]characters!$2:$2,0)-MATCH($I$1,[3]characters!$2:$2,0)+1),MATCH(L$1,[3]characters!$2:$2,0)-MATCH($I$1,[3]characters!$2:$2,0)+1,FALSE)</f>
        <v>#N/A</v>
      </c>
      <c r="M45" s="28" t="e">
        <f ca="1">VLOOKUP($I45,OFFSET([3]characters!$A$1,0,0,COUNTA([3]characters!$A:$A),MATCH(M$1,[3]characters!$2:$2,0)-MATCH($I$1,[3]characters!$2:$2,0)+2),MATCH(M$1,[3]characters!$2:$2,0)-MATCH($I$1,[3]characters!$2:$2,0)+2,FALSE)</f>
        <v>#N/A</v>
      </c>
      <c r="N45" s="5" t="e">
        <f ca="1">VLOOKUP($I45,OFFSET([2]enemies!$A$1,0,0,COUNTA([2]enemies!$A:$A),MATCH(N$1,[2]enemies!$2:$2,0)-MATCH($I$1,[2]enemies!$2:$2,0)+1),MATCH(N$1,[2]enemies!$2:$2,0)-MATCH($I$1,[2]enemies!$2:$2,0)+1,FALSE)</f>
        <v>#N/A</v>
      </c>
      <c r="O45" s="6">
        <v>5</v>
      </c>
      <c r="P45" s="43">
        <v>1</v>
      </c>
      <c r="Q45" s="43">
        <v>1</v>
      </c>
      <c r="R45" s="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5">
        <v>0</v>
      </c>
      <c r="U45" s="7">
        <v>1</v>
      </c>
      <c r="V45" s="7">
        <v>100</v>
      </c>
      <c r="W45" s="7">
        <v>0</v>
      </c>
      <c r="X45" s="26" t="e">
        <f ca="1">VLOOKUP($I45,OFFSET([2]enemies!$A$1,0,0,COUNTA([2]enemies!$A:$A),MATCH(X$1,[2]enemies!$2:$2,0)-MATCH($I$1,[2]enemies!$2:$2,0)+1),MATCH(X$1,[2]enemies!$2:$2,0)-MATCH($I$1,[2]enemies!$2:$2,0)+1,FALSE)</f>
        <v>#N/A</v>
      </c>
      <c r="Y45" s="31">
        <v>3</v>
      </c>
      <c r="Z45" s="5" t="str">
        <f ca="1">IFERROR(VLOOKUP($Y45,OFFSET([3]characters!$A$1,0,0,COUNTA([3]characters!$A:$A),MATCH(Z$1,[3]characters!$2:$2,0)-MATCH("character_id",[3]characters!$2:$2,0)+1),MATCH(Z$1,[3]characters!$2:$2,0)-MATCH("character_id",[3]characters!$2:$2,0)+1,FALSE),"")</f>
        <v/>
      </c>
      <c r="AA45" s="5" t="str">
        <f ca="1">IFERROR(VLOOKUP($Y45,OFFSET([3]characters!$A$1,0,0,COUNTA([3]characters!$A:$A),MATCH(AA$1,[3]characters!$2:$2,0)-MATCH("character_id",[3]characters!$2:$2,0)+1),MATCH(AA$1,[3]characters!$2:$2,0)-MATCH("character_id",[3]characters!$2:$2,0)+1,FALSE),"")</f>
        <v/>
      </c>
      <c r="AB45" s="5" t="str">
        <f ca="1">IFERROR(VLOOKUP($Y45,OFFSET([3]characters!$A$1,0,0,COUNTA([3]characters!$A:$A),MATCH(AB$1,[3]characters!$2:$2,0)-MATCH("character_id",[3]characters!$2:$2,0)+1),MATCH(AB$1,[3]characters!$2:$2,0)-MATCH("character_id",[3]characters!$2:$2,0)+1,FALSE),"")</f>
        <v/>
      </c>
      <c r="AC45" s="8">
        <v>2</v>
      </c>
      <c r="AD45" s="8" t="str">
        <f t="shared" ref="AD45" ca="1" si="33">AA45</f>
        <v/>
      </c>
      <c r="AE45" s="9">
        <v>0</v>
      </c>
      <c r="AF45" s="38">
        <v>0</v>
      </c>
      <c r="AG45" s="38">
        <v>0</v>
      </c>
      <c r="AH45" s="38">
        <v>0</v>
      </c>
      <c r="AI45" s="38">
        <v>0</v>
      </c>
      <c r="AJ45" s="38">
        <v>1</v>
      </c>
    </row>
    <row r="46" spans="1:36" ht="21" customHeight="1" x14ac:dyDescent="0.15">
      <c r="A46" s="21" t="e">
        <f t="shared" ca="1" si="2"/>
        <v>#N/A</v>
      </c>
      <c r="B46" s="33">
        <v>3</v>
      </c>
      <c r="C46" s="32">
        <v>2</v>
      </c>
      <c r="D46" s="2" t="str">
        <f t="shared" si="24"/>
        <v>3_2</v>
      </c>
      <c r="E46" s="5" t="str">
        <f ca="1">VLOOKUP($B46,OFFSET([1]quests!$A$1,0,0,COUNTA([1]quests!$A:$A),MATCH(E$1,[1]quests!$1:$1,0)-MATCH($B$1,[1]quests!$1:$1,0)+1),MATCH(E$1,[1]quests!$1:$1,0)-MATCH($B$1,[1]quests!$1:$1,0)+1,FALSE)</f>
        <v>3．グリーンモール</v>
      </c>
      <c r="F46" s="5" t="str">
        <f ca="1">VLOOKUP($D46,OFFSET([1]stages!$A$1,0,0,COUNTA([1]stages!$A:$A),MATCH(F$1,[1]stages!$2:$2,0)-MATCH($D$1,[1]stages!$2:$2,0)+1),MATCH(F$1,[1]stages!$2:$2,0)-MATCH($D$1,[1]stages!$2:$2,0)+1,FALSE)</f>
        <v>3-2. 買い物好きの刺客</v>
      </c>
      <c r="G46" s="32">
        <v>4</v>
      </c>
      <c r="H46" s="20" t="str">
        <f t="shared" si="25"/>
        <v>3_2-4</v>
      </c>
      <c r="I46" s="31">
        <v>51</v>
      </c>
      <c r="J46" s="26" t="e">
        <f ca="1">VLOOKUP($I46,OFFSET([2]enemies!$A$1,0,0,COUNTA([2]enemies!$A:$A),MATCH(J$1,[2]enemies!$2:$2,0)-MATCH($I$1,[2]enemies!$2:$2,0)+1),MATCH(J$1,[2]enemies!$2:$2,0)-MATCH($I$1,[2]enemies!$2:$2,0)+1,FALSE)</f>
        <v>#N/A</v>
      </c>
      <c r="K46" s="29" t="e">
        <f ca="1">VLOOKUP($I46,OFFSET([2]enemies!$A$1,0,0,COUNTA([2]enemies!$A:$A),MATCH(K$1,[2]enemies!$2:$2,0)-MATCH($I$1,[2]enemies!$2:$2,0)+1),MATCH(K$1,[2]enemies!$2:$2,0)-MATCH($I$1,[2]enemies!$2:$2,0)+1,FALSE)</f>
        <v>#N/A</v>
      </c>
      <c r="L46" s="29" t="e">
        <f ca="1">VLOOKUP($I46,OFFSET([3]characters!$A$1,0,0,COUNTA([3]characters!$A:$A),MATCH(L$1,[3]characters!$2:$2,0)-MATCH($I$1,[3]characters!$2:$2,0)+1),MATCH(L$1,[3]characters!$2:$2,0)-MATCH($I$1,[3]characters!$2:$2,0)+1,FALSE)</f>
        <v>#N/A</v>
      </c>
      <c r="M46" s="28" t="e">
        <f ca="1">VLOOKUP($I46,OFFSET([3]characters!$A$1,0,0,COUNTA([3]characters!$A:$A),MATCH(M$1,[3]characters!$2:$2,0)-MATCH($I$1,[3]characters!$2:$2,0)+2),MATCH(M$1,[3]characters!$2:$2,0)-MATCH($I$1,[3]characters!$2:$2,0)+2,FALSE)</f>
        <v>#N/A</v>
      </c>
      <c r="N46" s="5" t="e">
        <f ca="1">VLOOKUP($I46,OFFSET([2]enemies!$A$1,0,0,COUNTA([2]enemies!$A:$A),MATCH(N$1,[2]enemies!$2:$2,0)-MATCH($I$1,[2]enemies!$2:$2,0)+1),MATCH(N$1,[2]enemies!$2:$2,0)-MATCH($I$1,[2]enemies!$2:$2,0)+1,FALSE)</f>
        <v>#N/A</v>
      </c>
      <c r="O46" s="6">
        <v>7</v>
      </c>
      <c r="P46" s="43">
        <v>1</v>
      </c>
      <c r="Q46" s="43">
        <v>1</v>
      </c>
      <c r="R46" s="6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6" s="5">
        <v>51</v>
      </c>
      <c r="U46" s="7">
        <v>1</v>
      </c>
      <c r="V46" s="7">
        <v>100</v>
      </c>
      <c r="W46" s="7">
        <v>1</v>
      </c>
      <c r="X46" s="26" t="e">
        <f ca="1">VLOOKUP($I46,OFFSET([2]enemies!$A$1,0,0,COUNTA([2]enemies!$A:$A),MATCH(X$1,[2]enemies!$2:$2,0)-MATCH($I$1,[2]enemies!$2:$2,0)+1),MATCH(X$1,[2]enemies!$2:$2,0)-MATCH($I$1,[2]enemies!$2:$2,0)+1,FALSE)</f>
        <v>#N/A</v>
      </c>
      <c r="Y46" s="31">
        <v>51</v>
      </c>
      <c r="Z46" s="5" t="str">
        <f ca="1">IFERROR(VLOOKUP($Y46,OFFSET([3]characters!$A$1,0,0,COUNTA([3]characters!$A:$A),MATCH(Z$1,[3]characters!$2:$2,0)-MATCH("character_id",[3]characters!$2:$2,0)+1),MATCH(Z$1,[3]characters!$2:$2,0)-MATCH("character_id",[3]characters!$2:$2,0)+1,FALSE),"")</f>
        <v/>
      </c>
      <c r="AA46" s="5" t="str">
        <f ca="1">IFERROR(VLOOKUP($Y46,OFFSET([3]characters!$A$1,0,0,COUNTA([3]characters!$A:$A),MATCH(AA$1,[3]characters!$2:$2,0)-MATCH("character_id",[3]characters!$2:$2,0)+1),MATCH(AA$1,[3]characters!$2:$2,0)-MATCH("character_id",[3]characters!$2:$2,0)+1,FALSE),"")</f>
        <v/>
      </c>
      <c r="AB46" s="5" t="str">
        <f ca="1">IFERROR(VLOOKUP($Y46,OFFSET([3]characters!$A$1,0,0,COUNTA([3]characters!$A:$A),MATCH(AB$1,[3]characters!$2:$2,0)-MATCH("character_id",[3]characters!$2:$2,0)+1),MATCH(AB$1,[3]characters!$2:$2,0)-MATCH("character_id",[3]characters!$2:$2,0)+1,FALSE),"")</f>
        <v/>
      </c>
      <c r="AC46" s="8">
        <v>1</v>
      </c>
      <c r="AD46" s="8" t="str">
        <f t="shared" ca="1" si="3"/>
        <v/>
      </c>
      <c r="AE46" s="9">
        <v>100</v>
      </c>
      <c r="AF46" s="38">
        <v>0</v>
      </c>
      <c r="AG46" s="38">
        <v>0</v>
      </c>
      <c r="AH46" s="38">
        <v>0</v>
      </c>
      <c r="AI46" s="38">
        <v>0</v>
      </c>
      <c r="AJ46" s="38">
        <v>1</v>
      </c>
    </row>
    <row r="47" spans="1:36" ht="21" customHeight="1" x14ac:dyDescent="0.15">
      <c r="A47" s="21" t="e">
        <f t="shared" ca="1" si="2"/>
        <v>#N/A</v>
      </c>
      <c r="B47" s="33">
        <v>3</v>
      </c>
      <c r="C47" s="32">
        <v>2</v>
      </c>
      <c r="D47" s="2" t="str">
        <f t="shared" si="24"/>
        <v>3_2</v>
      </c>
      <c r="E47" s="5" t="str">
        <f ca="1">VLOOKUP($B47,OFFSET([1]quests!$A$1,0,0,COUNTA([1]quests!$A:$A),MATCH(E$1,[1]quests!$1:$1,0)-MATCH($B$1,[1]quests!$1:$1,0)+1),MATCH(E$1,[1]quests!$1:$1,0)-MATCH($B$1,[1]quests!$1:$1,0)+1,FALSE)</f>
        <v>3．グリーンモール</v>
      </c>
      <c r="F47" s="5" t="str">
        <f ca="1">VLOOKUP($D47,OFFSET([1]stages!$A$1,0,0,COUNTA([1]stages!$A:$A),MATCH(F$1,[1]stages!$2:$2,0)-MATCH($D$1,[1]stages!$2:$2,0)+1),MATCH(F$1,[1]stages!$2:$2,0)-MATCH($D$1,[1]stages!$2:$2,0)+1,FALSE)</f>
        <v>3-2. 買い物好きの刺客</v>
      </c>
      <c r="G47" s="32">
        <v>4</v>
      </c>
      <c r="H47" s="20" t="str">
        <f t="shared" si="25"/>
        <v>3_2-4</v>
      </c>
      <c r="I47" s="31">
        <v>3</v>
      </c>
      <c r="J47" s="26" t="e">
        <f ca="1">VLOOKUP($I47,OFFSET([2]enemies!$A$1,0,0,COUNTA([2]enemies!$A:$A),MATCH(J$1,[2]enemies!$2:$2,0)-MATCH($I$1,[2]enemies!$2:$2,0)+1),MATCH(J$1,[2]enemies!$2:$2,0)-MATCH($I$1,[2]enemies!$2:$2,0)+1,FALSE)</f>
        <v>#N/A</v>
      </c>
      <c r="K47" s="29" t="e">
        <f ca="1">VLOOKUP($I47,OFFSET([2]enemies!$A$1,0,0,COUNTA([2]enemies!$A:$A),MATCH(K$1,[2]enemies!$2:$2,0)-MATCH($I$1,[2]enemies!$2:$2,0)+1),MATCH(K$1,[2]enemies!$2:$2,0)-MATCH($I$1,[2]enemies!$2:$2,0)+1,FALSE)</f>
        <v>#N/A</v>
      </c>
      <c r="L47" s="29" t="e">
        <f ca="1">VLOOKUP($I47,OFFSET([3]characters!$A$1,0,0,COUNTA([3]characters!$A:$A),MATCH(L$1,[3]characters!$2:$2,0)-MATCH($I$1,[3]characters!$2:$2,0)+1),MATCH(L$1,[3]characters!$2:$2,0)-MATCH($I$1,[3]characters!$2:$2,0)+1,FALSE)</f>
        <v>#N/A</v>
      </c>
      <c r="M47" s="28" t="e">
        <f ca="1">VLOOKUP($I47,OFFSET([3]characters!$A$1,0,0,COUNTA([3]characters!$A:$A),MATCH(M$1,[3]characters!$2:$2,0)-MATCH($I$1,[3]characters!$2:$2,0)+2),MATCH(M$1,[3]characters!$2:$2,0)-MATCH($I$1,[3]characters!$2:$2,0)+2,FALSE)</f>
        <v>#N/A</v>
      </c>
      <c r="N47" s="5" t="e">
        <f ca="1">VLOOKUP($I47,OFFSET([2]enemies!$A$1,0,0,COUNTA([2]enemies!$A:$A),MATCH(N$1,[2]enemies!$2:$2,0)-MATCH($I$1,[2]enemies!$2:$2,0)+1),MATCH(N$1,[2]enemies!$2:$2,0)-MATCH($I$1,[2]enemies!$2:$2,0)+1,FALSE)</f>
        <v>#N/A</v>
      </c>
      <c r="O47" s="6">
        <v>6</v>
      </c>
      <c r="P47" s="43">
        <v>1</v>
      </c>
      <c r="Q47" s="43">
        <v>1</v>
      </c>
      <c r="R47" s="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5">
        <v>0</v>
      </c>
      <c r="U47" s="7">
        <v>1</v>
      </c>
      <c r="V47" s="7">
        <v>100</v>
      </c>
      <c r="W47" s="7">
        <v>0</v>
      </c>
      <c r="X47" s="26" t="e">
        <f ca="1">VLOOKUP($I47,OFFSET([2]enemies!$A$1,0,0,COUNTA([2]enemies!$A:$A),MATCH(X$1,[2]enemies!$2:$2,0)-MATCH($I$1,[2]enemies!$2:$2,0)+1),MATCH(X$1,[2]enemies!$2:$2,0)-MATCH($I$1,[2]enemies!$2:$2,0)+1,FALSE)</f>
        <v>#N/A</v>
      </c>
      <c r="Y47" s="31">
        <v>3</v>
      </c>
      <c r="Z47" s="5" t="str">
        <f ca="1">IFERROR(VLOOKUP($Y47,OFFSET([3]characters!$A$1,0,0,COUNTA([3]characters!$A:$A),MATCH(Z$1,[3]characters!$2:$2,0)-MATCH("character_id",[3]characters!$2:$2,0)+1),MATCH(Z$1,[3]characters!$2:$2,0)-MATCH("character_id",[3]characters!$2:$2,0)+1,FALSE),"")</f>
        <v/>
      </c>
      <c r="AA47" s="5" t="str">
        <f ca="1">IFERROR(VLOOKUP($Y47,OFFSET([3]characters!$A$1,0,0,COUNTA([3]characters!$A:$A),MATCH(AA$1,[3]characters!$2:$2,0)-MATCH("character_id",[3]characters!$2:$2,0)+1),MATCH(AA$1,[3]characters!$2:$2,0)-MATCH("character_id",[3]characters!$2:$2,0)+1,FALSE),"")</f>
        <v/>
      </c>
      <c r="AB47" s="5" t="str">
        <f ca="1">IFERROR(VLOOKUP($Y47,OFFSET([3]characters!$A$1,0,0,COUNTA([3]characters!$A:$A),MATCH(AB$1,[3]characters!$2:$2,0)-MATCH("character_id",[3]characters!$2:$2,0)+1),MATCH(AB$1,[3]characters!$2:$2,0)-MATCH("character_id",[3]characters!$2:$2,0)+1,FALSE),"")</f>
        <v/>
      </c>
      <c r="AC47" s="8">
        <v>2</v>
      </c>
      <c r="AD47" s="8" t="str">
        <f t="shared" ca="1" si="3"/>
        <v/>
      </c>
      <c r="AE47" s="9">
        <v>0</v>
      </c>
      <c r="AF47" s="38">
        <v>0</v>
      </c>
      <c r="AG47" s="38">
        <v>0</v>
      </c>
      <c r="AH47" s="38">
        <v>0</v>
      </c>
      <c r="AI47" s="38">
        <v>0</v>
      </c>
      <c r="AJ47" s="38">
        <v>1</v>
      </c>
    </row>
    <row r="48" spans="1:36" ht="21" customHeight="1" x14ac:dyDescent="0.15">
      <c r="A48" s="21" t="e">
        <f t="shared" ca="1" si="2"/>
        <v>#N/A</v>
      </c>
      <c r="B48" s="33">
        <v>3</v>
      </c>
      <c r="C48" s="32">
        <v>3</v>
      </c>
      <c r="D48" s="2" t="str">
        <f t="shared" si="24"/>
        <v>3_3</v>
      </c>
      <c r="E48" s="5" t="str">
        <f ca="1">VLOOKUP($B48,OFFSET([1]quests!$A$1,0,0,COUNTA([1]quests!$A:$A),MATCH(E$1,[1]quests!$1:$1,0)-MATCH($B$1,[1]quests!$1:$1,0)+1),MATCH(E$1,[1]quests!$1:$1,0)-MATCH($B$1,[1]quests!$1:$1,0)+1,FALSE)</f>
        <v>3．グリーンモール</v>
      </c>
      <c r="F48" s="5" t="str">
        <f ca="1">VLOOKUP($D48,OFFSET([1]stages!$A$1,0,0,COUNTA([1]stages!$A:$A),MATCH(F$1,[1]stages!$2:$2,0)-MATCH($D$1,[1]stages!$2:$2,0)+1),MATCH(F$1,[1]stages!$2:$2,0)-MATCH($D$1,[1]stages!$2:$2,0)+1,FALSE)</f>
        <v>3-3. 舞い散る木の葉</v>
      </c>
      <c r="G48" s="32">
        <v>1</v>
      </c>
      <c r="H48" s="20" t="str">
        <f t="shared" si="25"/>
        <v>3_3-1</v>
      </c>
      <c r="I48" s="31">
        <v>3</v>
      </c>
      <c r="J48" s="26" t="e">
        <f ca="1">VLOOKUP($I48,OFFSET([2]enemies!$A$1,0,0,COUNTA([2]enemies!$A:$A),MATCH(J$1,[2]enemies!$2:$2,0)-MATCH($I$1,[2]enemies!$2:$2,0)+1),MATCH(J$1,[2]enemies!$2:$2,0)-MATCH($I$1,[2]enemies!$2:$2,0)+1,FALSE)</f>
        <v>#N/A</v>
      </c>
      <c r="K48" s="29" t="e">
        <f ca="1">VLOOKUP($I48,OFFSET([2]enemies!$A$1,0,0,COUNTA([2]enemies!$A:$A),MATCH(K$1,[2]enemies!$2:$2,0)-MATCH($I$1,[2]enemies!$2:$2,0)+1),MATCH(K$1,[2]enemies!$2:$2,0)-MATCH($I$1,[2]enemies!$2:$2,0)+1,FALSE)</f>
        <v>#N/A</v>
      </c>
      <c r="L48" s="29" t="e">
        <f ca="1">VLOOKUP($I48,OFFSET([3]characters!$A$1,0,0,COUNTA([3]characters!$A:$A),MATCH(L$1,[3]characters!$2:$2,0)-MATCH($I$1,[3]characters!$2:$2,0)+1),MATCH(L$1,[3]characters!$2:$2,0)-MATCH($I$1,[3]characters!$2:$2,0)+1,FALSE)</f>
        <v>#N/A</v>
      </c>
      <c r="M48" s="28" t="e">
        <f ca="1">VLOOKUP($I48,OFFSET([3]characters!$A$1,0,0,COUNTA([3]characters!$A:$A),MATCH(M$1,[3]characters!$2:$2,0)-MATCH($I$1,[3]characters!$2:$2,0)+2),MATCH(M$1,[3]characters!$2:$2,0)-MATCH($I$1,[3]characters!$2:$2,0)+2,FALSE)</f>
        <v>#N/A</v>
      </c>
      <c r="N48" s="5" t="e">
        <f ca="1">VLOOKUP($I48,OFFSET([2]enemies!$A$1,0,0,COUNTA([2]enemies!$A:$A),MATCH(N$1,[2]enemies!$2:$2,0)-MATCH($I$1,[2]enemies!$2:$2,0)+1),MATCH(N$1,[2]enemies!$2:$2,0)-MATCH($I$1,[2]enemies!$2:$2,0)+1,FALSE)</f>
        <v>#N/A</v>
      </c>
      <c r="O48" s="6">
        <v>5</v>
      </c>
      <c r="P48" s="43">
        <v>1</v>
      </c>
      <c r="Q48" s="43">
        <v>1</v>
      </c>
      <c r="R48" s="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48" s="5">
        <v>560001</v>
      </c>
      <c r="U48" s="7">
        <v>0</v>
      </c>
      <c r="V48" s="7">
        <v>100</v>
      </c>
      <c r="W48" s="7">
        <v>0</v>
      </c>
      <c r="X48" s="26" t="e">
        <f ca="1">VLOOKUP($I48,OFFSET([2]enemies!$A$1,0,0,COUNTA([2]enemies!$A:$A),MATCH(X$1,[2]enemies!$2:$2,0)-MATCH($I$1,[2]enemies!$2:$2,0)+1),MATCH(X$1,[2]enemies!$2:$2,0)-MATCH($I$1,[2]enemies!$2:$2,0)+1,FALSE)</f>
        <v>#N/A</v>
      </c>
      <c r="Y48" s="31">
        <v>3</v>
      </c>
      <c r="Z48" s="5" t="str">
        <f ca="1">IFERROR(VLOOKUP($Y48,OFFSET([3]characters!$A$1,0,0,COUNTA([3]characters!$A:$A),MATCH(Z$1,[3]characters!$2:$2,0)-MATCH("character_id",[3]characters!$2:$2,0)+1),MATCH(Z$1,[3]characters!$2:$2,0)-MATCH("character_id",[3]characters!$2:$2,0)+1,FALSE),"")</f>
        <v/>
      </c>
      <c r="AA48" s="5" t="str">
        <f ca="1">IFERROR(VLOOKUP($Y48,OFFSET([3]characters!$A$1,0,0,COUNTA([3]characters!$A:$A),MATCH(AA$1,[3]characters!$2:$2,0)-MATCH("character_id",[3]characters!$2:$2,0)+1),MATCH(AA$1,[3]characters!$2:$2,0)-MATCH("character_id",[3]characters!$2:$2,0)+1,FALSE),"")</f>
        <v/>
      </c>
      <c r="AB48" s="5" t="str">
        <f ca="1">IFERROR(VLOOKUP($Y48,OFFSET([3]characters!$A$1,0,0,COUNTA([3]characters!$A:$A),MATCH(AB$1,[3]characters!$2:$2,0)-MATCH("character_id",[3]characters!$2:$2,0)+1),MATCH(AB$1,[3]characters!$2:$2,0)-MATCH("character_id",[3]characters!$2:$2,0)+1,FALSE),"")</f>
        <v/>
      </c>
      <c r="AC48" s="8">
        <v>3</v>
      </c>
      <c r="AD48" s="8" t="str">
        <f t="shared" ca="1" si="3"/>
        <v/>
      </c>
      <c r="AE48" s="9">
        <v>30</v>
      </c>
      <c r="AF48" s="38">
        <v>0</v>
      </c>
      <c r="AG48" s="38">
        <v>0</v>
      </c>
      <c r="AH48" s="38">
        <v>0</v>
      </c>
      <c r="AI48" s="38">
        <v>0</v>
      </c>
      <c r="AJ48" s="38">
        <v>1</v>
      </c>
    </row>
    <row r="49" spans="1:36" ht="21" customHeight="1" x14ac:dyDescent="0.15">
      <c r="A49" s="21" t="e">
        <f t="shared" ca="1" si="2"/>
        <v>#N/A</v>
      </c>
      <c r="B49" s="33">
        <v>3</v>
      </c>
      <c r="C49" s="32">
        <v>3</v>
      </c>
      <c r="D49" s="2" t="str">
        <f t="shared" si="24"/>
        <v>3_3</v>
      </c>
      <c r="E49" s="5" t="str">
        <f ca="1">VLOOKUP($B49,OFFSET([1]quests!$A$1,0,0,COUNTA([1]quests!$A:$A),MATCH(E$1,[1]quests!$1:$1,0)-MATCH($B$1,[1]quests!$1:$1,0)+1),MATCH(E$1,[1]quests!$1:$1,0)-MATCH($B$1,[1]quests!$1:$1,0)+1,FALSE)</f>
        <v>3．グリーンモール</v>
      </c>
      <c r="F49" s="5" t="str">
        <f ca="1">VLOOKUP($D49,OFFSET([1]stages!$A$1,0,0,COUNTA([1]stages!$A:$A),MATCH(F$1,[1]stages!$2:$2,0)-MATCH($D$1,[1]stages!$2:$2,0)+1),MATCH(F$1,[1]stages!$2:$2,0)-MATCH($D$1,[1]stages!$2:$2,0)+1,FALSE)</f>
        <v>3-3. 舞い散る木の葉</v>
      </c>
      <c r="G49" s="32">
        <v>1</v>
      </c>
      <c r="H49" s="20" t="str">
        <f t="shared" si="25"/>
        <v>3_3-1</v>
      </c>
      <c r="I49" s="31">
        <v>11</v>
      </c>
      <c r="J49" s="26" t="e">
        <f ca="1">VLOOKUP($I49,OFFSET([2]enemies!$A$1,0,0,COUNTA([2]enemies!$A:$A),MATCH(J$1,[2]enemies!$2:$2,0)-MATCH($I$1,[2]enemies!$2:$2,0)+1),MATCH(J$1,[2]enemies!$2:$2,0)-MATCH($I$1,[2]enemies!$2:$2,0)+1,FALSE)</f>
        <v>#N/A</v>
      </c>
      <c r="K49" s="29" t="e">
        <f ca="1">VLOOKUP($I49,OFFSET([2]enemies!$A$1,0,0,COUNTA([2]enemies!$A:$A),MATCH(K$1,[2]enemies!$2:$2,0)-MATCH($I$1,[2]enemies!$2:$2,0)+1),MATCH(K$1,[2]enemies!$2:$2,0)-MATCH($I$1,[2]enemies!$2:$2,0)+1,FALSE)</f>
        <v>#N/A</v>
      </c>
      <c r="L49" s="29" t="e">
        <f ca="1">VLOOKUP($I49,OFFSET([3]characters!$A$1,0,0,COUNTA([3]characters!$A:$A),MATCH(L$1,[3]characters!$2:$2,0)-MATCH($I$1,[3]characters!$2:$2,0)+1),MATCH(L$1,[3]characters!$2:$2,0)-MATCH($I$1,[3]characters!$2:$2,0)+1,FALSE)</f>
        <v>#N/A</v>
      </c>
      <c r="M49" s="28" t="e">
        <f ca="1">VLOOKUP($I49,OFFSET([3]characters!$A$1,0,0,COUNTA([3]characters!$A:$A),MATCH(M$1,[3]characters!$2:$2,0)-MATCH($I$1,[3]characters!$2:$2,0)+2),MATCH(M$1,[3]characters!$2:$2,0)-MATCH($I$1,[3]characters!$2:$2,0)+2,FALSE)</f>
        <v>#N/A</v>
      </c>
      <c r="N49" s="5" t="e">
        <f ca="1">VLOOKUP($I49,OFFSET([2]enemies!$A$1,0,0,COUNTA([2]enemies!$A:$A),MATCH(N$1,[2]enemies!$2:$2,0)-MATCH($I$1,[2]enemies!$2:$2,0)+1),MATCH(N$1,[2]enemies!$2:$2,0)-MATCH($I$1,[2]enemies!$2:$2,0)+1,FALSE)</f>
        <v>#N/A</v>
      </c>
      <c r="O49" s="6">
        <v>5</v>
      </c>
      <c r="P49" s="43">
        <v>1</v>
      </c>
      <c r="Q49" s="43">
        <v>1</v>
      </c>
      <c r="R49" s="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5">
        <v>0</v>
      </c>
      <c r="U49" s="7">
        <v>0</v>
      </c>
      <c r="V49" s="7">
        <v>100</v>
      </c>
      <c r="W49" s="7">
        <v>0</v>
      </c>
      <c r="X49" s="26" t="e">
        <f ca="1">VLOOKUP($I49,OFFSET([2]enemies!$A$1,0,0,COUNTA([2]enemies!$A:$A),MATCH(X$1,[2]enemies!$2:$2,0)-MATCH($I$1,[2]enemies!$2:$2,0)+1),MATCH(X$1,[2]enemies!$2:$2,0)-MATCH($I$1,[2]enemies!$2:$2,0)+1,FALSE)</f>
        <v>#N/A</v>
      </c>
      <c r="Y49" s="31">
        <v>11</v>
      </c>
      <c r="Z49" s="5" t="str">
        <f ca="1">IFERROR(VLOOKUP($Y49,OFFSET([3]characters!$A$1,0,0,COUNTA([3]characters!$A:$A),MATCH(Z$1,[3]characters!$2:$2,0)-MATCH("character_id",[3]characters!$2:$2,0)+1),MATCH(Z$1,[3]characters!$2:$2,0)-MATCH("character_id",[3]characters!$2:$2,0)+1,FALSE),"")</f>
        <v/>
      </c>
      <c r="AA49" s="5" t="str">
        <f ca="1">IFERROR(VLOOKUP($Y49,OFFSET([3]characters!$A$1,0,0,COUNTA([3]characters!$A:$A),MATCH(AA$1,[3]characters!$2:$2,0)-MATCH("character_id",[3]characters!$2:$2,0)+1),MATCH(AA$1,[3]characters!$2:$2,0)-MATCH("character_id",[3]characters!$2:$2,0)+1,FALSE),"")</f>
        <v/>
      </c>
      <c r="AB49" s="5" t="str">
        <f ca="1">IFERROR(VLOOKUP($Y49,OFFSET([3]characters!$A$1,0,0,COUNTA([3]characters!$A:$A),MATCH(AB$1,[3]characters!$2:$2,0)-MATCH("character_id",[3]characters!$2:$2,0)+1),MATCH(AB$1,[3]characters!$2:$2,0)-MATCH("character_id",[3]characters!$2:$2,0)+1,FALSE),"")</f>
        <v/>
      </c>
      <c r="AC49" s="8">
        <v>1</v>
      </c>
      <c r="AD49" s="8" t="str">
        <f t="shared" ca="1" si="3"/>
        <v/>
      </c>
      <c r="AE49" s="9">
        <v>30</v>
      </c>
      <c r="AF49" s="38">
        <v>0</v>
      </c>
      <c r="AG49" s="38">
        <v>0</v>
      </c>
      <c r="AH49" s="38">
        <v>0</v>
      </c>
      <c r="AI49" s="38">
        <v>0</v>
      </c>
      <c r="AJ49" s="38">
        <v>1</v>
      </c>
    </row>
    <row r="50" spans="1:36" ht="21" customHeight="1" x14ac:dyDescent="0.15">
      <c r="A50" s="21" t="e">
        <f t="shared" ca="1" si="2"/>
        <v>#N/A</v>
      </c>
      <c r="B50" s="33">
        <v>3</v>
      </c>
      <c r="C50" s="32">
        <v>3</v>
      </c>
      <c r="D50" s="2" t="str">
        <f t="shared" si="24"/>
        <v>3_3</v>
      </c>
      <c r="E50" s="5" t="str">
        <f ca="1">VLOOKUP($B50,OFFSET([1]quests!$A$1,0,0,COUNTA([1]quests!$A:$A),MATCH(E$1,[1]quests!$1:$1,0)-MATCH($B$1,[1]quests!$1:$1,0)+1),MATCH(E$1,[1]quests!$1:$1,0)-MATCH($B$1,[1]quests!$1:$1,0)+1,FALSE)</f>
        <v>3．グリーンモール</v>
      </c>
      <c r="F50" s="5" t="str">
        <f ca="1">VLOOKUP($D50,OFFSET([1]stages!$A$1,0,0,COUNTA([1]stages!$A:$A),MATCH(F$1,[1]stages!$2:$2,0)-MATCH($D$1,[1]stages!$2:$2,0)+1),MATCH(F$1,[1]stages!$2:$2,0)-MATCH($D$1,[1]stages!$2:$2,0)+1,FALSE)</f>
        <v>3-3. 舞い散る木の葉</v>
      </c>
      <c r="G50" s="32">
        <v>1</v>
      </c>
      <c r="H50" s="20" t="str">
        <f t="shared" si="25"/>
        <v>3_3-1</v>
      </c>
      <c r="I50" s="31">
        <v>23</v>
      </c>
      <c r="J50" s="26" t="e">
        <f ca="1">VLOOKUP($I50,OFFSET([2]enemies!$A$1,0,0,COUNTA([2]enemies!$A:$A),MATCH(J$1,[2]enemies!$2:$2,0)-MATCH($I$1,[2]enemies!$2:$2,0)+1),MATCH(J$1,[2]enemies!$2:$2,0)-MATCH($I$1,[2]enemies!$2:$2,0)+1,FALSE)</f>
        <v>#N/A</v>
      </c>
      <c r="K50" s="29" t="e">
        <f ca="1">VLOOKUP($I50,OFFSET([2]enemies!$A$1,0,0,COUNTA([2]enemies!$A:$A),MATCH(K$1,[2]enemies!$2:$2,0)-MATCH($I$1,[2]enemies!$2:$2,0)+1),MATCH(K$1,[2]enemies!$2:$2,0)-MATCH($I$1,[2]enemies!$2:$2,0)+1,FALSE)</f>
        <v>#N/A</v>
      </c>
      <c r="L50" s="29" t="e">
        <f ca="1">VLOOKUP($I50,OFFSET([3]characters!$A$1,0,0,COUNTA([3]characters!$A:$A),MATCH(L$1,[3]characters!$2:$2,0)-MATCH($I$1,[3]characters!$2:$2,0)+1),MATCH(L$1,[3]characters!$2:$2,0)-MATCH($I$1,[3]characters!$2:$2,0)+1,FALSE)</f>
        <v>#N/A</v>
      </c>
      <c r="M50" s="28" t="e">
        <f ca="1">VLOOKUP($I50,OFFSET([3]characters!$A$1,0,0,COUNTA([3]characters!$A:$A),MATCH(M$1,[3]characters!$2:$2,0)-MATCH($I$1,[3]characters!$2:$2,0)+2),MATCH(M$1,[3]characters!$2:$2,0)-MATCH($I$1,[3]characters!$2:$2,0)+2,FALSE)</f>
        <v>#N/A</v>
      </c>
      <c r="N50" s="5" t="e">
        <f ca="1">VLOOKUP($I50,OFFSET([2]enemies!$A$1,0,0,COUNTA([2]enemies!$A:$A),MATCH(N$1,[2]enemies!$2:$2,0)-MATCH($I$1,[2]enemies!$2:$2,0)+1),MATCH(N$1,[2]enemies!$2:$2,0)-MATCH($I$1,[2]enemies!$2:$2,0)+1,FALSE)</f>
        <v>#N/A</v>
      </c>
      <c r="O50" s="6">
        <v>5</v>
      </c>
      <c r="P50" s="43">
        <v>1</v>
      </c>
      <c r="Q50" s="43">
        <v>1</v>
      </c>
      <c r="R50" s="6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5">
        <v>0</v>
      </c>
      <c r="U50" s="7">
        <v>0</v>
      </c>
      <c r="V50" s="7">
        <v>100</v>
      </c>
      <c r="W50" s="7">
        <v>0</v>
      </c>
      <c r="X50" s="26" t="e">
        <f ca="1">VLOOKUP($I50,OFFSET([2]enemies!$A$1,0,0,COUNTA([2]enemies!$A:$A),MATCH(X$1,[2]enemies!$2:$2,0)-MATCH($I$1,[2]enemies!$2:$2,0)+1),MATCH(X$1,[2]enemies!$2:$2,0)-MATCH($I$1,[2]enemies!$2:$2,0)+1,FALSE)</f>
        <v>#N/A</v>
      </c>
      <c r="Y50" s="31">
        <v>23</v>
      </c>
      <c r="Z50" s="5" t="str">
        <f ca="1">IFERROR(VLOOKUP($Y50,OFFSET([3]characters!$A$1,0,0,COUNTA([3]characters!$A:$A),MATCH(Z$1,[3]characters!$2:$2,0)-MATCH("character_id",[3]characters!$2:$2,0)+1),MATCH(Z$1,[3]characters!$2:$2,0)-MATCH("character_id",[3]characters!$2:$2,0)+1,FALSE),"")</f>
        <v/>
      </c>
      <c r="AA50" s="5" t="str">
        <f ca="1">IFERROR(VLOOKUP($Y50,OFFSET([3]characters!$A$1,0,0,COUNTA([3]characters!$A:$A),MATCH(AA$1,[3]characters!$2:$2,0)-MATCH("character_id",[3]characters!$2:$2,0)+1),MATCH(AA$1,[3]characters!$2:$2,0)-MATCH("character_id",[3]characters!$2:$2,0)+1,FALSE),"")</f>
        <v/>
      </c>
      <c r="AB50" s="5" t="str">
        <f ca="1">IFERROR(VLOOKUP($Y50,OFFSET([3]characters!$A$1,0,0,COUNTA([3]characters!$A:$A),MATCH(AB$1,[3]characters!$2:$2,0)-MATCH("character_id",[3]characters!$2:$2,0)+1),MATCH(AB$1,[3]characters!$2:$2,0)-MATCH("character_id",[3]characters!$2:$2,0)+1,FALSE),"")</f>
        <v/>
      </c>
      <c r="AC50" s="8">
        <v>1</v>
      </c>
      <c r="AD50" s="8" t="str">
        <f t="shared" ca="1" si="3"/>
        <v/>
      </c>
      <c r="AE50" s="9">
        <v>30</v>
      </c>
      <c r="AF50" s="38">
        <v>0</v>
      </c>
      <c r="AG50" s="38">
        <v>0</v>
      </c>
      <c r="AH50" s="38">
        <v>0</v>
      </c>
      <c r="AI50" s="38">
        <v>0</v>
      </c>
      <c r="AJ50" s="38">
        <v>1</v>
      </c>
    </row>
    <row r="51" spans="1:36" ht="21" customHeight="1" x14ac:dyDescent="0.15">
      <c r="A51" s="21" t="e">
        <f t="shared" ca="1" si="2"/>
        <v>#N/A</v>
      </c>
      <c r="B51" s="33">
        <v>3</v>
      </c>
      <c r="C51" s="32">
        <v>3</v>
      </c>
      <c r="D51" s="2" t="str">
        <f t="shared" si="24"/>
        <v>3_3</v>
      </c>
      <c r="E51" s="5" t="str">
        <f ca="1">VLOOKUP($B51,OFFSET([1]quests!$A$1,0,0,COUNTA([1]quests!$A:$A),MATCH(E$1,[1]quests!$1:$1,0)-MATCH($B$1,[1]quests!$1:$1,0)+1),MATCH(E$1,[1]quests!$1:$1,0)-MATCH($B$1,[1]quests!$1:$1,0)+1,FALSE)</f>
        <v>3．グリーンモール</v>
      </c>
      <c r="F51" s="5" t="str">
        <f ca="1">VLOOKUP($D51,OFFSET([1]stages!$A$1,0,0,COUNTA([1]stages!$A:$A),MATCH(F$1,[1]stages!$2:$2,0)-MATCH($D$1,[1]stages!$2:$2,0)+1),MATCH(F$1,[1]stages!$2:$2,0)-MATCH($D$1,[1]stages!$2:$2,0)+1,FALSE)</f>
        <v>3-3. 舞い散る木の葉</v>
      </c>
      <c r="G51" s="32">
        <v>2</v>
      </c>
      <c r="H51" s="20" t="str">
        <f t="shared" si="25"/>
        <v>3_3-2</v>
      </c>
      <c r="I51" s="31">
        <v>3</v>
      </c>
      <c r="J51" s="26" t="e">
        <f ca="1">VLOOKUP($I51,OFFSET([2]enemies!$A$1,0,0,COUNTA([2]enemies!$A:$A),MATCH(J$1,[2]enemies!$2:$2,0)-MATCH($I$1,[2]enemies!$2:$2,0)+1),MATCH(J$1,[2]enemies!$2:$2,0)-MATCH($I$1,[2]enemies!$2:$2,0)+1,FALSE)</f>
        <v>#N/A</v>
      </c>
      <c r="K51" s="29" t="e">
        <f ca="1">VLOOKUP($I51,OFFSET([2]enemies!$A$1,0,0,COUNTA([2]enemies!$A:$A),MATCH(K$1,[2]enemies!$2:$2,0)-MATCH($I$1,[2]enemies!$2:$2,0)+1),MATCH(K$1,[2]enemies!$2:$2,0)-MATCH($I$1,[2]enemies!$2:$2,0)+1,FALSE)</f>
        <v>#N/A</v>
      </c>
      <c r="L51" s="29" t="e">
        <f ca="1">VLOOKUP($I51,OFFSET([3]characters!$A$1,0,0,COUNTA([3]characters!$A:$A),MATCH(L$1,[3]characters!$2:$2,0)-MATCH($I$1,[3]characters!$2:$2,0)+1),MATCH(L$1,[3]characters!$2:$2,0)-MATCH($I$1,[3]characters!$2:$2,0)+1,FALSE)</f>
        <v>#N/A</v>
      </c>
      <c r="M51" s="28" t="e">
        <f ca="1">VLOOKUP($I51,OFFSET([3]characters!$A$1,0,0,COUNTA([3]characters!$A:$A),MATCH(M$1,[3]characters!$2:$2,0)-MATCH($I$1,[3]characters!$2:$2,0)+2),MATCH(M$1,[3]characters!$2:$2,0)-MATCH($I$1,[3]characters!$2:$2,0)+2,FALSE)</f>
        <v>#N/A</v>
      </c>
      <c r="N51" s="5" t="e">
        <f ca="1">VLOOKUP($I51,OFFSET([2]enemies!$A$1,0,0,COUNTA([2]enemies!$A:$A),MATCH(N$1,[2]enemies!$2:$2,0)-MATCH($I$1,[2]enemies!$2:$2,0)+1),MATCH(N$1,[2]enemies!$2:$2,0)-MATCH($I$1,[2]enemies!$2:$2,0)+1,FALSE)</f>
        <v>#N/A</v>
      </c>
      <c r="O51" s="6">
        <v>5</v>
      </c>
      <c r="P51" s="43">
        <v>1</v>
      </c>
      <c r="Q51" s="43">
        <v>1</v>
      </c>
      <c r="R51" s="6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5">
        <v>0</v>
      </c>
      <c r="U51" s="7">
        <v>0</v>
      </c>
      <c r="V51" s="7">
        <v>100</v>
      </c>
      <c r="W51" s="7">
        <v>0</v>
      </c>
      <c r="X51" s="26" t="e">
        <f ca="1">VLOOKUP($I51,OFFSET([2]enemies!$A$1,0,0,COUNTA([2]enemies!$A:$A),MATCH(X$1,[2]enemies!$2:$2,0)-MATCH($I$1,[2]enemies!$2:$2,0)+1),MATCH(X$1,[2]enemies!$2:$2,0)-MATCH($I$1,[2]enemies!$2:$2,0)+1,FALSE)</f>
        <v>#N/A</v>
      </c>
      <c r="Y51" s="31">
        <v>3</v>
      </c>
      <c r="Z51" s="5" t="str">
        <f ca="1">IFERROR(VLOOKUP($Y51,OFFSET([3]characters!$A$1,0,0,COUNTA([3]characters!$A:$A),MATCH(Z$1,[3]characters!$2:$2,0)-MATCH("character_id",[3]characters!$2:$2,0)+1),MATCH(Z$1,[3]characters!$2:$2,0)-MATCH("character_id",[3]characters!$2:$2,0)+1,FALSE),"")</f>
        <v/>
      </c>
      <c r="AA51" s="5" t="str">
        <f ca="1">IFERROR(VLOOKUP($Y51,OFFSET([3]characters!$A$1,0,0,COUNTA([3]characters!$A:$A),MATCH(AA$1,[3]characters!$2:$2,0)-MATCH("character_id",[3]characters!$2:$2,0)+1),MATCH(AA$1,[3]characters!$2:$2,0)-MATCH("character_id",[3]characters!$2:$2,0)+1,FALSE),"")</f>
        <v/>
      </c>
      <c r="AB51" s="5" t="str">
        <f ca="1">IFERROR(VLOOKUP($Y51,OFFSET([3]characters!$A$1,0,0,COUNTA([3]characters!$A:$A),MATCH(AB$1,[3]characters!$2:$2,0)-MATCH("character_id",[3]characters!$2:$2,0)+1),MATCH(AB$1,[3]characters!$2:$2,0)-MATCH("character_id",[3]characters!$2:$2,0)+1,FALSE),"")</f>
        <v/>
      </c>
      <c r="AC51" s="8">
        <v>3</v>
      </c>
      <c r="AD51" s="8" t="str">
        <f t="shared" ca="1" si="3"/>
        <v/>
      </c>
      <c r="AE51" s="9">
        <v>30</v>
      </c>
      <c r="AF51" s="38">
        <v>0</v>
      </c>
      <c r="AG51" s="38">
        <v>0</v>
      </c>
      <c r="AH51" s="38">
        <v>0</v>
      </c>
      <c r="AI51" s="38">
        <v>0</v>
      </c>
      <c r="AJ51" s="38">
        <v>1</v>
      </c>
    </row>
    <row r="52" spans="1:36" ht="21" customHeight="1" x14ac:dyDescent="0.15">
      <c r="A52" s="21" t="e">
        <f t="shared" ca="1" si="2"/>
        <v>#N/A</v>
      </c>
      <c r="B52" s="33">
        <v>3</v>
      </c>
      <c r="C52" s="32">
        <v>3</v>
      </c>
      <c r="D52" s="2" t="str">
        <f t="shared" si="24"/>
        <v>3_3</v>
      </c>
      <c r="E52" s="5" t="str">
        <f ca="1">VLOOKUP($B52,OFFSET([1]quests!$A$1,0,0,COUNTA([1]quests!$A:$A),MATCH(E$1,[1]quests!$1:$1,0)-MATCH($B$1,[1]quests!$1:$1,0)+1),MATCH(E$1,[1]quests!$1:$1,0)-MATCH($B$1,[1]quests!$1:$1,0)+1,FALSE)</f>
        <v>3．グリーンモール</v>
      </c>
      <c r="F52" s="5" t="str">
        <f ca="1">VLOOKUP($D52,OFFSET([1]stages!$A$1,0,0,COUNTA([1]stages!$A:$A),MATCH(F$1,[1]stages!$2:$2,0)-MATCH($D$1,[1]stages!$2:$2,0)+1),MATCH(F$1,[1]stages!$2:$2,0)-MATCH($D$1,[1]stages!$2:$2,0)+1,FALSE)</f>
        <v>3-3. 舞い散る木の葉</v>
      </c>
      <c r="G52" s="32">
        <v>2</v>
      </c>
      <c r="H52" s="20" t="str">
        <f t="shared" si="25"/>
        <v>3_3-2</v>
      </c>
      <c r="I52" s="31">
        <v>11</v>
      </c>
      <c r="J52" s="26" t="e">
        <f ca="1">VLOOKUP($I52,OFFSET([2]enemies!$A$1,0,0,COUNTA([2]enemies!$A:$A),MATCH(J$1,[2]enemies!$2:$2,0)-MATCH($I$1,[2]enemies!$2:$2,0)+1),MATCH(J$1,[2]enemies!$2:$2,0)-MATCH($I$1,[2]enemies!$2:$2,0)+1,FALSE)</f>
        <v>#N/A</v>
      </c>
      <c r="K52" s="29" t="e">
        <f ca="1">VLOOKUP($I52,OFFSET([2]enemies!$A$1,0,0,COUNTA([2]enemies!$A:$A),MATCH(K$1,[2]enemies!$2:$2,0)-MATCH($I$1,[2]enemies!$2:$2,0)+1),MATCH(K$1,[2]enemies!$2:$2,0)-MATCH($I$1,[2]enemies!$2:$2,0)+1,FALSE)</f>
        <v>#N/A</v>
      </c>
      <c r="L52" s="29" t="e">
        <f ca="1">VLOOKUP($I52,OFFSET([3]characters!$A$1,0,0,COUNTA([3]characters!$A:$A),MATCH(L$1,[3]characters!$2:$2,0)-MATCH($I$1,[3]characters!$2:$2,0)+1),MATCH(L$1,[3]characters!$2:$2,0)-MATCH($I$1,[3]characters!$2:$2,0)+1,FALSE)</f>
        <v>#N/A</v>
      </c>
      <c r="M52" s="28" t="e">
        <f ca="1">VLOOKUP($I52,OFFSET([3]characters!$A$1,0,0,COUNTA([3]characters!$A:$A),MATCH(M$1,[3]characters!$2:$2,0)-MATCH($I$1,[3]characters!$2:$2,0)+2),MATCH(M$1,[3]characters!$2:$2,0)-MATCH($I$1,[3]characters!$2:$2,0)+2,FALSE)</f>
        <v>#N/A</v>
      </c>
      <c r="N52" s="5" t="e">
        <f ca="1">VLOOKUP($I52,OFFSET([2]enemies!$A$1,0,0,COUNTA([2]enemies!$A:$A),MATCH(N$1,[2]enemies!$2:$2,0)-MATCH($I$1,[2]enemies!$2:$2,0)+1),MATCH(N$1,[2]enemies!$2:$2,0)-MATCH($I$1,[2]enemies!$2:$2,0)+1,FALSE)</f>
        <v>#N/A</v>
      </c>
      <c r="O52" s="6">
        <v>5</v>
      </c>
      <c r="P52" s="43">
        <v>1</v>
      </c>
      <c r="Q52" s="43">
        <v>1</v>
      </c>
      <c r="R52" s="6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5">
        <v>0</v>
      </c>
      <c r="U52" s="7">
        <v>0</v>
      </c>
      <c r="V52" s="7">
        <v>100</v>
      </c>
      <c r="W52" s="7">
        <v>0</v>
      </c>
      <c r="X52" s="26" t="e">
        <f ca="1">VLOOKUP($I52,OFFSET([2]enemies!$A$1,0,0,COUNTA([2]enemies!$A:$A),MATCH(X$1,[2]enemies!$2:$2,0)-MATCH($I$1,[2]enemies!$2:$2,0)+1),MATCH(X$1,[2]enemies!$2:$2,0)-MATCH($I$1,[2]enemies!$2:$2,0)+1,FALSE)</f>
        <v>#N/A</v>
      </c>
      <c r="Y52" s="31">
        <v>11</v>
      </c>
      <c r="Z52" s="5" t="str">
        <f ca="1">IFERROR(VLOOKUP($Y52,OFFSET([3]characters!$A$1,0,0,COUNTA([3]characters!$A:$A),MATCH(Z$1,[3]characters!$2:$2,0)-MATCH("character_id",[3]characters!$2:$2,0)+1),MATCH(Z$1,[3]characters!$2:$2,0)-MATCH("character_id",[3]characters!$2:$2,0)+1,FALSE),"")</f>
        <v/>
      </c>
      <c r="AA52" s="5" t="str">
        <f ca="1">IFERROR(VLOOKUP($Y52,OFFSET([3]characters!$A$1,0,0,COUNTA([3]characters!$A:$A),MATCH(AA$1,[3]characters!$2:$2,0)-MATCH("character_id",[3]characters!$2:$2,0)+1),MATCH(AA$1,[3]characters!$2:$2,0)-MATCH("character_id",[3]characters!$2:$2,0)+1,FALSE),"")</f>
        <v/>
      </c>
      <c r="AB52" s="5" t="str">
        <f ca="1">IFERROR(VLOOKUP($Y52,OFFSET([3]characters!$A$1,0,0,COUNTA([3]characters!$A:$A),MATCH(AB$1,[3]characters!$2:$2,0)-MATCH("character_id",[3]characters!$2:$2,0)+1),MATCH(AB$1,[3]characters!$2:$2,0)-MATCH("character_id",[3]characters!$2:$2,0)+1,FALSE),"")</f>
        <v/>
      </c>
      <c r="AC52" s="8">
        <v>1</v>
      </c>
      <c r="AD52" s="8" t="str">
        <f t="shared" ca="1" si="3"/>
        <v/>
      </c>
      <c r="AE52" s="9">
        <v>30</v>
      </c>
      <c r="AF52" s="38">
        <v>0</v>
      </c>
      <c r="AG52" s="38">
        <v>0</v>
      </c>
      <c r="AH52" s="38">
        <v>0</v>
      </c>
      <c r="AI52" s="38">
        <v>0</v>
      </c>
      <c r="AJ52" s="38">
        <v>1</v>
      </c>
    </row>
    <row r="53" spans="1:36" ht="21" customHeight="1" x14ac:dyDescent="0.15">
      <c r="A53" s="21" t="e">
        <f t="shared" ca="1" si="2"/>
        <v>#N/A</v>
      </c>
      <c r="B53" s="33">
        <v>3</v>
      </c>
      <c r="C53" s="32">
        <v>3</v>
      </c>
      <c r="D53" s="2" t="str">
        <f t="shared" si="24"/>
        <v>3_3</v>
      </c>
      <c r="E53" s="5" t="str">
        <f ca="1">VLOOKUP($B53,OFFSET([1]quests!$A$1,0,0,COUNTA([1]quests!$A:$A),MATCH(E$1,[1]quests!$1:$1,0)-MATCH($B$1,[1]quests!$1:$1,0)+1),MATCH(E$1,[1]quests!$1:$1,0)-MATCH($B$1,[1]quests!$1:$1,0)+1,FALSE)</f>
        <v>3．グリーンモール</v>
      </c>
      <c r="F53" s="5" t="str">
        <f ca="1">VLOOKUP($D53,OFFSET([1]stages!$A$1,0,0,COUNTA([1]stages!$A:$A),MATCH(F$1,[1]stages!$2:$2,0)-MATCH($D$1,[1]stages!$2:$2,0)+1),MATCH(F$1,[1]stages!$2:$2,0)-MATCH($D$1,[1]stages!$2:$2,0)+1,FALSE)</f>
        <v>3-3. 舞い散る木の葉</v>
      </c>
      <c r="G53" s="32">
        <v>2</v>
      </c>
      <c r="H53" s="20" t="str">
        <f t="shared" si="25"/>
        <v>3_3-2</v>
      </c>
      <c r="I53" s="31">
        <v>23</v>
      </c>
      <c r="J53" s="26" t="e">
        <f ca="1">VLOOKUP($I53,OFFSET([2]enemies!$A$1,0,0,COUNTA([2]enemies!$A:$A),MATCH(J$1,[2]enemies!$2:$2,0)-MATCH($I$1,[2]enemies!$2:$2,0)+1),MATCH(J$1,[2]enemies!$2:$2,0)-MATCH($I$1,[2]enemies!$2:$2,0)+1,FALSE)</f>
        <v>#N/A</v>
      </c>
      <c r="K53" s="29" t="e">
        <f ca="1">VLOOKUP($I53,OFFSET([2]enemies!$A$1,0,0,COUNTA([2]enemies!$A:$A),MATCH(K$1,[2]enemies!$2:$2,0)-MATCH($I$1,[2]enemies!$2:$2,0)+1),MATCH(K$1,[2]enemies!$2:$2,0)-MATCH($I$1,[2]enemies!$2:$2,0)+1,FALSE)</f>
        <v>#N/A</v>
      </c>
      <c r="L53" s="29" t="e">
        <f ca="1">VLOOKUP($I53,OFFSET([3]characters!$A$1,0,0,COUNTA([3]characters!$A:$A),MATCH(L$1,[3]characters!$2:$2,0)-MATCH($I$1,[3]characters!$2:$2,0)+1),MATCH(L$1,[3]characters!$2:$2,0)-MATCH($I$1,[3]characters!$2:$2,0)+1,FALSE)</f>
        <v>#N/A</v>
      </c>
      <c r="M53" s="28" t="e">
        <f ca="1">VLOOKUP($I53,OFFSET([3]characters!$A$1,0,0,COUNTA([3]characters!$A:$A),MATCH(M$1,[3]characters!$2:$2,0)-MATCH($I$1,[3]characters!$2:$2,0)+2),MATCH(M$1,[3]characters!$2:$2,0)-MATCH($I$1,[3]characters!$2:$2,0)+2,FALSE)</f>
        <v>#N/A</v>
      </c>
      <c r="N53" s="5" t="e">
        <f ca="1">VLOOKUP($I53,OFFSET([2]enemies!$A$1,0,0,COUNTA([2]enemies!$A:$A),MATCH(N$1,[2]enemies!$2:$2,0)-MATCH($I$1,[2]enemies!$2:$2,0)+1),MATCH(N$1,[2]enemies!$2:$2,0)-MATCH($I$1,[2]enemies!$2:$2,0)+1,FALSE)</f>
        <v>#N/A</v>
      </c>
      <c r="O53" s="6">
        <v>5</v>
      </c>
      <c r="P53" s="43">
        <v>1</v>
      </c>
      <c r="Q53" s="43">
        <v>1</v>
      </c>
      <c r="R53" s="6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5">
        <v>0</v>
      </c>
      <c r="U53" s="7">
        <v>0</v>
      </c>
      <c r="V53" s="7">
        <v>100</v>
      </c>
      <c r="W53" s="7">
        <v>0</v>
      </c>
      <c r="X53" s="26" t="e">
        <f ca="1">VLOOKUP($I53,OFFSET([2]enemies!$A$1,0,0,COUNTA([2]enemies!$A:$A),MATCH(X$1,[2]enemies!$2:$2,0)-MATCH($I$1,[2]enemies!$2:$2,0)+1),MATCH(X$1,[2]enemies!$2:$2,0)-MATCH($I$1,[2]enemies!$2:$2,0)+1,FALSE)</f>
        <v>#N/A</v>
      </c>
      <c r="Y53" s="31">
        <v>23</v>
      </c>
      <c r="Z53" s="5" t="str">
        <f ca="1">IFERROR(VLOOKUP($Y53,OFFSET([3]characters!$A$1,0,0,COUNTA([3]characters!$A:$A),MATCH(Z$1,[3]characters!$2:$2,0)-MATCH("character_id",[3]characters!$2:$2,0)+1),MATCH(Z$1,[3]characters!$2:$2,0)-MATCH("character_id",[3]characters!$2:$2,0)+1,FALSE),"")</f>
        <v/>
      </c>
      <c r="AA53" s="5" t="str">
        <f ca="1">IFERROR(VLOOKUP($Y53,OFFSET([3]characters!$A$1,0,0,COUNTA([3]characters!$A:$A),MATCH(AA$1,[3]characters!$2:$2,0)-MATCH("character_id",[3]characters!$2:$2,0)+1),MATCH(AA$1,[3]characters!$2:$2,0)-MATCH("character_id",[3]characters!$2:$2,0)+1,FALSE),"")</f>
        <v/>
      </c>
      <c r="AB53" s="5" t="str">
        <f ca="1">IFERROR(VLOOKUP($Y53,OFFSET([3]characters!$A$1,0,0,COUNTA([3]characters!$A:$A),MATCH(AB$1,[3]characters!$2:$2,0)-MATCH("character_id",[3]characters!$2:$2,0)+1),MATCH(AB$1,[3]characters!$2:$2,0)-MATCH("character_id",[3]characters!$2:$2,0)+1,FALSE),"")</f>
        <v/>
      </c>
      <c r="AC53" s="8">
        <v>1</v>
      </c>
      <c r="AD53" s="8" t="str">
        <f t="shared" ca="1" si="3"/>
        <v/>
      </c>
      <c r="AE53" s="9">
        <v>30</v>
      </c>
      <c r="AF53" s="38">
        <v>0</v>
      </c>
      <c r="AG53" s="38">
        <v>0</v>
      </c>
      <c r="AH53" s="38">
        <v>0</v>
      </c>
      <c r="AI53" s="38">
        <v>0</v>
      </c>
      <c r="AJ53" s="38">
        <v>1</v>
      </c>
    </row>
    <row r="54" spans="1:36" ht="21" customHeight="1" x14ac:dyDescent="0.15">
      <c r="A54" s="21" t="e">
        <f t="shared" ref="A54:A56" ca="1" si="34">B54&amp;"_"&amp;C54&amp;"-"&amp;G54&amp;"/"&amp;I54&amp;"&lt;lv"&amp;O54&amp;"&gt;s"&amp;X54</f>
        <v>#N/A</v>
      </c>
      <c r="B54" s="33">
        <v>3</v>
      </c>
      <c r="C54" s="32">
        <v>3</v>
      </c>
      <c r="D54" s="2" t="str">
        <f t="shared" ref="D54:D56" si="35">B54&amp;"_"&amp;C54</f>
        <v>3_3</v>
      </c>
      <c r="E54" s="5" t="str">
        <f ca="1">VLOOKUP($B54,OFFSET([1]quests!$A$1,0,0,COUNTA([1]quests!$A:$A),MATCH(E$1,[1]quests!$1:$1,0)-MATCH($B$1,[1]quests!$1:$1,0)+1),MATCH(E$1,[1]quests!$1:$1,0)-MATCH($B$1,[1]quests!$1:$1,0)+1,FALSE)</f>
        <v>3．グリーンモール</v>
      </c>
      <c r="F54" s="5" t="str">
        <f ca="1">VLOOKUP($D54,OFFSET([1]stages!$A$1,0,0,COUNTA([1]stages!$A:$A),MATCH(F$1,[1]stages!$2:$2,0)-MATCH($D$1,[1]stages!$2:$2,0)+1),MATCH(F$1,[1]stages!$2:$2,0)-MATCH($D$1,[1]stages!$2:$2,0)+1,FALSE)</f>
        <v>3-3. 舞い散る木の葉</v>
      </c>
      <c r="G54" s="32">
        <v>3</v>
      </c>
      <c r="H54" s="20" t="str">
        <f t="shared" ref="H54:H56" si="36">B54&amp;"_"&amp;C54&amp;"-"&amp;G54</f>
        <v>3_3-3</v>
      </c>
      <c r="I54" s="31">
        <v>3</v>
      </c>
      <c r="J54" s="26" t="e">
        <f ca="1">VLOOKUP($I54,OFFSET([2]enemies!$A$1,0,0,COUNTA([2]enemies!$A:$A),MATCH(J$1,[2]enemies!$2:$2,0)-MATCH($I$1,[2]enemies!$2:$2,0)+1),MATCH(J$1,[2]enemies!$2:$2,0)-MATCH($I$1,[2]enemies!$2:$2,0)+1,FALSE)</f>
        <v>#N/A</v>
      </c>
      <c r="K54" s="29" t="e">
        <f ca="1">VLOOKUP($I54,OFFSET([2]enemies!$A$1,0,0,COUNTA([2]enemies!$A:$A),MATCH(K$1,[2]enemies!$2:$2,0)-MATCH($I$1,[2]enemies!$2:$2,0)+1),MATCH(K$1,[2]enemies!$2:$2,0)-MATCH($I$1,[2]enemies!$2:$2,0)+1,FALSE)</f>
        <v>#N/A</v>
      </c>
      <c r="L54" s="29" t="e">
        <f ca="1">VLOOKUP($I54,OFFSET([3]characters!$A$1,0,0,COUNTA([3]characters!$A:$A),MATCH(L$1,[3]characters!$2:$2,0)-MATCH($I$1,[3]characters!$2:$2,0)+1),MATCH(L$1,[3]characters!$2:$2,0)-MATCH($I$1,[3]characters!$2:$2,0)+1,FALSE)</f>
        <v>#N/A</v>
      </c>
      <c r="M54" s="28" t="e">
        <f ca="1">VLOOKUP($I54,OFFSET([3]characters!$A$1,0,0,COUNTA([3]characters!$A:$A),MATCH(M$1,[3]characters!$2:$2,0)-MATCH($I$1,[3]characters!$2:$2,0)+2),MATCH(M$1,[3]characters!$2:$2,0)-MATCH($I$1,[3]characters!$2:$2,0)+2,FALSE)</f>
        <v>#N/A</v>
      </c>
      <c r="N54" s="5" t="e">
        <f ca="1">VLOOKUP($I54,OFFSET([2]enemies!$A$1,0,0,COUNTA([2]enemies!$A:$A),MATCH(N$1,[2]enemies!$2:$2,0)-MATCH($I$1,[2]enemies!$2:$2,0)+1),MATCH(N$1,[2]enemies!$2:$2,0)-MATCH($I$1,[2]enemies!$2:$2,0)+1,FALSE)</f>
        <v>#N/A</v>
      </c>
      <c r="O54" s="6">
        <v>5</v>
      </c>
      <c r="P54" s="43">
        <v>1</v>
      </c>
      <c r="Q54" s="43">
        <v>1</v>
      </c>
      <c r="R54" s="6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5">
        <v>0</v>
      </c>
      <c r="U54" s="7">
        <v>0</v>
      </c>
      <c r="V54" s="7">
        <v>100</v>
      </c>
      <c r="W54" s="7">
        <v>0</v>
      </c>
      <c r="X54" s="26" t="e">
        <f ca="1">VLOOKUP($I54,OFFSET([2]enemies!$A$1,0,0,COUNTA([2]enemies!$A:$A),MATCH(X$1,[2]enemies!$2:$2,0)-MATCH($I$1,[2]enemies!$2:$2,0)+1),MATCH(X$1,[2]enemies!$2:$2,0)-MATCH($I$1,[2]enemies!$2:$2,0)+1,FALSE)</f>
        <v>#N/A</v>
      </c>
      <c r="Y54" s="31">
        <v>3</v>
      </c>
      <c r="Z54" s="5" t="str">
        <f ca="1">IFERROR(VLOOKUP($Y54,OFFSET([3]characters!$A$1,0,0,COUNTA([3]characters!$A:$A),MATCH(Z$1,[3]characters!$2:$2,0)-MATCH("character_id",[3]characters!$2:$2,0)+1),MATCH(Z$1,[3]characters!$2:$2,0)-MATCH("character_id",[3]characters!$2:$2,0)+1,FALSE),"")</f>
        <v/>
      </c>
      <c r="AA54" s="5" t="str">
        <f ca="1">IFERROR(VLOOKUP($Y54,OFFSET([3]characters!$A$1,0,0,COUNTA([3]characters!$A:$A),MATCH(AA$1,[3]characters!$2:$2,0)-MATCH("character_id",[3]characters!$2:$2,0)+1),MATCH(AA$1,[3]characters!$2:$2,0)-MATCH("character_id",[3]characters!$2:$2,0)+1,FALSE),"")</f>
        <v/>
      </c>
      <c r="AB54" s="5" t="str">
        <f ca="1">IFERROR(VLOOKUP($Y54,OFFSET([3]characters!$A$1,0,0,COUNTA([3]characters!$A:$A),MATCH(AB$1,[3]characters!$2:$2,0)-MATCH("character_id",[3]characters!$2:$2,0)+1),MATCH(AB$1,[3]characters!$2:$2,0)-MATCH("character_id",[3]characters!$2:$2,0)+1,FALSE),"")</f>
        <v/>
      </c>
      <c r="AC54" s="8">
        <v>3</v>
      </c>
      <c r="AD54" s="8" t="str">
        <f t="shared" ref="AD54:AD56" ca="1" si="37">AA54</f>
        <v/>
      </c>
      <c r="AE54" s="9">
        <v>40</v>
      </c>
      <c r="AF54" s="38">
        <v>0</v>
      </c>
      <c r="AG54" s="38">
        <v>0</v>
      </c>
      <c r="AH54" s="38">
        <v>0</v>
      </c>
      <c r="AI54" s="38">
        <v>0</v>
      </c>
      <c r="AJ54" s="38">
        <v>1</v>
      </c>
    </row>
    <row r="55" spans="1:36" ht="21" customHeight="1" x14ac:dyDescent="0.15">
      <c r="A55" s="21" t="e">
        <f t="shared" ca="1" si="34"/>
        <v>#N/A</v>
      </c>
      <c r="B55" s="33">
        <v>3</v>
      </c>
      <c r="C55" s="32">
        <v>3</v>
      </c>
      <c r="D55" s="2" t="str">
        <f t="shared" si="35"/>
        <v>3_3</v>
      </c>
      <c r="E55" s="5" t="str">
        <f ca="1">VLOOKUP($B55,OFFSET([1]quests!$A$1,0,0,COUNTA([1]quests!$A:$A),MATCH(E$1,[1]quests!$1:$1,0)-MATCH($B$1,[1]quests!$1:$1,0)+1),MATCH(E$1,[1]quests!$1:$1,0)-MATCH($B$1,[1]quests!$1:$1,0)+1,FALSE)</f>
        <v>3．グリーンモール</v>
      </c>
      <c r="F55" s="5" t="str">
        <f ca="1">VLOOKUP($D55,OFFSET([1]stages!$A$1,0,0,COUNTA([1]stages!$A:$A),MATCH(F$1,[1]stages!$2:$2,0)-MATCH($D$1,[1]stages!$2:$2,0)+1),MATCH(F$1,[1]stages!$2:$2,0)-MATCH($D$1,[1]stages!$2:$2,0)+1,FALSE)</f>
        <v>3-3. 舞い散る木の葉</v>
      </c>
      <c r="G55" s="32">
        <v>3</v>
      </c>
      <c r="H55" s="20" t="str">
        <f t="shared" si="36"/>
        <v>3_3-3</v>
      </c>
      <c r="I55" s="31">
        <v>11</v>
      </c>
      <c r="J55" s="26" t="e">
        <f ca="1">VLOOKUP($I55,OFFSET([2]enemies!$A$1,0,0,COUNTA([2]enemies!$A:$A),MATCH(J$1,[2]enemies!$2:$2,0)-MATCH($I$1,[2]enemies!$2:$2,0)+1),MATCH(J$1,[2]enemies!$2:$2,0)-MATCH($I$1,[2]enemies!$2:$2,0)+1,FALSE)</f>
        <v>#N/A</v>
      </c>
      <c r="K55" s="29" t="e">
        <f ca="1">VLOOKUP($I55,OFFSET([2]enemies!$A$1,0,0,COUNTA([2]enemies!$A:$A),MATCH(K$1,[2]enemies!$2:$2,0)-MATCH($I$1,[2]enemies!$2:$2,0)+1),MATCH(K$1,[2]enemies!$2:$2,0)-MATCH($I$1,[2]enemies!$2:$2,0)+1,FALSE)</f>
        <v>#N/A</v>
      </c>
      <c r="L55" s="29" t="e">
        <f ca="1">VLOOKUP($I55,OFFSET([3]characters!$A$1,0,0,COUNTA([3]characters!$A:$A),MATCH(L$1,[3]characters!$2:$2,0)-MATCH($I$1,[3]characters!$2:$2,0)+1),MATCH(L$1,[3]characters!$2:$2,0)-MATCH($I$1,[3]characters!$2:$2,0)+1,FALSE)</f>
        <v>#N/A</v>
      </c>
      <c r="M55" s="28" t="e">
        <f ca="1">VLOOKUP($I55,OFFSET([3]characters!$A$1,0,0,COUNTA([3]characters!$A:$A),MATCH(M$1,[3]characters!$2:$2,0)-MATCH($I$1,[3]characters!$2:$2,0)+2),MATCH(M$1,[3]characters!$2:$2,0)-MATCH($I$1,[3]characters!$2:$2,0)+2,FALSE)</f>
        <v>#N/A</v>
      </c>
      <c r="N55" s="5" t="e">
        <f ca="1">VLOOKUP($I55,OFFSET([2]enemies!$A$1,0,0,COUNTA([2]enemies!$A:$A),MATCH(N$1,[2]enemies!$2:$2,0)-MATCH($I$1,[2]enemies!$2:$2,0)+1),MATCH(N$1,[2]enemies!$2:$2,0)-MATCH($I$1,[2]enemies!$2:$2,0)+1,FALSE)</f>
        <v>#N/A</v>
      </c>
      <c r="O55" s="6">
        <v>5</v>
      </c>
      <c r="P55" s="43">
        <v>1</v>
      </c>
      <c r="Q55" s="43">
        <v>1</v>
      </c>
      <c r="R55" s="6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5">
        <v>0</v>
      </c>
      <c r="U55" s="7">
        <v>0</v>
      </c>
      <c r="V55" s="7">
        <v>100</v>
      </c>
      <c r="W55" s="7">
        <v>0</v>
      </c>
      <c r="X55" s="26" t="e">
        <f ca="1">VLOOKUP($I55,OFFSET([2]enemies!$A$1,0,0,COUNTA([2]enemies!$A:$A),MATCH(X$1,[2]enemies!$2:$2,0)-MATCH($I$1,[2]enemies!$2:$2,0)+1),MATCH(X$1,[2]enemies!$2:$2,0)-MATCH($I$1,[2]enemies!$2:$2,0)+1,FALSE)</f>
        <v>#N/A</v>
      </c>
      <c r="Y55" s="31">
        <v>11</v>
      </c>
      <c r="Z55" s="5" t="str">
        <f ca="1">IFERROR(VLOOKUP($Y55,OFFSET([3]characters!$A$1,0,0,COUNTA([3]characters!$A:$A),MATCH(Z$1,[3]characters!$2:$2,0)-MATCH("character_id",[3]characters!$2:$2,0)+1),MATCH(Z$1,[3]characters!$2:$2,0)-MATCH("character_id",[3]characters!$2:$2,0)+1,FALSE),"")</f>
        <v/>
      </c>
      <c r="AA55" s="5" t="str">
        <f ca="1">IFERROR(VLOOKUP($Y55,OFFSET([3]characters!$A$1,0,0,COUNTA([3]characters!$A:$A),MATCH(AA$1,[3]characters!$2:$2,0)-MATCH("character_id",[3]characters!$2:$2,0)+1),MATCH(AA$1,[3]characters!$2:$2,0)-MATCH("character_id",[3]characters!$2:$2,0)+1,FALSE),"")</f>
        <v/>
      </c>
      <c r="AB55" s="5" t="str">
        <f ca="1">IFERROR(VLOOKUP($Y55,OFFSET([3]characters!$A$1,0,0,COUNTA([3]characters!$A:$A),MATCH(AB$1,[3]characters!$2:$2,0)-MATCH("character_id",[3]characters!$2:$2,0)+1),MATCH(AB$1,[3]characters!$2:$2,0)-MATCH("character_id",[3]characters!$2:$2,0)+1,FALSE),"")</f>
        <v/>
      </c>
      <c r="AC55" s="8">
        <v>1</v>
      </c>
      <c r="AD55" s="8" t="str">
        <f t="shared" ca="1" si="37"/>
        <v/>
      </c>
      <c r="AE55" s="9">
        <v>40</v>
      </c>
      <c r="AF55" s="38">
        <v>0</v>
      </c>
      <c r="AG55" s="38">
        <v>0</v>
      </c>
      <c r="AH55" s="38">
        <v>0</v>
      </c>
      <c r="AI55" s="38">
        <v>0</v>
      </c>
      <c r="AJ55" s="38">
        <v>1</v>
      </c>
    </row>
    <row r="56" spans="1:36" ht="21" customHeight="1" x14ac:dyDescent="0.15">
      <c r="A56" s="21" t="e">
        <f t="shared" ca="1" si="34"/>
        <v>#N/A</v>
      </c>
      <c r="B56" s="33">
        <v>3</v>
      </c>
      <c r="C56" s="32">
        <v>3</v>
      </c>
      <c r="D56" s="2" t="str">
        <f t="shared" si="35"/>
        <v>3_3</v>
      </c>
      <c r="E56" s="5" t="str">
        <f ca="1">VLOOKUP($B56,OFFSET([1]quests!$A$1,0,0,COUNTA([1]quests!$A:$A),MATCH(E$1,[1]quests!$1:$1,0)-MATCH($B$1,[1]quests!$1:$1,0)+1),MATCH(E$1,[1]quests!$1:$1,0)-MATCH($B$1,[1]quests!$1:$1,0)+1,FALSE)</f>
        <v>3．グリーンモール</v>
      </c>
      <c r="F56" s="5" t="str">
        <f ca="1">VLOOKUP($D56,OFFSET([1]stages!$A$1,0,0,COUNTA([1]stages!$A:$A),MATCH(F$1,[1]stages!$2:$2,0)-MATCH($D$1,[1]stages!$2:$2,0)+1),MATCH(F$1,[1]stages!$2:$2,0)-MATCH($D$1,[1]stages!$2:$2,0)+1,FALSE)</f>
        <v>3-3. 舞い散る木の葉</v>
      </c>
      <c r="G56" s="32">
        <v>3</v>
      </c>
      <c r="H56" s="20" t="str">
        <f t="shared" si="36"/>
        <v>3_3-3</v>
      </c>
      <c r="I56" s="31">
        <v>23</v>
      </c>
      <c r="J56" s="26" t="e">
        <f ca="1">VLOOKUP($I56,OFFSET([2]enemies!$A$1,0,0,COUNTA([2]enemies!$A:$A),MATCH(J$1,[2]enemies!$2:$2,0)-MATCH($I$1,[2]enemies!$2:$2,0)+1),MATCH(J$1,[2]enemies!$2:$2,0)-MATCH($I$1,[2]enemies!$2:$2,0)+1,FALSE)</f>
        <v>#N/A</v>
      </c>
      <c r="K56" s="29" t="e">
        <f ca="1">VLOOKUP($I56,OFFSET([2]enemies!$A$1,0,0,COUNTA([2]enemies!$A:$A),MATCH(K$1,[2]enemies!$2:$2,0)-MATCH($I$1,[2]enemies!$2:$2,0)+1),MATCH(K$1,[2]enemies!$2:$2,0)-MATCH($I$1,[2]enemies!$2:$2,0)+1,FALSE)</f>
        <v>#N/A</v>
      </c>
      <c r="L56" s="29" t="e">
        <f ca="1">VLOOKUP($I56,OFFSET([3]characters!$A$1,0,0,COUNTA([3]characters!$A:$A),MATCH(L$1,[3]characters!$2:$2,0)-MATCH($I$1,[3]characters!$2:$2,0)+1),MATCH(L$1,[3]characters!$2:$2,0)-MATCH($I$1,[3]characters!$2:$2,0)+1,FALSE)</f>
        <v>#N/A</v>
      </c>
      <c r="M56" s="28" t="e">
        <f ca="1">VLOOKUP($I56,OFFSET([3]characters!$A$1,0,0,COUNTA([3]characters!$A:$A),MATCH(M$1,[3]characters!$2:$2,0)-MATCH($I$1,[3]characters!$2:$2,0)+2),MATCH(M$1,[3]characters!$2:$2,0)-MATCH($I$1,[3]characters!$2:$2,0)+2,FALSE)</f>
        <v>#N/A</v>
      </c>
      <c r="N56" s="5" t="e">
        <f ca="1">VLOOKUP($I56,OFFSET([2]enemies!$A$1,0,0,COUNTA([2]enemies!$A:$A),MATCH(N$1,[2]enemies!$2:$2,0)-MATCH($I$1,[2]enemies!$2:$2,0)+1),MATCH(N$1,[2]enemies!$2:$2,0)-MATCH($I$1,[2]enemies!$2:$2,0)+1,FALSE)</f>
        <v>#N/A</v>
      </c>
      <c r="O56" s="6">
        <v>5</v>
      </c>
      <c r="P56" s="43">
        <v>1</v>
      </c>
      <c r="Q56" s="43">
        <v>1</v>
      </c>
      <c r="R56" s="6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5">
        <v>0</v>
      </c>
      <c r="U56" s="7">
        <v>0</v>
      </c>
      <c r="V56" s="7">
        <v>100</v>
      </c>
      <c r="W56" s="7">
        <v>0</v>
      </c>
      <c r="X56" s="26" t="e">
        <f ca="1">VLOOKUP($I56,OFFSET([2]enemies!$A$1,0,0,COUNTA([2]enemies!$A:$A),MATCH(X$1,[2]enemies!$2:$2,0)-MATCH($I$1,[2]enemies!$2:$2,0)+1),MATCH(X$1,[2]enemies!$2:$2,0)-MATCH($I$1,[2]enemies!$2:$2,0)+1,FALSE)</f>
        <v>#N/A</v>
      </c>
      <c r="Y56" s="31">
        <v>23</v>
      </c>
      <c r="Z56" s="5" t="str">
        <f ca="1">IFERROR(VLOOKUP($Y56,OFFSET([3]characters!$A$1,0,0,COUNTA([3]characters!$A:$A),MATCH(Z$1,[3]characters!$2:$2,0)-MATCH("character_id",[3]characters!$2:$2,0)+1),MATCH(Z$1,[3]characters!$2:$2,0)-MATCH("character_id",[3]characters!$2:$2,0)+1,FALSE),"")</f>
        <v/>
      </c>
      <c r="AA56" s="5" t="str">
        <f ca="1">IFERROR(VLOOKUP($Y56,OFFSET([3]characters!$A$1,0,0,COUNTA([3]characters!$A:$A),MATCH(AA$1,[3]characters!$2:$2,0)-MATCH("character_id",[3]characters!$2:$2,0)+1),MATCH(AA$1,[3]characters!$2:$2,0)-MATCH("character_id",[3]characters!$2:$2,0)+1,FALSE),"")</f>
        <v/>
      </c>
      <c r="AB56" s="5" t="str">
        <f ca="1">IFERROR(VLOOKUP($Y56,OFFSET([3]characters!$A$1,0,0,COUNTA([3]characters!$A:$A),MATCH(AB$1,[3]characters!$2:$2,0)-MATCH("character_id",[3]characters!$2:$2,0)+1),MATCH(AB$1,[3]characters!$2:$2,0)-MATCH("character_id",[3]characters!$2:$2,0)+1,FALSE),"")</f>
        <v/>
      </c>
      <c r="AC56" s="8">
        <v>1</v>
      </c>
      <c r="AD56" s="8" t="str">
        <f t="shared" ca="1" si="37"/>
        <v/>
      </c>
      <c r="AE56" s="9">
        <v>40</v>
      </c>
      <c r="AF56" s="38">
        <v>0</v>
      </c>
      <c r="AG56" s="38">
        <v>0</v>
      </c>
      <c r="AH56" s="38">
        <v>0</v>
      </c>
      <c r="AI56" s="38">
        <v>0</v>
      </c>
      <c r="AJ56" s="38">
        <v>1</v>
      </c>
    </row>
    <row r="57" spans="1:36" ht="21" customHeight="1" x14ac:dyDescent="0.15">
      <c r="A57" s="21" t="e">
        <f t="shared" ca="1" si="2"/>
        <v>#N/A</v>
      </c>
      <c r="B57" s="33">
        <v>3</v>
      </c>
      <c r="C57" s="32">
        <v>3</v>
      </c>
      <c r="D57" s="2" t="str">
        <f t="shared" si="24"/>
        <v>3_3</v>
      </c>
      <c r="E57" s="5" t="str">
        <f ca="1">VLOOKUP($B57,OFFSET([1]quests!$A$1,0,0,COUNTA([1]quests!$A:$A),MATCH(E$1,[1]quests!$1:$1,0)-MATCH($B$1,[1]quests!$1:$1,0)+1),MATCH(E$1,[1]quests!$1:$1,0)-MATCH($B$1,[1]quests!$1:$1,0)+1,FALSE)</f>
        <v>3．グリーンモール</v>
      </c>
      <c r="F57" s="5" t="str">
        <f ca="1">VLOOKUP($D57,OFFSET([1]stages!$A$1,0,0,COUNTA([1]stages!$A:$A),MATCH(F$1,[1]stages!$2:$2,0)-MATCH($D$1,[1]stages!$2:$2,0)+1),MATCH(F$1,[1]stages!$2:$2,0)-MATCH($D$1,[1]stages!$2:$2,0)+1,FALSE)</f>
        <v>3-3. 舞い散る木の葉</v>
      </c>
      <c r="G57" s="32">
        <v>4</v>
      </c>
      <c r="H57" s="20" t="str">
        <f t="shared" si="25"/>
        <v>3_3-4</v>
      </c>
      <c r="I57" s="31">
        <v>144</v>
      </c>
      <c r="J57" s="26" t="e">
        <f ca="1">VLOOKUP($I57,OFFSET([2]enemies!$A$1,0,0,COUNTA([2]enemies!$A:$A),MATCH(J$1,[2]enemies!$2:$2,0)-MATCH($I$1,[2]enemies!$2:$2,0)+1),MATCH(J$1,[2]enemies!$2:$2,0)-MATCH($I$1,[2]enemies!$2:$2,0)+1,FALSE)</f>
        <v>#N/A</v>
      </c>
      <c r="K57" s="29" t="e">
        <f ca="1">VLOOKUP($I57,OFFSET([2]enemies!$A$1,0,0,COUNTA([2]enemies!$A:$A),MATCH(K$1,[2]enemies!$2:$2,0)-MATCH($I$1,[2]enemies!$2:$2,0)+1),MATCH(K$1,[2]enemies!$2:$2,0)-MATCH($I$1,[2]enemies!$2:$2,0)+1,FALSE)</f>
        <v>#N/A</v>
      </c>
      <c r="L57" s="29" t="e">
        <f ca="1">VLOOKUP($I57,OFFSET([3]characters!$A$1,0,0,COUNTA([3]characters!$A:$A),MATCH(L$1,[3]characters!$2:$2,0)-MATCH($I$1,[3]characters!$2:$2,0)+1),MATCH(L$1,[3]characters!$2:$2,0)-MATCH($I$1,[3]characters!$2:$2,0)+1,FALSE)</f>
        <v>#N/A</v>
      </c>
      <c r="M57" s="28" t="e">
        <f ca="1">VLOOKUP($I57,OFFSET([3]characters!$A$1,0,0,COUNTA([3]characters!$A:$A),MATCH(M$1,[3]characters!$2:$2,0)-MATCH($I$1,[3]characters!$2:$2,0)+2),MATCH(M$1,[3]characters!$2:$2,0)-MATCH($I$1,[3]characters!$2:$2,0)+2,FALSE)</f>
        <v>#N/A</v>
      </c>
      <c r="N57" s="5" t="e">
        <f ca="1">VLOOKUP($I57,OFFSET([2]enemies!$A$1,0,0,COUNTA([2]enemies!$A:$A),MATCH(N$1,[2]enemies!$2:$2,0)-MATCH($I$1,[2]enemies!$2:$2,0)+1),MATCH(N$1,[2]enemies!$2:$2,0)-MATCH($I$1,[2]enemies!$2:$2,0)+1,FALSE)</f>
        <v>#N/A</v>
      </c>
      <c r="O57" s="6">
        <v>7</v>
      </c>
      <c r="P57" s="43">
        <v>1</v>
      </c>
      <c r="Q57" s="43">
        <v>1</v>
      </c>
      <c r="R57" s="6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5">
        <v>0</v>
      </c>
      <c r="U57" s="7">
        <v>1</v>
      </c>
      <c r="V57" s="7">
        <v>100</v>
      </c>
      <c r="W57" s="7">
        <v>1</v>
      </c>
      <c r="X57" s="26" t="e">
        <f ca="1">VLOOKUP($I57,OFFSET([2]enemies!$A$1,0,0,COUNTA([2]enemies!$A:$A),MATCH(X$1,[2]enemies!$2:$2,0)-MATCH($I$1,[2]enemies!$2:$2,0)+1),MATCH(X$1,[2]enemies!$2:$2,0)-MATCH($I$1,[2]enemies!$2:$2,0)+1,FALSE)</f>
        <v>#N/A</v>
      </c>
      <c r="Y57" s="31">
        <v>144</v>
      </c>
      <c r="Z57" s="5" t="str">
        <f ca="1">IFERROR(VLOOKUP($Y57,OFFSET([3]characters!$A$1,0,0,COUNTA([3]characters!$A:$A),MATCH(Z$1,[3]characters!$2:$2,0)-MATCH("character_id",[3]characters!$2:$2,0)+1),MATCH(Z$1,[3]characters!$2:$2,0)-MATCH("character_id",[3]characters!$2:$2,0)+1,FALSE),"")</f>
        <v/>
      </c>
      <c r="AA57" s="5" t="str">
        <f ca="1">IFERROR(VLOOKUP($Y57,OFFSET([3]characters!$A$1,0,0,COUNTA([3]characters!$A:$A),MATCH(AA$1,[3]characters!$2:$2,0)-MATCH("character_id",[3]characters!$2:$2,0)+1),MATCH(AA$1,[3]characters!$2:$2,0)-MATCH("character_id",[3]characters!$2:$2,0)+1,FALSE),"")</f>
        <v/>
      </c>
      <c r="AB57" s="5" t="str">
        <f ca="1">IFERROR(VLOOKUP($Y57,OFFSET([3]characters!$A$1,0,0,COUNTA([3]characters!$A:$A),MATCH(AB$1,[3]characters!$2:$2,0)-MATCH("character_id",[3]characters!$2:$2,0)+1),MATCH(AB$1,[3]characters!$2:$2,0)-MATCH("character_id",[3]characters!$2:$2,0)+1,FALSE),"")</f>
        <v/>
      </c>
      <c r="AC57" s="8">
        <v>1</v>
      </c>
      <c r="AD57" s="8" t="str">
        <f t="shared" ca="1" si="3"/>
        <v/>
      </c>
      <c r="AE57" s="9">
        <v>0</v>
      </c>
      <c r="AF57" s="38">
        <v>0</v>
      </c>
      <c r="AG57" s="38">
        <v>0</v>
      </c>
      <c r="AH57" s="38">
        <v>0</v>
      </c>
      <c r="AI57" s="38">
        <v>0</v>
      </c>
      <c r="AJ57" s="38">
        <v>1</v>
      </c>
    </row>
    <row r="58" spans="1:36" ht="21" customHeight="1" x14ac:dyDescent="0.15">
      <c r="A58" s="21" t="e">
        <f t="shared" ref="A58:A59" ca="1" si="38">B58&amp;"_"&amp;C58&amp;"-"&amp;G58&amp;"/"&amp;I58&amp;"&lt;lv"&amp;O58&amp;"&gt;s"&amp;X58</f>
        <v>#N/A</v>
      </c>
      <c r="B58" s="33">
        <v>3</v>
      </c>
      <c r="C58" s="32">
        <v>3</v>
      </c>
      <c r="D58" s="2" t="str">
        <f t="shared" ref="D58:D59" si="39">B58&amp;"_"&amp;C58</f>
        <v>3_3</v>
      </c>
      <c r="E58" s="5" t="str">
        <f ca="1">VLOOKUP($B58,OFFSET([1]quests!$A$1,0,0,COUNTA([1]quests!$A:$A),MATCH(E$1,[1]quests!$1:$1,0)-MATCH($B$1,[1]quests!$1:$1,0)+1),MATCH(E$1,[1]quests!$1:$1,0)-MATCH($B$1,[1]quests!$1:$1,0)+1,FALSE)</f>
        <v>3．グリーンモール</v>
      </c>
      <c r="F58" s="5" t="str">
        <f ca="1">VLOOKUP($D58,OFFSET([1]stages!$A$1,0,0,COUNTA([1]stages!$A:$A),MATCH(F$1,[1]stages!$2:$2,0)-MATCH($D$1,[1]stages!$2:$2,0)+1),MATCH(F$1,[1]stages!$2:$2,0)-MATCH($D$1,[1]stages!$2:$2,0)+1,FALSE)</f>
        <v>3-3. 舞い散る木の葉</v>
      </c>
      <c r="G58" s="32">
        <v>4</v>
      </c>
      <c r="H58" s="20" t="str">
        <f t="shared" ref="H58:H59" si="40">B58&amp;"_"&amp;C58&amp;"-"&amp;G58</f>
        <v>3_3-4</v>
      </c>
      <c r="I58" s="31">
        <v>23</v>
      </c>
      <c r="J58" s="26" t="e">
        <f ca="1">VLOOKUP($I58,OFFSET([2]enemies!$A$1,0,0,COUNTA([2]enemies!$A:$A),MATCH(J$1,[2]enemies!$2:$2,0)-MATCH($I$1,[2]enemies!$2:$2,0)+1),MATCH(J$1,[2]enemies!$2:$2,0)-MATCH($I$1,[2]enemies!$2:$2,0)+1,FALSE)</f>
        <v>#N/A</v>
      </c>
      <c r="K58" s="29" t="e">
        <f ca="1">VLOOKUP($I58,OFFSET([2]enemies!$A$1,0,0,COUNTA([2]enemies!$A:$A),MATCH(K$1,[2]enemies!$2:$2,0)-MATCH($I$1,[2]enemies!$2:$2,0)+1),MATCH(K$1,[2]enemies!$2:$2,0)-MATCH($I$1,[2]enemies!$2:$2,0)+1,FALSE)</f>
        <v>#N/A</v>
      </c>
      <c r="L58" s="29" t="e">
        <f ca="1">VLOOKUP($I58,OFFSET([3]characters!$A$1,0,0,COUNTA([3]characters!$A:$A),MATCH(L$1,[3]characters!$2:$2,0)-MATCH($I$1,[3]characters!$2:$2,0)+1),MATCH(L$1,[3]characters!$2:$2,0)-MATCH($I$1,[3]characters!$2:$2,0)+1,FALSE)</f>
        <v>#N/A</v>
      </c>
      <c r="M58" s="28" t="e">
        <f ca="1">VLOOKUP($I58,OFFSET([3]characters!$A$1,0,0,COUNTA([3]characters!$A:$A),MATCH(M$1,[3]characters!$2:$2,0)-MATCH($I$1,[3]characters!$2:$2,0)+2),MATCH(M$1,[3]characters!$2:$2,0)-MATCH($I$1,[3]characters!$2:$2,0)+2,FALSE)</f>
        <v>#N/A</v>
      </c>
      <c r="N58" s="5" t="e">
        <f ca="1">VLOOKUP($I58,OFFSET([2]enemies!$A$1,0,0,COUNTA([2]enemies!$A:$A),MATCH(N$1,[2]enemies!$2:$2,0)-MATCH($I$1,[2]enemies!$2:$2,0)+1),MATCH(N$1,[2]enemies!$2:$2,0)-MATCH($I$1,[2]enemies!$2:$2,0)+1,FALSE)</f>
        <v>#N/A</v>
      </c>
      <c r="O58" s="6">
        <v>5</v>
      </c>
      <c r="P58" s="43">
        <v>1</v>
      </c>
      <c r="Q58" s="43">
        <v>1</v>
      </c>
      <c r="R58" s="6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5">
        <v>0</v>
      </c>
      <c r="U58" s="7">
        <v>2</v>
      </c>
      <c r="V58" s="7">
        <v>100</v>
      </c>
      <c r="W58" s="7">
        <v>0</v>
      </c>
      <c r="X58" s="26" t="e">
        <f ca="1">VLOOKUP($I58,OFFSET([2]enemies!$A$1,0,0,COUNTA([2]enemies!$A:$A),MATCH(X$1,[2]enemies!$2:$2,0)-MATCH($I$1,[2]enemies!$2:$2,0)+1),MATCH(X$1,[2]enemies!$2:$2,0)-MATCH($I$1,[2]enemies!$2:$2,0)+1,FALSE)</f>
        <v>#N/A</v>
      </c>
      <c r="Y58" s="31">
        <v>23</v>
      </c>
      <c r="Z58" s="5" t="str">
        <f ca="1">IFERROR(VLOOKUP($Y58,OFFSET([3]characters!$A$1,0,0,COUNTA([3]characters!$A:$A),MATCH(Z$1,[3]characters!$2:$2,0)-MATCH("character_id",[3]characters!$2:$2,0)+1),MATCH(Z$1,[3]characters!$2:$2,0)-MATCH("character_id",[3]characters!$2:$2,0)+1,FALSE),"")</f>
        <v/>
      </c>
      <c r="AA58" s="5" t="str">
        <f ca="1">IFERROR(VLOOKUP($Y58,OFFSET([3]characters!$A$1,0,0,COUNTA([3]characters!$A:$A),MATCH(AA$1,[3]characters!$2:$2,0)-MATCH("character_id",[3]characters!$2:$2,0)+1),MATCH(AA$1,[3]characters!$2:$2,0)-MATCH("character_id",[3]characters!$2:$2,0)+1,FALSE),"")</f>
        <v/>
      </c>
      <c r="AB58" s="5" t="str">
        <f ca="1">IFERROR(VLOOKUP($Y58,OFFSET([3]characters!$A$1,0,0,COUNTA([3]characters!$A:$A),MATCH(AB$1,[3]characters!$2:$2,0)-MATCH("character_id",[3]characters!$2:$2,0)+1),MATCH(AB$1,[3]characters!$2:$2,0)-MATCH("character_id",[3]characters!$2:$2,0)+1,FALSE),"")</f>
        <v/>
      </c>
      <c r="AC58" s="8">
        <v>1</v>
      </c>
      <c r="AD58" s="8" t="str">
        <f t="shared" ref="AD58:AD59" ca="1" si="41">AA58</f>
        <v/>
      </c>
      <c r="AE58" s="9">
        <v>0</v>
      </c>
      <c r="AF58" s="38">
        <v>0</v>
      </c>
      <c r="AG58" s="38">
        <v>0</v>
      </c>
      <c r="AH58" s="38">
        <v>0</v>
      </c>
      <c r="AI58" s="38">
        <v>0</v>
      </c>
      <c r="AJ58" s="38">
        <v>1</v>
      </c>
    </row>
    <row r="59" spans="1:36" ht="21" customHeight="1" x14ac:dyDescent="0.15">
      <c r="A59" s="21" t="e">
        <f t="shared" ca="1" si="38"/>
        <v>#N/A</v>
      </c>
      <c r="B59" s="33">
        <v>3</v>
      </c>
      <c r="C59" s="32">
        <v>4</v>
      </c>
      <c r="D59" s="2" t="str">
        <f t="shared" si="39"/>
        <v>3_4</v>
      </c>
      <c r="E59" s="5" t="str">
        <f ca="1">VLOOKUP($B59,OFFSET([1]quests!$A$1,0,0,COUNTA([1]quests!$A:$A),MATCH(E$1,[1]quests!$1:$1,0)-MATCH($B$1,[1]quests!$1:$1,0)+1),MATCH(E$1,[1]quests!$1:$1,0)-MATCH($B$1,[1]quests!$1:$1,0)+1,FALSE)</f>
        <v>3．グリーンモール</v>
      </c>
      <c r="F59" s="5" t="str">
        <f ca="1">VLOOKUP($D59,OFFSET([1]stages!$A$1,0,0,COUNTA([1]stages!$A:$A),MATCH(F$1,[1]stages!$2:$2,0)-MATCH($D$1,[1]stages!$2:$2,0)+1),MATCH(F$1,[1]stages!$2:$2,0)-MATCH($D$1,[1]stages!$2:$2,0)+1,FALSE)</f>
        <v>3-4. 【1回のみ】ボーナスステージ</v>
      </c>
      <c r="G59" s="32">
        <v>1</v>
      </c>
      <c r="H59" s="20" t="str">
        <f t="shared" si="40"/>
        <v>3_4-1</v>
      </c>
      <c r="I59" s="31">
        <v>336</v>
      </c>
      <c r="J59" s="26" t="e">
        <f ca="1">VLOOKUP($I59,OFFSET([2]enemies!$A$1,0,0,COUNTA([2]enemies!$A:$A),MATCH(J$1,[2]enemies!$2:$2,0)-MATCH($I$1,[2]enemies!$2:$2,0)+1),MATCH(J$1,[2]enemies!$2:$2,0)-MATCH($I$1,[2]enemies!$2:$2,0)+1,FALSE)</f>
        <v>#N/A</v>
      </c>
      <c r="K59" s="29" t="e">
        <f ca="1">VLOOKUP($I59,OFFSET([2]enemies!$A$1,0,0,COUNTA([2]enemies!$A:$A),MATCH(K$1,[2]enemies!$2:$2,0)-MATCH($I$1,[2]enemies!$2:$2,0)+1),MATCH(K$1,[2]enemies!$2:$2,0)-MATCH($I$1,[2]enemies!$2:$2,0)+1,FALSE)</f>
        <v>#N/A</v>
      </c>
      <c r="L59" s="29" t="e">
        <f ca="1">VLOOKUP($I59,OFFSET([3]characters!$A$1,0,0,COUNTA([3]characters!$A:$A),MATCH(L$1,[3]characters!$2:$2,0)-MATCH($I$1,[3]characters!$2:$2,0)+1),MATCH(L$1,[3]characters!$2:$2,0)-MATCH($I$1,[3]characters!$2:$2,0)+1,FALSE)</f>
        <v>#N/A</v>
      </c>
      <c r="M59" s="28" t="e">
        <f ca="1">VLOOKUP($I59,OFFSET([3]characters!$A$1,0,0,COUNTA([3]characters!$A:$A),MATCH(M$1,[3]characters!$2:$2,0)-MATCH($I$1,[3]characters!$2:$2,0)+2),MATCH(M$1,[3]characters!$2:$2,0)-MATCH($I$1,[3]characters!$2:$2,0)+2,FALSE)</f>
        <v>#N/A</v>
      </c>
      <c r="N59" s="5" t="e">
        <f ca="1">VLOOKUP($I59,OFFSET([2]enemies!$A$1,0,0,COUNTA([2]enemies!$A:$A),MATCH(N$1,[2]enemies!$2:$2,0)-MATCH($I$1,[2]enemies!$2:$2,0)+1),MATCH(N$1,[2]enemies!$2:$2,0)-MATCH($I$1,[2]enemies!$2:$2,0)+1,FALSE)</f>
        <v>#N/A</v>
      </c>
      <c r="O59" s="6">
        <v>1</v>
      </c>
      <c r="P59" s="43">
        <v>1</v>
      </c>
      <c r="Q59" s="43">
        <v>1</v>
      </c>
      <c r="R59" s="6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59" s="5">
        <v>560001</v>
      </c>
      <c r="U59" s="7">
        <v>0</v>
      </c>
      <c r="V59" s="7">
        <v>100</v>
      </c>
      <c r="W59" s="7">
        <v>0</v>
      </c>
      <c r="X59" s="26" t="e">
        <f ca="1">VLOOKUP($I59,OFFSET([2]enemies!$A$1,0,0,COUNTA([2]enemies!$A:$A),MATCH(X$1,[2]enemies!$2:$2,0)-MATCH($I$1,[2]enemies!$2:$2,0)+1),MATCH(X$1,[2]enemies!$2:$2,0)-MATCH($I$1,[2]enemies!$2:$2,0)+1,FALSE)</f>
        <v>#N/A</v>
      </c>
      <c r="Y59" s="31">
        <v>336</v>
      </c>
      <c r="Z59" s="5" t="str">
        <f ca="1">IFERROR(VLOOKUP($Y59,OFFSET([3]characters!$A$1,0,0,COUNTA([3]characters!$A:$A),MATCH(Z$1,[3]characters!$2:$2,0)-MATCH("character_id",[3]characters!$2:$2,0)+1),MATCH(Z$1,[3]characters!$2:$2,0)-MATCH("character_id",[3]characters!$2:$2,0)+1,FALSE),"")</f>
        <v/>
      </c>
      <c r="AA59" s="5" t="str">
        <f ca="1">IFERROR(VLOOKUP($Y59,OFFSET([3]characters!$A$1,0,0,COUNTA([3]characters!$A:$A),MATCH(AA$1,[3]characters!$2:$2,0)-MATCH("character_id",[3]characters!$2:$2,0)+1),MATCH(AA$1,[3]characters!$2:$2,0)-MATCH("character_id",[3]characters!$2:$2,0)+1,FALSE),"")</f>
        <v/>
      </c>
      <c r="AB59" s="5" t="str">
        <f ca="1">IFERROR(VLOOKUP($Y59,OFFSET([3]characters!$A$1,0,0,COUNTA([3]characters!$A:$A),MATCH(AB$1,[3]characters!$2:$2,0)-MATCH("character_id",[3]characters!$2:$2,0)+1),MATCH(AB$1,[3]characters!$2:$2,0)-MATCH("character_id",[3]characters!$2:$2,0)+1,FALSE),"")</f>
        <v/>
      </c>
      <c r="AC59" s="8">
        <v>1</v>
      </c>
      <c r="AD59" s="8" t="str">
        <f t="shared" ca="1" si="41"/>
        <v/>
      </c>
      <c r="AE59" s="9">
        <v>100</v>
      </c>
      <c r="AF59" s="38">
        <v>0</v>
      </c>
      <c r="AG59" s="38">
        <v>0</v>
      </c>
      <c r="AH59" s="38">
        <v>0</v>
      </c>
      <c r="AI59" s="38">
        <v>0</v>
      </c>
      <c r="AJ59" s="38">
        <v>1</v>
      </c>
    </row>
    <row r="60" spans="1:36" ht="21" customHeight="1" x14ac:dyDescent="0.15">
      <c r="A60" s="21" t="e">
        <f ca="1">B60&amp;"_"&amp;C60&amp;"-"&amp;G60&amp;"/"&amp;I60&amp;"&lt;lv"&amp;O60&amp;"&gt;s"&amp;X60</f>
        <v>#N/A</v>
      </c>
      <c r="B60" s="33">
        <v>3</v>
      </c>
      <c r="C60" s="32">
        <v>4</v>
      </c>
      <c r="D60" s="2" t="str">
        <f>B60&amp;"_"&amp;C60</f>
        <v>3_4</v>
      </c>
      <c r="E60" s="5" t="str">
        <f ca="1">VLOOKUP($B60,OFFSET([1]quests!$A$1,0,0,COUNTA([1]quests!$A:$A),MATCH(E$1,[1]quests!$1:$1,0)-MATCH($B$1,[1]quests!$1:$1,0)+1),MATCH(E$1,[1]quests!$1:$1,0)-MATCH($B$1,[1]quests!$1:$1,0)+1,FALSE)</f>
        <v>3．グリーンモール</v>
      </c>
      <c r="F60" s="5" t="str">
        <f ca="1">VLOOKUP($D60,OFFSET([1]stages!$A$1,0,0,COUNTA([1]stages!$A:$A),MATCH(F$1,[1]stages!$2:$2,0)-MATCH($D$1,[1]stages!$2:$2,0)+1),MATCH(F$1,[1]stages!$2:$2,0)-MATCH($D$1,[1]stages!$2:$2,0)+1,FALSE)</f>
        <v>3-4. 【1回のみ】ボーナスステージ</v>
      </c>
      <c r="G60" s="32">
        <v>2</v>
      </c>
      <c r="H60" s="20" t="str">
        <f>B60&amp;"_"&amp;C60&amp;"-"&amp;G60</f>
        <v>3_4-2</v>
      </c>
      <c r="I60" s="31">
        <v>117</v>
      </c>
      <c r="J60" s="26" t="e">
        <f ca="1">VLOOKUP($I60,OFFSET([2]enemies!$A$1,0,0,COUNTA([2]enemies!$A:$A),MATCH(J$1,[2]enemies!$2:$2,0)-MATCH($I$1,[2]enemies!$2:$2,0)+1),MATCH(J$1,[2]enemies!$2:$2,0)-MATCH($I$1,[2]enemies!$2:$2,0)+1,FALSE)</f>
        <v>#N/A</v>
      </c>
      <c r="K60" s="29" t="e">
        <f ca="1">VLOOKUP($I60,OFFSET([2]enemies!$A$1,0,0,COUNTA([2]enemies!$A:$A),MATCH(K$1,[2]enemies!$2:$2,0)-MATCH($I$1,[2]enemies!$2:$2,0)+1),MATCH(K$1,[2]enemies!$2:$2,0)-MATCH($I$1,[2]enemies!$2:$2,0)+1,FALSE)</f>
        <v>#N/A</v>
      </c>
      <c r="L60" s="29" t="e">
        <f ca="1">VLOOKUP($I60,OFFSET([3]characters!$A$1,0,0,COUNTA([3]characters!$A:$A),MATCH(L$1,[3]characters!$2:$2,0)-MATCH($I$1,[3]characters!$2:$2,0)+1),MATCH(L$1,[3]characters!$2:$2,0)-MATCH($I$1,[3]characters!$2:$2,0)+1,FALSE)</f>
        <v>#N/A</v>
      </c>
      <c r="M60" s="28" t="e">
        <f ca="1">VLOOKUP($I60,OFFSET([3]characters!$A$1,0,0,COUNTA([3]characters!$A:$A),MATCH(M$1,[3]characters!$2:$2,0)-MATCH($I$1,[3]characters!$2:$2,0)+2),MATCH(M$1,[3]characters!$2:$2,0)-MATCH($I$1,[3]characters!$2:$2,0)+2,FALSE)</f>
        <v>#N/A</v>
      </c>
      <c r="N60" s="5" t="e">
        <f ca="1">VLOOKUP($I60,OFFSET([2]enemies!$A$1,0,0,COUNTA([2]enemies!$A:$A),MATCH(N$1,[2]enemies!$2:$2,0)-MATCH($I$1,[2]enemies!$2:$2,0)+1),MATCH(N$1,[2]enemies!$2:$2,0)-MATCH($I$1,[2]enemies!$2:$2,0)+1,FALSE)</f>
        <v>#N/A</v>
      </c>
      <c r="O60" s="6">
        <v>1</v>
      </c>
      <c r="P60" s="43">
        <v>1</v>
      </c>
      <c r="Q60" s="43">
        <v>1</v>
      </c>
      <c r="R60" s="6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5">
        <v>0</v>
      </c>
      <c r="U60" s="7">
        <v>0</v>
      </c>
      <c r="V60" s="7">
        <v>100</v>
      </c>
      <c r="W60" s="7">
        <v>0</v>
      </c>
      <c r="X60" s="26" t="e">
        <f ca="1">VLOOKUP($I60,OFFSET([2]enemies!$A$1,0,0,COUNTA([2]enemies!$A:$A),MATCH(X$1,[2]enemies!$2:$2,0)-MATCH($I$1,[2]enemies!$2:$2,0)+1),MATCH(X$1,[2]enemies!$2:$2,0)-MATCH($I$1,[2]enemies!$2:$2,0)+1,FALSE)</f>
        <v>#N/A</v>
      </c>
      <c r="Y60" s="31">
        <v>117</v>
      </c>
      <c r="Z60" s="5" t="str">
        <f ca="1">IFERROR(VLOOKUP($Y60,OFFSET([3]characters!$A$1,0,0,COUNTA([3]characters!$A:$A),MATCH(Z$1,[3]characters!$2:$2,0)-MATCH("character_id",[3]characters!$2:$2,0)+1),MATCH(Z$1,[3]characters!$2:$2,0)-MATCH("character_id",[3]characters!$2:$2,0)+1,FALSE),"")</f>
        <v/>
      </c>
      <c r="AA60" s="5" t="str">
        <f ca="1">IFERROR(VLOOKUP($Y60,OFFSET([3]characters!$A$1,0,0,COUNTA([3]characters!$A:$A),MATCH(AA$1,[3]characters!$2:$2,0)-MATCH("character_id",[3]characters!$2:$2,0)+1),MATCH(AA$1,[3]characters!$2:$2,0)-MATCH("character_id",[3]characters!$2:$2,0)+1,FALSE),"")</f>
        <v/>
      </c>
      <c r="AB60" s="5" t="str">
        <f ca="1">IFERROR(VLOOKUP($Y60,OFFSET([3]characters!$A$1,0,0,COUNTA([3]characters!$A:$A),MATCH(AB$1,[3]characters!$2:$2,0)-MATCH("character_id",[3]characters!$2:$2,0)+1),MATCH(AB$1,[3]characters!$2:$2,0)-MATCH("character_id",[3]characters!$2:$2,0)+1,FALSE),"")</f>
        <v/>
      </c>
      <c r="AC60" s="8">
        <v>1</v>
      </c>
      <c r="AD60" s="8" t="str">
        <f ca="1">AA60</f>
        <v/>
      </c>
      <c r="AE60" s="9">
        <v>100</v>
      </c>
      <c r="AF60" s="38">
        <v>0</v>
      </c>
      <c r="AG60" s="38">
        <v>0</v>
      </c>
      <c r="AH60" s="38">
        <v>0</v>
      </c>
      <c r="AI60" s="38">
        <v>0</v>
      </c>
      <c r="AJ60" s="38">
        <v>1</v>
      </c>
    </row>
    <row r="61" spans="1:36" ht="21" customHeight="1" x14ac:dyDescent="0.15">
      <c r="A61" s="21" t="e">
        <f t="shared" ref="A61:A65" ca="1" si="42">B61&amp;"_"&amp;C61&amp;"-"&amp;G61&amp;"/"&amp;I61&amp;"&lt;lv"&amp;O61&amp;"&gt;s"&amp;X61</f>
        <v>#N/A</v>
      </c>
      <c r="B61" s="33">
        <v>3</v>
      </c>
      <c r="C61" s="32">
        <v>4</v>
      </c>
      <c r="D61" s="2" t="str">
        <f t="shared" ref="D61:D65" si="43">B61&amp;"_"&amp;C61</f>
        <v>3_4</v>
      </c>
      <c r="E61" s="5" t="str">
        <f ca="1">VLOOKUP($B61,OFFSET([1]quests!$A$1,0,0,COUNTA([1]quests!$A:$A),MATCH(E$1,[1]quests!$1:$1,0)-MATCH($B$1,[1]quests!$1:$1,0)+1),MATCH(E$1,[1]quests!$1:$1,0)-MATCH($B$1,[1]quests!$1:$1,0)+1,FALSE)</f>
        <v>3．グリーンモール</v>
      </c>
      <c r="F61" s="5" t="str">
        <f ca="1">VLOOKUP($D61,OFFSET([1]stages!$A$1,0,0,COUNTA([1]stages!$A:$A),MATCH(F$1,[1]stages!$2:$2,0)-MATCH($D$1,[1]stages!$2:$2,0)+1),MATCH(F$1,[1]stages!$2:$2,0)-MATCH($D$1,[1]stages!$2:$2,0)+1,FALSE)</f>
        <v>3-4. 【1回のみ】ボーナスステージ</v>
      </c>
      <c r="G61" s="32">
        <v>3</v>
      </c>
      <c r="H61" s="20" t="str">
        <f t="shared" ref="H61:H65" si="44">B61&amp;"_"&amp;C61&amp;"-"&amp;G61</f>
        <v>3_4-3</v>
      </c>
      <c r="I61" s="31">
        <v>336</v>
      </c>
      <c r="J61" s="26" t="e">
        <f ca="1">VLOOKUP($I61,OFFSET([2]enemies!$A$1,0,0,COUNTA([2]enemies!$A:$A),MATCH(J$1,[2]enemies!$2:$2,0)-MATCH($I$1,[2]enemies!$2:$2,0)+1),MATCH(J$1,[2]enemies!$2:$2,0)-MATCH($I$1,[2]enemies!$2:$2,0)+1,FALSE)</f>
        <v>#N/A</v>
      </c>
      <c r="K61" s="29" t="e">
        <f ca="1">VLOOKUP($I61,OFFSET([2]enemies!$A$1,0,0,COUNTA([2]enemies!$A:$A),MATCH(K$1,[2]enemies!$2:$2,0)-MATCH($I$1,[2]enemies!$2:$2,0)+1),MATCH(K$1,[2]enemies!$2:$2,0)-MATCH($I$1,[2]enemies!$2:$2,0)+1,FALSE)</f>
        <v>#N/A</v>
      </c>
      <c r="L61" s="29" t="e">
        <f ca="1">VLOOKUP($I61,OFFSET([3]characters!$A$1,0,0,COUNTA([3]characters!$A:$A),MATCH(L$1,[3]characters!$2:$2,0)-MATCH($I$1,[3]characters!$2:$2,0)+1),MATCH(L$1,[3]characters!$2:$2,0)-MATCH($I$1,[3]characters!$2:$2,0)+1,FALSE)</f>
        <v>#N/A</v>
      </c>
      <c r="M61" s="28" t="e">
        <f ca="1">VLOOKUP($I61,OFFSET([3]characters!$A$1,0,0,COUNTA([3]characters!$A:$A),MATCH(M$1,[3]characters!$2:$2,0)-MATCH($I$1,[3]characters!$2:$2,0)+2),MATCH(M$1,[3]characters!$2:$2,0)-MATCH($I$1,[3]characters!$2:$2,0)+2,FALSE)</f>
        <v>#N/A</v>
      </c>
      <c r="N61" s="5" t="e">
        <f ca="1">VLOOKUP($I61,OFFSET([2]enemies!$A$1,0,0,COUNTA([2]enemies!$A:$A),MATCH(N$1,[2]enemies!$2:$2,0)-MATCH($I$1,[2]enemies!$2:$2,0)+1),MATCH(N$1,[2]enemies!$2:$2,0)-MATCH($I$1,[2]enemies!$2:$2,0)+1,FALSE)</f>
        <v>#N/A</v>
      </c>
      <c r="O61" s="6">
        <v>1</v>
      </c>
      <c r="P61" s="43">
        <v>1</v>
      </c>
      <c r="Q61" s="43">
        <v>1</v>
      </c>
      <c r="R61" s="6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5">
        <v>0</v>
      </c>
      <c r="U61" s="7">
        <v>0</v>
      </c>
      <c r="V61" s="7">
        <v>100</v>
      </c>
      <c r="W61" s="7">
        <v>0</v>
      </c>
      <c r="X61" s="26" t="e">
        <f ca="1">VLOOKUP($I61,OFFSET([2]enemies!$A$1,0,0,COUNTA([2]enemies!$A:$A),MATCH(X$1,[2]enemies!$2:$2,0)-MATCH($I$1,[2]enemies!$2:$2,0)+1),MATCH(X$1,[2]enemies!$2:$2,0)-MATCH($I$1,[2]enemies!$2:$2,0)+1,FALSE)</f>
        <v>#N/A</v>
      </c>
      <c r="Y61" s="31">
        <v>336</v>
      </c>
      <c r="Z61" s="5" t="str">
        <f ca="1">IFERROR(VLOOKUP($Y61,OFFSET([3]characters!$A$1,0,0,COUNTA([3]characters!$A:$A),MATCH(Z$1,[3]characters!$2:$2,0)-MATCH("character_id",[3]characters!$2:$2,0)+1),MATCH(Z$1,[3]characters!$2:$2,0)-MATCH("character_id",[3]characters!$2:$2,0)+1,FALSE),"")</f>
        <v/>
      </c>
      <c r="AA61" s="5" t="str">
        <f ca="1">IFERROR(VLOOKUP($Y61,OFFSET([3]characters!$A$1,0,0,COUNTA([3]characters!$A:$A),MATCH(AA$1,[3]characters!$2:$2,0)-MATCH("character_id",[3]characters!$2:$2,0)+1),MATCH(AA$1,[3]characters!$2:$2,0)-MATCH("character_id",[3]characters!$2:$2,0)+1,FALSE),"")</f>
        <v/>
      </c>
      <c r="AB61" s="5" t="str">
        <f ca="1">IFERROR(VLOOKUP($Y61,OFFSET([3]characters!$A$1,0,0,COUNTA([3]characters!$A:$A),MATCH(AB$1,[3]characters!$2:$2,0)-MATCH("character_id",[3]characters!$2:$2,0)+1),MATCH(AB$1,[3]characters!$2:$2,0)-MATCH("character_id",[3]characters!$2:$2,0)+1,FALSE),"")</f>
        <v/>
      </c>
      <c r="AC61" s="8">
        <v>1</v>
      </c>
      <c r="AD61" s="8" t="str">
        <f t="shared" ref="AD61:AD65" ca="1" si="45">AA61</f>
        <v/>
      </c>
      <c r="AE61" s="9">
        <v>100</v>
      </c>
      <c r="AF61" s="38">
        <v>0</v>
      </c>
      <c r="AG61" s="38">
        <v>0</v>
      </c>
      <c r="AH61" s="38">
        <v>0</v>
      </c>
      <c r="AI61" s="38">
        <v>0</v>
      </c>
      <c r="AJ61" s="38">
        <v>1</v>
      </c>
    </row>
    <row r="62" spans="1:36" ht="21" customHeight="1" x14ac:dyDescent="0.15">
      <c r="A62" s="21" t="e">
        <f t="shared" ca="1" si="42"/>
        <v>#N/A</v>
      </c>
      <c r="B62" s="33">
        <v>3</v>
      </c>
      <c r="C62" s="32">
        <v>4</v>
      </c>
      <c r="D62" s="2" t="str">
        <f t="shared" si="43"/>
        <v>3_4</v>
      </c>
      <c r="E62" s="5" t="str">
        <f ca="1">VLOOKUP($B62,OFFSET([1]quests!$A$1,0,0,COUNTA([1]quests!$A:$A),MATCH(E$1,[1]quests!$1:$1,0)-MATCH($B$1,[1]quests!$1:$1,0)+1),MATCH(E$1,[1]quests!$1:$1,0)-MATCH($B$1,[1]quests!$1:$1,0)+1,FALSE)</f>
        <v>3．グリーンモール</v>
      </c>
      <c r="F62" s="5" t="str">
        <f ca="1">VLOOKUP($D62,OFFSET([1]stages!$A$1,0,0,COUNTA([1]stages!$A:$A),MATCH(F$1,[1]stages!$2:$2,0)-MATCH($D$1,[1]stages!$2:$2,0)+1),MATCH(F$1,[1]stages!$2:$2,0)-MATCH($D$1,[1]stages!$2:$2,0)+1,FALSE)</f>
        <v>3-4. 【1回のみ】ボーナスステージ</v>
      </c>
      <c r="G62" s="32">
        <v>4</v>
      </c>
      <c r="H62" s="20" t="str">
        <f t="shared" si="44"/>
        <v>3_4-4</v>
      </c>
      <c r="I62" s="31">
        <v>117</v>
      </c>
      <c r="J62" s="26" t="e">
        <f ca="1">VLOOKUP($I62,OFFSET([2]enemies!$A$1,0,0,COUNTA([2]enemies!$A:$A),MATCH(J$1,[2]enemies!$2:$2,0)-MATCH($I$1,[2]enemies!$2:$2,0)+1),MATCH(J$1,[2]enemies!$2:$2,0)-MATCH($I$1,[2]enemies!$2:$2,0)+1,FALSE)</f>
        <v>#N/A</v>
      </c>
      <c r="K62" s="29" t="e">
        <f ca="1">VLOOKUP($I62,OFFSET([2]enemies!$A$1,0,0,COUNTA([2]enemies!$A:$A),MATCH(K$1,[2]enemies!$2:$2,0)-MATCH($I$1,[2]enemies!$2:$2,0)+1),MATCH(K$1,[2]enemies!$2:$2,0)-MATCH($I$1,[2]enemies!$2:$2,0)+1,FALSE)</f>
        <v>#N/A</v>
      </c>
      <c r="L62" s="29" t="e">
        <f ca="1">VLOOKUP($I62,OFFSET([3]characters!$A$1,0,0,COUNTA([3]characters!$A:$A),MATCH(L$1,[3]characters!$2:$2,0)-MATCH($I$1,[3]characters!$2:$2,0)+1),MATCH(L$1,[3]characters!$2:$2,0)-MATCH($I$1,[3]characters!$2:$2,0)+1,FALSE)</f>
        <v>#N/A</v>
      </c>
      <c r="M62" s="28" t="e">
        <f ca="1">VLOOKUP($I62,OFFSET([3]characters!$A$1,0,0,COUNTA([3]characters!$A:$A),MATCH(M$1,[3]characters!$2:$2,0)-MATCH($I$1,[3]characters!$2:$2,0)+2),MATCH(M$1,[3]characters!$2:$2,0)-MATCH($I$1,[3]characters!$2:$2,0)+2,FALSE)</f>
        <v>#N/A</v>
      </c>
      <c r="N62" s="5" t="e">
        <f ca="1">VLOOKUP($I62,OFFSET([2]enemies!$A$1,0,0,COUNTA([2]enemies!$A:$A),MATCH(N$1,[2]enemies!$2:$2,0)-MATCH($I$1,[2]enemies!$2:$2,0)+1),MATCH(N$1,[2]enemies!$2:$2,0)-MATCH($I$1,[2]enemies!$2:$2,0)+1,FALSE)</f>
        <v>#N/A</v>
      </c>
      <c r="O62" s="6">
        <v>1</v>
      </c>
      <c r="P62" s="43">
        <v>1</v>
      </c>
      <c r="Q62" s="43">
        <v>1</v>
      </c>
      <c r="R62" s="6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5">
        <v>0</v>
      </c>
      <c r="U62" s="7">
        <v>2</v>
      </c>
      <c r="V62" s="7">
        <v>100</v>
      </c>
      <c r="W62" s="7">
        <v>0</v>
      </c>
      <c r="X62" s="26" t="e">
        <f ca="1">VLOOKUP($I62,OFFSET([2]enemies!$A$1,0,0,COUNTA([2]enemies!$A:$A),MATCH(X$1,[2]enemies!$2:$2,0)-MATCH($I$1,[2]enemies!$2:$2,0)+1),MATCH(X$1,[2]enemies!$2:$2,0)-MATCH($I$1,[2]enemies!$2:$2,0)+1,FALSE)</f>
        <v>#N/A</v>
      </c>
      <c r="Y62" s="31">
        <v>117</v>
      </c>
      <c r="Z62" s="5" t="str">
        <f ca="1">IFERROR(VLOOKUP($Y62,OFFSET([3]characters!$A$1,0,0,COUNTA([3]characters!$A:$A),MATCH(Z$1,[3]characters!$2:$2,0)-MATCH("character_id",[3]characters!$2:$2,0)+1),MATCH(Z$1,[3]characters!$2:$2,0)-MATCH("character_id",[3]characters!$2:$2,0)+1,FALSE),"")</f>
        <v/>
      </c>
      <c r="AA62" s="5" t="str">
        <f ca="1">IFERROR(VLOOKUP($Y62,OFFSET([3]characters!$A$1,0,0,COUNTA([3]characters!$A:$A),MATCH(AA$1,[3]characters!$2:$2,0)-MATCH("character_id",[3]characters!$2:$2,0)+1),MATCH(AA$1,[3]characters!$2:$2,0)-MATCH("character_id",[3]characters!$2:$2,0)+1,FALSE),"")</f>
        <v/>
      </c>
      <c r="AB62" s="5" t="str">
        <f ca="1">IFERROR(VLOOKUP($Y62,OFFSET([3]characters!$A$1,0,0,COUNTA([3]characters!$A:$A),MATCH(AB$1,[3]characters!$2:$2,0)-MATCH("character_id",[3]characters!$2:$2,0)+1),MATCH(AB$1,[3]characters!$2:$2,0)-MATCH("character_id",[3]characters!$2:$2,0)+1,FALSE),"")</f>
        <v/>
      </c>
      <c r="AC62" s="8">
        <v>1</v>
      </c>
      <c r="AD62" s="8" t="str">
        <f t="shared" ca="1" si="45"/>
        <v/>
      </c>
      <c r="AE62" s="9">
        <v>0</v>
      </c>
      <c r="AF62" s="38">
        <v>0</v>
      </c>
      <c r="AG62" s="38">
        <v>0</v>
      </c>
      <c r="AH62" s="38">
        <v>0</v>
      </c>
      <c r="AI62" s="38">
        <v>0</v>
      </c>
      <c r="AJ62" s="38">
        <v>1</v>
      </c>
    </row>
    <row r="63" spans="1:36" ht="21" customHeight="1" x14ac:dyDescent="0.15">
      <c r="A63" s="21" t="e">
        <f t="shared" ca="1" si="42"/>
        <v>#N/A</v>
      </c>
      <c r="B63" s="33">
        <v>3</v>
      </c>
      <c r="C63" s="32">
        <v>4</v>
      </c>
      <c r="D63" s="2" t="str">
        <f t="shared" si="43"/>
        <v>3_4</v>
      </c>
      <c r="E63" s="5" t="str">
        <f ca="1">VLOOKUP($B63,OFFSET([1]quests!$A$1,0,0,COUNTA([1]quests!$A:$A),MATCH(E$1,[1]quests!$1:$1,0)-MATCH($B$1,[1]quests!$1:$1,0)+1),MATCH(E$1,[1]quests!$1:$1,0)-MATCH($B$1,[1]quests!$1:$1,0)+1,FALSE)</f>
        <v>3．グリーンモール</v>
      </c>
      <c r="F63" s="5" t="str">
        <f ca="1">VLOOKUP($D63,OFFSET([1]stages!$A$1,0,0,COUNTA([1]stages!$A:$A),MATCH(F$1,[1]stages!$2:$2,0)-MATCH($D$1,[1]stages!$2:$2,0)+1),MATCH(F$1,[1]stages!$2:$2,0)-MATCH($D$1,[1]stages!$2:$2,0)+1,FALSE)</f>
        <v>3-4. 【1回のみ】ボーナスステージ</v>
      </c>
      <c r="G63" s="32">
        <v>4</v>
      </c>
      <c r="H63" s="20" t="str">
        <f t="shared" si="44"/>
        <v>3_4-4</v>
      </c>
      <c r="I63" s="31">
        <v>118</v>
      </c>
      <c r="J63" s="26" t="e">
        <f ca="1">VLOOKUP($I63,OFFSET([2]enemies!$A$1,0,0,COUNTA([2]enemies!$A:$A),MATCH(J$1,[2]enemies!$2:$2,0)-MATCH($I$1,[2]enemies!$2:$2,0)+1),MATCH(J$1,[2]enemies!$2:$2,0)-MATCH($I$1,[2]enemies!$2:$2,0)+1,FALSE)</f>
        <v>#N/A</v>
      </c>
      <c r="K63" s="29" t="e">
        <f ca="1">VLOOKUP($I63,OFFSET([2]enemies!$A$1,0,0,COUNTA([2]enemies!$A:$A),MATCH(K$1,[2]enemies!$2:$2,0)-MATCH($I$1,[2]enemies!$2:$2,0)+1),MATCH(K$1,[2]enemies!$2:$2,0)-MATCH($I$1,[2]enemies!$2:$2,0)+1,FALSE)</f>
        <v>#N/A</v>
      </c>
      <c r="L63" s="29" t="e">
        <f ca="1">VLOOKUP($I63,OFFSET([3]characters!$A$1,0,0,COUNTA([3]characters!$A:$A),MATCH(L$1,[3]characters!$2:$2,0)-MATCH($I$1,[3]characters!$2:$2,0)+1),MATCH(L$1,[3]characters!$2:$2,0)-MATCH($I$1,[3]characters!$2:$2,0)+1,FALSE)</f>
        <v>#N/A</v>
      </c>
      <c r="M63" s="28" t="e">
        <f ca="1">VLOOKUP($I63,OFFSET([3]characters!$A$1,0,0,COUNTA([3]characters!$A:$A),MATCH(M$1,[3]characters!$2:$2,0)-MATCH($I$1,[3]characters!$2:$2,0)+2),MATCH(M$1,[3]characters!$2:$2,0)-MATCH($I$1,[3]characters!$2:$2,0)+2,FALSE)</f>
        <v>#N/A</v>
      </c>
      <c r="N63" s="5" t="e">
        <f ca="1">VLOOKUP($I63,OFFSET([2]enemies!$A$1,0,0,COUNTA([2]enemies!$A:$A),MATCH(N$1,[2]enemies!$2:$2,0)-MATCH($I$1,[2]enemies!$2:$2,0)+1),MATCH(N$1,[2]enemies!$2:$2,0)-MATCH($I$1,[2]enemies!$2:$2,0)+1,FALSE)</f>
        <v>#N/A</v>
      </c>
      <c r="O63" s="6">
        <v>1</v>
      </c>
      <c r="P63" s="43">
        <v>1</v>
      </c>
      <c r="Q63" s="43">
        <v>1</v>
      </c>
      <c r="R63" s="6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5">
        <v>0</v>
      </c>
      <c r="U63" s="7">
        <v>1</v>
      </c>
      <c r="V63" s="7">
        <v>100</v>
      </c>
      <c r="W63" s="7">
        <v>1</v>
      </c>
      <c r="X63" s="26" t="e">
        <f ca="1">VLOOKUP($I63,OFFSET([2]enemies!$A$1,0,0,COUNTA([2]enemies!$A:$A),MATCH(X$1,[2]enemies!$2:$2,0)-MATCH($I$1,[2]enemies!$2:$2,0)+1),MATCH(X$1,[2]enemies!$2:$2,0)-MATCH($I$1,[2]enemies!$2:$2,0)+1,FALSE)</f>
        <v>#N/A</v>
      </c>
      <c r="Y63" s="31">
        <v>118</v>
      </c>
      <c r="Z63" s="5" t="str">
        <f ca="1">IFERROR(VLOOKUP($Y63,OFFSET([3]characters!$A$1,0,0,COUNTA([3]characters!$A:$A),MATCH(Z$1,[3]characters!$2:$2,0)-MATCH("character_id",[3]characters!$2:$2,0)+1),MATCH(Z$1,[3]characters!$2:$2,0)-MATCH("character_id",[3]characters!$2:$2,0)+1,FALSE),"")</f>
        <v/>
      </c>
      <c r="AA63" s="5" t="str">
        <f ca="1">IFERROR(VLOOKUP($Y63,OFFSET([3]characters!$A$1,0,0,COUNTA([3]characters!$A:$A),MATCH(AA$1,[3]characters!$2:$2,0)-MATCH("character_id",[3]characters!$2:$2,0)+1),MATCH(AA$1,[3]characters!$2:$2,0)-MATCH("character_id",[3]characters!$2:$2,0)+1,FALSE),"")</f>
        <v/>
      </c>
      <c r="AB63" s="5" t="str">
        <f ca="1">IFERROR(VLOOKUP($Y63,OFFSET([3]characters!$A$1,0,0,COUNTA([3]characters!$A:$A),MATCH(AB$1,[3]characters!$2:$2,0)-MATCH("character_id",[3]characters!$2:$2,0)+1),MATCH(AB$1,[3]characters!$2:$2,0)-MATCH("character_id",[3]characters!$2:$2,0)+1,FALSE),"")</f>
        <v/>
      </c>
      <c r="AC63" s="8">
        <v>1</v>
      </c>
      <c r="AD63" s="8" t="str">
        <f t="shared" ca="1" si="45"/>
        <v/>
      </c>
      <c r="AE63" s="9">
        <v>100</v>
      </c>
      <c r="AF63" s="38">
        <v>0</v>
      </c>
      <c r="AG63" s="38">
        <v>0</v>
      </c>
      <c r="AH63" s="38">
        <v>0</v>
      </c>
      <c r="AI63" s="38">
        <v>0</v>
      </c>
      <c r="AJ63" s="38">
        <v>1</v>
      </c>
    </row>
    <row r="64" spans="1:36" ht="21" customHeight="1" x14ac:dyDescent="0.15">
      <c r="A64" s="21" t="e">
        <f t="shared" ca="1" si="42"/>
        <v>#N/A</v>
      </c>
      <c r="B64" s="33">
        <v>3</v>
      </c>
      <c r="C64" s="32">
        <v>4</v>
      </c>
      <c r="D64" s="2" t="str">
        <f t="shared" si="43"/>
        <v>3_4</v>
      </c>
      <c r="E64" s="5" t="str">
        <f ca="1">VLOOKUP($B64,OFFSET([1]quests!$A$1,0,0,COUNTA([1]quests!$A:$A),MATCH(E$1,[1]quests!$1:$1,0)-MATCH($B$1,[1]quests!$1:$1,0)+1),MATCH(E$1,[1]quests!$1:$1,0)-MATCH($B$1,[1]quests!$1:$1,0)+1,FALSE)</f>
        <v>3．グリーンモール</v>
      </c>
      <c r="F64" s="5" t="str">
        <f ca="1">VLOOKUP($D64,OFFSET([1]stages!$A$1,0,0,COUNTA([1]stages!$A:$A),MATCH(F$1,[1]stages!$2:$2,0)-MATCH($D$1,[1]stages!$2:$2,0)+1),MATCH(F$1,[1]stages!$2:$2,0)-MATCH($D$1,[1]stages!$2:$2,0)+1,FALSE)</f>
        <v>3-4. 【1回のみ】ボーナスステージ</v>
      </c>
      <c r="G64" s="32">
        <v>5</v>
      </c>
      <c r="H64" s="20" t="str">
        <f t="shared" si="44"/>
        <v>3_4-5</v>
      </c>
      <c r="I64" s="31">
        <v>336</v>
      </c>
      <c r="J64" s="26" t="e">
        <f ca="1">VLOOKUP($I64,OFFSET([2]enemies!$A$1,0,0,COUNTA([2]enemies!$A:$A),MATCH(J$1,[2]enemies!$2:$2,0)-MATCH($I$1,[2]enemies!$2:$2,0)+1),MATCH(J$1,[2]enemies!$2:$2,0)-MATCH($I$1,[2]enemies!$2:$2,0)+1,FALSE)</f>
        <v>#N/A</v>
      </c>
      <c r="K64" s="29" t="e">
        <f ca="1">VLOOKUP($I64,OFFSET([2]enemies!$A$1,0,0,COUNTA([2]enemies!$A:$A),MATCH(K$1,[2]enemies!$2:$2,0)-MATCH($I$1,[2]enemies!$2:$2,0)+1),MATCH(K$1,[2]enemies!$2:$2,0)-MATCH($I$1,[2]enemies!$2:$2,0)+1,FALSE)</f>
        <v>#N/A</v>
      </c>
      <c r="L64" s="29" t="e">
        <f ca="1">VLOOKUP($I64,OFFSET([3]characters!$A$1,0,0,COUNTA([3]characters!$A:$A),MATCH(L$1,[3]characters!$2:$2,0)-MATCH($I$1,[3]characters!$2:$2,0)+1),MATCH(L$1,[3]characters!$2:$2,0)-MATCH($I$1,[3]characters!$2:$2,0)+1,FALSE)</f>
        <v>#N/A</v>
      </c>
      <c r="M64" s="28" t="e">
        <f ca="1">VLOOKUP($I64,OFFSET([3]characters!$A$1,0,0,COUNTA([3]characters!$A:$A),MATCH(M$1,[3]characters!$2:$2,0)-MATCH($I$1,[3]characters!$2:$2,0)+2),MATCH(M$1,[3]characters!$2:$2,0)-MATCH($I$1,[3]characters!$2:$2,0)+2,FALSE)</f>
        <v>#N/A</v>
      </c>
      <c r="N64" s="5" t="e">
        <f ca="1">VLOOKUP($I64,OFFSET([2]enemies!$A$1,0,0,COUNTA([2]enemies!$A:$A),MATCH(N$1,[2]enemies!$2:$2,0)-MATCH($I$1,[2]enemies!$2:$2,0)+1),MATCH(N$1,[2]enemies!$2:$2,0)-MATCH($I$1,[2]enemies!$2:$2,0)+1,FALSE)</f>
        <v>#N/A</v>
      </c>
      <c r="O64" s="6">
        <v>1</v>
      </c>
      <c r="P64" s="43">
        <v>1</v>
      </c>
      <c r="Q64" s="43">
        <v>1</v>
      </c>
      <c r="R64" s="6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" s="5">
        <v>0</v>
      </c>
      <c r="U64" s="7">
        <v>2</v>
      </c>
      <c r="V64" s="7">
        <v>100</v>
      </c>
      <c r="W64" s="7">
        <v>0</v>
      </c>
      <c r="X64" s="26" t="e">
        <f ca="1">VLOOKUP($I64,OFFSET([2]enemies!$A$1,0,0,COUNTA([2]enemies!$A:$A),MATCH(X$1,[2]enemies!$2:$2,0)-MATCH($I$1,[2]enemies!$2:$2,0)+1),MATCH(X$1,[2]enemies!$2:$2,0)-MATCH($I$1,[2]enemies!$2:$2,0)+1,FALSE)</f>
        <v>#N/A</v>
      </c>
      <c r="Y64" s="31">
        <v>336</v>
      </c>
      <c r="Z64" s="5" t="str">
        <f ca="1">IFERROR(VLOOKUP($Y64,OFFSET([3]characters!$A$1,0,0,COUNTA([3]characters!$A:$A),MATCH(Z$1,[3]characters!$2:$2,0)-MATCH("character_id",[3]characters!$2:$2,0)+1),MATCH(Z$1,[3]characters!$2:$2,0)-MATCH("character_id",[3]characters!$2:$2,0)+1,FALSE),"")</f>
        <v/>
      </c>
      <c r="AA64" s="5" t="str">
        <f ca="1">IFERROR(VLOOKUP($Y64,OFFSET([3]characters!$A$1,0,0,COUNTA([3]characters!$A:$A),MATCH(AA$1,[3]characters!$2:$2,0)-MATCH("character_id",[3]characters!$2:$2,0)+1),MATCH(AA$1,[3]characters!$2:$2,0)-MATCH("character_id",[3]characters!$2:$2,0)+1,FALSE),"")</f>
        <v/>
      </c>
      <c r="AB64" s="5" t="str">
        <f ca="1">IFERROR(VLOOKUP($Y64,OFFSET([3]characters!$A$1,0,0,COUNTA([3]characters!$A:$A),MATCH(AB$1,[3]characters!$2:$2,0)-MATCH("character_id",[3]characters!$2:$2,0)+1),MATCH(AB$1,[3]characters!$2:$2,0)-MATCH("character_id",[3]characters!$2:$2,0)+1,FALSE),"")</f>
        <v/>
      </c>
      <c r="AC64" s="8">
        <v>1</v>
      </c>
      <c r="AD64" s="8" t="str">
        <f t="shared" ca="1" si="45"/>
        <v/>
      </c>
      <c r="AE64" s="9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1</v>
      </c>
    </row>
    <row r="65" spans="1:36" ht="21" customHeight="1" x14ac:dyDescent="0.15">
      <c r="A65" s="21" t="e">
        <f t="shared" ca="1" si="42"/>
        <v>#N/A</v>
      </c>
      <c r="B65" s="33">
        <v>3</v>
      </c>
      <c r="C65" s="32">
        <v>4</v>
      </c>
      <c r="D65" s="2" t="str">
        <f t="shared" si="43"/>
        <v>3_4</v>
      </c>
      <c r="E65" s="5" t="str">
        <f ca="1">VLOOKUP($B65,OFFSET([1]quests!$A$1,0,0,COUNTA([1]quests!$A:$A),MATCH(E$1,[1]quests!$1:$1,0)-MATCH($B$1,[1]quests!$1:$1,0)+1),MATCH(E$1,[1]quests!$1:$1,0)-MATCH($B$1,[1]quests!$1:$1,0)+1,FALSE)</f>
        <v>3．グリーンモール</v>
      </c>
      <c r="F65" s="5" t="str">
        <f ca="1">VLOOKUP($D65,OFFSET([1]stages!$A$1,0,0,COUNTA([1]stages!$A:$A),MATCH(F$1,[1]stages!$2:$2,0)-MATCH($D$1,[1]stages!$2:$2,0)+1),MATCH(F$1,[1]stages!$2:$2,0)-MATCH($D$1,[1]stages!$2:$2,0)+1,FALSE)</f>
        <v>3-4. 【1回のみ】ボーナスステージ</v>
      </c>
      <c r="G65" s="32">
        <v>5</v>
      </c>
      <c r="H65" s="20" t="str">
        <f t="shared" si="44"/>
        <v>3_4-5</v>
      </c>
      <c r="I65" s="31">
        <v>337</v>
      </c>
      <c r="J65" s="26" t="e">
        <f ca="1">VLOOKUP($I65,OFFSET([2]enemies!$A$1,0,0,COUNTA([2]enemies!$A:$A),MATCH(J$1,[2]enemies!$2:$2,0)-MATCH($I$1,[2]enemies!$2:$2,0)+1),MATCH(J$1,[2]enemies!$2:$2,0)-MATCH($I$1,[2]enemies!$2:$2,0)+1,FALSE)</f>
        <v>#N/A</v>
      </c>
      <c r="K65" s="29" t="e">
        <f ca="1">VLOOKUP($I65,OFFSET([2]enemies!$A$1,0,0,COUNTA([2]enemies!$A:$A),MATCH(K$1,[2]enemies!$2:$2,0)-MATCH($I$1,[2]enemies!$2:$2,0)+1),MATCH(K$1,[2]enemies!$2:$2,0)-MATCH($I$1,[2]enemies!$2:$2,0)+1,FALSE)</f>
        <v>#N/A</v>
      </c>
      <c r="L65" s="29" t="e">
        <f ca="1">VLOOKUP($I65,OFFSET([3]characters!$A$1,0,0,COUNTA([3]characters!$A:$A),MATCH(L$1,[3]characters!$2:$2,0)-MATCH($I$1,[3]characters!$2:$2,0)+1),MATCH(L$1,[3]characters!$2:$2,0)-MATCH($I$1,[3]characters!$2:$2,0)+1,FALSE)</f>
        <v>#N/A</v>
      </c>
      <c r="M65" s="28" t="e">
        <f ca="1">VLOOKUP($I65,OFFSET([3]characters!$A$1,0,0,COUNTA([3]characters!$A:$A),MATCH(M$1,[3]characters!$2:$2,0)-MATCH($I$1,[3]characters!$2:$2,0)+2),MATCH(M$1,[3]characters!$2:$2,0)-MATCH($I$1,[3]characters!$2:$2,0)+2,FALSE)</f>
        <v>#N/A</v>
      </c>
      <c r="N65" s="5" t="e">
        <f ca="1">VLOOKUP($I65,OFFSET([2]enemies!$A$1,0,0,COUNTA([2]enemies!$A:$A),MATCH(N$1,[2]enemies!$2:$2,0)-MATCH($I$1,[2]enemies!$2:$2,0)+1),MATCH(N$1,[2]enemies!$2:$2,0)-MATCH($I$1,[2]enemies!$2:$2,0)+1,FALSE)</f>
        <v>#N/A</v>
      </c>
      <c r="O65" s="6">
        <v>1</v>
      </c>
      <c r="P65" s="43">
        <v>1</v>
      </c>
      <c r="Q65" s="43">
        <v>1</v>
      </c>
      <c r="R65" s="6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" s="5">
        <v>0</v>
      </c>
      <c r="U65" s="7">
        <v>1</v>
      </c>
      <c r="V65" s="7">
        <v>100</v>
      </c>
      <c r="W65" s="7">
        <v>1</v>
      </c>
      <c r="X65" s="26" t="e">
        <f ca="1">VLOOKUP($I65,OFFSET([2]enemies!$A$1,0,0,COUNTA([2]enemies!$A:$A),MATCH(X$1,[2]enemies!$2:$2,0)-MATCH($I$1,[2]enemies!$2:$2,0)+1),MATCH(X$1,[2]enemies!$2:$2,0)-MATCH($I$1,[2]enemies!$2:$2,0)+1,FALSE)</f>
        <v>#N/A</v>
      </c>
      <c r="Y65" s="31">
        <v>337</v>
      </c>
      <c r="Z65" s="5" t="str">
        <f ca="1">IFERROR(VLOOKUP($Y65,OFFSET([3]characters!$A$1,0,0,COUNTA([3]characters!$A:$A),MATCH(Z$1,[3]characters!$2:$2,0)-MATCH("character_id",[3]characters!$2:$2,0)+1),MATCH(Z$1,[3]characters!$2:$2,0)-MATCH("character_id",[3]characters!$2:$2,0)+1,FALSE),"")</f>
        <v/>
      </c>
      <c r="AA65" s="5" t="str">
        <f ca="1">IFERROR(VLOOKUP($Y65,OFFSET([3]characters!$A$1,0,0,COUNTA([3]characters!$A:$A),MATCH(AA$1,[3]characters!$2:$2,0)-MATCH("character_id",[3]characters!$2:$2,0)+1),MATCH(AA$1,[3]characters!$2:$2,0)-MATCH("character_id",[3]characters!$2:$2,0)+1,FALSE),"")</f>
        <v/>
      </c>
      <c r="AB65" s="5" t="str">
        <f ca="1">IFERROR(VLOOKUP($Y65,OFFSET([3]characters!$A$1,0,0,COUNTA([3]characters!$A:$A),MATCH(AB$1,[3]characters!$2:$2,0)-MATCH("character_id",[3]characters!$2:$2,0)+1),MATCH(AB$1,[3]characters!$2:$2,0)-MATCH("character_id",[3]characters!$2:$2,0)+1,FALSE),"")</f>
        <v/>
      </c>
      <c r="AC65" s="8">
        <v>1</v>
      </c>
      <c r="AD65" s="8" t="str">
        <f t="shared" ca="1" si="45"/>
        <v/>
      </c>
      <c r="AE65" s="9">
        <v>100</v>
      </c>
      <c r="AF65" s="38">
        <v>0</v>
      </c>
      <c r="AG65" s="38">
        <v>0</v>
      </c>
      <c r="AH65" s="38">
        <v>0</v>
      </c>
      <c r="AI65" s="38">
        <v>0</v>
      </c>
      <c r="AJ65" s="38">
        <v>1</v>
      </c>
    </row>
    <row r="66" spans="1:36" ht="21" customHeight="1" x14ac:dyDescent="0.15">
      <c r="A66" s="21" t="e">
        <f t="shared" ca="1" si="2"/>
        <v>#N/A</v>
      </c>
      <c r="B66" s="33">
        <v>4</v>
      </c>
      <c r="C66" s="32">
        <v>1</v>
      </c>
      <c r="D66" s="2" t="str">
        <f t="shared" si="24"/>
        <v>4_1</v>
      </c>
      <c r="E66" s="5" t="str">
        <f ca="1">VLOOKUP($B66,OFFSET([1]quests!$A$1,0,0,COUNTA([1]quests!$A:$A),MATCH(E$1,[1]quests!$1:$1,0)-MATCH($B$1,[1]quests!$1:$1,0)+1),MATCH(E$1,[1]quests!$1:$1,0)-MATCH($B$1,[1]quests!$1:$1,0)+1,FALSE)</f>
        <v>4．イエロープラント</v>
      </c>
      <c r="F66" s="5" t="str">
        <f ca="1">VLOOKUP($D66,OFFSET([1]stages!$A$1,0,0,COUNTA([1]stages!$A:$A),MATCH(F$1,[1]stages!$2:$2,0)-MATCH($D$1,[1]stages!$2:$2,0)+1),MATCH(F$1,[1]stages!$2:$2,0)-MATCH($D$1,[1]stages!$2:$2,0)+1,FALSE)</f>
        <v>4-1. 花弁にひそむ妖精</v>
      </c>
      <c r="G66" s="32">
        <v>1</v>
      </c>
      <c r="H66" s="20" t="str">
        <f t="shared" si="25"/>
        <v>4_1-1</v>
      </c>
      <c r="I66" s="31">
        <v>7</v>
      </c>
      <c r="J66" s="26" t="e">
        <f ca="1">VLOOKUP($I66,OFFSET([2]enemies!$A$1,0,0,COUNTA([2]enemies!$A:$A),MATCH(J$1,[2]enemies!$2:$2,0)-MATCH($I$1,[2]enemies!$2:$2,0)+1),MATCH(J$1,[2]enemies!$2:$2,0)-MATCH($I$1,[2]enemies!$2:$2,0)+1,FALSE)</f>
        <v>#N/A</v>
      </c>
      <c r="K66" s="29" t="e">
        <f ca="1">VLOOKUP($I66,OFFSET([2]enemies!$A$1,0,0,COUNTA([2]enemies!$A:$A),MATCH(K$1,[2]enemies!$2:$2,0)-MATCH($I$1,[2]enemies!$2:$2,0)+1),MATCH(K$1,[2]enemies!$2:$2,0)-MATCH($I$1,[2]enemies!$2:$2,0)+1,FALSE)</f>
        <v>#N/A</v>
      </c>
      <c r="L66" s="29" t="e">
        <f ca="1">VLOOKUP($I66,OFFSET([3]characters!$A$1,0,0,COUNTA([3]characters!$A:$A),MATCH(L$1,[3]characters!$2:$2,0)-MATCH($I$1,[3]characters!$2:$2,0)+1),MATCH(L$1,[3]characters!$2:$2,0)-MATCH($I$1,[3]characters!$2:$2,0)+1,FALSE)</f>
        <v>#N/A</v>
      </c>
      <c r="M66" s="28" t="e">
        <f ca="1">VLOOKUP($I66,OFFSET([3]characters!$A$1,0,0,COUNTA([3]characters!$A:$A),MATCH(M$1,[3]characters!$2:$2,0)-MATCH($I$1,[3]characters!$2:$2,0)+2),MATCH(M$1,[3]characters!$2:$2,0)-MATCH($I$1,[3]characters!$2:$2,0)+2,FALSE)</f>
        <v>#N/A</v>
      </c>
      <c r="N66" s="5" t="e">
        <f ca="1">VLOOKUP($I66,OFFSET([2]enemies!$A$1,0,0,COUNTA([2]enemies!$A:$A),MATCH(N$1,[2]enemies!$2:$2,0)-MATCH($I$1,[2]enemies!$2:$2,0)+1),MATCH(N$1,[2]enemies!$2:$2,0)-MATCH($I$1,[2]enemies!$2:$2,0)+1,FALSE)</f>
        <v>#N/A</v>
      </c>
      <c r="O66" s="6">
        <v>5</v>
      </c>
      <c r="P66" s="43">
        <v>1</v>
      </c>
      <c r="Q66" s="43">
        <v>1</v>
      </c>
      <c r="R66" s="6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66" s="5">
        <v>560001</v>
      </c>
      <c r="U66" s="7">
        <v>0</v>
      </c>
      <c r="V66" s="7">
        <v>100</v>
      </c>
      <c r="W66" s="7">
        <v>0</v>
      </c>
      <c r="X66" s="26" t="e">
        <f ca="1">VLOOKUP($I66,OFFSET([2]enemies!$A$1,0,0,COUNTA([2]enemies!$A:$A),MATCH(X$1,[2]enemies!$2:$2,0)-MATCH($I$1,[2]enemies!$2:$2,0)+1),MATCH(X$1,[2]enemies!$2:$2,0)-MATCH($I$1,[2]enemies!$2:$2,0)+1,FALSE)</f>
        <v>#N/A</v>
      </c>
      <c r="Y66" s="31">
        <v>7</v>
      </c>
      <c r="Z66" s="5" t="str">
        <f ca="1">IFERROR(VLOOKUP($Y66,OFFSET([3]characters!$A$1,0,0,COUNTA([3]characters!$A:$A),MATCH(Z$1,[3]characters!$2:$2,0)-MATCH("character_id",[3]characters!$2:$2,0)+1),MATCH(Z$1,[3]characters!$2:$2,0)-MATCH("character_id",[3]characters!$2:$2,0)+1,FALSE),"")</f>
        <v/>
      </c>
      <c r="AA66" s="5" t="str">
        <f ca="1">IFERROR(VLOOKUP($Y66,OFFSET([3]characters!$A$1,0,0,COUNTA([3]characters!$A:$A),MATCH(AA$1,[3]characters!$2:$2,0)-MATCH("character_id",[3]characters!$2:$2,0)+1),MATCH(AA$1,[3]characters!$2:$2,0)-MATCH("character_id",[3]characters!$2:$2,0)+1,FALSE),"")</f>
        <v/>
      </c>
      <c r="AB66" s="5" t="str">
        <f ca="1">IFERROR(VLOOKUP($Y66,OFFSET([3]characters!$A$1,0,0,COUNTA([3]characters!$A:$A),MATCH(AB$1,[3]characters!$2:$2,0)-MATCH("character_id",[3]characters!$2:$2,0)+1),MATCH(AB$1,[3]characters!$2:$2,0)-MATCH("character_id",[3]characters!$2:$2,0)+1,FALSE),"")</f>
        <v/>
      </c>
      <c r="AC66" s="8">
        <v>1</v>
      </c>
      <c r="AD66" s="8" t="str">
        <f t="shared" ca="1" si="3"/>
        <v/>
      </c>
      <c r="AE66" s="9">
        <v>30</v>
      </c>
      <c r="AF66" s="38">
        <v>0</v>
      </c>
      <c r="AG66" s="38">
        <v>0</v>
      </c>
      <c r="AH66" s="38">
        <v>0</v>
      </c>
      <c r="AI66" s="38">
        <v>0</v>
      </c>
      <c r="AJ66" s="38">
        <v>1</v>
      </c>
    </row>
    <row r="67" spans="1:36" ht="21" customHeight="1" x14ac:dyDescent="0.15">
      <c r="A67" s="21" t="e">
        <f t="shared" ca="1" si="2"/>
        <v>#N/A</v>
      </c>
      <c r="B67" s="33">
        <v>4</v>
      </c>
      <c r="C67" s="32">
        <v>1</v>
      </c>
      <c r="D67" s="2" t="str">
        <f t="shared" si="24"/>
        <v>4_1</v>
      </c>
      <c r="E67" s="5" t="str">
        <f ca="1">VLOOKUP($B67,OFFSET([1]quests!$A$1,0,0,COUNTA([1]quests!$A:$A),MATCH(E$1,[1]quests!$1:$1,0)-MATCH($B$1,[1]quests!$1:$1,0)+1),MATCH(E$1,[1]quests!$1:$1,0)-MATCH($B$1,[1]quests!$1:$1,0)+1,FALSE)</f>
        <v>4．イエロープラント</v>
      </c>
      <c r="F67" s="5" t="str">
        <f ca="1">VLOOKUP($D67,OFFSET([1]stages!$A$1,0,0,COUNTA([1]stages!$A:$A),MATCH(F$1,[1]stages!$2:$2,0)-MATCH($D$1,[1]stages!$2:$2,0)+1),MATCH(F$1,[1]stages!$2:$2,0)-MATCH($D$1,[1]stages!$2:$2,0)+1,FALSE)</f>
        <v>4-1. 花弁にひそむ妖精</v>
      </c>
      <c r="G67" s="32">
        <v>1</v>
      </c>
      <c r="H67" s="20" t="str">
        <f t="shared" si="25"/>
        <v>4_1-1</v>
      </c>
      <c r="I67" s="31">
        <v>13</v>
      </c>
      <c r="J67" s="26" t="e">
        <f ca="1">VLOOKUP($I67,OFFSET([2]enemies!$A$1,0,0,COUNTA([2]enemies!$A:$A),MATCH(J$1,[2]enemies!$2:$2,0)-MATCH($I$1,[2]enemies!$2:$2,0)+1),MATCH(J$1,[2]enemies!$2:$2,0)-MATCH($I$1,[2]enemies!$2:$2,0)+1,FALSE)</f>
        <v>#N/A</v>
      </c>
      <c r="K67" s="29" t="e">
        <f ca="1">VLOOKUP($I67,OFFSET([2]enemies!$A$1,0,0,COUNTA([2]enemies!$A:$A),MATCH(K$1,[2]enemies!$2:$2,0)-MATCH($I$1,[2]enemies!$2:$2,0)+1),MATCH(K$1,[2]enemies!$2:$2,0)-MATCH($I$1,[2]enemies!$2:$2,0)+1,FALSE)</f>
        <v>#N/A</v>
      </c>
      <c r="L67" s="29" t="e">
        <f ca="1">VLOOKUP($I67,OFFSET([3]characters!$A$1,0,0,COUNTA([3]characters!$A:$A),MATCH(L$1,[3]characters!$2:$2,0)-MATCH($I$1,[3]characters!$2:$2,0)+1),MATCH(L$1,[3]characters!$2:$2,0)-MATCH($I$1,[3]characters!$2:$2,0)+1,FALSE)</f>
        <v>#N/A</v>
      </c>
      <c r="M67" s="28" t="e">
        <f ca="1">VLOOKUP($I67,OFFSET([3]characters!$A$1,0,0,COUNTA([3]characters!$A:$A),MATCH(M$1,[3]characters!$2:$2,0)-MATCH($I$1,[3]characters!$2:$2,0)+2),MATCH(M$1,[3]characters!$2:$2,0)-MATCH($I$1,[3]characters!$2:$2,0)+2,FALSE)</f>
        <v>#N/A</v>
      </c>
      <c r="N67" s="5" t="e">
        <f ca="1">VLOOKUP($I67,OFFSET([2]enemies!$A$1,0,0,COUNTA([2]enemies!$A:$A),MATCH(N$1,[2]enemies!$2:$2,0)-MATCH($I$1,[2]enemies!$2:$2,0)+1),MATCH(N$1,[2]enemies!$2:$2,0)-MATCH($I$1,[2]enemies!$2:$2,0)+1,FALSE)</f>
        <v>#N/A</v>
      </c>
      <c r="O67" s="6">
        <v>5</v>
      </c>
      <c r="P67" s="43">
        <v>1</v>
      </c>
      <c r="Q67" s="43">
        <v>1</v>
      </c>
      <c r="R67" s="6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5">
        <v>0</v>
      </c>
      <c r="U67" s="7">
        <v>0</v>
      </c>
      <c r="V67" s="7">
        <v>100</v>
      </c>
      <c r="W67" s="7">
        <v>0</v>
      </c>
      <c r="X67" s="26" t="e">
        <f ca="1">VLOOKUP($I67,OFFSET([2]enemies!$A$1,0,0,COUNTA([2]enemies!$A:$A),MATCH(X$1,[2]enemies!$2:$2,0)-MATCH($I$1,[2]enemies!$2:$2,0)+1),MATCH(X$1,[2]enemies!$2:$2,0)-MATCH($I$1,[2]enemies!$2:$2,0)+1,FALSE)</f>
        <v>#N/A</v>
      </c>
      <c r="Y67" s="31">
        <v>13</v>
      </c>
      <c r="Z67" s="5" t="str">
        <f ca="1">IFERROR(VLOOKUP($Y67,OFFSET([3]characters!$A$1,0,0,COUNTA([3]characters!$A:$A),MATCH(Z$1,[3]characters!$2:$2,0)-MATCH("character_id",[3]characters!$2:$2,0)+1),MATCH(Z$1,[3]characters!$2:$2,0)-MATCH("character_id",[3]characters!$2:$2,0)+1,FALSE),"")</f>
        <v/>
      </c>
      <c r="AA67" s="5" t="str">
        <f ca="1">IFERROR(VLOOKUP($Y67,OFFSET([3]characters!$A$1,0,0,COUNTA([3]characters!$A:$A),MATCH(AA$1,[3]characters!$2:$2,0)-MATCH("character_id",[3]characters!$2:$2,0)+1),MATCH(AA$1,[3]characters!$2:$2,0)-MATCH("character_id",[3]characters!$2:$2,0)+1,FALSE),"")</f>
        <v/>
      </c>
      <c r="AB67" s="5" t="str">
        <f ca="1">IFERROR(VLOOKUP($Y67,OFFSET([3]characters!$A$1,0,0,COUNTA([3]characters!$A:$A),MATCH(AB$1,[3]characters!$2:$2,0)-MATCH("character_id",[3]characters!$2:$2,0)+1),MATCH(AB$1,[3]characters!$2:$2,0)-MATCH("character_id",[3]characters!$2:$2,0)+1,FALSE),"")</f>
        <v/>
      </c>
      <c r="AC67" s="8">
        <v>1</v>
      </c>
      <c r="AD67" s="8" t="str">
        <f t="shared" ca="1" si="3"/>
        <v/>
      </c>
      <c r="AE67" s="9">
        <v>30</v>
      </c>
      <c r="AF67" s="38">
        <v>0</v>
      </c>
      <c r="AG67" s="38">
        <v>0</v>
      </c>
      <c r="AH67" s="38">
        <v>0</v>
      </c>
      <c r="AI67" s="38">
        <v>0</v>
      </c>
      <c r="AJ67" s="38">
        <v>1</v>
      </c>
    </row>
    <row r="68" spans="1:36" ht="21" customHeight="1" x14ac:dyDescent="0.15">
      <c r="A68" s="21" t="e">
        <f t="shared" ca="1" si="2"/>
        <v>#N/A</v>
      </c>
      <c r="B68" s="33">
        <v>4</v>
      </c>
      <c r="C68" s="32">
        <v>1</v>
      </c>
      <c r="D68" s="2" t="str">
        <f t="shared" si="24"/>
        <v>4_1</v>
      </c>
      <c r="E68" s="5" t="str">
        <f ca="1">VLOOKUP($B68,OFFSET([1]quests!$A$1,0,0,COUNTA([1]quests!$A:$A),MATCH(E$1,[1]quests!$1:$1,0)-MATCH($B$1,[1]quests!$1:$1,0)+1),MATCH(E$1,[1]quests!$1:$1,0)-MATCH($B$1,[1]quests!$1:$1,0)+1,FALSE)</f>
        <v>4．イエロープラント</v>
      </c>
      <c r="F68" s="5" t="str">
        <f ca="1">VLOOKUP($D68,OFFSET([1]stages!$A$1,0,0,COUNTA([1]stages!$A:$A),MATCH(F$1,[1]stages!$2:$2,0)-MATCH($D$1,[1]stages!$2:$2,0)+1),MATCH(F$1,[1]stages!$2:$2,0)-MATCH($D$1,[1]stages!$2:$2,0)+1,FALSE)</f>
        <v>4-1. 花弁にひそむ妖精</v>
      </c>
      <c r="G68" s="32">
        <v>2</v>
      </c>
      <c r="H68" s="20" t="str">
        <f t="shared" si="25"/>
        <v>4_1-2</v>
      </c>
      <c r="I68" s="31">
        <v>7</v>
      </c>
      <c r="J68" s="26" t="e">
        <f ca="1">VLOOKUP($I68,OFFSET([2]enemies!$A$1,0,0,COUNTA([2]enemies!$A:$A),MATCH(J$1,[2]enemies!$2:$2,0)-MATCH($I$1,[2]enemies!$2:$2,0)+1),MATCH(J$1,[2]enemies!$2:$2,0)-MATCH($I$1,[2]enemies!$2:$2,0)+1,FALSE)</f>
        <v>#N/A</v>
      </c>
      <c r="K68" s="29" t="e">
        <f ca="1">VLOOKUP($I68,OFFSET([2]enemies!$A$1,0,0,COUNTA([2]enemies!$A:$A),MATCH(K$1,[2]enemies!$2:$2,0)-MATCH($I$1,[2]enemies!$2:$2,0)+1),MATCH(K$1,[2]enemies!$2:$2,0)-MATCH($I$1,[2]enemies!$2:$2,0)+1,FALSE)</f>
        <v>#N/A</v>
      </c>
      <c r="L68" s="29" t="e">
        <f ca="1">VLOOKUP($I68,OFFSET([3]characters!$A$1,0,0,COUNTA([3]characters!$A:$A),MATCH(L$1,[3]characters!$2:$2,0)-MATCH($I$1,[3]characters!$2:$2,0)+1),MATCH(L$1,[3]characters!$2:$2,0)-MATCH($I$1,[3]characters!$2:$2,0)+1,FALSE)</f>
        <v>#N/A</v>
      </c>
      <c r="M68" s="28" t="e">
        <f ca="1">VLOOKUP($I68,OFFSET([3]characters!$A$1,0,0,COUNTA([3]characters!$A:$A),MATCH(M$1,[3]characters!$2:$2,0)-MATCH($I$1,[3]characters!$2:$2,0)+2),MATCH(M$1,[3]characters!$2:$2,0)-MATCH($I$1,[3]characters!$2:$2,0)+2,FALSE)</f>
        <v>#N/A</v>
      </c>
      <c r="N68" s="5" t="e">
        <f ca="1">VLOOKUP($I68,OFFSET([2]enemies!$A$1,0,0,COUNTA([2]enemies!$A:$A),MATCH(N$1,[2]enemies!$2:$2,0)-MATCH($I$1,[2]enemies!$2:$2,0)+1),MATCH(N$1,[2]enemies!$2:$2,0)-MATCH($I$1,[2]enemies!$2:$2,0)+1,FALSE)</f>
        <v>#N/A</v>
      </c>
      <c r="O68" s="6">
        <v>5</v>
      </c>
      <c r="P68" s="43">
        <v>1</v>
      </c>
      <c r="Q68" s="43">
        <v>1</v>
      </c>
      <c r="R68" s="6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5">
        <v>0</v>
      </c>
      <c r="U68" s="7">
        <v>0</v>
      </c>
      <c r="V68" s="7">
        <v>100</v>
      </c>
      <c r="W68" s="7">
        <v>0</v>
      </c>
      <c r="X68" s="26" t="e">
        <f ca="1">VLOOKUP($I68,OFFSET([2]enemies!$A$1,0,0,COUNTA([2]enemies!$A:$A),MATCH(X$1,[2]enemies!$2:$2,0)-MATCH($I$1,[2]enemies!$2:$2,0)+1),MATCH(X$1,[2]enemies!$2:$2,0)-MATCH($I$1,[2]enemies!$2:$2,0)+1,FALSE)</f>
        <v>#N/A</v>
      </c>
      <c r="Y68" s="31">
        <v>7</v>
      </c>
      <c r="Z68" s="5" t="str">
        <f ca="1">IFERROR(VLOOKUP($Y68,OFFSET([3]characters!$A$1,0,0,COUNTA([3]characters!$A:$A),MATCH(Z$1,[3]characters!$2:$2,0)-MATCH("character_id",[3]characters!$2:$2,0)+1),MATCH(Z$1,[3]characters!$2:$2,0)-MATCH("character_id",[3]characters!$2:$2,0)+1,FALSE),"")</f>
        <v/>
      </c>
      <c r="AA68" s="5" t="str">
        <f ca="1">IFERROR(VLOOKUP($Y68,OFFSET([3]characters!$A$1,0,0,COUNTA([3]characters!$A:$A),MATCH(AA$1,[3]characters!$2:$2,0)-MATCH("character_id",[3]characters!$2:$2,0)+1),MATCH(AA$1,[3]characters!$2:$2,0)-MATCH("character_id",[3]characters!$2:$2,0)+1,FALSE),"")</f>
        <v/>
      </c>
      <c r="AB68" s="5" t="str">
        <f ca="1">IFERROR(VLOOKUP($Y68,OFFSET([3]characters!$A$1,0,0,COUNTA([3]characters!$A:$A),MATCH(AB$1,[3]characters!$2:$2,0)-MATCH("character_id",[3]characters!$2:$2,0)+1),MATCH(AB$1,[3]characters!$2:$2,0)-MATCH("character_id",[3]characters!$2:$2,0)+1,FALSE),"")</f>
        <v/>
      </c>
      <c r="AC68" s="8">
        <v>1</v>
      </c>
      <c r="AD68" s="8" t="str">
        <f t="shared" ref="AD68:AD155" ca="1" si="46">AA68</f>
        <v/>
      </c>
      <c r="AE68" s="9">
        <v>30</v>
      </c>
      <c r="AF68" s="38">
        <v>0</v>
      </c>
      <c r="AG68" s="38">
        <v>0</v>
      </c>
      <c r="AH68" s="38">
        <v>0</v>
      </c>
      <c r="AI68" s="38">
        <v>0</v>
      </c>
      <c r="AJ68" s="38">
        <v>1</v>
      </c>
    </row>
    <row r="69" spans="1:36" ht="21" customHeight="1" x14ac:dyDescent="0.15">
      <c r="A69" s="21" t="e">
        <f t="shared" ca="1" si="2"/>
        <v>#N/A</v>
      </c>
      <c r="B69" s="33">
        <v>4</v>
      </c>
      <c r="C69" s="32">
        <v>1</v>
      </c>
      <c r="D69" s="2" t="str">
        <f t="shared" si="24"/>
        <v>4_1</v>
      </c>
      <c r="E69" s="5" t="str">
        <f ca="1">VLOOKUP($B69,OFFSET([1]quests!$A$1,0,0,COUNTA([1]quests!$A:$A),MATCH(E$1,[1]quests!$1:$1,0)-MATCH($B$1,[1]quests!$1:$1,0)+1),MATCH(E$1,[1]quests!$1:$1,0)-MATCH($B$1,[1]quests!$1:$1,0)+1,FALSE)</f>
        <v>4．イエロープラント</v>
      </c>
      <c r="F69" s="5" t="str">
        <f ca="1">VLOOKUP($D69,OFFSET([1]stages!$A$1,0,0,COUNTA([1]stages!$A:$A),MATCH(F$1,[1]stages!$2:$2,0)-MATCH($D$1,[1]stages!$2:$2,0)+1),MATCH(F$1,[1]stages!$2:$2,0)-MATCH($D$1,[1]stages!$2:$2,0)+1,FALSE)</f>
        <v>4-1. 花弁にひそむ妖精</v>
      </c>
      <c r="G69" s="32">
        <v>2</v>
      </c>
      <c r="H69" s="20" t="str">
        <f t="shared" si="25"/>
        <v>4_1-2</v>
      </c>
      <c r="I69" s="31">
        <v>13</v>
      </c>
      <c r="J69" s="26" t="e">
        <f ca="1">VLOOKUP($I69,OFFSET([2]enemies!$A$1,0,0,COUNTA([2]enemies!$A:$A),MATCH(J$1,[2]enemies!$2:$2,0)-MATCH($I$1,[2]enemies!$2:$2,0)+1),MATCH(J$1,[2]enemies!$2:$2,0)-MATCH($I$1,[2]enemies!$2:$2,0)+1,FALSE)</f>
        <v>#N/A</v>
      </c>
      <c r="K69" s="29" t="e">
        <f ca="1">VLOOKUP($I69,OFFSET([2]enemies!$A$1,0,0,COUNTA([2]enemies!$A:$A),MATCH(K$1,[2]enemies!$2:$2,0)-MATCH($I$1,[2]enemies!$2:$2,0)+1),MATCH(K$1,[2]enemies!$2:$2,0)-MATCH($I$1,[2]enemies!$2:$2,0)+1,FALSE)</f>
        <v>#N/A</v>
      </c>
      <c r="L69" s="29" t="e">
        <f ca="1">VLOOKUP($I69,OFFSET([3]characters!$A$1,0,0,COUNTA([3]characters!$A:$A),MATCH(L$1,[3]characters!$2:$2,0)-MATCH($I$1,[3]characters!$2:$2,0)+1),MATCH(L$1,[3]characters!$2:$2,0)-MATCH($I$1,[3]characters!$2:$2,0)+1,FALSE)</f>
        <v>#N/A</v>
      </c>
      <c r="M69" s="28" t="e">
        <f ca="1">VLOOKUP($I69,OFFSET([3]characters!$A$1,0,0,COUNTA([3]characters!$A:$A),MATCH(M$1,[3]characters!$2:$2,0)-MATCH($I$1,[3]characters!$2:$2,0)+2),MATCH(M$1,[3]characters!$2:$2,0)-MATCH($I$1,[3]characters!$2:$2,0)+2,FALSE)</f>
        <v>#N/A</v>
      </c>
      <c r="N69" s="5" t="e">
        <f ca="1">VLOOKUP($I69,OFFSET([2]enemies!$A$1,0,0,COUNTA([2]enemies!$A:$A),MATCH(N$1,[2]enemies!$2:$2,0)-MATCH($I$1,[2]enemies!$2:$2,0)+1),MATCH(N$1,[2]enemies!$2:$2,0)-MATCH($I$1,[2]enemies!$2:$2,0)+1,FALSE)</f>
        <v>#N/A</v>
      </c>
      <c r="O69" s="6">
        <v>5</v>
      </c>
      <c r="P69" s="43">
        <v>1</v>
      </c>
      <c r="Q69" s="43">
        <v>1</v>
      </c>
      <c r="R69" s="6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9" s="5">
        <v>0</v>
      </c>
      <c r="U69" s="7">
        <v>0</v>
      </c>
      <c r="V69" s="7">
        <v>100</v>
      </c>
      <c r="W69" s="7">
        <v>0</v>
      </c>
      <c r="X69" s="26" t="e">
        <f ca="1">VLOOKUP($I69,OFFSET([2]enemies!$A$1,0,0,COUNTA([2]enemies!$A:$A),MATCH(X$1,[2]enemies!$2:$2,0)-MATCH($I$1,[2]enemies!$2:$2,0)+1),MATCH(X$1,[2]enemies!$2:$2,0)-MATCH($I$1,[2]enemies!$2:$2,0)+1,FALSE)</f>
        <v>#N/A</v>
      </c>
      <c r="Y69" s="31">
        <v>13</v>
      </c>
      <c r="Z69" s="5" t="str">
        <f ca="1">IFERROR(VLOOKUP($Y69,OFFSET([3]characters!$A$1,0,0,COUNTA([3]characters!$A:$A),MATCH(Z$1,[3]characters!$2:$2,0)-MATCH("character_id",[3]characters!$2:$2,0)+1),MATCH(Z$1,[3]characters!$2:$2,0)-MATCH("character_id",[3]characters!$2:$2,0)+1,FALSE),"")</f>
        <v/>
      </c>
      <c r="AA69" s="5" t="str">
        <f ca="1">IFERROR(VLOOKUP($Y69,OFFSET([3]characters!$A$1,0,0,COUNTA([3]characters!$A:$A),MATCH(AA$1,[3]characters!$2:$2,0)-MATCH("character_id",[3]characters!$2:$2,0)+1),MATCH(AA$1,[3]characters!$2:$2,0)-MATCH("character_id",[3]characters!$2:$2,0)+1,FALSE),"")</f>
        <v/>
      </c>
      <c r="AB69" s="5" t="str">
        <f ca="1">IFERROR(VLOOKUP($Y69,OFFSET([3]characters!$A$1,0,0,COUNTA([3]characters!$A:$A),MATCH(AB$1,[3]characters!$2:$2,0)-MATCH("character_id",[3]characters!$2:$2,0)+1),MATCH(AB$1,[3]characters!$2:$2,0)-MATCH("character_id",[3]characters!$2:$2,0)+1,FALSE),"")</f>
        <v/>
      </c>
      <c r="AC69" s="8">
        <v>1</v>
      </c>
      <c r="AD69" s="8" t="str">
        <f t="shared" ca="1" si="46"/>
        <v/>
      </c>
      <c r="AE69" s="9">
        <v>30</v>
      </c>
      <c r="AF69" s="38">
        <v>0</v>
      </c>
      <c r="AG69" s="38">
        <v>0</v>
      </c>
      <c r="AH69" s="38">
        <v>0</v>
      </c>
      <c r="AI69" s="38">
        <v>0</v>
      </c>
      <c r="AJ69" s="38">
        <v>1</v>
      </c>
    </row>
    <row r="70" spans="1:36" ht="21" customHeight="1" x14ac:dyDescent="0.15">
      <c r="A70" s="21" t="e">
        <f t="shared" ca="1" si="2"/>
        <v>#N/A</v>
      </c>
      <c r="B70" s="33">
        <v>4</v>
      </c>
      <c r="C70" s="32">
        <v>1</v>
      </c>
      <c r="D70" s="2" t="str">
        <f t="shared" si="24"/>
        <v>4_1</v>
      </c>
      <c r="E70" s="5" t="str">
        <f ca="1">VLOOKUP($B70,OFFSET([1]quests!$A$1,0,0,COUNTA([1]quests!$A:$A),MATCH(E$1,[1]quests!$1:$1,0)-MATCH($B$1,[1]quests!$1:$1,0)+1),MATCH(E$1,[1]quests!$1:$1,0)-MATCH($B$1,[1]quests!$1:$1,0)+1,FALSE)</f>
        <v>4．イエロープラント</v>
      </c>
      <c r="F70" s="5" t="str">
        <f ca="1">VLOOKUP($D70,OFFSET([1]stages!$A$1,0,0,COUNTA([1]stages!$A:$A),MATCH(F$1,[1]stages!$2:$2,0)-MATCH($D$1,[1]stages!$2:$2,0)+1),MATCH(F$1,[1]stages!$2:$2,0)-MATCH($D$1,[1]stages!$2:$2,0)+1,FALSE)</f>
        <v>4-1. 花弁にひそむ妖精</v>
      </c>
      <c r="G70" s="32">
        <v>2</v>
      </c>
      <c r="H70" s="20" t="str">
        <f t="shared" si="25"/>
        <v>4_1-2</v>
      </c>
      <c r="I70" s="31">
        <v>113</v>
      </c>
      <c r="J70" s="26" t="e">
        <f ca="1">VLOOKUP($I70,OFFSET([2]enemies!$A$1,0,0,COUNTA([2]enemies!$A:$A),MATCH(J$1,[2]enemies!$2:$2,0)-MATCH($I$1,[2]enemies!$2:$2,0)+1),MATCH(J$1,[2]enemies!$2:$2,0)-MATCH($I$1,[2]enemies!$2:$2,0)+1,FALSE)</f>
        <v>#N/A</v>
      </c>
      <c r="K70" s="29" t="e">
        <f ca="1">VLOOKUP($I70,OFFSET([2]enemies!$A$1,0,0,COUNTA([2]enemies!$A:$A),MATCH(K$1,[2]enemies!$2:$2,0)-MATCH($I$1,[2]enemies!$2:$2,0)+1),MATCH(K$1,[2]enemies!$2:$2,0)-MATCH($I$1,[2]enemies!$2:$2,0)+1,FALSE)</f>
        <v>#N/A</v>
      </c>
      <c r="L70" s="29" t="e">
        <f ca="1">VLOOKUP($I70,OFFSET([3]characters!$A$1,0,0,COUNTA([3]characters!$A:$A),MATCH(L$1,[3]characters!$2:$2,0)-MATCH($I$1,[3]characters!$2:$2,0)+1),MATCH(L$1,[3]characters!$2:$2,0)-MATCH($I$1,[3]characters!$2:$2,0)+1,FALSE)</f>
        <v>#N/A</v>
      </c>
      <c r="M70" s="28" t="e">
        <f ca="1">VLOOKUP($I70,OFFSET([3]characters!$A$1,0,0,COUNTA([3]characters!$A:$A),MATCH(M$1,[3]characters!$2:$2,0)-MATCH($I$1,[3]characters!$2:$2,0)+2),MATCH(M$1,[3]characters!$2:$2,0)-MATCH($I$1,[3]characters!$2:$2,0)+2,FALSE)</f>
        <v>#N/A</v>
      </c>
      <c r="N70" s="5" t="e">
        <f ca="1">VLOOKUP($I70,OFFSET([2]enemies!$A$1,0,0,COUNTA([2]enemies!$A:$A),MATCH(N$1,[2]enemies!$2:$2,0)-MATCH($I$1,[2]enemies!$2:$2,0)+1),MATCH(N$1,[2]enemies!$2:$2,0)-MATCH($I$1,[2]enemies!$2:$2,0)+1,FALSE)</f>
        <v>#N/A</v>
      </c>
      <c r="O70" s="6">
        <v>5</v>
      </c>
      <c r="P70" s="43">
        <v>1</v>
      </c>
      <c r="Q70" s="43">
        <v>1</v>
      </c>
      <c r="R70" s="6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0" s="5">
        <v>0</v>
      </c>
      <c r="U70" s="7">
        <v>0</v>
      </c>
      <c r="V70" s="7">
        <v>50</v>
      </c>
      <c r="W70" s="7">
        <v>0</v>
      </c>
      <c r="X70" s="26" t="e">
        <f ca="1">VLOOKUP($I70,OFFSET([2]enemies!$A$1,0,0,COUNTA([2]enemies!$A:$A),MATCH(X$1,[2]enemies!$2:$2,0)-MATCH($I$1,[2]enemies!$2:$2,0)+1),MATCH(X$1,[2]enemies!$2:$2,0)-MATCH($I$1,[2]enemies!$2:$2,0)+1,FALSE)</f>
        <v>#N/A</v>
      </c>
      <c r="Y70" s="31">
        <v>113</v>
      </c>
      <c r="Z70" s="5" t="str">
        <f ca="1">IFERROR(VLOOKUP($Y70,OFFSET([3]characters!$A$1,0,0,COUNTA([3]characters!$A:$A),MATCH(Z$1,[3]characters!$2:$2,0)-MATCH("character_id",[3]characters!$2:$2,0)+1),MATCH(Z$1,[3]characters!$2:$2,0)-MATCH("character_id",[3]characters!$2:$2,0)+1,FALSE),"")</f>
        <v/>
      </c>
      <c r="AA70" s="5" t="str">
        <f ca="1">IFERROR(VLOOKUP($Y70,OFFSET([3]characters!$A$1,0,0,COUNTA([3]characters!$A:$A),MATCH(AA$1,[3]characters!$2:$2,0)-MATCH("character_id",[3]characters!$2:$2,0)+1),MATCH(AA$1,[3]characters!$2:$2,0)-MATCH("character_id",[3]characters!$2:$2,0)+1,FALSE),"")</f>
        <v/>
      </c>
      <c r="AB70" s="5" t="str">
        <f ca="1">IFERROR(VLOOKUP($Y70,OFFSET([3]characters!$A$1,0,0,COUNTA([3]characters!$A:$A),MATCH(AB$1,[3]characters!$2:$2,0)-MATCH("character_id",[3]characters!$2:$2,0)+1),MATCH(AB$1,[3]characters!$2:$2,0)-MATCH("character_id",[3]characters!$2:$2,0)+1,FALSE),"")</f>
        <v/>
      </c>
      <c r="AC70" s="8">
        <v>1</v>
      </c>
      <c r="AD70" s="8" t="str">
        <f t="shared" ca="1" si="46"/>
        <v/>
      </c>
      <c r="AE70" s="9">
        <v>20</v>
      </c>
      <c r="AF70" s="38">
        <v>0</v>
      </c>
      <c r="AG70" s="38">
        <v>0</v>
      </c>
      <c r="AH70" s="38">
        <v>0</v>
      </c>
      <c r="AI70" s="38">
        <v>0</v>
      </c>
      <c r="AJ70" s="38">
        <v>1</v>
      </c>
    </row>
    <row r="71" spans="1:36" ht="21" customHeight="1" x14ac:dyDescent="0.15">
      <c r="A71" s="21" t="e">
        <f t="shared" ref="A71" ca="1" si="47">B71&amp;"_"&amp;C71&amp;"-"&amp;G71&amp;"/"&amp;I71&amp;"&lt;lv"&amp;O71&amp;"&gt;s"&amp;X71</f>
        <v>#N/A</v>
      </c>
      <c r="B71" s="33">
        <v>4</v>
      </c>
      <c r="C71" s="32">
        <v>1</v>
      </c>
      <c r="D71" s="2" t="str">
        <f t="shared" ref="D71" si="48">B71&amp;"_"&amp;C71</f>
        <v>4_1</v>
      </c>
      <c r="E71" s="5" t="str">
        <f ca="1">VLOOKUP($B71,OFFSET([1]quests!$A$1,0,0,COUNTA([1]quests!$A:$A),MATCH(E$1,[1]quests!$1:$1,0)-MATCH($B$1,[1]quests!$1:$1,0)+1),MATCH(E$1,[1]quests!$1:$1,0)-MATCH($B$1,[1]quests!$1:$1,0)+1,FALSE)</f>
        <v>4．イエロープラント</v>
      </c>
      <c r="F71" s="5" t="str">
        <f ca="1">VLOOKUP($D71,OFFSET([1]stages!$A$1,0,0,COUNTA([1]stages!$A:$A),MATCH(F$1,[1]stages!$2:$2,0)-MATCH($D$1,[1]stages!$2:$2,0)+1),MATCH(F$1,[1]stages!$2:$2,0)-MATCH($D$1,[1]stages!$2:$2,0)+1,FALSE)</f>
        <v>4-1. 花弁にひそむ妖精</v>
      </c>
      <c r="G71" s="32">
        <v>3</v>
      </c>
      <c r="H71" s="20" t="str">
        <f t="shared" ref="H71" si="49">B71&amp;"_"&amp;C71&amp;"-"&amp;G71</f>
        <v>4_1-3</v>
      </c>
      <c r="I71" s="31">
        <v>19</v>
      </c>
      <c r="J71" s="26" t="e">
        <f ca="1">VLOOKUP($I71,OFFSET([2]enemies!$A$1,0,0,COUNTA([2]enemies!$A:$A),MATCH(J$1,[2]enemies!$2:$2,0)-MATCH($I$1,[2]enemies!$2:$2,0)+1),MATCH(J$1,[2]enemies!$2:$2,0)-MATCH($I$1,[2]enemies!$2:$2,0)+1,FALSE)</f>
        <v>#N/A</v>
      </c>
      <c r="K71" s="29" t="e">
        <f ca="1">VLOOKUP($I71,OFFSET([2]enemies!$A$1,0,0,COUNTA([2]enemies!$A:$A),MATCH(K$1,[2]enemies!$2:$2,0)-MATCH($I$1,[2]enemies!$2:$2,0)+1),MATCH(K$1,[2]enemies!$2:$2,0)-MATCH($I$1,[2]enemies!$2:$2,0)+1,FALSE)</f>
        <v>#N/A</v>
      </c>
      <c r="L71" s="29" t="e">
        <f ca="1">VLOOKUP($I71,OFFSET([3]characters!$A$1,0,0,COUNTA([3]characters!$A:$A),MATCH(L$1,[3]characters!$2:$2,0)-MATCH($I$1,[3]characters!$2:$2,0)+1),MATCH(L$1,[3]characters!$2:$2,0)-MATCH($I$1,[3]characters!$2:$2,0)+1,FALSE)</f>
        <v>#N/A</v>
      </c>
      <c r="M71" s="28" t="e">
        <f ca="1">VLOOKUP($I71,OFFSET([3]characters!$A$1,0,0,COUNTA([3]characters!$A:$A),MATCH(M$1,[3]characters!$2:$2,0)-MATCH($I$1,[3]characters!$2:$2,0)+2),MATCH(M$1,[3]characters!$2:$2,0)-MATCH($I$1,[3]characters!$2:$2,0)+2,FALSE)</f>
        <v>#N/A</v>
      </c>
      <c r="N71" s="5" t="e">
        <f ca="1">VLOOKUP($I71,OFFSET([2]enemies!$A$1,0,0,COUNTA([2]enemies!$A:$A),MATCH(N$1,[2]enemies!$2:$2,0)-MATCH($I$1,[2]enemies!$2:$2,0)+1),MATCH(N$1,[2]enemies!$2:$2,0)-MATCH($I$1,[2]enemies!$2:$2,0)+1,FALSE)</f>
        <v>#N/A</v>
      </c>
      <c r="O71" s="6">
        <v>5</v>
      </c>
      <c r="P71" s="43">
        <v>1</v>
      </c>
      <c r="Q71" s="43">
        <v>1</v>
      </c>
      <c r="R71" s="6">
        <v>0</v>
      </c>
      <c r="S71" s="5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1" s="5">
        <v>0</v>
      </c>
      <c r="U71" s="7">
        <v>1</v>
      </c>
      <c r="V71" s="7">
        <v>100</v>
      </c>
      <c r="W71" s="7">
        <v>0</v>
      </c>
      <c r="X71" s="26" t="e">
        <f ca="1">VLOOKUP($I71,OFFSET([2]enemies!$A$1,0,0,COUNTA([2]enemies!$A:$A),MATCH(X$1,[2]enemies!$2:$2,0)-MATCH($I$1,[2]enemies!$2:$2,0)+1),MATCH(X$1,[2]enemies!$2:$2,0)-MATCH($I$1,[2]enemies!$2:$2,0)+1,FALSE)</f>
        <v>#N/A</v>
      </c>
      <c r="Y71" s="31">
        <v>19</v>
      </c>
      <c r="Z71" s="5" t="str">
        <f ca="1">IFERROR(VLOOKUP($Y71,OFFSET([3]characters!$A$1,0,0,COUNTA([3]characters!$A:$A),MATCH(Z$1,[3]characters!$2:$2,0)-MATCH("character_id",[3]characters!$2:$2,0)+1),MATCH(Z$1,[3]characters!$2:$2,0)-MATCH("character_id",[3]characters!$2:$2,0)+1,FALSE),"")</f>
        <v/>
      </c>
      <c r="AA71" s="5" t="str">
        <f ca="1">IFERROR(VLOOKUP($Y71,OFFSET([3]characters!$A$1,0,0,COUNTA([3]characters!$A:$A),MATCH(AA$1,[3]characters!$2:$2,0)-MATCH("character_id",[3]characters!$2:$2,0)+1),MATCH(AA$1,[3]characters!$2:$2,0)-MATCH("character_id",[3]characters!$2:$2,0)+1,FALSE),"")</f>
        <v/>
      </c>
      <c r="AB71" s="5" t="str">
        <f ca="1">IFERROR(VLOOKUP($Y71,OFFSET([3]characters!$A$1,0,0,COUNTA([3]characters!$A:$A),MATCH(AB$1,[3]characters!$2:$2,0)-MATCH("character_id",[3]characters!$2:$2,0)+1),MATCH(AB$1,[3]characters!$2:$2,0)-MATCH("character_id",[3]characters!$2:$2,0)+1,FALSE),"")</f>
        <v/>
      </c>
      <c r="AC71" s="8">
        <v>1</v>
      </c>
      <c r="AD71" s="8" t="str">
        <f t="shared" ref="AD71" ca="1" si="50">AA71</f>
        <v/>
      </c>
      <c r="AE71" s="9">
        <v>0</v>
      </c>
      <c r="AF71" s="38">
        <v>0</v>
      </c>
      <c r="AG71" s="38">
        <v>0</v>
      </c>
      <c r="AH71" s="38">
        <v>0</v>
      </c>
      <c r="AI71" s="38">
        <v>0</v>
      </c>
      <c r="AJ71" s="38">
        <v>1</v>
      </c>
    </row>
    <row r="72" spans="1:36" ht="21" customHeight="1" x14ac:dyDescent="0.15">
      <c r="A72" s="21" t="e">
        <f t="shared" ca="1" si="2"/>
        <v>#N/A</v>
      </c>
      <c r="B72" s="33">
        <v>4</v>
      </c>
      <c r="C72" s="32">
        <v>1</v>
      </c>
      <c r="D72" s="2" t="str">
        <f t="shared" si="24"/>
        <v>4_1</v>
      </c>
      <c r="E72" s="5" t="str">
        <f ca="1">VLOOKUP($B72,OFFSET([1]quests!$A$1,0,0,COUNTA([1]quests!$A:$A),MATCH(E$1,[1]quests!$1:$1,0)-MATCH($B$1,[1]quests!$1:$1,0)+1),MATCH(E$1,[1]quests!$1:$1,0)-MATCH($B$1,[1]quests!$1:$1,0)+1,FALSE)</f>
        <v>4．イエロープラント</v>
      </c>
      <c r="F72" s="5" t="str">
        <f ca="1">VLOOKUP($D72,OFFSET([1]stages!$A$1,0,0,COUNTA([1]stages!$A:$A),MATCH(F$1,[1]stages!$2:$2,0)-MATCH($D$1,[1]stages!$2:$2,0)+1),MATCH(F$1,[1]stages!$2:$2,0)-MATCH($D$1,[1]stages!$2:$2,0)+1,FALSE)</f>
        <v>4-1. 花弁にひそむ妖精</v>
      </c>
      <c r="G72" s="32">
        <v>3</v>
      </c>
      <c r="H72" s="20" t="str">
        <f t="shared" si="25"/>
        <v>4_1-3</v>
      </c>
      <c r="I72" s="31">
        <v>20</v>
      </c>
      <c r="J72" s="26" t="e">
        <f ca="1">VLOOKUP($I72,OFFSET([2]enemies!$A$1,0,0,COUNTA([2]enemies!$A:$A),MATCH(J$1,[2]enemies!$2:$2,0)-MATCH($I$1,[2]enemies!$2:$2,0)+1),MATCH(J$1,[2]enemies!$2:$2,0)-MATCH($I$1,[2]enemies!$2:$2,0)+1,FALSE)</f>
        <v>#N/A</v>
      </c>
      <c r="K72" s="29" t="e">
        <f ca="1">VLOOKUP($I72,OFFSET([2]enemies!$A$1,0,0,COUNTA([2]enemies!$A:$A),MATCH(K$1,[2]enemies!$2:$2,0)-MATCH($I$1,[2]enemies!$2:$2,0)+1),MATCH(K$1,[2]enemies!$2:$2,0)-MATCH($I$1,[2]enemies!$2:$2,0)+1,FALSE)</f>
        <v>#N/A</v>
      </c>
      <c r="L72" s="29" t="e">
        <f ca="1">VLOOKUP($I72,OFFSET([3]characters!$A$1,0,0,COUNTA([3]characters!$A:$A),MATCH(L$1,[3]characters!$2:$2,0)-MATCH($I$1,[3]characters!$2:$2,0)+1),MATCH(L$1,[3]characters!$2:$2,0)-MATCH($I$1,[3]characters!$2:$2,0)+1,FALSE)</f>
        <v>#N/A</v>
      </c>
      <c r="M72" s="28" t="e">
        <f ca="1">VLOOKUP($I72,OFFSET([3]characters!$A$1,0,0,COUNTA([3]characters!$A:$A),MATCH(M$1,[3]characters!$2:$2,0)-MATCH($I$1,[3]characters!$2:$2,0)+2),MATCH(M$1,[3]characters!$2:$2,0)-MATCH($I$1,[3]characters!$2:$2,0)+2,FALSE)</f>
        <v>#N/A</v>
      </c>
      <c r="N72" s="5" t="e">
        <f ca="1">VLOOKUP($I72,OFFSET([2]enemies!$A$1,0,0,COUNTA([2]enemies!$A:$A),MATCH(N$1,[2]enemies!$2:$2,0)-MATCH($I$1,[2]enemies!$2:$2,0)+1),MATCH(N$1,[2]enemies!$2:$2,0)-MATCH($I$1,[2]enemies!$2:$2,0)+1,FALSE)</f>
        <v>#N/A</v>
      </c>
      <c r="O72" s="6">
        <v>6</v>
      </c>
      <c r="P72" s="43">
        <v>1</v>
      </c>
      <c r="Q72" s="43">
        <v>1</v>
      </c>
      <c r="R72" s="6">
        <v>0</v>
      </c>
      <c r="S72" s="5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5">
        <v>0</v>
      </c>
      <c r="U72" s="7">
        <v>1</v>
      </c>
      <c r="V72" s="7">
        <v>100</v>
      </c>
      <c r="W72" s="7">
        <v>1</v>
      </c>
      <c r="X72" s="26" t="e">
        <f ca="1">VLOOKUP($I72,OFFSET([2]enemies!$A$1,0,0,COUNTA([2]enemies!$A:$A),MATCH(X$1,[2]enemies!$2:$2,0)-MATCH($I$1,[2]enemies!$2:$2,0)+1),MATCH(X$1,[2]enemies!$2:$2,0)-MATCH($I$1,[2]enemies!$2:$2,0)+1,FALSE)</f>
        <v>#N/A</v>
      </c>
      <c r="Y72" s="31">
        <v>19</v>
      </c>
      <c r="Z72" s="5" t="str">
        <f ca="1">IFERROR(VLOOKUP($Y72,OFFSET([3]characters!$A$1,0,0,COUNTA([3]characters!$A:$A),MATCH(Z$1,[3]characters!$2:$2,0)-MATCH("character_id",[3]characters!$2:$2,0)+1),MATCH(Z$1,[3]characters!$2:$2,0)-MATCH("character_id",[3]characters!$2:$2,0)+1,FALSE),"")</f>
        <v/>
      </c>
      <c r="AA72" s="5" t="str">
        <f ca="1">IFERROR(VLOOKUP($Y72,OFFSET([3]characters!$A$1,0,0,COUNTA([3]characters!$A:$A),MATCH(AA$1,[3]characters!$2:$2,0)-MATCH("character_id",[3]characters!$2:$2,0)+1),MATCH(AA$1,[3]characters!$2:$2,0)-MATCH("character_id",[3]characters!$2:$2,0)+1,FALSE),"")</f>
        <v/>
      </c>
      <c r="AB72" s="5" t="str">
        <f ca="1">IFERROR(VLOOKUP($Y72,OFFSET([3]characters!$A$1,0,0,COUNTA([3]characters!$A:$A),MATCH(AB$1,[3]characters!$2:$2,0)-MATCH("character_id",[3]characters!$2:$2,0)+1),MATCH(AB$1,[3]characters!$2:$2,0)-MATCH("character_id",[3]characters!$2:$2,0)+1,FALSE),"")</f>
        <v/>
      </c>
      <c r="AC72" s="8">
        <v>1</v>
      </c>
      <c r="AD72" s="8" t="str">
        <f t="shared" ca="1" si="46"/>
        <v/>
      </c>
      <c r="AE72" s="9">
        <v>0</v>
      </c>
      <c r="AF72" s="38">
        <v>0</v>
      </c>
      <c r="AG72" s="38">
        <v>0</v>
      </c>
      <c r="AH72" s="38">
        <v>0</v>
      </c>
      <c r="AI72" s="38">
        <v>0</v>
      </c>
      <c r="AJ72" s="38">
        <v>1</v>
      </c>
    </row>
    <row r="73" spans="1:36" ht="21" customHeight="1" x14ac:dyDescent="0.15">
      <c r="A73" s="21" t="e">
        <f t="shared" ca="1" si="2"/>
        <v>#N/A</v>
      </c>
      <c r="B73" s="33">
        <v>4</v>
      </c>
      <c r="C73" s="32">
        <v>1</v>
      </c>
      <c r="D73" s="2" t="str">
        <f t="shared" si="24"/>
        <v>4_1</v>
      </c>
      <c r="E73" s="5" t="str">
        <f ca="1">VLOOKUP($B73,OFFSET([1]quests!$A$1,0,0,COUNTA([1]quests!$A:$A),MATCH(E$1,[1]quests!$1:$1,0)-MATCH($B$1,[1]quests!$1:$1,0)+1),MATCH(E$1,[1]quests!$1:$1,0)-MATCH($B$1,[1]quests!$1:$1,0)+1,FALSE)</f>
        <v>4．イエロープラント</v>
      </c>
      <c r="F73" s="5" t="str">
        <f ca="1">VLOOKUP($D73,OFFSET([1]stages!$A$1,0,0,COUNTA([1]stages!$A:$A),MATCH(F$1,[1]stages!$2:$2,0)-MATCH($D$1,[1]stages!$2:$2,0)+1),MATCH(F$1,[1]stages!$2:$2,0)-MATCH($D$1,[1]stages!$2:$2,0)+1,FALSE)</f>
        <v>4-1. 花弁にひそむ妖精</v>
      </c>
      <c r="G73" s="32">
        <v>3</v>
      </c>
      <c r="H73" s="20" t="str">
        <f t="shared" si="25"/>
        <v>4_1-3</v>
      </c>
      <c r="I73" s="31">
        <v>19</v>
      </c>
      <c r="J73" s="26" t="e">
        <f ca="1">VLOOKUP($I73,OFFSET([2]enemies!$A$1,0,0,COUNTA([2]enemies!$A:$A),MATCH(J$1,[2]enemies!$2:$2,0)-MATCH($I$1,[2]enemies!$2:$2,0)+1),MATCH(J$1,[2]enemies!$2:$2,0)-MATCH($I$1,[2]enemies!$2:$2,0)+1,FALSE)</f>
        <v>#N/A</v>
      </c>
      <c r="K73" s="29" t="e">
        <f ca="1">VLOOKUP($I73,OFFSET([2]enemies!$A$1,0,0,COUNTA([2]enemies!$A:$A),MATCH(K$1,[2]enemies!$2:$2,0)-MATCH($I$1,[2]enemies!$2:$2,0)+1),MATCH(K$1,[2]enemies!$2:$2,0)-MATCH($I$1,[2]enemies!$2:$2,0)+1,FALSE)</f>
        <v>#N/A</v>
      </c>
      <c r="L73" s="29" t="e">
        <f ca="1">VLOOKUP($I73,OFFSET([3]characters!$A$1,0,0,COUNTA([3]characters!$A:$A),MATCH(L$1,[3]characters!$2:$2,0)-MATCH($I$1,[3]characters!$2:$2,0)+1),MATCH(L$1,[3]characters!$2:$2,0)-MATCH($I$1,[3]characters!$2:$2,0)+1,FALSE)</f>
        <v>#N/A</v>
      </c>
      <c r="M73" s="28" t="e">
        <f ca="1">VLOOKUP($I73,OFFSET([3]characters!$A$1,0,0,COUNTA([3]characters!$A:$A),MATCH(M$1,[3]characters!$2:$2,0)-MATCH($I$1,[3]characters!$2:$2,0)+2),MATCH(M$1,[3]characters!$2:$2,0)-MATCH($I$1,[3]characters!$2:$2,0)+2,FALSE)</f>
        <v>#N/A</v>
      </c>
      <c r="N73" s="5" t="e">
        <f ca="1">VLOOKUP($I73,OFFSET([2]enemies!$A$1,0,0,COUNTA([2]enemies!$A:$A),MATCH(N$1,[2]enemies!$2:$2,0)-MATCH($I$1,[2]enemies!$2:$2,0)+1),MATCH(N$1,[2]enemies!$2:$2,0)-MATCH($I$1,[2]enemies!$2:$2,0)+1,FALSE)</f>
        <v>#N/A</v>
      </c>
      <c r="O73" s="6">
        <v>6</v>
      </c>
      <c r="P73" s="43">
        <v>1</v>
      </c>
      <c r="Q73" s="43">
        <v>1</v>
      </c>
      <c r="R73" s="6">
        <v>0</v>
      </c>
      <c r="S73" s="5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3" s="5">
        <v>0</v>
      </c>
      <c r="U73" s="7">
        <v>1</v>
      </c>
      <c r="V73" s="7">
        <v>100</v>
      </c>
      <c r="W73" s="7">
        <v>0</v>
      </c>
      <c r="X73" s="26" t="e">
        <f ca="1">VLOOKUP($I73,OFFSET([2]enemies!$A$1,0,0,COUNTA([2]enemies!$A:$A),MATCH(X$1,[2]enemies!$2:$2,0)-MATCH($I$1,[2]enemies!$2:$2,0)+1),MATCH(X$1,[2]enemies!$2:$2,0)-MATCH($I$1,[2]enemies!$2:$2,0)+1,FALSE)</f>
        <v>#N/A</v>
      </c>
      <c r="Y73" s="31">
        <v>19</v>
      </c>
      <c r="Z73" s="5" t="str">
        <f ca="1">IFERROR(VLOOKUP($Y73,OFFSET([3]characters!$A$1,0,0,COUNTA([3]characters!$A:$A),MATCH(Z$1,[3]characters!$2:$2,0)-MATCH("character_id",[3]characters!$2:$2,0)+1),MATCH(Z$1,[3]characters!$2:$2,0)-MATCH("character_id",[3]characters!$2:$2,0)+1,FALSE),"")</f>
        <v/>
      </c>
      <c r="AA73" s="5" t="str">
        <f ca="1">IFERROR(VLOOKUP($Y73,OFFSET([3]characters!$A$1,0,0,COUNTA([3]characters!$A:$A),MATCH(AA$1,[3]characters!$2:$2,0)-MATCH("character_id",[3]characters!$2:$2,0)+1),MATCH(AA$1,[3]characters!$2:$2,0)-MATCH("character_id",[3]characters!$2:$2,0)+1,FALSE),"")</f>
        <v/>
      </c>
      <c r="AB73" s="5" t="str">
        <f ca="1">IFERROR(VLOOKUP($Y73,OFFSET([3]characters!$A$1,0,0,COUNTA([3]characters!$A:$A),MATCH(AB$1,[3]characters!$2:$2,0)-MATCH("character_id",[3]characters!$2:$2,0)+1),MATCH(AB$1,[3]characters!$2:$2,0)-MATCH("character_id",[3]characters!$2:$2,0)+1,FALSE),"")</f>
        <v/>
      </c>
      <c r="AC73" s="8">
        <v>1</v>
      </c>
      <c r="AD73" s="8" t="str">
        <f t="shared" ca="1" si="46"/>
        <v/>
      </c>
      <c r="AE73" s="9">
        <v>0</v>
      </c>
      <c r="AF73" s="38">
        <v>0</v>
      </c>
      <c r="AG73" s="38">
        <v>0</v>
      </c>
      <c r="AH73" s="38">
        <v>0</v>
      </c>
      <c r="AI73" s="38">
        <v>0</v>
      </c>
      <c r="AJ73" s="38">
        <v>1</v>
      </c>
    </row>
    <row r="74" spans="1:36" ht="21" customHeight="1" x14ac:dyDescent="0.15">
      <c r="A74" s="21" t="e">
        <f t="shared" ca="1" si="2"/>
        <v>#N/A</v>
      </c>
      <c r="B74" s="33">
        <v>4</v>
      </c>
      <c r="C74" s="32">
        <v>2</v>
      </c>
      <c r="D74" s="2" t="str">
        <f t="shared" si="24"/>
        <v>4_2</v>
      </c>
      <c r="E74" s="5" t="str">
        <f ca="1">VLOOKUP($B74,OFFSET([1]quests!$A$1,0,0,COUNTA([1]quests!$A:$A),MATCH(E$1,[1]quests!$1:$1,0)-MATCH($B$1,[1]quests!$1:$1,0)+1),MATCH(E$1,[1]quests!$1:$1,0)-MATCH($B$1,[1]quests!$1:$1,0)+1,FALSE)</f>
        <v>4．イエロープラント</v>
      </c>
      <c r="F74" s="5" t="str">
        <f ca="1">VLOOKUP($D74,OFFSET([1]stages!$A$1,0,0,COUNTA([1]stages!$A:$A),MATCH(F$1,[1]stages!$2:$2,0)-MATCH($D$1,[1]stages!$2:$2,0)+1),MATCH(F$1,[1]stages!$2:$2,0)-MATCH($D$1,[1]stages!$2:$2,0)+1,FALSE)</f>
        <v>4-2. 振りかざされる木槌</v>
      </c>
      <c r="G74" s="32">
        <v>1</v>
      </c>
      <c r="H74" s="20" t="str">
        <f t="shared" si="25"/>
        <v>4_2-1</v>
      </c>
      <c r="I74" s="31">
        <v>7</v>
      </c>
      <c r="J74" s="26" t="e">
        <f ca="1">VLOOKUP($I74,OFFSET([2]enemies!$A$1,0,0,COUNTA([2]enemies!$A:$A),MATCH(J$1,[2]enemies!$2:$2,0)-MATCH($I$1,[2]enemies!$2:$2,0)+1),MATCH(J$1,[2]enemies!$2:$2,0)-MATCH($I$1,[2]enemies!$2:$2,0)+1,FALSE)</f>
        <v>#N/A</v>
      </c>
      <c r="K74" s="29" t="e">
        <f ca="1">VLOOKUP($I74,OFFSET([2]enemies!$A$1,0,0,COUNTA([2]enemies!$A:$A),MATCH(K$1,[2]enemies!$2:$2,0)-MATCH($I$1,[2]enemies!$2:$2,0)+1),MATCH(K$1,[2]enemies!$2:$2,0)-MATCH($I$1,[2]enemies!$2:$2,0)+1,FALSE)</f>
        <v>#N/A</v>
      </c>
      <c r="L74" s="29" t="e">
        <f ca="1">VLOOKUP($I74,OFFSET([3]characters!$A$1,0,0,COUNTA([3]characters!$A:$A),MATCH(L$1,[3]characters!$2:$2,0)-MATCH($I$1,[3]characters!$2:$2,0)+1),MATCH(L$1,[3]characters!$2:$2,0)-MATCH($I$1,[3]characters!$2:$2,0)+1,FALSE)</f>
        <v>#N/A</v>
      </c>
      <c r="M74" s="28" t="e">
        <f ca="1">VLOOKUP($I74,OFFSET([3]characters!$A$1,0,0,COUNTA([3]characters!$A:$A),MATCH(M$1,[3]characters!$2:$2,0)-MATCH($I$1,[3]characters!$2:$2,0)+2),MATCH(M$1,[3]characters!$2:$2,0)-MATCH($I$1,[3]characters!$2:$2,0)+2,FALSE)</f>
        <v>#N/A</v>
      </c>
      <c r="N74" s="5" t="e">
        <f ca="1">VLOOKUP($I74,OFFSET([2]enemies!$A$1,0,0,COUNTA([2]enemies!$A:$A),MATCH(N$1,[2]enemies!$2:$2,0)-MATCH($I$1,[2]enemies!$2:$2,0)+1),MATCH(N$1,[2]enemies!$2:$2,0)-MATCH($I$1,[2]enemies!$2:$2,0)+1,FALSE)</f>
        <v>#N/A</v>
      </c>
      <c r="O74" s="6">
        <v>5</v>
      </c>
      <c r="P74" s="43">
        <v>1</v>
      </c>
      <c r="Q74" s="43">
        <v>1</v>
      </c>
      <c r="R74" s="6">
        <v>0</v>
      </c>
      <c r="S74" s="5" t="str">
        <f ca="1">VLOOKUP($T74,OFFSET([4]enemy_skill_sets!$B$1,0,0,COUNTA([4]enemy_skill_sets!$B:$B),MATCH(J$1,[4]enemy_skill_sets!$1:$1,0)-MATCH($T$1,[4]enemy_skill_sets!$1:$1,0)+2),MATCH(J$1,[4]enemy_skill_sets!$1:$1,0)-MATCH($T$1,[4]enemy_skill_sets!$1:$1,0)+2,FALSE)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74" s="5">
        <v>560001</v>
      </c>
      <c r="U74" s="7">
        <v>0</v>
      </c>
      <c r="V74" s="7">
        <v>100</v>
      </c>
      <c r="W74" s="7">
        <v>0</v>
      </c>
      <c r="X74" s="26" t="e">
        <f ca="1">VLOOKUP($I74,OFFSET([2]enemies!$A$1,0,0,COUNTA([2]enemies!$A:$A),MATCH(X$1,[2]enemies!$2:$2,0)-MATCH($I$1,[2]enemies!$2:$2,0)+1),MATCH(X$1,[2]enemies!$2:$2,0)-MATCH($I$1,[2]enemies!$2:$2,0)+1,FALSE)</f>
        <v>#N/A</v>
      </c>
      <c r="Y74" s="31">
        <v>7</v>
      </c>
      <c r="Z74" s="5" t="str">
        <f ca="1">IFERROR(VLOOKUP($Y74,OFFSET([3]characters!$A$1,0,0,COUNTA([3]characters!$A:$A),MATCH(Z$1,[3]characters!$2:$2,0)-MATCH("character_id",[3]characters!$2:$2,0)+1),MATCH(Z$1,[3]characters!$2:$2,0)-MATCH("character_id",[3]characters!$2:$2,0)+1,FALSE),"")</f>
        <v/>
      </c>
      <c r="AA74" s="5" t="str">
        <f ca="1">IFERROR(VLOOKUP($Y74,OFFSET([3]characters!$A$1,0,0,COUNTA([3]characters!$A:$A),MATCH(AA$1,[3]characters!$2:$2,0)-MATCH("character_id",[3]characters!$2:$2,0)+1),MATCH(AA$1,[3]characters!$2:$2,0)-MATCH("character_id",[3]characters!$2:$2,0)+1,FALSE),"")</f>
        <v/>
      </c>
      <c r="AB74" s="5" t="str">
        <f ca="1">IFERROR(VLOOKUP($Y74,OFFSET([3]characters!$A$1,0,0,COUNTA([3]characters!$A:$A),MATCH(AB$1,[3]characters!$2:$2,0)-MATCH("character_id",[3]characters!$2:$2,0)+1),MATCH(AB$1,[3]characters!$2:$2,0)-MATCH("character_id",[3]characters!$2:$2,0)+1,FALSE),"")</f>
        <v/>
      </c>
      <c r="AC74" s="8">
        <v>2</v>
      </c>
      <c r="AD74" s="8" t="str">
        <f t="shared" ca="1" si="46"/>
        <v/>
      </c>
      <c r="AE74" s="9">
        <v>30</v>
      </c>
      <c r="AF74" s="38">
        <v>0</v>
      </c>
      <c r="AG74" s="38">
        <v>0</v>
      </c>
      <c r="AH74" s="38">
        <v>0</v>
      </c>
      <c r="AI74" s="38">
        <v>0</v>
      </c>
      <c r="AJ74" s="38">
        <v>1</v>
      </c>
    </row>
    <row r="75" spans="1:36" ht="21" customHeight="1" x14ac:dyDescent="0.15">
      <c r="A75" s="21" t="e">
        <f t="shared" ca="1" si="2"/>
        <v>#N/A</v>
      </c>
      <c r="B75" s="33">
        <v>4</v>
      </c>
      <c r="C75" s="32">
        <v>2</v>
      </c>
      <c r="D75" s="2" t="str">
        <f t="shared" si="24"/>
        <v>4_2</v>
      </c>
      <c r="E75" s="5" t="str">
        <f ca="1">VLOOKUP($B75,OFFSET([1]quests!$A$1,0,0,COUNTA([1]quests!$A:$A),MATCH(E$1,[1]quests!$1:$1,0)-MATCH($B$1,[1]quests!$1:$1,0)+1),MATCH(E$1,[1]quests!$1:$1,0)-MATCH($B$1,[1]quests!$1:$1,0)+1,FALSE)</f>
        <v>4．イエロープラント</v>
      </c>
      <c r="F75" s="5" t="str">
        <f ca="1">VLOOKUP($D75,OFFSET([1]stages!$A$1,0,0,COUNTA([1]stages!$A:$A),MATCH(F$1,[1]stages!$2:$2,0)-MATCH($D$1,[1]stages!$2:$2,0)+1),MATCH(F$1,[1]stages!$2:$2,0)-MATCH($D$1,[1]stages!$2:$2,0)+1,FALSE)</f>
        <v>4-2. 振りかざされる木槌</v>
      </c>
      <c r="G75" s="32">
        <v>1</v>
      </c>
      <c r="H75" s="20" t="str">
        <f t="shared" si="25"/>
        <v>4_2-1</v>
      </c>
      <c r="I75" s="31">
        <v>13</v>
      </c>
      <c r="J75" s="26" t="e">
        <f ca="1">VLOOKUP($I75,OFFSET([2]enemies!$A$1,0,0,COUNTA([2]enemies!$A:$A),MATCH(J$1,[2]enemies!$2:$2,0)-MATCH($I$1,[2]enemies!$2:$2,0)+1),MATCH(J$1,[2]enemies!$2:$2,0)-MATCH($I$1,[2]enemies!$2:$2,0)+1,FALSE)</f>
        <v>#N/A</v>
      </c>
      <c r="K75" s="29" t="e">
        <f ca="1">VLOOKUP($I75,OFFSET([2]enemies!$A$1,0,0,COUNTA([2]enemies!$A:$A),MATCH(K$1,[2]enemies!$2:$2,0)-MATCH($I$1,[2]enemies!$2:$2,0)+1),MATCH(K$1,[2]enemies!$2:$2,0)-MATCH($I$1,[2]enemies!$2:$2,0)+1,FALSE)</f>
        <v>#N/A</v>
      </c>
      <c r="L75" s="29" t="e">
        <f ca="1">VLOOKUP($I75,OFFSET([3]characters!$A$1,0,0,COUNTA([3]characters!$A:$A),MATCH(L$1,[3]characters!$2:$2,0)-MATCH($I$1,[3]characters!$2:$2,0)+1),MATCH(L$1,[3]characters!$2:$2,0)-MATCH($I$1,[3]characters!$2:$2,0)+1,FALSE)</f>
        <v>#N/A</v>
      </c>
      <c r="M75" s="28" t="e">
        <f ca="1">VLOOKUP($I75,OFFSET([3]characters!$A$1,0,0,COUNTA([3]characters!$A:$A),MATCH(M$1,[3]characters!$2:$2,0)-MATCH($I$1,[3]characters!$2:$2,0)+2),MATCH(M$1,[3]characters!$2:$2,0)-MATCH($I$1,[3]characters!$2:$2,0)+2,FALSE)</f>
        <v>#N/A</v>
      </c>
      <c r="N75" s="5" t="e">
        <f ca="1">VLOOKUP($I75,OFFSET([2]enemies!$A$1,0,0,COUNTA([2]enemies!$A:$A),MATCH(N$1,[2]enemies!$2:$2,0)-MATCH($I$1,[2]enemies!$2:$2,0)+1),MATCH(N$1,[2]enemies!$2:$2,0)-MATCH($I$1,[2]enemies!$2:$2,0)+1,FALSE)</f>
        <v>#N/A</v>
      </c>
      <c r="O75" s="6">
        <v>5</v>
      </c>
      <c r="P75" s="43">
        <v>1</v>
      </c>
      <c r="Q75" s="43">
        <v>1</v>
      </c>
      <c r="R75" s="6">
        <v>0</v>
      </c>
      <c r="S75" s="5" t="str">
        <f ca="1">VLOOKUP($T75,OFFSET([4]enemy_skill_sets!$B$1,0,0,COUNTA([4]enemy_skill_sets!$B:$B),MATCH(J$1,[4]enemy_skill_sets!$1:$1,0)-MATCH($T$1,[4]enemy_skill_sets!$1:$1,0)+2),MATCH(J$1,[4]enemy_skill_sets!$1:$1,0)-MATCH($T$1,[4]enemy_skill_sets!$1:$1,0)+2,FALSE)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5" s="5">
        <v>0</v>
      </c>
      <c r="U75" s="7">
        <v>0</v>
      </c>
      <c r="V75" s="7">
        <v>100</v>
      </c>
      <c r="W75" s="7">
        <v>0</v>
      </c>
      <c r="X75" s="26" t="e">
        <f ca="1">VLOOKUP($I75,OFFSET([2]enemies!$A$1,0,0,COUNTA([2]enemies!$A:$A),MATCH(X$1,[2]enemies!$2:$2,0)-MATCH($I$1,[2]enemies!$2:$2,0)+1),MATCH(X$1,[2]enemies!$2:$2,0)-MATCH($I$1,[2]enemies!$2:$2,0)+1,FALSE)</f>
        <v>#N/A</v>
      </c>
      <c r="Y75" s="31">
        <v>13</v>
      </c>
      <c r="Z75" s="5" t="str">
        <f ca="1">IFERROR(VLOOKUP($Y75,OFFSET([3]characters!$A$1,0,0,COUNTA([3]characters!$A:$A),MATCH(Z$1,[3]characters!$2:$2,0)-MATCH("character_id",[3]characters!$2:$2,0)+1),MATCH(Z$1,[3]characters!$2:$2,0)-MATCH("character_id",[3]characters!$2:$2,0)+1,FALSE),"")</f>
        <v/>
      </c>
      <c r="AA75" s="5" t="str">
        <f ca="1">IFERROR(VLOOKUP($Y75,OFFSET([3]characters!$A$1,0,0,COUNTA([3]characters!$A:$A),MATCH(AA$1,[3]characters!$2:$2,0)-MATCH("character_id",[3]characters!$2:$2,0)+1),MATCH(AA$1,[3]characters!$2:$2,0)-MATCH("character_id",[3]characters!$2:$2,0)+1,FALSE),"")</f>
        <v/>
      </c>
      <c r="AB75" s="5" t="str">
        <f ca="1">IFERROR(VLOOKUP($Y75,OFFSET([3]characters!$A$1,0,0,COUNTA([3]characters!$A:$A),MATCH(AB$1,[3]characters!$2:$2,0)-MATCH("character_id",[3]characters!$2:$2,0)+1),MATCH(AB$1,[3]characters!$2:$2,0)-MATCH("character_id",[3]characters!$2:$2,0)+1,FALSE),"")</f>
        <v/>
      </c>
      <c r="AC75" s="8">
        <v>1</v>
      </c>
      <c r="AD75" s="8" t="str">
        <f t="shared" ca="1" si="46"/>
        <v/>
      </c>
      <c r="AE75" s="9">
        <v>30</v>
      </c>
      <c r="AF75" s="38">
        <v>0</v>
      </c>
      <c r="AG75" s="38">
        <v>0</v>
      </c>
      <c r="AH75" s="38">
        <v>0</v>
      </c>
      <c r="AI75" s="38">
        <v>0</v>
      </c>
      <c r="AJ75" s="38">
        <v>1</v>
      </c>
    </row>
    <row r="76" spans="1:36" ht="21" customHeight="1" x14ac:dyDescent="0.15">
      <c r="A76" s="21" t="e">
        <f t="shared" ca="1" si="2"/>
        <v>#N/A</v>
      </c>
      <c r="B76" s="33">
        <v>4</v>
      </c>
      <c r="C76" s="32">
        <v>2</v>
      </c>
      <c r="D76" s="2" t="str">
        <f t="shared" si="24"/>
        <v>4_2</v>
      </c>
      <c r="E76" s="5" t="str">
        <f ca="1">VLOOKUP($B76,OFFSET([1]quests!$A$1,0,0,COUNTA([1]quests!$A:$A),MATCH(E$1,[1]quests!$1:$1,0)-MATCH($B$1,[1]quests!$1:$1,0)+1),MATCH(E$1,[1]quests!$1:$1,0)-MATCH($B$1,[1]quests!$1:$1,0)+1,FALSE)</f>
        <v>4．イエロープラント</v>
      </c>
      <c r="F76" s="5" t="str">
        <f ca="1">VLOOKUP($D76,OFFSET([1]stages!$A$1,0,0,COUNTA([1]stages!$A:$A),MATCH(F$1,[1]stages!$2:$2,0)-MATCH($D$1,[1]stages!$2:$2,0)+1),MATCH(F$1,[1]stages!$2:$2,0)-MATCH($D$1,[1]stages!$2:$2,0)+1,FALSE)</f>
        <v>4-2. 振りかざされる木槌</v>
      </c>
      <c r="G76" s="32">
        <v>1</v>
      </c>
      <c r="H76" s="20" t="str">
        <f t="shared" si="25"/>
        <v>4_2-1</v>
      </c>
      <c r="I76" s="31">
        <v>19</v>
      </c>
      <c r="J76" s="26" t="e">
        <f ca="1">VLOOKUP($I76,OFFSET([2]enemies!$A$1,0,0,COUNTA([2]enemies!$A:$A),MATCH(J$1,[2]enemies!$2:$2,0)-MATCH($I$1,[2]enemies!$2:$2,0)+1),MATCH(J$1,[2]enemies!$2:$2,0)-MATCH($I$1,[2]enemies!$2:$2,0)+1,FALSE)</f>
        <v>#N/A</v>
      </c>
      <c r="K76" s="29" t="e">
        <f ca="1">VLOOKUP($I76,OFFSET([2]enemies!$A$1,0,0,COUNTA([2]enemies!$A:$A),MATCH(K$1,[2]enemies!$2:$2,0)-MATCH($I$1,[2]enemies!$2:$2,0)+1),MATCH(K$1,[2]enemies!$2:$2,0)-MATCH($I$1,[2]enemies!$2:$2,0)+1,FALSE)</f>
        <v>#N/A</v>
      </c>
      <c r="L76" s="29" t="e">
        <f ca="1">VLOOKUP($I76,OFFSET([3]characters!$A$1,0,0,COUNTA([3]characters!$A:$A),MATCH(L$1,[3]characters!$2:$2,0)-MATCH($I$1,[3]characters!$2:$2,0)+1),MATCH(L$1,[3]characters!$2:$2,0)-MATCH($I$1,[3]characters!$2:$2,0)+1,FALSE)</f>
        <v>#N/A</v>
      </c>
      <c r="M76" s="28" t="e">
        <f ca="1">VLOOKUP($I76,OFFSET([3]characters!$A$1,0,0,COUNTA([3]characters!$A:$A),MATCH(M$1,[3]characters!$2:$2,0)-MATCH($I$1,[3]characters!$2:$2,0)+2),MATCH(M$1,[3]characters!$2:$2,0)-MATCH($I$1,[3]characters!$2:$2,0)+2,FALSE)</f>
        <v>#N/A</v>
      </c>
      <c r="N76" s="5" t="e">
        <f ca="1">VLOOKUP($I76,OFFSET([2]enemies!$A$1,0,0,COUNTA([2]enemies!$A:$A),MATCH(N$1,[2]enemies!$2:$2,0)-MATCH($I$1,[2]enemies!$2:$2,0)+1),MATCH(N$1,[2]enemies!$2:$2,0)-MATCH($I$1,[2]enemies!$2:$2,0)+1,FALSE)</f>
        <v>#N/A</v>
      </c>
      <c r="O76" s="6">
        <v>5</v>
      </c>
      <c r="P76" s="43">
        <v>1</v>
      </c>
      <c r="Q76" s="43">
        <v>1</v>
      </c>
      <c r="R76" s="6">
        <v>0</v>
      </c>
      <c r="S76" s="5" t="str">
        <f ca="1">VLOOKUP($T76,OFFSET([4]enemy_skill_sets!$B$1,0,0,COUNTA([4]enemy_skill_sets!$B:$B),MATCH(J$1,[4]enemy_skill_sets!$1:$1,0)-MATCH($T$1,[4]enemy_skill_sets!$1:$1,0)+2),MATCH(J$1,[4]enemy_skill_sets!$1:$1,0)-MATCH($T$1,[4]enemy_skill_sets!$1:$1,0)+2,FALSE)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6" s="5">
        <v>0</v>
      </c>
      <c r="U76" s="7">
        <v>0</v>
      </c>
      <c r="V76" s="7">
        <v>100</v>
      </c>
      <c r="W76" s="7">
        <v>0</v>
      </c>
      <c r="X76" s="26" t="e">
        <f ca="1">VLOOKUP($I76,OFFSET([2]enemies!$A$1,0,0,COUNTA([2]enemies!$A:$A),MATCH(X$1,[2]enemies!$2:$2,0)-MATCH($I$1,[2]enemies!$2:$2,0)+1),MATCH(X$1,[2]enemies!$2:$2,0)-MATCH($I$1,[2]enemies!$2:$2,0)+1,FALSE)</f>
        <v>#N/A</v>
      </c>
      <c r="Y76" s="31">
        <v>19</v>
      </c>
      <c r="Z76" s="5" t="str">
        <f ca="1">IFERROR(VLOOKUP($Y76,OFFSET([3]characters!$A$1,0,0,COUNTA([3]characters!$A:$A),MATCH(Z$1,[3]characters!$2:$2,0)-MATCH("character_id",[3]characters!$2:$2,0)+1),MATCH(Z$1,[3]characters!$2:$2,0)-MATCH("character_id",[3]characters!$2:$2,0)+1,FALSE),"")</f>
        <v/>
      </c>
      <c r="AA76" s="5" t="str">
        <f ca="1">IFERROR(VLOOKUP($Y76,OFFSET([3]characters!$A$1,0,0,COUNTA([3]characters!$A:$A),MATCH(AA$1,[3]characters!$2:$2,0)-MATCH("character_id",[3]characters!$2:$2,0)+1),MATCH(AA$1,[3]characters!$2:$2,0)-MATCH("character_id",[3]characters!$2:$2,0)+1,FALSE),"")</f>
        <v/>
      </c>
      <c r="AB76" s="5" t="str">
        <f ca="1">IFERROR(VLOOKUP($Y76,OFFSET([3]characters!$A$1,0,0,COUNTA([3]characters!$A:$A),MATCH(AB$1,[3]characters!$2:$2,0)-MATCH("character_id",[3]characters!$2:$2,0)+1),MATCH(AB$1,[3]characters!$2:$2,0)-MATCH("character_id",[3]characters!$2:$2,0)+1,FALSE),"")</f>
        <v/>
      </c>
      <c r="AC76" s="8">
        <v>1</v>
      </c>
      <c r="AD76" s="8" t="str">
        <f t="shared" ca="1" si="46"/>
        <v/>
      </c>
      <c r="AE76" s="9">
        <v>30</v>
      </c>
      <c r="AF76" s="38">
        <v>0</v>
      </c>
      <c r="AG76" s="38">
        <v>0</v>
      </c>
      <c r="AH76" s="38">
        <v>0</v>
      </c>
      <c r="AI76" s="38">
        <v>0</v>
      </c>
      <c r="AJ76" s="38">
        <v>1</v>
      </c>
    </row>
    <row r="77" spans="1:36" ht="21" customHeight="1" x14ac:dyDescent="0.15">
      <c r="A77" s="21" t="e">
        <f t="shared" ref="A77" ca="1" si="51">B77&amp;"_"&amp;C77&amp;"-"&amp;G77&amp;"/"&amp;I77&amp;"&lt;lv"&amp;O77&amp;"&gt;s"&amp;X77</f>
        <v>#N/A</v>
      </c>
      <c r="B77" s="33">
        <v>4</v>
      </c>
      <c r="C77" s="32">
        <v>2</v>
      </c>
      <c r="D77" s="2" t="str">
        <f t="shared" ref="D77" si="52">B77&amp;"_"&amp;C77</f>
        <v>4_2</v>
      </c>
      <c r="E77" s="5" t="str">
        <f ca="1">VLOOKUP($B77,OFFSET([1]quests!$A$1,0,0,COUNTA([1]quests!$A:$A),MATCH(E$1,[1]quests!$1:$1,0)-MATCH($B$1,[1]quests!$1:$1,0)+1),MATCH(E$1,[1]quests!$1:$1,0)-MATCH($B$1,[1]quests!$1:$1,0)+1,FALSE)</f>
        <v>4．イエロープラント</v>
      </c>
      <c r="F77" s="5" t="str">
        <f ca="1">VLOOKUP($D77,OFFSET([1]stages!$A$1,0,0,COUNTA([1]stages!$A:$A),MATCH(F$1,[1]stages!$2:$2,0)-MATCH($D$1,[1]stages!$2:$2,0)+1),MATCH(F$1,[1]stages!$2:$2,0)-MATCH($D$1,[1]stages!$2:$2,0)+1,FALSE)</f>
        <v>4-2. 振りかざされる木槌</v>
      </c>
      <c r="G77" s="32">
        <v>1</v>
      </c>
      <c r="H77" s="20" t="str">
        <f t="shared" ref="H77" si="53">B77&amp;"_"&amp;C77&amp;"-"&amp;G77</f>
        <v>4_2-1</v>
      </c>
      <c r="I77" s="31">
        <v>113</v>
      </c>
      <c r="J77" s="26" t="e">
        <f ca="1">VLOOKUP($I77,OFFSET([2]enemies!$A$1,0,0,COUNTA([2]enemies!$A:$A),MATCH(J$1,[2]enemies!$2:$2,0)-MATCH($I$1,[2]enemies!$2:$2,0)+1),MATCH(J$1,[2]enemies!$2:$2,0)-MATCH($I$1,[2]enemies!$2:$2,0)+1,FALSE)</f>
        <v>#N/A</v>
      </c>
      <c r="K77" s="29" t="e">
        <f ca="1">VLOOKUP($I77,OFFSET([2]enemies!$A$1,0,0,COUNTA([2]enemies!$A:$A),MATCH(K$1,[2]enemies!$2:$2,0)-MATCH($I$1,[2]enemies!$2:$2,0)+1),MATCH(K$1,[2]enemies!$2:$2,0)-MATCH($I$1,[2]enemies!$2:$2,0)+1,FALSE)</f>
        <v>#N/A</v>
      </c>
      <c r="L77" s="29" t="e">
        <f ca="1">VLOOKUP($I77,OFFSET([3]characters!$A$1,0,0,COUNTA([3]characters!$A:$A),MATCH(L$1,[3]characters!$2:$2,0)-MATCH($I$1,[3]characters!$2:$2,0)+1),MATCH(L$1,[3]characters!$2:$2,0)-MATCH($I$1,[3]characters!$2:$2,0)+1,FALSE)</f>
        <v>#N/A</v>
      </c>
      <c r="M77" s="28" t="e">
        <f ca="1">VLOOKUP($I77,OFFSET([3]characters!$A$1,0,0,COUNTA([3]characters!$A:$A),MATCH(M$1,[3]characters!$2:$2,0)-MATCH($I$1,[3]characters!$2:$2,0)+2),MATCH(M$1,[3]characters!$2:$2,0)-MATCH($I$1,[3]characters!$2:$2,0)+2,FALSE)</f>
        <v>#N/A</v>
      </c>
      <c r="N77" s="5" t="e">
        <f ca="1">VLOOKUP($I77,OFFSET([2]enemies!$A$1,0,0,COUNTA([2]enemies!$A:$A),MATCH(N$1,[2]enemies!$2:$2,0)-MATCH($I$1,[2]enemies!$2:$2,0)+1),MATCH(N$1,[2]enemies!$2:$2,0)-MATCH($I$1,[2]enemies!$2:$2,0)+1,FALSE)</f>
        <v>#N/A</v>
      </c>
      <c r="O77" s="6">
        <v>5</v>
      </c>
      <c r="P77" s="43">
        <v>1</v>
      </c>
      <c r="Q77" s="43">
        <v>1</v>
      </c>
      <c r="R77" s="6">
        <v>0</v>
      </c>
      <c r="S77" s="5" t="str">
        <f ca="1">VLOOKUP($T77,OFFSET([4]enemy_skill_sets!$B$1,0,0,COUNTA([4]enemy_skill_sets!$B:$B),MATCH(J$1,[4]enemy_skill_sets!$1:$1,0)-MATCH($T$1,[4]enemy_skill_sets!$1:$1,0)+2),MATCH(J$1,[4]enemy_skill_sets!$1:$1,0)-MATCH($T$1,[4]enemy_skill_sets!$1:$1,0)+2,FALSE)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7" s="5">
        <v>0</v>
      </c>
      <c r="U77" s="7">
        <v>0</v>
      </c>
      <c r="V77" s="7">
        <v>50</v>
      </c>
      <c r="W77" s="7">
        <v>0</v>
      </c>
      <c r="X77" s="26" t="e">
        <f ca="1">VLOOKUP($I77,OFFSET([2]enemies!$A$1,0,0,COUNTA([2]enemies!$A:$A),MATCH(X$1,[2]enemies!$2:$2,0)-MATCH($I$1,[2]enemies!$2:$2,0)+1),MATCH(X$1,[2]enemies!$2:$2,0)-MATCH($I$1,[2]enemies!$2:$2,0)+1,FALSE)</f>
        <v>#N/A</v>
      </c>
      <c r="Y77" s="31">
        <v>113</v>
      </c>
      <c r="Z77" s="5" t="str">
        <f ca="1">IFERROR(VLOOKUP($Y77,OFFSET([3]characters!$A$1,0,0,COUNTA([3]characters!$A:$A),MATCH(Z$1,[3]characters!$2:$2,0)-MATCH("character_id",[3]characters!$2:$2,0)+1),MATCH(Z$1,[3]characters!$2:$2,0)-MATCH("character_id",[3]characters!$2:$2,0)+1,FALSE),"")</f>
        <v/>
      </c>
      <c r="AA77" s="5" t="str">
        <f ca="1">IFERROR(VLOOKUP($Y77,OFFSET([3]characters!$A$1,0,0,COUNTA([3]characters!$A:$A),MATCH(AA$1,[3]characters!$2:$2,0)-MATCH("character_id",[3]characters!$2:$2,0)+1),MATCH(AA$1,[3]characters!$2:$2,0)-MATCH("character_id",[3]characters!$2:$2,0)+1,FALSE),"")</f>
        <v/>
      </c>
      <c r="AB77" s="5" t="str">
        <f ca="1">IFERROR(VLOOKUP($Y77,OFFSET([3]characters!$A$1,0,0,COUNTA([3]characters!$A:$A),MATCH(AB$1,[3]characters!$2:$2,0)-MATCH("character_id",[3]characters!$2:$2,0)+1),MATCH(AB$1,[3]characters!$2:$2,0)-MATCH("character_id",[3]characters!$2:$2,0)+1,FALSE),"")</f>
        <v/>
      </c>
      <c r="AC77" s="8">
        <v>1</v>
      </c>
      <c r="AD77" s="8" t="str">
        <f t="shared" ref="AD77" ca="1" si="54">AA77</f>
        <v/>
      </c>
      <c r="AE77" s="9">
        <v>20</v>
      </c>
      <c r="AF77" s="38">
        <v>0</v>
      </c>
      <c r="AG77" s="38">
        <v>0</v>
      </c>
      <c r="AH77" s="38">
        <v>0</v>
      </c>
      <c r="AI77" s="38">
        <v>0</v>
      </c>
      <c r="AJ77" s="38">
        <v>1</v>
      </c>
    </row>
    <row r="78" spans="1:36" ht="21" customHeight="1" x14ac:dyDescent="0.15">
      <c r="A78" s="21" t="e">
        <f ca="1">B78&amp;"_"&amp;C78&amp;"-"&amp;G78&amp;"/"&amp;I78&amp;"&lt;lv"&amp;O78&amp;"&gt;s"&amp;X78</f>
        <v>#N/A</v>
      </c>
      <c r="B78" s="33">
        <v>4</v>
      </c>
      <c r="C78" s="32">
        <v>2</v>
      </c>
      <c r="D78" s="2" t="str">
        <f t="shared" si="24"/>
        <v>4_2</v>
      </c>
      <c r="E78" s="5" t="str">
        <f ca="1">VLOOKUP($B78,OFFSET([1]quests!$A$1,0,0,COUNTA([1]quests!$A:$A),MATCH(E$1,[1]quests!$1:$1,0)-MATCH($B$1,[1]quests!$1:$1,0)+1),MATCH(E$1,[1]quests!$1:$1,0)-MATCH($B$1,[1]quests!$1:$1,0)+1,FALSE)</f>
        <v>4．イエロープラント</v>
      </c>
      <c r="F78" s="5" t="str">
        <f ca="1">VLOOKUP($D78,OFFSET([1]stages!$A$1,0,0,COUNTA([1]stages!$A:$A),MATCH(F$1,[1]stages!$2:$2,0)-MATCH($D$1,[1]stages!$2:$2,0)+1),MATCH(F$1,[1]stages!$2:$2,0)-MATCH($D$1,[1]stages!$2:$2,0)+1,FALSE)</f>
        <v>4-2. 振りかざされる木槌</v>
      </c>
      <c r="G78" s="32">
        <v>2</v>
      </c>
      <c r="H78" s="20" t="str">
        <f t="shared" si="25"/>
        <v>4_2-2</v>
      </c>
      <c r="I78" s="31">
        <v>7</v>
      </c>
      <c r="J78" s="26" t="e">
        <f ca="1">VLOOKUP($I78,OFFSET([2]enemies!$A$1,0,0,COUNTA([2]enemies!$A:$A),MATCH(J$1,[2]enemies!$2:$2,0)-MATCH($I$1,[2]enemies!$2:$2,0)+1),MATCH(J$1,[2]enemies!$2:$2,0)-MATCH($I$1,[2]enemies!$2:$2,0)+1,FALSE)</f>
        <v>#N/A</v>
      </c>
      <c r="K78" s="29" t="e">
        <f ca="1">VLOOKUP($I78,OFFSET([2]enemies!$A$1,0,0,COUNTA([2]enemies!$A:$A),MATCH(K$1,[2]enemies!$2:$2,0)-MATCH($I$1,[2]enemies!$2:$2,0)+1),MATCH(K$1,[2]enemies!$2:$2,0)-MATCH($I$1,[2]enemies!$2:$2,0)+1,FALSE)</f>
        <v>#N/A</v>
      </c>
      <c r="L78" s="29" t="e">
        <f ca="1">VLOOKUP($I78,OFFSET([3]characters!$A$1,0,0,COUNTA([3]characters!$A:$A),MATCH(L$1,[3]characters!$2:$2,0)-MATCH($I$1,[3]characters!$2:$2,0)+1),MATCH(L$1,[3]characters!$2:$2,0)-MATCH($I$1,[3]characters!$2:$2,0)+1,FALSE)</f>
        <v>#N/A</v>
      </c>
      <c r="M78" s="28" t="e">
        <f ca="1">VLOOKUP($I78,OFFSET([3]characters!$A$1,0,0,COUNTA([3]characters!$A:$A),MATCH(M$1,[3]characters!$2:$2,0)-MATCH($I$1,[3]characters!$2:$2,0)+2),MATCH(M$1,[3]characters!$2:$2,0)-MATCH($I$1,[3]characters!$2:$2,0)+2,FALSE)</f>
        <v>#N/A</v>
      </c>
      <c r="N78" s="5" t="e">
        <f ca="1">VLOOKUP($I78,OFFSET([2]enemies!$A$1,0,0,COUNTA([2]enemies!$A:$A),MATCH(N$1,[2]enemies!$2:$2,0)-MATCH($I$1,[2]enemies!$2:$2,0)+1),MATCH(N$1,[2]enemies!$2:$2,0)-MATCH($I$1,[2]enemies!$2:$2,0)+1,FALSE)</f>
        <v>#N/A</v>
      </c>
      <c r="O78" s="6">
        <v>5</v>
      </c>
      <c r="P78" s="43">
        <v>1</v>
      </c>
      <c r="Q78" s="43">
        <v>1</v>
      </c>
      <c r="R78" s="6">
        <v>0</v>
      </c>
      <c r="S78" s="5" t="str">
        <f ca="1">VLOOKUP($T78,OFFSET([4]enemy_skill_sets!$B$1,0,0,COUNTA([4]enemy_skill_sets!$B:$B),MATCH(J$1,[4]enemy_skill_sets!$1:$1,0)-MATCH($T$1,[4]enemy_skill_sets!$1:$1,0)+2),MATCH(J$1,[4]enemy_skill_sets!$1:$1,0)-MATCH($T$1,[4]enemy_skill_sets!$1:$1,0)+2,FALSE)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8" s="5">
        <v>0</v>
      </c>
      <c r="U78" s="7">
        <v>0</v>
      </c>
      <c r="V78" s="7">
        <v>100</v>
      </c>
      <c r="W78" s="7">
        <v>0</v>
      </c>
      <c r="X78" s="26" t="e">
        <f ca="1">VLOOKUP($I78,OFFSET([2]enemies!$A$1,0,0,COUNTA([2]enemies!$A:$A),MATCH(X$1,[2]enemies!$2:$2,0)-MATCH($I$1,[2]enemies!$2:$2,0)+1),MATCH(X$1,[2]enemies!$2:$2,0)-MATCH($I$1,[2]enemies!$2:$2,0)+1,FALSE)</f>
        <v>#N/A</v>
      </c>
      <c r="Y78" s="31">
        <v>7</v>
      </c>
      <c r="Z78" s="5" t="str">
        <f ca="1">IFERROR(VLOOKUP($Y78,OFFSET([3]characters!$A$1,0,0,COUNTA([3]characters!$A:$A),MATCH(Z$1,[3]characters!$2:$2,0)-MATCH("character_id",[3]characters!$2:$2,0)+1),MATCH(Z$1,[3]characters!$2:$2,0)-MATCH("character_id",[3]characters!$2:$2,0)+1,FALSE),"")</f>
        <v/>
      </c>
      <c r="AA78" s="5" t="str">
        <f ca="1">IFERROR(VLOOKUP($Y78,OFFSET([3]characters!$A$1,0,0,COUNTA([3]characters!$A:$A),MATCH(AA$1,[3]characters!$2:$2,0)-MATCH("character_id",[3]characters!$2:$2,0)+1),MATCH(AA$1,[3]characters!$2:$2,0)-MATCH("character_id",[3]characters!$2:$2,0)+1,FALSE),"")</f>
        <v/>
      </c>
      <c r="AB78" s="5" t="str">
        <f ca="1">IFERROR(VLOOKUP($Y78,OFFSET([3]characters!$A$1,0,0,COUNTA([3]characters!$A:$A),MATCH(AB$1,[3]characters!$2:$2,0)-MATCH("character_id",[3]characters!$2:$2,0)+1),MATCH(AB$1,[3]characters!$2:$2,0)-MATCH("character_id",[3]characters!$2:$2,0)+1,FALSE),"")</f>
        <v/>
      </c>
      <c r="AC78" s="8">
        <v>2</v>
      </c>
      <c r="AD78" s="8" t="str">
        <f t="shared" ca="1" si="46"/>
        <v/>
      </c>
      <c r="AE78" s="9">
        <v>30</v>
      </c>
      <c r="AF78" s="38">
        <v>0</v>
      </c>
      <c r="AG78" s="38">
        <v>0</v>
      </c>
      <c r="AH78" s="38">
        <v>0</v>
      </c>
      <c r="AI78" s="38">
        <v>0</v>
      </c>
      <c r="AJ78" s="38">
        <v>1</v>
      </c>
    </row>
    <row r="79" spans="1:36" ht="21" customHeight="1" x14ac:dyDescent="0.15">
      <c r="A79" s="21" t="e">
        <f t="shared" ca="1" si="2"/>
        <v>#N/A</v>
      </c>
      <c r="B79" s="33">
        <v>4</v>
      </c>
      <c r="C79" s="32">
        <v>2</v>
      </c>
      <c r="D79" s="2" t="str">
        <f t="shared" si="24"/>
        <v>4_2</v>
      </c>
      <c r="E79" s="5" t="str">
        <f ca="1">VLOOKUP($B79,OFFSET([1]quests!$A$1,0,0,COUNTA([1]quests!$A:$A),MATCH(E$1,[1]quests!$1:$1,0)-MATCH($B$1,[1]quests!$1:$1,0)+1),MATCH(E$1,[1]quests!$1:$1,0)-MATCH($B$1,[1]quests!$1:$1,0)+1,FALSE)</f>
        <v>4．イエロープラント</v>
      </c>
      <c r="F79" s="5" t="str">
        <f ca="1">VLOOKUP($D79,OFFSET([1]stages!$A$1,0,0,COUNTA([1]stages!$A:$A),MATCH(F$1,[1]stages!$2:$2,0)-MATCH($D$1,[1]stages!$2:$2,0)+1),MATCH(F$1,[1]stages!$2:$2,0)-MATCH($D$1,[1]stages!$2:$2,0)+1,FALSE)</f>
        <v>4-2. 振りかざされる木槌</v>
      </c>
      <c r="G79" s="32">
        <v>2</v>
      </c>
      <c r="H79" s="20" t="str">
        <f t="shared" si="25"/>
        <v>4_2-2</v>
      </c>
      <c r="I79" s="31">
        <v>13</v>
      </c>
      <c r="J79" s="26" t="e">
        <f ca="1">VLOOKUP($I79,OFFSET([2]enemies!$A$1,0,0,COUNTA([2]enemies!$A:$A),MATCH(J$1,[2]enemies!$2:$2,0)-MATCH($I$1,[2]enemies!$2:$2,0)+1),MATCH(J$1,[2]enemies!$2:$2,0)-MATCH($I$1,[2]enemies!$2:$2,0)+1,FALSE)</f>
        <v>#N/A</v>
      </c>
      <c r="K79" s="29" t="e">
        <f ca="1">VLOOKUP($I79,OFFSET([2]enemies!$A$1,0,0,COUNTA([2]enemies!$A:$A),MATCH(K$1,[2]enemies!$2:$2,0)-MATCH($I$1,[2]enemies!$2:$2,0)+1),MATCH(K$1,[2]enemies!$2:$2,0)-MATCH($I$1,[2]enemies!$2:$2,0)+1,FALSE)</f>
        <v>#N/A</v>
      </c>
      <c r="L79" s="29" t="e">
        <f ca="1">VLOOKUP($I79,OFFSET([3]characters!$A$1,0,0,COUNTA([3]characters!$A:$A),MATCH(L$1,[3]characters!$2:$2,0)-MATCH($I$1,[3]characters!$2:$2,0)+1),MATCH(L$1,[3]characters!$2:$2,0)-MATCH($I$1,[3]characters!$2:$2,0)+1,FALSE)</f>
        <v>#N/A</v>
      </c>
      <c r="M79" s="28" t="e">
        <f ca="1">VLOOKUP($I79,OFFSET([3]characters!$A$1,0,0,COUNTA([3]characters!$A:$A),MATCH(M$1,[3]characters!$2:$2,0)-MATCH($I$1,[3]characters!$2:$2,0)+2),MATCH(M$1,[3]characters!$2:$2,0)-MATCH($I$1,[3]characters!$2:$2,0)+2,FALSE)</f>
        <v>#N/A</v>
      </c>
      <c r="N79" s="5" t="e">
        <f ca="1">VLOOKUP($I79,OFFSET([2]enemies!$A$1,0,0,COUNTA([2]enemies!$A:$A),MATCH(N$1,[2]enemies!$2:$2,0)-MATCH($I$1,[2]enemies!$2:$2,0)+1),MATCH(N$1,[2]enemies!$2:$2,0)-MATCH($I$1,[2]enemies!$2:$2,0)+1,FALSE)</f>
        <v>#N/A</v>
      </c>
      <c r="O79" s="6">
        <v>5</v>
      </c>
      <c r="P79" s="43">
        <v>1</v>
      </c>
      <c r="Q79" s="43">
        <v>1</v>
      </c>
      <c r="R79" s="6">
        <v>0</v>
      </c>
      <c r="S79" s="5" t="str">
        <f ca="1">VLOOKUP($T79,OFFSET([4]enemy_skill_sets!$B$1,0,0,COUNTA([4]enemy_skill_sets!$B:$B),MATCH(J$1,[4]enemy_skill_sets!$1:$1,0)-MATCH($T$1,[4]enemy_skill_sets!$1:$1,0)+2),MATCH(J$1,[4]enemy_skill_sets!$1:$1,0)-MATCH($T$1,[4]enemy_skill_sets!$1:$1,0)+2,FALSE)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9" s="5">
        <v>0</v>
      </c>
      <c r="U79" s="7">
        <v>0</v>
      </c>
      <c r="V79" s="7">
        <v>100</v>
      </c>
      <c r="W79" s="7">
        <v>0</v>
      </c>
      <c r="X79" s="26" t="e">
        <f ca="1">VLOOKUP($I79,OFFSET([2]enemies!$A$1,0,0,COUNTA([2]enemies!$A:$A),MATCH(X$1,[2]enemies!$2:$2,0)-MATCH($I$1,[2]enemies!$2:$2,0)+1),MATCH(X$1,[2]enemies!$2:$2,0)-MATCH($I$1,[2]enemies!$2:$2,0)+1,FALSE)</f>
        <v>#N/A</v>
      </c>
      <c r="Y79" s="31">
        <v>13</v>
      </c>
      <c r="Z79" s="5" t="str">
        <f ca="1">IFERROR(VLOOKUP($Y79,OFFSET([3]characters!$A$1,0,0,COUNTA([3]characters!$A:$A),MATCH(Z$1,[3]characters!$2:$2,0)-MATCH("character_id",[3]characters!$2:$2,0)+1),MATCH(Z$1,[3]characters!$2:$2,0)-MATCH("character_id",[3]characters!$2:$2,0)+1,FALSE),"")</f>
        <v/>
      </c>
      <c r="AA79" s="5" t="str">
        <f ca="1">IFERROR(VLOOKUP($Y79,OFFSET([3]characters!$A$1,0,0,COUNTA([3]characters!$A:$A),MATCH(AA$1,[3]characters!$2:$2,0)-MATCH("character_id",[3]characters!$2:$2,0)+1),MATCH(AA$1,[3]characters!$2:$2,0)-MATCH("character_id",[3]characters!$2:$2,0)+1,FALSE),"")</f>
        <v/>
      </c>
      <c r="AB79" s="5" t="str">
        <f ca="1">IFERROR(VLOOKUP($Y79,OFFSET([3]characters!$A$1,0,0,COUNTA([3]characters!$A:$A),MATCH(AB$1,[3]characters!$2:$2,0)-MATCH("character_id",[3]characters!$2:$2,0)+1),MATCH(AB$1,[3]characters!$2:$2,0)-MATCH("character_id",[3]characters!$2:$2,0)+1,FALSE),"")</f>
        <v/>
      </c>
      <c r="AC79" s="8">
        <v>1</v>
      </c>
      <c r="AD79" s="8" t="str">
        <f t="shared" ca="1" si="46"/>
        <v/>
      </c>
      <c r="AE79" s="9">
        <v>30</v>
      </c>
      <c r="AF79" s="38">
        <v>0</v>
      </c>
      <c r="AG79" s="38">
        <v>0</v>
      </c>
      <c r="AH79" s="38">
        <v>0</v>
      </c>
      <c r="AI79" s="38">
        <v>0</v>
      </c>
      <c r="AJ79" s="38">
        <v>1</v>
      </c>
    </row>
    <row r="80" spans="1:36" ht="21" customHeight="1" x14ac:dyDescent="0.15">
      <c r="A80" s="21" t="e">
        <f t="shared" ca="1" si="2"/>
        <v>#N/A</v>
      </c>
      <c r="B80" s="33">
        <v>4</v>
      </c>
      <c r="C80" s="32">
        <v>2</v>
      </c>
      <c r="D80" s="2" t="str">
        <f t="shared" si="24"/>
        <v>4_2</v>
      </c>
      <c r="E80" s="5" t="str">
        <f ca="1">VLOOKUP($B80,OFFSET([1]quests!$A$1,0,0,COUNTA([1]quests!$A:$A),MATCH(E$1,[1]quests!$1:$1,0)-MATCH($B$1,[1]quests!$1:$1,0)+1),MATCH(E$1,[1]quests!$1:$1,0)-MATCH($B$1,[1]quests!$1:$1,0)+1,FALSE)</f>
        <v>4．イエロープラント</v>
      </c>
      <c r="F80" s="5" t="str">
        <f ca="1">VLOOKUP($D80,OFFSET([1]stages!$A$1,0,0,COUNTA([1]stages!$A:$A),MATCH(F$1,[1]stages!$2:$2,0)-MATCH($D$1,[1]stages!$2:$2,0)+1),MATCH(F$1,[1]stages!$2:$2,0)-MATCH($D$1,[1]stages!$2:$2,0)+1,FALSE)</f>
        <v>4-2. 振りかざされる木槌</v>
      </c>
      <c r="G80" s="32">
        <v>2</v>
      </c>
      <c r="H80" s="20" t="str">
        <f t="shared" si="25"/>
        <v>4_2-2</v>
      </c>
      <c r="I80" s="31">
        <v>19</v>
      </c>
      <c r="J80" s="26" t="e">
        <f ca="1">VLOOKUP($I80,OFFSET([2]enemies!$A$1,0,0,COUNTA([2]enemies!$A:$A),MATCH(J$1,[2]enemies!$2:$2,0)-MATCH($I$1,[2]enemies!$2:$2,0)+1),MATCH(J$1,[2]enemies!$2:$2,0)-MATCH($I$1,[2]enemies!$2:$2,0)+1,FALSE)</f>
        <v>#N/A</v>
      </c>
      <c r="K80" s="29" t="e">
        <f ca="1">VLOOKUP($I80,OFFSET([2]enemies!$A$1,0,0,COUNTA([2]enemies!$A:$A),MATCH(K$1,[2]enemies!$2:$2,0)-MATCH($I$1,[2]enemies!$2:$2,0)+1),MATCH(K$1,[2]enemies!$2:$2,0)-MATCH($I$1,[2]enemies!$2:$2,0)+1,FALSE)</f>
        <v>#N/A</v>
      </c>
      <c r="L80" s="29" t="e">
        <f ca="1">VLOOKUP($I80,OFFSET([3]characters!$A$1,0,0,COUNTA([3]characters!$A:$A),MATCH(L$1,[3]characters!$2:$2,0)-MATCH($I$1,[3]characters!$2:$2,0)+1),MATCH(L$1,[3]characters!$2:$2,0)-MATCH($I$1,[3]characters!$2:$2,0)+1,FALSE)</f>
        <v>#N/A</v>
      </c>
      <c r="M80" s="28" t="e">
        <f ca="1">VLOOKUP($I80,OFFSET([3]characters!$A$1,0,0,COUNTA([3]characters!$A:$A),MATCH(M$1,[3]characters!$2:$2,0)-MATCH($I$1,[3]characters!$2:$2,0)+2),MATCH(M$1,[3]characters!$2:$2,0)-MATCH($I$1,[3]characters!$2:$2,0)+2,FALSE)</f>
        <v>#N/A</v>
      </c>
      <c r="N80" s="5" t="e">
        <f ca="1">VLOOKUP($I80,OFFSET([2]enemies!$A$1,0,0,COUNTA([2]enemies!$A:$A),MATCH(N$1,[2]enemies!$2:$2,0)-MATCH($I$1,[2]enemies!$2:$2,0)+1),MATCH(N$1,[2]enemies!$2:$2,0)-MATCH($I$1,[2]enemies!$2:$2,0)+1,FALSE)</f>
        <v>#N/A</v>
      </c>
      <c r="O80" s="6">
        <v>5</v>
      </c>
      <c r="P80" s="43">
        <v>1</v>
      </c>
      <c r="Q80" s="43">
        <v>1</v>
      </c>
      <c r="R80" s="6">
        <v>0</v>
      </c>
      <c r="S80" s="5" t="str">
        <f ca="1">VLOOKUP($T80,OFFSET([4]enemy_skill_sets!$B$1,0,0,COUNTA([4]enemy_skill_sets!$B:$B),MATCH(J$1,[4]enemy_skill_sets!$1:$1,0)-MATCH($T$1,[4]enemy_skill_sets!$1:$1,0)+2),MATCH(J$1,[4]enemy_skill_sets!$1:$1,0)-MATCH($T$1,[4]enemy_skill_sets!$1:$1,0)+2,FALSE)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0" s="5">
        <v>0</v>
      </c>
      <c r="U80" s="7">
        <v>0</v>
      </c>
      <c r="V80" s="7">
        <v>100</v>
      </c>
      <c r="W80" s="7">
        <v>0</v>
      </c>
      <c r="X80" s="26" t="e">
        <f ca="1">VLOOKUP($I80,OFFSET([2]enemies!$A$1,0,0,COUNTA([2]enemies!$A:$A),MATCH(X$1,[2]enemies!$2:$2,0)-MATCH($I$1,[2]enemies!$2:$2,0)+1),MATCH(X$1,[2]enemies!$2:$2,0)-MATCH($I$1,[2]enemies!$2:$2,0)+1,FALSE)</f>
        <v>#N/A</v>
      </c>
      <c r="Y80" s="31">
        <v>19</v>
      </c>
      <c r="Z80" s="5" t="str">
        <f ca="1">IFERROR(VLOOKUP($Y80,OFFSET([3]characters!$A$1,0,0,COUNTA([3]characters!$A:$A),MATCH(Z$1,[3]characters!$2:$2,0)-MATCH("character_id",[3]characters!$2:$2,0)+1),MATCH(Z$1,[3]characters!$2:$2,0)-MATCH("character_id",[3]characters!$2:$2,0)+1,FALSE),"")</f>
        <v/>
      </c>
      <c r="AA80" s="5" t="str">
        <f ca="1">IFERROR(VLOOKUP($Y80,OFFSET([3]characters!$A$1,0,0,COUNTA([3]characters!$A:$A),MATCH(AA$1,[3]characters!$2:$2,0)-MATCH("character_id",[3]characters!$2:$2,0)+1),MATCH(AA$1,[3]characters!$2:$2,0)-MATCH("character_id",[3]characters!$2:$2,0)+1,FALSE),"")</f>
        <v/>
      </c>
      <c r="AB80" s="5" t="str">
        <f ca="1">IFERROR(VLOOKUP($Y80,OFFSET([3]characters!$A$1,0,0,COUNTA([3]characters!$A:$A),MATCH(AB$1,[3]characters!$2:$2,0)-MATCH("character_id",[3]characters!$2:$2,0)+1),MATCH(AB$1,[3]characters!$2:$2,0)-MATCH("character_id",[3]characters!$2:$2,0)+1,FALSE),"")</f>
        <v/>
      </c>
      <c r="AC80" s="8">
        <v>1</v>
      </c>
      <c r="AD80" s="8" t="str">
        <f t="shared" ca="1" si="46"/>
        <v/>
      </c>
      <c r="AE80" s="9">
        <v>30</v>
      </c>
      <c r="AF80" s="38">
        <v>0</v>
      </c>
      <c r="AG80" s="38">
        <v>0</v>
      </c>
      <c r="AH80" s="38">
        <v>0</v>
      </c>
      <c r="AI80" s="38">
        <v>0</v>
      </c>
      <c r="AJ80" s="38">
        <v>1</v>
      </c>
    </row>
    <row r="81" spans="1:36" ht="21" customHeight="1" x14ac:dyDescent="0.15">
      <c r="A81" s="21" t="e">
        <f t="shared" ca="1" si="2"/>
        <v>#N/A</v>
      </c>
      <c r="B81" s="33">
        <v>4</v>
      </c>
      <c r="C81" s="32">
        <v>2</v>
      </c>
      <c r="D81" s="2" t="str">
        <f t="shared" si="24"/>
        <v>4_2</v>
      </c>
      <c r="E81" s="5" t="str">
        <f ca="1">VLOOKUP($B81,OFFSET([1]quests!$A$1,0,0,COUNTA([1]quests!$A:$A),MATCH(E$1,[1]quests!$1:$1,0)-MATCH($B$1,[1]quests!$1:$1,0)+1),MATCH(E$1,[1]quests!$1:$1,0)-MATCH($B$1,[1]quests!$1:$1,0)+1,FALSE)</f>
        <v>4．イエロープラント</v>
      </c>
      <c r="F81" s="5" t="str">
        <f ca="1">VLOOKUP($D81,OFFSET([1]stages!$A$1,0,0,COUNTA([1]stages!$A:$A),MATCH(F$1,[1]stages!$2:$2,0)-MATCH($D$1,[1]stages!$2:$2,0)+1),MATCH(F$1,[1]stages!$2:$2,0)-MATCH($D$1,[1]stages!$2:$2,0)+1,FALSE)</f>
        <v>4-2. 振りかざされる木槌</v>
      </c>
      <c r="G81" s="32">
        <v>2</v>
      </c>
      <c r="H81" s="20" t="str">
        <f t="shared" si="25"/>
        <v>4_2-2</v>
      </c>
      <c r="I81" s="31">
        <v>113</v>
      </c>
      <c r="J81" s="26" t="e">
        <f ca="1">VLOOKUP($I81,OFFSET([2]enemies!$A$1,0,0,COUNTA([2]enemies!$A:$A),MATCH(J$1,[2]enemies!$2:$2,0)-MATCH($I$1,[2]enemies!$2:$2,0)+1),MATCH(J$1,[2]enemies!$2:$2,0)-MATCH($I$1,[2]enemies!$2:$2,0)+1,FALSE)</f>
        <v>#N/A</v>
      </c>
      <c r="K81" s="29" t="e">
        <f ca="1">VLOOKUP($I81,OFFSET([2]enemies!$A$1,0,0,COUNTA([2]enemies!$A:$A),MATCH(K$1,[2]enemies!$2:$2,0)-MATCH($I$1,[2]enemies!$2:$2,0)+1),MATCH(K$1,[2]enemies!$2:$2,0)-MATCH($I$1,[2]enemies!$2:$2,0)+1,FALSE)</f>
        <v>#N/A</v>
      </c>
      <c r="L81" s="29" t="e">
        <f ca="1">VLOOKUP($I81,OFFSET([3]characters!$A$1,0,0,COUNTA([3]characters!$A:$A),MATCH(L$1,[3]characters!$2:$2,0)-MATCH($I$1,[3]characters!$2:$2,0)+1),MATCH(L$1,[3]characters!$2:$2,0)-MATCH($I$1,[3]characters!$2:$2,0)+1,FALSE)</f>
        <v>#N/A</v>
      </c>
      <c r="M81" s="28" t="e">
        <f ca="1">VLOOKUP($I81,OFFSET([3]characters!$A$1,0,0,COUNTA([3]characters!$A:$A),MATCH(M$1,[3]characters!$2:$2,0)-MATCH($I$1,[3]characters!$2:$2,0)+2),MATCH(M$1,[3]characters!$2:$2,0)-MATCH($I$1,[3]characters!$2:$2,0)+2,FALSE)</f>
        <v>#N/A</v>
      </c>
      <c r="N81" s="5" t="e">
        <f ca="1">VLOOKUP($I81,OFFSET([2]enemies!$A$1,0,0,COUNTA([2]enemies!$A:$A),MATCH(N$1,[2]enemies!$2:$2,0)-MATCH($I$1,[2]enemies!$2:$2,0)+1),MATCH(N$1,[2]enemies!$2:$2,0)-MATCH($I$1,[2]enemies!$2:$2,0)+1,FALSE)</f>
        <v>#N/A</v>
      </c>
      <c r="O81" s="6">
        <v>5</v>
      </c>
      <c r="P81" s="43">
        <v>1</v>
      </c>
      <c r="Q81" s="43">
        <v>1</v>
      </c>
      <c r="R81" s="6">
        <v>0</v>
      </c>
      <c r="S81" s="5" t="str">
        <f ca="1">VLOOKUP($T81,OFFSET([4]enemy_skill_sets!$B$1,0,0,COUNTA([4]enemy_skill_sets!$B:$B),MATCH(J$1,[4]enemy_skill_sets!$1:$1,0)-MATCH($T$1,[4]enemy_skill_sets!$1:$1,0)+2),MATCH(J$1,[4]enemy_skill_sets!$1:$1,0)-MATCH($T$1,[4]enemy_skill_sets!$1:$1,0)+2,FALSE)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1" s="5">
        <v>0</v>
      </c>
      <c r="U81" s="7">
        <v>0</v>
      </c>
      <c r="V81" s="7">
        <v>50</v>
      </c>
      <c r="W81" s="7">
        <v>0</v>
      </c>
      <c r="X81" s="26" t="e">
        <f ca="1">VLOOKUP($I81,OFFSET([2]enemies!$A$1,0,0,COUNTA([2]enemies!$A:$A),MATCH(X$1,[2]enemies!$2:$2,0)-MATCH($I$1,[2]enemies!$2:$2,0)+1),MATCH(X$1,[2]enemies!$2:$2,0)-MATCH($I$1,[2]enemies!$2:$2,0)+1,FALSE)</f>
        <v>#N/A</v>
      </c>
      <c r="Y81" s="31">
        <v>113</v>
      </c>
      <c r="Z81" s="5" t="str">
        <f ca="1">IFERROR(VLOOKUP($Y81,OFFSET([3]characters!$A$1,0,0,COUNTA([3]characters!$A:$A),MATCH(Z$1,[3]characters!$2:$2,0)-MATCH("character_id",[3]characters!$2:$2,0)+1),MATCH(Z$1,[3]characters!$2:$2,0)-MATCH("character_id",[3]characters!$2:$2,0)+1,FALSE),"")</f>
        <v/>
      </c>
      <c r="AA81" s="5" t="str">
        <f ca="1">IFERROR(VLOOKUP($Y81,OFFSET([3]characters!$A$1,0,0,COUNTA([3]characters!$A:$A),MATCH(AA$1,[3]characters!$2:$2,0)-MATCH("character_id",[3]characters!$2:$2,0)+1),MATCH(AA$1,[3]characters!$2:$2,0)-MATCH("character_id",[3]characters!$2:$2,0)+1,FALSE),"")</f>
        <v/>
      </c>
      <c r="AB81" s="5" t="str">
        <f ca="1">IFERROR(VLOOKUP($Y81,OFFSET([3]characters!$A$1,0,0,COUNTA([3]characters!$A:$A),MATCH(AB$1,[3]characters!$2:$2,0)-MATCH("character_id",[3]characters!$2:$2,0)+1),MATCH(AB$1,[3]characters!$2:$2,0)-MATCH("character_id",[3]characters!$2:$2,0)+1,FALSE),"")</f>
        <v/>
      </c>
      <c r="AC81" s="8">
        <v>1</v>
      </c>
      <c r="AD81" s="8" t="str">
        <f t="shared" ca="1" si="46"/>
        <v/>
      </c>
      <c r="AE81" s="9">
        <v>20</v>
      </c>
      <c r="AF81" s="38">
        <v>0</v>
      </c>
      <c r="AG81" s="38">
        <v>0</v>
      </c>
      <c r="AH81" s="38">
        <v>0</v>
      </c>
      <c r="AI81" s="38">
        <v>0</v>
      </c>
      <c r="AJ81" s="38">
        <v>1</v>
      </c>
    </row>
    <row r="82" spans="1:36" ht="21" customHeight="1" x14ac:dyDescent="0.15">
      <c r="A82" s="21" t="e">
        <f ca="1">B82&amp;"_"&amp;C82&amp;"-"&amp;G82&amp;"/"&amp;I82&amp;"&lt;lv"&amp;O82&amp;"&gt;s"&amp;X82</f>
        <v>#N/A</v>
      </c>
      <c r="B82" s="33">
        <v>4</v>
      </c>
      <c r="C82" s="32">
        <v>2</v>
      </c>
      <c r="D82" s="2" t="str">
        <f t="shared" ref="D82:D85" si="55">B82&amp;"_"&amp;C82</f>
        <v>4_2</v>
      </c>
      <c r="E82" s="5" t="str">
        <f ca="1">VLOOKUP($B82,OFFSET([1]quests!$A$1,0,0,COUNTA([1]quests!$A:$A),MATCH(E$1,[1]quests!$1:$1,0)-MATCH($B$1,[1]quests!$1:$1,0)+1),MATCH(E$1,[1]quests!$1:$1,0)-MATCH($B$1,[1]quests!$1:$1,0)+1,FALSE)</f>
        <v>4．イエロープラント</v>
      </c>
      <c r="F82" s="5" t="str">
        <f ca="1">VLOOKUP($D82,OFFSET([1]stages!$A$1,0,0,COUNTA([1]stages!$A:$A),MATCH(F$1,[1]stages!$2:$2,0)-MATCH($D$1,[1]stages!$2:$2,0)+1),MATCH(F$1,[1]stages!$2:$2,0)-MATCH($D$1,[1]stages!$2:$2,0)+1,FALSE)</f>
        <v>4-2. 振りかざされる木槌</v>
      </c>
      <c r="G82" s="32">
        <v>3</v>
      </c>
      <c r="H82" s="20" t="str">
        <f t="shared" ref="H82:H85" si="56">B82&amp;"_"&amp;C82&amp;"-"&amp;G82</f>
        <v>4_2-3</v>
      </c>
      <c r="I82" s="31">
        <v>7</v>
      </c>
      <c r="J82" s="26" t="e">
        <f ca="1">VLOOKUP($I82,OFFSET([2]enemies!$A$1,0,0,COUNTA([2]enemies!$A:$A),MATCH(J$1,[2]enemies!$2:$2,0)-MATCH($I$1,[2]enemies!$2:$2,0)+1),MATCH(J$1,[2]enemies!$2:$2,0)-MATCH($I$1,[2]enemies!$2:$2,0)+1,FALSE)</f>
        <v>#N/A</v>
      </c>
      <c r="K82" s="29" t="e">
        <f ca="1">VLOOKUP($I82,OFFSET([2]enemies!$A$1,0,0,COUNTA([2]enemies!$A:$A),MATCH(K$1,[2]enemies!$2:$2,0)-MATCH($I$1,[2]enemies!$2:$2,0)+1),MATCH(K$1,[2]enemies!$2:$2,0)-MATCH($I$1,[2]enemies!$2:$2,0)+1,FALSE)</f>
        <v>#N/A</v>
      </c>
      <c r="L82" s="29" t="e">
        <f ca="1">VLOOKUP($I82,OFFSET([3]characters!$A$1,0,0,COUNTA([3]characters!$A:$A),MATCH(L$1,[3]characters!$2:$2,0)-MATCH($I$1,[3]characters!$2:$2,0)+1),MATCH(L$1,[3]characters!$2:$2,0)-MATCH($I$1,[3]characters!$2:$2,0)+1,FALSE)</f>
        <v>#N/A</v>
      </c>
      <c r="M82" s="28" t="e">
        <f ca="1">VLOOKUP($I82,OFFSET([3]characters!$A$1,0,0,COUNTA([3]characters!$A:$A),MATCH(M$1,[3]characters!$2:$2,0)-MATCH($I$1,[3]characters!$2:$2,0)+2),MATCH(M$1,[3]characters!$2:$2,0)-MATCH($I$1,[3]characters!$2:$2,0)+2,FALSE)</f>
        <v>#N/A</v>
      </c>
      <c r="N82" s="5" t="e">
        <f ca="1">VLOOKUP($I82,OFFSET([2]enemies!$A$1,0,0,COUNTA([2]enemies!$A:$A),MATCH(N$1,[2]enemies!$2:$2,0)-MATCH($I$1,[2]enemies!$2:$2,0)+1),MATCH(N$1,[2]enemies!$2:$2,0)-MATCH($I$1,[2]enemies!$2:$2,0)+1,FALSE)</f>
        <v>#N/A</v>
      </c>
      <c r="O82" s="6">
        <v>5</v>
      </c>
      <c r="P82" s="43">
        <v>1</v>
      </c>
      <c r="Q82" s="43">
        <v>1</v>
      </c>
      <c r="R82" s="6">
        <v>0</v>
      </c>
      <c r="S82" s="5" t="str">
        <f ca="1">VLOOKUP($T82,OFFSET([4]enemy_skill_sets!$B$1,0,0,COUNTA([4]enemy_skill_sets!$B:$B),MATCH(J$1,[4]enemy_skill_sets!$1:$1,0)-MATCH($T$1,[4]enemy_skill_sets!$1:$1,0)+2),MATCH(J$1,[4]enemy_skill_sets!$1:$1,0)-MATCH($T$1,[4]enemy_skill_sets!$1:$1,0)+2,FALSE)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2" s="5">
        <v>0</v>
      </c>
      <c r="U82" s="7">
        <v>0</v>
      </c>
      <c r="V82" s="7">
        <v>100</v>
      </c>
      <c r="W82" s="7">
        <v>0</v>
      </c>
      <c r="X82" s="26" t="e">
        <f ca="1">VLOOKUP($I82,OFFSET([2]enemies!$A$1,0,0,COUNTA([2]enemies!$A:$A),MATCH(X$1,[2]enemies!$2:$2,0)-MATCH($I$1,[2]enemies!$2:$2,0)+1),MATCH(X$1,[2]enemies!$2:$2,0)-MATCH($I$1,[2]enemies!$2:$2,0)+1,FALSE)</f>
        <v>#N/A</v>
      </c>
      <c r="Y82" s="31">
        <v>7</v>
      </c>
      <c r="Z82" s="5" t="str">
        <f ca="1">IFERROR(VLOOKUP($Y82,OFFSET([3]characters!$A$1,0,0,COUNTA([3]characters!$A:$A),MATCH(Z$1,[3]characters!$2:$2,0)-MATCH("character_id",[3]characters!$2:$2,0)+1),MATCH(Z$1,[3]characters!$2:$2,0)-MATCH("character_id",[3]characters!$2:$2,0)+1,FALSE),"")</f>
        <v/>
      </c>
      <c r="AA82" s="5" t="str">
        <f ca="1">IFERROR(VLOOKUP($Y82,OFFSET([3]characters!$A$1,0,0,COUNTA([3]characters!$A:$A),MATCH(AA$1,[3]characters!$2:$2,0)-MATCH("character_id",[3]characters!$2:$2,0)+1),MATCH(AA$1,[3]characters!$2:$2,0)-MATCH("character_id",[3]characters!$2:$2,0)+1,FALSE),"")</f>
        <v/>
      </c>
      <c r="AB82" s="5" t="str">
        <f ca="1">IFERROR(VLOOKUP($Y82,OFFSET([3]characters!$A$1,0,0,COUNTA([3]characters!$A:$A),MATCH(AB$1,[3]characters!$2:$2,0)-MATCH("character_id",[3]characters!$2:$2,0)+1),MATCH(AB$1,[3]characters!$2:$2,0)-MATCH("character_id",[3]characters!$2:$2,0)+1,FALSE),"")</f>
        <v/>
      </c>
      <c r="AC82" s="8">
        <v>2</v>
      </c>
      <c r="AD82" s="8" t="str">
        <f t="shared" ref="AD82:AD85" ca="1" si="57">AA82</f>
        <v/>
      </c>
      <c r="AE82" s="9">
        <v>30</v>
      </c>
      <c r="AF82" s="38">
        <v>0</v>
      </c>
      <c r="AG82" s="38">
        <v>0</v>
      </c>
      <c r="AH82" s="38">
        <v>0</v>
      </c>
      <c r="AI82" s="38">
        <v>0</v>
      </c>
      <c r="AJ82" s="38">
        <v>1</v>
      </c>
    </row>
    <row r="83" spans="1:36" ht="21" customHeight="1" x14ac:dyDescent="0.15">
      <c r="A83" s="21" t="e">
        <f t="shared" ref="A83:A85" ca="1" si="58">B83&amp;"_"&amp;C83&amp;"-"&amp;G83&amp;"/"&amp;I83&amp;"&lt;lv"&amp;O83&amp;"&gt;s"&amp;X83</f>
        <v>#N/A</v>
      </c>
      <c r="B83" s="33">
        <v>4</v>
      </c>
      <c r="C83" s="32">
        <v>2</v>
      </c>
      <c r="D83" s="2" t="str">
        <f t="shared" si="55"/>
        <v>4_2</v>
      </c>
      <c r="E83" s="5" t="str">
        <f ca="1">VLOOKUP($B83,OFFSET([1]quests!$A$1,0,0,COUNTA([1]quests!$A:$A),MATCH(E$1,[1]quests!$1:$1,0)-MATCH($B$1,[1]quests!$1:$1,0)+1),MATCH(E$1,[1]quests!$1:$1,0)-MATCH($B$1,[1]quests!$1:$1,0)+1,FALSE)</f>
        <v>4．イエロープラント</v>
      </c>
      <c r="F83" s="5" t="str">
        <f ca="1">VLOOKUP($D83,OFFSET([1]stages!$A$1,0,0,COUNTA([1]stages!$A:$A),MATCH(F$1,[1]stages!$2:$2,0)-MATCH($D$1,[1]stages!$2:$2,0)+1),MATCH(F$1,[1]stages!$2:$2,0)-MATCH($D$1,[1]stages!$2:$2,0)+1,FALSE)</f>
        <v>4-2. 振りかざされる木槌</v>
      </c>
      <c r="G83" s="32">
        <v>3</v>
      </c>
      <c r="H83" s="20" t="str">
        <f t="shared" si="56"/>
        <v>4_2-3</v>
      </c>
      <c r="I83" s="31">
        <v>13</v>
      </c>
      <c r="J83" s="26" t="e">
        <f ca="1">VLOOKUP($I83,OFFSET([2]enemies!$A$1,0,0,COUNTA([2]enemies!$A:$A),MATCH(J$1,[2]enemies!$2:$2,0)-MATCH($I$1,[2]enemies!$2:$2,0)+1),MATCH(J$1,[2]enemies!$2:$2,0)-MATCH($I$1,[2]enemies!$2:$2,0)+1,FALSE)</f>
        <v>#N/A</v>
      </c>
      <c r="K83" s="29" t="e">
        <f ca="1">VLOOKUP($I83,OFFSET([2]enemies!$A$1,0,0,COUNTA([2]enemies!$A:$A),MATCH(K$1,[2]enemies!$2:$2,0)-MATCH($I$1,[2]enemies!$2:$2,0)+1),MATCH(K$1,[2]enemies!$2:$2,0)-MATCH($I$1,[2]enemies!$2:$2,0)+1,FALSE)</f>
        <v>#N/A</v>
      </c>
      <c r="L83" s="29" t="e">
        <f ca="1">VLOOKUP($I83,OFFSET([3]characters!$A$1,0,0,COUNTA([3]characters!$A:$A),MATCH(L$1,[3]characters!$2:$2,0)-MATCH($I$1,[3]characters!$2:$2,0)+1),MATCH(L$1,[3]characters!$2:$2,0)-MATCH($I$1,[3]characters!$2:$2,0)+1,FALSE)</f>
        <v>#N/A</v>
      </c>
      <c r="M83" s="28" t="e">
        <f ca="1">VLOOKUP($I83,OFFSET([3]characters!$A$1,0,0,COUNTA([3]characters!$A:$A),MATCH(M$1,[3]characters!$2:$2,0)-MATCH($I$1,[3]characters!$2:$2,0)+2),MATCH(M$1,[3]characters!$2:$2,0)-MATCH($I$1,[3]characters!$2:$2,0)+2,FALSE)</f>
        <v>#N/A</v>
      </c>
      <c r="N83" s="5" t="e">
        <f ca="1">VLOOKUP($I83,OFFSET([2]enemies!$A$1,0,0,COUNTA([2]enemies!$A:$A),MATCH(N$1,[2]enemies!$2:$2,0)-MATCH($I$1,[2]enemies!$2:$2,0)+1),MATCH(N$1,[2]enemies!$2:$2,0)-MATCH($I$1,[2]enemies!$2:$2,0)+1,FALSE)</f>
        <v>#N/A</v>
      </c>
      <c r="O83" s="6">
        <v>5</v>
      </c>
      <c r="P83" s="43">
        <v>1</v>
      </c>
      <c r="Q83" s="43">
        <v>1</v>
      </c>
      <c r="R83" s="6">
        <v>0</v>
      </c>
      <c r="S83" s="5" t="str">
        <f ca="1">VLOOKUP($T83,OFFSET([4]enemy_skill_sets!$B$1,0,0,COUNTA([4]enemy_skill_sets!$B:$B),MATCH(J$1,[4]enemy_skill_sets!$1:$1,0)-MATCH($T$1,[4]enemy_skill_sets!$1:$1,0)+2),MATCH(J$1,[4]enemy_skill_sets!$1:$1,0)-MATCH($T$1,[4]enemy_skill_sets!$1:$1,0)+2,FALSE)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3" s="5">
        <v>0</v>
      </c>
      <c r="U83" s="7">
        <v>0</v>
      </c>
      <c r="V83" s="7">
        <v>100</v>
      </c>
      <c r="W83" s="7">
        <v>0</v>
      </c>
      <c r="X83" s="26" t="e">
        <f ca="1">VLOOKUP($I83,OFFSET([2]enemies!$A$1,0,0,COUNTA([2]enemies!$A:$A),MATCH(X$1,[2]enemies!$2:$2,0)-MATCH($I$1,[2]enemies!$2:$2,0)+1),MATCH(X$1,[2]enemies!$2:$2,0)-MATCH($I$1,[2]enemies!$2:$2,0)+1,FALSE)</f>
        <v>#N/A</v>
      </c>
      <c r="Y83" s="31">
        <v>13</v>
      </c>
      <c r="Z83" s="5" t="str">
        <f ca="1">IFERROR(VLOOKUP($Y83,OFFSET([3]characters!$A$1,0,0,COUNTA([3]characters!$A:$A),MATCH(Z$1,[3]characters!$2:$2,0)-MATCH("character_id",[3]characters!$2:$2,0)+1),MATCH(Z$1,[3]characters!$2:$2,0)-MATCH("character_id",[3]characters!$2:$2,0)+1,FALSE),"")</f>
        <v/>
      </c>
      <c r="AA83" s="5" t="str">
        <f ca="1">IFERROR(VLOOKUP($Y83,OFFSET([3]characters!$A$1,0,0,COUNTA([3]characters!$A:$A),MATCH(AA$1,[3]characters!$2:$2,0)-MATCH("character_id",[3]characters!$2:$2,0)+1),MATCH(AA$1,[3]characters!$2:$2,0)-MATCH("character_id",[3]characters!$2:$2,0)+1,FALSE),"")</f>
        <v/>
      </c>
      <c r="AB83" s="5" t="str">
        <f ca="1">IFERROR(VLOOKUP($Y83,OFFSET([3]characters!$A$1,0,0,COUNTA([3]characters!$A:$A),MATCH(AB$1,[3]characters!$2:$2,0)-MATCH("character_id",[3]characters!$2:$2,0)+1),MATCH(AB$1,[3]characters!$2:$2,0)-MATCH("character_id",[3]characters!$2:$2,0)+1,FALSE),"")</f>
        <v/>
      </c>
      <c r="AC83" s="8">
        <v>1</v>
      </c>
      <c r="AD83" s="8" t="str">
        <f t="shared" ca="1" si="57"/>
        <v/>
      </c>
      <c r="AE83" s="9">
        <v>30</v>
      </c>
      <c r="AF83" s="38">
        <v>0</v>
      </c>
      <c r="AG83" s="38">
        <v>0</v>
      </c>
      <c r="AH83" s="38">
        <v>0</v>
      </c>
      <c r="AI83" s="38">
        <v>0</v>
      </c>
      <c r="AJ83" s="38">
        <v>1</v>
      </c>
    </row>
    <row r="84" spans="1:36" ht="21" customHeight="1" x14ac:dyDescent="0.15">
      <c r="A84" s="21" t="e">
        <f t="shared" ca="1" si="58"/>
        <v>#N/A</v>
      </c>
      <c r="B84" s="33">
        <v>4</v>
      </c>
      <c r="C84" s="32">
        <v>2</v>
      </c>
      <c r="D84" s="2" t="str">
        <f t="shared" si="55"/>
        <v>4_2</v>
      </c>
      <c r="E84" s="5" t="str">
        <f ca="1">VLOOKUP($B84,OFFSET([1]quests!$A$1,0,0,COUNTA([1]quests!$A:$A),MATCH(E$1,[1]quests!$1:$1,0)-MATCH($B$1,[1]quests!$1:$1,0)+1),MATCH(E$1,[1]quests!$1:$1,0)-MATCH($B$1,[1]quests!$1:$1,0)+1,FALSE)</f>
        <v>4．イエロープラント</v>
      </c>
      <c r="F84" s="5" t="str">
        <f ca="1">VLOOKUP($D84,OFFSET([1]stages!$A$1,0,0,COUNTA([1]stages!$A:$A),MATCH(F$1,[1]stages!$2:$2,0)-MATCH($D$1,[1]stages!$2:$2,0)+1),MATCH(F$1,[1]stages!$2:$2,0)-MATCH($D$1,[1]stages!$2:$2,0)+1,FALSE)</f>
        <v>4-2. 振りかざされる木槌</v>
      </c>
      <c r="G84" s="32">
        <v>3</v>
      </c>
      <c r="H84" s="20" t="str">
        <f t="shared" si="56"/>
        <v>4_2-3</v>
      </c>
      <c r="I84" s="31">
        <v>19</v>
      </c>
      <c r="J84" s="26" t="e">
        <f ca="1">VLOOKUP($I84,OFFSET([2]enemies!$A$1,0,0,COUNTA([2]enemies!$A:$A),MATCH(J$1,[2]enemies!$2:$2,0)-MATCH($I$1,[2]enemies!$2:$2,0)+1),MATCH(J$1,[2]enemies!$2:$2,0)-MATCH($I$1,[2]enemies!$2:$2,0)+1,FALSE)</f>
        <v>#N/A</v>
      </c>
      <c r="K84" s="29" t="e">
        <f ca="1">VLOOKUP($I84,OFFSET([2]enemies!$A$1,0,0,COUNTA([2]enemies!$A:$A),MATCH(K$1,[2]enemies!$2:$2,0)-MATCH($I$1,[2]enemies!$2:$2,0)+1),MATCH(K$1,[2]enemies!$2:$2,0)-MATCH($I$1,[2]enemies!$2:$2,0)+1,FALSE)</f>
        <v>#N/A</v>
      </c>
      <c r="L84" s="29" t="e">
        <f ca="1">VLOOKUP($I84,OFFSET([3]characters!$A$1,0,0,COUNTA([3]characters!$A:$A),MATCH(L$1,[3]characters!$2:$2,0)-MATCH($I$1,[3]characters!$2:$2,0)+1),MATCH(L$1,[3]characters!$2:$2,0)-MATCH($I$1,[3]characters!$2:$2,0)+1,FALSE)</f>
        <v>#N/A</v>
      </c>
      <c r="M84" s="28" t="e">
        <f ca="1">VLOOKUP($I84,OFFSET([3]characters!$A$1,0,0,COUNTA([3]characters!$A:$A),MATCH(M$1,[3]characters!$2:$2,0)-MATCH($I$1,[3]characters!$2:$2,0)+2),MATCH(M$1,[3]characters!$2:$2,0)-MATCH($I$1,[3]characters!$2:$2,0)+2,FALSE)</f>
        <v>#N/A</v>
      </c>
      <c r="N84" s="5" t="e">
        <f ca="1">VLOOKUP($I84,OFFSET([2]enemies!$A$1,0,0,COUNTA([2]enemies!$A:$A),MATCH(N$1,[2]enemies!$2:$2,0)-MATCH($I$1,[2]enemies!$2:$2,0)+1),MATCH(N$1,[2]enemies!$2:$2,0)-MATCH($I$1,[2]enemies!$2:$2,0)+1,FALSE)</f>
        <v>#N/A</v>
      </c>
      <c r="O84" s="6">
        <v>5</v>
      </c>
      <c r="P84" s="43">
        <v>1</v>
      </c>
      <c r="Q84" s="43">
        <v>1</v>
      </c>
      <c r="R84" s="6">
        <v>0</v>
      </c>
      <c r="S84" s="5" t="str">
        <f ca="1">VLOOKUP($T84,OFFSET([4]enemy_skill_sets!$B$1,0,0,COUNTA([4]enemy_skill_sets!$B:$B),MATCH(J$1,[4]enemy_skill_sets!$1:$1,0)-MATCH($T$1,[4]enemy_skill_sets!$1:$1,0)+2),MATCH(J$1,[4]enemy_skill_sets!$1:$1,0)-MATCH($T$1,[4]enemy_skill_sets!$1:$1,0)+2,FALSE)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4" s="5">
        <v>0</v>
      </c>
      <c r="U84" s="7">
        <v>0</v>
      </c>
      <c r="V84" s="7">
        <v>100</v>
      </c>
      <c r="W84" s="7">
        <v>0</v>
      </c>
      <c r="X84" s="26" t="e">
        <f ca="1">VLOOKUP($I84,OFFSET([2]enemies!$A$1,0,0,COUNTA([2]enemies!$A:$A),MATCH(X$1,[2]enemies!$2:$2,0)-MATCH($I$1,[2]enemies!$2:$2,0)+1),MATCH(X$1,[2]enemies!$2:$2,0)-MATCH($I$1,[2]enemies!$2:$2,0)+1,FALSE)</f>
        <v>#N/A</v>
      </c>
      <c r="Y84" s="31">
        <v>19</v>
      </c>
      <c r="Z84" s="5" t="str">
        <f ca="1">IFERROR(VLOOKUP($Y84,OFFSET([3]characters!$A$1,0,0,COUNTA([3]characters!$A:$A),MATCH(Z$1,[3]characters!$2:$2,0)-MATCH("character_id",[3]characters!$2:$2,0)+1),MATCH(Z$1,[3]characters!$2:$2,0)-MATCH("character_id",[3]characters!$2:$2,0)+1,FALSE),"")</f>
        <v/>
      </c>
      <c r="AA84" s="5" t="str">
        <f ca="1">IFERROR(VLOOKUP($Y84,OFFSET([3]characters!$A$1,0,0,COUNTA([3]characters!$A:$A),MATCH(AA$1,[3]characters!$2:$2,0)-MATCH("character_id",[3]characters!$2:$2,0)+1),MATCH(AA$1,[3]characters!$2:$2,0)-MATCH("character_id",[3]characters!$2:$2,0)+1,FALSE),"")</f>
        <v/>
      </c>
      <c r="AB84" s="5" t="str">
        <f ca="1">IFERROR(VLOOKUP($Y84,OFFSET([3]characters!$A$1,0,0,COUNTA([3]characters!$A:$A),MATCH(AB$1,[3]characters!$2:$2,0)-MATCH("character_id",[3]characters!$2:$2,0)+1),MATCH(AB$1,[3]characters!$2:$2,0)-MATCH("character_id",[3]characters!$2:$2,0)+1,FALSE),"")</f>
        <v/>
      </c>
      <c r="AC84" s="8">
        <v>1</v>
      </c>
      <c r="AD84" s="8" t="str">
        <f t="shared" ca="1" si="57"/>
        <v/>
      </c>
      <c r="AE84" s="9">
        <v>30</v>
      </c>
      <c r="AF84" s="38">
        <v>0</v>
      </c>
      <c r="AG84" s="38">
        <v>0</v>
      </c>
      <c r="AH84" s="38">
        <v>0</v>
      </c>
      <c r="AI84" s="38">
        <v>0</v>
      </c>
      <c r="AJ84" s="38">
        <v>1</v>
      </c>
    </row>
    <row r="85" spans="1:36" ht="21" customHeight="1" x14ac:dyDescent="0.15">
      <c r="A85" s="21" t="e">
        <f t="shared" ca="1" si="58"/>
        <v>#N/A</v>
      </c>
      <c r="B85" s="33">
        <v>4</v>
      </c>
      <c r="C85" s="32">
        <v>2</v>
      </c>
      <c r="D85" s="2" t="str">
        <f t="shared" si="55"/>
        <v>4_2</v>
      </c>
      <c r="E85" s="5" t="str">
        <f ca="1">VLOOKUP($B85,OFFSET([1]quests!$A$1,0,0,COUNTA([1]quests!$A:$A),MATCH(E$1,[1]quests!$1:$1,0)-MATCH($B$1,[1]quests!$1:$1,0)+1),MATCH(E$1,[1]quests!$1:$1,0)-MATCH($B$1,[1]quests!$1:$1,0)+1,FALSE)</f>
        <v>4．イエロープラント</v>
      </c>
      <c r="F85" s="5" t="str">
        <f ca="1">VLOOKUP($D85,OFFSET([1]stages!$A$1,0,0,COUNTA([1]stages!$A:$A),MATCH(F$1,[1]stages!$2:$2,0)-MATCH($D$1,[1]stages!$2:$2,0)+1),MATCH(F$1,[1]stages!$2:$2,0)-MATCH($D$1,[1]stages!$2:$2,0)+1,FALSE)</f>
        <v>4-2. 振りかざされる木槌</v>
      </c>
      <c r="G85" s="32">
        <v>3</v>
      </c>
      <c r="H85" s="20" t="str">
        <f t="shared" si="56"/>
        <v>4_2-3</v>
      </c>
      <c r="I85" s="31">
        <v>113</v>
      </c>
      <c r="J85" s="26" t="e">
        <f ca="1">VLOOKUP($I85,OFFSET([2]enemies!$A$1,0,0,COUNTA([2]enemies!$A:$A),MATCH(J$1,[2]enemies!$2:$2,0)-MATCH($I$1,[2]enemies!$2:$2,0)+1),MATCH(J$1,[2]enemies!$2:$2,0)-MATCH($I$1,[2]enemies!$2:$2,0)+1,FALSE)</f>
        <v>#N/A</v>
      </c>
      <c r="K85" s="29" t="e">
        <f ca="1">VLOOKUP($I85,OFFSET([2]enemies!$A$1,0,0,COUNTA([2]enemies!$A:$A),MATCH(K$1,[2]enemies!$2:$2,0)-MATCH($I$1,[2]enemies!$2:$2,0)+1),MATCH(K$1,[2]enemies!$2:$2,0)-MATCH($I$1,[2]enemies!$2:$2,0)+1,FALSE)</f>
        <v>#N/A</v>
      </c>
      <c r="L85" s="29" t="e">
        <f ca="1">VLOOKUP($I85,OFFSET([3]characters!$A$1,0,0,COUNTA([3]characters!$A:$A),MATCH(L$1,[3]characters!$2:$2,0)-MATCH($I$1,[3]characters!$2:$2,0)+1),MATCH(L$1,[3]characters!$2:$2,0)-MATCH($I$1,[3]characters!$2:$2,0)+1,FALSE)</f>
        <v>#N/A</v>
      </c>
      <c r="M85" s="28" t="e">
        <f ca="1">VLOOKUP($I85,OFFSET([3]characters!$A$1,0,0,COUNTA([3]characters!$A:$A),MATCH(M$1,[3]characters!$2:$2,0)-MATCH($I$1,[3]characters!$2:$2,0)+2),MATCH(M$1,[3]characters!$2:$2,0)-MATCH($I$1,[3]characters!$2:$2,0)+2,FALSE)</f>
        <v>#N/A</v>
      </c>
      <c r="N85" s="5" t="e">
        <f ca="1">VLOOKUP($I85,OFFSET([2]enemies!$A$1,0,0,COUNTA([2]enemies!$A:$A),MATCH(N$1,[2]enemies!$2:$2,0)-MATCH($I$1,[2]enemies!$2:$2,0)+1),MATCH(N$1,[2]enemies!$2:$2,0)-MATCH($I$1,[2]enemies!$2:$2,0)+1,FALSE)</f>
        <v>#N/A</v>
      </c>
      <c r="O85" s="6">
        <v>5</v>
      </c>
      <c r="P85" s="43">
        <v>1</v>
      </c>
      <c r="Q85" s="43">
        <v>1</v>
      </c>
      <c r="R85" s="6">
        <v>0</v>
      </c>
      <c r="S85" s="5" t="str">
        <f ca="1">VLOOKUP($T85,OFFSET([4]enemy_skill_sets!$B$1,0,0,COUNTA([4]enemy_skill_sets!$B:$B),MATCH(J$1,[4]enemy_skill_sets!$1:$1,0)-MATCH($T$1,[4]enemy_skill_sets!$1:$1,0)+2),MATCH(J$1,[4]enemy_skill_sets!$1:$1,0)-MATCH($T$1,[4]enemy_skill_sets!$1:$1,0)+2,FALSE)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5" s="5">
        <v>0</v>
      </c>
      <c r="U85" s="7">
        <v>0</v>
      </c>
      <c r="V85" s="7">
        <v>50</v>
      </c>
      <c r="W85" s="7">
        <v>0</v>
      </c>
      <c r="X85" s="26" t="e">
        <f ca="1">VLOOKUP($I85,OFFSET([2]enemies!$A$1,0,0,COUNTA([2]enemies!$A:$A),MATCH(X$1,[2]enemies!$2:$2,0)-MATCH($I$1,[2]enemies!$2:$2,0)+1),MATCH(X$1,[2]enemies!$2:$2,0)-MATCH($I$1,[2]enemies!$2:$2,0)+1,FALSE)</f>
        <v>#N/A</v>
      </c>
      <c r="Y85" s="31">
        <v>113</v>
      </c>
      <c r="Z85" s="5" t="str">
        <f ca="1">IFERROR(VLOOKUP($Y85,OFFSET([3]characters!$A$1,0,0,COUNTA([3]characters!$A:$A),MATCH(Z$1,[3]characters!$2:$2,0)-MATCH("character_id",[3]characters!$2:$2,0)+1),MATCH(Z$1,[3]characters!$2:$2,0)-MATCH("character_id",[3]characters!$2:$2,0)+1,FALSE),"")</f>
        <v/>
      </c>
      <c r="AA85" s="5" t="str">
        <f ca="1">IFERROR(VLOOKUP($Y85,OFFSET([3]characters!$A$1,0,0,COUNTA([3]characters!$A:$A),MATCH(AA$1,[3]characters!$2:$2,0)-MATCH("character_id",[3]characters!$2:$2,0)+1),MATCH(AA$1,[3]characters!$2:$2,0)-MATCH("character_id",[3]characters!$2:$2,0)+1,FALSE),"")</f>
        <v/>
      </c>
      <c r="AB85" s="5" t="str">
        <f ca="1">IFERROR(VLOOKUP($Y85,OFFSET([3]characters!$A$1,0,0,COUNTA([3]characters!$A:$A),MATCH(AB$1,[3]characters!$2:$2,0)-MATCH("character_id",[3]characters!$2:$2,0)+1),MATCH(AB$1,[3]characters!$2:$2,0)-MATCH("character_id",[3]characters!$2:$2,0)+1,FALSE),"")</f>
        <v/>
      </c>
      <c r="AC85" s="8">
        <v>1</v>
      </c>
      <c r="AD85" s="8" t="str">
        <f t="shared" ca="1" si="57"/>
        <v/>
      </c>
      <c r="AE85" s="9">
        <v>20</v>
      </c>
      <c r="AF85" s="38">
        <v>0</v>
      </c>
      <c r="AG85" s="38">
        <v>0</v>
      </c>
      <c r="AH85" s="38">
        <v>0</v>
      </c>
      <c r="AI85" s="38">
        <v>0</v>
      </c>
      <c r="AJ85" s="38">
        <v>1</v>
      </c>
    </row>
    <row r="86" spans="1:36" ht="21" customHeight="1" x14ac:dyDescent="0.15">
      <c r="A86" s="21" t="e">
        <f t="shared" ref="A86" ca="1" si="59">B86&amp;"_"&amp;C86&amp;"-"&amp;G86&amp;"/"&amp;I86&amp;"&lt;lv"&amp;O86&amp;"&gt;s"&amp;X86</f>
        <v>#N/A</v>
      </c>
      <c r="B86" s="33">
        <v>4</v>
      </c>
      <c r="C86" s="32">
        <v>2</v>
      </c>
      <c r="D86" s="2" t="str">
        <f t="shared" ref="D86" si="60">B86&amp;"_"&amp;C86</f>
        <v>4_2</v>
      </c>
      <c r="E86" s="5" t="str">
        <f ca="1">VLOOKUP($B86,OFFSET([1]quests!$A$1,0,0,COUNTA([1]quests!$A:$A),MATCH(E$1,[1]quests!$1:$1,0)-MATCH($B$1,[1]quests!$1:$1,0)+1),MATCH(E$1,[1]quests!$1:$1,0)-MATCH($B$1,[1]quests!$1:$1,0)+1,FALSE)</f>
        <v>4．イエロープラント</v>
      </c>
      <c r="F86" s="5" t="str">
        <f ca="1">VLOOKUP($D86,OFFSET([1]stages!$A$1,0,0,COUNTA([1]stages!$A:$A),MATCH(F$1,[1]stages!$2:$2,0)-MATCH($D$1,[1]stages!$2:$2,0)+1),MATCH(F$1,[1]stages!$2:$2,0)-MATCH($D$1,[1]stages!$2:$2,0)+1,FALSE)</f>
        <v>4-2. 振りかざされる木槌</v>
      </c>
      <c r="G86" s="32">
        <v>4</v>
      </c>
      <c r="H86" s="20" t="str">
        <f t="shared" ref="H86" si="61">B86&amp;"_"&amp;C86&amp;"-"&amp;G86</f>
        <v>4_2-4</v>
      </c>
      <c r="I86" s="31">
        <v>13</v>
      </c>
      <c r="J86" s="26" t="e">
        <f ca="1">VLOOKUP($I86,OFFSET([2]enemies!$A$1,0,0,COUNTA([2]enemies!$A:$A),MATCH(J$1,[2]enemies!$2:$2,0)-MATCH($I$1,[2]enemies!$2:$2,0)+1),MATCH(J$1,[2]enemies!$2:$2,0)-MATCH($I$1,[2]enemies!$2:$2,0)+1,FALSE)</f>
        <v>#N/A</v>
      </c>
      <c r="K86" s="29" t="e">
        <f ca="1">VLOOKUP($I86,OFFSET([2]enemies!$A$1,0,0,COUNTA([2]enemies!$A:$A),MATCH(K$1,[2]enemies!$2:$2,0)-MATCH($I$1,[2]enemies!$2:$2,0)+1),MATCH(K$1,[2]enemies!$2:$2,0)-MATCH($I$1,[2]enemies!$2:$2,0)+1,FALSE)</f>
        <v>#N/A</v>
      </c>
      <c r="L86" s="29" t="e">
        <f ca="1">VLOOKUP($I86,OFFSET([3]characters!$A$1,0,0,COUNTA([3]characters!$A:$A),MATCH(L$1,[3]characters!$2:$2,0)-MATCH($I$1,[3]characters!$2:$2,0)+1),MATCH(L$1,[3]characters!$2:$2,0)-MATCH($I$1,[3]characters!$2:$2,0)+1,FALSE)</f>
        <v>#N/A</v>
      </c>
      <c r="M86" s="28" t="e">
        <f ca="1">VLOOKUP($I86,OFFSET([3]characters!$A$1,0,0,COUNTA([3]characters!$A:$A),MATCH(M$1,[3]characters!$2:$2,0)-MATCH($I$1,[3]characters!$2:$2,0)+2),MATCH(M$1,[3]characters!$2:$2,0)-MATCH($I$1,[3]characters!$2:$2,0)+2,FALSE)</f>
        <v>#N/A</v>
      </c>
      <c r="N86" s="5" t="e">
        <f ca="1">VLOOKUP($I86,OFFSET([2]enemies!$A$1,0,0,COUNTA([2]enemies!$A:$A),MATCH(N$1,[2]enemies!$2:$2,0)-MATCH($I$1,[2]enemies!$2:$2,0)+1),MATCH(N$1,[2]enemies!$2:$2,0)-MATCH($I$1,[2]enemies!$2:$2,0)+1,FALSE)</f>
        <v>#N/A</v>
      </c>
      <c r="O86" s="6">
        <v>5</v>
      </c>
      <c r="P86" s="43">
        <v>1</v>
      </c>
      <c r="Q86" s="43">
        <v>1</v>
      </c>
      <c r="R86" s="6">
        <v>0</v>
      </c>
      <c r="S86" s="5" t="str">
        <f ca="1">VLOOKUP($T86,OFFSET([4]enemy_skill_sets!$B$1,0,0,COUNTA([4]enemy_skill_sets!$B:$B),MATCH(J$1,[4]enemy_skill_sets!$1:$1,0)-MATCH($T$1,[4]enemy_skill_sets!$1:$1,0)+2),MATCH(J$1,[4]enemy_skill_sets!$1:$1,0)-MATCH($T$1,[4]enemy_skill_sets!$1:$1,0)+2,FALSE)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6" s="5">
        <v>0</v>
      </c>
      <c r="U86" s="7">
        <v>1</v>
      </c>
      <c r="V86" s="7">
        <v>100</v>
      </c>
      <c r="W86" s="7">
        <v>0</v>
      </c>
      <c r="X86" s="26" t="e">
        <f ca="1">VLOOKUP($I86,OFFSET([2]enemies!$A$1,0,0,COUNTA([2]enemies!$A:$A),MATCH(X$1,[2]enemies!$2:$2,0)-MATCH($I$1,[2]enemies!$2:$2,0)+1),MATCH(X$1,[2]enemies!$2:$2,0)-MATCH($I$1,[2]enemies!$2:$2,0)+1,FALSE)</f>
        <v>#N/A</v>
      </c>
      <c r="Y86" s="31">
        <v>13</v>
      </c>
      <c r="Z86" s="5" t="str">
        <f ca="1">IFERROR(VLOOKUP($Y86,OFFSET([3]characters!$A$1,0,0,COUNTA([3]characters!$A:$A),MATCH(Z$1,[3]characters!$2:$2,0)-MATCH("character_id",[3]characters!$2:$2,0)+1),MATCH(Z$1,[3]characters!$2:$2,0)-MATCH("character_id",[3]characters!$2:$2,0)+1,FALSE),"")</f>
        <v/>
      </c>
      <c r="AA86" s="5" t="str">
        <f ca="1">IFERROR(VLOOKUP($Y86,OFFSET([3]characters!$A$1,0,0,COUNTA([3]characters!$A:$A),MATCH(AA$1,[3]characters!$2:$2,0)-MATCH("character_id",[3]characters!$2:$2,0)+1),MATCH(AA$1,[3]characters!$2:$2,0)-MATCH("character_id",[3]characters!$2:$2,0)+1,FALSE),"")</f>
        <v/>
      </c>
      <c r="AB86" s="5" t="str">
        <f ca="1">IFERROR(VLOOKUP($Y86,OFFSET([3]characters!$A$1,0,0,COUNTA([3]characters!$A:$A),MATCH(AB$1,[3]characters!$2:$2,0)-MATCH("character_id",[3]characters!$2:$2,0)+1),MATCH(AB$1,[3]characters!$2:$2,0)-MATCH("character_id",[3]characters!$2:$2,0)+1,FALSE),"")</f>
        <v/>
      </c>
      <c r="AC86" s="8">
        <v>1</v>
      </c>
      <c r="AD86" s="8" t="str">
        <f t="shared" ref="AD86" ca="1" si="62">AA86</f>
        <v/>
      </c>
      <c r="AE86" s="9">
        <v>0</v>
      </c>
      <c r="AF86" s="38">
        <v>0</v>
      </c>
      <c r="AG86" s="38">
        <v>0</v>
      </c>
      <c r="AH86" s="38">
        <v>0</v>
      </c>
      <c r="AI86" s="38">
        <v>0</v>
      </c>
      <c r="AJ86" s="38">
        <v>1</v>
      </c>
    </row>
    <row r="87" spans="1:36" ht="21" customHeight="1" x14ac:dyDescent="0.15">
      <c r="A87" s="21" t="e">
        <f t="shared" ca="1" si="2"/>
        <v>#N/A</v>
      </c>
      <c r="B87" s="33">
        <v>4</v>
      </c>
      <c r="C87" s="32">
        <v>2</v>
      </c>
      <c r="D87" s="2" t="str">
        <f t="shared" si="24"/>
        <v>4_2</v>
      </c>
      <c r="E87" s="5" t="str">
        <f ca="1">VLOOKUP($B87,OFFSET([1]quests!$A$1,0,0,COUNTA([1]quests!$A:$A),MATCH(E$1,[1]quests!$1:$1,0)-MATCH($B$1,[1]quests!$1:$1,0)+1),MATCH(E$1,[1]quests!$1:$1,0)-MATCH($B$1,[1]quests!$1:$1,0)+1,FALSE)</f>
        <v>4．イエロープラント</v>
      </c>
      <c r="F87" s="5" t="str">
        <f ca="1">VLOOKUP($D87,OFFSET([1]stages!$A$1,0,0,COUNTA([1]stages!$A:$A),MATCH(F$1,[1]stages!$2:$2,0)-MATCH($D$1,[1]stages!$2:$2,0)+1),MATCH(F$1,[1]stages!$2:$2,0)-MATCH($D$1,[1]stages!$2:$2,0)+1,FALSE)</f>
        <v>4-2. 振りかざされる木槌</v>
      </c>
      <c r="G87" s="32">
        <v>4</v>
      </c>
      <c r="H87" s="20" t="str">
        <f t="shared" si="25"/>
        <v>4_2-4</v>
      </c>
      <c r="I87" s="31">
        <v>55</v>
      </c>
      <c r="J87" s="26" t="e">
        <f ca="1">VLOOKUP($I87,OFFSET([2]enemies!$A$1,0,0,COUNTA([2]enemies!$A:$A),MATCH(J$1,[2]enemies!$2:$2,0)-MATCH($I$1,[2]enemies!$2:$2,0)+1),MATCH(J$1,[2]enemies!$2:$2,0)-MATCH($I$1,[2]enemies!$2:$2,0)+1,FALSE)</f>
        <v>#N/A</v>
      </c>
      <c r="K87" s="29" t="e">
        <f ca="1">VLOOKUP($I87,OFFSET([2]enemies!$A$1,0,0,COUNTA([2]enemies!$A:$A),MATCH(K$1,[2]enemies!$2:$2,0)-MATCH($I$1,[2]enemies!$2:$2,0)+1),MATCH(K$1,[2]enemies!$2:$2,0)-MATCH($I$1,[2]enemies!$2:$2,0)+1,FALSE)</f>
        <v>#N/A</v>
      </c>
      <c r="L87" s="29" t="e">
        <f ca="1">VLOOKUP($I87,OFFSET([3]characters!$A$1,0,0,COUNTA([3]characters!$A:$A),MATCH(L$1,[3]characters!$2:$2,0)-MATCH($I$1,[3]characters!$2:$2,0)+1),MATCH(L$1,[3]characters!$2:$2,0)-MATCH($I$1,[3]characters!$2:$2,0)+1,FALSE)</f>
        <v>#N/A</v>
      </c>
      <c r="M87" s="28" t="e">
        <f ca="1">VLOOKUP($I87,OFFSET([3]characters!$A$1,0,0,COUNTA([3]characters!$A:$A),MATCH(M$1,[3]characters!$2:$2,0)-MATCH($I$1,[3]characters!$2:$2,0)+2),MATCH(M$1,[3]characters!$2:$2,0)-MATCH($I$1,[3]characters!$2:$2,0)+2,FALSE)</f>
        <v>#N/A</v>
      </c>
      <c r="N87" s="5" t="e">
        <f ca="1">VLOOKUP($I87,OFFSET([2]enemies!$A$1,0,0,COUNTA([2]enemies!$A:$A),MATCH(N$1,[2]enemies!$2:$2,0)-MATCH($I$1,[2]enemies!$2:$2,0)+1),MATCH(N$1,[2]enemies!$2:$2,0)-MATCH($I$1,[2]enemies!$2:$2,0)+1,FALSE)</f>
        <v>#N/A</v>
      </c>
      <c r="O87" s="6">
        <v>7</v>
      </c>
      <c r="P87" s="43">
        <v>1</v>
      </c>
      <c r="Q87" s="43">
        <v>1</v>
      </c>
      <c r="R87" s="6">
        <v>0</v>
      </c>
      <c r="S87" s="5" t="str">
        <f ca="1">VLOOKUP($T87,OFFSET([4]enemy_skill_sets!$B$1,0,0,COUNTA([4]enemy_skill_sets!$B:$B),MATCH(J$1,[4]enemy_skill_sets!$1:$1,0)-MATCH($T$1,[4]enemy_skill_sets!$1:$1,0)+2),MATCH(J$1,[4]enemy_skill_sets!$1:$1,0)-MATCH($T$1,[4]enemy_skill_sets!$1:$1,0)+2,FALSE)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87" s="5">
        <v>55</v>
      </c>
      <c r="U87" s="7">
        <v>1</v>
      </c>
      <c r="V87" s="7">
        <v>100</v>
      </c>
      <c r="W87" s="7">
        <v>1</v>
      </c>
      <c r="X87" s="26" t="e">
        <f ca="1">VLOOKUP($I87,OFFSET([2]enemies!$A$1,0,0,COUNTA([2]enemies!$A:$A),MATCH(X$1,[2]enemies!$2:$2,0)-MATCH($I$1,[2]enemies!$2:$2,0)+1),MATCH(X$1,[2]enemies!$2:$2,0)-MATCH($I$1,[2]enemies!$2:$2,0)+1,FALSE)</f>
        <v>#N/A</v>
      </c>
      <c r="Y87" s="31">
        <v>55</v>
      </c>
      <c r="Z87" s="5" t="str">
        <f ca="1">IFERROR(VLOOKUP($Y87,OFFSET([3]characters!$A$1,0,0,COUNTA([3]characters!$A:$A),MATCH(Z$1,[3]characters!$2:$2,0)-MATCH("character_id",[3]characters!$2:$2,0)+1),MATCH(Z$1,[3]characters!$2:$2,0)-MATCH("character_id",[3]characters!$2:$2,0)+1,FALSE),"")</f>
        <v/>
      </c>
      <c r="AA87" s="5" t="str">
        <f ca="1">IFERROR(VLOOKUP($Y87,OFFSET([3]characters!$A$1,0,0,COUNTA([3]characters!$A:$A),MATCH(AA$1,[3]characters!$2:$2,0)-MATCH("character_id",[3]characters!$2:$2,0)+1),MATCH(AA$1,[3]characters!$2:$2,0)-MATCH("character_id",[3]characters!$2:$2,0)+1,FALSE),"")</f>
        <v/>
      </c>
      <c r="AB87" s="5" t="str">
        <f ca="1">IFERROR(VLOOKUP($Y87,OFFSET([3]characters!$A$1,0,0,COUNTA([3]characters!$A:$A),MATCH(AB$1,[3]characters!$2:$2,0)-MATCH("character_id",[3]characters!$2:$2,0)+1),MATCH(AB$1,[3]characters!$2:$2,0)-MATCH("character_id",[3]characters!$2:$2,0)+1,FALSE),"")</f>
        <v/>
      </c>
      <c r="AC87" s="8">
        <v>1</v>
      </c>
      <c r="AD87" s="8" t="str">
        <f t="shared" ca="1" si="46"/>
        <v/>
      </c>
      <c r="AE87" s="9">
        <v>100</v>
      </c>
      <c r="AF87" s="38">
        <v>0</v>
      </c>
      <c r="AG87" s="38">
        <v>0</v>
      </c>
      <c r="AH87" s="38">
        <v>0</v>
      </c>
      <c r="AI87" s="38">
        <v>0</v>
      </c>
      <c r="AJ87" s="38">
        <v>1</v>
      </c>
    </row>
    <row r="88" spans="1:36" ht="21" customHeight="1" x14ac:dyDescent="0.15">
      <c r="A88" s="21" t="e">
        <f t="shared" ca="1" si="2"/>
        <v>#N/A</v>
      </c>
      <c r="B88" s="33">
        <v>4</v>
      </c>
      <c r="C88" s="32">
        <v>2</v>
      </c>
      <c r="D88" s="2" t="str">
        <f t="shared" si="24"/>
        <v>4_2</v>
      </c>
      <c r="E88" s="5" t="str">
        <f ca="1">VLOOKUP($B88,OFFSET([1]quests!$A$1,0,0,COUNTA([1]quests!$A:$A),MATCH(E$1,[1]quests!$1:$1,0)-MATCH($B$1,[1]quests!$1:$1,0)+1),MATCH(E$1,[1]quests!$1:$1,0)-MATCH($B$1,[1]quests!$1:$1,0)+1,FALSE)</f>
        <v>4．イエロープラント</v>
      </c>
      <c r="F88" s="5" t="str">
        <f ca="1">VLOOKUP($D88,OFFSET([1]stages!$A$1,0,0,COUNTA([1]stages!$A:$A),MATCH(F$1,[1]stages!$2:$2,0)-MATCH($D$1,[1]stages!$2:$2,0)+1),MATCH(F$1,[1]stages!$2:$2,0)-MATCH($D$1,[1]stages!$2:$2,0)+1,FALSE)</f>
        <v>4-2. 振りかざされる木槌</v>
      </c>
      <c r="G88" s="32">
        <v>4</v>
      </c>
      <c r="H88" s="20" t="str">
        <f t="shared" si="25"/>
        <v>4_2-4</v>
      </c>
      <c r="I88" s="31">
        <v>13</v>
      </c>
      <c r="J88" s="26" t="e">
        <f ca="1">VLOOKUP($I88,OFFSET([2]enemies!$A$1,0,0,COUNTA([2]enemies!$A:$A),MATCH(J$1,[2]enemies!$2:$2,0)-MATCH($I$1,[2]enemies!$2:$2,0)+1),MATCH(J$1,[2]enemies!$2:$2,0)-MATCH($I$1,[2]enemies!$2:$2,0)+1,FALSE)</f>
        <v>#N/A</v>
      </c>
      <c r="K88" s="29" t="e">
        <f ca="1">VLOOKUP($I88,OFFSET([2]enemies!$A$1,0,0,COUNTA([2]enemies!$A:$A),MATCH(K$1,[2]enemies!$2:$2,0)-MATCH($I$1,[2]enemies!$2:$2,0)+1),MATCH(K$1,[2]enemies!$2:$2,0)-MATCH($I$1,[2]enemies!$2:$2,0)+1,FALSE)</f>
        <v>#N/A</v>
      </c>
      <c r="L88" s="29" t="e">
        <f ca="1">VLOOKUP($I88,OFFSET([3]characters!$A$1,0,0,COUNTA([3]characters!$A:$A),MATCH(L$1,[3]characters!$2:$2,0)-MATCH($I$1,[3]characters!$2:$2,0)+1),MATCH(L$1,[3]characters!$2:$2,0)-MATCH($I$1,[3]characters!$2:$2,0)+1,FALSE)</f>
        <v>#N/A</v>
      </c>
      <c r="M88" s="28" t="e">
        <f ca="1">VLOOKUP($I88,OFFSET([3]characters!$A$1,0,0,COUNTA([3]characters!$A:$A),MATCH(M$1,[3]characters!$2:$2,0)-MATCH($I$1,[3]characters!$2:$2,0)+2),MATCH(M$1,[3]characters!$2:$2,0)-MATCH($I$1,[3]characters!$2:$2,0)+2,FALSE)</f>
        <v>#N/A</v>
      </c>
      <c r="N88" s="5" t="e">
        <f ca="1">VLOOKUP($I88,OFFSET([2]enemies!$A$1,0,0,COUNTA([2]enemies!$A:$A),MATCH(N$1,[2]enemies!$2:$2,0)-MATCH($I$1,[2]enemies!$2:$2,0)+1),MATCH(N$1,[2]enemies!$2:$2,0)-MATCH($I$1,[2]enemies!$2:$2,0)+1,FALSE)</f>
        <v>#N/A</v>
      </c>
      <c r="O88" s="6">
        <v>6</v>
      </c>
      <c r="P88" s="43">
        <v>1</v>
      </c>
      <c r="Q88" s="43">
        <v>1</v>
      </c>
      <c r="R88" s="6">
        <v>0</v>
      </c>
      <c r="S88" s="5" t="str">
        <f ca="1">VLOOKUP($T88,OFFSET([4]enemy_skill_sets!$B$1,0,0,COUNTA([4]enemy_skill_sets!$B:$B),MATCH(J$1,[4]enemy_skill_sets!$1:$1,0)-MATCH($T$1,[4]enemy_skill_sets!$1:$1,0)+2),MATCH(J$1,[4]enemy_skill_sets!$1:$1,0)-MATCH($T$1,[4]enemy_skill_sets!$1:$1,0)+2,FALSE)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8" s="5">
        <v>0</v>
      </c>
      <c r="U88" s="7">
        <v>1</v>
      </c>
      <c r="V88" s="7">
        <v>100</v>
      </c>
      <c r="W88" s="7">
        <v>0</v>
      </c>
      <c r="X88" s="26" t="e">
        <f ca="1">VLOOKUP($I88,OFFSET([2]enemies!$A$1,0,0,COUNTA([2]enemies!$A:$A),MATCH(X$1,[2]enemies!$2:$2,0)-MATCH($I$1,[2]enemies!$2:$2,0)+1),MATCH(X$1,[2]enemies!$2:$2,0)-MATCH($I$1,[2]enemies!$2:$2,0)+1,FALSE)</f>
        <v>#N/A</v>
      </c>
      <c r="Y88" s="31">
        <v>13</v>
      </c>
      <c r="Z88" s="5" t="str">
        <f ca="1">IFERROR(VLOOKUP($Y88,OFFSET([3]characters!$A$1,0,0,COUNTA([3]characters!$A:$A),MATCH(Z$1,[3]characters!$2:$2,0)-MATCH("character_id",[3]characters!$2:$2,0)+1),MATCH(Z$1,[3]characters!$2:$2,0)-MATCH("character_id",[3]characters!$2:$2,0)+1,FALSE),"")</f>
        <v/>
      </c>
      <c r="AA88" s="5" t="str">
        <f ca="1">IFERROR(VLOOKUP($Y88,OFFSET([3]characters!$A$1,0,0,COUNTA([3]characters!$A:$A),MATCH(AA$1,[3]characters!$2:$2,0)-MATCH("character_id",[3]characters!$2:$2,0)+1),MATCH(AA$1,[3]characters!$2:$2,0)-MATCH("character_id",[3]characters!$2:$2,0)+1,FALSE),"")</f>
        <v/>
      </c>
      <c r="AB88" s="5" t="str">
        <f ca="1">IFERROR(VLOOKUP($Y88,OFFSET([3]characters!$A$1,0,0,COUNTA([3]characters!$A:$A),MATCH(AB$1,[3]characters!$2:$2,0)-MATCH("character_id",[3]characters!$2:$2,0)+1),MATCH(AB$1,[3]characters!$2:$2,0)-MATCH("character_id",[3]characters!$2:$2,0)+1,FALSE),"")</f>
        <v/>
      </c>
      <c r="AC88" s="8">
        <v>1</v>
      </c>
      <c r="AD88" s="8" t="str">
        <f t="shared" ca="1" si="46"/>
        <v/>
      </c>
      <c r="AE88" s="9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1</v>
      </c>
    </row>
    <row r="89" spans="1:36" ht="21" customHeight="1" x14ac:dyDescent="0.15">
      <c r="A89" s="21" t="e">
        <f t="shared" ca="1" si="2"/>
        <v>#N/A</v>
      </c>
      <c r="B89" s="33">
        <v>4</v>
      </c>
      <c r="C89" s="32">
        <v>3</v>
      </c>
      <c r="D89" s="2" t="str">
        <f t="shared" si="24"/>
        <v>4_3</v>
      </c>
      <c r="E89" s="5" t="str">
        <f ca="1">VLOOKUP($B89,OFFSET([1]quests!$A$1,0,0,COUNTA([1]quests!$A:$A),MATCH(E$1,[1]quests!$1:$1,0)-MATCH($B$1,[1]quests!$1:$1,0)+1),MATCH(E$1,[1]quests!$1:$1,0)-MATCH($B$1,[1]quests!$1:$1,0)+1,FALSE)</f>
        <v>4．イエロープラント</v>
      </c>
      <c r="F89" s="5" t="str">
        <f ca="1">VLOOKUP($D89,OFFSET([1]stages!$A$1,0,0,COUNTA([1]stages!$A:$A),MATCH(F$1,[1]stages!$2:$2,0)-MATCH($D$1,[1]stages!$2:$2,0)+1),MATCH(F$1,[1]stages!$2:$2,0)-MATCH($D$1,[1]stages!$2:$2,0)+1,FALSE)</f>
        <v>4-3. 晩夏の狐</v>
      </c>
      <c r="G89" s="32">
        <v>1</v>
      </c>
      <c r="H89" s="20" t="str">
        <f t="shared" si="25"/>
        <v>4_3-1</v>
      </c>
      <c r="I89" s="31">
        <v>7</v>
      </c>
      <c r="J89" s="26" t="e">
        <f ca="1">VLOOKUP($I89,OFFSET([2]enemies!$A$1,0,0,COUNTA([2]enemies!$A:$A),MATCH(J$1,[2]enemies!$2:$2,0)-MATCH($I$1,[2]enemies!$2:$2,0)+1),MATCH(J$1,[2]enemies!$2:$2,0)-MATCH($I$1,[2]enemies!$2:$2,0)+1,FALSE)</f>
        <v>#N/A</v>
      </c>
      <c r="K89" s="29" t="e">
        <f ca="1">VLOOKUP($I89,OFFSET([2]enemies!$A$1,0,0,COUNTA([2]enemies!$A:$A),MATCH(K$1,[2]enemies!$2:$2,0)-MATCH($I$1,[2]enemies!$2:$2,0)+1),MATCH(K$1,[2]enemies!$2:$2,0)-MATCH($I$1,[2]enemies!$2:$2,0)+1,FALSE)</f>
        <v>#N/A</v>
      </c>
      <c r="L89" s="29" t="e">
        <f ca="1">VLOOKUP($I89,OFFSET([3]characters!$A$1,0,0,COUNTA([3]characters!$A:$A),MATCH(L$1,[3]characters!$2:$2,0)-MATCH($I$1,[3]characters!$2:$2,0)+1),MATCH(L$1,[3]characters!$2:$2,0)-MATCH($I$1,[3]characters!$2:$2,0)+1,FALSE)</f>
        <v>#N/A</v>
      </c>
      <c r="M89" s="28" t="e">
        <f ca="1">VLOOKUP($I89,OFFSET([3]characters!$A$1,0,0,COUNTA([3]characters!$A:$A),MATCH(M$1,[3]characters!$2:$2,0)-MATCH($I$1,[3]characters!$2:$2,0)+2),MATCH(M$1,[3]characters!$2:$2,0)-MATCH($I$1,[3]characters!$2:$2,0)+2,FALSE)</f>
        <v>#N/A</v>
      </c>
      <c r="N89" s="5" t="e">
        <f ca="1">VLOOKUP($I89,OFFSET([2]enemies!$A$1,0,0,COUNTA([2]enemies!$A:$A),MATCH(N$1,[2]enemies!$2:$2,0)-MATCH($I$1,[2]enemies!$2:$2,0)+1),MATCH(N$1,[2]enemies!$2:$2,0)-MATCH($I$1,[2]enemies!$2:$2,0)+1,FALSE)</f>
        <v>#N/A</v>
      </c>
      <c r="O89" s="6">
        <v>5</v>
      </c>
      <c r="P89" s="43">
        <v>1</v>
      </c>
      <c r="Q89" s="43">
        <v>1</v>
      </c>
      <c r="R89" s="6">
        <v>0</v>
      </c>
      <c r="S89" s="5" t="str">
        <f ca="1">VLOOKUP($T89,OFFSET([4]enemy_skill_sets!$B$1,0,0,COUNTA([4]enemy_skill_sets!$B:$B),MATCH(J$1,[4]enemy_skill_sets!$1:$1,0)-MATCH($T$1,[4]enemy_skill_sets!$1:$1,0)+2),MATCH(J$1,[4]enemy_skill_sets!$1:$1,0)-MATCH($T$1,[4]enemy_skill_sets!$1:$1,0)+2,FALSE)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89" s="5">
        <v>560001</v>
      </c>
      <c r="U89" s="7">
        <v>0</v>
      </c>
      <c r="V89" s="7">
        <v>100</v>
      </c>
      <c r="W89" s="7">
        <v>0</v>
      </c>
      <c r="X89" s="26" t="e">
        <f ca="1">VLOOKUP($I89,OFFSET([2]enemies!$A$1,0,0,COUNTA([2]enemies!$A:$A),MATCH(X$1,[2]enemies!$2:$2,0)-MATCH($I$1,[2]enemies!$2:$2,0)+1),MATCH(X$1,[2]enemies!$2:$2,0)-MATCH($I$1,[2]enemies!$2:$2,0)+1,FALSE)</f>
        <v>#N/A</v>
      </c>
      <c r="Y89" s="31">
        <v>7</v>
      </c>
      <c r="Z89" s="5" t="str">
        <f ca="1">IFERROR(VLOOKUP($Y89,OFFSET([3]characters!$A$1,0,0,COUNTA([3]characters!$A:$A),MATCH(Z$1,[3]characters!$2:$2,0)-MATCH("character_id",[3]characters!$2:$2,0)+1),MATCH(Z$1,[3]characters!$2:$2,0)-MATCH("character_id",[3]characters!$2:$2,0)+1,FALSE),"")</f>
        <v/>
      </c>
      <c r="AA89" s="5" t="str">
        <f ca="1">IFERROR(VLOOKUP($Y89,OFFSET([3]characters!$A$1,0,0,COUNTA([3]characters!$A:$A),MATCH(AA$1,[3]characters!$2:$2,0)-MATCH("character_id",[3]characters!$2:$2,0)+1),MATCH(AA$1,[3]characters!$2:$2,0)-MATCH("character_id",[3]characters!$2:$2,0)+1,FALSE),"")</f>
        <v/>
      </c>
      <c r="AB89" s="5" t="str">
        <f ca="1">IFERROR(VLOOKUP($Y89,OFFSET([3]characters!$A$1,0,0,COUNTA([3]characters!$A:$A),MATCH(AB$1,[3]characters!$2:$2,0)-MATCH("character_id",[3]characters!$2:$2,0)+1),MATCH(AB$1,[3]characters!$2:$2,0)-MATCH("character_id",[3]characters!$2:$2,0)+1,FALSE),"")</f>
        <v/>
      </c>
      <c r="AC89" s="8">
        <v>3</v>
      </c>
      <c r="AD89" s="8" t="str">
        <f t="shared" ca="1" si="46"/>
        <v/>
      </c>
      <c r="AE89" s="9">
        <v>30</v>
      </c>
      <c r="AF89" s="38">
        <v>0</v>
      </c>
      <c r="AG89" s="38">
        <v>0</v>
      </c>
      <c r="AH89" s="38">
        <v>0</v>
      </c>
      <c r="AI89" s="38">
        <v>0</v>
      </c>
      <c r="AJ89" s="38">
        <v>1</v>
      </c>
    </row>
    <row r="90" spans="1:36" ht="21" customHeight="1" x14ac:dyDescent="0.15">
      <c r="A90" s="21" t="e">
        <f t="shared" ca="1" si="2"/>
        <v>#N/A</v>
      </c>
      <c r="B90" s="33">
        <v>4</v>
      </c>
      <c r="C90" s="32">
        <v>3</v>
      </c>
      <c r="D90" s="2" t="str">
        <f t="shared" si="24"/>
        <v>4_3</v>
      </c>
      <c r="E90" s="5" t="str">
        <f ca="1">VLOOKUP($B90,OFFSET([1]quests!$A$1,0,0,COUNTA([1]quests!$A:$A),MATCH(E$1,[1]quests!$1:$1,0)-MATCH($B$1,[1]quests!$1:$1,0)+1),MATCH(E$1,[1]quests!$1:$1,0)-MATCH($B$1,[1]quests!$1:$1,0)+1,FALSE)</f>
        <v>4．イエロープラント</v>
      </c>
      <c r="F90" s="5" t="str">
        <f ca="1">VLOOKUP($D90,OFFSET([1]stages!$A$1,0,0,COUNTA([1]stages!$A:$A),MATCH(F$1,[1]stages!$2:$2,0)-MATCH($D$1,[1]stages!$2:$2,0)+1),MATCH(F$1,[1]stages!$2:$2,0)-MATCH($D$1,[1]stages!$2:$2,0)+1,FALSE)</f>
        <v>4-3. 晩夏の狐</v>
      </c>
      <c r="G90" s="32">
        <v>1</v>
      </c>
      <c r="H90" s="20" t="str">
        <f t="shared" si="25"/>
        <v>4_3-1</v>
      </c>
      <c r="I90" s="31">
        <v>13</v>
      </c>
      <c r="J90" s="26" t="e">
        <f ca="1">VLOOKUP($I90,OFFSET([2]enemies!$A$1,0,0,COUNTA([2]enemies!$A:$A),MATCH(J$1,[2]enemies!$2:$2,0)-MATCH($I$1,[2]enemies!$2:$2,0)+1),MATCH(J$1,[2]enemies!$2:$2,0)-MATCH($I$1,[2]enemies!$2:$2,0)+1,FALSE)</f>
        <v>#N/A</v>
      </c>
      <c r="K90" s="29" t="e">
        <f ca="1">VLOOKUP($I90,OFFSET([2]enemies!$A$1,0,0,COUNTA([2]enemies!$A:$A),MATCH(K$1,[2]enemies!$2:$2,0)-MATCH($I$1,[2]enemies!$2:$2,0)+1),MATCH(K$1,[2]enemies!$2:$2,0)-MATCH($I$1,[2]enemies!$2:$2,0)+1,FALSE)</f>
        <v>#N/A</v>
      </c>
      <c r="L90" s="29" t="e">
        <f ca="1">VLOOKUP($I90,OFFSET([3]characters!$A$1,0,0,COUNTA([3]characters!$A:$A),MATCH(L$1,[3]characters!$2:$2,0)-MATCH($I$1,[3]characters!$2:$2,0)+1),MATCH(L$1,[3]characters!$2:$2,0)-MATCH($I$1,[3]characters!$2:$2,0)+1,FALSE)</f>
        <v>#N/A</v>
      </c>
      <c r="M90" s="28" t="e">
        <f ca="1">VLOOKUP($I90,OFFSET([3]characters!$A$1,0,0,COUNTA([3]characters!$A:$A),MATCH(M$1,[3]characters!$2:$2,0)-MATCH($I$1,[3]characters!$2:$2,0)+2),MATCH(M$1,[3]characters!$2:$2,0)-MATCH($I$1,[3]characters!$2:$2,0)+2,FALSE)</f>
        <v>#N/A</v>
      </c>
      <c r="N90" s="5" t="e">
        <f ca="1">VLOOKUP($I90,OFFSET([2]enemies!$A$1,0,0,COUNTA([2]enemies!$A:$A),MATCH(N$1,[2]enemies!$2:$2,0)-MATCH($I$1,[2]enemies!$2:$2,0)+1),MATCH(N$1,[2]enemies!$2:$2,0)-MATCH($I$1,[2]enemies!$2:$2,0)+1,FALSE)</f>
        <v>#N/A</v>
      </c>
      <c r="O90" s="6">
        <v>5</v>
      </c>
      <c r="P90" s="43">
        <v>1</v>
      </c>
      <c r="Q90" s="43">
        <v>1</v>
      </c>
      <c r="R90" s="6">
        <v>0</v>
      </c>
      <c r="S90" s="5" t="str">
        <f ca="1">VLOOKUP($T90,OFFSET([4]enemy_skill_sets!$B$1,0,0,COUNTA([4]enemy_skill_sets!$B:$B),MATCH(J$1,[4]enemy_skill_sets!$1:$1,0)-MATCH($T$1,[4]enemy_skill_sets!$1:$1,0)+2),MATCH(J$1,[4]enemy_skill_sets!$1:$1,0)-MATCH($T$1,[4]enemy_skill_sets!$1:$1,0)+2,FALSE)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0" s="5">
        <v>0</v>
      </c>
      <c r="U90" s="7">
        <v>0</v>
      </c>
      <c r="V90" s="7">
        <v>100</v>
      </c>
      <c r="W90" s="7">
        <v>0</v>
      </c>
      <c r="X90" s="26" t="e">
        <f ca="1">VLOOKUP($I90,OFFSET([2]enemies!$A$1,0,0,COUNTA([2]enemies!$A:$A),MATCH(X$1,[2]enemies!$2:$2,0)-MATCH($I$1,[2]enemies!$2:$2,0)+1),MATCH(X$1,[2]enemies!$2:$2,0)-MATCH($I$1,[2]enemies!$2:$2,0)+1,FALSE)</f>
        <v>#N/A</v>
      </c>
      <c r="Y90" s="31">
        <v>13</v>
      </c>
      <c r="Z90" s="5" t="str">
        <f ca="1">IFERROR(VLOOKUP($Y90,OFFSET([3]characters!$A$1,0,0,COUNTA([3]characters!$A:$A),MATCH(Z$1,[3]characters!$2:$2,0)-MATCH("character_id",[3]characters!$2:$2,0)+1),MATCH(Z$1,[3]characters!$2:$2,0)-MATCH("character_id",[3]characters!$2:$2,0)+1,FALSE),"")</f>
        <v/>
      </c>
      <c r="AA90" s="5" t="str">
        <f ca="1">IFERROR(VLOOKUP($Y90,OFFSET([3]characters!$A$1,0,0,COUNTA([3]characters!$A:$A),MATCH(AA$1,[3]characters!$2:$2,0)-MATCH("character_id",[3]characters!$2:$2,0)+1),MATCH(AA$1,[3]characters!$2:$2,0)-MATCH("character_id",[3]characters!$2:$2,0)+1,FALSE),"")</f>
        <v/>
      </c>
      <c r="AB90" s="5" t="str">
        <f ca="1">IFERROR(VLOOKUP($Y90,OFFSET([3]characters!$A$1,0,0,COUNTA([3]characters!$A:$A),MATCH(AB$1,[3]characters!$2:$2,0)-MATCH("character_id",[3]characters!$2:$2,0)+1),MATCH(AB$1,[3]characters!$2:$2,0)-MATCH("character_id",[3]characters!$2:$2,0)+1,FALSE),"")</f>
        <v/>
      </c>
      <c r="AC90" s="8">
        <v>1</v>
      </c>
      <c r="AD90" s="8" t="str">
        <f t="shared" ca="1" si="46"/>
        <v/>
      </c>
      <c r="AE90" s="9">
        <v>30</v>
      </c>
      <c r="AF90" s="38">
        <v>0</v>
      </c>
      <c r="AG90" s="38">
        <v>0</v>
      </c>
      <c r="AH90" s="38">
        <v>0</v>
      </c>
      <c r="AI90" s="38">
        <v>0</v>
      </c>
      <c r="AJ90" s="38">
        <v>1</v>
      </c>
    </row>
    <row r="91" spans="1:36" ht="21" customHeight="1" x14ac:dyDescent="0.15">
      <c r="A91" s="21" t="e">
        <f t="shared" ca="1" si="2"/>
        <v>#N/A</v>
      </c>
      <c r="B91" s="33">
        <v>4</v>
      </c>
      <c r="C91" s="32">
        <v>3</v>
      </c>
      <c r="D91" s="2" t="str">
        <f t="shared" si="24"/>
        <v>4_3</v>
      </c>
      <c r="E91" s="5" t="str">
        <f ca="1">VLOOKUP($B91,OFFSET([1]quests!$A$1,0,0,COUNTA([1]quests!$A:$A),MATCH(E$1,[1]quests!$1:$1,0)-MATCH($B$1,[1]quests!$1:$1,0)+1),MATCH(E$1,[1]quests!$1:$1,0)-MATCH($B$1,[1]quests!$1:$1,0)+1,FALSE)</f>
        <v>4．イエロープラント</v>
      </c>
      <c r="F91" s="5" t="str">
        <f ca="1">VLOOKUP($D91,OFFSET([1]stages!$A$1,0,0,COUNTA([1]stages!$A:$A),MATCH(F$1,[1]stages!$2:$2,0)-MATCH($D$1,[1]stages!$2:$2,0)+1),MATCH(F$1,[1]stages!$2:$2,0)-MATCH($D$1,[1]stages!$2:$2,0)+1,FALSE)</f>
        <v>4-3. 晩夏の狐</v>
      </c>
      <c r="G91" s="32">
        <v>1</v>
      </c>
      <c r="H91" s="20" t="str">
        <f t="shared" si="25"/>
        <v>4_3-1</v>
      </c>
      <c r="I91" s="31">
        <v>19</v>
      </c>
      <c r="J91" s="26" t="e">
        <f ca="1">VLOOKUP($I91,OFFSET([2]enemies!$A$1,0,0,COUNTA([2]enemies!$A:$A),MATCH(J$1,[2]enemies!$2:$2,0)-MATCH($I$1,[2]enemies!$2:$2,0)+1),MATCH(J$1,[2]enemies!$2:$2,0)-MATCH($I$1,[2]enemies!$2:$2,0)+1,FALSE)</f>
        <v>#N/A</v>
      </c>
      <c r="K91" s="29" t="e">
        <f ca="1">VLOOKUP($I91,OFFSET([2]enemies!$A$1,0,0,COUNTA([2]enemies!$A:$A),MATCH(K$1,[2]enemies!$2:$2,0)-MATCH($I$1,[2]enemies!$2:$2,0)+1),MATCH(K$1,[2]enemies!$2:$2,0)-MATCH($I$1,[2]enemies!$2:$2,0)+1,FALSE)</f>
        <v>#N/A</v>
      </c>
      <c r="L91" s="29" t="e">
        <f ca="1">VLOOKUP($I91,OFFSET([3]characters!$A$1,0,0,COUNTA([3]characters!$A:$A),MATCH(L$1,[3]characters!$2:$2,0)-MATCH($I$1,[3]characters!$2:$2,0)+1),MATCH(L$1,[3]characters!$2:$2,0)-MATCH($I$1,[3]characters!$2:$2,0)+1,FALSE)</f>
        <v>#N/A</v>
      </c>
      <c r="M91" s="28" t="e">
        <f ca="1">VLOOKUP($I91,OFFSET([3]characters!$A$1,0,0,COUNTA([3]characters!$A:$A),MATCH(M$1,[3]characters!$2:$2,0)-MATCH($I$1,[3]characters!$2:$2,0)+2),MATCH(M$1,[3]characters!$2:$2,0)-MATCH($I$1,[3]characters!$2:$2,0)+2,FALSE)</f>
        <v>#N/A</v>
      </c>
      <c r="N91" s="5" t="e">
        <f ca="1">VLOOKUP($I91,OFFSET([2]enemies!$A$1,0,0,COUNTA([2]enemies!$A:$A),MATCH(N$1,[2]enemies!$2:$2,0)-MATCH($I$1,[2]enemies!$2:$2,0)+1),MATCH(N$1,[2]enemies!$2:$2,0)-MATCH($I$1,[2]enemies!$2:$2,0)+1,FALSE)</f>
        <v>#N/A</v>
      </c>
      <c r="O91" s="6">
        <v>5</v>
      </c>
      <c r="P91" s="43">
        <v>1</v>
      </c>
      <c r="Q91" s="43">
        <v>1</v>
      </c>
      <c r="R91" s="6">
        <v>0</v>
      </c>
      <c r="S91" s="5" t="str">
        <f ca="1">VLOOKUP($T91,OFFSET([4]enemy_skill_sets!$B$1,0,0,COUNTA([4]enemy_skill_sets!$B:$B),MATCH(J$1,[4]enemy_skill_sets!$1:$1,0)-MATCH($T$1,[4]enemy_skill_sets!$1:$1,0)+2),MATCH(J$1,[4]enemy_skill_sets!$1:$1,0)-MATCH($T$1,[4]enemy_skill_sets!$1:$1,0)+2,FALSE)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1" s="5">
        <v>0</v>
      </c>
      <c r="U91" s="7">
        <v>0</v>
      </c>
      <c r="V91" s="7">
        <v>100</v>
      </c>
      <c r="W91" s="7">
        <v>0</v>
      </c>
      <c r="X91" s="26" t="e">
        <f ca="1">VLOOKUP($I91,OFFSET([2]enemies!$A$1,0,0,COUNTA([2]enemies!$A:$A),MATCH(X$1,[2]enemies!$2:$2,0)-MATCH($I$1,[2]enemies!$2:$2,0)+1),MATCH(X$1,[2]enemies!$2:$2,0)-MATCH($I$1,[2]enemies!$2:$2,0)+1,FALSE)</f>
        <v>#N/A</v>
      </c>
      <c r="Y91" s="31">
        <v>19</v>
      </c>
      <c r="Z91" s="5" t="str">
        <f ca="1">IFERROR(VLOOKUP($Y91,OFFSET([3]characters!$A$1,0,0,COUNTA([3]characters!$A:$A),MATCH(Z$1,[3]characters!$2:$2,0)-MATCH("character_id",[3]characters!$2:$2,0)+1),MATCH(Z$1,[3]characters!$2:$2,0)-MATCH("character_id",[3]characters!$2:$2,0)+1,FALSE),"")</f>
        <v/>
      </c>
      <c r="AA91" s="5" t="str">
        <f ca="1">IFERROR(VLOOKUP($Y91,OFFSET([3]characters!$A$1,0,0,COUNTA([3]characters!$A:$A),MATCH(AA$1,[3]characters!$2:$2,0)-MATCH("character_id",[3]characters!$2:$2,0)+1),MATCH(AA$1,[3]characters!$2:$2,0)-MATCH("character_id",[3]characters!$2:$2,0)+1,FALSE),"")</f>
        <v/>
      </c>
      <c r="AB91" s="5" t="str">
        <f ca="1">IFERROR(VLOOKUP($Y91,OFFSET([3]characters!$A$1,0,0,COUNTA([3]characters!$A:$A),MATCH(AB$1,[3]characters!$2:$2,0)-MATCH("character_id",[3]characters!$2:$2,0)+1),MATCH(AB$1,[3]characters!$2:$2,0)-MATCH("character_id",[3]characters!$2:$2,0)+1,FALSE),"")</f>
        <v/>
      </c>
      <c r="AC91" s="8">
        <v>1</v>
      </c>
      <c r="AD91" s="8" t="str">
        <f t="shared" ca="1" si="46"/>
        <v/>
      </c>
      <c r="AE91" s="9">
        <v>30</v>
      </c>
      <c r="AF91" s="38">
        <v>0</v>
      </c>
      <c r="AG91" s="38">
        <v>0</v>
      </c>
      <c r="AH91" s="38">
        <v>0</v>
      </c>
      <c r="AI91" s="38">
        <v>0</v>
      </c>
      <c r="AJ91" s="38">
        <v>1</v>
      </c>
    </row>
    <row r="92" spans="1:36" ht="21" customHeight="1" x14ac:dyDescent="0.15">
      <c r="A92" s="21" t="e">
        <f t="shared" ca="1" si="2"/>
        <v>#N/A</v>
      </c>
      <c r="B92" s="33">
        <v>4</v>
      </c>
      <c r="C92" s="32">
        <v>3</v>
      </c>
      <c r="D92" s="2" t="str">
        <f t="shared" si="24"/>
        <v>4_3</v>
      </c>
      <c r="E92" s="5" t="str">
        <f ca="1">VLOOKUP($B92,OFFSET([1]quests!$A$1,0,0,COUNTA([1]quests!$A:$A),MATCH(E$1,[1]quests!$1:$1,0)-MATCH($B$1,[1]quests!$1:$1,0)+1),MATCH(E$1,[1]quests!$1:$1,0)-MATCH($B$1,[1]quests!$1:$1,0)+1,FALSE)</f>
        <v>4．イエロープラント</v>
      </c>
      <c r="F92" s="5" t="str">
        <f ca="1">VLOOKUP($D92,OFFSET([1]stages!$A$1,0,0,COUNTA([1]stages!$A:$A),MATCH(F$1,[1]stages!$2:$2,0)-MATCH($D$1,[1]stages!$2:$2,0)+1),MATCH(F$1,[1]stages!$2:$2,0)-MATCH($D$1,[1]stages!$2:$2,0)+1,FALSE)</f>
        <v>4-3. 晩夏の狐</v>
      </c>
      <c r="G92" s="32">
        <v>1</v>
      </c>
      <c r="H92" s="20" t="str">
        <f t="shared" si="25"/>
        <v>4_3-1</v>
      </c>
      <c r="I92" s="31">
        <v>113</v>
      </c>
      <c r="J92" s="26" t="e">
        <f ca="1">VLOOKUP($I92,OFFSET([2]enemies!$A$1,0,0,COUNTA([2]enemies!$A:$A),MATCH(J$1,[2]enemies!$2:$2,0)-MATCH($I$1,[2]enemies!$2:$2,0)+1),MATCH(J$1,[2]enemies!$2:$2,0)-MATCH($I$1,[2]enemies!$2:$2,0)+1,FALSE)</f>
        <v>#N/A</v>
      </c>
      <c r="K92" s="29" t="e">
        <f ca="1">VLOOKUP($I92,OFFSET([2]enemies!$A$1,0,0,COUNTA([2]enemies!$A:$A),MATCH(K$1,[2]enemies!$2:$2,0)-MATCH($I$1,[2]enemies!$2:$2,0)+1),MATCH(K$1,[2]enemies!$2:$2,0)-MATCH($I$1,[2]enemies!$2:$2,0)+1,FALSE)</f>
        <v>#N/A</v>
      </c>
      <c r="L92" s="29" t="e">
        <f ca="1">VLOOKUP($I92,OFFSET([3]characters!$A$1,0,0,COUNTA([3]characters!$A:$A),MATCH(L$1,[3]characters!$2:$2,0)-MATCH($I$1,[3]characters!$2:$2,0)+1),MATCH(L$1,[3]characters!$2:$2,0)-MATCH($I$1,[3]characters!$2:$2,0)+1,FALSE)</f>
        <v>#N/A</v>
      </c>
      <c r="M92" s="28" t="e">
        <f ca="1">VLOOKUP($I92,OFFSET([3]characters!$A$1,0,0,COUNTA([3]characters!$A:$A),MATCH(M$1,[3]characters!$2:$2,0)-MATCH($I$1,[3]characters!$2:$2,0)+2),MATCH(M$1,[3]characters!$2:$2,0)-MATCH($I$1,[3]characters!$2:$2,0)+2,FALSE)</f>
        <v>#N/A</v>
      </c>
      <c r="N92" s="5" t="e">
        <f ca="1">VLOOKUP($I92,OFFSET([2]enemies!$A$1,0,0,COUNTA([2]enemies!$A:$A),MATCH(N$1,[2]enemies!$2:$2,0)-MATCH($I$1,[2]enemies!$2:$2,0)+1),MATCH(N$1,[2]enemies!$2:$2,0)-MATCH($I$1,[2]enemies!$2:$2,0)+1,FALSE)</f>
        <v>#N/A</v>
      </c>
      <c r="O92" s="6">
        <v>5</v>
      </c>
      <c r="P92" s="43">
        <v>1</v>
      </c>
      <c r="Q92" s="43">
        <v>1</v>
      </c>
      <c r="R92" s="6">
        <v>0</v>
      </c>
      <c r="S92" s="5" t="str">
        <f ca="1">VLOOKUP($T92,OFFSET([4]enemy_skill_sets!$B$1,0,0,COUNTA([4]enemy_skill_sets!$B:$B),MATCH(J$1,[4]enemy_skill_sets!$1:$1,0)-MATCH($T$1,[4]enemy_skill_sets!$1:$1,0)+2),MATCH(J$1,[4]enemy_skill_sets!$1:$1,0)-MATCH($T$1,[4]enemy_skill_sets!$1:$1,0)+2,FALSE)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2" s="5">
        <v>0</v>
      </c>
      <c r="U92" s="7">
        <v>0</v>
      </c>
      <c r="V92" s="7">
        <v>50</v>
      </c>
      <c r="W92" s="7">
        <v>0</v>
      </c>
      <c r="X92" s="26" t="e">
        <f ca="1">VLOOKUP($I92,OFFSET([2]enemies!$A$1,0,0,COUNTA([2]enemies!$A:$A),MATCH(X$1,[2]enemies!$2:$2,0)-MATCH($I$1,[2]enemies!$2:$2,0)+1),MATCH(X$1,[2]enemies!$2:$2,0)-MATCH($I$1,[2]enemies!$2:$2,0)+1,FALSE)</f>
        <v>#N/A</v>
      </c>
      <c r="Y92" s="31">
        <v>113</v>
      </c>
      <c r="Z92" s="5" t="str">
        <f ca="1">IFERROR(VLOOKUP($Y92,OFFSET([3]characters!$A$1,0,0,COUNTA([3]characters!$A:$A),MATCH(Z$1,[3]characters!$2:$2,0)-MATCH("character_id",[3]characters!$2:$2,0)+1),MATCH(Z$1,[3]characters!$2:$2,0)-MATCH("character_id",[3]characters!$2:$2,0)+1,FALSE),"")</f>
        <v/>
      </c>
      <c r="AA92" s="5" t="str">
        <f ca="1">IFERROR(VLOOKUP($Y92,OFFSET([3]characters!$A$1,0,0,COUNTA([3]characters!$A:$A),MATCH(AA$1,[3]characters!$2:$2,0)-MATCH("character_id",[3]characters!$2:$2,0)+1),MATCH(AA$1,[3]characters!$2:$2,0)-MATCH("character_id",[3]characters!$2:$2,0)+1,FALSE),"")</f>
        <v/>
      </c>
      <c r="AB92" s="5" t="str">
        <f ca="1">IFERROR(VLOOKUP($Y92,OFFSET([3]characters!$A$1,0,0,COUNTA([3]characters!$A:$A),MATCH(AB$1,[3]characters!$2:$2,0)-MATCH("character_id",[3]characters!$2:$2,0)+1),MATCH(AB$1,[3]characters!$2:$2,0)-MATCH("character_id",[3]characters!$2:$2,0)+1,FALSE),"")</f>
        <v/>
      </c>
      <c r="AC92" s="8">
        <v>1</v>
      </c>
      <c r="AD92" s="8" t="str">
        <f t="shared" ca="1" si="46"/>
        <v/>
      </c>
      <c r="AE92" s="9">
        <v>20</v>
      </c>
      <c r="AF92" s="38">
        <v>0</v>
      </c>
      <c r="AG92" s="38">
        <v>0</v>
      </c>
      <c r="AH92" s="38">
        <v>0</v>
      </c>
      <c r="AI92" s="38">
        <v>0</v>
      </c>
      <c r="AJ92" s="38">
        <v>1</v>
      </c>
    </row>
    <row r="93" spans="1:36" ht="21" customHeight="1" x14ac:dyDescent="0.15">
      <c r="A93" s="21" t="e">
        <f t="shared" ca="1" si="2"/>
        <v>#N/A</v>
      </c>
      <c r="B93" s="33">
        <v>4</v>
      </c>
      <c r="C93" s="32">
        <v>3</v>
      </c>
      <c r="D93" s="2" t="str">
        <f t="shared" si="24"/>
        <v>4_3</v>
      </c>
      <c r="E93" s="5" t="str">
        <f ca="1">VLOOKUP($B93,OFFSET([1]quests!$A$1,0,0,COUNTA([1]quests!$A:$A),MATCH(E$1,[1]quests!$1:$1,0)-MATCH($B$1,[1]quests!$1:$1,0)+1),MATCH(E$1,[1]quests!$1:$1,0)-MATCH($B$1,[1]quests!$1:$1,0)+1,FALSE)</f>
        <v>4．イエロープラント</v>
      </c>
      <c r="F93" s="5" t="str">
        <f ca="1">VLOOKUP($D93,OFFSET([1]stages!$A$1,0,0,COUNTA([1]stages!$A:$A),MATCH(F$1,[1]stages!$2:$2,0)-MATCH($D$1,[1]stages!$2:$2,0)+1),MATCH(F$1,[1]stages!$2:$2,0)-MATCH($D$1,[1]stages!$2:$2,0)+1,FALSE)</f>
        <v>4-3. 晩夏の狐</v>
      </c>
      <c r="G93" s="32">
        <v>2</v>
      </c>
      <c r="H93" s="20" t="str">
        <f t="shared" si="25"/>
        <v>4_3-2</v>
      </c>
      <c r="I93" s="31">
        <v>7</v>
      </c>
      <c r="J93" s="26" t="e">
        <f ca="1">VLOOKUP($I93,OFFSET([2]enemies!$A$1,0,0,COUNTA([2]enemies!$A:$A),MATCH(J$1,[2]enemies!$2:$2,0)-MATCH($I$1,[2]enemies!$2:$2,0)+1),MATCH(J$1,[2]enemies!$2:$2,0)-MATCH($I$1,[2]enemies!$2:$2,0)+1,FALSE)</f>
        <v>#N/A</v>
      </c>
      <c r="K93" s="29" t="e">
        <f ca="1">VLOOKUP($I93,OFFSET([2]enemies!$A$1,0,0,COUNTA([2]enemies!$A:$A),MATCH(K$1,[2]enemies!$2:$2,0)-MATCH($I$1,[2]enemies!$2:$2,0)+1),MATCH(K$1,[2]enemies!$2:$2,0)-MATCH($I$1,[2]enemies!$2:$2,0)+1,FALSE)</f>
        <v>#N/A</v>
      </c>
      <c r="L93" s="29" t="e">
        <f ca="1">VLOOKUP($I93,OFFSET([3]characters!$A$1,0,0,COUNTA([3]characters!$A:$A),MATCH(L$1,[3]characters!$2:$2,0)-MATCH($I$1,[3]characters!$2:$2,0)+1),MATCH(L$1,[3]characters!$2:$2,0)-MATCH($I$1,[3]characters!$2:$2,0)+1,FALSE)</f>
        <v>#N/A</v>
      </c>
      <c r="M93" s="28" t="e">
        <f ca="1">VLOOKUP($I93,OFFSET([3]characters!$A$1,0,0,COUNTA([3]characters!$A:$A),MATCH(M$1,[3]characters!$2:$2,0)-MATCH($I$1,[3]characters!$2:$2,0)+2),MATCH(M$1,[3]characters!$2:$2,0)-MATCH($I$1,[3]characters!$2:$2,0)+2,FALSE)</f>
        <v>#N/A</v>
      </c>
      <c r="N93" s="5" t="e">
        <f ca="1">VLOOKUP($I93,OFFSET([2]enemies!$A$1,0,0,COUNTA([2]enemies!$A:$A),MATCH(N$1,[2]enemies!$2:$2,0)-MATCH($I$1,[2]enemies!$2:$2,0)+1),MATCH(N$1,[2]enemies!$2:$2,0)-MATCH($I$1,[2]enemies!$2:$2,0)+1,FALSE)</f>
        <v>#N/A</v>
      </c>
      <c r="O93" s="6">
        <v>5</v>
      </c>
      <c r="P93" s="43">
        <v>1</v>
      </c>
      <c r="Q93" s="43">
        <v>1</v>
      </c>
      <c r="R93" s="6">
        <v>0</v>
      </c>
      <c r="S93" s="5" t="str">
        <f ca="1">VLOOKUP($T93,OFFSET([4]enemy_skill_sets!$B$1,0,0,COUNTA([4]enemy_skill_sets!$B:$B),MATCH(J$1,[4]enemy_skill_sets!$1:$1,0)-MATCH($T$1,[4]enemy_skill_sets!$1:$1,0)+2),MATCH(J$1,[4]enemy_skill_sets!$1:$1,0)-MATCH($T$1,[4]enemy_skill_sets!$1:$1,0)+2,FALSE)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3" s="5">
        <v>0</v>
      </c>
      <c r="U93" s="7">
        <v>0</v>
      </c>
      <c r="V93" s="7">
        <v>100</v>
      </c>
      <c r="W93" s="7">
        <v>0</v>
      </c>
      <c r="X93" s="26" t="e">
        <f ca="1">VLOOKUP($I93,OFFSET([2]enemies!$A$1,0,0,COUNTA([2]enemies!$A:$A),MATCH(X$1,[2]enemies!$2:$2,0)-MATCH($I$1,[2]enemies!$2:$2,0)+1),MATCH(X$1,[2]enemies!$2:$2,0)-MATCH($I$1,[2]enemies!$2:$2,0)+1,FALSE)</f>
        <v>#N/A</v>
      </c>
      <c r="Y93" s="31">
        <v>7</v>
      </c>
      <c r="Z93" s="5" t="str">
        <f ca="1">IFERROR(VLOOKUP($Y93,OFFSET([3]characters!$A$1,0,0,COUNTA([3]characters!$A:$A),MATCH(Z$1,[3]characters!$2:$2,0)-MATCH("character_id",[3]characters!$2:$2,0)+1),MATCH(Z$1,[3]characters!$2:$2,0)-MATCH("character_id",[3]characters!$2:$2,0)+1,FALSE),"")</f>
        <v/>
      </c>
      <c r="AA93" s="5" t="str">
        <f ca="1">IFERROR(VLOOKUP($Y93,OFFSET([3]characters!$A$1,0,0,COUNTA([3]characters!$A:$A),MATCH(AA$1,[3]characters!$2:$2,0)-MATCH("character_id",[3]characters!$2:$2,0)+1),MATCH(AA$1,[3]characters!$2:$2,0)-MATCH("character_id",[3]characters!$2:$2,0)+1,FALSE),"")</f>
        <v/>
      </c>
      <c r="AB93" s="5" t="str">
        <f ca="1">IFERROR(VLOOKUP($Y93,OFFSET([3]characters!$A$1,0,0,COUNTA([3]characters!$A:$A),MATCH(AB$1,[3]characters!$2:$2,0)-MATCH("character_id",[3]characters!$2:$2,0)+1),MATCH(AB$1,[3]characters!$2:$2,0)-MATCH("character_id",[3]characters!$2:$2,0)+1,FALSE),"")</f>
        <v/>
      </c>
      <c r="AC93" s="8">
        <v>3</v>
      </c>
      <c r="AD93" s="8" t="str">
        <f t="shared" ca="1" si="46"/>
        <v/>
      </c>
      <c r="AE93" s="9">
        <v>30</v>
      </c>
      <c r="AF93" s="38">
        <v>0</v>
      </c>
      <c r="AG93" s="38">
        <v>0</v>
      </c>
      <c r="AH93" s="38">
        <v>0</v>
      </c>
      <c r="AI93" s="38">
        <v>0</v>
      </c>
      <c r="AJ93" s="38">
        <v>1</v>
      </c>
    </row>
    <row r="94" spans="1:36" ht="22" customHeight="1" x14ac:dyDescent="0.15">
      <c r="A94" s="21" t="e">
        <f t="shared" ca="1" si="2"/>
        <v>#N/A</v>
      </c>
      <c r="B94" s="33">
        <v>4</v>
      </c>
      <c r="C94" s="32">
        <v>3</v>
      </c>
      <c r="D94" s="2" t="str">
        <f t="shared" si="24"/>
        <v>4_3</v>
      </c>
      <c r="E94" s="5" t="str">
        <f ca="1">VLOOKUP($B94,OFFSET([1]quests!$A$1,0,0,COUNTA([1]quests!$A:$A),MATCH(E$1,[1]quests!$1:$1,0)-MATCH($B$1,[1]quests!$1:$1,0)+1),MATCH(E$1,[1]quests!$1:$1,0)-MATCH($B$1,[1]quests!$1:$1,0)+1,FALSE)</f>
        <v>4．イエロープラント</v>
      </c>
      <c r="F94" s="5" t="str">
        <f ca="1">VLOOKUP($D94,OFFSET([1]stages!$A$1,0,0,COUNTA([1]stages!$A:$A),MATCH(F$1,[1]stages!$2:$2,0)-MATCH($D$1,[1]stages!$2:$2,0)+1),MATCH(F$1,[1]stages!$2:$2,0)-MATCH($D$1,[1]stages!$2:$2,0)+1,FALSE)</f>
        <v>4-3. 晩夏の狐</v>
      </c>
      <c r="G94" s="32">
        <v>2</v>
      </c>
      <c r="H94" s="20" t="str">
        <f t="shared" si="25"/>
        <v>4_3-2</v>
      </c>
      <c r="I94" s="31">
        <v>13</v>
      </c>
      <c r="J94" s="26" t="e">
        <f ca="1">VLOOKUP($I94,OFFSET([2]enemies!$A$1,0,0,COUNTA([2]enemies!$A:$A),MATCH(J$1,[2]enemies!$2:$2,0)-MATCH($I$1,[2]enemies!$2:$2,0)+1),MATCH(J$1,[2]enemies!$2:$2,0)-MATCH($I$1,[2]enemies!$2:$2,0)+1,FALSE)</f>
        <v>#N/A</v>
      </c>
      <c r="K94" s="29" t="e">
        <f ca="1">VLOOKUP($I94,OFFSET([2]enemies!$A$1,0,0,COUNTA([2]enemies!$A:$A),MATCH(K$1,[2]enemies!$2:$2,0)-MATCH($I$1,[2]enemies!$2:$2,0)+1),MATCH(K$1,[2]enemies!$2:$2,0)-MATCH($I$1,[2]enemies!$2:$2,0)+1,FALSE)</f>
        <v>#N/A</v>
      </c>
      <c r="L94" s="29" t="e">
        <f ca="1">VLOOKUP($I94,OFFSET([3]characters!$A$1,0,0,COUNTA([3]characters!$A:$A),MATCH(L$1,[3]characters!$2:$2,0)-MATCH($I$1,[3]characters!$2:$2,0)+1),MATCH(L$1,[3]characters!$2:$2,0)-MATCH($I$1,[3]characters!$2:$2,0)+1,FALSE)</f>
        <v>#N/A</v>
      </c>
      <c r="M94" s="28" t="e">
        <f ca="1">VLOOKUP($I94,OFFSET([3]characters!$A$1,0,0,COUNTA([3]characters!$A:$A),MATCH(M$1,[3]characters!$2:$2,0)-MATCH($I$1,[3]characters!$2:$2,0)+2),MATCH(M$1,[3]characters!$2:$2,0)-MATCH($I$1,[3]characters!$2:$2,0)+2,FALSE)</f>
        <v>#N/A</v>
      </c>
      <c r="N94" s="5" t="e">
        <f ca="1">VLOOKUP($I94,OFFSET([2]enemies!$A$1,0,0,COUNTA([2]enemies!$A:$A),MATCH(N$1,[2]enemies!$2:$2,0)-MATCH($I$1,[2]enemies!$2:$2,0)+1),MATCH(N$1,[2]enemies!$2:$2,0)-MATCH($I$1,[2]enemies!$2:$2,0)+1,FALSE)</f>
        <v>#N/A</v>
      </c>
      <c r="O94" s="6">
        <v>5</v>
      </c>
      <c r="P94" s="43">
        <v>1</v>
      </c>
      <c r="Q94" s="43">
        <v>1</v>
      </c>
      <c r="R94" s="6">
        <v>0</v>
      </c>
      <c r="S94" s="5" t="str">
        <f ca="1">VLOOKUP($T94,OFFSET([4]enemy_skill_sets!$B$1,0,0,COUNTA([4]enemy_skill_sets!$B:$B),MATCH(J$1,[4]enemy_skill_sets!$1:$1,0)-MATCH($T$1,[4]enemy_skill_sets!$1:$1,0)+2),MATCH(J$1,[4]enemy_skill_sets!$1:$1,0)-MATCH($T$1,[4]enemy_skill_sets!$1:$1,0)+2,FALSE)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4" s="5">
        <v>0</v>
      </c>
      <c r="U94" s="7">
        <v>0</v>
      </c>
      <c r="V94" s="7">
        <v>100</v>
      </c>
      <c r="W94" s="7">
        <v>0</v>
      </c>
      <c r="X94" s="26" t="e">
        <f ca="1">VLOOKUP($I94,OFFSET([2]enemies!$A$1,0,0,COUNTA([2]enemies!$A:$A),MATCH(X$1,[2]enemies!$2:$2,0)-MATCH($I$1,[2]enemies!$2:$2,0)+1),MATCH(X$1,[2]enemies!$2:$2,0)-MATCH($I$1,[2]enemies!$2:$2,0)+1,FALSE)</f>
        <v>#N/A</v>
      </c>
      <c r="Y94" s="31">
        <v>13</v>
      </c>
      <c r="Z94" s="5" t="str">
        <f ca="1">IFERROR(VLOOKUP($Y94,OFFSET([3]characters!$A$1,0,0,COUNTA([3]characters!$A:$A),MATCH(Z$1,[3]characters!$2:$2,0)-MATCH("character_id",[3]characters!$2:$2,0)+1),MATCH(Z$1,[3]characters!$2:$2,0)-MATCH("character_id",[3]characters!$2:$2,0)+1,FALSE),"")</f>
        <v/>
      </c>
      <c r="AA94" s="5" t="str">
        <f ca="1">IFERROR(VLOOKUP($Y94,OFFSET([3]characters!$A$1,0,0,COUNTA([3]characters!$A:$A),MATCH(AA$1,[3]characters!$2:$2,0)-MATCH("character_id",[3]characters!$2:$2,0)+1),MATCH(AA$1,[3]characters!$2:$2,0)-MATCH("character_id",[3]characters!$2:$2,0)+1,FALSE),"")</f>
        <v/>
      </c>
      <c r="AB94" s="5" t="str">
        <f ca="1">IFERROR(VLOOKUP($Y94,OFFSET([3]characters!$A$1,0,0,COUNTA([3]characters!$A:$A),MATCH(AB$1,[3]characters!$2:$2,0)-MATCH("character_id",[3]characters!$2:$2,0)+1),MATCH(AB$1,[3]characters!$2:$2,0)-MATCH("character_id",[3]characters!$2:$2,0)+1,FALSE),"")</f>
        <v/>
      </c>
      <c r="AC94" s="8">
        <v>1</v>
      </c>
      <c r="AD94" s="8" t="str">
        <f t="shared" ca="1" si="46"/>
        <v/>
      </c>
      <c r="AE94" s="9">
        <v>30</v>
      </c>
      <c r="AF94" s="38">
        <v>0</v>
      </c>
      <c r="AG94" s="38">
        <v>0</v>
      </c>
      <c r="AH94" s="38">
        <v>0</v>
      </c>
      <c r="AI94" s="38">
        <v>0</v>
      </c>
      <c r="AJ94" s="38">
        <v>1</v>
      </c>
    </row>
    <row r="95" spans="1:36" ht="21" customHeight="1" x14ac:dyDescent="0.15">
      <c r="A95" s="21" t="e">
        <f t="shared" ca="1" si="2"/>
        <v>#N/A</v>
      </c>
      <c r="B95" s="33">
        <v>4</v>
      </c>
      <c r="C95" s="32">
        <v>3</v>
      </c>
      <c r="D95" s="2" t="str">
        <f t="shared" si="24"/>
        <v>4_3</v>
      </c>
      <c r="E95" s="5" t="str">
        <f ca="1">VLOOKUP($B95,OFFSET([1]quests!$A$1,0,0,COUNTA([1]quests!$A:$A),MATCH(E$1,[1]quests!$1:$1,0)-MATCH($B$1,[1]quests!$1:$1,0)+1),MATCH(E$1,[1]quests!$1:$1,0)-MATCH($B$1,[1]quests!$1:$1,0)+1,FALSE)</f>
        <v>4．イエロープラント</v>
      </c>
      <c r="F95" s="5" t="str">
        <f ca="1">VLOOKUP($D95,OFFSET([1]stages!$A$1,0,0,COUNTA([1]stages!$A:$A),MATCH(F$1,[1]stages!$2:$2,0)-MATCH($D$1,[1]stages!$2:$2,0)+1),MATCH(F$1,[1]stages!$2:$2,0)-MATCH($D$1,[1]stages!$2:$2,0)+1,FALSE)</f>
        <v>4-3. 晩夏の狐</v>
      </c>
      <c r="G95" s="32">
        <v>2</v>
      </c>
      <c r="H95" s="20" t="str">
        <f t="shared" si="25"/>
        <v>4_3-2</v>
      </c>
      <c r="I95" s="31">
        <v>19</v>
      </c>
      <c r="J95" s="26" t="e">
        <f ca="1">VLOOKUP($I95,OFFSET([2]enemies!$A$1,0,0,COUNTA([2]enemies!$A:$A),MATCH(J$1,[2]enemies!$2:$2,0)-MATCH($I$1,[2]enemies!$2:$2,0)+1),MATCH(J$1,[2]enemies!$2:$2,0)-MATCH($I$1,[2]enemies!$2:$2,0)+1,FALSE)</f>
        <v>#N/A</v>
      </c>
      <c r="K95" s="29" t="e">
        <f ca="1">VLOOKUP($I95,OFFSET([2]enemies!$A$1,0,0,COUNTA([2]enemies!$A:$A),MATCH(K$1,[2]enemies!$2:$2,0)-MATCH($I$1,[2]enemies!$2:$2,0)+1),MATCH(K$1,[2]enemies!$2:$2,0)-MATCH($I$1,[2]enemies!$2:$2,0)+1,FALSE)</f>
        <v>#N/A</v>
      </c>
      <c r="L95" s="29" t="e">
        <f ca="1">VLOOKUP($I95,OFFSET([3]characters!$A$1,0,0,COUNTA([3]characters!$A:$A),MATCH(L$1,[3]characters!$2:$2,0)-MATCH($I$1,[3]characters!$2:$2,0)+1),MATCH(L$1,[3]characters!$2:$2,0)-MATCH($I$1,[3]characters!$2:$2,0)+1,FALSE)</f>
        <v>#N/A</v>
      </c>
      <c r="M95" s="28" t="e">
        <f ca="1">VLOOKUP($I95,OFFSET([3]characters!$A$1,0,0,COUNTA([3]characters!$A:$A),MATCH(M$1,[3]characters!$2:$2,0)-MATCH($I$1,[3]characters!$2:$2,0)+2),MATCH(M$1,[3]characters!$2:$2,0)-MATCH($I$1,[3]characters!$2:$2,0)+2,FALSE)</f>
        <v>#N/A</v>
      </c>
      <c r="N95" s="5" t="e">
        <f ca="1">VLOOKUP($I95,OFFSET([2]enemies!$A$1,0,0,COUNTA([2]enemies!$A:$A),MATCH(N$1,[2]enemies!$2:$2,0)-MATCH($I$1,[2]enemies!$2:$2,0)+1),MATCH(N$1,[2]enemies!$2:$2,0)-MATCH($I$1,[2]enemies!$2:$2,0)+1,FALSE)</f>
        <v>#N/A</v>
      </c>
      <c r="O95" s="6">
        <v>5</v>
      </c>
      <c r="P95" s="43">
        <v>1</v>
      </c>
      <c r="Q95" s="43">
        <v>1</v>
      </c>
      <c r="R95" s="6">
        <v>0</v>
      </c>
      <c r="S95" s="5" t="str">
        <f ca="1">VLOOKUP($T95,OFFSET([4]enemy_skill_sets!$B$1,0,0,COUNTA([4]enemy_skill_sets!$B:$B),MATCH(J$1,[4]enemy_skill_sets!$1:$1,0)-MATCH($T$1,[4]enemy_skill_sets!$1:$1,0)+2),MATCH(J$1,[4]enemy_skill_sets!$1:$1,0)-MATCH($T$1,[4]enemy_skill_sets!$1:$1,0)+2,FALSE)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5" s="5">
        <v>0</v>
      </c>
      <c r="U95" s="7">
        <v>0</v>
      </c>
      <c r="V95" s="7">
        <v>100</v>
      </c>
      <c r="W95" s="7">
        <v>0</v>
      </c>
      <c r="X95" s="26" t="e">
        <f ca="1">VLOOKUP($I95,OFFSET([2]enemies!$A$1,0,0,COUNTA([2]enemies!$A:$A),MATCH(X$1,[2]enemies!$2:$2,0)-MATCH($I$1,[2]enemies!$2:$2,0)+1),MATCH(X$1,[2]enemies!$2:$2,0)-MATCH($I$1,[2]enemies!$2:$2,0)+1,FALSE)</f>
        <v>#N/A</v>
      </c>
      <c r="Y95" s="31">
        <v>19</v>
      </c>
      <c r="Z95" s="5" t="str">
        <f ca="1">IFERROR(VLOOKUP($Y95,OFFSET([3]characters!$A$1,0,0,COUNTA([3]characters!$A:$A),MATCH(Z$1,[3]characters!$2:$2,0)-MATCH("character_id",[3]characters!$2:$2,0)+1),MATCH(Z$1,[3]characters!$2:$2,0)-MATCH("character_id",[3]characters!$2:$2,0)+1,FALSE),"")</f>
        <v/>
      </c>
      <c r="AA95" s="5" t="str">
        <f ca="1">IFERROR(VLOOKUP($Y95,OFFSET([3]characters!$A$1,0,0,COUNTA([3]characters!$A:$A),MATCH(AA$1,[3]characters!$2:$2,0)-MATCH("character_id",[3]characters!$2:$2,0)+1),MATCH(AA$1,[3]characters!$2:$2,0)-MATCH("character_id",[3]characters!$2:$2,0)+1,FALSE),"")</f>
        <v/>
      </c>
      <c r="AB95" s="5" t="str">
        <f ca="1">IFERROR(VLOOKUP($Y95,OFFSET([3]characters!$A$1,0,0,COUNTA([3]characters!$A:$A),MATCH(AB$1,[3]characters!$2:$2,0)-MATCH("character_id",[3]characters!$2:$2,0)+1),MATCH(AB$1,[3]characters!$2:$2,0)-MATCH("character_id",[3]characters!$2:$2,0)+1,FALSE),"")</f>
        <v/>
      </c>
      <c r="AC95" s="8">
        <v>1</v>
      </c>
      <c r="AD95" s="8" t="str">
        <f t="shared" ca="1" si="46"/>
        <v/>
      </c>
      <c r="AE95" s="9">
        <v>30</v>
      </c>
      <c r="AF95" s="38">
        <v>0</v>
      </c>
      <c r="AG95" s="38">
        <v>0</v>
      </c>
      <c r="AH95" s="38">
        <v>0</v>
      </c>
      <c r="AI95" s="38">
        <v>0</v>
      </c>
      <c r="AJ95" s="38">
        <v>1</v>
      </c>
    </row>
    <row r="96" spans="1:36" ht="21" customHeight="1" x14ac:dyDescent="0.15">
      <c r="A96" s="21" t="e">
        <f t="shared" ref="A96" ca="1" si="63">B96&amp;"_"&amp;C96&amp;"-"&amp;G96&amp;"/"&amp;I96&amp;"&lt;lv"&amp;O96&amp;"&gt;s"&amp;X96</f>
        <v>#N/A</v>
      </c>
      <c r="B96" s="33">
        <v>4</v>
      </c>
      <c r="C96" s="32">
        <v>3</v>
      </c>
      <c r="D96" s="2" t="str">
        <f t="shared" ref="D96" si="64">B96&amp;"_"&amp;C96</f>
        <v>4_3</v>
      </c>
      <c r="E96" s="5" t="str">
        <f ca="1">VLOOKUP($B96,OFFSET([1]quests!$A$1,0,0,COUNTA([1]quests!$A:$A),MATCH(E$1,[1]quests!$1:$1,0)-MATCH($B$1,[1]quests!$1:$1,0)+1),MATCH(E$1,[1]quests!$1:$1,0)-MATCH($B$1,[1]quests!$1:$1,0)+1,FALSE)</f>
        <v>4．イエロープラント</v>
      </c>
      <c r="F96" s="5" t="str">
        <f ca="1">VLOOKUP($D96,OFFSET([1]stages!$A$1,0,0,COUNTA([1]stages!$A:$A),MATCH(F$1,[1]stages!$2:$2,0)-MATCH($D$1,[1]stages!$2:$2,0)+1),MATCH(F$1,[1]stages!$2:$2,0)-MATCH($D$1,[1]stages!$2:$2,0)+1,FALSE)</f>
        <v>4-3. 晩夏の狐</v>
      </c>
      <c r="G96" s="32">
        <v>2</v>
      </c>
      <c r="H96" s="20" t="str">
        <f t="shared" ref="H96" si="65">B96&amp;"_"&amp;C96&amp;"-"&amp;G96</f>
        <v>4_3-2</v>
      </c>
      <c r="I96" s="31">
        <v>113</v>
      </c>
      <c r="J96" s="26" t="e">
        <f ca="1">VLOOKUP($I96,OFFSET([2]enemies!$A$1,0,0,COUNTA([2]enemies!$A:$A),MATCH(J$1,[2]enemies!$2:$2,0)-MATCH($I$1,[2]enemies!$2:$2,0)+1),MATCH(J$1,[2]enemies!$2:$2,0)-MATCH($I$1,[2]enemies!$2:$2,0)+1,FALSE)</f>
        <v>#N/A</v>
      </c>
      <c r="K96" s="29" t="e">
        <f ca="1">VLOOKUP($I96,OFFSET([2]enemies!$A$1,0,0,COUNTA([2]enemies!$A:$A),MATCH(K$1,[2]enemies!$2:$2,0)-MATCH($I$1,[2]enemies!$2:$2,0)+1),MATCH(K$1,[2]enemies!$2:$2,0)-MATCH($I$1,[2]enemies!$2:$2,0)+1,FALSE)</f>
        <v>#N/A</v>
      </c>
      <c r="L96" s="29" t="e">
        <f ca="1">VLOOKUP($I96,OFFSET([3]characters!$A$1,0,0,COUNTA([3]characters!$A:$A),MATCH(L$1,[3]characters!$2:$2,0)-MATCH($I$1,[3]characters!$2:$2,0)+1),MATCH(L$1,[3]characters!$2:$2,0)-MATCH($I$1,[3]characters!$2:$2,0)+1,FALSE)</f>
        <v>#N/A</v>
      </c>
      <c r="M96" s="28" t="e">
        <f ca="1">VLOOKUP($I96,OFFSET([3]characters!$A$1,0,0,COUNTA([3]characters!$A:$A),MATCH(M$1,[3]characters!$2:$2,0)-MATCH($I$1,[3]characters!$2:$2,0)+2),MATCH(M$1,[3]characters!$2:$2,0)-MATCH($I$1,[3]characters!$2:$2,0)+2,FALSE)</f>
        <v>#N/A</v>
      </c>
      <c r="N96" s="5" t="e">
        <f ca="1">VLOOKUP($I96,OFFSET([2]enemies!$A$1,0,0,COUNTA([2]enemies!$A:$A),MATCH(N$1,[2]enemies!$2:$2,0)-MATCH($I$1,[2]enemies!$2:$2,0)+1),MATCH(N$1,[2]enemies!$2:$2,0)-MATCH($I$1,[2]enemies!$2:$2,0)+1,FALSE)</f>
        <v>#N/A</v>
      </c>
      <c r="O96" s="6">
        <v>5</v>
      </c>
      <c r="P96" s="43">
        <v>1</v>
      </c>
      <c r="Q96" s="43">
        <v>1</v>
      </c>
      <c r="R96" s="6">
        <v>0</v>
      </c>
      <c r="S96" s="5" t="str">
        <f ca="1">VLOOKUP($T96,OFFSET([4]enemy_skill_sets!$B$1,0,0,COUNTA([4]enemy_skill_sets!$B:$B),MATCH(J$1,[4]enemy_skill_sets!$1:$1,0)-MATCH($T$1,[4]enemy_skill_sets!$1:$1,0)+2),MATCH(J$1,[4]enemy_skill_sets!$1:$1,0)-MATCH($T$1,[4]enemy_skill_sets!$1:$1,0)+2,FALSE)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6" s="5">
        <v>0</v>
      </c>
      <c r="U96" s="7">
        <v>0</v>
      </c>
      <c r="V96" s="7">
        <v>50</v>
      </c>
      <c r="W96" s="7">
        <v>0</v>
      </c>
      <c r="X96" s="26" t="e">
        <f ca="1">VLOOKUP($I96,OFFSET([2]enemies!$A$1,0,0,COUNTA([2]enemies!$A:$A),MATCH(X$1,[2]enemies!$2:$2,0)-MATCH($I$1,[2]enemies!$2:$2,0)+1),MATCH(X$1,[2]enemies!$2:$2,0)-MATCH($I$1,[2]enemies!$2:$2,0)+1,FALSE)</f>
        <v>#N/A</v>
      </c>
      <c r="Y96" s="31">
        <v>113</v>
      </c>
      <c r="Z96" s="5" t="str">
        <f ca="1">IFERROR(VLOOKUP($Y96,OFFSET([3]characters!$A$1,0,0,COUNTA([3]characters!$A:$A),MATCH(Z$1,[3]characters!$2:$2,0)-MATCH("character_id",[3]characters!$2:$2,0)+1),MATCH(Z$1,[3]characters!$2:$2,0)-MATCH("character_id",[3]characters!$2:$2,0)+1,FALSE),"")</f>
        <v/>
      </c>
      <c r="AA96" s="5" t="str">
        <f ca="1">IFERROR(VLOOKUP($Y96,OFFSET([3]characters!$A$1,0,0,COUNTA([3]characters!$A:$A),MATCH(AA$1,[3]characters!$2:$2,0)-MATCH("character_id",[3]characters!$2:$2,0)+1),MATCH(AA$1,[3]characters!$2:$2,0)-MATCH("character_id",[3]characters!$2:$2,0)+1,FALSE),"")</f>
        <v/>
      </c>
      <c r="AB96" s="5" t="str">
        <f ca="1">IFERROR(VLOOKUP($Y96,OFFSET([3]characters!$A$1,0,0,COUNTA([3]characters!$A:$A),MATCH(AB$1,[3]characters!$2:$2,0)-MATCH("character_id",[3]characters!$2:$2,0)+1),MATCH(AB$1,[3]characters!$2:$2,0)-MATCH("character_id",[3]characters!$2:$2,0)+1,FALSE),"")</f>
        <v/>
      </c>
      <c r="AC96" s="8">
        <v>1</v>
      </c>
      <c r="AD96" s="8" t="str">
        <f t="shared" ref="AD96" ca="1" si="66">AA96</f>
        <v/>
      </c>
      <c r="AE96" s="9">
        <v>20</v>
      </c>
      <c r="AF96" s="38">
        <v>0</v>
      </c>
      <c r="AG96" s="38">
        <v>0</v>
      </c>
      <c r="AH96" s="38">
        <v>0</v>
      </c>
      <c r="AI96" s="38">
        <v>0</v>
      </c>
      <c r="AJ96" s="38">
        <v>1</v>
      </c>
    </row>
    <row r="97" spans="1:36" ht="21" customHeight="1" x14ac:dyDescent="0.15">
      <c r="A97" s="21" t="e">
        <f t="shared" ref="A97:A100" ca="1" si="67">B97&amp;"_"&amp;C97&amp;"-"&amp;G97&amp;"/"&amp;I97&amp;"&lt;lv"&amp;O97&amp;"&gt;s"&amp;X97</f>
        <v>#N/A</v>
      </c>
      <c r="B97" s="33">
        <v>4</v>
      </c>
      <c r="C97" s="32">
        <v>3</v>
      </c>
      <c r="D97" s="2" t="str">
        <f t="shared" ref="D97:D100" si="68">B97&amp;"_"&amp;C97</f>
        <v>4_3</v>
      </c>
      <c r="E97" s="5" t="str">
        <f ca="1">VLOOKUP($B97,OFFSET([1]quests!$A$1,0,0,COUNTA([1]quests!$A:$A),MATCH(E$1,[1]quests!$1:$1,0)-MATCH($B$1,[1]quests!$1:$1,0)+1),MATCH(E$1,[1]quests!$1:$1,0)-MATCH($B$1,[1]quests!$1:$1,0)+1,FALSE)</f>
        <v>4．イエロープラント</v>
      </c>
      <c r="F97" s="5" t="str">
        <f ca="1">VLOOKUP($D97,OFFSET([1]stages!$A$1,0,0,COUNTA([1]stages!$A:$A),MATCH(F$1,[1]stages!$2:$2,0)-MATCH($D$1,[1]stages!$2:$2,0)+1),MATCH(F$1,[1]stages!$2:$2,0)-MATCH($D$1,[1]stages!$2:$2,0)+1,FALSE)</f>
        <v>4-3. 晩夏の狐</v>
      </c>
      <c r="G97" s="32">
        <v>3</v>
      </c>
      <c r="H97" s="20" t="str">
        <f t="shared" ref="H97:H100" si="69">B97&amp;"_"&amp;C97&amp;"-"&amp;G97</f>
        <v>4_3-3</v>
      </c>
      <c r="I97" s="31">
        <v>7</v>
      </c>
      <c r="J97" s="26" t="e">
        <f ca="1">VLOOKUP($I97,OFFSET([2]enemies!$A$1,0,0,COUNTA([2]enemies!$A:$A),MATCH(J$1,[2]enemies!$2:$2,0)-MATCH($I$1,[2]enemies!$2:$2,0)+1),MATCH(J$1,[2]enemies!$2:$2,0)-MATCH($I$1,[2]enemies!$2:$2,0)+1,FALSE)</f>
        <v>#N/A</v>
      </c>
      <c r="K97" s="29" t="e">
        <f ca="1">VLOOKUP($I97,OFFSET([2]enemies!$A$1,0,0,COUNTA([2]enemies!$A:$A),MATCH(K$1,[2]enemies!$2:$2,0)-MATCH($I$1,[2]enemies!$2:$2,0)+1),MATCH(K$1,[2]enemies!$2:$2,0)-MATCH($I$1,[2]enemies!$2:$2,0)+1,FALSE)</f>
        <v>#N/A</v>
      </c>
      <c r="L97" s="29" t="e">
        <f ca="1">VLOOKUP($I97,OFFSET([3]characters!$A$1,0,0,COUNTA([3]characters!$A:$A),MATCH(L$1,[3]characters!$2:$2,0)-MATCH($I$1,[3]characters!$2:$2,0)+1),MATCH(L$1,[3]characters!$2:$2,0)-MATCH($I$1,[3]characters!$2:$2,0)+1,FALSE)</f>
        <v>#N/A</v>
      </c>
      <c r="M97" s="28" t="e">
        <f ca="1">VLOOKUP($I97,OFFSET([3]characters!$A$1,0,0,COUNTA([3]characters!$A:$A),MATCH(M$1,[3]characters!$2:$2,0)-MATCH($I$1,[3]characters!$2:$2,0)+2),MATCH(M$1,[3]characters!$2:$2,0)-MATCH($I$1,[3]characters!$2:$2,0)+2,FALSE)</f>
        <v>#N/A</v>
      </c>
      <c r="N97" s="5" t="e">
        <f ca="1">VLOOKUP($I97,OFFSET([2]enemies!$A$1,0,0,COUNTA([2]enemies!$A:$A),MATCH(N$1,[2]enemies!$2:$2,0)-MATCH($I$1,[2]enemies!$2:$2,0)+1),MATCH(N$1,[2]enemies!$2:$2,0)-MATCH($I$1,[2]enemies!$2:$2,0)+1,FALSE)</f>
        <v>#N/A</v>
      </c>
      <c r="O97" s="6">
        <v>5</v>
      </c>
      <c r="P97" s="43">
        <v>1</v>
      </c>
      <c r="Q97" s="43">
        <v>1</v>
      </c>
      <c r="R97" s="6">
        <v>0</v>
      </c>
      <c r="S97" s="5" t="str">
        <f ca="1">VLOOKUP($T97,OFFSET([4]enemy_skill_sets!$B$1,0,0,COUNTA([4]enemy_skill_sets!$B:$B),MATCH(J$1,[4]enemy_skill_sets!$1:$1,0)-MATCH($T$1,[4]enemy_skill_sets!$1:$1,0)+2),MATCH(J$1,[4]enemy_skill_sets!$1:$1,0)-MATCH($T$1,[4]enemy_skill_sets!$1:$1,0)+2,FALSE)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7" s="5">
        <v>0</v>
      </c>
      <c r="U97" s="7">
        <v>0</v>
      </c>
      <c r="V97" s="7">
        <v>100</v>
      </c>
      <c r="W97" s="7">
        <v>0</v>
      </c>
      <c r="X97" s="26" t="e">
        <f ca="1">VLOOKUP($I97,OFFSET([2]enemies!$A$1,0,0,COUNTA([2]enemies!$A:$A),MATCH(X$1,[2]enemies!$2:$2,0)-MATCH($I$1,[2]enemies!$2:$2,0)+1),MATCH(X$1,[2]enemies!$2:$2,0)-MATCH($I$1,[2]enemies!$2:$2,0)+1,FALSE)</f>
        <v>#N/A</v>
      </c>
      <c r="Y97" s="31">
        <v>7</v>
      </c>
      <c r="Z97" s="5" t="str">
        <f ca="1">IFERROR(VLOOKUP($Y97,OFFSET([3]characters!$A$1,0,0,COUNTA([3]characters!$A:$A),MATCH(Z$1,[3]characters!$2:$2,0)-MATCH("character_id",[3]characters!$2:$2,0)+1),MATCH(Z$1,[3]characters!$2:$2,0)-MATCH("character_id",[3]characters!$2:$2,0)+1,FALSE),"")</f>
        <v/>
      </c>
      <c r="AA97" s="5" t="str">
        <f ca="1">IFERROR(VLOOKUP($Y97,OFFSET([3]characters!$A$1,0,0,COUNTA([3]characters!$A:$A),MATCH(AA$1,[3]characters!$2:$2,0)-MATCH("character_id",[3]characters!$2:$2,0)+1),MATCH(AA$1,[3]characters!$2:$2,0)-MATCH("character_id",[3]characters!$2:$2,0)+1,FALSE),"")</f>
        <v/>
      </c>
      <c r="AB97" s="5" t="str">
        <f ca="1">IFERROR(VLOOKUP($Y97,OFFSET([3]characters!$A$1,0,0,COUNTA([3]characters!$A:$A),MATCH(AB$1,[3]characters!$2:$2,0)-MATCH("character_id",[3]characters!$2:$2,0)+1),MATCH(AB$1,[3]characters!$2:$2,0)-MATCH("character_id",[3]characters!$2:$2,0)+1,FALSE),"")</f>
        <v/>
      </c>
      <c r="AC97" s="8">
        <v>3</v>
      </c>
      <c r="AD97" s="8" t="str">
        <f t="shared" ref="AD97:AD100" ca="1" si="70">AA97</f>
        <v/>
      </c>
      <c r="AE97" s="9">
        <v>30</v>
      </c>
      <c r="AF97" s="38">
        <v>0</v>
      </c>
      <c r="AG97" s="38">
        <v>0</v>
      </c>
      <c r="AH97" s="38">
        <v>0</v>
      </c>
      <c r="AI97" s="38">
        <v>0</v>
      </c>
      <c r="AJ97" s="38">
        <v>1</v>
      </c>
    </row>
    <row r="98" spans="1:36" ht="22" customHeight="1" x14ac:dyDescent="0.15">
      <c r="A98" s="21" t="e">
        <f t="shared" ca="1" si="67"/>
        <v>#N/A</v>
      </c>
      <c r="B98" s="33">
        <v>4</v>
      </c>
      <c r="C98" s="32">
        <v>3</v>
      </c>
      <c r="D98" s="2" t="str">
        <f t="shared" si="68"/>
        <v>4_3</v>
      </c>
      <c r="E98" s="5" t="str">
        <f ca="1">VLOOKUP($B98,OFFSET([1]quests!$A$1,0,0,COUNTA([1]quests!$A:$A),MATCH(E$1,[1]quests!$1:$1,0)-MATCH($B$1,[1]quests!$1:$1,0)+1),MATCH(E$1,[1]quests!$1:$1,0)-MATCH($B$1,[1]quests!$1:$1,0)+1,FALSE)</f>
        <v>4．イエロープラント</v>
      </c>
      <c r="F98" s="5" t="str">
        <f ca="1">VLOOKUP($D98,OFFSET([1]stages!$A$1,0,0,COUNTA([1]stages!$A:$A),MATCH(F$1,[1]stages!$2:$2,0)-MATCH($D$1,[1]stages!$2:$2,0)+1),MATCH(F$1,[1]stages!$2:$2,0)-MATCH($D$1,[1]stages!$2:$2,0)+1,FALSE)</f>
        <v>4-3. 晩夏の狐</v>
      </c>
      <c r="G98" s="32">
        <v>3</v>
      </c>
      <c r="H98" s="20" t="str">
        <f t="shared" si="69"/>
        <v>4_3-3</v>
      </c>
      <c r="I98" s="31">
        <v>13</v>
      </c>
      <c r="J98" s="26" t="e">
        <f ca="1">VLOOKUP($I98,OFFSET([2]enemies!$A$1,0,0,COUNTA([2]enemies!$A:$A),MATCH(J$1,[2]enemies!$2:$2,0)-MATCH($I$1,[2]enemies!$2:$2,0)+1),MATCH(J$1,[2]enemies!$2:$2,0)-MATCH($I$1,[2]enemies!$2:$2,0)+1,FALSE)</f>
        <v>#N/A</v>
      </c>
      <c r="K98" s="29" t="e">
        <f ca="1">VLOOKUP($I98,OFFSET([2]enemies!$A$1,0,0,COUNTA([2]enemies!$A:$A),MATCH(K$1,[2]enemies!$2:$2,0)-MATCH($I$1,[2]enemies!$2:$2,0)+1),MATCH(K$1,[2]enemies!$2:$2,0)-MATCH($I$1,[2]enemies!$2:$2,0)+1,FALSE)</f>
        <v>#N/A</v>
      </c>
      <c r="L98" s="29" t="e">
        <f ca="1">VLOOKUP($I98,OFFSET([3]characters!$A$1,0,0,COUNTA([3]characters!$A:$A),MATCH(L$1,[3]characters!$2:$2,0)-MATCH($I$1,[3]characters!$2:$2,0)+1),MATCH(L$1,[3]characters!$2:$2,0)-MATCH($I$1,[3]characters!$2:$2,0)+1,FALSE)</f>
        <v>#N/A</v>
      </c>
      <c r="M98" s="28" t="e">
        <f ca="1">VLOOKUP($I98,OFFSET([3]characters!$A$1,0,0,COUNTA([3]characters!$A:$A),MATCH(M$1,[3]characters!$2:$2,0)-MATCH($I$1,[3]characters!$2:$2,0)+2),MATCH(M$1,[3]characters!$2:$2,0)-MATCH($I$1,[3]characters!$2:$2,0)+2,FALSE)</f>
        <v>#N/A</v>
      </c>
      <c r="N98" s="5" t="e">
        <f ca="1">VLOOKUP($I98,OFFSET([2]enemies!$A$1,0,0,COUNTA([2]enemies!$A:$A),MATCH(N$1,[2]enemies!$2:$2,0)-MATCH($I$1,[2]enemies!$2:$2,0)+1),MATCH(N$1,[2]enemies!$2:$2,0)-MATCH($I$1,[2]enemies!$2:$2,0)+1,FALSE)</f>
        <v>#N/A</v>
      </c>
      <c r="O98" s="6">
        <v>5</v>
      </c>
      <c r="P98" s="43">
        <v>1</v>
      </c>
      <c r="Q98" s="43">
        <v>1</v>
      </c>
      <c r="R98" s="6">
        <v>0</v>
      </c>
      <c r="S98" s="5" t="str">
        <f ca="1">VLOOKUP($T98,OFFSET([4]enemy_skill_sets!$B$1,0,0,COUNTA([4]enemy_skill_sets!$B:$B),MATCH(J$1,[4]enemy_skill_sets!$1:$1,0)-MATCH($T$1,[4]enemy_skill_sets!$1:$1,0)+2),MATCH(J$1,[4]enemy_skill_sets!$1:$1,0)-MATCH($T$1,[4]enemy_skill_sets!$1:$1,0)+2,FALSE)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8" s="5">
        <v>0</v>
      </c>
      <c r="U98" s="7">
        <v>0</v>
      </c>
      <c r="V98" s="7">
        <v>100</v>
      </c>
      <c r="W98" s="7">
        <v>0</v>
      </c>
      <c r="X98" s="26" t="e">
        <f ca="1">VLOOKUP($I98,OFFSET([2]enemies!$A$1,0,0,COUNTA([2]enemies!$A:$A),MATCH(X$1,[2]enemies!$2:$2,0)-MATCH($I$1,[2]enemies!$2:$2,0)+1),MATCH(X$1,[2]enemies!$2:$2,0)-MATCH($I$1,[2]enemies!$2:$2,0)+1,FALSE)</f>
        <v>#N/A</v>
      </c>
      <c r="Y98" s="31">
        <v>13</v>
      </c>
      <c r="Z98" s="5" t="str">
        <f ca="1">IFERROR(VLOOKUP($Y98,OFFSET([3]characters!$A$1,0,0,COUNTA([3]characters!$A:$A),MATCH(Z$1,[3]characters!$2:$2,0)-MATCH("character_id",[3]characters!$2:$2,0)+1),MATCH(Z$1,[3]characters!$2:$2,0)-MATCH("character_id",[3]characters!$2:$2,0)+1,FALSE),"")</f>
        <v/>
      </c>
      <c r="AA98" s="5" t="str">
        <f ca="1">IFERROR(VLOOKUP($Y98,OFFSET([3]characters!$A$1,0,0,COUNTA([3]characters!$A:$A),MATCH(AA$1,[3]characters!$2:$2,0)-MATCH("character_id",[3]characters!$2:$2,0)+1),MATCH(AA$1,[3]characters!$2:$2,0)-MATCH("character_id",[3]characters!$2:$2,0)+1,FALSE),"")</f>
        <v/>
      </c>
      <c r="AB98" s="5" t="str">
        <f ca="1">IFERROR(VLOOKUP($Y98,OFFSET([3]characters!$A$1,0,0,COUNTA([3]characters!$A:$A),MATCH(AB$1,[3]characters!$2:$2,0)-MATCH("character_id",[3]characters!$2:$2,0)+1),MATCH(AB$1,[3]characters!$2:$2,0)-MATCH("character_id",[3]characters!$2:$2,0)+1,FALSE),"")</f>
        <v/>
      </c>
      <c r="AC98" s="8">
        <v>1</v>
      </c>
      <c r="AD98" s="8" t="str">
        <f t="shared" ca="1" si="70"/>
        <v/>
      </c>
      <c r="AE98" s="9">
        <v>30</v>
      </c>
      <c r="AF98" s="38">
        <v>0</v>
      </c>
      <c r="AG98" s="38">
        <v>0</v>
      </c>
      <c r="AH98" s="38">
        <v>0</v>
      </c>
      <c r="AI98" s="38">
        <v>0</v>
      </c>
      <c r="AJ98" s="38">
        <v>1</v>
      </c>
    </row>
    <row r="99" spans="1:36" ht="21" customHeight="1" x14ac:dyDescent="0.15">
      <c r="A99" s="21" t="e">
        <f t="shared" ca="1" si="67"/>
        <v>#N/A</v>
      </c>
      <c r="B99" s="33">
        <v>4</v>
      </c>
      <c r="C99" s="32">
        <v>3</v>
      </c>
      <c r="D99" s="2" t="str">
        <f t="shared" si="68"/>
        <v>4_3</v>
      </c>
      <c r="E99" s="5" t="str">
        <f ca="1">VLOOKUP($B99,OFFSET([1]quests!$A$1,0,0,COUNTA([1]quests!$A:$A),MATCH(E$1,[1]quests!$1:$1,0)-MATCH($B$1,[1]quests!$1:$1,0)+1),MATCH(E$1,[1]quests!$1:$1,0)-MATCH($B$1,[1]quests!$1:$1,0)+1,FALSE)</f>
        <v>4．イエロープラント</v>
      </c>
      <c r="F99" s="5" t="str">
        <f ca="1">VLOOKUP($D99,OFFSET([1]stages!$A$1,0,0,COUNTA([1]stages!$A:$A),MATCH(F$1,[1]stages!$2:$2,0)-MATCH($D$1,[1]stages!$2:$2,0)+1),MATCH(F$1,[1]stages!$2:$2,0)-MATCH($D$1,[1]stages!$2:$2,0)+1,FALSE)</f>
        <v>4-3. 晩夏の狐</v>
      </c>
      <c r="G99" s="32">
        <v>3</v>
      </c>
      <c r="H99" s="20" t="str">
        <f t="shared" si="69"/>
        <v>4_3-3</v>
      </c>
      <c r="I99" s="31">
        <v>19</v>
      </c>
      <c r="J99" s="26" t="e">
        <f ca="1">VLOOKUP($I99,OFFSET([2]enemies!$A$1,0,0,COUNTA([2]enemies!$A:$A),MATCH(J$1,[2]enemies!$2:$2,0)-MATCH($I$1,[2]enemies!$2:$2,0)+1),MATCH(J$1,[2]enemies!$2:$2,0)-MATCH($I$1,[2]enemies!$2:$2,0)+1,FALSE)</f>
        <v>#N/A</v>
      </c>
      <c r="K99" s="29" t="e">
        <f ca="1">VLOOKUP($I99,OFFSET([2]enemies!$A$1,0,0,COUNTA([2]enemies!$A:$A),MATCH(K$1,[2]enemies!$2:$2,0)-MATCH($I$1,[2]enemies!$2:$2,0)+1),MATCH(K$1,[2]enemies!$2:$2,0)-MATCH($I$1,[2]enemies!$2:$2,0)+1,FALSE)</f>
        <v>#N/A</v>
      </c>
      <c r="L99" s="29" t="e">
        <f ca="1">VLOOKUP($I99,OFFSET([3]characters!$A$1,0,0,COUNTA([3]characters!$A:$A),MATCH(L$1,[3]characters!$2:$2,0)-MATCH($I$1,[3]characters!$2:$2,0)+1),MATCH(L$1,[3]characters!$2:$2,0)-MATCH($I$1,[3]characters!$2:$2,0)+1,FALSE)</f>
        <v>#N/A</v>
      </c>
      <c r="M99" s="28" t="e">
        <f ca="1">VLOOKUP($I99,OFFSET([3]characters!$A$1,0,0,COUNTA([3]characters!$A:$A),MATCH(M$1,[3]characters!$2:$2,0)-MATCH($I$1,[3]characters!$2:$2,0)+2),MATCH(M$1,[3]characters!$2:$2,0)-MATCH($I$1,[3]characters!$2:$2,0)+2,FALSE)</f>
        <v>#N/A</v>
      </c>
      <c r="N99" s="5" t="e">
        <f ca="1">VLOOKUP($I99,OFFSET([2]enemies!$A$1,0,0,COUNTA([2]enemies!$A:$A),MATCH(N$1,[2]enemies!$2:$2,0)-MATCH($I$1,[2]enemies!$2:$2,0)+1),MATCH(N$1,[2]enemies!$2:$2,0)-MATCH($I$1,[2]enemies!$2:$2,0)+1,FALSE)</f>
        <v>#N/A</v>
      </c>
      <c r="O99" s="6">
        <v>5</v>
      </c>
      <c r="P99" s="43">
        <v>1</v>
      </c>
      <c r="Q99" s="43">
        <v>1</v>
      </c>
      <c r="R99" s="6">
        <v>0</v>
      </c>
      <c r="S99" s="5" t="str">
        <f ca="1">VLOOKUP($T99,OFFSET([4]enemy_skill_sets!$B$1,0,0,COUNTA([4]enemy_skill_sets!$B:$B),MATCH(J$1,[4]enemy_skill_sets!$1:$1,0)-MATCH($T$1,[4]enemy_skill_sets!$1:$1,0)+2),MATCH(J$1,[4]enemy_skill_sets!$1:$1,0)-MATCH($T$1,[4]enemy_skill_sets!$1:$1,0)+2,FALSE)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9" s="5">
        <v>0</v>
      </c>
      <c r="U99" s="7">
        <v>0</v>
      </c>
      <c r="V99" s="7">
        <v>100</v>
      </c>
      <c r="W99" s="7">
        <v>0</v>
      </c>
      <c r="X99" s="26" t="e">
        <f ca="1">VLOOKUP($I99,OFFSET([2]enemies!$A$1,0,0,COUNTA([2]enemies!$A:$A),MATCH(X$1,[2]enemies!$2:$2,0)-MATCH($I$1,[2]enemies!$2:$2,0)+1),MATCH(X$1,[2]enemies!$2:$2,0)-MATCH($I$1,[2]enemies!$2:$2,0)+1,FALSE)</f>
        <v>#N/A</v>
      </c>
      <c r="Y99" s="31">
        <v>19</v>
      </c>
      <c r="Z99" s="5" t="str">
        <f ca="1">IFERROR(VLOOKUP($Y99,OFFSET([3]characters!$A$1,0,0,COUNTA([3]characters!$A:$A),MATCH(Z$1,[3]characters!$2:$2,0)-MATCH("character_id",[3]characters!$2:$2,0)+1),MATCH(Z$1,[3]characters!$2:$2,0)-MATCH("character_id",[3]characters!$2:$2,0)+1,FALSE),"")</f>
        <v/>
      </c>
      <c r="AA99" s="5" t="str">
        <f ca="1">IFERROR(VLOOKUP($Y99,OFFSET([3]characters!$A$1,0,0,COUNTA([3]characters!$A:$A),MATCH(AA$1,[3]characters!$2:$2,0)-MATCH("character_id",[3]characters!$2:$2,0)+1),MATCH(AA$1,[3]characters!$2:$2,0)-MATCH("character_id",[3]characters!$2:$2,0)+1,FALSE),"")</f>
        <v/>
      </c>
      <c r="AB99" s="5" t="str">
        <f ca="1">IFERROR(VLOOKUP($Y99,OFFSET([3]characters!$A$1,0,0,COUNTA([3]characters!$A:$A),MATCH(AB$1,[3]characters!$2:$2,0)-MATCH("character_id",[3]characters!$2:$2,0)+1),MATCH(AB$1,[3]characters!$2:$2,0)-MATCH("character_id",[3]characters!$2:$2,0)+1,FALSE),"")</f>
        <v/>
      </c>
      <c r="AC99" s="8">
        <v>1</v>
      </c>
      <c r="AD99" s="8" t="str">
        <f t="shared" ca="1" si="70"/>
        <v/>
      </c>
      <c r="AE99" s="9">
        <v>30</v>
      </c>
      <c r="AF99" s="38">
        <v>0</v>
      </c>
      <c r="AG99" s="38">
        <v>0</v>
      </c>
      <c r="AH99" s="38">
        <v>0</v>
      </c>
      <c r="AI99" s="38">
        <v>0</v>
      </c>
      <c r="AJ99" s="38">
        <v>1</v>
      </c>
    </row>
    <row r="100" spans="1:36" ht="21" customHeight="1" x14ac:dyDescent="0.15">
      <c r="A100" s="21" t="e">
        <f t="shared" ca="1" si="67"/>
        <v>#N/A</v>
      </c>
      <c r="B100" s="33">
        <v>4</v>
      </c>
      <c r="C100" s="32">
        <v>3</v>
      </c>
      <c r="D100" s="2" t="str">
        <f t="shared" si="68"/>
        <v>4_3</v>
      </c>
      <c r="E100" s="5" t="str">
        <f ca="1">VLOOKUP($B100,OFFSET([1]quests!$A$1,0,0,COUNTA([1]quests!$A:$A),MATCH(E$1,[1]quests!$1:$1,0)-MATCH($B$1,[1]quests!$1:$1,0)+1),MATCH(E$1,[1]quests!$1:$1,0)-MATCH($B$1,[1]quests!$1:$1,0)+1,FALSE)</f>
        <v>4．イエロープラント</v>
      </c>
      <c r="F100" s="5" t="str">
        <f ca="1">VLOOKUP($D100,OFFSET([1]stages!$A$1,0,0,COUNTA([1]stages!$A:$A),MATCH(F$1,[1]stages!$2:$2,0)-MATCH($D$1,[1]stages!$2:$2,0)+1),MATCH(F$1,[1]stages!$2:$2,0)-MATCH($D$1,[1]stages!$2:$2,0)+1,FALSE)</f>
        <v>4-3. 晩夏の狐</v>
      </c>
      <c r="G100" s="32">
        <v>3</v>
      </c>
      <c r="H100" s="20" t="str">
        <f t="shared" si="69"/>
        <v>4_3-3</v>
      </c>
      <c r="I100" s="31">
        <v>113</v>
      </c>
      <c r="J100" s="26" t="e">
        <f ca="1">VLOOKUP($I100,OFFSET([2]enemies!$A$1,0,0,COUNTA([2]enemies!$A:$A),MATCH(J$1,[2]enemies!$2:$2,0)-MATCH($I$1,[2]enemies!$2:$2,0)+1),MATCH(J$1,[2]enemies!$2:$2,0)-MATCH($I$1,[2]enemies!$2:$2,0)+1,FALSE)</f>
        <v>#N/A</v>
      </c>
      <c r="K100" s="29" t="e">
        <f ca="1">VLOOKUP($I100,OFFSET([2]enemies!$A$1,0,0,COUNTA([2]enemies!$A:$A),MATCH(K$1,[2]enemies!$2:$2,0)-MATCH($I$1,[2]enemies!$2:$2,0)+1),MATCH(K$1,[2]enemies!$2:$2,0)-MATCH($I$1,[2]enemies!$2:$2,0)+1,FALSE)</f>
        <v>#N/A</v>
      </c>
      <c r="L100" s="29" t="e">
        <f ca="1">VLOOKUP($I100,OFFSET([3]characters!$A$1,0,0,COUNTA([3]characters!$A:$A),MATCH(L$1,[3]characters!$2:$2,0)-MATCH($I$1,[3]characters!$2:$2,0)+1),MATCH(L$1,[3]characters!$2:$2,0)-MATCH($I$1,[3]characters!$2:$2,0)+1,FALSE)</f>
        <v>#N/A</v>
      </c>
      <c r="M100" s="28" t="e">
        <f ca="1">VLOOKUP($I100,OFFSET([3]characters!$A$1,0,0,COUNTA([3]characters!$A:$A),MATCH(M$1,[3]characters!$2:$2,0)-MATCH($I$1,[3]characters!$2:$2,0)+2),MATCH(M$1,[3]characters!$2:$2,0)-MATCH($I$1,[3]characters!$2:$2,0)+2,FALSE)</f>
        <v>#N/A</v>
      </c>
      <c r="N100" s="5" t="e">
        <f ca="1">VLOOKUP($I100,OFFSET([2]enemies!$A$1,0,0,COUNTA([2]enemies!$A:$A),MATCH(N$1,[2]enemies!$2:$2,0)-MATCH($I$1,[2]enemies!$2:$2,0)+1),MATCH(N$1,[2]enemies!$2:$2,0)-MATCH($I$1,[2]enemies!$2:$2,0)+1,FALSE)</f>
        <v>#N/A</v>
      </c>
      <c r="O100" s="6">
        <v>5</v>
      </c>
      <c r="P100" s="43">
        <v>1</v>
      </c>
      <c r="Q100" s="43">
        <v>1</v>
      </c>
      <c r="R100" s="6">
        <v>0</v>
      </c>
      <c r="S100" s="5" t="str">
        <f ca="1">VLOOKUP($T100,OFFSET([4]enemy_skill_sets!$B$1,0,0,COUNTA([4]enemy_skill_sets!$B:$B),MATCH(J$1,[4]enemy_skill_sets!$1:$1,0)-MATCH($T$1,[4]enemy_skill_sets!$1:$1,0)+2),MATCH(J$1,[4]enemy_skill_sets!$1:$1,0)-MATCH($T$1,[4]enemy_skill_sets!$1:$1,0)+2,FALSE)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0" s="5">
        <v>0</v>
      </c>
      <c r="U100" s="7">
        <v>0</v>
      </c>
      <c r="V100" s="7">
        <v>50</v>
      </c>
      <c r="W100" s="7">
        <v>0</v>
      </c>
      <c r="X100" s="26" t="e">
        <f ca="1">VLOOKUP($I100,OFFSET([2]enemies!$A$1,0,0,COUNTA([2]enemies!$A:$A),MATCH(X$1,[2]enemies!$2:$2,0)-MATCH($I$1,[2]enemies!$2:$2,0)+1),MATCH(X$1,[2]enemies!$2:$2,0)-MATCH($I$1,[2]enemies!$2:$2,0)+1,FALSE)</f>
        <v>#N/A</v>
      </c>
      <c r="Y100" s="31">
        <v>113</v>
      </c>
      <c r="Z100" s="5" t="str">
        <f ca="1">IFERROR(VLOOKUP($Y100,OFFSET([3]characters!$A$1,0,0,COUNTA([3]characters!$A:$A),MATCH(Z$1,[3]characters!$2:$2,0)-MATCH("character_id",[3]characters!$2:$2,0)+1),MATCH(Z$1,[3]characters!$2:$2,0)-MATCH("character_id",[3]characters!$2:$2,0)+1,FALSE),"")</f>
        <v/>
      </c>
      <c r="AA100" s="5" t="str">
        <f ca="1">IFERROR(VLOOKUP($Y100,OFFSET([3]characters!$A$1,0,0,COUNTA([3]characters!$A:$A),MATCH(AA$1,[3]characters!$2:$2,0)-MATCH("character_id",[3]characters!$2:$2,0)+1),MATCH(AA$1,[3]characters!$2:$2,0)-MATCH("character_id",[3]characters!$2:$2,0)+1,FALSE),"")</f>
        <v/>
      </c>
      <c r="AB100" s="5" t="str">
        <f ca="1">IFERROR(VLOOKUP($Y100,OFFSET([3]characters!$A$1,0,0,COUNTA([3]characters!$A:$A),MATCH(AB$1,[3]characters!$2:$2,0)-MATCH("character_id",[3]characters!$2:$2,0)+1),MATCH(AB$1,[3]characters!$2:$2,0)-MATCH("character_id",[3]characters!$2:$2,0)+1,FALSE),"")</f>
        <v/>
      </c>
      <c r="AC100" s="8">
        <v>1</v>
      </c>
      <c r="AD100" s="8" t="str">
        <f t="shared" ca="1" si="70"/>
        <v/>
      </c>
      <c r="AE100" s="9">
        <v>20</v>
      </c>
      <c r="AF100" s="38">
        <v>0</v>
      </c>
      <c r="AG100" s="38">
        <v>0</v>
      </c>
      <c r="AH100" s="38">
        <v>0</v>
      </c>
      <c r="AI100" s="38">
        <v>0</v>
      </c>
      <c r="AJ100" s="38">
        <v>1</v>
      </c>
    </row>
    <row r="101" spans="1:36" ht="22" customHeight="1" x14ac:dyDescent="0.15">
      <c r="A101" s="21" t="e">
        <f t="shared" ref="A101" ca="1" si="71">B101&amp;"_"&amp;C101&amp;"-"&amp;G101&amp;"/"&amp;I101&amp;"&lt;lv"&amp;O101&amp;"&gt;s"&amp;X101</f>
        <v>#N/A</v>
      </c>
      <c r="B101" s="33">
        <v>4</v>
      </c>
      <c r="C101" s="32">
        <v>3</v>
      </c>
      <c r="D101" s="2" t="str">
        <f t="shared" ref="D101" si="72">B101&amp;"_"&amp;C101</f>
        <v>4_3</v>
      </c>
      <c r="E101" s="5" t="str">
        <f ca="1">VLOOKUP($B101,OFFSET([1]quests!$A$1,0,0,COUNTA([1]quests!$A:$A),MATCH(E$1,[1]quests!$1:$1,0)-MATCH($B$1,[1]quests!$1:$1,0)+1),MATCH(E$1,[1]quests!$1:$1,0)-MATCH($B$1,[1]quests!$1:$1,0)+1,FALSE)</f>
        <v>4．イエロープラント</v>
      </c>
      <c r="F101" s="5" t="str">
        <f ca="1">VLOOKUP($D101,OFFSET([1]stages!$A$1,0,0,COUNTA([1]stages!$A:$A),MATCH(F$1,[1]stages!$2:$2,0)-MATCH($D$1,[1]stages!$2:$2,0)+1),MATCH(F$1,[1]stages!$2:$2,0)-MATCH($D$1,[1]stages!$2:$2,0)+1,FALSE)</f>
        <v>4-3. 晩夏の狐</v>
      </c>
      <c r="G101" s="32">
        <v>4</v>
      </c>
      <c r="H101" s="20" t="str">
        <f t="shared" ref="H101" si="73">B101&amp;"_"&amp;C101&amp;"-"&amp;G101</f>
        <v>4_3-4</v>
      </c>
      <c r="I101" s="31">
        <v>13</v>
      </c>
      <c r="J101" s="26" t="e">
        <f ca="1">VLOOKUP($I101,OFFSET([2]enemies!$A$1,0,0,COUNTA([2]enemies!$A:$A),MATCH(J$1,[2]enemies!$2:$2,0)-MATCH($I$1,[2]enemies!$2:$2,0)+1),MATCH(J$1,[2]enemies!$2:$2,0)-MATCH($I$1,[2]enemies!$2:$2,0)+1,FALSE)</f>
        <v>#N/A</v>
      </c>
      <c r="K101" s="29" t="e">
        <f ca="1">VLOOKUP($I101,OFFSET([2]enemies!$A$1,0,0,COUNTA([2]enemies!$A:$A),MATCH(K$1,[2]enemies!$2:$2,0)-MATCH($I$1,[2]enemies!$2:$2,0)+1),MATCH(K$1,[2]enemies!$2:$2,0)-MATCH($I$1,[2]enemies!$2:$2,0)+1,FALSE)</f>
        <v>#N/A</v>
      </c>
      <c r="L101" s="29" t="e">
        <f ca="1">VLOOKUP($I101,OFFSET([3]characters!$A$1,0,0,COUNTA([3]characters!$A:$A),MATCH(L$1,[3]characters!$2:$2,0)-MATCH($I$1,[3]characters!$2:$2,0)+1),MATCH(L$1,[3]characters!$2:$2,0)-MATCH($I$1,[3]characters!$2:$2,0)+1,FALSE)</f>
        <v>#N/A</v>
      </c>
      <c r="M101" s="28" t="e">
        <f ca="1">VLOOKUP($I101,OFFSET([3]characters!$A$1,0,0,COUNTA([3]characters!$A:$A),MATCH(M$1,[3]characters!$2:$2,0)-MATCH($I$1,[3]characters!$2:$2,0)+2),MATCH(M$1,[3]characters!$2:$2,0)-MATCH($I$1,[3]characters!$2:$2,0)+2,FALSE)</f>
        <v>#N/A</v>
      </c>
      <c r="N101" s="5" t="e">
        <f ca="1">VLOOKUP($I101,OFFSET([2]enemies!$A$1,0,0,COUNTA([2]enemies!$A:$A),MATCH(N$1,[2]enemies!$2:$2,0)-MATCH($I$1,[2]enemies!$2:$2,0)+1),MATCH(N$1,[2]enemies!$2:$2,0)-MATCH($I$1,[2]enemies!$2:$2,0)+1,FALSE)</f>
        <v>#N/A</v>
      </c>
      <c r="O101" s="6">
        <v>5</v>
      </c>
      <c r="P101" s="43">
        <v>1</v>
      </c>
      <c r="Q101" s="43">
        <v>1</v>
      </c>
      <c r="R101" s="6">
        <v>0</v>
      </c>
      <c r="S101" s="5" t="str">
        <f ca="1">VLOOKUP($T101,OFFSET([4]enemy_skill_sets!$B$1,0,0,COUNTA([4]enemy_skill_sets!$B:$B),MATCH(J$1,[4]enemy_skill_sets!$1:$1,0)-MATCH($T$1,[4]enemy_skill_sets!$1:$1,0)+2),MATCH(J$1,[4]enemy_skill_sets!$1:$1,0)-MATCH($T$1,[4]enemy_skill_sets!$1:$1,0)+2,FALSE)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1" s="5">
        <v>0</v>
      </c>
      <c r="U101" s="7">
        <v>2</v>
      </c>
      <c r="V101" s="7">
        <v>100</v>
      </c>
      <c r="W101" s="7">
        <v>0</v>
      </c>
      <c r="X101" s="26" t="e">
        <f ca="1">VLOOKUP($I101,OFFSET([2]enemies!$A$1,0,0,COUNTA([2]enemies!$A:$A),MATCH(X$1,[2]enemies!$2:$2,0)-MATCH($I$1,[2]enemies!$2:$2,0)+1),MATCH(X$1,[2]enemies!$2:$2,0)-MATCH($I$1,[2]enemies!$2:$2,0)+1,FALSE)</f>
        <v>#N/A</v>
      </c>
      <c r="Y101" s="31">
        <v>13</v>
      </c>
      <c r="Z101" s="5" t="str">
        <f ca="1">IFERROR(VLOOKUP($Y101,OFFSET([3]characters!$A$1,0,0,COUNTA([3]characters!$A:$A),MATCH(Z$1,[3]characters!$2:$2,0)-MATCH("character_id",[3]characters!$2:$2,0)+1),MATCH(Z$1,[3]characters!$2:$2,0)-MATCH("character_id",[3]characters!$2:$2,0)+1,FALSE),"")</f>
        <v/>
      </c>
      <c r="AA101" s="5" t="str">
        <f ca="1">IFERROR(VLOOKUP($Y101,OFFSET([3]characters!$A$1,0,0,COUNTA([3]characters!$A:$A),MATCH(AA$1,[3]characters!$2:$2,0)-MATCH("character_id",[3]characters!$2:$2,0)+1),MATCH(AA$1,[3]characters!$2:$2,0)-MATCH("character_id",[3]characters!$2:$2,0)+1,FALSE),"")</f>
        <v/>
      </c>
      <c r="AB101" s="5" t="str">
        <f ca="1">IFERROR(VLOOKUP($Y101,OFFSET([3]characters!$A$1,0,0,COUNTA([3]characters!$A:$A),MATCH(AB$1,[3]characters!$2:$2,0)-MATCH("character_id",[3]characters!$2:$2,0)+1),MATCH(AB$1,[3]characters!$2:$2,0)-MATCH("character_id",[3]characters!$2:$2,0)+1,FALSE),"")</f>
        <v/>
      </c>
      <c r="AC101" s="8">
        <v>1</v>
      </c>
      <c r="AD101" s="8" t="str">
        <f t="shared" ref="AD101" ca="1" si="74">AA101</f>
        <v/>
      </c>
      <c r="AE101" s="9">
        <v>30</v>
      </c>
      <c r="AF101" s="38">
        <v>0</v>
      </c>
      <c r="AG101" s="38">
        <v>0</v>
      </c>
      <c r="AH101" s="38">
        <v>0</v>
      </c>
      <c r="AI101" s="38">
        <v>0</v>
      </c>
      <c r="AJ101" s="38">
        <v>1</v>
      </c>
    </row>
    <row r="102" spans="1:36" ht="21" customHeight="1" x14ac:dyDescent="0.15">
      <c r="A102" s="21" t="e">
        <f t="shared" ca="1" si="2"/>
        <v>#N/A</v>
      </c>
      <c r="B102" s="33">
        <v>4</v>
      </c>
      <c r="C102" s="32">
        <v>3</v>
      </c>
      <c r="D102" s="2" t="str">
        <f t="shared" si="24"/>
        <v>4_3</v>
      </c>
      <c r="E102" s="5" t="str">
        <f ca="1">VLOOKUP($B102,OFFSET([1]quests!$A$1,0,0,COUNTA([1]quests!$A:$A),MATCH(E$1,[1]quests!$1:$1,0)-MATCH($B$1,[1]quests!$1:$1,0)+1),MATCH(E$1,[1]quests!$1:$1,0)-MATCH($B$1,[1]quests!$1:$1,0)+1,FALSE)</f>
        <v>4．イエロープラント</v>
      </c>
      <c r="F102" s="5" t="str">
        <f ca="1">VLOOKUP($D102,OFFSET([1]stages!$A$1,0,0,COUNTA([1]stages!$A:$A),MATCH(F$1,[1]stages!$2:$2,0)-MATCH($D$1,[1]stages!$2:$2,0)+1),MATCH(F$1,[1]stages!$2:$2,0)-MATCH($D$1,[1]stages!$2:$2,0)+1,FALSE)</f>
        <v>4-3. 晩夏の狐</v>
      </c>
      <c r="G102" s="32">
        <v>4</v>
      </c>
      <c r="H102" s="20" t="str">
        <f t="shared" si="25"/>
        <v>4_3-4</v>
      </c>
      <c r="I102" s="31">
        <v>140</v>
      </c>
      <c r="J102" s="26" t="e">
        <f ca="1">VLOOKUP($I102,OFFSET([2]enemies!$A$1,0,0,COUNTA([2]enemies!$A:$A),MATCH(J$1,[2]enemies!$2:$2,0)-MATCH($I$1,[2]enemies!$2:$2,0)+1),MATCH(J$1,[2]enemies!$2:$2,0)-MATCH($I$1,[2]enemies!$2:$2,0)+1,FALSE)</f>
        <v>#N/A</v>
      </c>
      <c r="K102" s="29" t="e">
        <f ca="1">VLOOKUP($I102,OFFSET([2]enemies!$A$1,0,0,COUNTA([2]enemies!$A:$A),MATCH(K$1,[2]enemies!$2:$2,0)-MATCH($I$1,[2]enemies!$2:$2,0)+1),MATCH(K$1,[2]enemies!$2:$2,0)-MATCH($I$1,[2]enemies!$2:$2,0)+1,FALSE)</f>
        <v>#N/A</v>
      </c>
      <c r="L102" s="29" t="e">
        <f ca="1">VLOOKUP($I102,OFFSET([3]characters!$A$1,0,0,COUNTA([3]characters!$A:$A),MATCH(L$1,[3]characters!$2:$2,0)-MATCH($I$1,[3]characters!$2:$2,0)+1),MATCH(L$1,[3]characters!$2:$2,0)-MATCH($I$1,[3]characters!$2:$2,0)+1,FALSE)</f>
        <v>#N/A</v>
      </c>
      <c r="M102" s="28" t="e">
        <f ca="1">VLOOKUP($I102,OFFSET([3]characters!$A$1,0,0,COUNTA([3]characters!$A:$A),MATCH(M$1,[3]characters!$2:$2,0)-MATCH($I$1,[3]characters!$2:$2,0)+2),MATCH(M$1,[3]characters!$2:$2,0)-MATCH($I$1,[3]characters!$2:$2,0)+2,FALSE)</f>
        <v>#N/A</v>
      </c>
      <c r="N102" s="5" t="e">
        <f ca="1">VLOOKUP($I102,OFFSET([2]enemies!$A$1,0,0,COUNTA([2]enemies!$A:$A),MATCH(N$1,[2]enemies!$2:$2,0)-MATCH($I$1,[2]enemies!$2:$2,0)+1),MATCH(N$1,[2]enemies!$2:$2,0)-MATCH($I$1,[2]enemies!$2:$2,0)+1,FALSE)</f>
        <v>#N/A</v>
      </c>
      <c r="O102" s="6">
        <v>7</v>
      </c>
      <c r="P102" s="43">
        <v>1</v>
      </c>
      <c r="Q102" s="43">
        <v>1</v>
      </c>
      <c r="R102" s="6">
        <v>0</v>
      </c>
      <c r="S102" s="5" t="str">
        <f ca="1">VLOOKUP($T102,OFFSET([4]enemy_skill_sets!$B$1,0,0,COUNTA([4]enemy_skill_sets!$B:$B),MATCH(J$1,[4]enemy_skill_sets!$1:$1,0)-MATCH($T$1,[4]enemy_skill_sets!$1:$1,0)+2),MATCH(J$1,[4]enemy_skill_sets!$1:$1,0)-MATCH($T$1,[4]enemy_skill_sets!$1:$1,0)+2,FALSE)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2" s="5">
        <v>0</v>
      </c>
      <c r="U102" s="7">
        <v>1</v>
      </c>
      <c r="V102" s="7">
        <v>100</v>
      </c>
      <c r="W102" s="7">
        <v>1</v>
      </c>
      <c r="X102" s="26" t="e">
        <f ca="1">VLOOKUP($I102,OFFSET([2]enemies!$A$1,0,0,COUNTA([2]enemies!$A:$A),MATCH(X$1,[2]enemies!$2:$2,0)-MATCH($I$1,[2]enemies!$2:$2,0)+1),MATCH(X$1,[2]enemies!$2:$2,0)-MATCH($I$1,[2]enemies!$2:$2,0)+1,FALSE)</f>
        <v>#N/A</v>
      </c>
      <c r="Y102" s="31">
        <v>140</v>
      </c>
      <c r="Z102" s="5" t="str">
        <f ca="1">IFERROR(VLOOKUP($Y102,OFFSET([3]characters!$A$1,0,0,COUNTA([3]characters!$A:$A),MATCH(Z$1,[3]characters!$2:$2,0)-MATCH("character_id",[3]characters!$2:$2,0)+1),MATCH(Z$1,[3]characters!$2:$2,0)-MATCH("character_id",[3]characters!$2:$2,0)+1,FALSE),"")</f>
        <v/>
      </c>
      <c r="AA102" s="5" t="str">
        <f ca="1">IFERROR(VLOOKUP($Y102,OFFSET([3]characters!$A$1,0,0,COUNTA([3]characters!$A:$A),MATCH(AA$1,[3]characters!$2:$2,0)-MATCH("character_id",[3]characters!$2:$2,0)+1),MATCH(AA$1,[3]characters!$2:$2,0)-MATCH("character_id",[3]characters!$2:$2,0)+1,FALSE),"")</f>
        <v/>
      </c>
      <c r="AB102" s="5" t="str">
        <f ca="1">IFERROR(VLOOKUP($Y102,OFFSET([3]characters!$A$1,0,0,COUNTA([3]characters!$A:$A),MATCH(AB$1,[3]characters!$2:$2,0)-MATCH("character_id",[3]characters!$2:$2,0)+1),MATCH(AB$1,[3]characters!$2:$2,0)-MATCH("character_id",[3]characters!$2:$2,0)+1,FALSE),"")</f>
        <v/>
      </c>
      <c r="AC102" s="8">
        <v>1</v>
      </c>
      <c r="AD102" s="8" t="str">
        <f t="shared" ca="1" si="46"/>
        <v/>
      </c>
      <c r="AE102" s="9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1</v>
      </c>
    </row>
    <row r="103" spans="1:36" ht="21" customHeight="1" x14ac:dyDescent="0.15">
      <c r="A103" s="21" t="e">
        <f t="shared" ref="A103" ca="1" si="75">B103&amp;"_"&amp;C103&amp;"-"&amp;G103&amp;"/"&amp;I103&amp;"&lt;lv"&amp;O103&amp;"&gt;s"&amp;X103</f>
        <v>#N/A</v>
      </c>
      <c r="B103" s="33">
        <v>4</v>
      </c>
      <c r="C103" s="32">
        <v>4</v>
      </c>
      <c r="D103" s="2" t="str">
        <f t="shared" si="24"/>
        <v>4_4</v>
      </c>
      <c r="E103" s="5" t="str">
        <f ca="1">VLOOKUP($B103,OFFSET([1]quests!$A$1,0,0,COUNTA([1]quests!$A:$A),MATCH(E$1,[1]quests!$1:$1,0)-MATCH($B$1,[1]quests!$1:$1,0)+1),MATCH(E$1,[1]quests!$1:$1,0)-MATCH($B$1,[1]quests!$1:$1,0)+1,FALSE)</f>
        <v>4．イエロープラント</v>
      </c>
      <c r="F103" s="5" t="str">
        <f ca="1">VLOOKUP($D103,OFFSET([1]stages!$A$1,0,0,COUNTA([1]stages!$A:$A),MATCH(F$1,[1]stages!$2:$2,0)-MATCH($D$1,[1]stages!$2:$2,0)+1),MATCH(F$1,[1]stages!$2:$2,0)-MATCH($D$1,[1]stages!$2:$2,0)+1,FALSE)</f>
        <v>4-4. 【1回のみ】ボーナスステージ</v>
      </c>
      <c r="G103" s="32">
        <v>1</v>
      </c>
      <c r="H103" s="20" t="str">
        <f t="shared" si="25"/>
        <v>4_4-1</v>
      </c>
      <c r="I103" s="31">
        <v>344</v>
      </c>
      <c r="J103" s="26" t="e">
        <f ca="1">VLOOKUP($I103,OFFSET([2]enemies!$A$1,0,0,COUNTA([2]enemies!$A:$A),MATCH(J$1,[2]enemies!$2:$2,0)-MATCH($I$1,[2]enemies!$2:$2,0)+1),MATCH(J$1,[2]enemies!$2:$2,0)-MATCH($I$1,[2]enemies!$2:$2,0)+1,FALSE)</f>
        <v>#N/A</v>
      </c>
      <c r="K103" s="29" t="e">
        <f ca="1">VLOOKUP($I103,OFFSET([2]enemies!$A$1,0,0,COUNTA([2]enemies!$A:$A),MATCH(K$1,[2]enemies!$2:$2,0)-MATCH($I$1,[2]enemies!$2:$2,0)+1),MATCH(K$1,[2]enemies!$2:$2,0)-MATCH($I$1,[2]enemies!$2:$2,0)+1,FALSE)</f>
        <v>#N/A</v>
      </c>
      <c r="L103" s="29" t="e">
        <f ca="1">VLOOKUP($I103,OFFSET([3]characters!$A$1,0,0,COUNTA([3]characters!$A:$A),MATCH(L$1,[3]characters!$2:$2,0)-MATCH($I$1,[3]characters!$2:$2,0)+1),MATCH(L$1,[3]characters!$2:$2,0)-MATCH($I$1,[3]characters!$2:$2,0)+1,FALSE)</f>
        <v>#N/A</v>
      </c>
      <c r="M103" s="28" t="e">
        <f ca="1">VLOOKUP($I103,OFFSET([3]characters!$A$1,0,0,COUNTA([3]characters!$A:$A),MATCH(M$1,[3]characters!$2:$2,0)-MATCH($I$1,[3]characters!$2:$2,0)+2),MATCH(M$1,[3]characters!$2:$2,0)-MATCH($I$1,[3]characters!$2:$2,0)+2,FALSE)</f>
        <v>#N/A</v>
      </c>
      <c r="N103" s="5" t="e">
        <f ca="1">VLOOKUP($I103,OFFSET([2]enemies!$A$1,0,0,COUNTA([2]enemies!$A:$A),MATCH(N$1,[2]enemies!$2:$2,0)-MATCH($I$1,[2]enemies!$2:$2,0)+1),MATCH(N$1,[2]enemies!$2:$2,0)-MATCH($I$1,[2]enemies!$2:$2,0)+1,FALSE)</f>
        <v>#N/A</v>
      </c>
      <c r="O103" s="6">
        <v>1</v>
      </c>
      <c r="P103" s="43">
        <v>1</v>
      </c>
      <c r="Q103" s="43">
        <v>1</v>
      </c>
      <c r="R103" s="6">
        <v>0</v>
      </c>
      <c r="S103" s="5" t="str">
        <f ca="1">VLOOKUP($T103,OFFSET([4]enemy_skill_sets!$B$1,0,0,COUNTA([4]enemy_skill_sets!$B:$B),MATCH(J$1,[4]enemy_skill_sets!$1:$1,0)-MATCH($T$1,[4]enemy_skill_sets!$1:$1,0)+2),MATCH(J$1,[4]enemy_skill_sets!$1:$1,0)-MATCH($T$1,[4]enemy_skill_sets!$1:$1,0)+2,FALSE)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103" s="5">
        <v>560001</v>
      </c>
      <c r="U103" s="7">
        <v>0</v>
      </c>
      <c r="V103" s="7">
        <v>100</v>
      </c>
      <c r="W103" s="7">
        <v>0</v>
      </c>
      <c r="X103" s="26" t="e">
        <f ca="1">VLOOKUP($I103,OFFSET([2]enemies!$A$1,0,0,COUNTA([2]enemies!$A:$A),MATCH(X$1,[2]enemies!$2:$2,0)-MATCH($I$1,[2]enemies!$2:$2,0)+1),MATCH(X$1,[2]enemies!$2:$2,0)-MATCH($I$1,[2]enemies!$2:$2,0)+1,FALSE)</f>
        <v>#N/A</v>
      </c>
      <c r="Y103" s="31">
        <v>344</v>
      </c>
      <c r="Z103" s="5" t="str">
        <f ca="1">IFERROR(VLOOKUP($Y103,OFFSET([3]characters!$A$1,0,0,COUNTA([3]characters!$A:$A),MATCH(Z$1,[3]characters!$2:$2,0)-MATCH("character_id",[3]characters!$2:$2,0)+1),MATCH(Z$1,[3]characters!$2:$2,0)-MATCH("character_id",[3]characters!$2:$2,0)+1,FALSE),"")</f>
        <v/>
      </c>
      <c r="AA103" s="5" t="str">
        <f ca="1">IFERROR(VLOOKUP($Y103,OFFSET([3]characters!$A$1,0,0,COUNTA([3]characters!$A:$A),MATCH(AA$1,[3]characters!$2:$2,0)-MATCH("character_id",[3]characters!$2:$2,0)+1),MATCH(AA$1,[3]characters!$2:$2,0)-MATCH("character_id",[3]characters!$2:$2,0)+1,FALSE),"")</f>
        <v/>
      </c>
      <c r="AB103" s="5" t="str">
        <f ca="1">IFERROR(VLOOKUP($Y103,OFFSET([3]characters!$A$1,0,0,COUNTA([3]characters!$A:$A),MATCH(AB$1,[3]characters!$2:$2,0)-MATCH("character_id",[3]characters!$2:$2,0)+1),MATCH(AB$1,[3]characters!$2:$2,0)-MATCH("character_id",[3]characters!$2:$2,0)+1,FALSE),"")</f>
        <v/>
      </c>
      <c r="AC103" s="8">
        <v>1</v>
      </c>
      <c r="AD103" s="8" t="str">
        <f t="shared" ca="1" si="46"/>
        <v/>
      </c>
      <c r="AE103" s="9">
        <v>100</v>
      </c>
      <c r="AF103" s="38">
        <v>0</v>
      </c>
      <c r="AG103" s="38">
        <v>0</v>
      </c>
      <c r="AH103" s="38">
        <v>0</v>
      </c>
      <c r="AI103" s="38">
        <v>0</v>
      </c>
      <c r="AJ103" s="38">
        <v>1</v>
      </c>
    </row>
    <row r="104" spans="1:36" ht="21" customHeight="1" x14ac:dyDescent="0.15">
      <c r="A104" s="21" t="e">
        <f ca="1">B104&amp;"_"&amp;C104&amp;"-"&amp;G104&amp;"/"&amp;I104&amp;"&lt;lv"&amp;O104&amp;"&gt;s"&amp;X104</f>
        <v>#N/A</v>
      </c>
      <c r="B104" s="33">
        <v>4</v>
      </c>
      <c r="C104" s="32">
        <v>4</v>
      </c>
      <c r="D104" s="2" t="str">
        <f>B104&amp;"_"&amp;C104</f>
        <v>4_4</v>
      </c>
      <c r="E104" s="5" t="str">
        <f ca="1">VLOOKUP($B104,OFFSET([1]quests!$A$1,0,0,COUNTA([1]quests!$A:$A),MATCH(E$1,[1]quests!$1:$1,0)-MATCH($B$1,[1]quests!$1:$1,0)+1),MATCH(E$1,[1]quests!$1:$1,0)-MATCH($B$1,[1]quests!$1:$1,0)+1,FALSE)</f>
        <v>4．イエロープラント</v>
      </c>
      <c r="F104" s="5" t="str">
        <f ca="1">VLOOKUP($D104,OFFSET([1]stages!$A$1,0,0,COUNTA([1]stages!$A:$A),MATCH(F$1,[1]stages!$2:$2,0)-MATCH($D$1,[1]stages!$2:$2,0)+1),MATCH(F$1,[1]stages!$2:$2,0)-MATCH($D$1,[1]stages!$2:$2,0)+1,FALSE)</f>
        <v>4-4. 【1回のみ】ボーナスステージ</v>
      </c>
      <c r="G104" s="32">
        <v>2</v>
      </c>
      <c r="H104" s="20" t="str">
        <f>B104&amp;"_"&amp;C104&amp;"-"&amp;G104</f>
        <v>4_4-2</v>
      </c>
      <c r="I104" s="31">
        <v>117</v>
      </c>
      <c r="J104" s="26" t="e">
        <f ca="1">VLOOKUP($I104,OFFSET([2]enemies!$A$1,0,0,COUNTA([2]enemies!$A:$A),MATCH(J$1,[2]enemies!$2:$2,0)-MATCH($I$1,[2]enemies!$2:$2,0)+1),MATCH(J$1,[2]enemies!$2:$2,0)-MATCH($I$1,[2]enemies!$2:$2,0)+1,FALSE)</f>
        <v>#N/A</v>
      </c>
      <c r="K104" s="29" t="e">
        <f ca="1">VLOOKUP($I104,OFFSET([2]enemies!$A$1,0,0,COUNTA([2]enemies!$A:$A),MATCH(K$1,[2]enemies!$2:$2,0)-MATCH($I$1,[2]enemies!$2:$2,0)+1),MATCH(K$1,[2]enemies!$2:$2,0)-MATCH($I$1,[2]enemies!$2:$2,0)+1,FALSE)</f>
        <v>#N/A</v>
      </c>
      <c r="L104" s="29" t="e">
        <f ca="1">VLOOKUP($I104,OFFSET([3]characters!$A$1,0,0,COUNTA([3]characters!$A:$A),MATCH(L$1,[3]characters!$2:$2,0)-MATCH($I$1,[3]characters!$2:$2,0)+1),MATCH(L$1,[3]characters!$2:$2,0)-MATCH($I$1,[3]characters!$2:$2,0)+1,FALSE)</f>
        <v>#N/A</v>
      </c>
      <c r="M104" s="28" t="e">
        <f ca="1">VLOOKUP($I104,OFFSET([3]characters!$A$1,0,0,COUNTA([3]characters!$A:$A),MATCH(M$1,[3]characters!$2:$2,0)-MATCH($I$1,[3]characters!$2:$2,0)+2),MATCH(M$1,[3]characters!$2:$2,0)-MATCH($I$1,[3]characters!$2:$2,0)+2,FALSE)</f>
        <v>#N/A</v>
      </c>
      <c r="N104" s="5" t="e">
        <f ca="1">VLOOKUP($I104,OFFSET([2]enemies!$A$1,0,0,COUNTA([2]enemies!$A:$A),MATCH(N$1,[2]enemies!$2:$2,0)-MATCH($I$1,[2]enemies!$2:$2,0)+1),MATCH(N$1,[2]enemies!$2:$2,0)-MATCH($I$1,[2]enemies!$2:$2,0)+1,FALSE)</f>
        <v>#N/A</v>
      </c>
      <c r="O104" s="6">
        <v>1</v>
      </c>
      <c r="P104" s="43">
        <v>1</v>
      </c>
      <c r="Q104" s="43">
        <v>1</v>
      </c>
      <c r="R104" s="6">
        <v>0</v>
      </c>
      <c r="S104" s="5" t="str">
        <f ca="1">VLOOKUP($T104,OFFSET([4]enemy_skill_sets!$B$1,0,0,COUNTA([4]enemy_skill_sets!$B:$B),MATCH(J$1,[4]enemy_skill_sets!$1:$1,0)-MATCH($T$1,[4]enemy_skill_sets!$1:$1,0)+2),MATCH(J$1,[4]enemy_skill_sets!$1:$1,0)-MATCH($T$1,[4]enemy_skill_sets!$1:$1,0)+2,FALSE)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4" s="5">
        <v>0</v>
      </c>
      <c r="U104" s="7">
        <v>0</v>
      </c>
      <c r="V104" s="7">
        <v>100</v>
      </c>
      <c r="W104" s="7">
        <v>0</v>
      </c>
      <c r="X104" s="26" t="e">
        <f ca="1">VLOOKUP($I104,OFFSET([2]enemies!$A$1,0,0,COUNTA([2]enemies!$A:$A),MATCH(X$1,[2]enemies!$2:$2,0)-MATCH($I$1,[2]enemies!$2:$2,0)+1),MATCH(X$1,[2]enemies!$2:$2,0)-MATCH($I$1,[2]enemies!$2:$2,0)+1,FALSE)</f>
        <v>#N/A</v>
      </c>
      <c r="Y104" s="31">
        <v>117</v>
      </c>
      <c r="Z104" s="5" t="str">
        <f ca="1">IFERROR(VLOOKUP($Y104,OFFSET([3]characters!$A$1,0,0,COUNTA([3]characters!$A:$A),MATCH(Z$1,[3]characters!$2:$2,0)-MATCH("character_id",[3]characters!$2:$2,0)+1),MATCH(Z$1,[3]characters!$2:$2,0)-MATCH("character_id",[3]characters!$2:$2,0)+1,FALSE),"")</f>
        <v/>
      </c>
      <c r="AA104" s="5" t="str">
        <f ca="1">IFERROR(VLOOKUP($Y104,OFFSET([3]characters!$A$1,0,0,COUNTA([3]characters!$A:$A),MATCH(AA$1,[3]characters!$2:$2,0)-MATCH("character_id",[3]characters!$2:$2,0)+1),MATCH(AA$1,[3]characters!$2:$2,0)-MATCH("character_id",[3]characters!$2:$2,0)+1,FALSE),"")</f>
        <v/>
      </c>
      <c r="AB104" s="5" t="str">
        <f ca="1">IFERROR(VLOOKUP($Y104,OFFSET([3]characters!$A$1,0,0,COUNTA([3]characters!$A:$A),MATCH(AB$1,[3]characters!$2:$2,0)-MATCH("character_id",[3]characters!$2:$2,0)+1),MATCH(AB$1,[3]characters!$2:$2,0)-MATCH("character_id",[3]characters!$2:$2,0)+1,FALSE),"")</f>
        <v/>
      </c>
      <c r="AC104" s="8">
        <v>1</v>
      </c>
      <c r="AD104" s="8" t="str">
        <f ca="1">AA104</f>
        <v/>
      </c>
      <c r="AE104" s="9">
        <v>100</v>
      </c>
      <c r="AF104" s="38">
        <v>0</v>
      </c>
      <c r="AG104" s="38">
        <v>0</v>
      </c>
      <c r="AH104" s="38">
        <v>0</v>
      </c>
      <c r="AI104" s="38">
        <v>0</v>
      </c>
      <c r="AJ104" s="38">
        <v>1</v>
      </c>
    </row>
    <row r="105" spans="1:36" ht="21" customHeight="1" x14ac:dyDescent="0.15">
      <c r="A105" s="21" t="e">
        <f t="shared" ref="A105:A109" ca="1" si="76">B105&amp;"_"&amp;C105&amp;"-"&amp;G105&amp;"/"&amp;I105&amp;"&lt;lv"&amp;O105&amp;"&gt;s"&amp;X105</f>
        <v>#N/A</v>
      </c>
      <c r="B105" s="33">
        <v>4</v>
      </c>
      <c r="C105" s="32">
        <v>4</v>
      </c>
      <c r="D105" s="2" t="str">
        <f t="shared" ref="D105:D109" si="77">B105&amp;"_"&amp;C105</f>
        <v>4_4</v>
      </c>
      <c r="E105" s="5" t="str">
        <f ca="1">VLOOKUP($B105,OFFSET([1]quests!$A$1,0,0,COUNTA([1]quests!$A:$A),MATCH(E$1,[1]quests!$1:$1,0)-MATCH($B$1,[1]quests!$1:$1,0)+1),MATCH(E$1,[1]quests!$1:$1,0)-MATCH($B$1,[1]quests!$1:$1,0)+1,FALSE)</f>
        <v>4．イエロープラント</v>
      </c>
      <c r="F105" s="5" t="str">
        <f ca="1">VLOOKUP($D105,OFFSET([1]stages!$A$1,0,0,COUNTA([1]stages!$A:$A),MATCH(F$1,[1]stages!$2:$2,0)-MATCH($D$1,[1]stages!$2:$2,0)+1),MATCH(F$1,[1]stages!$2:$2,0)-MATCH($D$1,[1]stages!$2:$2,0)+1,FALSE)</f>
        <v>4-4. 【1回のみ】ボーナスステージ</v>
      </c>
      <c r="G105" s="32">
        <v>3</v>
      </c>
      <c r="H105" s="20" t="str">
        <f t="shared" ref="H105:H109" si="78">B105&amp;"_"&amp;C105&amp;"-"&amp;G105</f>
        <v>4_4-3</v>
      </c>
      <c r="I105" s="31">
        <v>344</v>
      </c>
      <c r="J105" s="26" t="e">
        <f ca="1">VLOOKUP($I105,OFFSET([2]enemies!$A$1,0,0,COUNTA([2]enemies!$A:$A),MATCH(J$1,[2]enemies!$2:$2,0)-MATCH($I$1,[2]enemies!$2:$2,0)+1),MATCH(J$1,[2]enemies!$2:$2,0)-MATCH($I$1,[2]enemies!$2:$2,0)+1,FALSE)</f>
        <v>#N/A</v>
      </c>
      <c r="K105" s="29" t="e">
        <f ca="1">VLOOKUP($I105,OFFSET([2]enemies!$A$1,0,0,COUNTA([2]enemies!$A:$A),MATCH(K$1,[2]enemies!$2:$2,0)-MATCH($I$1,[2]enemies!$2:$2,0)+1),MATCH(K$1,[2]enemies!$2:$2,0)-MATCH($I$1,[2]enemies!$2:$2,0)+1,FALSE)</f>
        <v>#N/A</v>
      </c>
      <c r="L105" s="29" t="e">
        <f ca="1">VLOOKUP($I105,OFFSET([3]characters!$A$1,0,0,COUNTA([3]characters!$A:$A),MATCH(L$1,[3]characters!$2:$2,0)-MATCH($I$1,[3]characters!$2:$2,0)+1),MATCH(L$1,[3]characters!$2:$2,0)-MATCH($I$1,[3]characters!$2:$2,0)+1,FALSE)</f>
        <v>#N/A</v>
      </c>
      <c r="M105" s="28" t="e">
        <f ca="1">VLOOKUP($I105,OFFSET([3]characters!$A$1,0,0,COUNTA([3]characters!$A:$A),MATCH(M$1,[3]characters!$2:$2,0)-MATCH($I$1,[3]characters!$2:$2,0)+2),MATCH(M$1,[3]characters!$2:$2,0)-MATCH($I$1,[3]characters!$2:$2,0)+2,FALSE)</f>
        <v>#N/A</v>
      </c>
      <c r="N105" s="5" t="e">
        <f ca="1">VLOOKUP($I105,OFFSET([2]enemies!$A$1,0,0,COUNTA([2]enemies!$A:$A),MATCH(N$1,[2]enemies!$2:$2,0)-MATCH($I$1,[2]enemies!$2:$2,0)+1),MATCH(N$1,[2]enemies!$2:$2,0)-MATCH($I$1,[2]enemies!$2:$2,0)+1,FALSE)</f>
        <v>#N/A</v>
      </c>
      <c r="O105" s="6">
        <v>1</v>
      </c>
      <c r="P105" s="43">
        <v>1</v>
      </c>
      <c r="Q105" s="43">
        <v>1</v>
      </c>
      <c r="R105" s="6">
        <v>0</v>
      </c>
      <c r="S105" s="5" t="str">
        <f ca="1">VLOOKUP($T105,OFFSET([4]enemy_skill_sets!$B$1,0,0,COUNTA([4]enemy_skill_sets!$B:$B),MATCH(J$1,[4]enemy_skill_sets!$1:$1,0)-MATCH($T$1,[4]enemy_skill_sets!$1:$1,0)+2),MATCH(J$1,[4]enemy_skill_sets!$1:$1,0)-MATCH($T$1,[4]enemy_skill_sets!$1:$1,0)+2,FALSE)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5" s="5">
        <v>0</v>
      </c>
      <c r="U105" s="7">
        <v>0</v>
      </c>
      <c r="V105" s="7">
        <v>100</v>
      </c>
      <c r="W105" s="7">
        <v>0</v>
      </c>
      <c r="X105" s="26" t="e">
        <f ca="1">VLOOKUP($I105,OFFSET([2]enemies!$A$1,0,0,COUNTA([2]enemies!$A:$A),MATCH(X$1,[2]enemies!$2:$2,0)-MATCH($I$1,[2]enemies!$2:$2,0)+1),MATCH(X$1,[2]enemies!$2:$2,0)-MATCH($I$1,[2]enemies!$2:$2,0)+1,FALSE)</f>
        <v>#N/A</v>
      </c>
      <c r="Y105" s="31">
        <v>344</v>
      </c>
      <c r="Z105" s="5" t="str">
        <f ca="1">IFERROR(VLOOKUP($Y105,OFFSET([3]characters!$A$1,0,0,COUNTA([3]characters!$A:$A),MATCH(Z$1,[3]characters!$2:$2,0)-MATCH("character_id",[3]characters!$2:$2,0)+1),MATCH(Z$1,[3]characters!$2:$2,0)-MATCH("character_id",[3]characters!$2:$2,0)+1,FALSE),"")</f>
        <v/>
      </c>
      <c r="AA105" s="5" t="str">
        <f ca="1">IFERROR(VLOOKUP($Y105,OFFSET([3]characters!$A$1,0,0,COUNTA([3]characters!$A:$A),MATCH(AA$1,[3]characters!$2:$2,0)-MATCH("character_id",[3]characters!$2:$2,0)+1),MATCH(AA$1,[3]characters!$2:$2,0)-MATCH("character_id",[3]characters!$2:$2,0)+1,FALSE),"")</f>
        <v/>
      </c>
      <c r="AB105" s="5" t="str">
        <f ca="1">IFERROR(VLOOKUP($Y105,OFFSET([3]characters!$A$1,0,0,COUNTA([3]characters!$A:$A),MATCH(AB$1,[3]characters!$2:$2,0)-MATCH("character_id",[3]characters!$2:$2,0)+1),MATCH(AB$1,[3]characters!$2:$2,0)-MATCH("character_id",[3]characters!$2:$2,0)+1,FALSE),"")</f>
        <v/>
      </c>
      <c r="AC105" s="8">
        <v>1</v>
      </c>
      <c r="AD105" s="8" t="str">
        <f t="shared" ref="AD105:AD109" ca="1" si="79">AA105</f>
        <v/>
      </c>
      <c r="AE105" s="9">
        <v>100</v>
      </c>
      <c r="AF105" s="38">
        <v>0</v>
      </c>
      <c r="AG105" s="38">
        <v>0</v>
      </c>
      <c r="AH105" s="38">
        <v>0</v>
      </c>
      <c r="AI105" s="38">
        <v>0</v>
      </c>
      <c r="AJ105" s="38">
        <v>1</v>
      </c>
    </row>
    <row r="106" spans="1:36" ht="21" customHeight="1" x14ac:dyDescent="0.15">
      <c r="A106" s="21" t="e">
        <f t="shared" ca="1" si="76"/>
        <v>#N/A</v>
      </c>
      <c r="B106" s="33">
        <v>4</v>
      </c>
      <c r="C106" s="32">
        <v>4</v>
      </c>
      <c r="D106" s="2" t="str">
        <f t="shared" si="77"/>
        <v>4_4</v>
      </c>
      <c r="E106" s="5" t="str">
        <f ca="1">VLOOKUP($B106,OFFSET([1]quests!$A$1,0,0,COUNTA([1]quests!$A:$A),MATCH(E$1,[1]quests!$1:$1,0)-MATCH($B$1,[1]quests!$1:$1,0)+1),MATCH(E$1,[1]quests!$1:$1,0)-MATCH($B$1,[1]quests!$1:$1,0)+1,FALSE)</f>
        <v>4．イエロープラント</v>
      </c>
      <c r="F106" s="5" t="str">
        <f ca="1">VLOOKUP($D106,OFFSET([1]stages!$A$1,0,0,COUNTA([1]stages!$A:$A),MATCH(F$1,[1]stages!$2:$2,0)-MATCH($D$1,[1]stages!$2:$2,0)+1),MATCH(F$1,[1]stages!$2:$2,0)-MATCH($D$1,[1]stages!$2:$2,0)+1,FALSE)</f>
        <v>4-4. 【1回のみ】ボーナスステージ</v>
      </c>
      <c r="G106" s="32">
        <v>4</v>
      </c>
      <c r="H106" s="20" t="str">
        <f t="shared" si="78"/>
        <v>4_4-4</v>
      </c>
      <c r="I106" s="31">
        <v>117</v>
      </c>
      <c r="J106" s="26" t="e">
        <f ca="1">VLOOKUP($I106,OFFSET([2]enemies!$A$1,0,0,COUNTA([2]enemies!$A:$A),MATCH(J$1,[2]enemies!$2:$2,0)-MATCH($I$1,[2]enemies!$2:$2,0)+1),MATCH(J$1,[2]enemies!$2:$2,0)-MATCH($I$1,[2]enemies!$2:$2,0)+1,FALSE)</f>
        <v>#N/A</v>
      </c>
      <c r="K106" s="29" t="e">
        <f ca="1">VLOOKUP($I106,OFFSET([2]enemies!$A$1,0,0,COUNTA([2]enemies!$A:$A),MATCH(K$1,[2]enemies!$2:$2,0)-MATCH($I$1,[2]enemies!$2:$2,0)+1),MATCH(K$1,[2]enemies!$2:$2,0)-MATCH($I$1,[2]enemies!$2:$2,0)+1,FALSE)</f>
        <v>#N/A</v>
      </c>
      <c r="L106" s="29" t="e">
        <f ca="1">VLOOKUP($I106,OFFSET([3]characters!$A$1,0,0,COUNTA([3]characters!$A:$A),MATCH(L$1,[3]characters!$2:$2,0)-MATCH($I$1,[3]characters!$2:$2,0)+1),MATCH(L$1,[3]characters!$2:$2,0)-MATCH($I$1,[3]characters!$2:$2,0)+1,FALSE)</f>
        <v>#N/A</v>
      </c>
      <c r="M106" s="28" t="e">
        <f ca="1">VLOOKUP($I106,OFFSET([3]characters!$A$1,0,0,COUNTA([3]characters!$A:$A),MATCH(M$1,[3]characters!$2:$2,0)-MATCH($I$1,[3]characters!$2:$2,0)+2),MATCH(M$1,[3]characters!$2:$2,0)-MATCH($I$1,[3]characters!$2:$2,0)+2,FALSE)</f>
        <v>#N/A</v>
      </c>
      <c r="N106" s="5" t="e">
        <f ca="1">VLOOKUP($I106,OFFSET([2]enemies!$A$1,0,0,COUNTA([2]enemies!$A:$A),MATCH(N$1,[2]enemies!$2:$2,0)-MATCH($I$1,[2]enemies!$2:$2,0)+1),MATCH(N$1,[2]enemies!$2:$2,0)-MATCH($I$1,[2]enemies!$2:$2,0)+1,FALSE)</f>
        <v>#N/A</v>
      </c>
      <c r="O106" s="6">
        <v>1</v>
      </c>
      <c r="P106" s="43">
        <v>1</v>
      </c>
      <c r="Q106" s="43">
        <v>1</v>
      </c>
      <c r="R106" s="6">
        <v>0</v>
      </c>
      <c r="S106" s="5" t="str">
        <f ca="1">VLOOKUP($T106,OFFSET([4]enemy_skill_sets!$B$1,0,0,COUNTA([4]enemy_skill_sets!$B:$B),MATCH(J$1,[4]enemy_skill_sets!$1:$1,0)-MATCH($T$1,[4]enemy_skill_sets!$1:$1,0)+2),MATCH(J$1,[4]enemy_skill_sets!$1:$1,0)-MATCH($T$1,[4]enemy_skill_sets!$1:$1,0)+2,FALSE)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6" s="5">
        <v>0</v>
      </c>
      <c r="U106" s="7">
        <v>2</v>
      </c>
      <c r="V106" s="7">
        <v>100</v>
      </c>
      <c r="W106" s="7">
        <v>0</v>
      </c>
      <c r="X106" s="26" t="e">
        <f ca="1">VLOOKUP($I106,OFFSET([2]enemies!$A$1,0,0,COUNTA([2]enemies!$A:$A),MATCH(X$1,[2]enemies!$2:$2,0)-MATCH($I$1,[2]enemies!$2:$2,0)+1),MATCH(X$1,[2]enemies!$2:$2,0)-MATCH($I$1,[2]enemies!$2:$2,0)+1,FALSE)</f>
        <v>#N/A</v>
      </c>
      <c r="Y106" s="31">
        <v>117</v>
      </c>
      <c r="Z106" s="5" t="str">
        <f ca="1">IFERROR(VLOOKUP($Y106,OFFSET([3]characters!$A$1,0,0,COUNTA([3]characters!$A:$A),MATCH(Z$1,[3]characters!$2:$2,0)-MATCH("character_id",[3]characters!$2:$2,0)+1),MATCH(Z$1,[3]characters!$2:$2,0)-MATCH("character_id",[3]characters!$2:$2,0)+1,FALSE),"")</f>
        <v/>
      </c>
      <c r="AA106" s="5" t="str">
        <f ca="1">IFERROR(VLOOKUP($Y106,OFFSET([3]characters!$A$1,0,0,COUNTA([3]characters!$A:$A),MATCH(AA$1,[3]characters!$2:$2,0)-MATCH("character_id",[3]characters!$2:$2,0)+1),MATCH(AA$1,[3]characters!$2:$2,0)-MATCH("character_id",[3]characters!$2:$2,0)+1,FALSE),"")</f>
        <v/>
      </c>
      <c r="AB106" s="5" t="str">
        <f ca="1">IFERROR(VLOOKUP($Y106,OFFSET([3]characters!$A$1,0,0,COUNTA([3]characters!$A:$A),MATCH(AB$1,[3]characters!$2:$2,0)-MATCH("character_id",[3]characters!$2:$2,0)+1),MATCH(AB$1,[3]characters!$2:$2,0)-MATCH("character_id",[3]characters!$2:$2,0)+1,FALSE),"")</f>
        <v/>
      </c>
      <c r="AC106" s="8">
        <v>1</v>
      </c>
      <c r="AD106" s="8" t="str">
        <f t="shared" ca="1" si="79"/>
        <v/>
      </c>
      <c r="AE106" s="9">
        <v>0</v>
      </c>
      <c r="AF106" s="38">
        <v>0</v>
      </c>
      <c r="AG106" s="38">
        <v>0</v>
      </c>
      <c r="AH106" s="38">
        <v>0</v>
      </c>
      <c r="AI106" s="38">
        <v>0</v>
      </c>
      <c r="AJ106" s="38">
        <v>1</v>
      </c>
    </row>
    <row r="107" spans="1:36" ht="21" customHeight="1" x14ac:dyDescent="0.15">
      <c r="A107" s="21" t="e">
        <f t="shared" ca="1" si="76"/>
        <v>#N/A</v>
      </c>
      <c r="B107" s="33">
        <v>4</v>
      </c>
      <c r="C107" s="32">
        <v>4</v>
      </c>
      <c r="D107" s="2" t="str">
        <f t="shared" si="77"/>
        <v>4_4</v>
      </c>
      <c r="E107" s="5" t="str">
        <f ca="1">VLOOKUP($B107,OFFSET([1]quests!$A$1,0,0,COUNTA([1]quests!$A:$A),MATCH(E$1,[1]quests!$1:$1,0)-MATCH($B$1,[1]quests!$1:$1,0)+1),MATCH(E$1,[1]quests!$1:$1,0)-MATCH($B$1,[1]quests!$1:$1,0)+1,FALSE)</f>
        <v>4．イエロープラント</v>
      </c>
      <c r="F107" s="5" t="str">
        <f ca="1">VLOOKUP($D107,OFFSET([1]stages!$A$1,0,0,COUNTA([1]stages!$A:$A),MATCH(F$1,[1]stages!$2:$2,0)-MATCH($D$1,[1]stages!$2:$2,0)+1),MATCH(F$1,[1]stages!$2:$2,0)-MATCH($D$1,[1]stages!$2:$2,0)+1,FALSE)</f>
        <v>4-4. 【1回のみ】ボーナスステージ</v>
      </c>
      <c r="G107" s="32">
        <v>4</v>
      </c>
      <c r="H107" s="20" t="str">
        <f t="shared" si="78"/>
        <v>4_4-4</v>
      </c>
      <c r="I107" s="31">
        <v>118</v>
      </c>
      <c r="J107" s="26" t="e">
        <f ca="1">VLOOKUP($I107,OFFSET([2]enemies!$A$1,0,0,COUNTA([2]enemies!$A:$A),MATCH(J$1,[2]enemies!$2:$2,0)-MATCH($I$1,[2]enemies!$2:$2,0)+1),MATCH(J$1,[2]enemies!$2:$2,0)-MATCH($I$1,[2]enemies!$2:$2,0)+1,FALSE)</f>
        <v>#N/A</v>
      </c>
      <c r="K107" s="29" t="e">
        <f ca="1">VLOOKUP($I107,OFFSET([2]enemies!$A$1,0,0,COUNTA([2]enemies!$A:$A),MATCH(K$1,[2]enemies!$2:$2,0)-MATCH($I$1,[2]enemies!$2:$2,0)+1),MATCH(K$1,[2]enemies!$2:$2,0)-MATCH($I$1,[2]enemies!$2:$2,0)+1,FALSE)</f>
        <v>#N/A</v>
      </c>
      <c r="L107" s="29" t="e">
        <f ca="1">VLOOKUP($I107,OFFSET([3]characters!$A$1,0,0,COUNTA([3]characters!$A:$A),MATCH(L$1,[3]characters!$2:$2,0)-MATCH($I$1,[3]characters!$2:$2,0)+1),MATCH(L$1,[3]characters!$2:$2,0)-MATCH($I$1,[3]characters!$2:$2,0)+1,FALSE)</f>
        <v>#N/A</v>
      </c>
      <c r="M107" s="28" t="e">
        <f ca="1">VLOOKUP($I107,OFFSET([3]characters!$A$1,0,0,COUNTA([3]characters!$A:$A),MATCH(M$1,[3]characters!$2:$2,0)-MATCH($I$1,[3]characters!$2:$2,0)+2),MATCH(M$1,[3]characters!$2:$2,0)-MATCH($I$1,[3]characters!$2:$2,0)+2,FALSE)</f>
        <v>#N/A</v>
      </c>
      <c r="N107" s="5" t="e">
        <f ca="1">VLOOKUP($I107,OFFSET([2]enemies!$A$1,0,0,COUNTA([2]enemies!$A:$A),MATCH(N$1,[2]enemies!$2:$2,0)-MATCH($I$1,[2]enemies!$2:$2,0)+1),MATCH(N$1,[2]enemies!$2:$2,0)-MATCH($I$1,[2]enemies!$2:$2,0)+1,FALSE)</f>
        <v>#N/A</v>
      </c>
      <c r="O107" s="6">
        <v>1</v>
      </c>
      <c r="P107" s="43">
        <v>1</v>
      </c>
      <c r="Q107" s="43">
        <v>1</v>
      </c>
      <c r="R107" s="6">
        <v>0</v>
      </c>
      <c r="S107" s="5" t="str">
        <f ca="1">VLOOKUP($T107,OFFSET([4]enemy_skill_sets!$B$1,0,0,COUNTA([4]enemy_skill_sets!$B:$B),MATCH(J$1,[4]enemy_skill_sets!$1:$1,0)-MATCH($T$1,[4]enemy_skill_sets!$1:$1,0)+2),MATCH(J$1,[4]enemy_skill_sets!$1:$1,0)-MATCH($T$1,[4]enemy_skill_sets!$1:$1,0)+2,FALSE)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7" s="5">
        <v>0</v>
      </c>
      <c r="U107" s="7">
        <v>1</v>
      </c>
      <c r="V107" s="7">
        <v>100</v>
      </c>
      <c r="W107" s="7">
        <v>1</v>
      </c>
      <c r="X107" s="26" t="e">
        <f ca="1">VLOOKUP($I107,OFFSET([2]enemies!$A$1,0,0,COUNTA([2]enemies!$A:$A),MATCH(X$1,[2]enemies!$2:$2,0)-MATCH($I$1,[2]enemies!$2:$2,0)+1),MATCH(X$1,[2]enemies!$2:$2,0)-MATCH($I$1,[2]enemies!$2:$2,0)+1,FALSE)</f>
        <v>#N/A</v>
      </c>
      <c r="Y107" s="31">
        <v>118</v>
      </c>
      <c r="Z107" s="5" t="str">
        <f ca="1">IFERROR(VLOOKUP($Y107,OFFSET([3]characters!$A$1,0,0,COUNTA([3]characters!$A:$A),MATCH(Z$1,[3]characters!$2:$2,0)-MATCH("character_id",[3]characters!$2:$2,0)+1),MATCH(Z$1,[3]characters!$2:$2,0)-MATCH("character_id",[3]characters!$2:$2,0)+1,FALSE),"")</f>
        <v/>
      </c>
      <c r="AA107" s="5" t="str">
        <f ca="1">IFERROR(VLOOKUP($Y107,OFFSET([3]characters!$A$1,0,0,COUNTA([3]characters!$A:$A),MATCH(AA$1,[3]characters!$2:$2,0)-MATCH("character_id",[3]characters!$2:$2,0)+1),MATCH(AA$1,[3]characters!$2:$2,0)-MATCH("character_id",[3]characters!$2:$2,0)+1,FALSE),"")</f>
        <v/>
      </c>
      <c r="AB107" s="5" t="str">
        <f ca="1">IFERROR(VLOOKUP($Y107,OFFSET([3]characters!$A$1,0,0,COUNTA([3]characters!$A:$A),MATCH(AB$1,[3]characters!$2:$2,0)-MATCH("character_id",[3]characters!$2:$2,0)+1),MATCH(AB$1,[3]characters!$2:$2,0)-MATCH("character_id",[3]characters!$2:$2,0)+1,FALSE),"")</f>
        <v/>
      </c>
      <c r="AC107" s="8">
        <v>1</v>
      </c>
      <c r="AD107" s="8" t="str">
        <f t="shared" ca="1" si="79"/>
        <v/>
      </c>
      <c r="AE107" s="9">
        <v>100</v>
      </c>
      <c r="AF107" s="38">
        <v>0</v>
      </c>
      <c r="AG107" s="38">
        <v>0</v>
      </c>
      <c r="AH107" s="38">
        <v>0</v>
      </c>
      <c r="AI107" s="38">
        <v>0</v>
      </c>
      <c r="AJ107" s="38">
        <v>1</v>
      </c>
    </row>
    <row r="108" spans="1:36" ht="21" customHeight="1" x14ac:dyDescent="0.15">
      <c r="A108" s="21" t="e">
        <f t="shared" ca="1" si="76"/>
        <v>#N/A</v>
      </c>
      <c r="B108" s="33">
        <v>4</v>
      </c>
      <c r="C108" s="32">
        <v>4</v>
      </c>
      <c r="D108" s="2" t="str">
        <f t="shared" si="77"/>
        <v>4_4</v>
      </c>
      <c r="E108" s="5" t="str">
        <f ca="1">VLOOKUP($B108,OFFSET([1]quests!$A$1,0,0,COUNTA([1]quests!$A:$A),MATCH(E$1,[1]quests!$1:$1,0)-MATCH($B$1,[1]quests!$1:$1,0)+1),MATCH(E$1,[1]quests!$1:$1,0)-MATCH($B$1,[1]quests!$1:$1,0)+1,FALSE)</f>
        <v>4．イエロープラント</v>
      </c>
      <c r="F108" s="5" t="str">
        <f ca="1">VLOOKUP($D108,OFFSET([1]stages!$A$1,0,0,COUNTA([1]stages!$A:$A),MATCH(F$1,[1]stages!$2:$2,0)-MATCH($D$1,[1]stages!$2:$2,0)+1),MATCH(F$1,[1]stages!$2:$2,0)-MATCH($D$1,[1]stages!$2:$2,0)+1,FALSE)</f>
        <v>4-4. 【1回のみ】ボーナスステージ</v>
      </c>
      <c r="G108" s="32">
        <v>5</v>
      </c>
      <c r="H108" s="20" t="str">
        <f t="shared" si="78"/>
        <v>4_4-5</v>
      </c>
      <c r="I108" s="31">
        <v>344</v>
      </c>
      <c r="J108" s="26" t="e">
        <f ca="1">VLOOKUP($I108,OFFSET([2]enemies!$A$1,0,0,COUNTA([2]enemies!$A:$A),MATCH(J$1,[2]enemies!$2:$2,0)-MATCH($I$1,[2]enemies!$2:$2,0)+1),MATCH(J$1,[2]enemies!$2:$2,0)-MATCH($I$1,[2]enemies!$2:$2,0)+1,FALSE)</f>
        <v>#N/A</v>
      </c>
      <c r="K108" s="29" t="e">
        <f ca="1">VLOOKUP($I108,OFFSET([2]enemies!$A$1,0,0,COUNTA([2]enemies!$A:$A),MATCH(K$1,[2]enemies!$2:$2,0)-MATCH($I$1,[2]enemies!$2:$2,0)+1),MATCH(K$1,[2]enemies!$2:$2,0)-MATCH($I$1,[2]enemies!$2:$2,0)+1,FALSE)</f>
        <v>#N/A</v>
      </c>
      <c r="L108" s="29" t="e">
        <f ca="1">VLOOKUP($I108,OFFSET([3]characters!$A$1,0,0,COUNTA([3]characters!$A:$A),MATCH(L$1,[3]characters!$2:$2,0)-MATCH($I$1,[3]characters!$2:$2,0)+1),MATCH(L$1,[3]characters!$2:$2,0)-MATCH($I$1,[3]characters!$2:$2,0)+1,FALSE)</f>
        <v>#N/A</v>
      </c>
      <c r="M108" s="28" t="e">
        <f ca="1">VLOOKUP($I108,OFFSET([3]characters!$A$1,0,0,COUNTA([3]characters!$A:$A),MATCH(M$1,[3]characters!$2:$2,0)-MATCH($I$1,[3]characters!$2:$2,0)+2),MATCH(M$1,[3]characters!$2:$2,0)-MATCH($I$1,[3]characters!$2:$2,0)+2,FALSE)</f>
        <v>#N/A</v>
      </c>
      <c r="N108" s="5" t="e">
        <f ca="1">VLOOKUP($I108,OFFSET([2]enemies!$A$1,0,0,COUNTA([2]enemies!$A:$A),MATCH(N$1,[2]enemies!$2:$2,0)-MATCH($I$1,[2]enemies!$2:$2,0)+1),MATCH(N$1,[2]enemies!$2:$2,0)-MATCH($I$1,[2]enemies!$2:$2,0)+1,FALSE)</f>
        <v>#N/A</v>
      </c>
      <c r="O108" s="6">
        <v>1</v>
      </c>
      <c r="P108" s="43">
        <v>1</v>
      </c>
      <c r="Q108" s="43">
        <v>1</v>
      </c>
      <c r="R108" s="6">
        <v>0</v>
      </c>
      <c r="S108" s="5" t="str">
        <f ca="1">VLOOKUP($T108,OFFSET([4]enemy_skill_sets!$B$1,0,0,COUNTA([4]enemy_skill_sets!$B:$B),MATCH(J$1,[4]enemy_skill_sets!$1:$1,0)-MATCH($T$1,[4]enemy_skill_sets!$1:$1,0)+2),MATCH(J$1,[4]enemy_skill_sets!$1:$1,0)-MATCH($T$1,[4]enemy_skill_sets!$1:$1,0)+2,FALSE)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8" s="5">
        <v>0</v>
      </c>
      <c r="U108" s="7">
        <v>2</v>
      </c>
      <c r="V108" s="7">
        <v>100</v>
      </c>
      <c r="W108" s="7">
        <v>0</v>
      </c>
      <c r="X108" s="26" t="e">
        <f ca="1">VLOOKUP($I108,OFFSET([2]enemies!$A$1,0,0,COUNTA([2]enemies!$A:$A),MATCH(X$1,[2]enemies!$2:$2,0)-MATCH($I$1,[2]enemies!$2:$2,0)+1),MATCH(X$1,[2]enemies!$2:$2,0)-MATCH($I$1,[2]enemies!$2:$2,0)+1,FALSE)</f>
        <v>#N/A</v>
      </c>
      <c r="Y108" s="31">
        <v>344</v>
      </c>
      <c r="Z108" s="5" t="str">
        <f ca="1">IFERROR(VLOOKUP($Y108,OFFSET([3]characters!$A$1,0,0,COUNTA([3]characters!$A:$A),MATCH(Z$1,[3]characters!$2:$2,0)-MATCH("character_id",[3]characters!$2:$2,0)+1),MATCH(Z$1,[3]characters!$2:$2,0)-MATCH("character_id",[3]characters!$2:$2,0)+1,FALSE),"")</f>
        <v/>
      </c>
      <c r="AA108" s="5" t="str">
        <f ca="1">IFERROR(VLOOKUP($Y108,OFFSET([3]characters!$A$1,0,0,COUNTA([3]characters!$A:$A),MATCH(AA$1,[3]characters!$2:$2,0)-MATCH("character_id",[3]characters!$2:$2,0)+1),MATCH(AA$1,[3]characters!$2:$2,0)-MATCH("character_id",[3]characters!$2:$2,0)+1,FALSE),"")</f>
        <v/>
      </c>
      <c r="AB108" s="5" t="str">
        <f ca="1">IFERROR(VLOOKUP($Y108,OFFSET([3]characters!$A$1,0,0,COUNTA([3]characters!$A:$A),MATCH(AB$1,[3]characters!$2:$2,0)-MATCH("character_id",[3]characters!$2:$2,0)+1),MATCH(AB$1,[3]characters!$2:$2,0)-MATCH("character_id",[3]characters!$2:$2,0)+1,FALSE),"")</f>
        <v/>
      </c>
      <c r="AC108" s="8">
        <v>1</v>
      </c>
      <c r="AD108" s="8" t="str">
        <f t="shared" ca="1" si="79"/>
        <v/>
      </c>
      <c r="AE108" s="9">
        <v>0</v>
      </c>
      <c r="AF108" s="38">
        <v>0</v>
      </c>
      <c r="AG108" s="38">
        <v>0</v>
      </c>
      <c r="AH108" s="38">
        <v>0</v>
      </c>
      <c r="AI108" s="38">
        <v>0</v>
      </c>
      <c r="AJ108" s="38">
        <v>1</v>
      </c>
    </row>
    <row r="109" spans="1:36" ht="21" customHeight="1" x14ac:dyDescent="0.15">
      <c r="A109" s="21" t="e">
        <f t="shared" ca="1" si="76"/>
        <v>#N/A</v>
      </c>
      <c r="B109" s="33">
        <v>4</v>
      </c>
      <c r="C109" s="32">
        <v>4</v>
      </c>
      <c r="D109" s="2" t="str">
        <f t="shared" si="77"/>
        <v>4_4</v>
      </c>
      <c r="E109" s="5" t="str">
        <f ca="1">VLOOKUP($B109,OFFSET([1]quests!$A$1,0,0,COUNTA([1]quests!$A:$A),MATCH(E$1,[1]quests!$1:$1,0)-MATCH($B$1,[1]quests!$1:$1,0)+1),MATCH(E$1,[1]quests!$1:$1,0)-MATCH($B$1,[1]quests!$1:$1,0)+1,FALSE)</f>
        <v>4．イエロープラント</v>
      </c>
      <c r="F109" s="5" t="str">
        <f ca="1">VLOOKUP($D109,OFFSET([1]stages!$A$1,0,0,COUNTA([1]stages!$A:$A),MATCH(F$1,[1]stages!$2:$2,0)-MATCH($D$1,[1]stages!$2:$2,0)+1),MATCH(F$1,[1]stages!$2:$2,0)-MATCH($D$1,[1]stages!$2:$2,0)+1,FALSE)</f>
        <v>4-4. 【1回のみ】ボーナスステージ</v>
      </c>
      <c r="G109" s="32">
        <v>5</v>
      </c>
      <c r="H109" s="20" t="str">
        <f t="shared" si="78"/>
        <v>4_4-5</v>
      </c>
      <c r="I109" s="31">
        <v>345</v>
      </c>
      <c r="J109" s="26" t="e">
        <f ca="1">VLOOKUP($I109,OFFSET([2]enemies!$A$1,0,0,COUNTA([2]enemies!$A:$A),MATCH(J$1,[2]enemies!$2:$2,0)-MATCH($I$1,[2]enemies!$2:$2,0)+1),MATCH(J$1,[2]enemies!$2:$2,0)-MATCH($I$1,[2]enemies!$2:$2,0)+1,FALSE)</f>
        <v>#N/A</v>
      </c>
      <c r="K109" s="29" t="e">
        <f ca="1">VLOOKUP($I109,OFFSET([2]enemies!$A$1,0,0,COUNTA([2]enemies!$A:$A),MATCH(K$1,[2]enemies!$2:$2,0)-MATCH($I$1,[2]enemies!$2:$2,0)+1),MATCH(K$1,[2]enemies!$2:$2,0)-MATCH($I$1,[2]enemies!$2:$2,0)+1,FALSE)</f>
        <v>#N/A</v>
      </c>
      <c r="L109" s="29" t="e">
        <f ca="1">VLOOKUP($I109,OFFSET([3]characters!$A$1,0,0,COUNTA([3]characters!$A:$A),MATCH(L$1,[3]characters!$2:$2,0)-MATCH($I$1,[3]characters!$2:$2,0)+1),MATCH(L$1,[3]characters!$2:$2,0)-MATCH($I$1,[3]characters!$2:$2,0)+1,FALSE)</f>
        <v>#N/A</v>
      </c>
      <c r="M109" s="28" t="e">
        <f ca="1">VLOOKUP($I109,OFFSET([3]characters!$A$1,0,0,COUNTA([3]characters!$A:$A),MATCH(M$1,[3]characters!$2:$2,0)-MATCH($I$1,[3]characters!$2:$2,0)+2),MATCH(M$1,[3]characters!$2:$2,0)-MATCH($I$1,[3]characters!$2:$2,0)+2,FALSE)</f>
        <v>#N/A</v>
      </c>
      <c r="N109" s="5" t="e">
        <f ca="1">VLOOKUP($I109,OFFSET([2]enemies!$A$1,0,0,COUNTA([2]enemies!$A:$A),MATCH(N$1,[2]enemies!$2:$2,0)-MATCH($I$1,[2]enemies!$2:$2,0)+1),MATCH(N$1,[2]enemies!$2:$2,0)-MATCH($I$1,[2]enemies!$2:$2,0)+1,FALSE)</f>
        <v>#N/A</v>
      </c>
      <c r="O109" s="6">
        <v>1</v>
      </c>
      <c r="P109" s="43">
        <v>1</v>
      </c>
      <c r="Q109" s="43">
        <v>1</v>
      </c>
      <c r="R109" s="6">
        <v>0</v>
      </c>
      <c r="S109" s="5" t="str">
        <f ca="1">VLOOKUP($T109,OFFSET([4]enemy_skill_sets!$B$1,0,0,COUNTA([4]enemy_skill_sets!$B:$B),MATCH(J$1,[4]enemy_skill_sets!$1:$1,0)-MATCH($T$1,[4]enemy_skill_sets!$1:$1,0)+2),MATCH(J$1,[4]enemy_skill_sets!$1:$1,0)-MATCH($T$1,[4]enemy_skill_sets!$1:$1,0)+2,FALSE)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9" s="5">
        <v>0</v>
      </c>
      <c r="U109" s="7">
        <v>1</v>
      </c>
      <c r="V109" s="7">
        <v>100</v>
      </c>
      <c r="W109" s="7">
        <v>1</v>
      </c>
      <c r="X109" s="26" t="e">
        <f ca="1">VLOOKUP($I109,OFFSET([2]enemies!$A$1,0,0,COUNTA([2]enemies!$A:$A),MATCH(X$1,[2]enemies!$2:$2,0)-MATCH($I$1,[2]enemies!$2:$2,0)+1),MATCH(X$1,[2]enemies!$2:$2,0)-MATCH($I$1,[2]enemies!$2:$2,0)+1,FALSE)</f>
        <v>#N/A</v>
      </c>
      <c r="Y109" s="31">
        <v>345</v>
      </c>
      <c r="Z109" s="5" t="str">
        <f ca="1">IFERROR(VLOOKUP($Y109,OFFSET([3]characters!$A$1,0,0,COUNTA([3]characters!$A:$A),MATCH(Z$1,[3]characters!$2:$2,0)-MATCH("character_id",[3]characters!$2:$2,0)+1),MATCH(Z$1,[3]characters!$2:$2,0)-MATCH("character_id",[3]characters!$2:$2,0)+1,FALSE),"")</f>
        <v/>
      </c>
      <c r="AA109" s="5" t="str">
        <f ca="1">IFERROR(VLOOKUP($Y109,OFFSET([3]characters!$A$1,0,0,COUNTA([3]characters!$A:$A),MATCH(AA$1,[3]characters!$2:$2,0)-MATCH("character_id",[3]characters!$2:$2,0)+1),MATCH(AA$1,[3]characters!$2:$2,0)-MATCH("character_id",[3]characters!$2:$2,0)+1,FALSE),"")</f>
        <v/>
      </c>
      <c r="AB109" s="5" t="str">
        <f ca="1">IFERROR(VLOOKUP($Y109,OFFSET([3]characters!$A$1,0,0,COUNTA([3]characters!$A:$A),MATCH(AB$1,[3]characters!$2:$2,0)-MATCH("character_id",[3]characters!$2:$2,0)+1),MATCH(AB$1,[3]characters!$2:$2,0)-MATCH("character_id",[3]characters!$2:$2,0)+1,FALSE),"")</f>
        <v/>
      </c>
      <c r="AC109" s="8">
        <v>1</v>
      </c>
      <c r="AD109" s="8" t="str">
        <f t="shared" ca="1" si="79"/>
        <v/>
      </c>
      <c r="AE109" s="9">
        <v>100</v>
      </c>
      <c r="AF109" s="38">
        <v>0</v>
      </c>
      <c r="AG109" s="38">
        <v>0</v>
      </c>
      <c r="AH109" s="38">
        <v>0</v>
      </c>
      <c r="AI109" s="38">
        <v>0</v>
      </c>
      <c r="AJ109" s="38">
        <v>1</v>
      </c>
    </row>
    <row r="110" spans="1:36" ht="21" customHeight="1" x14ac:dyDescent="0.15">
      <c r="A110" s="21" t="e">
        <f t="shared" ref="A110:A177" ca="1" si="80">B110&amp;"_"&amp;C110&amp;"-"&amp;G110&amp;"/"&amp;I110&amp;"&lt;lv"&amp;O110&amp;"&gt;s"&amp;X110</f>
        <v>#N/A</v>
      </c>
      <c r="B110" s="33">
        <v>5</v>
      </c>
      <c r="C110" s="32">
        <v>1</v>
      </c>
      <c r="D110" s="2" t="str">
        <f t="shared" si="24"/>
        <v>5_1</v>
      </c>
      <c r="E110" s="5" t="str">
        <f ca="1">VLOOKUP($B110,OFFSET([1]quests!$A$1,0,0,COUNTA([1]quests!$A:$A),MATCH(E$1,[1]quests!$1:$1,0)-MATCH($B$1,[1]quests!$1:$1,0)+1),MATCH(E$1,[1]quests!$1:$1,0)-MATCH($B$1,[1]quests!$1:$1,0)+1,FALSE)</f>
        <v>5．ウォーターランド</v>
      </c>
      <c r="F110" s="5" t="str">
        <f ca="1">VLOOKUP($D110,OFFSET([1]stages!$A$1,0,0,COUNTA([1]stages!$A:$A),MATCH(F$1,[1]stages!$2:$2,0)-MATCH($D$1,[1]stages!$2:$2,0)+1),MATCH(F$1,[1]stages!$2:$2,0)-MATCH($D$1,[1]stages!$2:$2,0)+1,FALSE)</f>
        <v>5-1. 水面を凍らす咆哮</v>
      </c>
      <c r="G110" s="32">
        <v>1</v>
      </c>
      <c r="H110" s="20" t="str">
        <f t="shared" si="25"/>
        <v>5_1-1</v>
      </c>
      <c r="I110" s="31">
        <v>5</v>
      </c>
      <c r="J110" s="26" t="e">
        <f ca="1">VLOOKUP($I110,OFFSET([2]enemies!$A$1,0,0,COUNTA([2]enemies!$A:$A),MATCH(J$1,[2]enemies!$2:$2,0)-MATCH($I$1,[2]enemies!$2:$2,0)+1),MATCH(J$1,[2]enemies!$2:$2,0)-MATCH($I$1,[2]enemies!$2:$2,0)+1,FALSE)</f>
        <v>#N/A</v>
      </c>
      <c r="K110" s="29" t="e">
        <f ca="1">VLOOKUP($I110,OFFSET([2]enemies!$A$1,0,0,COUNTA([2]enemies!$A:$A),MATCH(K$1,[2]enemies!$2:$2,0)-MATCH($I$1,[2]enemies!$2:$2,0)+1),MATCH(K$1,[2]enemies!$2:$2,0)-MATCH($I$1,[2]enemies!$2:$2,0)+1,FALSE)</f>
        <v>#N/A</v>
      </c>
      <c r="L110" s="29" t="e">
        <f ca="1">VLOOKUP($I110,OFFSET([3]characters!$A$1,0,0,COUNTA([3]characters!$A:$A),MATCH(L$1,[3]characters!$2:$2,0)-MATCH($I$1,[3]characters!$2:$2,0)+1),MATCH(L$1,[3]characters!$2:$2,0)-MATCH($I$1,[3]characters!$2:$2,0)+1,FALSE)</f>
        <v>#N/A</v>
      </c>
      <c r="M110" s="28" t="e">
        <f ca="1">VLOOKUP($I110,OFFSET([3]characters!$A$1,0,0,COUNTA([3]characters!$A:$A),MATCH(M$1,[3]characters!$2:$2,0)-MATCH($I$1,[3]characters!$2:$2,0)+2),MATCH(M$1,[3]characters!$2:$2,0)-MATCH($I$1,[3]characters!$2:$2,0)+2,FALSE)</f>
        <v>#N/A</v>
      </c>
      <c r="N110" s="5" t="e">
        <f ca="1">VLOOKUP($I110,OFFSET([2]enemies!$A$1,0,0,COUNTA([2]enemies!$A:$A),MATCH(N$1,[2]enemies!$2:$2,0)-MATCH($I$1,[2]enemies!$2:$2,0)+1),MATCH(N$1,[2]enemies!$2:$2,0)-MATCH($I$1,[2]enemies!$2:$2,0)+1,FALSE)</f>
        <v>#N/A</v>
      </c>
      <c r="O110" s="6">
        <v>7</v>
      </c>
      <c r="P110" s="43">
        <v>1</v>
      </c>
      <c r="Q110" s="43">
        <v>1</v>
      </c>
      <c r="R110" s="6">
        <v>0</v>
      </c>
      <c r="S110" s="5" t="str">
        <f ca="1">VLOOKUP($T110,OFFSET([4]enemy_skill_sets!$B$1,0,0,COUNTA([4]enemy_skill_sets!$B:$B),MATCH(J$1,[4]enemy_skill_sets!$1:$1,0)-MATCH($T$1,[4]enemy_skill_sets!$1:$1,0)+2),MATCH(J$1,[4]enemy_skill_sets!$1:$1,0)-MATCH($T$1,[4]enemy_skill_sets!$1:$1,0)+2,FALSE)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0" s="5">
        <v>0</v>
      </c>
      <c r="U110" s="7">
        <v>0</v>
      </c>
      <c r="V110" s="7">
        <v>100</v>
      </c>
      <c r="W110" s="7">
        <v>0</v>
      </c>
      <c r="X110" s="26" t="e">
        <f ca="1">VLOOKUP($I110,OFFSET([2]enemies!$A$1,0,0,COUNTA([2]enemies!$A:$A),MATCH(X$1,[2]enemies!$2:$2,0)-MATCH($I$1,[2]enemies!$2:$2,0)+1),MATCH(X$1,[2]enemies!$2:$2,0)-MATCH($I$1,[2]enemies!$2:$2,0)+1,FALSE)</f>
        <v>#N/A</v>
      </c>
      <c r="Y110" s="31">
        <v>5</v>
      </c>
      <c r="Z110" s="5" t="str">
        <f ca="1">IFERROR(VLOOKUP($Y110,OFFSET([3]characters!$A$1,0,0,COUNTA([3]characters!$A:$A),MATCH(Z$1,[3]characters!$2:$2,0)-MATCH("character_id",[3]characters!$2:$2,0)+1),MATCH(Z$1,[3]characters!$2:$2,0)-MATCH("character_id",[3]characters!$2:$2,0)+1,FALSE),"")</f>
        <v/>
      </c>
      <c r="AA110" s="5" t="str">
        <f ca="1">IFERROR(VLOOKUP($Y110,OFFSET([3]characters!$A$1,0,0,COUNTA([3]characters!$A:$A),MATCH(AA$1,[3]characters!$2:$2,0)-MATCH("character_id",[3]characters!$2:$2,0)+1),MATCH(AA$1,[3]characters!$2:$2,0)-MATCH("character_id",[3]characters!$2:$2,0)+1,FALSE),"")</f>
        <v/>
      </c>
      <c r="AB110" s="5" t="str">
        <f ca="1">IFERROR(VLOOKUP($Y110,OFFSET([3]characters!$A$1,0,0,COUNTA([3]characters!$A:$A),MATCH(AB$1,[3]characters!$2:$2,0)-MATCH("character_id",[3]characters!$2:$2,0)+1),MATCH(AB$1,[3]characters!$2:$2,0)-MATCH("character_id",[3]characters!$2:$2,0)+1,FALSE),"")</f>
        <v/>
      </c>
      <c r="AC110" s="8">
        <v>1</v>
      </c>
      <c r="AD110" s="8" t="str">
        <f t="shared" ca="1" si="46"/>
        <v/>
      </c>
      <c r="AE110" s="9">
        <v>30</v>
      </c>
      <c r="AF110" s="38">
        <v>0</v>
      </c>
      <c r="AG110" s="38">
        <v>0</v>
      </c>
      <c r="AH110" s="38">
        <v>0</v>
      </c>
      <c r="AI110" s="38">
        <v>0</v>
      </c>
      <c r="AJ110" s="38">
        <v>1</v>
      </c>
    </row>
    <row r="111" spans="1:36" ht="21" customHeight="1" x14ac:dyDescent="0.15">
      <c r="A111" s="21" t="e">
        <f t="shared" ca="1" si="80"/>
        <v>#N/A</v>
      </c>
      <c r="B111" s="33">
        <v>5</v>
      </c>
      <c r="C111" s="32">
        <v>1</v>
      </c>
      <c r="D111" s="2" t="str">
        <f t="shared" si="24"/>
        <v>5_1</v>
      </c>
      <c r="E111" s="5" t="str">
        <f ca="1">VLOOKUP($B111,OFFSET([1]quests!$A$1,0,0,COUNTA([1]quests!$A:$A),MATCH(E$1,[1]quests!$1:$1,0)-MATCH($B$1,[1]quests!$1:$1,0)+1),MATCH(E$1,[1]quests!$1:$1,0)-MATCH($B$1,[1]quests!$1:$1,0)+1,FALSE)</f>
        <v>5．ウォーターランド</v>
      </c>
      <c r="F111" s="5" t="str">
        <f ca="1">VLOOKUP($D111,OFFSET([1]stages!$A$1,0,0,COUNTA([1]stages!$A:$A),MATCH(F$1,[1]stages!$2:$2,0)-MATCH($D$1,[1]stages!$2:$2,0)+1),MATCH(F$1,[1]stages!$2:$2,0)-MATCH($D$1,[1]stages!$2:$2,0)+1,FALSE)</f>
        <v>5-1. 水面を凍らす咆哮</v>
      </c>
      <c r="G111" s="32">
        <v>1</v>
      </c>
      <c r="H111" s="20" t="str">
        <f t="shared" si="25"/>
        <v>5_1-1</v>
      </c>
      <c r="I111" s="31">
        <v>17</v>
      </c>
      <c r="J111" s="26" t="e">
        <f ca="1">VLOOKUP($I111,OFFSET([2]enemies!$A$1,0,0,COUNTA([2]enemies!$A:$A),MATCH(J$1,[2]enemies!$2:$2,0)-MATCH($I$1,[2]enemies!$2:$2,0)+1),MATCH(J$1,[2]enemies!$2:$2,0)-MATCH($I$1,[2]enemies!$2:$2,0)+1,FALSE)</f>
        <v>#N/A</v>
      </c>
      <c r="K111" s="29" t="e">
        <f ca="1">VLOOKUP($I111,OFFSET([2]enemies!$A$1,0,0,COUNTA([2]enemies!$A:$A),MATCH(K$1,[2]enemies!$2:$2,0)-MATCH($I$1,[2]enemies!$2:$2,0)+1),MATCH(K$1,[2]enemies!$2:$2,0)-MATCH($I$1,[2]enemies!$2:$2,0)+1,FALSE)</f>
        <v>#N/A</v>
      </c>
      <c r="L111" s="29" t="e">
        <f ca="1">VLOOKUP($I111,OFFSET([3]characters!$A$1,0,0,COUNTA([3]characters!$A:$A),MATCH(L$1,[3]characters!$2:$2,0)-MATCH($I$1,[3]characters!$2:$2,0)+1),MATCH(L$1,[3]characters!$2:$2,0)-MATCH($I$1,[3]characters!$2:$2,0)+1,FALSE)</f>
        <v>#N/A</v>
      </c>
      <c r="M111" s="28" t="e">
        <f ca="1">VLOOKUP($I111,OFFSET([3]characters!$A$1,0,0,COUNTA([3]characters!$A:$A),MATCH(M$1,[3]characters!$2:$2,0)-MATCH($I$1,[3]characters!$2:$2,0)+2),MATCH(M$1,[3]characters!$2:$2,0)-MATCH($I$1,[3]characters!$2:$2,0)+2,FALSE)</f>
        <v>#N/A</v>
      </c>
      <c r="N111" s="5" t="e">
        <f ca="1">VLOOKUP($I111,OFFSET([2]enemies!$A$1,0,0,COUNTA([2]enemies!$A:$A),MATCH(N$1,[2]enemies!$2:$2,0)-MATCH($I$1,[2]enemies!$2:$2,0)+1),MATCH(N$1,[2]enemies!$2:$2,0)-MATCH($I$1,[2]enemies!$2:$2,0)+1,FALSE)</f>
        <v>#N/A</v>
      </c>
      <c r="O111" s="6">
        <v>7</v>
      </c>
      <c r="P111" s="43">
        <v>1</v>
      </c>
      <c r="Q111" s="43">
        <v>1</v>
      </c>
      <c r="R111" s="6">
        <v>0</v>
      </c>
      <c r="S111" s="5" t="str">
        <f ca="1">VLOOKUP($T111,OFFSET([4]enemy_skill_sets!$B$1,0,0,COUNTA([4]enemy_skill_sets!$B:$B),MATCH(J$1,[4]enemy_skill_sets!$1:$1,0)-MATCH($T$1,[4]enemy_skill_sets!$1:$1,0)+2),MATCH(J$1,[4]enemy_skill_sets!$1:$1,0)-MATCH($T$1,[4]enemy_skill_sets!$1:$1,0)+2,FALSE)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1" s="5">
        <v>0</v>
      </c>
      <c r="U111" s="7">
        <v>0</v>
      </c>
      <c r="V111" s="7">
        <v>100</v>
      </c>
      <c r="W111" s="7">
        <v>0</v>
      </c>
      <c r="X111" s="26" t="e">
        <f ca="1">VLOOKUP($I111,OFFSET([2]enemies!$A$1,0,0,COUNTA([2]enemies!$A:$A),MATCH(X$1,[2]enemies!$2:$2,0)-MATCH($I$1,[2]enemies!$2:$2,0)+1),MATCH(X$1,[2]enemies!$2:$2,0)-MATCH($I$1,[2]enemies!$2:$2,0)+1,FALSE)</f>
        <v>#N/A</v>
      </c>
      <c r="Y111" s="31">
        <v>17</v>
      </c>
      <c r="Z111" s="5" t="str">
        <f ca="1">IFERROR(VLOOKUP($Y111,OFFSET([3]characters!$A$1,0,0,COUNTA([3]characters!$A:$A),MATCH(Z$1,[3]characters!$2:$2,0)-MATCH("character_id",[3]characters!$2:$2,0)+1),MATCH(Z$1,[3]characters!$2:$2,0)-MATCH("character_id",[3]characters!$2:$2,0)+1,FALSE),"")</f>
        <v/>
      </c>
      <c r="AA111" s="5" t="str">
        <f ca="1">IFERROR(VLOOKUP($Y111,OFFSET([3]characters!$A$1,0,0,COUNTA([3]characters!$A:$A),MATCH(AA$1,[3]characters!$2:$2,0)-MATCH("character_id",[3]characters!$2:$2,0)+1),MATCH(AA$1,[3]characters!$2:$2,0)-MATCH("character_id",[3]characters!$2:$2,0)+1,FALSE),"")</f>
        <v/>
      </c>
      <c r="AB111" s="5" t="str">
        <f ca="1">IFERROR(VLOOKUP($Y111,OFFSET([3]characters!$A$1,0,0,COUNTA([3]characters!$A:$A),MATCH(AB$1,[3]characters!$2:$2,0)-MATCH("character_id",[3]characters!$2:$2,0)+1),MATCH(AB$1,[3]characters!$2:$2,0)-MATCH("character_id",[3]characters!$2:$2,0)+1,FALSE),"")</f>
        <v/>
      </c>
      <c r="AC111" s="8">
        <v>1</v>
      </c>
      <c r="AD111" s="8" t="str">
        <f t="shared" ca="1" si="46"/>
        <v/>
      </c>
      <c r="AE111" s="9">
        <v>30</v>
      </c>
      <c r="AF111" s="38">
        <v>0</v>
      </c>
      <c r="AG111" s="38">
        <v>0</v>
      </c>
      <c r="AH111" s="38">
        <v>0</v>
      </c>
      <c r="AI111" s="38">
        <v>0</v>
      </c>
      <c r="AJ111" s="38">
        <v>1</v>
      </c>
    </row>
    <row r="112" spans="1:36" ht="21" customHeight="1" x14ac:dyDescent="0.15">
      <c r="A112" s="21" t="e">
        <f t="shared" ca="1" si="80"/>
        <v>#N/A</v>
      </c>
      <c r="B112" s="33">
        <v>5</v>
      </c>
      <c r="C112" s="32">
        <v>1</v>
      </c>
      <c r="D112" s="2" t="str">
        <f t="shared" si="24"/>
        <v>5_1</v>
      </c>
      <c r="E112" s="5" t="str">
        <f ca="1">VLOOKUP($B112,OFFSET([1]quests!$A$1,0,0,COUNTA([1]quests!$A:$A),MATCH(E$1,[1]quests!$1:$1,0)-MATCH($B$1,[1]quests!$1:$1,0)+1),MATCH(E$1,[1]quests!$1:$1,0)-MATCH($B$1,[1]quests!$1:$1,0)+1,FALSE)</f>
        <v>5．ウォーターランド</v>
      </c>
      <c r="F112" s="5" t="str">
        <f ca="1">VLOOKUP($D112,OFFSET([1]stages!$A$1,0,0,COUNTA([1]stages!$A:$A),MATCH(F$1,[1]stages!$2:$2,0)-MATCH($D$1,[1]stages!$2:$2,0)+1),MATCH(F$1,[1]stages!$2:$2,0)-MATCH($D$1,[1]stages!$2:$2,0)+1,FALSE)</f>
        <v>5-1. 水面を凍らす咆哮</v>
      </c>
      <c r="G112" s="32">
        <v>2</v>
      </c>
      <c r="H112" s="20" t="str">
        <f t="shared" si="25"/>
        <v>5_1-2</v>
      </c>
      <c r="I112" s="31">
        <v>5</v>
      </c>
      <c r="J112" s="26" t="e">
        <f ca="1">VLOOKUP($I112,OFFSET([2]enemies!$A$1,0,0,COUNTA([2]enemies!$A:$A),MATCH(J$1,[2]enemies!$2:$2,0)-MATCH($I$1,[2]enemies!$2:$2,0)+1),MATCH(J$1,[2]enemies!$2:$2,0)-MATCH($I$1,[2]enemies!$2:$2,0)+1,FALSE)</f>
        <v>#N/A</v>
      </c>
      <c r="K112" s="29" t="e">
        <f ca="1">VLOOKUP($I112,OFFSET([2]enemies!$A$1,0,0,COUNTA([2]enemies!$A:$A),MATCH(K$1,[2]enemies!$2:$2,0)-MATCH($I$1,[2]enemies!$2:$2,0)+1),MATCH(K$1,[2]enemies!$2:$2,0)-MATCH($I$1,[2]enemies!$2:$2,0)+1,FALSE)</f>
        <v>#N/A</v>
      </c>
      <c r="L112" s="29" t="e">
        <f ca="1">VLOOKUP($I112,OFFSET([3]characters!$A$1,0,0,COUNTA([3]characters!$A:$A),MATCH(L$1,[3]characters!$2:$2,0)-MATCH($I$1,[3]characters!$2:$2,0)+1),MATCH(L$1,[3]characters!$2:$2,0)-MATCH($I$1,[3]characters!$2:$2,0)+1,FALSE)</f>
        <v>#N/A</v>
      </c>
      <c r="M112" s="28" t="e">
        <f ca="1">VLOOKUP($I112,OFFSET([3]characters!$A$1,0,0,COUNTA([3]characters!$A:$A),MATCH(M$1,[3]characters!$2:$2,0)-MATCH($I$1,[3]characters!$2:$2,0)+2),MATCH(M$1,[3]characters!$2:$2,0)-MATCH($I$1,[3]characters!$2:$2,0)+2,FALSE)</f>
        <v>#N/A</v>
      </c>
      <c r="N112" s="5" t="e">
        <f ca="1">VLOOKUP($I112,OFFSET([2]enemies!$A$1,0,0,COUNTA([2]enemies!$A:$A),MATCH(N$1,[2]enemies!$2:$2,0)-MATCH($I$1,[2]enemies!$2:$2,0)+1),MATCH(N$1,[2]enemies!$2:$2,0)-MATCH($I$1,[2]enemies!$2:$2,0)+1,FALSE)</f>
        <v>#N/A</v>
      </c>
      <c r="O112" s="6">
        <v>7</v>
      </c>
      <c r="P112" s="43">
        <v>1</v>
      </c>
      <c r="Q112" s="43">
        <v>1</v>
      </c>
      <c r="R112" s="6">
        <v>0</v>
      </c>
      <c r="S112" s="5" t="str">
        <f ca="1">VLOOKUP($T112,OFFSET([4]enemy_skill_sets!$B$1,0,0,COUNTA([4]enemy_skill_sets!$B:$B),MATCH(J$1,[4]enemy_skill_sets!$1:$1,0)-MATCH($T$1,[4]enemy_skill_sets!$1:$1,0)+2),MATCH(J$1,[4]enemy_skill_sets!$1:$1,0)-MATCH($T$1,[4]enemy_skill_sets!$1:$1,0)+2,FALSE)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2" s="5">
        <v>0</v>
      </c>
      <c r="U112" s="7">
        <v>0</v>
      </c>
      <c r="V112" s="7">
        <v>100</v>
      </c>
      <c r="W112" s="7">
        <v>0</v>
      </c>
      <c r="X112" s="26" t="e">
        <f ca="1">VLOOKUP($I112,OFFSET([2]enemies!$A$1,0,0,COUNTA([2]enemies!$A:$A),MATCH(X$1,[2]enemies!$2:$2,0)-MATCH($I$1,[2]enemies!$2:$2,0)+1),MATCH(X$1,[2]enemies!$2:$2,0)-MATCH($I$1,[2]enemies!$2:$2,0)+1,FALSE)</f>
        <v>#N/A</v>
      </c>
      <c r="Y112" s="31">
        <v>5</v>
      </c>
      <c r="Z112" s="5" t="str">
        <f ca="1">IFERROR(VLOOKUP($Y112,OFFSET([3]characters!$A$1,0,0,COUNTA([3]characters!$A:$A),MATCH(Z$1,[3]characters!$2:$2,0)-MATCH("character_id",[3]characters!$2:$2,0)+1),MATCH(Z$1,[3]characters!$2:$2,0)-MATCH("character_id",[3]characters!$2:$2,0)+1,FALSE),"")</f>
        <v/>
      </c>
      <c r="AA112" s="5" t="str">
        <f ca="1">IFERROR(VLOOKUP($Y112,OFFSET([3]characters!$A$1,0,0,COUNTA([3]characters!$A:$A),MATCH(AA$1,[3]characters!$2:$2,0)-MATCH("character_id",[3]characters!$2:$2,0)+1),MATCH(AA$1,[3]characters!$2:$2,0)-MATCH("character_id",[3]characters!$2:$2,0)+1,FALSE),"")</f>
        <v/>
      </c>
      <c r="AB112" s="5" t="str">
        <f ca="1">IFERROR(VLOOKUP($Y112,OFFSET([3]characters!$A$1,0,0,COUNTA([3]characters!$A:$A),MATCH(AB$1,[3]characters!$2:$2,0)-MATCH("character_id",[3]characters!$2:$2,0)+1),MATCH(AB$1,[3]characters!$2:$2,0)-MATCH("character_id",[3]characters!$2:$2,0)+1,FALSE),"")</f>
        <v/>
      </c>
      <c r="AC112" s="8">
        <v>1</v>
      </c>
      <c r="AD112" s="8" t="str">
        <f t="shared" ca="1" si="46"/>
        <v/>
      </c>
      <c r="AE112" s="9">
        <v>30</v>
      </c>
      <c r="AF112" s="38">
        <v>0</v>
      </c>
      <c r="AG112" s="38">
        <v>0</v>
      </c>
      <c r="AH112" s="38">
        <v>0</v>
      </c>
      <c r="AI112" s="38">
        <v>0</v>
      </c>
      <c r="AJ112" s="38">
        <v>1</v>
      </c>
    </row>
    <row r="113" spans="1:36" ht="21" customHeight="1" x14ac:dyDescent="0.15">
      <c r="A113" s="21" t="e">
        <f t="shared" ca="1" si="80"/>
        <v>#N/A</v>
      </c>
      <c r="B113" s="33">
        <v>5</v>
      </c>
      <c r="C113" s="32">
        <v>1</v>
      </c>
      <c r="D113" s="2" t="str">
        <f t="shared" ref="D113:D140" si="81">B113&amp;"_"&amp;C113</f>
        <v>5_1</v>
      </c>
      <c r="E113" s="5" t="str">
        <f ca="1">VLOOKUP($B113,OFFSET([1]quests!$A$1,0,0,COUNTA([1]quests!$A:$A),MATCH(E$1,[1]quests!$1:$1,0)-MATCH($B$1,[1]quests!$1:$1,0)+1),MATCH(E$1,[1]quests!$1:$1,0)-MATCH($B$1,[1]quests!$1:$1,0)+1,FALSE)</f>
        <v>5．ウォーターランド</v>
      </c>
      <c r="F113" s="5" t="str">
        <f ca="1">VLOOKUP($D113,OFFSET([1]stages!$A$1,0,0,COUNTA([1]stages!$A:$A),MATCH(F$1,[1]stages!$2:$2,0)-MATCH($D$1,[1]stages!$2:$2,0)+1),MATCH(F$1,[1]stages!$2:$2,0)-MATCH($D$1,[1]stages!$2:$2,0)+1,FALSE)</f>
        <v>5-1. 水面を凍らす咆哮</v>
      </c>
      <c r="G113" s="32">
        <v>2</v>
      </c>
      <c r="H113" s="20" t="str">
        <f t="shared" ref="H113:H172" si="82">B113&amp;"_"&amp;C113&amp;"-"&amp;G113</f>
        <v>5_1-2</v>
      </c>
      <c r="I113" s="31">
        <v>17</v>
      </c>
      <c r="J113" s="26" t="e">
        <f ca="1">VLOOKUP($I113,OFFSET([2]enemies!$A$1,0,0,COUNTA([2]enemies!$A:$A),MATCH(J$1,[2]enemies!$2:$2,0)-MATCH($I$1,[2]enemies!$2:$2,0)+1),MATCH(J$1,[2]enemies!$2:$2,0)-MATCH($I$1,[2]enemies!$2:$2,0)+1,FALSE)</f>
        <v>#N/A</v>
      </c>
      <c r="K113" s="29" t="e">
        <f ca="1">VLOOKUP($I113,OFFSET([2]enemies!$A$1,0,0,COUNTA([2]enemies!$A:$A),MATCH(K$1,[2]enemies!$2:$2,0)-MATCH($I$1,[2]enemies!$2:$2,0)+1),MATCH(K$1,[2]enemies!$2:$2,0)-MATCH($I$1,[2]enemies!$2:$2,0)+1,FALSE)</f>
        <v>#N/A</v>
      </c>
      <c r="L113" s="29" t="e">
        <f ca="1">VLOOKUP($I113,OFFSET([3]characters!$A$1,0,0,COUNTA([3]characters!$A:$A),MATCH(L$1,[3]characters!$2:$2,0)-MATCH($I$1,[3]characters!$2:$2,0)+1),MATCH(L$1,[3]characters!$2:$2,0)-MATCH($I$1,[3]characters!$2:$2,0)+1,FALSE)</f>
        <v>#N/A</v>
      </c>
      <c r="M113" s="28" t="e">
        <f ca="1">VLOOKUP($I113,OFFSET([3]characters!$A$1,0,0,COUNTA([3]characters!$A:$A),MATCH(M$1,[3]characters!$2:$2,0)-MATCH($I$1,[3]characters!$2:$2,0)+2),MATCH(M$1,[3]characters!$2:$2,0)-MATCH($I$1,[3]characters!$2:$2,0)+2,FALSE)</f>
        <v>#N/A</v>
      </c>
      <c r="N113" s="5" t="e">
        <f ca="1">VLOOKUP($I113,OFFSET([2]enemies!$A$1,0,0,COUNTA([2]enemies!$A:$A),MATCH(N$1,[2]enemies!$2:$2,0)-MATCH($I$1,[2]enemies!$2:$2,0)+1),MATCH(N$1,[2]enemies!$2:$2,0)-MATCH($I$1,[2]enemies!$2:$2,0)+1,FALSE)</f>
        <v>#N/A</v>
      </c>
      <c r="O113" s="6">
        <v>7</v>
      </c>
      <c r="P113" s="43">
        <v>1</v>
      </c>
      <c r="Q113" s="43">
        <v>1</v>
      </c>
      <c r="R113" s="6">
        <v>0</v>
      </c>
      <c r="S113" s="5" t="str">
        <f ca="1">VLOOKUP($T113,OFFSET([4]enemy_skill_sets!$B$1,0,0,COUNTA([4]enemy_skill_sets!$B:$B),MATCH(J$1,[4]enemy_skill_sets!$1:$1,0)-MATCH($T$1,[4]enemy_skill_sets!$1:$1,0)+2),MATCH(J$1,[4]enemy_skill_sets!$1:$1,0)-MATCH($T$1,[4]enemy_skill_sets!$1:$1,0)+2,FALSE)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3" s="5">
        <v>0</v>
      </c>
      <c r="U113" s="7">
        <v>0</v>
      </c>
      <c r="V113" s="7">
        <v>100</v>
      </c>
      <c r="W113" s="7">
        <v>0</v>
      </c>
      <c r="X113" s="26" t="e">
        <f ca="1">VLOOKUP($I113,OFFSET([2]enemies!$A$1,0,0,COUNTA([2]enemies!$A:$A),MATCH(X$1,[2]enemies!$2:$2,0)-MATCH($I$1,[2]enemies!$2:$2,0)+1),MATCH(X$1,[2]enemies!$2:$2,0)-MATCH($I$1,[2]enemies!$2:$2,0)+1,FALSE)</f>
        <v>#N/A</v>
      </c>
      <c r="Y113" s="31">
        <v>17</v>
      </c>
      <c r="Z113" s="5" t="str">
        <f ca="1">IFERROR(VLOOKUP($Y113,OFFSET([3]characters!$A$1,0,0,COUNTA([3]characters!$A:$A),MATCH(Z$1,[3]characters!$2:$2,0)-MATCH("character_id",[3]characters!$2:$2,0)+1),MATCH(Z$1,[3]characters!$2:$2,0)-MATCH("character_id",[3]characters!$2:$2,0)+1,FALSE),"")</f>
        <v/>
      </c>
      <c r="AA113" s="5" t="str">
        <f ca="1">IFERROR(VLOOKUP($Y113,OFFSET([3]characters!$A$1,0,0,COUNTA([3]characters!$A:$A),MATCH(AA$1,[3]characters!$2:$2,0)-MATCH("character_id",[3]characters!$2:$2,0)+1),MATCH(AA$1,[3]characters!$2:$2,0)-MATCH("character_id",[3]characters!$2:$2,0)+1,FALSE),"")</f>
        <v/>
      </c>
      <c r="AB113" s="5" t="str">
        <f ca="1">IFERROR(VLOOKUP($Y113,OFFSET([3]characters!$A$1,0,0,COUNTA([3]characters!$A:$A),MATCH(AB$1,[3]characters!$2:$2,0)-MATCH("character_id",[3]characters!$2:$2,0)+1),MATCH(AB$1,[3]characters!$2:$2,0)-MATCH("character_id",[3]characters!$2:$2,0)+1,FALSE),"")</f>
        <v/>
      </c>
      <c r="AC113" s="8">
        <v>1</v>
      </c>
      <c r="AD113" s="8" t="str">
        <f t="shared" ca="1" si="46"/>
        <v/>
      </c>
      <c r="AE113" s="9">
        <v>30</v>
      </c>
      <c r="AF113" s="38">
        <v>0</v>
      </c>
      <c r="AG113" s="38">
        <v>0</v>
      </c>
      <c r="AH113" s="38">
        <v>0</v>
      </c>
      <c r="AI113" s="38">
        <v>0</v>
      </c>
      <c r="AJ113" s="38">
        <v>1</v>
      </c>
    </row>
    <row r="114" spans="1:36" ht="21" customHeight="1" x14ac:dyDescent="0.15">
      <c r="A114" s="21" t="e">
        <f t="shared" ca="1" si="80"/>
        <v>#N/A</v>
      </c>
      <c r="B114" s="33">
        <v>5</v>
      </c>
      <c r="C114" s="32">
        <v>1</v>
      </c>
      <c r="D114" s="2" t="str">
        <f t="shared" si="81"/>
        <v>5_1</v>
      </c>
      <c r="E114" s="5" t="str">
        <f ca="1">VLOOKUP($B114,OFFSET([1]quests!$A$1,0,0,COUNTA([1]quests!$A:$A),MATCH(E$1,[1]quests!$1:$1,0)-MATCH($B$1,[1]quests!$1:$1,0)+1),MATCH(E$1,[1]quests!$1:$1,0)-MATCH($B$1,[1]quests!$1:$1,0)+1,FALSE)</f>
        <v>5．ウォーターランド</v>
      </c>
      <c r="F114" s="5" t="str">
        <f ca="1">VLOOKUP($D114,OFFSET([1]stages!$A$1,0,0,COUNTA([1]stages!$A:$A),MATCH(F$1,[1]stages!$2:$2,0)-MATCH($D$1,[1]stages!$2:$2,0)+1),MATCH(F$1,[1]stages!$2:$2,0)-MATCH($D$1,[1]stages!$2:$2,0)+1,FALSE)</f>
        <v>5-1. 水面を凍らす咆哮</v>
      </c>
      <c r="G114" s="32">
        <v>2</v>
      </c>
      <c r="H114" s="20" t="str">
        <f t="shared" si="82"/>
        <v>5_1-2</v>
      </c>
      <c r="I114" s="31">
        <v>109</v>
      </c>
      <c r="J114" s="26" t="e">
        <f ca="1">VLOOKUP($I114,OFFSET([2]enemies!$A$1,0,0,COUNTA([2]enemies!$A:$A),MATCH(J$1,[2]enemies!$2:$2,0)-MATCH($I$1,[2]enemies!$2:$2,0)+1),MATCH(J$1,[2]enemies!$2:$2,0)-MATCH($I$1,[2]enemies!$2:$2,0)+1,FALSE)</f>
        <v>#N/A</v>
      </c>
      <c r="K114" s="29" t="e">
        <f ca="1">VLOOKUP($I114,OFFSET([2]enemies!$A$1,0,0,COUNTA([2]enemies!$A:$A),MATCH(K$1,[2]enemies!$2:$2,0)-MATCH($I$1,[2]enemies!$2:$2,0)+1),MATCH(K$1,[2]enemies!$2:$2,0)-MATCH($I$1,[2]enemies!$2:$2,0)+1,FALSE)</f>
        <v>#N/A</v>
      </c>
      <c r="L114" s="29" t="e">
        <f ca="1">VLOOKUP($I114,OFFSET([3]characters!$A$1,0,0,COUNTA([3]characters!$A:$A),MATCH(L$1,[3]characters!$2:$2,0)-MATCH($I$1,[3]characters!$2:$2,0)+1),MATCH(L$1,[3]characters!$2:$2,0)-MATCH($I$1,[3]characters!$2:$2,0)+1,FALSE)</f>
        <v>#N/A</v>
      </c>
      <c r="M114" s="28" t="e">
        <f ca="1">VLOOKUP($I114,OFFSET([3]characters!$A$1,0,0,COUNTA([3]characters!$A:$A),MATCH(M$1,[3]characters!$2:$2,0)-MATCH($I$1,[3]characters!$2:$2,0)+2),MATCH(M$1,[3]characters!$2:$2,0)-MATCH($I$1,[3]characters!$2:$2,0)+2,FALSE)</f>
        <v>#N/A</v>
      </c>
      <c r="N114" s="5" t="e">
        <f ca="1">VLOOKUP($I114,OFFSET([2]enemies!$A$1,0,0,COUNTA([2]enemies!$A:$A),MATCH(N$1,[2]enemies!$2:$2,0)-MATCH($I$1,[2]enemies!$2:$2,0)+1),MATCH(N$1,[2]enemies!$2:$2,0)-MATCH($I$1,[2]enemies!$2:$2,0)+1,FALSE)</f>
        <v>#N/A</v>
      </c>
      <c r="O114" s="6">
        <v>7</v>
      </c>
      <c r="P114" s="43">
        <v>1</v>
      </c>
      <c r="Q114" s="43">
        <v>1</v>
      </c>
      <c r="R114" s="6">
        <v>0</v>
      </c>
      <c r="S114" s="5" t="str">
        <f ca="1">VLOOKUP($T114,OFFSET([4]enemy_skill_sets!$B$1,0,0,COUNTA([4]enemy_skill_sets!$B:$B),MATCH(J$1,[4]enemy_skill_sets!$1:$1,0)-MATCH($T$1,[4]enemy_skill_sets!$1:$1,0)+2),MATCH(J$1,[4]enemy_skill_sets!$1:$1,0)-MATCH($T$1,[4]enemy_skill_sets!$1:$1,0)+2,FALSE)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4" s="5">
        <v>0</v>
      </c>
      <c r="U114" s="7">
        <v>0</v>
      </c>
      <c r="V114" s="7">
        <v>50</v>
      </c>
      <c r="W114" s="7">
        <v>0</v>
      </c>
      <c r="X114" s="26" t="e">
        <f ca="1">VLOOKUP($I114,OFFSET([2]enemies!$A$1,0,0,COUNTA([2]enemies!$A:$A),MATCH(X$1,[2]enemies!$2:$2,0)-MATCH($I$1,[2]enemies!$2:$2,0)+1),MATCH(X$1,[2]enemies!$2:$2,0)-MATCH($I$1,[2]enemies!$2:$2,0)+1,FALSE)</f>
        <v>#N/A</v>
      </c>
      <c r="Y114" s="31">
        <v>109</v>
      </c>
      <c r="Z114" s="5" t="str">
        <f ca="1">IFERROR(VLOOKUP($Y114,OFFSET([3]characters!$A$1,0,0,COUNTA([3]characters!$A:$A),MATCH(Z$1,[3]characters!$2:$2,0)-MATCH("character_id",[3]characters!$2:$2,0)+1),MATCH(Z$1,[3]characters!$2:$2,0)-MATCH("character_id",[3]characters!$2:$2,0)+1,FALSE),"")</f>
        <v/>
      </c>
      <c r="AA114" s="5" t="str">
        <f ca="1">IFERROR(VLOOKUP($Y114,OFFSET([3]characters!$A$1,0,0,COUNTA([3]characters!$A:$A),MATCH(AA$1,[3]characters!$2:$2,0)-MATCH("character_id",[3]characters!$2:$2,0)+1),MATCH(AA$1,[3]characters!$2:$2,0)-MATCH("character_id",[3]characters!$2:$2,0)+1,FALSE),"")</f>
        <v/>
      </c>
      <c r="AB114" s="5" t="str">
        <f ca="1">IFERROR(VLOOKUP($Y114,OFFSET([3]characters!$A$1,0,0,COUNTA([3]characters!$A:$A),MATCH(AB$1,[3]characters!$2:$2,0)-MATCH("character_id",[3]characters!$2:$2,0)+1),MATCH(AB$1,[3]characters!$2:$2,0)-MATCH("character_id",[3]characters!$2:$2,0)+1,FALSE),"")</f>
        <v/>
      </c>
      <c r="AC114" s="8">
        <v>1</v>
      </c>
      <c r="AD114" s="8" t="str">
        <f t="shared" ca="1" si="46"/>
        <v/>
      </c>
      <c r="AE114" s="9">
        <v>20</v>
      </c>
      <c r="AF114" s="38">
        <v>0</v>
      </c>
      <c r="AG114" s="38">
        <v>0</v>
      </c>
      <c r="AH114" s="38">
        <v>0</v>
      </c>
      <c r="AI114" s="38">
        <v>0</v>
      </c>
      <c r="AJ114" s="38">
        <v>1</v>
      </c>
    </row>
    <row r="115" spans="1:36" ht="21" customHeight="1" x14ac:dyDescent="0.15">
      <c r="A115" s="21" t="e">
        <f t="shared" ref="A115" ca="1" si="83">B115&amp;"_"&amp;C115&amp;"-"&amp;G115&amp;"/"&amp;I115&amp;"&lt;lv"&amp;O115&amp;"&gt;s"&amp;X115</f>
        <v>#N/A</v>
      </c>
      <c r="B115" s="33">
        <v>5</v>
      </c>
      <c r="C115" s="32">
        <v>1</v>
      </c>
      <c r="D115" s="2" t="str">
        <f t="shared" ref="D115" si="84">B115&amp;"_"&amp;C115</f>
        <v>5_1</v>
      </c>
      <c r="E115" s="5" t="str">
        <f ca="1">VLOOKUP($B115,OFFSET([1]quests!$A$1,0,0,COUNTA([1]quests!$A:$A),MATCH(E$1,[1]quests!$1:$1,0)-MATCH($B$1,[1]quests!$1:$1,0)+1),MATCH(E$1,[1]quests!$1:$1,0)-MATCH($B$1,[1]quests!$1:$1,0)+1,FALSE)</f>
        <v>5．ウォーターランド</v>
      </c>
      <c r="F115" s="5" t="str">
        <f ca="1">VLOOKUP($D115,OFFSET([1]stages!$A$1,0,0,COUNTA([1]stages!$A:$A),MATCH(F$1,[1]stages!$2:$2,0)-MATCH($D$1,[1]stages!$2:$2,0)+1),MATCH(F$1,[1]stages!$2:$2,0)-MATCH($D$1,[1]stages!$2:$2,0)+1,FALSE)</f>
        <v>5-1. 水面を凍らす咆哮</v>
      </c>
      <c r="G115" s="32">
        <v>3</v>
      </c>
      <c r="H115" s="20" t="str">
        <f t="shared" ref="H115" si="85">B115&amp;"_"&amp;C115&amp;"-"&amp;G115</f>
        <v>5_1-3</v>
      </c>
      <c r="I115" s="31">
        <v>26</v>
      </c>
      <c r="J115" s="26" t="e">
        <f ca="1">VLOOKUP($I115,OFFSET([2]enemies!$A$1,0,0,COUNTA([2]enemies!$A:$A),MATCH(J$1,[2]enemies!$2:$2,0)-MATCH($I$1,[2]enemies!$2:$2,0)+1),MATCH(J$1,[2]enemies!$2:$2,0)-MATCH($I$1,[2]enemies!$2:$2,0)+1,FALSE)</f>
        <v>#N/A</v>
      </c>
      <c r="K115" s="29" t="e">
        <f ca="1">VLOOKUP($I115,OFFSET([2]enemies!$A$1,0,0,COUNTA([2]enemies!$A:$A),MATCH(K$1,[2]enemies!$2:$2,0)-MATCH($I$1,[2]enemies!$2:$2,0)+1),MATCH(K$1,[2]enemies!$2:$2,0)-MATCH($I$1,[2]enemies!$2:$2,0)+1,FALSE)</f>
        <v>#N/A</v>
      </c>
      <c r="L115" s="29" t="e">
        <f ca="1">VLOOKUP($I115,OFFSET([3]characters!$A$1,0,0,COUNTA([3]characters!$A:$A),MATCH(L$1,[3]characters!$2:$2,0)-MATCH($I$1,[3]characters!$2:$2,0)+1),MATCH(L$1,[3]characters!$2:$2,0)-MATCH($I$1,[3]characters!$2:$2,0)+1,FALSE)</f>
        <v>#N/A</v>
      </c>
      <c r="M115" s="28" t="e">
        <f ca="1">VLOOKUP($I115,OFFSET([3]characters!$A$1,0,0,COUNTA([3]characters!$A:$A),MATCH(M$1,[3]characters!$2:$2,0)-MATCH($I$1,[3]characters!$2:$2,0)+2),MATCH(M$1,[3]characters!$2:$2,0)-MATCH($I$1,[3]characters!$2:$2,0)+2,FALSE)</f>
        <v>#N/A</v>
      </c>
      <c r="N115" s="5" t="e">
        <f ca="1">VLOOKUP($I115,OFFSET([2]enemies!$A$1,0,0,COUNTA([2]enemies!$A:$A),MATCH(N$1,[2]enemies!$2:$2,0)-MATCH($I$1,[2]enemies!$2:$2,0)+1),MATCH(N$1,[2]enemies!$2:$2,0)-MATCH($I$1,[2]enemies!$2:$2,0)+1,FALSE)</f>
        <v>#N/A</v>
      </c>
      <c r="O115" s="6">
        <v>7</v>
      </c>
      <c r="P115" s="43">
        <v>1</v>
      </c>
      <c r="Q115" s="43">
        <v>1</v>
      </c>
      <c r="R115" s="6">
        <v>0</v>
      </c>
      <c r="S115" s="5" t="str">
        <f ca="1">VLOOKUP($T115,OFFSET([4]enemy_skill_sets!$B$1,0,0,COUNTA([4]enemy_skill_sets!$B:$B),MATCH(J$1,[4]enemy_skill_sets!$1:$1,0)-MATCH($T$1,[4]enemy_skill_sets!$1:$1,0)+2),MATCH(J$1,[4]enemy_skill_sets!$1:$1,0)-MATCH($T$1,[4]enemy_skill_sets!$1:$1,0)+2,FALSE)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5" s="5">
        <v>0</v>
      </c>
      <c r="U115" s="7">
        <v>3</v>
      </c>
      <c r="V115" s="7">
        <v>100</v>
      </c>
      <c r="W115" s="7">
        <v>0</v>
      </c>
      <c r="X115" s="26" t="e">
        <f ca="1">VLOOKUP($I115,OFFSET([2]enemies!$A$1,0,0,COUNTA([2]enemies!$A:$A),MATCH(X$1,[2]enemies!$2:$2,0)-MATCH($I$1,[2]enemies!$2:$2,0)+1),MATCH(X$1,[2]enemies!$2:$2,0)-MATCH($I$1,[2]enemies!$2:$2,0)+1,FALSE)</f>
        <v>#N/A</v>
      </c>
      <c r="Y115" s="31">
        <v>25</v>
      </c>
      <c r="Z115" s="5" t="str">
        <f ca="1">IFERROR(VLOOKUP($Y115,OFFSET([3]characters!$A$1,0,0,COUNTA([3]characters!$A:$A),MATCH(Z$1,[3]characters!$2:$2,0)-MATCH("character_id",[3]characters!$2:$2,0)+1),MATCH(Z$1,[3]characters!$2:$2,0)-MATCH("character_id",[3]characters!$2:$2,0)+1,FALSE),"")</f>
        <v/>
      </c>
      <c r="AA115" s="5" t="str">
        <f ca="1">IFERROR(VLOOKUP($Y115,OFFSET([3]characters!$A$1,0,0,COUNTA([3]characters!$A:$A),MATCH(AA$1,[3]characters!$2:$2,0)-MATCH("character_id",[3]characters!$2:$2,0)+1),MATCH(AA$1,[3]characters!$2:$2,0)-MATCH("character_id",[3]characters!$2:$2,0)+1,FALSE),"")</f>
        <v/>
      </c>
      <c r="AB115" s="5" t="str">
        <f ca="1">IFERROR(VLOOKUP($Y115,OFFSET([3]characters!$A$1,0,0,COUNTA([3]characters!$A:$A),MATCH(AB$1,[3]characters!$2:$2,0)-MATCH("character_id",[3]characters!$2:$2,0)+1),MATCH(AB$1,[3]characters!$2:$2,0)-MATCH("character_id",[3]characters!$2:$2,0)+1,FALSE),"")</f>
        <v/>
      </c>
      <c r="AC115" s="8">
        <v>1</v>
      </c>
      <c r="AD115" s="8" t="str">
        <f t="shared" ref="AD115" ca="1" si="86">AA115</f>
        <v/>
      </c>
      <c r="AE115" s="9">
        <v>0</v>
      </c>
      <c r="AF115" s="38">
        <v>0</v>
      </c>
      <c r="AG115" s="38">
        <v>0</v>
      </c>
      <c r="AH115" s="38">
        <v>0</v>
      </c>
      <c r="AI115" s="38">
        <v>0</v>
      </c>
      <c r="AJ115" s="38">
        <v>1</v>
      </c>
    </row>
    <row r="116" spans="1:36" ht="21" customHeight="1" x14ac:dyDescent="0.15">
      <c r="A116" s="21" t="e">
        <f t="shared" ca="1" si="80"/>
        <v>#N/A</v>
      </c>
      <c r="B116" s="33">
        <v>5</v>
      </c>
      <c r="C116" s="32">
        <v>2</v>
      </c>
      <c r="D116" s="2" t="str">
        <f t="shared" si="81"/>
        <v>5_2</v>
      </c>
      <c r="E116" s="5" t="str">
        <f ca="1">VLOOKUP($B116,OFFSET([1]quests!$A$1,0,0,COUNTA([1]quests!$A:$A),MATCH(E$1,[1]quests!$1:$1,0)-MATCH($B$1,[1]quests!$1:$1,0)+1),MATCH(E$1,[1]quests!$1:$1,0)-MATCH($B$1,[1]quests!$1:$1,0)+1,FALSE)</f>
        <v>5．ウォーターランド</v>
      </c>
      <c r="F116" s="5" t="str">
        <f ca="1">VLOOKUP($D116,OFFSET([1]stages!$A$1,0,0,COUNTA([1]stages!$A:$A),MATCH(F$1,[1]stages!$2:$2,0)-MATCH($D$1,[1]stages!$2:$2,0)+1),MATCH(F$1,[1]stages!$2:$2,0)-MATCH($D$1,[1]stages!$2:$2,0)+1,FALSE)</f>
        <v>5-2. 波をさばく剣豪</v>
      </c>
      <c r="G116" s="32">
        <v>1</v>
      </c>
      <c r="H116" s="20" t="str">
        <f t="shared" si="82"/>
        <v>5_2-1</v>
      </c>
      <c r="I116" s="31">
        <v>5</v>
      </c>
      <c r="J116" s="26" t="e">
        <f ca="1">VLOOKUP($I116,OFFSET([2]enemies!$A$1,0,0,COUNTA([2]enemies!$A:$A),MATCH(J$1,[2]enemies!$2:$2,0)-MATCH($I$1,[2]enemies!$2:$2,0)+1),MATCH(J$1,[2]enemies!$2:$2,0)-MATCH($I$1,[2]enemies!$2:$2,0)+1,FALSE)</f>
        <v>#N/A</v>
      </c>
      <c r="K116" s="29" t="e">
        <f ca="1">VLOOKUP($I116,OFFSET([2]enemies!$A$1,0,0,COUNTA([2]enemies!$A:$A),MATCH(K$1,[2]enemies!$2:$2,0)-MATCH($I$1,[2]enemies!$2:$2,0)+1),MATCH(K$1,[2]enemies!$2:$2,0)-MATCH($I$1,[2]enemies!$2:$2,0)+1,FALSE)</f>
        <v>#N/A</v>
      </c>
      <c r="L116" s="29" t="e">
        <f ca="1">VLOOKUP($I116,OFFSET([3]characters!$A$1,0,0,COUNTA([3]characters!$A:$A),MATCH(L$1,[3]characters!$2:$2,0)-MATCH($I$1,[3]characters!$2:$2,0)+1),MATCH(L$1,[3]characters!$2:$2,0)-MATCH($I$1,[3]characters!$2:$2,0)+1,FALSE)</f>
        <v>#N/A</v>
      </c>
      <c r="M116" s="28" t="e">
        <f ca="1">VLOOKUP($I116,OFFSET([3]characters!$A$1,0,0,COUNTA([3]characters!$A:$A),MATCH(M$1,[3]characters!$2:$2,0)-MATCH($I$1,[3]characters!$2:$2,0)+2),MATCH(M$1,[3]characters!$2:$2,0)-MATCH($I$1,[3]characters!$2:$2,0)+2,FALSE)</f>
        <v>#N/A</v>
      </c>
      <c r="N116" s="5" t="e">
        <f ca="1">VLOOKUP($I116,OFFSET([2]enemies!$A$1,0,0,COUNTA([2]enemies!$A:$A),MATCH(N$1,[2]enemies!$2:$2,0)-MATCH($I$1,[2]enemies!$2:$2,0)+1),MATCH(N$1,[2]enemies!$2:$2,0)-MATCH($I$1,[2]enemies!$2:$2,0)+1,FALSE)</f>
        <v>#N/A</v>
      </c>
      <c r="O116" s="6">
        <v>7</v>
      </c>
      <c r="P116" s="43">
        <v>1</v>
      </c>
      <c r="Q116" s="43">
        <v>1</v>
      </c>
      <c r="R116" s="6">
        <v>0</v>
      </c>
      <c r="S116" s="5" t="str">
        <f ca="1">VLOOKUP($T116,OFFSET([4]enemy_skill_sets!$B$1,0,0,COUNTA([4]enemy_skill_sets!$B:$B),MATCH(J$1,[4]enemy_skill_sets!$1:$1,0)-MATCH($T$1,[4]enemy_skill_sets!$1:$1,0)+2),MATCH(J$1,[4]enemy_skill_sets!$1:$1,0)-MATCH($T$1,[4]enemy_skill_sets!$1:$1,0)+2,FALSE)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6" s="5">
        <v>0</v>
      </c>
      <c r="U116" s="7">
        <v>0</v>
      </c>
      <c r="V116" s="7">
        <v>100</v>
      </c>
      <c r="W116" s="7">
        <v>0</v>
      </c>
      <c r="X116" s="26" t="e">
        <f ca="1">VLOOKUP($I116,OFFSET([2]enemies!$A$1,0,0,COUNTA([2]enemies!$A:$A),MATCH(X$1,[2]enemies!$2:$2,0)-MATCH($I$1,[2]enemies!$2:$2,0)+1),MATCH(X$1,[2]enemies!$2:$2,0)-MATCH($I$1,[2]enemies!$2:$2,0)+1,FALSE)</f>
        <v>#N/A</v>
      </c>
      <c r="Y116" s="31">
        <v>5</v>
      </c>
      <c r="Z116" s="5" t="str">
        <f ca="1">IFERROR(VLOOKUP($Y116,OFFSET([3]characters!$A$1,0,0,COUNTA([3]characters!$A:$A),MATCH(Z$1,[3]characters!$2:$2,0)-MATCH("character_id",[3]characters!$2:$2,0)+1),MATCH(Z$1,[3]characters!$2:$2,0)-MATCH("character_id",[3]characters!$2:$2,0)+1,FALSE),"")</f>
        <v/>
      </c>
      <c r="AA116" s="5" t="str">
        <f ca="1">IFERROR(VLOOKUP($Y116,OFFSET([3]characters!$A$1,0,0,COUNTA([3]characters!$A:$A),MATCH(AA$1,[3]characters!$2:$2,0)-MATCH("character_id",[3]characters!$2:$2,0)+1),MATCH(AA$1,[3]characters!$2:$2,0)-MATCH("character_id",[3]characters!$2:$2,0)+1,FALSE),"")</f>
        <v/>
      </c>
      <c r="AB116" s="5" t="str">
        <f ca="1">IFERROR(VLOOKUP($Y116,OFFSET([3]characters!$A$1,0,0,COUNTA([3]characters!$A:$A),MATCH(AB$1,[3]characters!$2:$2,0)-MATCH("character_id",[3]characters!$2:$2,0)+1),MATCH(AB$1,[3]characters!$2:$2,0)-MATCH("character_id",[3]characters!$2:$2,0)+1,FALSE),"")</f>
        <v/>
      </c>
      <c r="AC116" s="8">
        <v>2</v>
      </c>
      <c r="AD116" s="8" t="str">
        <f t="shared" ca="1" si="46"/>
        <v/>
      </c>
      <c r="AE116" s="9">
        <v>30</v>
      </c>
      <c r="AF116" s="38">
        <v>0</v>
      </c>
      <c r="AG116" s="38">
        <v>0</v>
      </c>
      <c r="AH116" s="38">
        <v>0</v>
      </c>
      <c r="AI116" s="38">
        <v>0</v>
      </c>
      <c r="AJ116" s="38">
        <v>1</v>
      </c>
    </row>
    <row r="117" spans="1:36" ht="21" customHeight="1" x14ac:dyDescent="0.15">
      <c r="A117" s="21" t="e">
        <f t="shared" ca="1" si="80"/>
        <v>#N/A</v>
      </c>
      <c r="B117" s="33">
        <v>5</v>
      </c>
      <c r="C117" s="32">
        <v>2</v>
      </c>
      <c r="D117" s="2" t="str">
        <f t="shared" si="81"/>
        <v>5_2</v>
      </c>
      <c r="E117" s="5" t="str">
        <f ca="1">VLOOKUP($B117,OFFSET([1]quests!$A$1,0,0,COUNTA([1]quests!$A:$A),MATCH(E$1,[1]quests!$1:$1,0)-MATCH($B$1,[1]quests!$1:$1,0)+1),MATCH(E$1,[1]quests!$1:$1,0)-MATCH($B$1,[1]quests!$1:$1,0)+1,FALSE)</f>
        <v>5．ウォーターランド</v>
      </c>
      <c r="F117" s="5" t="str">
        <f ca="1">VLOOKUP($D117,OFFSET([1]stages!$A$1,0,0,COUNTA([1]stages!$A:$A),MATCH(F$1,[1]stages!$2:$2,0)-MATCH($D$1,[1]stages!$2:$2,0)+1),MATCH(F$1,[1]stages!$2:$2,0)-MATCH($D$1,[1]stages!$2:$2,0)+1,FALSE)</f>
        <v>5-2. 波をさばく剣豪</v>
      </c>
      <c r="G117" s="32">
        <v>1</v>
      </c>
      <c r="H117" s="20" t="str">
        <f t="shared" si="82"/>
        <v>5_2-1</v>
      </c>
      <c r="I117" s="31">
        <v>17</v>
      </c>
      <c r="J117" s="26" t="e">
        <f ca="1">VLOOKUP($I117,OFFSET([2]enemies!$A$1,0,0,COUNTA([2]enemies!$A:$A),MATCH(J$1,[2]enemies!$2:$2,0)-MATCH($I$1,[2]enemies!$2:$2,0)+1),MATCH(J$1,[2]enemies!$2:$2,0)-MATCH($I$1,[2]enemies!$2:$2,0)+1,FALSE)</f>
        <v>#N/A</v>
      </c>
      <c r="K117" s="29" t="e">
        <f ca="1">VLOOKUP($I117,OFFSET([2]enemies!$A$1,0,0,COUNTA([2]enemies!$A:$A),MATCH(K$1,[2]enemies!$2:$2,0)-MATCH($I$1,[2]enemies!$2:$2,0)+1),MATCH(K$1,[2]enemies!$2:$2,0)-MATCH($I$1,[2]enemies!$2:$2,0)+1,FALSE)</f>
        <v>#N/A</v>
      </c>
      <c r="L117" s="29" t="e">
        <f ca="1">VLOOKUP($I117,OFFSET([3]characters!$A$1,0,0,COUNTA([3]characters!$A:$A),MATCH(L$1,[3]characters!$2:$2,0)-MATCH($I$1,[3]characters!$2:$2,0)+1),MATCH(L$1,[3]characters!$2:$2,0)-MATCH($I$1,[3]characters!$2:$2,0)+1,FALSE)</f>
        <v>#N/A</v>
      </c>
      <c r="M117" s="28" t="e">
        <f ca="1">VLOOKUP($I117,OFFSET([3]characters!$A$1,0,0,COUNTA([3]characters!$A:$A),MATCH(M$1,[3]characters!$2:$2,0)-MATCH($I$1,[3]characters!$2:$2,0)+2),MATCH(M$1,[3]characters!$2:$2,0)-MATCH($I$1,[3]characters!$2:$2,0)+2,FALSE)</f>
        <v>#N/A</v>
      </c>
      <c r="N117" s="5" t="e">
        <f ca="1">VLOOKUP($I117,OFFSET([2]enemies!$A$1,0,0,COUNTA([2]enemies!$A:$A),MATCH(N$1,[2]enemies!$2:$2,0)-MATCH($I$1,[2]enemies!$2:$2,0)+1),MATCH(N$1,[2]enemies!$2:$2,0)-MATCH($I$1,[2]enemies!$2:$2,0)+1,FALSE)</f>
        <v>#N/A</v>
      </c>
      <c r="O117" s="6">
        <v>7</v>
      </c>
      <c r="P117" s="43">
        <v>1</v>
      </c>
      <c r="Q117" s="43">
        <v>1</v>
      </c>
      <c r="R117" s="6">
        <v>0</v>
      </c>
      <c r="S117" s="5" t="str">
        <f ca="1">VLOOKUP($T117,OFFSET([4]enemy_skill_sets!$B$1,0,0,COUNTA([4]enemy_skill_sets!$B:$B),MATCH(J$1,[4]enemy_skill_sets!$1:$1,0)-MATCH($T$1,[4]enemy_skill_sets!$1:$1,0)+2),MATCH(J$1,[4]enemy_skill_sets!$1:$1,0)-MATCH($T$1,[4]enemy_skill_sets!$1:$1,0)+2,FALSE)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7" s="5">
        <v>0</v>
      </c>
      <c r="U117" s="7">
        <v>0</v>
      </c>
      <c r="V117" s="7">
        <v>100</v>
      </c>
      <c r="W117" s="7">
        <v>0</v>
      </c>
      <c r="X117" s="26" t="e">
        <f ca="1">VLOOKUP($I117,OFFSET([2]enemies!$A$1,0,0,COUNTA([2]enemies!$A:$A),MATCH(X$1,[2]enemies!$2:$2,0)-MATCH($I$1,[2]enemies!$2:$2,0)+1),MATCH(X$1,[2]enemies!$2:$2,0)-MATCH($I$1,[2]enemies!$2:$2,0)+1,FALSE)</f>
        <v>#N/A</v>
      </c>
      <c r="Y117" s="31">
        <v>17</v>
      </c>
      <c r="Z117" s="5" t="str">
        <f ca="1">IFERROR(VLOOKUP($Y117,OFFSET([3]characters!$A$1,0,0,COUNTA([3]characters!$A:$A),MATCH(Z$1,[3]characters!$2:$2,0)-MATCH("character_id",[3]characters!$2:$2,0)+1),MATCH(Z$1,[3]characters!$2:$2,0)-MATCH("character_id",[3]characters!$2:$2,0)+1,FALSE),"")</f>
        <v/>
      </c>
      <c r="AA117" s="5" t="str">
        <f ca="1">IFERROR(VLOOKUP($Y117,OFFSET([3]characters!$A$1,0,0,COUNTA([3]characters!$A:$A),MATCH(AA$1,[3]characters!$2:$2,0)-MATCH("character_id",[3]characters!$2:$2,0)+1),MATCH(AA$1,[3]characters!$2:$2,0)-MATCH("character_id",[3]characters!$2:$2,0)+1,FALSE),"")</f>
        <v/>
      </c>
      <c r="AB117" s="5" t="str">
        <f ca="1">IFERROR(VLOOKUP($Y117,OFFSET([3]characters!$A$1,0,0,COUNTA([3]characters!$A:$A),MATCH(AB$1,[3]characters!$2:$2,0)-MATCH("character_id",[3]characters!$2:$2,0)+1),MATCH(AB$1,[3]characters!$2:$2,0)-MATCH("character_id",[3]characters!$2:$2,0)+1,FALSE),"")</f>
        <v/>
      </c>
      <c r="AC117" s="8">
        <v>1</v>
      </c>
      <c r="AD117" s="8" t="str">
        <f t="shared" ca="1" si="46"/>
        <v/>
      </c>
      <c r="AE117" s="9">
        <v>30</v>
      </c>
      <c r="AF117" s="38">
        <v>0</v>
      </c>
      <c r="AG117" s="38">
        <v>0</v>
      </c>
      <c r="AH117" s="38">
        <v>0</v>
      </c>
      <c r="AI117" s="38">
        <v>0</v>
      </c>
      <c r="AJ117" s="38">
        <v>1</v>
      </c>
    </row>
    <row r="118" spans="1:36" ht="21" customHeight="1" x14ac:dyDescent="0.15">
      <c r="A118" s="21" t="e">
        <f t="shared" ca="1" si="80"/>
        <v>#N/A</v>
      </c>
      <c r="B118" s="33">
        <v>5</v>
      </c>
      <c r="C118" s="32">
        <v>2</v>
      </c>
      <c r="D118" s="2" t="str">
        <f t="shared" si="81"/>
        <v>5_2</v>
      </c>
      <c r="E118" s="5" t="str">
        <f ca="1">VLOOKUP($B118,OFFSET([1]quests!$A$1,0,0,COUNTA([1]quests!$A:$A),MATCH(E$1,[1]quests!$1:$1,0)-MATCH($B$1,[1]quests!$1:$1,0)+1),MATCH(E$1,[1]quests!$1:$1,0)-MATCH($B$1,[1]quests!$1:$1,0)+1,FALSE)</f>
        <v>5．ウォーターランド</v>
      </c>
      <c r="F118" s="5" t="str">
        <f ca="1">VLOOKUP($D118,OFFSET([1]stages!$A$1,0,0,COUNTA([1]stages!$A:$A),MATCH(F$1,[1]stages!$2:$2,0)-MATCH($D$1,[1]stages!$2:$2,0)+1),MATCH(F$1,[1]stages!$2:$2,0)-MATCH($D$1,[1]stages!$2:$2,0)+1,FALSE)</f>
        <v>5-2. 波をさばく剣豪</v>
      </c>
      <c r="G118" s="32">
        <v>1</v>
      </c>
      <c r="H118" s="20" t="str">
        <f t="shared" si="82"/>
        <v>5_2-1</v>
      </c>
      <c r="I118" s="31">
        <v>25</v>
      </c>
      <c r="J118" s="26" t="e">
        <f ca="1">VLOOKUP($I118,OFFSET([2]enemies!$A$1,0,0,COUNTA([2]enemies!$A:$A),MATCH(J$1,[2]enemies!$2:$2,0)-MATCH($I$1,[2]enemies!$2:$2,0)+1),MATCH(J$1,[2]enemies!$2:$2,0)-MATCH($I$1,[2]enemies!$2:$2,0)+1,FALSE)</f>
        <v>#N/A</v>
      </c>
      <c r="K118" s="29" t="e">
        <f ca="1">VLOOKUP($I118,OFFSET([2]enemies!$A$1,0,0,COUNTA([2]enemies!$A:$A),MATCH(K$1,[2]enemies!$2:$2,0)-MATCH($I$1,[2]enemies!$2:$2,0)+1),MATCH(K$1,[2]enemies!$2:$2,0)-MATCH($I$1,[2]enemies!$2:$2,0)+1,FALSE)</f>
        <v>#N/A</v>
      </c>
      <c r="L118" s="29" t="e">
        <f ca="1">VLOOKUP($I118,OFFSET([3]characters!$A$1,0,0,COUNTA([3]characters!$A:$A),MATCH(L$1,[3]characters!$2:$2,0)-MATCH($I$1,[3]characters!$2:$2,0)+1),MATCH(L$1,[3]characters!$2:$2,0)-MATCH($I$1,[3]characters!$2:$2,0)+1,FALSE)</f>
        <v>#N/A</v>
      </c>
      <c r="M118" s="28" t="e">
        <f ca="1">VLOOKUP($I118,OFFSET([3]characters!$A$1,0,0,COUNTA([3]characters!$A:$A),MATCH(M$1,[3]characters!$2:$2,0)-MATCH($I$1,[3]characters!$2:$2,0)+2),MATCH(M$1,[3]characters!$2:$2,0)-MATCH($I$1,[3]characters!$2:$2,0)+2,FALSE)</f>
        <v>#N/A</v>
      </c>
      <c r="N118" s="5" t="e">
        <f ca="1">VLOOKUP($I118,OFFSET([2]enemies!$A$1,0,0,COUNTA([2]enemies!$A:$A),MATCH(N$1,[2]enemies!$2:$2,0)-MATCH($I$1,[2]enemies!$2:$2,0)+1),MATCH(N$1,[2]enemies!$2:$2,0)-MATCH($I$1,[2]enemies!$2:$2,0)+1,FALSE)</f>
        <v>#N/A</v>
      </c>
      <c r="O118" s="6">
        <v>7</v>
      </c>
      <c r="P118" s="43">
        <v>1</v>
      </c>
      <c r="Q118" s="43">
        <v>1</v>
      </c>
      <c r="R118" s="6">
        <v>0</v>
      </c>
      <c r="S118" s="5" t="str">
        <f ca="1">VLOOKUP($T118,OFFSET([4]enemy_skill_sets!$B$1,0,0,COUNTA([4]enemy_skill_sets!$B:$B),MATCH(J$1,[4]enemy_skill_sets!$1:$1,0)-MATCH($T$1,[4]enemy_skill_sets!$1:$1,0)+2),MATCH(J$1,[4]enemy_skill_sets!$1:$1,0)-MATCH($T$1,[4]enemy_skill_sets!$1:$1,0)+2,FALSE)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8" s="5">
        <v>0</v>
      </c>
      <c r="U118" s="7">
        <v>0</v>
      </c>
      <c r="V118" s="7">
        <v>100</v>
      </c>
      <c r="W118" s="7">
        <v>0</v>
      </c>
      <c r="X118" s="26" t="e">
        <f ca="1">VLOOKUP($I118,OFFSET([2]enemies!$A$1,0,0,COUNTA([2]enemies!$A:$A),MATCH(X$1,[2]enemies!$2:$2,0)-MATCH($I$1,[2]enemies!$2:$2,0)+1),MATCH(X$1,[2]enemies!$2:$2,0)-MATCH($I$1,[2]enemies!$2:$2,0)+1,FALSE)</f>
        <v>#N/A</v>
      </c>
      <c r="Y118" s="31">
        <v>25</v>
      </c>
      <c r="Z118" s="5" t="str">
        <f ca="1">IFERROR(VLOOKUP($Y118,OFFSET([3]characters!$A$1,0,0,COUNTA([3]characters!$A:$A),MATCH(Z$1,[3]characters!$2:$2,0)-MATCH("character_id",[3]characters!$2:$2,0)+1),MATCH(Z$1,[3]characters!$2:$2,0)-MATCH("character_id",[3]characters!$2:$2,0)+1,FALSE),"")</f>
        <v/>
      </c>
      <c r="AA118" s="5" t="str">
        <f ca="1">IFERROR(VLOOKUP($Y118,OFFSET([3]characters!$A$1,0,0,COUNTA([3]characters!$A:$A),MATCH(AA$1,[3]characters!$2:$2,0)-MATCH("character_id",[3]characters!$2:$2,0)+1),MATCH(AA$1,[3]characters!$2:$2,0)-MATCH("character_id",[3]characters!$2:$2,0)+1,FALSE),"")</f>
        <v/>
      </c>
      <c r="AB118" s="5" t="str">
        <f ca="1">IFERROR(VLOOKUP($Y118,OFFSET([3]characters!$A$1,0,0,COUNTA([3]characters!$A:$A),MATCH(AB$1,[3]characters!$2:$2,0)-MATCH("character_id",[3]characters!$2:$2,0)+1),MATCH(AB$1,[3]characters!$2:$2,0)-MATCH("character_id",[3]characters!$2:$2,0)+1,FALSE),"")</f>
        <v/>
      </c>
      <c r="AC118" s="8">
        <v>1</v>
      </c>
      <c r="AD118" s="8" t="str">
        <f t="shared" ca="1" si="46"/>
        <v/>
      </c>
      <c r="AE118" s="9">
        <v>30</v>
      </c>
      <c r="AF118" s="38">
        <v>0</v>
      </c>
      <c r="AG118" s="38">
        <v>0</v>
      </c>
      <c r="AH118" s="38">
        <v>0</v>
      </c>
      <c r="AI118" s="38">
        <v>0</v>
      </c>
      <c r="AJ118" s="38">
        <v>1</v>
      </c>
    </row>
    <row r="119" spans="1:36" ht="21" customHeight="1" x14ac:dyDescent="0.15">
      <c r="A119" s="21" t="e">
        <f t="shared" ref="A119" ca="1" si="87">B119&amp;"_"&amp;C119&amp;"-"&amp;G119&amp;"/"&amp;I119&amp;"&lt;lv"&amp;O119&amp;"&gt;s"&amp;X119</f>
        <v>#N/A</v>
      </c>
      <c r="B119" s="33">
        <v>5</v>
      </c>
      <c r="C119" s="32">
        <v>2</v>
      </c>
      <c r="D119" s="2" t="str">
        <f t="shared" ref="D119" si="88">B119&amp;"_"&amp;C119</f>
        <v>5_2</v>
      </c>
      <c r="E119" s="5" t="str">
        <f ca="1">VLOOKUP($B119,OFFSET([1]quests!$A$1,0,0,COUNTA([1]quests!$A:$A),MATCH(E$1,[1]quests!$1:$1,0)-MATCH($B$1,[1]quests!$1:$1,0)+1),MATCH(E$1,[1]quests!$1:$1,0)-MATCH($B$1,[1]quests!$1:$1,0)+1,FALSE)</f>
        <v>5．ウォーターランド</v>
      </c>
      <c r="F119" s="5" t="str">
        <f ca="1">VLOOKUP($D119,OFFSET([1]stages!$A$1,0,0,COUNTA([1]stages!$A:$A),MATCH(F$1,[1]stages!$2:$2,0)-MATCH($D$1,[1]stages!$2:$2,0)+1),MATCH(F$1,[1]stages!$2:$2,0)-MATCH($D$1,[1]stages!$2:$2,0)+1,FALSE)</f>
        <v>5-2. 波をさばく剣豪</v>
      </c>
      <c r="G119" s="32">
        <v>1</v>
      </c>
      <c r="H119" s="20" t="str">
        <f t="shared" ref="H119" si="89">B119&amp;"_"&amp;C119&amp;"-"&amp;G119</f>
        <v>5_2-1</v>
      </c>
      <c r="I119" s="31">
        <v>109</v>
      </c>
      <c r="J119" s="26" t="e">
        <f ca="1">VLOOKUP($I119,OFFSET([2]enemies!$A$1,0,0,COUNTA([2]enemies!$A:$A),MATCH(J$1,[2]enemies!$2:$2,0)-MATCH($I$1,[2]enemies!$2:$2,0)+1),MATCH(J$1,[2]enemies!$2:$2,0)-MATCH($I$1,[2]enemies!$2:$2,0)+1,FALSE)</f>
        <v>#N/A</v>
      </c>
      <c r="K119" s="29" t="e">
        <f ca="1">VLOOKUP($I119,OFFSET([2]enemies!$A$1,0,0,COUNTA([2]enemies!$A:$A),MATCH(K$1,[2]enemies!$2:$2,0)-MATCH($I$1,[2]enemies!$2:$2,0)+1),MATCH(K$1,[2]enemies!$2:$2,0)-MATCH($I$1,[2]enemies!$2:$2,0)+1,FALSE)</f>
        <v>#N/A</v>
      </c>
      <c r="L119" s="29" t="e">
        <f ca="1">VLOOKUP($I119,OFFSET([3]characters!$A$1,0,0,COUNTA([3]characters!$A:$A),MATCH(L$1,[3]characters!$2:$2,0)-MATCH($I$1,[3]characters!$2:$2,0)+1),MATCH(L$1,[3]characters!$2:$2,0)-MATCH($I$1,[3]characters!$2:$2,0)+1,FALSE)</f>
        <v>#N/A</v>
      </c>
      <c r="M119" s="28" t="e">
        <f ca="1">VLOOKUP($I119,OFFSET([3]characters!$A$1,0,0,COUNTA([3]characters!$A:$A),MATCH(M$1,[3]characters!$2:$2,0)-MATCH($I$1,[3]characters!$2:$2,0)+2),MATCH(M$1,[3]characters!$2:$2,0)-MATCH($I$1,[3]characters!$2:$2,0)+2,FALSE)</f>
        <v>#N/A</v>
      </c>
      <c r="N119" s="5" t="e">
        <f ca="1">VLOOKUP($I119,OFFSET([2]enemies!$A$1,0,0,COUNTA([2]enemies!$A:$A),MATCH(N$1,[2]enemies!$2:$2,0)-MATCH($I$1,[2]enemies!$2:$2,0)+1),MATCH(N$1,[2]enemies!$2:$2,0)-MATCH($I$1,[2]enemies!$2:$2,0)+1,FALSE)</f>
        <v>#N/A</v>
      </c>
      <c r="O119" s="6">
        <v>7</v>
      </c>
      <c r="P119" s="43">
        <v>1</v>
      </c>
      <c r="Q119" s="43">
        <v>1</v>
      </c>
      <c r="R119" s="6">
        <v>0</v>
      </c>
      <c r="S119" s="5" t="str">
        <f ca="1">VLOOKUP($T119,OFFSET([4]enemy_skill_sets!$B$1,0,0,COUNTA([4]enemy_skill_sets!$B:$B),MATCH(J$1,[4]enemy_skill_sets!$1:$1,0)-MATCH($T$1,[4]enemy_skill_sets!$1:$1,0)+2),MATCH(J$1,[4]enemy_skill_sets!$1:$1,0)-MATCH($T$1,[4]enemy_skill_sets!$1:$1,0)+2,FALSE)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9" s="5">
        <v>0</v>
      </c>
      <c r="U119" s="7">
        <v>0</v>
      </c>
      <c r="V119" s="7">
        <v>50</v>
      </c>
      <c r="W119" s="7">
        <v>0</v>
      </c>
      <c r="X119" s="26" t="e">
        <f ca="1">VLOOKUP($I119,OFFSET([2]enemies!$A$1,0,0,COUNTA([2]enemies!$A:$A),MATCH(X$1,[2]enemies!$2:$2,0)-MATCH($I$1,[2]enemies!$2:$2,0)+1),MATCH(X$1,[2]enemies!$2:$2,0)-MATCH($I$1,[2]enemies!$2:$2,0)+1,FALSE)</f>
        <v>#N/A</v>
      </c>
      <c r="Y119" s="31">
        <v>109</v>
      </c>
      <c r="Z119" s="5" t="str">
        <f ca="1">IFERROR(VLOOKUP($Y119,OFFSET([3]characters!$A$1,0,0,COUNTA([3]characters!$A:$A),MATCH(Z$1,[3]characters!$2:$2,0)-MATCH("character_id",[3]characters!$2:$2,0)+1),MATCH(Z$1,[3]characters!$2:$2,0)-MATCH("character_id",[3]characters!$2:$2,0)+1,FALSE),"")</f>
        <v/>
      </c>
      <c r="AA119" s="5" t="str">
        <f ca="1">IFERROR(VLOOKUP($Y119,OFFSET([3]characters!$A$1,0,0,COUNTA([3]characters!$A:$A),MATCH(AA$1,[3]characters!$2:$2,0)-MATCH("character_id",[3]characters!$2:$2,0)+1),MATCH(AA$1,[3]characters!$2:$2,0)-MATCH("character_id",[3]characters!$2:$2,0)+1,FALSE),"")</f>
        <v/>
      </c>
      <c r="AB119" s="5" t="str">
        <f ca="1">IFERROR(VLOOKUP($Y119,OFFSET([3]characters!$A$1,0,0,COUNTA([3]characters!$A:$A),MATCH(AB$1,[3]characters!$2:$2,0)-MATCH("character_id",[3]characters!$2:$2,0)+1),MATCH(AB$1,[3]characters!$2:$2,0)-MATCH("character_id",[3]characters!$2:$2,0)+1,FALSE),"")</f>
        <v/>
      </c>
      <c r="AC119" s="8">
        <v>1</v>
      </c>
      <c r="AD119" s="8" t="str">
        <f t="shared" ref="AD119" ca="1" si="90">AA119</f>
        <v/>
      </c>
      <c r="AE119" s="9">
        <v>20</v>
      </c>
      <c r="AF119" s="38">
        <v>0</v>
      </c>
      <c r="AG119" s="38">
        <v>0</v>
      </c>
      <c r="AH119" s="38">
        <v>0</v>
      </c>
      <c r="AI119" s="38">
        <v>0</v>
      </c>
      <c r="AJ119" s="38">
        <v>1</v>
      </c>
    </row>
    <row r="120" spans="1:36" ht="21" customHeight="1" x14ac:dyDescent="0.15">
      <c r="A120" s="21" t="e">
        <f t="shared" ca="1" si="80"/>
        <v>#N/A</v>
      </c>
      <c r="B120" s="33">
        <v>5</v>
      </c>
      <c r="C120" s="32">
        <v>2</v>
      </c>
      <c r="D120" s="2" t="str">
        <f t="shared" si="81"/>
        <v>5_2</v>
      </c>
      <c r="E120" s="5" t="str">
        <f ca="1">VLOOKUP($B120,OFFSET([1]quests!$A$1,0,0,COUNTA([1]quests!$A:$A),MATCH(E$1,[1]quests!$1:$1,0)-MATCH($B$1,[1]quests!$1:$1,0)+1),MATCH(E$1,[1]quests!$1:$1,0)-MATCH($B$1,[1]quests!$1:$1,0)+1,FALSE)</f>
        <v>5．ウォーターランド</v>
      </c>
      <c r="F120" s="5" t="str">
        <f ca="1">VLOOKUP($D120,OFFSET([1]stages!$A$1,0,0,COUNTA([1]stages!$A:$A),MATCH(F$1,[1]stages!$2:$2,0)-MATCH($D$1,[1]stages!$2:$2,0)+1),MATCH(F$1,[1]stages!$2:$2,0)-MATCH($D$1,[1]stages!$2:$2,0)+1,FALSE)</f>
        <v>5-2. 波をさばく剣豪</v>
      </c>
      <c r="G120" s="32">
        <v>2</v>
      </c>
      <c r="H120" s="20" t="str">
        <f t="shared" si="82"/>
        <v>5_2-2</v>
      </c>
      <c r="I120" s="31">
        <v>5</v>
      </c>
      <c r="J120" s="26" t="e">
        <f ca="1">VLOOKUP($I120,OFFSET([2]enemies!$A$1,0,0,COUNTA([2]enemies!$A:$A),MATCH(J$1,[2]enemies!$2:$2,0)-MATCH($I$1,[2]enemies!$2:$2,0)+1),MATCH(J$1,[2]enemies!$2:$2,0)-MATCH($I$1,[2]enemies!$2:$2,0)+1,FALSE)</f>
        <v>#N/A</v>
      </c>
      <c r="K120" s="29" t="e">
        <f ca="1">VLOOKUP($I120,OFFSET([2]enemies!$A$1,0,0,COUNTA([2]enemies!$A:$A),MATCH(K$1,[2]enemies!$2:$2,0)-MATCH($I$1,[2]enemies!$2:$2,0)+1),MATCH(K$1,[2]enemies!$2:$2,0)-MATCH($I$1,[2]enemies!$2:$2,0)+1,FALSE)</f>
        <v>#N/A</v>
      </c>
      <c r="L120" s="29" t="e">
        <f ca="1">VLOOKUP($I120,OFFSET([3]characters!$A$1,0,0,COUNTA([3]characters!$A:$A),MATCH(L$1,[3]characters!$2:$2,0)-MATCH($I$1,[3]characters!$2:$2,0)+1),MATCH(L$1,[3]characters!$2:$2,0)-MATCH($I$1,[3]characters!$2:$2,0)+1,FALSE)</f>
        <v>#N/A</v>
      </c>
      <c r="M120" s="28" t="e">
        <f ca="1">VLOOKUP($I120,OFFSET([3]characters!$A$1,0,0,COUNTA([3]characters!$A:$A),MATCH(M$1,[3]characters!$2:$2,0)-MATCH($I$1,[3]characters!$2:$2,0)+2),MATCH(M$1,[3]characters!$2:$2,0)-MATCH($I$1,[3]characters!$2:$2,0)+2,FALSE)</f>
        <v>#N/A</v>
      </c>
      <c r="N120" s="5" t="e">
        <f ca="1">VLOOKUP($I120,OFFSET([2]enemies!$A$1,0,0,COUNTA([2]enemies!$A:$A),MATCH(N$1,[2]enemies!$2:$2,0)-MATCH($I$1,[2]enemies!$2:$2,0)+1),MATCH(N$1,[2]enemies!$2:$2,0)-MATCH($I$1,[2]enemies!$2:$2,0)+1,FALSE)</f>
        <v>#N/A</v>
      </c>
      <c r="O120" s="6">
        <v>7</v>
      </c>
      <c r="P120" s="43">
        <v>1</v>
      </c>
      <c r="Q120" s="43">
        <v>1</v>
      </c>
      <c r="R120" s="6">
        <v>0</v>
      </c>
      <c r="S120" s="5" t="str">
        <f ca="1">VLOOKUP($T120,OFFSET([4]enemy_skill_sets!$B$1,0,0,COUNTA([4]enemy_skill_sets!$B:$B),MATCH(J$1,[4]enemy_skill_sets!$1:$1,0)-MATCH($T$1,[4]enemy_skill_sets!$1:$1,0)+2),MATCH(J$1,[4]enemy_skill_sets!$1:$1,0)-MATCH($T$1,[4]enemy_skill_sets!$1:$1,0)+2,FALSE)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0" s="5">
        <v>0</v>
      </c>
      <c r="U120" s="7">
        <v>0</v>
      </c>
      <c r="V120" s="7">
        <v>100</v>
      </c>
      <c r="W120" s="7">
        <v>0</v>
      </c>
      <c r="X120" s="26" t="e">
        <f ca="1">VLOOKUP($I120,OFFSET([2]enemies!$A$1,0,0,COUNTA([2]enemies!$A:$A),MATCH(X$1,[2]enemies!$2:$2,0)-MATCH($I$1,[2]enemies!$2:$2,0)+1),MATCH(X$1,[2]enemies!$2:$2,0)-MATCH($I$1,[2]enemies!$2:$2,0)+1,FALSE)</f>
        <v>#N/A</v>
      </c>
      <c r="Y120" s="31">
        <v>5</v>
      </c>
      <c r="Z120" s="5" t="str">
        <f ca="1">IFERROR(VLOOKUP($Y120,OFFSET([3]characters!$A$1,0,0,COUNTA([3]characters!$A:$A),MATCH(Z$1,[3]characters!$2:$2,0)-MATCH("character_id",[3]characters!$2:$2,0)+1),MATCH(Z$1,[3]characters!$2:$2,0)-MATCH("character_id",[3]characters!$2:$2,0)+1,FALSE),"")</f>
        <v/>
      </c>
      <c r="AA120" s="5" t="str">
        <f ca="1">IFERROR(VLOOKUP($Y120,OFFSET([3]characters!$A$1,0,0,COUNTA([3]characters!$A:$A),MATCH(AA$1,[3]characters!$2:$2,0)-MATCH("character_id",[3]characters!$2:$2,0)+1),MATCH(AA$1,[3]characters!$2:$2,0)-MATCH("character_id",[3]characters!$2:$2,0)+1,FALSE),"")</f>
        <v/>
      </c>
      <c r="AB120" s="5" t="str">
        <f ca="1">IFERROR(VLOOKUP($Y120,OFFSET([3]characters!$A$1,0,0,COUNTA([3]characters!$A:$A),MATCH(AB$1,[3]characters!$2:$2,0)-MATCH("character_id",[3]characters!$2:$2,0)+1),MATCH(AB$1,[3]characters!$2:$2,0)-MATCH("character_id",[3]characters!$2:$2,0)+1,FALSE),"")</f>
        <v/>
      </c>
      <c r="AC120" s="8">
        <v>2</v>
      </c>
      <c r="AD120" s="8" t="str">
        <f t="shared" ca="1" si="46"/>
        <v/>
      </c>
      <c r="AE120" s="9">
        <v>30</v>
      </c>
      <c r="AF120" s="38">
        <v>0</v>
      </c>
      <c r="AG120" s="38">
        <v>0</v>
      </c>
      <c r="AH120" s="38">
        <v>0</v>
      </c>
      <c r="AI120" s="38">
        <v>0</v>
      </c>
      <c r="AJ120" s="38">
        <v>1</v>
      </c>
    </row>
    <row r="121" spans="1:36" ht="21" customHeight="1" x14ac:dyDescent="0.15">
      <c r="A121" s="21" t="e">
        <f t="shared" ca="1" si="80"/>
        <v>#N/A</v>
      </c>
      <c r="B121" s="33">
        <v>5</v>
      </c>
      <c r="C121" s="32">
        <v>2</v>
      </c>
      <c r="D121" s="2" t="str">
        <f t="shared" si="81"/>
        <v>5_2</v>
      </c>
      <c r="E121" s="5" t="str">
        <f ca="1">VLOOKUP($B121,OFFSET([1]quests!$A$1,0,0,COUNTA([1]quests!$A:$A),MATCH(E$1,[1]quests!$1:$1,0)-MATCH($B$1,[1]quests!$1:$1,0)+1),MATCH(E$1,[1]quests!$1:$1,0)-MATCH($B$1,[1]quests!$1:$1,0)+1,FALSE)</f>
        <v>5．ウォーターランド</v>
      </c>
      <c r="F121" s="5" t="str">
        <f ca="1">VLOOKUP($D121,OFFSET([1]stages!$A$1,0,0,COUNTA([1]stages!$A:$A),MATCH(F$1,[1]stages!$2:$2,0)-MATCH($D$1,[1]stages!$2:$2,0)+1),MATCH(F$1,[1]stages!$2:$2,0)-MATCH($D$1,[1]stages!$2:$2,0)+1,FALSE)</f>
        <v>5-2. 波をさばく剣豪</v>
      </c>
      <c r="G121" s="32">
        <v>2</v>
      </c>
      <c r="H121" s="20" t="str">
        <f t="shared" si="82"/>
        <v>5_2-2</v>
      </c>
      <c r="I121" s="31">
        <v>17</v>
      </c>
      <c r="J121" s="26" t="e">
        <f ca="1">VLOOKUP($I121,OFFSET([2]enemies!$A$1,0,0,COUNTA([2]enemies!$A:$A),MATCH(J$1,[2]enemies!$2:$2,0)-MATCH($I$1,[2]enemies!$2:$2,0)+1),MATCH(J$1,[2]enemies!$2:$2,0)-MATCH($I$1,[2]enemies!$2:$2,0)+1,FALSE)</f>
        <v>#N/A</v>
      </c>
      <c r="K121" s="29" t="e">
        <f ca="1">VLOOKUP($I121,OFFSET([2]enemies!$A$1,0,0,COUNTA([2]enemies!$A:$A),MATCH(K$1,[2]enemies!$2:$2,0)-MATCH($I$1,[2]enemies!$2:$2,0)+1),MATCH(K$1,[2]enemies!$2:$2,0)-MATCH($I$1,[2]enemies!$2:$2,0)+1,FALSE)</f>
        <v>#N/A</v>
      </c>
      <c r="L121" s="29" t="e">
        <f ca="1">VLOOKUP($I121,OFFSET([3]characters!$A$1,0,0,COUNTA([3]characters!$A:$A),MATCH(L$1,[3]characters!$2:$2,0)-MATCH($I$1,[3]characters!$2:$2,0)+1),MATCH(L$1,[3]characters!$2:$2,0)-MATCH($I$1,[3]characters!$2:$2,0)+1,FALSE)</f>
        <v>#N/A</v>
      </c>
      <c r="M121" s="28" t="e">
        <f ca="1">VLOOKUP($I121,OFFSET([3]characters!$A$1,0,0,COUNTA([3]characters!$A:$A),MATCH(M$1,[3]characters!$2:$2,0)-MATCH($I$1,[3]characters!$2:$2,0)+2),MATCH(M$1,[3]characters!$2:$2,0)-MATCH($I$1,[3]characters!$2:$2,0)+2,FALSE)</f>
        <v>#N/A</v>
      </c>
      <c r="N121" s="5" t="e">
        <f ca="1">VLOOKUP($I121,OFFSET([2]enemies!$A$1,0,0,COUNTA([2]enemies!$A:$A),MATCH(N$1,[2]enemies!$2:$2,0)-MATCH($I$1,[2]enemies!$2:$2,0)+1),MATCH(N$1,[2]enemies!$2:$2,0)-MATCH($I$1,[2]enemies!$2:$2,0)+1,FALSE)</f>
        <v>#N/A</v>
      </c>
      <c r="O121" s="6">
        <v>7</v>
      </c>
      <c r="P121" s="43">
        <v>1</v>
      </c>
      <c r="Q121" s="43">
        <v>1</v>
      </c>
      <c r="R121" s="6">
        <v>0</v>
      </c>
      <c r="S121" s="5" t="str">
        <f ca="1">VLOOKUP($T121,OFFSET([4]enemy_skill_sets!$B$1,0,0,COUNTA([4]enemy_skill_sets!$B:$B),MATCH(J$1,[4]enemy_skill_sets!$1:$1,0)-MATCH($T$1,[4]enemy_skill_sets!$1:$1,0)+2),MATCH(J$1,[4]enemy_skill_sets!$1:$1,0)-MATCH($T$1,[4]enemy_skill_sets!$1:$1,0)+2,FALSE)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1" s="5">
        <v>0</v>
      </c>
      <c r="U121" s="7">
        <v>0</v>
      </c>
      <c r="V121" s="7">
        <v>100</v>
      </c>
      <c r="W121" s="7">
        <v>0</v>
      </c>
      <c r="X121" s="26" t="e">
        <f ca="1">VLOOKUP($I121,OFFSET([2]enemies!$A$1,0,0,COUNTA([2]enemies!$A:$A),MATCH(X$1,[2]enemies!$2:$2,0)-MATCH($I$1,[2]enemies!$2:$2,0)+1),MATCH(X$1,[2]enemies!$2:$2,0)-MATCH($I$1,[2]enemies!$2:$2,0)+1,FALSE)</f>
        <v>#N/A</v>
      </c>
      <c r="Y121" s="31">
        <v>17</v>
      </c>
      <c r="Z121" s="5" t="str">
        <f ca="1">IFERROR(VLOOKUP($Y121,OFFSET([3]characters!$A$1,0,0,COUNTA([3]characters!$A:$A),MATCH(Z$1,[3]characters!$2:$2,0)-MATCH("character_id",[3]characters!$2:$2,0)+1),MATCH(Z$1,[3]characters!$2:$2,0)-MATCH("character_id",[3]characters!$2:$2,0)+1,FALSE),"")</f>
        <v/>
      </c>
      <c r="AA121" s="5" t="str">
        <f ca="1">IFERROR(VLOOKUP($Y121,OFFSET([3]characters!$A$1,0,0,COUNTA([3]characters!$A:$A),MATCH(AA$1,[3]characters!$2:$2,0)-MATCH("character_id",[3]characters!$2:$2,0)+1),MATCH(AA$1,[3]characters!$2:$2,0)-MATCH("character_id",[3]characters!$2:$2,0)+1,FALSE),"")</f>
        <v/>
      </c>
      <c r="AB121" s="5" t="str">
        <f ca="1">IFERROR(VLOOKUP($Y121,OFFSET([3]characters!$A$1,0,0,COUNTA([3]characters!$A:$A),MATCH(AB$1,[3]characters!$2:$2,0)-MATCH("character_id",[3]characters!$2:$2,0)+1),MATCH(AB$1,[3]characters!$2:$2,0)-MATCH("character_id",[3]characters!$2:$2,0)+1,FALSE),"")</f>
        <v/>
      </c>
      <c r="AC121" s="8">
        <v>1</v>
      </c>
      <c r="AD121" s="8" t="str">
        <f t="shared" ca="1" si="46"/>
        <v/>
      </c>
      <c r="AE121" s="9">
        <v>30</v>
      </c>
      <c r="AF121" s="38">
        <v>0</v>
      </c>
      <c r="AG121" s="38">
        <v>0</v>
      </c>
      <c r="AH121" s="38">
        <v>0</v>
      </c>
      <c r="AI121" s="38">
        <v>0</v>
      </c>
      <c r="AJ121" s="38">
        <v>1</v>
      </c>
    </row>
    <row r="122" spans="1:36" ht="21" customHeight="1" x14ac:dyDescent="0.15">
      <c r="A122" s="21" t="e">
        <f t="shared" ca="1" si="80"/>
        <v>#N/A</v>
      </c>
      <c r="B122" s="33">
        <v>5</v>
      </c>
      <c r="C122" s="32">
        <v>2</v>
      </c>
      <c r="D122" s="2" t="str">
        <f t="shared" si="81"/>
        <v>5_2</v>
      </c>
      <c r="E122" s="5" t="str">
        <f ca="1">VLOOKUP($B122,OFFSET([1]quests!$A$1,0,0,COUNTA([1]quests!$A:$A),MATCH(E$1,[1]quests!$1:$1,0)-MATCH($B$1,[1]quests!$1:$1,0)+1),MATCH(E$1,[1]quests!$1:$1,0)-MATCH($B$1,[1]quests!$1:$1,0)+1,FALSE)</f>
        <v>5．ウォーターランド</v>
      </c>
      <c r="F122" s="5" t="str">
        <f ca="1">VLOOKUP($D122,OFFSET([1]stages!$A$1,0,0,COUNTA([1]stages!$A:$A),MATCH(F$1,[1]stages!$2:$2,0)-MATCH($D$1,[1]stages!$2:$2,0)+1),MATCH(F$1,[1]stages!$2:$2,0)-MATCH($D$1,[1]stages!$2:$2,0)+1,FALSE)</f>
        <v>5-2. 波をさばく剣豪</v>
      </c>
      <c r="G122" s="32">
        <v>2</v>
      </c>
      <c r="H122" s="20" t="str">
        <f t="shared" si="82"/>
        <v>5_2-2</v>
      </c>
      <c r="I122" s="31">
        <v>25</v>
      </c>
      <c r="J122" s="26" t="e">
        <f ca="1">VLOOKUP($I122,OFFSET([2]enemies!$A$1,0,0,COUNTA([2]enemies!$A:$A),MATCH(J$1,[2]enemies!$2:$2,0)-MATCH($I$1,[2]enemies!$2:$2,0)+1),MATCH(J$1,[2]enemies!$2:$2,0)-MATCH($I$1,[2]enemies!$2:$2,0)+1,FALSE)</f>
        <v>#N/A</v>
      </c>
      <c r="K122" s="29" t="e">
        <f ca="1">VLOOKUP($I122,OFFSET([2]enemies!$A$1,0,0,COUNTA([2]enemies!$A:$A),MATCH(K$1,[2]enemies!$2:$2,0)-MATCH($I$1,[2]enemies!$2:$2,0)+1),MATCH(K$1,[2]enemies!$2:$2,0)-MATCH($I$1,[2]enemies!$2:$2,0)+1,FALSE)</f>
        <v>#N/A</v>
      </c>
      <c r="L122" s="29" t="e">
        <f ca="1">VLOOKUP($I122,OFFSET([3]characters!$A$1,0,0,COUNTA([3]characters!$A:$A),MATCH(L$1,[3]characters!$2:$2,0)-MATCH($I$1,[3]characters!$2:$2,0)+1),MATCH(L$1,[3]characters!$2:$2,0)-MATCH($I$1,[3]characters!$2:$2,0)+1,FALSE)</f>
        <v>#N/A</v>
      </c>
      <c r="M122" s="28" t="e">
        <f ca="1">VLOOKUP($I122,OFFSET([3]characters!$A$1,0,0,COUNTA([3]characters!$A:$A),MATCH(M$1,[3]characters!$2:$2,0)-MATCH($I$1,[3]characters!$2:$2,0)+2),MATCH(M$1,[3]characters!$2:$2,0)-MATCH($I$1,[3]characters!$2:$2,0)+2,FALSE)</f>
        <v>#N/A</v>
      </c>
      <c r="N122" s="5" t="e">
        <f ca="1">VLOOKUP($I122,OFFSET([2]enemies!$A$1,0,0,COUNTA([2]enemies!$A:$A),MATCH(N$1,[2]enemies!$2:$2,0)-MATCH($I$1,[2]enemies!$2:$2,0)+1),MATCH(N$1,[2]enemies!$2:$2,0)-MATCH($I$1,[2]enemies!$2:$2,0)+1,FALSE)</f>
        <v>#N/A</v>
      </c>
      <c r="O122" s="6">
        <v>7</v>
      </c>
      <c r="P122" s="43">
        <v>1</v>
      </c>
      <c r="Q122" s="43">
        <v>1</v>
      </c>
      <c r="R122" s="6">
        <v>0</v>
      </c>
      <c r="S122" s="5" t="str">
        <f ca="1">VLOOKUP($T122,OFFSET([4]enemy_skill_sets!$B$1,0,0,COUNTA([4]enemy_skill_sets!$B:$B),MATCH(J$1,[4]enemy_skill_sets!$1:$1,0)-MATCH($T$1,[4]enemy_skill_sets!$1:$1,0)+2),MATCH(J$1,[4]enemy_skill_sets!$1:$1,0)-MATCH($T$1,[4]enemy_skill_sets!$1:$1,0)+2,FALSE)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2" s="5">
        <v>0</v>
      </c>
      <c r="U122" s="7">
        <v>0</v>
      </c>
      <c r="V122" s="7">
        <v>100</v>
      </c>
      <c r="W122" s="7">
        <v>0</v>
      </c>
      <c r="X122" s="26" t="e">
        <f ca="1">VLOOKUP($I122,OFFSET([2]enemies!$A$1,0,0,COUNTA([2]enemies!$A:$A),MATCH(X$1,[2]enemies!$2:$2,0)-MATCH($I$1,[2]enemies!$2:$2,0)+1),MATCH(X$1,[2]enemies!$2:$2,0)-MATCH($I$1,[2]enemies!$2:$2,0)+1,FALSE)</f>
        <v>#N/A</v>
      </c>
      <c r="Y122" s="31">
        <v>25</v>
      </c>
      <c r="Z122" s="5" t="str">
        <f ca="1">IFERROR(VLOOKUP($Y122,OFFSET([3]characters!$A$1,0,0,COUNTA([3]characters!$A:$A),MATCH(Z$1,[3]characters!$2:$2,0)-MATCH("character_id",[3]characters!$2:$2,0)+1),MATCH(Z$1,[3]characters!$2:$2,0)-MATCH("character_id",[3]characters!$2:$2,0)+1,FALSE),"")</f>
        <v/>
      </c>
      <c r="AA122" s="5" t="str">
        <f ca="1">IFERROR(VLOOKUP($Y122,OFFSET([3]characters!$A$1,0,0,COUNTA([3]characters!$A:$A),MATCH(AA$1,[3]characters!$2:$2,0)-MATCH("character_id",[3]characters!$2:$2,0)+1),MATCH(AA$1,[3]characters!$2:$2,0)-MATCH("character_id",[3]characters!$2:$2,0)+1,FALSE),"")</f>
        <v/>
      </c>
      <c r="AB122" s="5" t="str">
        <f ca="1">IFERROR(VLOOKUP($Y122,OFFSET([3]characters!$A$1,0,0,COUNTA([3]characters!$A:$A),MATCH(AB$1,[3]characters!$2:$2,0)-MATCH("character_id",[3]characters!$2:$2,0)+1),MATCH(AB$1,[3]characters!$2:$2,0)-MATCH("character_id",[3]characters!$2:$2,0)+1,FALSE),"")</f>
        <v/>
      </c>
      <c r="AC122" s="8">
        <v>1</v>
      </c>
      <c r="AD122" s="8" t="str">
        <f t="shared" ca="1" si="46"/>
        <v/>
      </c>
      <c r="AE122" s="9">
        <v>0</v>
      </c>
      <c r="AF122" s="38">
        <v>0</v>
      </c>
      <c r="AG122" s="38">
        <v>0</v>
      </c>
      <c r="AH122" s="38">
        <v>0</v>
      </c>
      <c r="AI122" s="38">
        <v>0</v>
      </c>
      <c r="AJ122" s="38">
        <v>1</v>
      </c>
    </row>
    <row r="123" spans="1:36" ht="21" customHeight="1" x14ac:dyDescent="0.15">
      <c r="A123" s="21" t="e">
        <f t="shared" ca="1" si="80"/>
        <v>#N/A</v>
      </c>
      <c r="B123" s="33">
        <v>5</v>
      </c>
      <c r="C123" s="32">
        <v>2</v>
      </c>
      <c r="D123" s="2" t="str">
        <f t="shared" si="81"/>
        <v>5_2</v>
      </c>
      <c r="E123" s="5" t="str">
        <f ca="1">VLOOKUP($B123,OFFSET([1]quests!$A$1,0,0,COUNTA([1]quests!$A:$A),MATCH(E$1,[1]quests!$1:$1,0)-MATCH($B$1,[1]quests!$1:$1,0)+1),MATCH(E$1,[1]quests!$1:$1,0)-MATCH($B$1,[1]quests!$1:$1,0)+1,FALSE)</f>
        <v>5．ウォーターランド</v>
      </c>
      <c r="F123" s="5" t="str">
        <f ca="1">VLOOKUP($D123,OFFSET([1]stages!$A$1,0,0,COUNTA([1]stages!$A:$A),MATCH(F$1,[1]stages!$2:$2,0)-MATCH($D$1,[1]stages!$2:$2,0)+1),MATCH(F$1,[1]stages!$2:$2,0)-MATCH($D$1,[1]stages!$2:$2,0)+1,FALSE)</f>
        <v>5-2. 波をさばく剣豪</v>
      </c>
      <c r="G123" s="32">
        <v>2</v>
      </c>
      <c r="H123" s="20" t="str">
        <f t="shared" si="82"/>
        <v>5_2-2</v>
      </c>
      <c r="I123" s="31">
        <v>109</v>
      </c>
      <c r="J123" s="26" t="e">
        <f ca="1">VLOOKUP($I123,OFFSET([2]enemies!$A$1,0,0,COUNTA([2]enemies!$A:$A),MATCH(J$1,[2]enemies!$2:$2,0)-MATCH($I$1,[2]enemies!$2:$2,0)+1),MATCH(J$1,[2]enemies!$2:$2,0)-MATCH($I$1,[2]enemies!$2:$2,0)+1,FALSE)</f>
        <v>#N/A</v>
      </c>
      <c r="K123" s="29" t="e">
        <f ca="1">VLOOKUP($I123,OFFSET([2]enemies!$A$1,0,0,COUNTA([2]enemies!$A:$A),MATCH(K$1,[2]enemies!$2:$2,0)-MATCH($I$1,[2]enemies!$2:$2,0)+1),MATCH(K$1,[2]enemies!$2:$2,0)-MATCH($I$1,[2]enemies!$2:$2,0)+1,FALSE)</f>
        <v>#N/A</v>
      </c>
      <c r="L123" s="29" t="e">
        <f ca="1">VLOOKUP($I123,OFFSET([3]characters!$A$1,0,0,COUNTA([3]characters!$A:$A),MATCH(L$1,[3]characters!$2:$2,0)-MATCH($I$1,[3]characters!$2:$2,0)+1),MATCH(L$1,[3]characters!$2:$2,0)-MATCH($I$1,[3]characters!$2:$2,0)+1,FALSE)</f>
        <v>#N/A</v>
      </c>
      <c r="M123" s="28" t="e">
        <f ca="1">VLOOKUP($I123,OFFSET([3]characters!$A$1,0,0,COUNTA([3]characters!$A:$A),MATCH(M$1,[3]characters!$2:$2,0)-MATCH($I$1,[3]characters!$2:$2,0)+2),MATCH(M$1,[3]characters!$2:$2,0)-MATCH($I$1,[3]characters!$2:$2,0)+2,FALSE)</f>
        <v>#N/A</v>
      </c>
      <c r="N123" s="5" t="e">
        <f ca="1">VLOOKUP($I123,OFFSET([2]enemies!$A$1,0,0,COUNTA([2]enemies!$A:$A),MATCH(N$1,[2]enemies!$2:$2,0)-MATCH($I$1,[2]enemies!$2:$2,0)+1),MATCH(N$1,[2]enemies!$2:$2,0)-MATCH($I$1,[2]enemies!$2:$2,0)+1,FALSE)</f>
        <v>#N/A</v>
      </c>
      <c r="O123" s="6">
        <v>7</v>
      </c>
      <c r="P123" s="43">
        <v>1</v>
      </c>
      <c r="Q123" s="43">
        <v>1</v>
      </c>
      <c r="R123" s="6">
        <v>0</v>
      </c>
      <c r="S123" s="5" t="str">
        <f ca="1">VLOOKUP($T123,OFFSET([4]enemy_skill_sets!$B$1,0,0,COUNTA([4]enemy_skill_sets!$B:$B),MATCH(J$1,[4]enemy_skill_sets!$1:$1,0)-MATCH($T$1,[4]enemy_skill_sets!$1:$1,0)+2),MATCH(J$1,[4]enemy_skill_sets!$1:$1,0)-MATCH($T$1,[4]enemy_skill_sets!$1:$1,0)+2,FALSE)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3" s="5">
        <v>0</v>
      </c>
      <c r="U123" s="7">
        <v>0</v>
      </c>
      <c r="V123" s="7">
        <v>50</v>
      </c>
      <c r="W123" s="7">
        <v>0</v>
      </c>
      <c r="X123" s="26" t="e">
        <f ca="1">VLOOKUP($I123,OFFSET([2]enemies!$A$1,0,0,COUNTA([2]enemies!$A:$A),MATCH(X$1,[2]enemies!$2:$2,0)-MATCH($I$1,[2]enemies!$2:$2,0)+1),MATCH(X$1,[2]enemies!$2:$2,0)-MATCH($I$1,[2]enemies!$2:$2,0)+1,FALSE)</f>
        <v>#N/A</v>
      </c>
      <c r="Y123" s="31">
        <v>109</v>
      </c>
      <c r="Z123" s="5" t="str">
        <f ca="1">IFERROR(VLOOKUP($Y123,OFFSET([3]characters!$A$1,0,0,COUNTA([3]characters!$A:$A),MATCH(Z$1,[3]characters!$2:$2,0)-MATCH("character_id",[3]characters!$2:$2,0)+1),MATCH(Z$1,[3]characters!$2:$2,0)-MATCH("character_id",[3]characters!$2:$2,0)+1,FALSE),"")</f>
        <v/>
      </c>
      <c r="AA123" s="5" t="str">
        <f ca="1">IFERROR(VLOOKUP($Y123,OFFSET([3]characters!$A$1,0,0,COUNTA([3]characters!$A:$A),MATCH(AA$1,[3]characters!$2:$2,0)-MATCH("character_id",[3]characters!$2:$2,0)+1),MATCH(AA$1,[3]characters!$2:$2,0)-MATCH("character_id",[3]characters!$2:$2,0)+1,FALSE),"")</f>
        <v/>
      </c>
      <c r="AB123" s="5" t="str">
        <f ca="1">IFERROR(VLOOKUP($Y123,OFFSET([3]characters!$A$1,0,0,COUNTA([3]characters!$A:$A),MATCH(AB$1,[3]characters!$2:$2,0)-MATCH("character_id",[3]characters!$2:$2,0)+1),MATCH(AB$1,[3]characters!$2:$2,0)-MATCH("character_id",[3]characters!$2:$2,0)+1,FALSE),"")</f>
        <v/>
      </c>
      <c r="AC123" s="8">
        <v>1</v>
      </c>
      <c r="AD123" s="8" t="str">
        <f t="shared" ca="1" si="46"/>
        <v/>
      </c>
      <c r="AE123" s="9">
        <v>20</v>
      </c>
      <c r="AF123" s="38">
        <v>0</v>
      </c>
      <c r="AG123" s="38">
        <v>0</v>
      </c>
      <c r="AH123" s="38">
        <v>0</v>
      </c>
      <c r="AI123" s="38">
        <v>0</v>
      </c>
      <c r="AJ123" s="38">
        <v>1</v>
      </c>
    </row>
    <row r="124" spans="1:36" ht="21" customHeight="1" x14ac:dyDescent="0.15">
      <c r="A124" s="21" t="e">
        <f t="shared" ref="A124:A127" ca="1" si="91">B124&amp;"_"&amp;C124&amp;"-"&amp;G124&amp;"/"&amp;I124&amp;"&lt;lv"&amp;O124&amp;"&gt;s"&amp;X124</f>
        <v>#N/A</v>
      </c>
      <c r="B124" s="33">
        <v>5</v>
      </c>
      <c r="C124" s="32">
        <v>2</v>
      </c>
      <c r="D124" s="2" t="str">
        <f t="shared" ref="D124:D127" si="92">B124&amp;"_"&amp;C124</f>
        <v>5_2</v>
      </c>
      <c r="E124" s="5" t="str">
        <f ca="1">VLOOKUP($B124,OFFSET([1]quests!$A$1,0,0,COUNTA([1]quests!$A:$A),MATCH(E$1,[1]quests!$1:$1,0)-MATCH($B$1,[1]quests!$1:$1,0)+1),MATCH(E$1,[1]quests!$1:$1,0)-MATCH($B$1,[1]quests!$1:$1,0)+1,FALSE)</f>
        <v>5．ウォーターランド</v>
      </c>
      <c r="F124" s="5" t="str">
        <f ca="1">VLOOKUP($D124,OFFSET([1]stages!$A$1,0,0,COUNTA([1]stages!$A:$A),MATCH(F$1,[1]stages!$2:$2,0)-MATCH($D$1,[1]stages!$2:$2,0)+1),MATCH(F$1,[1]stages!$2:$2,0)-MATCH($D$1,[1]stages!$2:$2,0)+1,FALSE)</f>
        <v>5-2. 波をさばく剣豪</v>
      </c>
      <c r="G124" s="32">
        <v>3</v>
      </c>
      <c r="H124" s="20" t="str">
        <f t="shared" ref="H124:H127" si="93">B124&amp;"_"&amp;C124&amp;"-"&amp;G124</f>
        <v>5_2-3</v>
      </c>
      <c r="I124" s="31">
        <v>5</v>
      </c>
      <c r="J124" s="26" t="e">
        <f ca="1">VLOOKUP($I124,OFFSET([2]enemies!$A$1,0,0,COUNTA([2]enemies!$A:$A),MATCH(J$1,[2]enemies!$2:$2,0)-MATCH($I$1,[2]enemies!$2:$2,0)+1),MATCH(J$1,[2]enemies!$2:$2,0)-MATCH($I$1,[2]enemies!$2:$2,0)+1,FALSE)</f>
        <v>#N/A</v>
      </c>
      <c r="K124" s="29" t="e">
        <f ca="1">VLOOKUP($I124,OFFSET([2]enemies!$A$1,0,0,COUNTA([2]enemies!$A:$A),MATCH(K$1,[2]enemies!$2:$2,0)-MATCH($I$1,[2]enemies!$2:$2,0)+1),MATCH(K$1,[2]enemies!$2:$2,0)-MATCH($I$1,[2]enemies!$2:$2,0)+1,FALSE)</f>
        <v>#N/A</v>
      </c>
      <c r="L124" s="29" t="e">
        <f ca="1">VLOOKUP($I124,OFFSET([3]characters!$A$1,0,0,COUNTA([3]characters!$A:$A),MATCH(L$1,[3]characters!$2:$2,0)-MATCH($I$1,[3]characters!$2:$2,0)+1),MATCH(L$1,[3]characters!$2:$2,0)-MATCH($I$1,[3]characters!$2:$2,0)+1,FALSE)</f>
        <v>#N/A</v>
      </c>
      <c r="M124" s="28" t="e">
        <f ca="1">VLOOKUP($I124,OFFSET([3]characters!$A$1,0,0,COUNTA([3]characters!$A:$A),MATCH(M$1,[3]characters!$2:$2,0)-MATCH($I$1,[3]characters!$2:$2,0)+2),MATCH(M$1,[3]characters!$2:$2,0)-MATCH($I$1,[3]characters!$2:$2,0)+2,FALSE)</f>
        <v>#N/A</v>
      </c>
      <c r="N124" s="5" t="e">
        <f ca="1">VLOOKUP($I124,OFFSET([2]enemies!$A$1,0,0,COUNTA([2]enemies!$A:$A),MATCH(N$1,[2]enemies!$2:$2,0)-MATCH($I$1,[2]enemies!$2:$2,0)+1),MATCH(N$1,[2]enemies!$2:$2,0)-MATCH($I$1,[2]enemies!$2:$2,0)+1,FALSE)</f>
        <v>#N/A</v>
      </c>
      <c r="O124" s="6">
        <v>7</v>
      </c>
      <c r="P124" s="43">
        <v>1</v>
      </c>
      <c r="Q124" s="43">
        <v>1</v>
      </c>
      <c r="R124" s="6">
        <v>0</v>
      </c>
      <c r="S124" s="5" t="str">
        <f ca="1">VLOOKUP($T124,OFFSET([4]enemy_skill_sets!$B$1,0,0,COUNTA([4]enemy_skill_sets!$B:$B),MATCH(J$1,[4]enemy_skill_sets!$1:$1,0)-MATCH($T$1,[4]enemy_skill_sets!$1:$1,0)+2),MATCH(J$1,[4]enemy_skill_sets!$1:$1,0)-MATCH($T$1,[4]enemy_skill_sets!$1:$1,0)+2,FALSE)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4" s="5">
        <v>0</v>
      </c>
      <c r="U124" s="7">
        <v>0</v>
      </c>
      <c r="V124" s="7">
        <v>100</v>
      </c>
      <c r="W124" s="7">
        <v>0</v>
      </c>
      <c r="X124" s="26" t="e">
        <f ca="1">VLOOKUP($I124,OFFSET([2]enemies!$A$1,0,0,COUNTA([2]enemies!$A:$A),MATCH(X$1,[2]enemies!$2:$2,0)-MATCH($I$1,[2]enemies!$2:$2,0)+1),MATCH(X$1,[2]enemies!$2:$2,0)-MATCH($I$1,[2]enemies!$2:$2,0)+1,FALSE)</f>
        <v>#N/A</v>
      </c>
      <c r="Y124" s="31">
        <v>5</v>
      </c>
      <c r="Z124" s="5" t="str">
        <f ca="1">IFERROR(VLOOKUP($Y124,OFFSET([3]characters!$A$1,0,0,COUNTA([3]characters!$A:$A),MATCH(Z$1,[3]characters!$2:$2,0)-MATCH("character_id",[3]characters!$2:$2,0)+1),MATCH(Z$1,[3]characters!$2:$2,0)-MATCH("character_id",[3]characters!$2:$2,0)+1,FALSE),"")</f>
        <v/>
      </c>
      <c r="AA124" s="5" t="str">
        <f ca="1">IFERROR(VLOOKUP($Y124,OFFSET([3]characters!$A$1,0,0,COUNTA([3]characters!$A:$A),MATCH(AA$1,[3]characters!$2:$2,0)-MATCH("character_id",[3]characters!$2:$2,0)+1),MATCH(AA$1,[3]characters!$2:$2,0)-MATCH("character_id",[3]characters!$2:$2,0)+1,FALSE),"")</f>
        <v/>
      </c>
      <c r="AB124" s="5" t="str">
        <f ca="1">IFERROR(VLOOKUP($Y124,OFFSET([3]characters!$A$1,0,0,COUNTA([3]characters!$A:$A),MATCH(AB$1,[3]characters!$2:$2,0)-MATCH("character_id",[3]characters!$2:$2,0)+1),MATCH(AB$1,[3]characters!$2:$2,0)-MATCH("character_id",[3]characters!$2:$2,0)+1,FALSE),"")</f>
        <v/>
      </c>
      <c r="AC124" s="8">
        <v>2</v>
      </c>
      <c r="AD124" s="8" t="str">
        <f t="shared" ref="AD124:AD127" ca="1" si="94">AA124</f>
        <v/>
      </c>
      <c r="AE124" s="9">
        <v>30</v>
      </c>
      <c r="AF124" s="38">
        <v>0</v>
      </c>
      <c r="AG124" s="38">
        <v>0</v>
      </c>
      <c r="AH124" s="38">
        <v>0</v>
      </c>
      <c r="AI124" s="38">
        <v>0</v>
      </c>
      <c r="AJ124" s="38">
        <v>1</v>
      </c>
    </row>
    <row r="125" spans="1:36" ht="21" customHeight="1" x14ac:dyDescent="0.15">
      <c r="A125" s="21" t="e">
        <f t="shared" ca="1" si="91"/>
        <v>#N/A</v>
      </c>
      <c r="B125" s="33">
        <v>5</v>
      </c>
      <c r="C125" s="32">
        <v>2</v>
      </c>
      <c r="D125" s="2" t="str">
        <f t="shared" si="92"/>
        <v>5_2</v>
      </c>
      <c r="E125" s="5" t="str">
        <f ca="1">VLOOKUP($B125,OFFSET([1]quests!$A$1,0,0,COUNTA([1]quests!$A:$A),MATCH(E$1,[1]quests!$1:$1,0)-MATCH($B$1,[1]quests!$1:$1,0)+1),MATCH(E$1,[1]quests!$1:$1,0)-MATCH($B$1,[1]quests!$1:$1,0)+1,FALSE)</f>
        <v>5．ウォーターランド</v>
      </c>
      <c r="F125" s="5" t="str">
        <f ca="1">VLOOKUP($D125,OFFSET([1]stages!$A$1,0,0,COUNTA([1]stages!$A:$A),MATCH(F$1,[1]stages!$2:$2,0)-MATCH($D$1,[1]stages!$2:$2,0)+1),MATCH(F$1,[1]stages!$2:$2,0)-MATCH($D$1,[1]stages!$2:$2,0)+1,FALSE)</f>
        <v>5-2. 波をさばく剣豪</v>
      </c>
      <c r="G125" s="32">
        <v>3</v>
      </c>
      <c r="H125" s="20" t="str">
        <f t="shared" si="93"/>
        <v>5_2-3</v>
      </c>
      <c r="I125" s="31">
        <v>17</v>
      </c>
      <c r="J125" s="26" t="e">
        <f ca="1">VLOOKUP($I125,OFFSET([2]enemies!$A$1,0,0,COUNTA([2]enemies!$A:$A),MATCH(J$1,[2]enemies!$2:$2,0)-MATCH($I$1,[2]enemies!$2:$2,0)+1),MATCH(J$1,[2]enemies!$2:$2,0)-MATCH($I$1,[2]enemies!$2:$2,0)+1,FALSE)</f>
        <v>#N/A</v>
      </c>
      <c r="K125" s="29" t="e">
        <f ca="1">VLOOKUP($I125,OFFSET([2]enemies!$A$1,0,0,COUNTA([2]enemies!$A:$A),MATCH(K$1,[2]enemies!$2:$2,0)-MATCH($I$1,[2]enemies!$2:$2,0)+1),MATCH(K$1,[2]enemies!$2:$2,0)-MATCH($I$1,[2]enemies!$2:$2,0)+1,FALSE)</f>
        <v>#N/A</v>
      </c>
      <c r="L125" s="29" t="e">
        <f ca="1">VLOOKUP($I125,OFFSET([3]characters!$A$1,0,0,COUNTA([3]characters!$A:$A),MATCH(L$1,[3]characters!$2:$2,0)-MATCH($I$1,[3]characters!$2:$2,0)+1),MATCH(L$1,[3]characters!$2:$2,0)-MATCH($I$1,[3]characters!$2:$2,0)+1,FALSE)</f>
        <v>#N/A</v>
      </c>
      <c r="M125" s="28" t="e">
        <f ca="1">VLOOKUP($I125,OFFSET([3]characters!$A$1,0,0,COUNTA([3]characters!$A:$A),MATCH(M$1,[3]characters!$2:$2,0)-MATCH($I$1,[3]characters!$2:$2,0)+2),MATCH(M$1,[3]characters!$2:$2,0)-MATCH($I$1,[3]characters!$2:$2,0)+2,FALSE)</f>
        <v>#N/A</v>
      </c>
      <c r="N125" s="5" t="e">
        <f ca="1">VLOOKUP($I125,OFFSET([2]enemies!$A$1,0,0,COUNTA([2]enemies!$A:$A),MATCH(N$1,[2]enemies!$2:$2,0)-MATCH($I$1,[2]enemies!$2:$2,0)+1),MATCH(N$1,[2]enemies!$2:$2,0)-MATCH($I$1,[2]enemies!$2:$2,0)+1,FALSE)</f>
        <v>#N/A</v>
      </c>
      <c r="O125" s="6">
        <v>7</v>
      </c>
      <c r="P125" s="43">
        <v>1</v>
      </c>
      <c r="Q125" s="43">
        <v>1</v>
      </c>
      <c r="R125" s="6">
        <v>0</v>
      </c>
      <c r="S125" s="5" t="str">
        <f ca="1">VLOOKUP($T125,OFFSET([4]enemy_skill_sets!$B$1,0,0,COUNTA([4]enemy_skill_sets!$B:$B),MATCH(J$1,[4]enemy_skill_sets!$1:$1,0)-MATCH($T$1,[4]enemy_skill_sets!$1:$1,0)+2),MATCH(J$1,[4]enemy_skill_sets!$1:$1,0)-MATCH($T$1,[4]enemy_skill_sets!$1:$1,0)+2,FALSE)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5" s="5">
        <v>0</v>
      </c>
      <c r="U125" s="7">
        <v>0</v>
      </c>
      <c r="V125" s="7">
        <v>100</v>
      </c>
      <c r="W125" s="7">
        <v>0</v>
      </c>
      <c r="X125" s="26" t="e">
        <f ca="1">VLOOKUP($I125,OFFSET([2]enemies!$A$1,0,0,COUNTA([2]enemies!$A:$A),MATCH(X$1,[2]enemies!$2:$2,0)-MATCH($I$1,[2]enemies!$2:$2,0)+1),MATCH(X$1,[2]enemies!$2:$2,0)-MATCH($I$1,[2]enemies!$2:$2,0)+1,FALSE)</f>
        <v>#N/A</v>
      </c>
      <c r="Y125" s="31">
        <v>17</v>
      </c>
      <c r="Z125" s="5" t="str">
        <f ca="1">IFERROR(VLOOKUP($Y125,OFFSET([3]characters!$A$1,0,0,COUNTA([3]characters!$A:$A),MATCH(Z$1,[3]characters!$2:$2,0)-MATCH("character_id",[3]characters!$2:$2,0)+1),MATCH(Z$1,[3]characters!$2:$2,0)-MATCH("character_id",[3]characters!$2:$2,0)+1,FALSE),"")</f>
        <v/>
      </c>
      <c r="AA125" s="5" t="str">
        <f ca="1">IFERROR(VLOOKUP($Y125,OFFSET([3]characters!$A$1,0,0,COUNTA([3]characters!$A:$A),MATCH(AA$1,[3]characters!$2:$2,0)-MATCH("character_id",[3]characters!$2:$2,0)+1),MATCH(AA$1,[3]characters!$2:$2,0)-MATCH("character_id",[3]characters!$2:$2,0)+1,FALSE),"")</f>
        <v/>
      </c>
      <c r="AB125" s="5" t="str">
        <f ca="1">IFERROR(VLOOKUP($Y125,OFFSET([3]characters!$A$1,0,0,COUNTA([3]characters!$A:$A),MATCH(AB$1,[3]characters!$2:$2,0)-MATCH("character_id",[3]characters!$2:$2,0)+1),MATCH(AB$1,[3]characters!$2:$2,0)-MATCH("character_id",[3]characters!$2:$2,0)+1,FALSE),"")</f>
        <v/>
      </c>
      <c r="AC125" s="8">
        <v>1</v>
      </c>
      <c r="AD125" s="8" t="str">
        <f t="shared" ca="1" si="94"/>
        <v/>
      </c>
      <c r="AE125" s="9">
        <v>30</v>
      </c>
      <c r="AF125" s="38">
        <v>0</v>
      </c>
      <c r="AG125" s="38">
        <v>0</v>
      </c>
      <c r="AH125" s="38">
        <v>0</v>
      </c>
      <c r="AI125" s="38">
        <v>0</v>
      </c>
      <c r="AJ125" s="38">
        <v>1</v>
      </c>
    </row>
    <row r="126" spans="1:36" ht="21" customHeight="1" x14ac:dyDescent="0.15">
      <c r="A126" s="21" t="e">
        <f t="shared" ca="1" si="91"/>
        <v>#N/A</v>
      </c>
      <c r="B126" s="33">
        <v>5</v>
      </c>
      <c r="C126" s="32">
        <v>2</v>
      </c>
      <c r="D126" s="2" t="str">
        <f t="shared" si="92"/>
        <v>5_2</v>
      </c>
      <c r="E126" s="5" t="str">
        <f ca="1">VLOOKUP($B126,OFFSET([1]quests!$A$1,0,0,COUNTA([1]quests!$A:$A),MATCH(E$1,[1]quests!$1:$1,0)-MATCH($B$1,[1]quests!$1:$1,0)+1),MATCH(E$1,[1]quests!$1:$1,0)-MATCH($B$1,[1]quests!$1:$1,0)+1,FALSE)</f>
        <v>5．ウォーターランド</v>
      </c>
      <c r="F126" s="5" t="str">
        <f ca="1">VLOOKUP($D126,OFFSET([1]stages!$A$1,0,0,COUNTA([1]stages!$A:$A),MATCH(F$1,[1]stages!$2:$2,0)-MATCH($D$1,[1]stages!$2:$2,0)+1),MATCH(F$1,[1]stages!$2:$2,0)-MATCH($D$1,[1]stages!$2:$2,0)+1,FALSE)</f>
        <v>5-2. 波をさばく剣豪</v>
      </c>
      <c r="G126" s="32">
        <v>3</v>
      </c>
      <c r="H126" s="20" t="str">
        <f t="shared" si="93"/>
        <v>5_2-3</v>
      </c>
      <c r="I126" s="31">
        <v>25</v>
      </c>
      <c r="J126" s="26" t="e">
        <f ca="1">VLOOKUP($I126,OFFSET([2]enemies!$A$1,0,0,COUNTA([2]enemies!$A:$A),MATCH(J$1,[2]enemies!$2:$2,0)-MATCH($I$1,[2]enemies!$2:$2,0)+1),MATCH(J$1,[2]enemies!$2:$2,0)-MATCH($I$1,[2]enemies!$2:$2,0)+1,FALSE)</f>
        <v>#N/A</v>
      </c>
      <c r="K126" s="29" t="e">
        <f ca="1">VLOOKUP($I126,OFFSET([2]enemies!$A$1,0,0,COUNTA([2]enemies!$A:$A),MATCH(K$1,[2]enemies!$2:$2,0)-MATCH($I$1,[2]enemies!$2:$2,0)+1),MATCH(K$1,[2]enemies!$2:$2,0)-MATCH($I$1,[2]enemies!$2:$2,0)+1,FALSE)</f>
        <v>#N/A</v>
      </c>
      <c r="L126" s="29" t="e">
        <f ca="1">VLOOKUP($I126,OFFSET([3]characters!$A$1,0,0,COUNTA([3]characters!$A:$A),MATCH(L$1,[3]characters!$2:$2,0)-MATCH($I$1,[3]characters!$2:$2,0)+1),MATCH(L$1,[3]characters!$2:$2,0)-MATCH($I$1,[3]characters!$2:$2,0)+1,FALSE)</f>
        <v>#N/A</v>
      </c>
      <c r="M126" s="28" t="e">
        <f ca="1">VLOOKUP($I126,OFFSET([3]characters!$A$1,0,0,COUNTA([3]characters!$A:$A),MATCH(M$1,[3]characters!$2:$2,0)-MATCH($I$1,[3]characters!$2:$2,0)+2),MATCH(M$1,[3]characters!$2:$2,0)-MATCH($I$1,[3]characters!$2:$2,0)+2,FALSE)</f>
        <v>#N/A</v>
      </c>
      <c r="N126" s="5" t="e">
        <f ca="1">VLOOKUP($I126,OFFSET([2]enemies!$A$1,0,0,COUNTA([2]enemies!$A:$A),MATCH(N$1,[2]enemies!$2:$2,0)-MATCH($I$1,[2]enemies!$2:$2,0)+1),MATCH(N$1,[2]enemies!$2:$2,0)-MATCH($I$1,[2]enemies!$2:$2,0)+1,FALSE)</f>
        <v>#N/A</v>
      </c>
      <c r="O126" s="6">
        <v>7</v>
      </c>
      <c r="P126" s="43">
        <v>1</v>
      </c>
      <c r="Q126" s="43">
        <v>1</v>
      </c>
      <c r="R126" s="6">
        <v>0</v>
      </c>
      <c r="S126" s="5" t="str">
        <f ca="1">VLOOKUP($T126,OFFSET([4]enemy_skill_sets!$B$1,0,0,COUNTA([4]enemy_skill_sets!$B:$B),MATCH(J$1,[4]enemy_skill_sets!$1:$1,0)-MATCH($T$1,[4]enemy_skill_sets!$1:$1,0)+2),MATCH(J$1,[4]enemy_skill_sets!$1:$1,0)-MATCH($T$1,[4]enemy_skill_sets!$1:$1,0)+2,FALSE)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6" s="5">
        <v>0</v>
      </c>
      <c r="U126" s="7">
        <v>0</v>
      </c>
      <c r="V126" s="7">
        <v>100</v>
      </c>
      <c r="W126" s="7">
        <v>0</v>
      </c>
      <c r="X126" s="26" t="e">
        <f ca="1">VLOOKUP($I126,OFFSET([2]enemies!$A$1,0,0,COUNTA([2]enemies!$A:$A),MATCH(X$1,[2]enemies!$2:$2,0)-MATCH($I$1,[2]enemies!$2:$2,0)+1),MATCH(X$1,[2]enemies!$2:$2,0)-MATCH($I$1,[2]enemies!$2:$2,0)+1,FALSE)</f>
        <v>#N/A</v>
      </c>
      <c r="Y126" s="31">
        <v>25</v>
      </c>
      <c r="Z126" s="5" t="str">
        <f ca="1">IFERROR(VLOOKUP($Y126,OFFSET([3]characters!$A$1,0,0,COUNTA([3]characters!$A:$A),MATCH(Z$1,[3]characters!$2:$2,0)-MATCH("character_id",[3]characters!$2:$2,0)+1),MATCH(Z$1,[3]characters!$2:$2,0)-MATCH("character_id",[3]characters!$2:$2,0)+1,FALSE),"")</f>
        <v/>
      </c>
      <c r="AA126" s="5" t="str">
        <f ca="1">IFERROR(VLOOKUP($Y126,OFFSET([3]characters!$A$1,0,0,COUNTA([3]characters!$A:$A),MATCH(AA$1,[3]characters!$2:$2,0)-MATCH("character_id",[3]characters!$2:$2,0)+1),MATCH(AA$1,[3]characters!$2:$2,0)-MATCH("character_id",[3]characters!$2:$2,0)+1,FALSE),"")</f>
        <v/>
      </c>
      <c r="AB126" s="5" t="str">
        <f ca="1">IFERROR(VLOOKUP($Y126,OFFSET([3]characters!$A$1,0,0,COUNTA([3]characters!$A:$A),MATCH(AB$1,[3]characters!$2:$2,0)-MATCH("character_id",[3]characters!$2:$2,0)+1),MATCH(AB$1,[3]characters!$2:$2,0)-MATCH("character_id",[3]characters!$2:$2,0)+1,FALSE),"")</f>
        <v/>
      </c>
      <c r="AC126" s="8">
        <v>1</v>
      </c>
      <c r="AD126" s="8" t="str">
        <f t="shared" ca="1" si="94"/>
        <v/>
      </c>
      <c r="AE126" s="9">
        <v>0</v>
      </c>
      <c r="AF126" s="38">
        <v>0</v>
      </c>
      <c r="AG126" s="38">
        <v>0</v>
      </c>
      <c r="AH126" s="38">
        <v>0</v>
      </c>
      <c r="AI126" s="38">
        <v>0</v>
      </c>
      <c r="AJ126" s="38">
        <v>1</v>
      </c>
    </row>
    <row r="127" spans="1:36" ht="21" customHeight="1" x14ac:dyDescent="0.15">
      <c r="A127" s="21" t="e">
        <f t="shared" ca="1" si="91"/>
        <v>#N/A</v>
      </c>
      <c r="B127" s="33">
        <v>5</v>
      </c>
      <c r="C127" s="32">
        <v>2</v>
      </c>
      <c r="D127" s="2" t="str">
        <f t="shared" si="92"/>
        <v>5_2</v>
      </c>
      <c r="E127" s="5" t="str">
        <f ca="1">VLOOKUP($B127,OFFSET([1]quests!$A$1,0,0,COUNTA([1]quests!$A:$A),MATCH(E$1,[1]quests!$1:$1,0)-MATCH($B$1,[1]quests!$1:$1,0)+1),MATCH(E$1,[1]quests!$1:$1,0)-MATCH($B$1,[1]quests!$1:$1,0)+1,FALSE)</f>
        <v>5．ウォーターランド</v>
      </c>
      <c r="F127" s="5" t="str">
        <f ca="1">VLOOKUP($D127,OFFSET([1]stages!$A$1,0,0,COUNTA([1]stages!$A:$A),MATCH(F$1,[1]stages!$2:$2,0)-MATCH($D$1,[1]stages!$2:$2,0)+1),MATCH(F$1,[1]stages!$2:$2,0)-MATCH($D$1,[1]stages!$2:$2,0)+1,FALSE)</f>
        <v>5-2. 波をさばく剣豪</v>
      </c>
      <c r="G127" s="32">
        <v>3</v>
      </c>
      <c r="H127" s="20" t="str">
        <f t="shared" si="93"/>
        <v>5_2-3</v>
      </c>
      <c r="I127" s="31">
        <v>109</v>
      </c>
      <c r="J127" s="26" t="e">
        <f ca="1">VLOOKUP($I127,OFFSET([2]enemies!$A$1,0,0,COUNTA([2]enemies!$A:$A),MATCH(J$1,[2]enemies!$2:$2,0)-MATCH($I$1,[2]enemies!$2:$2,0)+1),MATCH(J$1,[2]enemies!$2:$2,0)-MATCH($I$1,[2]enemies!$2:$2,0)+1,FALSE)</f>
        <v>#N/A</v>
      </c>
      <c r="K127" s="29" t="e">
        <f ca="1">VLOOKUP($I127,OFFSET([2]enemies!$A$1,0,0,COUNTA([2]enemies!$A:$A),MATCH(K$1,[2]enemies!$2:$2,0)-MATCH($I$1,[2]enemies!$2:$2,0)+1),MATCH(K$1,[2]enemies!$2:$2,0)-MATCH($I$1,[2]enemies!$2:$2,0)+1,FALSE)</f>
        <v>#N/A</v>
      </c>
      <c r="L127" s="29" t="e">
        <f ca="1">VLOOKUP($I127,OFFSET([3]characters!$A$1,0,0,COUNTA([3]characters!$A:$A),MATCH(L$1,[3]characters!$2:$2,0)-MATCH($I$1,[3]characters!$2:$2,0)+1),MATCH(L$1,[3]characters!$2:$2,0)-MATCH($I$1,[3]characters!$2:$2,0)+1,FALSE)</f>
        <v>#N/A</v>
      </c>
      <c r="M127" s="28" t="e">
        <f ca="1">VLOOKUP($I127,OFFSET([3]characters!$A$1,0,0,COUNTA([3]characters!$A:$A),MATCH(M$1,[3]characters!$2:$2,0)-MATCH($I$1,[3]characters!$2:$2,0)+2),MATCH(M$1,[3]characters!$2:$2,0)-MATCH($I$1,[3]characters!$2:$2,0)+2,FALSE)</f>
        <v>#N/A</v>
      </c>
      <c r="N127" s="5" t="e">
        <f ca="1">VLOOKUP($I127,OFFSET([2]enemies!$A$1,0,0,COUNTA([2]enemies!$A:$A),MATCH(N$1,[2]enemies!$2:$2,0)-MATCH($I$1,[2]enemies!$2:$2,0)+1),MATCH(N$1,[2]enemies!$2:$2,0)-MATCH($I$1,[2]enemies!$2:$2,0)+1,FALSE)</f>
        <v>#N/A</v>
      </c>
      <c r="O127" s="6">
        <v>7</v>
      </c>
      <c r="P127" s="43">
        <v>1</v>
      </c>
      <c r="Q127" s="43">
        <v>1</v>
      </c>
      <c r="R127" s="6">
        <v>0</v>
      </c>
      <c r="S127" s="5" t="str">
        <f ca="1">VLOOKUP($T127,OFFSET([4]enemy_skill_sets!$B$1,0,0,COUNTA([4]enemy_skill_sets!$B:$B),MATCH(J$1,[4]enemy_skill_sets!$1:$1,0)-MATCH($T$1,[4]enemy_skill_sets!$1:$1,0)+2),MATCH(J$1,[4]enemy_skill_sets!$1:$1,0)-MATCH($T$1,[4]enemy_skill_sets!$1:$1,0)+2,FALSE)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7" s="5">
        <v>0</v>
      </c>
      <c r="U127" s="7">
        <v>0</v>
      </c>
      <c r="V127" s="7">
        <v>50</v>
      </c>
      <c r="W127" s="7">
        <v>0</v>
      </c>
      <c r="X127" s="26" t="e">
        <f ca="1">VLOOKUP($I127,OFFSET([2]enemies!$A$1,0,0,COUNTA([2]enemies!$A:$A),MATCH(X$1,[2]enemies!$2:$2,0)-MATCH($I$1,[2]enemies!$2:$2,0)+1),MATCH(X$1,[2]enemies!$2:$2,0)-MATCH($I$1,[2]enemies!$2:$2,0)+1,FALSE)</f>
        <v>#N/A</v>
      </c>
      <c r="Y127" s="31">
        <v>109</v>
      </c>
      <c r="Z127" s="5" t="str">
        <f ca="1">IFERROR(VLOOKUP($Y127,OFFSET([3]characters!$A$1,0,0,COUNTA([3]characters!$A:$A),MATCH(Z$1,[3]characters!$2:$2,0)-MATCH("character_id",[3]characters!$2:$2,0)+1),MATCH(Z$1,[3]characters!$2:$2,0)-MATCH("character_id",[3]characters!$2:$2,0)+1,FALSE),"")</f>
        <v/>
      </c>
      <c r="AA127" s="5" t="str">
        <f ca="1">IFERROR(VLOOKUP($Y127,OFFSET([3]characters!$A$1,0,0,COUNTA([3]characters!$A:$A),MATCH(AA$1,[3]characters!$2:$2,0)-MATCH("character_id",[3]characters!$2:$2,0)+1),MATCH(AA$1,[3]characters!$2:$2,0)-MATCH("character_id",[3]characters!$2:$2,0)+1,FALSE),"")</f>
        <v/>
      </c>
      <c r="AB127" s="5" t="str">
        <f ca="1">IFERROR(VLOOKUP($Y127,OFFSET([3]characters!$A$1,0,0,COUNTA([3]characters!$A:$A),MATCH(AB$1,[3]characters!$2:$2,0)-MATCH("character_id",[3]characters!$2:$2,0)+1),MATCH(AB$1,[3]characters!$2:$2,0)-MATCH("character_id",[3]characters!$2:$2,0)+1,FALSE),"")</f>
        <v/>
      </c>
      <c r="AC127" s="8">
        <v>1</v>
      </c>
      <c r="AD127" s="8" t="str">
        <f t="shared" ca="1" si="94"/>
        <v/>
      </c>
      <c r="AE127" s="9">
        <v>20</v>
      </c>
      <c r="AF127" s="38">
        <v>0</v>
      </c>
      <c r="AG127" s="38">
        <v>0</v>
      </c>
      <c r="AH127" s="38">
        <v>0</v>
      </c>
      <c r="AI127" s="38">
        <v>0</v>
      </c>
      <c r="AJ127" s="38">
        <v>1</v>
      </c>
    </row>
    <row r="128" spans="1:36" ht="21" customHeight="1" x14ac:dyDescent="0.15">
      <c r="A128" s="21" t="e">
        <f t="shared" ca="1" si="80"/>
        <v>#N/A</v>
      </c>
      <c r="B128" s="33">
        <v>5</v>
      </c>
      <c r="C128" s="32">
        <v>2</v>
      </c>
      <c r="D128" s="2" t="str">
        <f t="shared" si="81"/>
        <v>5_2</v>
      </c>
      <c r="E128" s="5" t="str">
        <f ca="1">VLOOKUP($B128,OFFSET([1]quests!$A$1,0,0,COUNTA([1]quests!$A:$A),MATCH(E$1,[1]quests!$1:$1,0)-MATCH($B$1,[1]quests!$1:$1,0)+1),MATCH(E$1,[1]quests!$1:$1,0)-MATCH($B$1,[1]quests!$1:$1,0)+1,FALSE)</f>
        <v>5．ウォーターランド</v>
      </c>
      <c r="F128" s="5" t="str">
        <f ca="1">VLOOKUP($D128,OFFSET([1]stages!$A$1,0,0,COUNTA([1]stages!$A:$A),MATCH(F$1,[1]stages!$2:$2,0)-MATCH($D$1,[1]stages!$2:$2,0)+1),MATCH(F$1,[1]stages!$2:$2,0)-MATCH($D$1,[1]stages!$2:$2,0)+1,FALSE)</f>
        <v>5-2. 波をさばく剣豪</v>
      </c>
      <c r="G128" s="32">
        <v>4</v>
      </c>
      <c r="H128" s="20" t="str">
        <f t="shared" si="82"/>
        <v>5_2-4</v>
      </c>
      <c r="I128" s="31">
        <v>53</v>
      </c>
      <c r="J128" s="26" t="e">
        <f ca="1">VLOOKUP($I128,OFFSET([2]enemies!$A$1,0,0,COUNTA([2]enemies!$A:$A),MATCH(J$1,[2]enemies!$2:$2,0)-MATCH($I$1,[2]enemies!$2:$2,0)+1),MATCH(J$1,[2]enemies!$2:$2,0)-MATCH($I$1,[2]enemies!$2:$2,0)+1,FALSE)</f>
        <v>#N/A</v>
      </c>
      <c r="K128" s="29" t="e">
        <f ca="1">VLOOKUP($I128,OFFSET([2]enemies!$A$1,0,0,COUNTA([2]enemies!$A:$A),MATCH(K$1,[2]enemies!$2:$2,0)-MATCH($I$1,[2]enemies!$2:$2,0)+1),MATCH(K$1,[2]enemies!$2:$2,0)-MATCH($I$1,[2]enemies!$2:$2,0)+1,FALSE)</f>
        <v>#N/A</v>
      </c>
      <c r="L128" s="29" t="e">
        <f ca="1">VLOOKUP($I128,OFFSET([3]characters!$A$1,0,0,COUNTA([3]characters!$A:$A),MATCH(L$1,[3]characters!$2:$2,0)-MATCH($I$1,[3]characters!$2:$2,0)+1),MATCH(L$1,[3]characters!$2:$2,0)-MATCH($I$1,[3]characters!$2:$2,0)+1,FALSE)</f>
        <v>#N/A</v>
      </c>
      <c r="M128" s="28" t="e">
        <f ca="1">VLOOKUP($I128,OFFSET([3]characters!$A$1,0,0,COUNTA([3]characters!$A:$A),MATCH(M$1,[3]characters!$2:$2,0)-MATCH($I$1,[3]characters!$2:$2,0)+2),MATCH(M$1,[3]characters!$2:$2,0)-MATCH($I$1,[3]characters!$2:$2,0)+2,FALSE)</f>
        <v>#N/A</v>
      </c>
      <c r="N128" s="5" t="e">
        <f ca="1">VLOOKUP($I128,OFFSET([2]enemies!$A$1,0,0,COUNTA([2]enemies!$A:$A),MATCH(N$1,[2]enemies!$2:$2,0)-MATCH($I$1,[2]enemies!$2:$2,0)+1),MATCH(N$1,[2]enemies!$2:$2,0)-MATCH($I$1,[2]enemies!$2:$2,0)+1,FALSE)</f>
        <v>#N/A</v>
      </c>
      <c r="O128" s="6">
        <v>9</v>
      </c>
      <c r="P128" s="43">
        <v>1</v>
      </c>
      <c r="Q128" s="43">
        <v>1</v>
      </c>
      <c r="R128" s="6">
        <v>0</v>
      </c>
      <c r="S128" s="5" t="str">
        <f ca="1">VLOOKUP($T128,OFFSET([4]enemy_skill_sets!$B$1,0,0,COUNTA([4]enemy_skill_sets!$B:$B),MATCH(J$1,[4]enemy_skill_sets!$1:$1,0)-MATCH($T$1,[4]enemy_skill_sets!$1:$1,0)+2),MATCH(J$1,[4]enemy_skill_sets!$1:$1,0)-MATCH($T$1,[4]enemy_skill_sets!$1:$1,0)+2,FALSE)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128" s="5">
        <v>53</v>
      </c>
      <c r="U128" s="7">
        <v>1</v>
      </c>
      <c r="V128" s="7">
        <v>100</v>
      </c>
      <c r="W128" s="7">
        <v>1</v>
      </c>
      <c r="X128" s="26" t="e">
        <f ca="1">VLOOKUP($I128,OFFSET([2]enemies!$A$1,0,0,COUNTA([2]enemies!$A:$A),MATCH(X$1,[2]enemies!$2:$2,0)-MATCH($I$1,[2]enemies!$2:$2,0)+1),MATCH(X$1,[2]enemies!$2:$2,0)-MATCH($I$1,[2]enemies!$2:$2,0)+1,FALSE)</f>
        <v>#N/A</v>
      </c>
      <c r="Y128" s="31">
        <v>53</v>
      </c>
      <c r="Z128" s="5" t="str">
        <f ca="1">IFERROR(VLOOKUP($Y128,OFFSET([3]characters!$A$1,0,0,COUNTA([3]characters!$A:$A),MATCH(Z$1,[3]characters!$2:$2,0)-MATCH("character_id",[3]characters!$2:$2,0)+1),MATCH(Z$1,[3]characters!$2:$2,0)-MATCH("character_id",[3]characters!$2:$2,0)+1,FALSE),"")</f>
        <v/>
      </c>
      <c r="AA128" s="5" t="str">
        <f ca="1">IFERROR(VLOOKUP($Y128,OFFSET([3]characters!$A$1,0,0,COUNTA([3]characters!$A:$A),MATCH(AA$1,[3]characters!$2:$2,0)-MATCH("character_id",[3]characters!$2:$2,0)+1),MATCH(AA$1,[3]characters!$2:$2,0)-MATCH("character_id",[3]characters!$2:$2,0)+1,FALSE),"")</f>
        <v/>
      </c>
      <c r="AB128" s="5" t="str">
        <f ca="1">IFERROR(VLOOKUP($Y128,OFFSET([3]characters!$A$1,0,0,COUNTA([3]characters!$A:$A),MATCH(AB$1,[3]characters!$2:$2,0)-MATCH("character_id",[3]characters!$2:$2,0)+1),MATCH(AB$1,[3]characters!$2:$2,0)-MATCH("character_id",[3]characters!$2:$2,0)+1,FALSE),"")</f>
        <v/>
      </c>
      <c r="AC128" s="8">
        <v>1</v>
      </c>
      <c r="AD128" s="8" t="str">
        <f t="shared" ca="1" si="46"/>
        <v/>
      </c>
      <c r="AE128" s="9">
        <v>100</v>
      </c>
      <c r="AF128" s="38">
        <v>0</v>
      </c>
      <c r="AG128" s="38">
        <v>0</v>
      </c>
      <c r="AH128" s="38">
        <v>0</v>
      </c>
      <c r="AI128" s="38">
        <v>0</v>
      </c>
      <c r="AJ128" s="38">
        <v>1</v>
      </c>
    </row>
    <row r="129" spans="1:36" ht="21" customHeight="1" x14ac:dyDescent="0.15">
      <c r="A129" s="21" t="e">
        <f t="shared" ca="1" si="80"/>
        <v>#N/A</v>
      </c>
      <c r="B129" s="33">
        <v>5</v>
      </c>
      <c r="C129" s="32">
        <v>3</v>
      </c>
      <c r="D129" s="2" t="str">
        <f t="shared" si="81"/>
        <v>5_3</v>
      </c>
      <c r="E129" s="5" t="str">
        <f ca="1">VLOOKUP($B129,OFFSET([1]quests!$A$1,0,0,COUNTA([1]quests!$A:$A),MATCH(E$1,[1]quests!$1:$1,0)-MATCH($B$1,[1]quests!$1:$1,0)+1),MATCH(E$1,[1]quests!$1:$1,0)-MATCH($B$1,[1]quests!$1:$1,0)+1,FALSE)</f>
        <v>5．ウォーターランド</v>
      </c>
      <c r="F129" s="5" t="str">
        <f ca="1">VLOOKUP($D129,OFFSET([1]stages!$A$1,0,0,COUNTA([1]stages!$A:$A),MATCH(F$1,[1]stages!$2:$2,0)-MATCH($D$1,[1]stages!$2:$2,0)+1),MATCH(F$1,[1]stages!$2:$2,0)-MATCH($D$1,[1]stages!$2:$2,0)+1,FALSE)</f>
        <v>5-3. 水天一碧の凪刀</v>
      </c>
      <c r="G129" s="32">
        <v>1</v>
      </c>
      <c r="H129" s="20" t="str">
        <f t="shared" si="82"/>
        <v>5_3-1</v>
      </c>
      <c r="I129" s="31">
        <v>5</v>
      </c>
      <c r="J129" s="26" t="e">
        <f ca="1">VLOOKUP($I129,OFFSET([2]enemies!$A$1,0,0,COUNTA([2]enemies!$A:$A),MATCH(J$1,[2]enemies!$2:$2,0)-MATCH($I$1,[2]enemies!$2:$2,0)+1),MATCH(J$1,[2]enemies!$2:$2,0)-MATCH($I$1,[2]enemies!$2:$2,0)+1,FALSE)</f>
        <v>#N/A</v>
      </c>
      <c r="K129" s="29" t="e">
        <f ca="1">VLOOKUP($I129,OFFSET([2]enemies!$A$1,0,0,COUNTA([2]enemies!$A:$A),MATCH(K$1,[2]enemies!$2:$2,0)-MATCH($I$1,[2]enemies!$2:$2,0)+1),MATCH(K$1,[2]enemies!$2:$2,0)-MATCH($I$1,[2]enemies!$2:$2,0)+1,FALSE)</f>
        <v>#N/A</v>
      </c>
      <c r="L129" s="29" t="e">
        <f ca="1">VLOOKUP($I129,OFFSET([3]characters!$A$1,0,0,COUNTA([3]characters!$A:$A),MATCH(L$1,[3]characters!$2:$2,0)-MATCH($I$1,[3]characters!$2:$2,0)+1),MATCH(L$1,[3]characters!$2:$2,0)-MATCH($I$1,[3]characters!$2:$2,0)+1,FALSE)</f>
        <v>#N/A</v>
      </c>
      <c r="M129" s="28" t="e">
        <f ca="1">VLOOKUP($I129,OFFSET([3]characters!$A$1,0,0,COUNTA([3]characters!$A:$A),MATCH(M$1,[3]characters!$2:$2,0)-MATCH($I$1,[3]characters!$2:$2,0)+2),MATCH(M$1,[3]characters!$2:$2,0)-MATCH($I$1,[3]characters!$2:$2,0)+2,FALSE)</f>
        <v>#N/A</v>
      </c>
      <c r="N129" s="5" t="e">
        <f ca="1">VLOOKUP($I129,OFFSET([2]enemies!$A$1,0,0,COUNTA([2]enemies!$A:$A),MATCH(N$1,[2]enemies!$2:$2,0)-MATCH($I$1,[2]enemies!$2:$2,0)+1),MATCH(N$1,[2]enemies!$2:$2,0)-MATCH($I$1,[2]enemies!$2:$2,0)+1,FALSE)</f>
        <v>#N/A</v>
      </c>
      <c r="O129" s="6">
        <v>7</v>
      </c>
      <c r="P129" s="43">
        <v>1</v>
      </c>
      <c r="Q129" s="43">
        <v>1</v>
      </c>
      <c r="R129" s="6">
        <v>0</v>
      </c>
      <c r="S129" s="5" t="str">
        <f ca="1">VLOOKUP($T129,OFFSET([4]enemy_skill_sets!$B$1,0,0,COUNTA([4]enemy_skill_sets!$B:$B),MATCH(J$1,[4]enemy_skill_sets!$1:$1,0)-MATCH($T$1,[4]enemy_skill_sets!$1:$1,0)+2),MATCH(J$1,[4]enemy_skill_sets!$1:$1,0)-MATCH($T$1,[4]enemy_skill_sets!$1:$1,0)+2,FALSE)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9" s="5">
        <v>0</v>
      </c>
      <c r="U129" s="7">
        <v>0</v>
      </c>
      <c r="V129" s="7">
        <v>100</v>
      </c>
      <c r="W129" s="7">
        <v>0</v>
      </c>
      <c r="X129" s="26" t="e">
        <f ca="1">VLOOKUP($I129,OFFSET([2]enemies!$A$1,0,0,COUNTA([2]enemies!$A:$A),MATCH(X$1,[2]enemies!$2:$2,0)-MATCH($I$1,[2]enemies!$2:$2,0)+1),MATCH(X$1,[2]enemies!$2:$2,0)-MATCH($I$1,[2]enemies!$2:$2,0)+1,FALSE)</f>
        <v>#N/A</v>
      </c>
      <c r="Y129" s="31">
        <v>5</v>
      </c>
      <c r="Z129" s="5" t="str">
        <f ca="1">IFERROR(VLOOKUP($Y129,OFFSET([3]characters!$A$1,0,0,COUNTA([3]characters!$A:$A),MATCH(Z$1,[3]characters!$2:$2,0)-MATCH("character_id",[3]characters!$2:$2,0)+1),MATCH(Z$1,[3]characters!$2:$2,0)-MATCH("character_id",[3]characters!$2:$2,0)+1,FALSE),"")</f>
        <v/>
      </c>
      <c r="AA129" s="5" t="str">
        <f ca="1">IFERROR(VLOOKUP($Y129,OFFSET([3]characters!$A$1,0,0,COUNTA([3]characters!$A:$A),MATCH(AA$1,[3]characters!$2:$2,0)-MATCH("character_id",[3]characters!$2:$2,0)+1),MATCH(AA$1,[3]characters!$2:$2,0)-MATCH("character_id",[3]characters!$2:$2,0)+1,FALSE),"")</f>
        <v/>
      </c>
      <c r="AB129" s="5" t="str">
        <f ca="1">IFERROR(VLOOKUP($Y129,OFFSET([3]characters!$A$1,0,0,COUNTA([3]characters!$A:$A),MATCH(AB$1,[3]characters!$2:$2,0)-MATCH("character_id",[3]characters!$2:$2,0)+1),MATCH(AB$1,[3]characters!$2:$2,0)-MATCH("character_id",[3]characters!$2:$2,0)+1,FALSE),"")</f>
        <v/>
      </c>
      <c r="AC129" s="8">
        <v>3</v>
      </c>
      <c r="AD129" s="8" t="str">
        <f t="shared" ca="1" si="46"/>
        <v/>
      </c>
      <c r="AE129" s="9">
        <v>0</v>
      </c>
      <c r="AF129" s="38">
        <v>0</v>
      </c>
      <c r="AG129" s="38">
        <v>0</v>
      </c>
      <c r="AH129" s="38">
        <v>0</v>
      </c>
      <c r="AI129" s="38">
        <v>0</v>
      </c>
      <c r="AJ129" s="38">
        <v>1</v>
      </c>
    </row>
    <row r="130" spans="1:36" ht="21" customHeight="1" x14ac:dyDescent="0.15">
      <c r="A130" s="21" t="e">
        <f t="shared" ca="1" si="80"/>
        <v>#N/A</v>
      </c>
      <c r="B130" s="33">
        <v>5</v>
      </c>
      <c r="C130" s="32">
        <v>3</v>
      </c>
      <c r="D130" s="2" t="str">
        <f t="shared" si="81"/>
        <v>5_3</v>
      </c>
      <c r="E130" s="5" t="str">
        <f ca="1">VLOOKUP($B130,OFFSET([1]quests!$A$1,0,0,COUNTA([1]quests!$A:$A),MATCH(E$1,[1]quests!$1:$1,0)-MATCH($B$1,[1]quests!$1:$1,0)+1),MATCH(E$1,[1]quests!$1:$1,0)-MATCH($B$1,[1]quests!$1:$1,0)+1,FALSE)</f>
        <v>5．ウォーターランド</v>
      </c>
      <c r="F130" s="5" t="str">
        <f ca="1">VLOOKUP($D130,OFFSET([1]stages!$A$1,0,0,COUNTA([1]stages!$A:$A),MATCH(F$1,[1]stages!$2:$2,0)-MATCH($D$1,[1]stages!$2:$2,0)+1),MATCH(F$1,[1]stages!$2:$2,0)-MATCH($D$1,[1]stages!$2:$2,0)+1,FALSE)</f>
        <v>5-3. 水天一碧の凪刀</v>
      </c>
      <c r="G130" s="32">
        <v>1</v>
      </c>
      <c r="H130" s="20" t="str">
        <f t="shared" si="82"/>
        <v>5_3-1</v>
      </c>
      <c r="I130" s="31">
        <v>17</v>
      </c>
      <c r="J130" s="26" t="e">
        <f ca="1">VLOOKUP($I130,OFFSET([2]enemies!$A$1,0,0,COUNTA([2]enemies!$A:$A),MATCH(J$1,[2]enemies!$2:$2,0)-MATCH($I$1,[2]enemies!$2:$2,0)+1),MATCH(J$1,[2]enemies!$2:$2,0)-MATCH($I$1,[2]enemies!$2:$2,0)+1,FALSE)</f>
        <v>#N/A</v>
      </c>
      <c r="K130" s="29" t="e">
        <f ca="1">VLOOKUP($I130,OFFSET([2]enemies!$A$1,0,0,COUNTA([2]enemies!$A:$A),MATCH(K$1,[2]enemies!$2:$2,0)-MATCH($I$1,[2]enemies!$2:$2,0)+1),MATCH(K$1,[2]enemies!$2:$2,0)-MATCH($I$1,[2]enemies!$2:$2,0)+1,FALSE)</f>
        <v>#N/A</v>
      </c>
      <c r="L130" s="29" t="e">
        <f ca="1">VLOOKUP($I130,OFFSET([3]characters!$A$1,0,0,COUNTA([3]characters!$A:$A),MATCH(L$1,[3]characters!$2:$2,0)-MATCH($I$1,[3]characters!$2:$2,0)+1),MATCH(L$1,[3]characters!$2:$2,0)-MATCH($I$1,[3]characters!$2:$2,0)+1,FALSE)</f>
        <v>#N/A</v>
      </c>
      <c r="M130" s="28" t="e">
        <f ca="1">VLOOKUP($I130,OFFSET([3]characters!$A$1,0,0,COUNTA([3]characters!$A:$A),MATCH(M$1,[3]characters!$2:$2,0)-MATCH($I$1,[3]characters!$2:$2,0)+2),MATCH(M$1,[3]characters!$2:$2,0)-MATCH($I$1,[3]characters!$2:$2,0)+2,FALSE)</f>
        <v>#N/A</v>
      </c>
      <c r="N130" s="5" t="e">
        <f ca="1">VLOOKUP($I130,OFFSET([2]enemies!$A$1,0,0,COUNTA([2]enemies!$A:$A),MATCH(N$1,[2]enemies!$2:$2,0)-MATCH($I$1,[2]enemies!$2:$2,0)+1),MATCH(N$1,[2]enemies!$2:$2,0)-MATCH($I$1,[2]enemies!$2:$2,0)+1,FALSE)</f>
        <v>#N/A</v>
      </c>
      <c r="O130" s="6">
        <v>7</v>
      </c>
      <c r="P130" s="43">
        <v>1</v>
      </c>
      <c r="Q130" s="43">
        <v>1</v>
      </c>
      <c r="R130" s="6">
        <v>0</v>
      </c>
      <c r="S130" s="5" t="str">
        <f ca="1">VLOOKUP($T130,OFFSET([4]enemy_skill_sets!$B$1,0,0,COUNTA([4]enemy_skill_sets!$B:$B),MATCH(J$1,[4]enemy_skill_sets!$1:$1,0)-MATCH($T$1,[4]enemy_skill_sets!$1:$1,0)+2),MATCH(J$1,[4]enemy_skill_sets!$1:$1,0)-MATCH($T$1,[4]enemy_skill_sets!$1:$1,0)+2,FALSE)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0" s="5">
        <v>0</v>
      </c>
      <c r="U130" s="7">
        <v>0</v>
      </c>
      <c r="V130" s="7">
        <v>100</v>
      </c>
      <c r="W130" s="7">
        <v>0</v>
      </c>
      <c r="X130" s="26" t="e">
        <f ca="1">VLOOKUP($I130,OFFSET([2]enemies!$A$1,0,0,COUNTA([2]enemies!$A:$A),MATCH(X$1,[2]enemies!$2:$2,0)-MATCH($I$1,[2]enemies!$2:$2,0)+1),MATCH(X$1,[2]enemies!$2:$2,0)-MATCH($I$1,[2]enemies!$2:$2,0)+1,FALSE)</f>
        <v>#N/A</v>
      </c>
      <c r="Y130" s="31">
        <v>17</v>
      </c>
      <c r="Z130" s="5" t="str">
        <f ca="1">IFERROR(VLOOKUP($Y130,OFFSET([3]characters!$A$1,0,0,COUNTA([3]characters!$A:$A),MATCH(Z$1,[3]characters!$2:$2,0)-MATCH("character_id",[3]characters!$2:$2,0)+1),MATCH(Z$1,[3]characters!$2:$2,0)-MATCH("character_id",[3]characters!$2:$2,0)+1,FALSE),"")</f>
        <v/>
      </c>
      <c r="AA130" s="5" t="str">
        <f ca="1">IFERROR(VLOOKUP($Y130,OFFSET([3]characters!$A$1,0,0,COUNTA([3]characters!$A:$A),MATCH(AA$1,[3]characters!$2:$2,0)-MATCH("character_id",[3]characters!$2:$2,0)+1),MATCH(AA$1,[3]characters!$2:$2,0)-MATCH("character_id",[3]characters!$2:$2,0)+1,FALSE),"")</f>
        <v/>
      </c>
      <c r="AB130" s="5" t="str">
        <f ca="1">IFERROR(VLOOKUP($Y130,OFFSET([3]characters!$A$1,0,0,COUNTA([3]characters!$A:$A),MATCH(AB$1,[3]characters!$2:$2,0)-MATCH("character_id",[3]characters!$2:$2,0)+1),MATCH(AB$1,[3]characters!$2:$2,0)-MATCH("character_id",[3]characters!$2:$2,0)+1,FALSE),"")</f>
        <v/>
      </c>
      <c r="AC130" s="8">
        <v>1</v>
      </c>
      <c r="AD130" s="8" t="str">
        <f t="shared" ca="1" si="46"/>
        <v/>
      </c>
      <c r="AE130" s="9">
        <v>30</v>
      </c>
      <c r="AF130" s="38">
        <v>0</v>
      </c>
      <c r="AG130" s="38">
        <v>0</v>
      </c>
      <c r="AH130" s="38">
        <v>0</v>
      </c>
      <c r="AI130" s="38">
        <v>0</v>
      </c>
      <c r="AJ130" s="38">
        <v>1</v>
      </c>
    </row>
    <row r="131" spans="1:36" ht="21" customHeight="1" x14ac:dyDescent="0.15">
      <c r="A131" s="21" t="e">
        <f t="shared" ca="1" si="80"/>
        <v>#N/A</v>
      </c>
      <c r="B131" s="33">
        <v>5</v>
      </c>
      <c r="C131" s="32">
        <v>3</v>
      </c>
      <c r="D131" s="2" t="str">
        <f t="shared" si="81"/>
        <v>5_3</v>
      </c>
      <c r="E131" s="5" t="str">
        <f ca="1">VLOOKUP($B131,OFFSET([1]quests!$A$1,0,0,COUNTA([1]quests!$A:$A),MATCH(E$1,[1]quests!$1:$1,0)-MATCH($B$1,[1]quests!$1:$1,0)+1),MATCH(E$1,[1]quests!$1:$1,0)-MATCH($B$1,[1]quests!$1:$1,0)+1,FALSE)</f>
        <v>5．ウォーターランド</v>
      </c>
      <c r="F131" s="5" t="str">
        <f ca="1">VLOOKUP($D131,OFFSET([1]stages!$A$1,0,0,COUNTA([1]stages!$A:$A),MATCH(F$1,[1]stages!$2:$2,0)-MATCH($D$1,[1]stages!$2:$2,0)+1),MATCH(F$1,[1]stages!$2:$2,0)-MATCH($D$1,[1]stages!$2:$2,0)+1,FALSE)</f>
        <v>5-3. 水天一碧の凪刀</v>
      </c>
      <c r="G131" s="32">
        <v>1</v>
      </c>
      <c r="H131" s="20" t="str">
        <f t="shared" si="82"/>
        <v>5_3-1</v>
      </c>
      <c r="I131" s="31">
        <v>25</v>
      </c>
      <c r="J131" s="26" t="e">
        <f ca="1">VLOOKUP($I131,OFFSET([2]enemies!$A$1,0,0,COUNTA([2]enemies!$A:$A),MATCH(J$1,[2]enemies!$2:$2,0)-MATCH($I$1,[2]enemies!$2:$2,0)+1),MATCH(J$1,[2]enemies!$2:$2,0)-MATCH($I$1,[2]enemies!$2:$2,0)+1,FALSE)</f>
        <v>#N/A</v>
      </c>
      <c r="K131" s="29" t="e">
        <f ca="1">VLOOKUP($I131,OFFSET([2]enemies!$A$1,0,0,COUNTA([2]enemies!$A:$A),MATCH(K$1,[2]enemies!$2:$2,0)-MATCH($I$1,[2]enemies!$2:$2,0)+1),MATCH(K$1,[2]enemies!$2:$2,0)-MATCH($I$1,[2]enemies!$2:$2,0)+1,FALSE)</f>
        <v>#N/A</v>
      </c>
      <c r="L131" s="29" t="e">
        <f ca="1">VLOOKUP($I131,OFFSET([3]characters!$A$1,0,0,COUNTA([3]characters!$A:$A),MATCH(L$1,[3]characters!$2:$2,0)-MATCH($I$1,[3]characters!$2:$2,0)+1),MATCH(L$1,[3]characters!$2:$2,0)-MATCH($I$1,[3]characters!$2:$2,0)+1,FALSE)</f>
        <v>#N/A</v>
      </c>
      <c r="M131" s="28" t="e">
        <f ca="1">VLOOKUP($I131,OFFSET([3]characters!$A$1,0,0,COUNTA([3]characters!$A:$A),MATCH(M$1,[3]characters!$2:$2,0)-MATCH($I$1,[3]characters!$2:$2,0)+2),MATCH(M$1,[3]characters!$2:$2,0)-MATCH($I$1,[3]characters!$2:$2,0)+2,FALSE)</f>
        <v>#N/A</v>
      </c>
      <c r="N131" s="5" t="e">
        <f ca="1">VLOOKUP($I131,OFFSET([2]enemies!$A$1,0,0,COUNTA([2]enemies!$A:$A),MATCH(N$1,[2]enemies!$2:$2,0)-MATCH($I$1,[2]enemies!$2:$2,0)+1),MATCH(N$1,[2]enemies!$2:$2,0)-MATCH($I$1,[2]enemies!$2:$2,0)+1,FALSE)</f>
        <v>#N/A</v>
      </c>
      <c r="O131" s="6">
        <v>7</v>
      </c>
      <c r="P131" s="43">
        <v>1</v>
      </c>
      <c r="Q131" s="43">
        <v>1</v>
      </c>
      <c r="R131" s="6">
        <v>0</v>
      </c>
      <c r="S131" s="5" t="str">
        <f ca="1">VLOOKUP($T131,OFFSET([4]enemy_skill_sets!$B$1,0,0,COUNTA([4]enemy_skill_sets!$B:$B),MATCH(J$1,[4]enemy_skill_sets!$1:$1,0)-MATCH($T$1,[4]enemy_skill_sets!$1:$1,0)+2),MATCH(J$1,[4]enemy_skill_sets!$1:$1,0)-MATCH($T$1,[4]enemy_skill_sets!$1:$1,0)+2,FALSE)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1" s="5">
        <v>0</v>
      </c>
      <c r="U131" s="7">
        <v>0</v>
      </c>
      <c r="V131" s="7">
        <v>100</v>
      </c>
      <c r="W131" s="7">
        <v>0</v>
      </c>
      <c r="X131" s="26" t="e">
        <f ca="1">VLOOKUP($I131,OFFSET([2]enemies!$A$1,0,0,COUNTA([2]enemies!$A:$A),MATCH(X$1,[2]enemies!$2:$2,0)-MATCH($I$1,[2]enemies!$2:$2,0)+1),MATCH(X$1,[2]enemies!$2:$2,0)-MATCH($I$1,[2]enemies!$2:$2,0)+1,FALSE)</f>
        <v>#N/A</v>
      </c>
      <c r="Y131" s="31">
        <v>25</v>
      </c>
      <c r="Z131" s="5" t="str">
        <f ca="1">IFERROR(VLOOKUP($Y131,OFFSET([3]characters!$A$1,0,0,COUNTA([3]characters!$A:$A),MATCH(Z$1,[3]characters!$2:$2,0)-MATCH("character_id",[3]characters!$2:$2,0)+1),MATCH(Z$1,[3]characters!$2:$2,0)-MATCH("character_id",[3]characters!$2:$2,0)+1,FALSE),"")</f>
        <v/>
      </c>
      <c r="AA131" s="5" t="str">
        <f ca="1">IFERROR(VLOOKUP($Y131,OFFSET([3]characters!$A$1,0,0,COUNTA([3]characters!$A:$A),MATCH(AA$1,[3]characters!$2:$2,0)-MATCH("character_id",[3]characters!$2:$2,0)+1),MATCH(AA$1,[3]characters!$2:$2,0)-MATCH("character_id",[3]characters!$2:$2,0)+1,FALSE),"")</f>
        <v/>
      </c>
      <c r="AB131" s="5" t="str">
        <f ca="1">IFERROR(VLOOKUP($Y131,OFFSET([3]characters!$A$1,0,0,COUNTA([3]characters!$A:$A),MATCH(AB$1,[3]characters!$2:$2,0)-MATCH("character_id",[3]characters!$2:$2,0)+1),MATCH(AB$1,[3]characters!$2:$2,0)-MATCH("character_id",[3]characters!$2:$2,0)+1,FALSE),"")</f>
        <v/>
      </c>
      <c r="AC131" s="8">
        <v>1</v>
      </c>
      <c r="AD131" s="8" t="str">
        <f t="shared" ca="1" si="46"/>
        <v/>
      </c>
      <c r="AE131" s="9">
        <v>30</v>
      </c>
      <c r="AF131" s="38">
        <v>0</v>
      </c>
      <c r="AG131" s="38">
        <v>0</v>
      </c>
      <c r="AH131" s="38">
        <v>0</v>
      </c>
      <c r="AI131" s="38">
        <v>0</v>
      </c>
      <c r="AJ131" s="38">
        <v>1</v>
      </c>
    </row>
    <row r="132" spans="1:36" ht="21" customHeight="1" x14ac:dyDescent="0.15">
      <c r="A132" s="21" t="e">
        <f t="shared" ca="1" si="80"/>
        <v>#N/A</v>
      </c>
      <c r="B132" s="33">
        <v>5</v>
      </c>
      <c r="C132" s="32">
        <v>3</v>
      </c>
      <c r="D132" s="2" t="str">
        <f t="shared" si="81"/>
        <v>5_3</v>
      </c>
      <c r="E132" s="5" t="str">
        <f ca="1">VLOOKUP($B132,OFFSET([1]quests!$A$1,0,0,COUNTA([1]quests!$A:$A),MATCH(E$1,[1]quests!$1:$1,0)-MATCH($B$1,[1]quests!$1:$1,0)+1),MATCH(E$1,[1]quests!$1:$1,0)-MATCH($B$1,[1]quests!$1:$1,0)+1,FALSE)</f>
        <v>5．ウォーターランド</v>
      </c>
      <c r="F132" s="5" t="str">
        <f ca="1">VLOOKUP($D132,OFFSET([1]stages!$A$1,0,0,COUNTA([1]stages!$A:$A),MATCH(F$1,[1]stages!$2:$2,0)-MATCH($D$1,[1]stages!$2:$2,0)+1),MATCH(F$1,[1]stages!$2:$2,0)-MATCH($D$1,[1]stages!$2:$2,0)+1,FALSE)</f>
        <v>5-3. 水天一碧の凪刀</v>
      </c>
      <c r="G132" s="32">
        <v>1</v>
      </c>
      <c r="H132" s="20" t="str">
        <f t="shared" si="82"/>
        <v>5_3-1</v>
      </c>
      <c r="I132" s="31">
        <v>109</v>
      </c>
      <c r="J132" s="26" t="e">
        <f ca="1">VLOOKUP($I132,OFFSET([2]enemies!$A$1,0,0,COUNTA([2]enemies!$A:$A),MATCH(J$1,[2]enemies!$2:$2,0)-MATCH($I$1,[2]enemies!$2:$2,0)+1),MATCH(J$1,[2]enemies!$2:$2,0)-MATCH($I$1,[2]enemies!$2:$2,0)+1,FALSE)</f>
        <v>#N/A</v>
      </c>
      <c r="K132" s="29" t="e">
        <f ca="1">VLOOKUP($I132,OFFSET([2]enemies!$A$1,0,0,COUNTA([2]enemies!$A:$A),MATCH(K$1,[2]enemies!$2:$2,0)-MATCH($I$1,[2]enemies!$2:$2,0)+1),MATCH(K$1,[2]enemies!$2:$2,0)-MATCH($I$1,[2]enemies!$2:$2,0)+1,FALSE)</f>
        <v>#N/A</v>
      </c>
      <c r="L132" s="29" t="e">
        <f ca="1">VLOOKUP($I132,OFFSET([3]characters!$A$1,0,0,COUNTA([3]characters!$A:$A),MATCH(L$1,[3]characters!$2:$2,0)-MATCH($I$1,[3]characters!$2:$2,0)+1),MATCH(L$1,[3]characters!$2:$2,0)-MATCH($I$1,[3]characters!$2:$2,0)+1,FALSE)</f>
        <v>#N/A</v>
      </c>
      <c r="M132" s="28" t="e">
        <f ca="1">VLOOKUP($I132,OFFSET([3]characters!$A$1,0,0,COUNTA([3]characters!$A:$A),MATCH(M$1,[3]characters!$2:$2,0)-MATCH($I$1,[3]characters!$2:$2,0)+2),MATCH(M$1,[3]characters!$2:$2,0)-MATCH($I$1,[3]characters!$2:$2,0)+2,FALSE)</f>
        <v>#N/A</v>
      </c>
      <c r="N132" s="5" t="e">
        <f ca="1">VLOOKUP($I132,OFFSET([2]enemies!$A$1,0,0,COUNTA([2]enemies!$A:$A),MATCH(N$1,[2]enemies!$2:$2,0)-MATCH($I$1,[2]enemies!$2:$2,0)+1),MATCH(N$1,[2]enemies!$2:$2,0)-MATCH($I$1,[2]enemies!$2:$2,0)+1,FALSE)</f>
        <v>#N/A</v>
      </c>
      <c r="O132" s="6">
        <v>7</v>
      </c>
      <c r="P132" s="43">
        <v>1</v>
      </c>
      <c r="Q132" s="43">
        <v>1</v>
      </c>
      <c r="R132" s="6">
        <v>0</v>
      </c>
      <c r="S132" s="5" t="str">
        <f ca="1">VLOOKUP($T132,OFFSET([4]enemy_skill_sets!$B$1,0,0,COUNTA([4]enemy_skill_sets!$B:$B),MATCH(J$1,[4]enemy_skill_sets!$1:$1,0)-MATCH($T$1,[4]enemy_skill_sets!$1:$1,0)+2),MATCH(J$1,[4]enemy_skill_sets!$1:$1,0)-MATCH($T$1,[4]enemy_skill_sets!$1:$1,0)+2,FALSE)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2" s="5">
        <v>0</v>
      </c>
      <c r="U132" s="7">
        <v>0</v>
      </c>
      <c r="V132" s="7">
        <v>50</v>
      </c>
      <c r="W132" s="7">
        <v>0</v>
      </c>
      <c r="X132" s="26" t="e">
        <f ca="1">VLOOKUP($I132,OFFSET([2]enemies!$A$1,0,0,COUNTA([2]enemies!$A:$A),MATCH(X$1,[2]enemies!$2:$2,0)-MATCH($I$1,[2]enemies!$2:$2,0)+1),MATCH(X$1,[2]enemies!$2:$2,0)-MATCH($I$1,[2]enemies!$2:$2,0)+1,FALSE)</f>
        <v>#N/A</v>
      </c>
      <c r="Y132" s="31">
        <v>109</v>
      </c>
      <c r="Z132" s="5" t="str">
        <f ca="1">IFERROR(VLOOKUP($Y132,OFFSET([3]characters!$A$1,0,0,COUNTA([3]characters!$A:$A),MATCH(Z$1,[3]characters!$2:$2,0)-MATCH("character_id",[3]characters!$2:$2,0)+1),MATCH(Z$1,[3]characters!$2:$2,0)-MATCH("character_id",[3]characters!$2:$2,0)+1,FALSE),"")</f>
        <v/>
      </c>
      <c r="AA132" s="5" t="str">
        <f ca="1">IFERROR(VLOOKUP($Y132,OFFSET([3]characters!$A$1,0,0,COUNTA([3]characters!$A:$A),MATCH(AA$1,[3]characters!$2:$2,0)-MATCH("character_id",[3]characters!$2:$2,0)+1),MATCH(AA$1,[3]characters!$2:$2,0)-MATCH("character_id",[3]characters!$2:$2,0)+1,FALSE),"")</f>
        <v/>
      </c>
      <c r="AB132" s="5" t="str">
        <f ca="1">IFERROR(VLOOKUP($Y132,OFFSET([3]characters!$A$1,0,0,COUNTA([3]characters!$A:$A),MATCH(AB$1,[3]characters!$2:$2,0)-MATCH("character_id",[3]characters!$2:$2,0)+1),MATCH(AB$1,[3]characters!$2:$2,0)-MATCH("character_id",[3]characters!$2:$2,0)+1,FALSE),"")</f>
        <v/>
      </c>
      <c r="AC132" s="8">
        <v>1</v>
      </c>
      <c r="AD132" s="8" t="str">
        <f t="shared" ca="1" si="46"/>
        <v/>
      </c>
      <c r="AE132" s="9">
        <v>20</v>
      </c>
      <c r="AF132" s="38">
        <v>0</v>
      </c>
      <c r="AG132" s="38">
        <v>0</v>
      </c>
      <c r="AH132" s="38">
        <v>0</v>
      </c>
      <c r="AI132" s="38">
        <v>0</v>
      </c>
      <c r="AJ132" s="38">
        <v>1</v>
      </c>
    </row>
    <row r="133" spans="1:36" ht="21" customHeight="1" x14ac:dyDescent="0.15">
      <c r="A133" s="21" t="e">
        <f t="shared" ca="1" si="80"/>
        <v>#N/A</v>
      </c>
      <c r="B133" s="33">
        <v>5</v>
      </c>
      <c r="C133" s="32">
        <v>3</v>
      </c>
      <c r="D133" s="2" t="str">
        <f t="shared" si="81"/>
        <v>5_3</v>
      </c>
      <c r="E133" s="5" t="str">
        <f ca="1">VLOOKUP($B133,OFFSET([1]quests!$A$1,0,0,COUNTA([1]quests!$A:$A),MATCH(E$1,[1]quests!$1:$1,0)-MATCH($B$1,[1]quests!$1:$1,0)+1),MATCH(E$1,[1]quests!$1:$1,0)-MATCH($B$1,[1]quests!$1:$1,0)+1,FALSE)</f>
        <v>5．ウォーターランド</v>
      </c>
      <c r="F133" s="5" t="str">
        <f ca="1">VLOOKUP($D133,OFFSET([1]stages!$A$1,0,0,COUNTA([1]stages!$A:$A),MATCH(F$1,[1]stages!$2:$2,0)-MATCH($D$1,[1]stages!$2:$2,0)+1),MATCH(F$1,[1]stages!$2:$2,0)-MATCH($D$1,[1]stages!$2:$2,0)+1,FALSE)</f>
        <v>5-3. 水天一碧の凪刀</v>
      </c>
      <c r="G133" s="32">
        <v>2</v>
      </c>
      <c r="H133" s="20" t="str">
        <f t="shared" si="82"/>
        <v>5_3-2</v>
      </c>
      <c r="I133" s="31">
        <v>5</v>
      </c>
      <c r="J133" s="26" t="e">
        <f ca="1">VLOOKUP($I133,OFFSET([2]enemies!$A$1,0,0,COUNTA([2]enemies!$A:$A),MATCH(J$1,[2]enemies!$2:$2,0)-MATCH($I$1,[2]enemies!$2:$2,0)+1),MATCH(J$1,[2]enemies!$2:$2,0)-MATCH($I$1,[2]enemies!$2:$2,0)+1,FALSE)</f>
        <v>#N/A</v>
      </c>
      <c r="K133" s="29" t="e">
        <f ca="1">VLOOKUP($I133,OFFSET([2]enemies!$A$1,0,0,COUNTA([2]enemies!$A:$A),MATCH(K$1,[2]enemies!$2:$2,0)-MATCH($I$1,[2]enemies!$2:$2,0)+1),MATCH(K$1,[2]enemies!$2:$2,0)-MATCH($I$1,[2]enemies!$2:$2,0)+1,FALSE)</f>
        <v>#N/A</v>
      </c>
      <c r="L133" s="29" t="e">
        <f ca="1">VLOOKUP($I133,OFFSET([3]characters!$A$1,0,0,COUNTA([3]characters!$A:$A),MATCH(L$1,[3]characters!$2:$2,0)-MATCH($I$1,[3]characters!$2:$2,0)+1),MATCH(L$1,[3]characters!$2:$2,0)-MATCH($I$1,[3]characters!$2:$2,0)+1,FALSE)</f>
        <v>#N/A</v>
      </c>
      <c r="M133" s="28" t="e">
        <f ca="1">VLOOKUP($I133,OFFSET([3]characters!$A$1,0,0,COUNTA([3]characters!$A:$A),MATCH(M$1,[3]characters!$2:$2,0)-MATCH($I$1,[3]characters!$2:$2,0)+2),MATCH(M$1,[3]characters!$2:$2,0)-MATCH($I$1,[3]characters!$2:$2,0)+2,FALSE)</f>
        <v>#N/A</v>
      </c>
      <c r="N133" s="5" t="e">
        <f ca="1">VLOOKUP($I133,OFFSET([2]enemies!$A$1,0,0,COUNTA([2]enemies!$A:$A),MATCH(N$1,[2]enemies!$2:$2,0)-MATCH($I$1,[2]enemies!$2:$2,0)+1),MATCH(N$1,[2]enemies!$2:$2,0)-MATCH($I$1,[2]enemies!$2:$2,0)+1,FALSE)</f>
        <v>#N/A</v>
      </c>
      <c r="O133" s="6">
        <v>7</v>
      </c>
      <c r="P133" s="43">
        <v>1</v>
      </c>
      <c r="Q133" s="43">
        <v>1</v>
      </c>
      <c r="R133" s="6">
        <v>0</v>
      </c>
      <c r="S133" s="5" t="str">
        <f ca="1">VLOOKUP($T133,OFFSET([4]enemy_skill_sets!$B$1,0,0,COUNTA([4]enemy_skill_sets!$B:$B),MATCH(J$1,[4]enemy_skill_sets!$1:$1,0)-MATCH($T$1,[4]enemy_skill_sets!$1:$1,0)+2),MATCH(J$1,[4]enemy_skill_sets!$1:$1,0)-MATCH($T$1,[4]enemy_skill_sets!$1:$1,0)+2,FALSE)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3" s="5">
        <v>0</v>
      </c>
      <c r="U133" s="7">
        <v>0</v>
      </c>
      <c r="V133" s="7">
        <v>100</v>
      </c>
      <c r="W133" s="7">
        <v>0</v>
      </c>
      <c r="X133" s="26" t="e">
        <f ca="1">VLOOKUP($I133,OFFSET([2]enemies!$A$1,0,0,COUNTA([2]enemies!$A:$A),MATCH(X$1,[2]enemies!$2:$2,0)-MATCH($I$1,[2]enemies!$2:$2,0)+1),MATCH(X$1,[2]enemies!$2:$2,0)-MATCH($I$1,[2]enemies!$2:$2,0)+1,FALSE)</f>
        <v>#N/A</v>
      </c>
      <c r="Y133" s="31">
        <v>5</v>
      </c>
      <c r="Z133" s="5" t="str">
        <f ca="1">IFERROR(VLOOKUP($Y133,OFFSET([3]characters!$A$1,0,0,COUNTA([3]characters!$A:$A),MATCH(Z$1,[3]characters!$2:$2,0)-MATCH("character_id",[3]characters!$2:$2,0)+1),MATCH(Z$1,[3]characters!$2:$2,0)-MATCH("character_id",[3]characters!$2:$2,0)+1,FALSE),"")</f>
        <v/>
      </c>
      <c r="AA133" s="5" t="str">
        <f ca="1">IFERROR(VLOOKUP($Y133,OFFSET([3]characters!$A$1,0,0,COUNTA([3]characters!$A:$A),MATCH(AA$1,[3]characters!$2:$2,0)-MATCH("character_id",[3]characters!$2:$2,0)+1),MATCH(AA$1,[3]characters!$2:$2,0)-MATCH("character_id",[3]characters!$2:$2,0)+1,FALSE),"")</f>
        <v/>
      </c>
      <c r="AB133" s="5" t="str">
        <f ca="1">IFERROR(VLOOKUP($Y133,OFFSET([3]characters!$A$1,0,0,COUNTA([3]characters!$A:$A),MATCH(AB$1,[3]characters!$2:$2,0)-MATCH("character_id",[3]characters!$2:$2,0)+1),MATCH(AB$1,[3]characters!$2:$2,0)-MATCH("character_id",[3]characters!$2:$2,0)+1,FALSE),"")</f>
        <v/>
      </c>
      <c r="AC133" s="8">
        <v>3</v>
      </c>
      <c r="AD133" s="8" t="str">
        <f t="shared" ca="1" si="46"/>
        <v/>
      </c>
      <c r="AE133" s="9">
        <v>30</v>
      </c>
      <c r="AF133" s="38">
        <v>0</v>
      </c>
      <c r="AG133" s="38">
        <v>0</v>
      </c>
      <c r="AH133" s="38">
        <v>0</v>
      </c>
      <c r="AI133" s="38">
        <v>0</v>
      </c>
      <c r="AJ133" s="38">
        <v>1</v>
      </c>
    </row>
    <row r="134" spans="1:36" ht="21" customHeight="1" x14ac:dyDescent="0.15">
      <c r="A134" s="21" t="e">
        <f t="shared" ca="1" si="80"/>
        <v>#N/A</v>
      </c>
      <c r="B134" s="33">
        <v>5</v>
      </c>
      <c r="C134" s="32">
        <v>3</v>
      </c>
      <c r="D134" s="2" t="str">
        <f t="shared" si="81"/>
        <v>5_3</v>
      </c>
      <c r="E134" s="5" t="str">
        <f ca="1">VLOOKUP($B134,OFFSET([1]quests!$A$1,0,0,COUNTA([1]quests!$A:$A),MATCH(E$1,[1]quests!$1:$1,0)-MATCH($B$1,[1]quests!$1:$1,0)+1),MATCH(E$1,[1]quests!$1:$1,0)-MATCH($B$1,[1]quests!$1:$1,0)+1,FALSE)</f>
        <v>5．ウォーターランド</v>
      </c>
      <c r="F134" s="5" t="str">
        <f ca="1">VLOOKUP($D134,OFFSET([1]stages!$A$1,0,0,COUNTA([1]stages!$A:$A),MATCH(F$1,[1]stages!$2:$2,0)-MATCH($D$1,[1]stages!$2:$2,0)+1),MATCH(F$1,[1]stages!$2:$2,0)-MATCH($D$1,[1]stages!$2:$2,0)+1,FALSE)</f>
        <v>5-3. 水天一碧の凪刀</v>
      </c>
      <c r="G134" s="32">
        <v>2</v>
      </c>
      <c r="H134" s="20" t="str">
        <f t="shared" si="82"/>
        <v>5_3-2</v>
      </c>
      <c r="I134" s="31">
        <v>17</v>
      </c>
      <c r="J134" s="26" t="e">
        <f ca="1">VLOOKUP($I134,OFFSET([2]enemies!$A$1,0,0,COUNTA([2]enemies!$A:$A),MATCH(J$1,[2]enemies!$2:$2,0)-MATCH($I$1,[2]enemies!$2:$2,0)+1),MATCH(J$1,[2]enemies!$2:$2,0)-MATCH($I$1,[2]enemies!$2:$2,0)+1,FALSE)</f>
        <v>#N/A</v>
      </c>
      <c r="K134" s="29" t="e">
        <f ca="1">VLOOKUP($I134,OFFSET([2]enemies!$A$1,0,0,COUNTA([2]enemies!$A:$A),MATCH(K$1,[2]enemies!$2:$2,0)-MATCH($I$1,[2]enemies!$2:$2,0)+1),MATCH(K$1,[2]enemies!$2:$2,0)-MATCH($I$1,[2]enemies!$2:$2,0)+1,FALSE)</f>
        <v>#N/A</v>
      </c>
      <c r="L134" s="29" t="e">
        <f ca="1">VLOOKUP($I134,OFFSET([3]characters!$A$1,0,0,COUNTA([3]characters!$A:$A),MATCH(L$1,[3]characters!$2:$2,0)-MATCH($I$1,[3]characters!$2:$2,0)+1),MATCH(L$1,[3]characters!$2:$2,0)-MATCH($I$1,[3]characters!$2:$2,0)+1,FALSE)</f>
        <v>#N/A</v>
      </c>
      <c r="M134" s="28" t="e">
        <f ca="1">VLOOKUP($I134,OFFSET([3]characters!$A$1,0,0,COUNTA([3]characters!$A:$A),MATCH(M$1,[3]characters!$2:$2,0)-MATCH($I$1,[3]characters!$2:$2,0)+2),MATCH(M$1,[3]characters!$2:$2,0)-MATCH($I$1,[3]characters!$2:$2,0)+2,FALSE)</f>
        <v>#N/A</v>
      </c>
      <c r="N134" s="5" t="e">
        <f ca="1">VLOOKUP($I134,OFFSET([2]enemies!$A$1,0,0,COUNTA([2]enemies!$A:$A),MATCH(N$1,[2]enemies!$2:$2,0)-MATCH($I$1,[2]enemies!$2:$2,0)+1),MATCH(N$1,[2]enemies!$2:$2,0)-MATCH($I$1,[2]enemies!$2:$2,0)+1,FALSE)</f>
        <v>#N/A</v>
      </c>
      <c r="O134" s="6">
        <v>7</v>
      </c>
      <c r="P134" s="43">
        <v>1</v>
      </c>
      <c r="Q134" s="43">
        <v>1</v>
      </c>
      <c r="R134" s="6">
        <v>0</v>
      </c>
      <c r="S134" s="5" t="str">
        <f ca="1">VLOOKUP($T134,OFFSET([4]enemy_skill_sets!$B$1,0,0,COUNTA([4]enemy_skill_sets!$B:$B),MATCH(J$1,[4]enemy_skill_sets!$1:$1,0)-MATCH($T$1,[4]enemy_skill_sets!$1:$1,0)+2),MATCH(J$1,[4]enemy_skill_sets!$1:$1,0)-MATCH($T$1,[4]enemy_skill_sets!$1:$1,0)+2,FALSE)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4" s="5">
        <v>0</v>
      </c>
      <c r="U134" s="7">
        <v>0</v>
      </c>
      <c r="V134" s="7">
        <v>100</v>
      </c>
      <c r="W134" s="7">
        <v>0</v>
      </c>
      <c r="X134" s="26" t="e">
        <f ca="1">VLOOKUP($I134,OFFSET([2]enemies!$A$1,0,0,COUNTA([2]enemies!$A:$A),MATCH(X$1,[2]enemies!$2:$2,0)-MATCH($I$1,[2]enemies!$2:$2,0)+1),MATCH(X$1,[2]enemies!$2:$2,0)-MATCH($I$1,[2]enemies!$2:$2,0)+1,FALSE)</f>
        <v>#N/A</v>
      </c>
      <c r="Y134" s="31">
        <v>17</v>
      </c>
      <c r="Z134" s="5" t="str">
        <f ca="1">IFERROR(VLOOKUP($Y134,OFFSET([3]characters!$A$1,0,0,COUNTA([3]characters!$A:$A),MATCH(Z$1,[3]characters!$2:$2,0)-MATCH("character_id",[3]characters!$2:$2,0)+1),MATCH(Z$1,[3]characters!$2:$2,0)-MATCH("character_id",[3]characters!$2:$2,0)+1,FALSE),"")</f>
        <v/>
      </c>
      <c r="AA134" s="5" t="str">
        <f ca="1">IFERROR(VLOOKUP($Y134,OFFSET([3]characters!$A$1,0,0,COUNTA([3]characters!$A:$A),MATCH(AA$1,[3]characters!$2:$2,0)-MATCH("character_id",[3]characters!$2:$2,0)+1),MATCH(AA$1,[3]characters!$2:$2,0)-MATCH("character_id",[3]characters!$2:$2,0)+1,FALSE),"")</f>
        <v/>
      </c>
      <c r="AB134" s="5" t="str">
        <f ca="1">IFERROR(VLOOKUP($Y134,OFFSET([3]characters!$A$1,0,0,COUNTA([3]characters!$A:$A),MATCH(AB$1,[3]characters!$2:$2,0)-MATCH("character_id",[3]characters!$2:$2,0)+1),MATCH(AB$1,[3]characters!$2:$2,0)-MATCH("character_id",[3]characters!$2:$2,0)+1,FALSE),"")</f>
        <v/>
      </c>
      <c r="AC134" s="8">
        <v>1</v>
      </c>
      <c r="AD134" s="8" t="str">
        <f t="shared" ca="1" si="46"/>
        <v/>
      </c>
      <c r="AE134" s="9">
        <v>30</v>
      </c>
      <c r="AF134" s="38">
        <v>0</v>
      </c>
      <c r="AG134" s="38">
        <v>0</v>
      </c>
      <c r="AH134" s="38">
        <v>0</v>
      </c>
      <c r="AI134" s="38">
        <v>0</v>
      </c>
      <c r="AJ134" s="38">
        <v>1</v>
      </c>
    </row>
    <row r="135" spans="1:36" ht="21" customHeight="1" x14ac:dyDescent="0.15">
      <c r="A135" s="21" t="e">
        <f t="shared" ca="1" si="80"/>
        <v>#N/A</v>
      </c>
      <c r="B135" s="33">
        <v>5</v>
      </c>
      <c r="C135" s="32">
        <v>3</v>
      </c>
      <c r="D135" s="2" t="str">
        <f t="shared" si="81"/>
        <v>5_3</v>
      </c>
      <c r="E135" s="5" t="str">
        <f ca="1">VLOOKUP($B135,OFFSET([1]quests!$A$1,0,0,COUNTA([1]quests!$A:$A),MATCH(E$1,[1]quests!$1:$1,0)-MATCH($B$1,[1]quests!$1:$1,0)+1),MATCH(E$1,[1]quests!$1:$1,0)-MATCH($B$1,[1]quests!$1:$1,0)+1,FALSE)</f>
        <v>5．ウォーターランド</v>
      </c>
      <c r="F135" s="5" t="str">
        <f ca="1">VLOOKUP($D135,OFFSET([1]stages!$A$1,0,0,COUNTA([1]stages!$A:$A),MATCH(F$1,[1]stages!$2:$2,0)-MATCH($D$1,[1]stages!$2:$2,0)+1),MATCH(F$1,[1]stages!$2:$2,0)-MATCH($D$1,[1]stages!$2:$2,0)+1,FALSE)</f>
        <v>5-3. 水天一碧の凪刀</v>
      </c>
      <c r="G135" s="32">
        <v>2</v>
      </c>
      <c r="H135" s="20" t="str">
        <f t="shared" si="82"/>
        <v>5_3-2</v>
      </c>
      <c r="I135" s="31">
        <v>25</v>
      </c>
      <c r="J135" s="26" t="e">
        <f ca="1">VLOOKUP($I135,OFFSET([2]enemies!$A$1,0,0,COUNTA([2]enemies!$A:$A),MATCH(J$1,[2]enemies!$2:$2,0)-MATCH($I$1,[2]enemies!$2:$2,0)+1),MATCH(J$1,[2]enemies!$2:$2,0)-MATCH($I$1,[2]enemies!$2:$2,0)+1,FALSE)</f>
        <v>#N/A</v>
      </c>
      <c r="K135" s="29" t="e">
        <f ca="1">VLOOKUP($I135,OFFSET([2]enemies!$A$1,0,0,COUNTA([2]enemies!$A:$A),MATCH(K$1,[2]enemies!$2:$2,0)-MATCH($I$1,[2]enemies!$2:$2,0)+1),MATCH(K$1,[2]enemies!$2:$2,0)-MATCH($I$1,[2]enemies!$2:$2,0)+1,FALSE)</f>
        <v>#N/A</v>
      </c>
      <c r="L135" s="29" t="e">
        <f ca="1">VLOOKUP($I135,OFFSET([3]characters!$A$1,0,0,COUNTA([3]characters!$A:$A),MATCH(L$1,[3]characters!$2:$2,0)-MATCH($I$1,[3]characters!$2:$2,0)+1),MATCH(L$1,[3]characters!$2:$2,0)-MATCH($I$1,[3]characters!$2:$2,0)+1,FALSE)</f>
        <v>#N/A</v>
      </c>
      <c r="M135" s="28" t="e">
        <f ca="1">VLOOKUP($I135,OFFSET([3]characters!$A$1,0,0,COUNTA([3]characters!$A:$A),MATCH(M$1,[3]characters!$2:$2,0)-MATCH($I$1,[3]characters!$2:$2,0)+2),MATCH(M$1,[3]characters!$2:$2,0)-MATCH($I$1,[3]characters!$2:$2,0)+2,FALSE)</f>
        <v>#N/A</v>
      </c>
      <c r="N135" s="5" t="e">
        <f ca="1">VLOOKUP($I135,OFFSET([2]enemies!$A$1,0,0,COUNTA([2]enemies!$A:$A),MATCH(N$1,[2]enemies!$2:$2,0)-MATCH($I$1,[2]enemies!$2:$2,0)+1),MATCH(N$1,[2]enemies!$2:$2,0)-MATCH($I$1,[2]enemies!$2:$2,0)+1,FALSE)</f>
        <v>#N/A</v>
      </c>
      <c r="O135" s="6">
        <v>7</v>
      </c>
      <c r="P135" s="43">
        <v>1</v>
      </c>
      <c r="Q135" s="43">
        <v>1</v>
      </c>
      <c r="R135" s="6">
        <v>0</v>
      </c>
      <c r="S135" s="5" t="str">
        <f ca="1">VLOOKUP($T135,OFFSET([4]enemy_skill_sets!$B$1,0,0,COUNTA([4]enemy_skill_sets!$B:$B),MATCH(J$1,[4]enemy_skill_sets!$1:$1,0)-MATCH($T$1,[4]enemy_skill_sets!$1:$1,0)+2),MATCH(J$1,[4]enemy_skill_sets!$1:$1,0)-MATCH($T$1,[4]enemy_skill_sets!$1:$1,0)+2,FALSE)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5" s="5">
        <v>0</v>
      </c>
      <c r="U135" s="7">
        <v>0</v>
      </c>
      <c r="V135" s="7">
        <v>100</v>
      </c>
      <c r="W135" s="7">
        <v>0</v>
      </c>
      <c r="X135" s="26" t="e">
        <f ca="1">VLOOKUP($I135,OFFSET([2]enemies!$A$1,0,0,COUNTA([2]enemies!$A:$A),MATCH(X$1,[2]enemies!$2:$2,0)-MATCH($I$1,[2]enemies!$2:$2,0)+1),MATCH(X$1,[2]enemies!$2:$2,0)-MATCH($I$1,[2]enemies!$2:$2,0)+1,FALSE)</f>
        <v>#N/A</v>
      </c>
      <c r="Y135" s="31">
        <v>25</v>
      </c>
      <c r="Z135" s="5" t="str">
        <f ca="1">IFERROR(VLOOKUP($Y135,OFFSET([3]characters!$A$1,0,0,COUNTA([3]characters!$A:$A),MATCH(Z$1,[3]characters!$2:$2,0)-MATCH("character_id",[3]characters!$2:$2,0)+1),MATCH(Z$1,[3]characters!$2:$2,0)-MATCH("character_id",[3]characters!$2:$2,0)+1,FALSE),"")</f>
        <v/>
      </c>
      <c r="AA135" s="5" t="str">
        <f ca="1">IFERROR(VLOOKUP($Y135,OFFSET([3]characters!$A$1,0,0,COUNTA([3]characters!$A:$A),MATCH(AA$1,[3]characters!$2:$2,0)-MATCH("character_id",[3]characters!$2:$2,0)+1),MATCH(AA$1,[3]characters!$2:$2,0)-MATCH("character_id",[3]characters!$2:$2,0)+1,FALSE),"")</f>
        <v/>
      </c>
      <c r="AB135" s="5" t="str">
        <f ca="1">IFERROR(VLOOKUP($Y135,OFFSET([3]characters!$A$1,0,0,COUNTA([3]characters!$A:$A),MATCH(AB$1,[3]characters!$2:$2,0)-MATCH("character_id",[3]characters!$2:$2,0)+1),MATCH(AB$1,[3]characters!$2:$2,0)-MATCH("character_id",[3]characters!$2:$2,0)+1,FALSE),"")</f>
        <v/>
      </c>
      <c r="AC135" s="8">
        <v>1</v>
      </c>
      <c r="AD135" s="8" t="str">
        <f t="shared" ca="1" si="46"/>
        <v/>
      </c>
      <c r="AE135" s="9">
        <v>30</v>
      </c>
      <c r="AF135" s="38">
        <v>0</v>
      </c>
      <c r="AG135" s="38">
        <v>0</v>
      </c>
      <c r="AH135" s="38">
        <v>0</v>
      </c>
      <c r="AI135" s="38">
        <v>0</v>
      </c>
      <c r="AJ135" s="38">
        <v>1</v>
      </c>
    </row>
    <row r="136" spans="1:36" ht="21" customHeight="1" x14ac:dyDescent="0.15">
      <c r="A136" s="21" t="e">
        <f t="shared" ref="A136" ca="1" si="95">B136&amp;"_"&amp;C136&amp;"-"&amp;G136&amp;"/"&amp;I136&amp;"&lt;lv"&amp;O136&amp;"&gt;s"&amp;X136</f>
        <v>#N/A</v>
      </c>
      <c r="B136" s="33">
        <v>5</v>
      </c>
      <c r="C136" s="32">
        <v>3</v>
      </c>
      <c r="D136" s="2" t="str">
        <f t="shared" ref="D136" si="96">B136&amp;"_"&amp;C136</f>
        <v>5_3</v>
      </c>
      <c r="E136" s="5" t="str">
        <f ca="1">VLOOKUP($B136,OFFSET([1]quests!$A$1,0,0,COUNTA([1]quests!$A:$A),MATCH(E$1,[1]quests!$1:$1,0)-MATCH($B$1,[1]quests!$1:$1,0)+1),MATCH(E$1,[1]quests!$1:$1,0)-MATCH($B$1,[1]quests!$1:$1,0)+1,FALSE)</f>
        <v>5．ウォーターランド</v>
      </c>
      <c r="F136" s="5" t="str">
        <f ca="1">VLOOKUP($D136,OFFSET([1]stages!$A$1,0,0,COUNTA([1]stages!$A:$A),MATCH(F$1,[1]stages!$2:$2,0)-MATCH($D$1,[1]stages!$2:$2,0)+1),MATCH(F$1,[1]stages!$2:$2,0)-MATCH($D$1,[1]stages!$2:$2,0)+1,FALSE)</f>
        <v>5-3. 水天一碧の凪刀</v>
      </c>
      <c r="G136" s="32">
        <v>2</v>
      </c>
      <c r="H136" s="20" t="str">
        <f t="shared" ref="H136" si="97">B136&amp;"_"&amp;C136&amp;"-"&amp;G136</f>
        <v>5_3-2</v>
      </c>
      <c r="I136" s="31">
        <v>109</v>
      </c>
      <c r="J136" s="26" t="e">
        <f ca="1">VLOOKUP($I136,OFFSET([2]enemies!$A$1,0,0,COUNTA([2]enemies!$A:$A),MATCH(J$1,[2]enemies!$2:$2,0)-MATCH($I$1,[2]enemies!$2:$2,0)+1),MATCH(J$1,[2]enemies!$2:$2,0)-MATCH($I$1,[2]enemies!$2:$2,0)+1,FALSE)</f>
        <v>#N/A</v>
      </c>
      <c r="K136" s="29" t="e">
        <f ca="1">VLOOKUP($I136,OFFSET([2]enemies!$A$1,0,0,COUNTA([2]enemies!$A:$A),MATCH(K$1,[2]enemies!$2:$2,0)-MATCH($I$1,[2]enemies!$2:$2,0)+1),MATCH(K$1,[2]enemies!$2:$2,0)-MATCH($I$1,[2]enemies!$2:$2,0)+1,FALSE)</f>
        <v>#N/A</v>
      </c>
      <c r="L136" s="29" t="e">
        <f ca="1">VLOOKUP($I136,OFFSET([3]characters!$A$1,0,0,COUNTA([3]characters!$A:$A),MATCH(L$1,[3]characters!$2:$2,0)-MATCH($I$1,[3]characters!$2:$2,0)+1),MATCH(L$1,[3]characters!$2:$2,0)-MATCH($I$1,[3]characters!$2:$2,0)+1,FALSE)</f>
        <v>#N/A</v>
      </c>
      <c r="M136" s="28" t="e">
        <f ca="1">VLOOKUP($I136,OFFSET([3]characters!$A$1,0,0,COUNTA([3]characters!$A:$A),MATCH(M$1,[3]characters!$2:$2,0)-MATCH($I$1,[3]characters!$2:$2,0)+2),MATCH(M$1,[3]characters!$2:$2,0)-MATCH($I$1,[3]characters!$2:$2,0)+2,FALSE)</f>
        <v>#N/A</v>
      </c>
      <c r="N136" s="5" t="e">
        <f ca="1">VLOOKUP($I136,OFFSET([2]enemies!$A$1,0,0,COUNTA([2]enemies!$A:$A),MATCH(N$1,[2]enemies!$2:$2,0)-MATCH($I$1,[2]enemies!$2:$2,0)+1),MATCH(N$1,[2]enemies!$2:$2,0)-MATCH($I$1,[2]enemies!$2:$2,0)+1,FALSE)</f>
        <v>#N/A</v>
      </c>
      <c r="O136" s="6">
        <v>7</v>
      </c>
      <c r="P136" s="43">
        <v>1</v>
      </c>
      <c r="Q136" s="43">
        <v>1</v>
      </c>
      <c r="R136" s="6">
        <v>0</v>
      </c>
      <c r="S136" s="5" t="str">
        <f ca="1">VLOOKUP($T136,OFFSET([4]enemy_skill_sets!$B$1,0,0,COUNTA([4]enemy_skill_sets!$B:$B),MATCH(J$1,[4]enemy_skill_sets!$1:$1,0)-MATCH($T$1,[4]enemy_skill_sets!$1:$1,0)+2),MATCH(J$1,[4]enemy_skill_sets!$1:$1,0)-MATCH($T$1,[4]enemy_skill_sets!$1:$1,0)+2,FALSE)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6" s="5">
        <v>0</v>
      </c>
      <c r="U136" s="7">
        <v>0</v>
      </c>
      <c r="V136" s="7">
        <v>50</v>
      </c>
      <c r="W136" s="7">
        <v>0</v>
      </c>
      <c r="X136" s="26" t="e">
        <f ca="1">VLOOKUP($I136,OFFSET([2]enemies!$A$1,0,0,COUNTA([2]enemies!$A:$A),MATCH(X$1,[2]enemies!$2:$2,0)-MATCH($I$1,[2]enemies!$2:$2,0)+1),MATCH(X$1,[2]enemies!$2:$2,0)-MATCH($I$1,[2]enemies!$2:$2,0)+1,FALSE)</f>
        <v>#N/A</v>
      </c>
      <c r="Y136" s="31">
        <v>109</v>
      </c>
      <c r="Z136" s="5" t="str">
        <f ca="1">IFERROR(VLOOKUP($Y136,OFFSET([3]characters!$A$1,0,0,COUNTA([3]characters!$A:$A),MATCH(Z$1,[3]characters!$2:$2,0)-MATCH("character_id",[3]characters!$2:$2,0)+1),MATCH(Z$1,[3]characters!$2:$2,0)-MATCH("character_id",[3]characters!$2:$2,0)+1,FALSE),"")</f>
        <v/>
      </c>
      <c r="AA136" s="5" t="str">
        <f ca="1">IFERROR(VLOOKUP($Y136,OFFSET([3]characters!$A$1,0,0,COUNTA([3]characters!$A:$A),MATCH(AA$1,[3]characters!$2:$2,0)-MATCH("character_id",[3]characters!$2:$2,0)+1),MATCH(AA$1,[3]characters!$2:$2,0)-MATCH("character_id",[3]characters!$2:$2,0)+1,FALSE),"")</f>
        <v/>
      </c>
      <c r="AB136" s="5" t="str">
        <f ca="1">IFERROR(VLOOKUP($Y136,OFFSET([3]characters!$A$1,0,0,COUNTA([3]characters!$A:$A),MATCH(AB$1,[3]characters!$2:$2,0)-MATCH("character_id",[3]characters!$2:$2,0)+1),MATCH(AB$1,[3]characters!$2:$2,0)-MATCH("character_id",[3]characters!$2:$2,0)+1,FALSE),"")</f>
        <v/>
      </c>
      <c r="AC136" s="8">
        <v>1</v>
      </c>
      <c r="AD136" s="8" t="str">
        <f t="shared" ref="AD136" ca="1" si="98">AA136</f>
        <v/>
      </c>
      <c r="AE136" s="9">
        <v>20</v>
      </c>
      <c r="AF136" s="38">
        <v>0</v>
      </c>
      <c r="AG136" s="38">
        <v>0</v>
      </c>
      <c r="AH136" s="38">
        <v>0</v>
      </c>
      <c r="AI136" s="38">
        <v>0</v>
      </c>
      <c r="AJ136" s="38">
        <v>1</v>
      </c>
    </row>
    <row r="137" spans="1:36" ht="21" customHeight="1" x14ac:dyDescent="0.15">
      <c r="A137" s="21" t="e">
        <f t="shared" ref="A137:A139" ca="1" si="99">B137&amp;"_"&amp;C137&amp;"-"&amp;G137&amp;"/"&amp;I137&amp;"&lt;lv"&amp;O137&amp;"&gt;s"&amp;X137</f>
        <v>#N/A</v>
      </c>
      <c r="B137" s="33">
        <v>5</v>
      </c>
      <c r="C137" s="32">
        <v>3</v>
      </c>
      <c r="D137" s="2" t="str">
        <f t="shared" ref="D137:D139" si="100">B137&amp;"_"&amp;C137</f>
        <v>5_3</v>
      </c>
      <c r="E137" s="5" t="str">
        <f ca="1">VLOOKUP($B137,OFFSET([1]quests!$A$1,0,0,COUNTA([1]quests!$A:$A),MATCH(E$1,[1]quests!$1:$1,0)-MATCH($B$1,[1]quests!$1:$1,0)+1),MATCH(E$1,[1]quests!$1:$1,0)-MATCH($B$1,[1]quests!$1:$1,0)+1,FALSE)</f>
        <v>5．ウォーターランド</v>
      </c>
      <c r="F137" s="5" t="str">
        <f ca="1">VLOOKUP($D137,OFFSET([1]stages!$A$1,0,0,COUNTA([1]stages!$A:$A),MATCH(F$1,[1]stages!$2:$2,0)-MATCH($D$1,[1]stages!$2:$2,0)+1),MATCH(F$1,[1]stages!$2:$2,0)-MATCH($D$1,[1]stages!$2:$2,0)+1,FALSE)</f>
        <v>5-3. 水天一碧の凪刀</v>
      </c>
      <c r="G137" s="32">
        <v>3</v>
      </c>
      <c r="H137" s="20" t="str">
        <f t="shared" ref="H137:H139" si="101">B137&amp;"_"&amp;C137&amp;"-"&amp;G137</f>
        <v>5_3-3</v>
      </c>
      <c r="I137" s="31">
        <v>5</v>
      </c>
      <c r="J137" s="26" t="e">
        <f ca="1">VLOOKUP($I137,OFFSET([2]enemies!$A$1,0,0,COUNTA([2]enemies!$A:$A),MATCH(J$1,[2]enemies!$2:$2,0)-MATCH($I$1,[2]enemies!$2:$2,0)+1),MATCH(J$1,[2]enemies!$2:$2,0)-MATCH($I$1,[2]enemies!$2:$2,0)+1,FALSE)</f>
        <v>#N/A</v>
      </c>
      <c r="K137" s="29" t="e">
        <f ca="1">VLOOKUP($I137,OFFSET([2]enemies!$A$1,0,0,COUNTA([2]enemies!$A:$A),MATCH(K$1,[2]enemies!$2:$2,0)-MATCH($I$1,[2]enemies!$2:$2,0)+1),MATCH(K$1,[2]enemies!$2:$2,0)-MATCH($I$1,[2]enemies!$2:$2,0)+1,FALSE)</f>
        <v>#N/A</v>
      </c>
      <c r="L137" s="29" t="e">
        <f ca="1">VLOOKUP($I137,OFFSET([3]characters!$A$1,0,0,COUNTA([3]characters!$A:$A),MATCH(L$1,[3]characters!$2:$2,0)-MATCH($I$1,[3]characters!$2:$2,0)+1),MATCH(L$1,[3]characters!$2:$2,0)-MATCH($I$1,[3]characters!$2:$2,0)+1,FALSE)</f>
        <v>#N/A</v>
      </c>
      <c r="M137" s="28" t="e">
        <f ca="1">VLOOKUP($I137,OFFSET([3]characters!$A$1,0,0,COUNTA([3]characters!$A:$A),MATCH(M$1,[3]characters!$2:$2,0)-MATCH($I$1,[3]characters!$2:$2,0)+2),MATCH(M$1,[3]characters!$2:$2,0)-MATCH($I$1,[3]characters!$2:$2,0)+2,FALSE)</f>
        <v>#N/A</v>
      </c>
      <c r="N137" s="5" t="e">
        <f ca="1">VLOOKUP($I137,OFFSET([2]enemies!$A$1,0,0,COUNTA([2]enemies!$A:$A),MATCH(N$1,[2]enemies!$2:$2,0)-MATCH($I$1,[2]enemies!$2:$2,0)+1),MATCH(N$1,[2]enemies!$2:$2,0)-MATCH($I$1,[2]enemies!$2:$2,0)+1,FALSE)</f>
        <v>#N/A</v>
      </c>
      <c r="O137" s="6">
        <v>7</v>
      </c>
      <c r="P137" s="43">
        <v>1</v>
      </c>
      <c r="Q137" s="43">
        <v>1</v>
      </c>
      <c r="R137" s="6">
        <v>0</v>
      </c>
      <c r="S137" s="5" t="str">
        <f ca="1">VLOOKUP($T137,OFFSET([4]enemy_skill_sets!$B$1,0,0,COUNTA([4]enemy_skill_sets!$B:$B),MATCH(J$1,[4]enemy_skill_sets!$1:$1,0)-MATCH($T$1,[4]enemy_skill_sets!$1:$1,0)+2),MATCH(J$1,[4]enemy_skill_sets!$1:$1,0)-MATCH($T$1,[4]enemy_skill_sets!$1:$1,0)+2,FALSE)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7" s="5">
        <v>0</v>
      </c>
      <c r="U137" s="7">
        <v>0</v>
      </c>
      <c r="V137" s="7">
        <v>100</v>
      </c>
      <c r="W137" s="7">
        <v>0</v>
      </c>
      <c r="X137" s="26" t="e">
        <f ca="1">VLOOKUP($I137,OFFSET([2]enemies!$A$1,0,0,COUNTA([2]enemies!$A:$A),MATCH(X$1,[2]enemies!$2:$2,0)-MATCH($I$1,[2]enemies!$2:$2,0)+1),MATCH(X$1,[2]enemies!$2:$2,0)-MATCH($I$1,[2]enemies!$2:$2,0)+1,FALSE)</f>
        <v>#N/A</v>
      </c>
      <c r="Y137" s="31">
        <v>5</v>
      </c>
      <c r="Z137" s="5" t="str">
        <f ca="1">IFERROR(VLOOKUP($Y137,OFFSET([3]characters!$A$1,0,0,COUNTA([3]characters!$A:$A),MATCH(Z$1,[3]characters!$2:$2,0)-MATCH("character_id",[3]characters!$2:$2,0)+1),MATCH(Z$1,[3]characters!$2:$2,0)-MATCH("character_id",[3]characters!$2:$2,0)+1,FALSE),"")</f>
        <v/>
      </c>
      <c r="AA137" s="5" t="str">
        <f ca="1">IFERROR(VLOOKUP($Y137,OFFSET([3]characters!$A$1,0,0,COUNTA([3]characters!$A:$A),MATCH(AA$1,[3]characters!$2:$2,0)-MATCH("character_id",[3]characters!$2:$2,0)+1),MATCH(AA$1,[3]characters!$2:$2,0)-MATCH("character_id",[3]characters!$2:$2,0)+1,FALSE),"")</f>
        <v/>
      </c>
      <c r="AB137" s="5" t="str">
        <f ca="1">IFERROR(VLOOKUP($Y137,OFFSET([3]characters!$A$1,0,0,COUNTA([3]characters!$A:$A),MATCH(AB$1,[3]characters!$2:$2,0)-MATCH("character_id",[3]characters!$2:$2,0)+1),MATCH(AB$1,[3]characters!$2:$2,0)-MATCH("character_id",[3]characters!$2:$2,0)+1,FALSE),"")</f>
        <v/>
      </c>
      <c r="AC137" s="8">
        <v>3</v>
      </c>
      <c r="AD137" s="8" t="str">
        <f t="shared" ref="AD137:AD139" ca="1" si="102">AA137</f>
        <v/>
      </c>
      <c r="AE137" s="9">
        <v>30</v>
      </c>
      <c r="AF137" s="38">
        <v>0</v>
      </c>
      <c r="AG137" s="38">
        <v>0</v>
      </c>
      <c r="AH137" s="38">
        <v>0</v>
      </c>
      <c r="AI137" s="38">
        <v>0</v>
      </c>
      <c r="AJ137" s="38">
        <v>1</v>
      </c>
    </row>
    <row r="138" spans="1:36" ht="21" customHeight="1" x14ac:dyDescent="0.15">
      <c r="A138" s="21" t="e">
        <f t="shared" ca="1" si="99"/>
        <v>#N/A</v>
      </c>
      <c r="B138" s="33">
        <v>5</v>
      </c>
      <c r="C138" s="32">
        <v>3</v>
      </c>
      <c r="D138" s="2" t="str">
        <f t="shared" si="100"/>
        <v>5_3</v>
      </c>
      <c r="E138" s="5" t="str">
        <f ca="1">VLOOKUP($B138,OFFSET([1]quests!$A$1,0,0,COUNTA([1]quests!$A:$A),MATCH(E$1,[1]quests!$1:$1,0)-MATCH($B$1,[1]quests!$1:$1,0)+1),MATCH(E$1,[1]quests!$1:$1,0)-MATCH($B$1,[1]quests!$1:$1,0)+1,FALSE)</f>
        <v>5．ウォーターランド</v>
      </c>
      <c r="F138" s="5" t="str">
        <f ca="1">VLOOKUP($D138,OFFSET([1]stages!$A$1,0,0,COUNTA([1]stages!$A:$A),MATCH(F$1,[1]stages!$2:$2,0)-MATCH($D$1,[1]stages!$2:$2,0)+1),MATCH(F$1,[1]stages!$2:$2,0)-MATCH($D$1,[1]stages!$2:$2,0)+1,FALSE)</f>
        <v>5-3. 水天一碧の凪刀</v>
      </c>
      <c r="G138" s="32">
        <v>3</v>
      </c>
      <c r="H138" s="20" t="str">
        <f t="shared" si="101"/>
        <v>5_3-3</v>
      </c>
      <c r="I138" s="31">
        <v>17</v>
      </c>
      <c r="J138" s="26" t="e">
        <f ca="1">VLOOKUP($I138,OFFSET([2]enemies!$A$1,0,0,COUNTA([2]enemies!$A:$A),MATCH(J$1,[2]enemies!$2:$2,0)-MATCH($I$1,[2]enemies!$2:$2,0)+1),MATCH(J$1,[2]enemies!$2:$2,0)-MATCH($I$1,[2]enemies!$2:$2,0)+1,FALSE)</f>
        <v>#N/A</v>
      </c>
      <c r="K138" s="29" t="e">
        <f ca="1">VLOOKUP($I138,OFFSET([2]enemies!$A$1,0,0,COUNTA([2]enemies!$A:$A),MATCH(K$1,[2]enemies!$2:$2,0)-MATCH($I$1,[2]enemies!$2:$2,0)+1),MATCH(K$1,[2]enemies!$2:$2,0)-MATCH($I$1,[2]enemies!$2:$2,0)+1,FALSE)</f>
        <v>#N/A</v>
      </c>
      <c r="L138" s="29" t="e">
        <f ca="1">VLOOKUP($I138,OFFSET([3]characters!$A$1,0,0,COUNTA([3]characters!$A:$A),MATCH(L$1,[3]characters!$2:$2,0)-MATCH($I$1,[3]characters!$2:$2,0)+1),MATCH(L$1,[3]characters!$2:$2,0)-MATCH($I$1,[3]characters!$2:$2,0)+1,FALSE)</f>
        <v>#N/A</v>
      </c>
      <c r="M138" s="28" t="e">
        <f ca="1">VLOOKUP($I138,OFFSET([3]characters!$A$1,0,0,COUNTA([3]characters!$A:$A),MATCH(M$1,[3]characters!$2:$2,0)-MATCH($I$1,[3]characters!$2:$2,0)+2),MATCH(M$1,[3]characters!$2:$2,0)-MATCH($I$1,[3]characters!$2:$2,0)+2,FALSE)</f>
        <v>#N/A</v>
      </c>
      <c r="N138" s="5" t="e">
        <f ca="1">VLOOKUP($I138,OFFSET([2]enemies!$A$1,0,0,COUNTA([2]enemies!$A:$A),MATCH(N$1,[2]enemies!$2:$2,0)-MATCH($I$1,[2]enemies!$2:$2,0)+1),MATCH(N$1,[2]enemies!$2:$2,0)-MATCH($I$1,[2]enemies!$2:$2,0)+1,FALSE)</f>
        <v>#N/A</v>
      </c>
      <c r="O138" s="6">
        <v>7</v>
      </c>
      <c r="P138" s="43">
        <v>1</v>
      </c>
      <c r="Q138" s="43">
        <v>1</v>
      </c>
      <c r="R138" s="6">
        <v>0</v>
      </c>
      <c r="S138" s="5" t="str">
        <f ca="1">VLOOKUP($T138,OFFSET([4]enemy_skill_sets!$B$1,0,0,COUNTA([4]enemy_skill_sets!$B:$B),MATCH(J$1,[4]enemy_skill_sets!$1:$1,0)-MATCH($T$1,[4]enemy_skill_sets!$1:$1,0)+2),MATCH(J$1,[4]enemy_skill_sets!$1:$1,0)-MATCH($T$1,[4]enemy_skill_sets!$1:$1,0)+2,FALSE)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8" s="5">
        <v>0</v>
      </c>
      <c r="U138" s="7">
        <v>0</v>
      </c>
      <c r="V138" s="7">
        <v>100</v>
      </c>
      <c r="W138" s="7">
        <v>0</v>
      </c>
      <c r="X138" s="26" t="e">
        <f ca="1">VLOOKUP($I138,OFFSET([2]enemies!$A$1,0,0,COUNTA([2]enemies!$A:$A),MATCH(X$1,[2]enemies!$2:$2,0)-MATCH($I$1,[2]enemies!$2:$2,0)+1),MATCH(X$1,[2]enemies!$2:$2,0)-MATCH($I$1,[2]enemies!$2:$2,0)+1,FALSE)</f>
        <v>#N/A</v>
      </c>
      <c r="Y138" s="31">
        <v>17</v>
      </c>
      <c r="Z138" s="5" t="str">
        <f ca="1">IFERROR(VLOOKUP($Y138,OFFSET([3]characters!$A$1,0,0,COUNTA([3]characters!$A:$A),MATCH(Z$1,[3]characters!$2:$2,0)-MATCH("character_id",[3]characters!$2:$2,0)+1),MATCH(Z$1,[3]characters!$2:$2,0)-MATCH("character_id",[3]characters!$2:$2,0)+1,FALSE),"")</f>
        <v/>
      </c>
      <c r="AA138" s="5" t="str">
        <f ca="1">IFERROR(VLOOKUP($Y138,OFFSET([3]characters!$A$1,0,0,COUNTA([3]characters!$A:$A),MATCH(AA$1,[3]characters!$2:$2,0)-MATCH("character_id",[3]characters!$2:$2,0)+1),MATCH(AA$1,[3]characters!$2:$2,0)-MATCH("character_id",[3]characters!$2:$2,0)+1,FALSE),"")</f>
        <v/>
      </c>
      <c r="AB138" s="5" t="str">
        <f ca="1">IFERROR(VLOOKUP($Y138,OFFSET([3]characters!$A$1,0,0,COUNTA([3]characters!$A:$A),MATCH(AB$1,[3]characters!$2:$2,0)-MATCH("character_id",[3]characters!$2:$2,0)+1),MATCH(AB$1,[3]characters!$2:$2,0)-MATCH("character_id",[3]characters!$2:$2,0)+1,FALSE),"")</f>
        <v/>
      </c>
      <c r="AC138" s="8">
        <v>1</v>
      </c>
      <c r="AD138" s="8" t="str">
        <f t="shared" ca="1" si="102"/>
        <v/>
      </c>
      <c r="AE138" s="9">
        <v>30</v>
      </c>
      <c r="AF138" s="38">
        <v>0</v>
      </c>
      <c r="AG138" s="38">
        <v>0</v>
      </c>
      <c r="AH138" s="38">
        <v>0</v>
      </c>
      <c r="AI138" s="38">
        <v>0</v>
      </c>
      <c r="AJ138" s="38">
        <v>1</v>
      </c>
    </row>
    <row r="139" spans="1:36" ht="21" customHeight="1" x14ac:dyDescent="0.15">
      <c r="A139" s="21" t="e">
        <f t="shared" ca="1" si="99"/>
        <v>#N/A</v>
      </c>
      <c r="B139" s="33">
        <v>5</v>
      </c>
      <c r="C139" s="32">
        <v>3</v>
      </c>
      <c r="D139" s="2" t="str">
        <f t="shared" si="100"/>
        <v>5_3</v>
      </c>
      <c r="E139" s="5" t="str">
        <f ca="1">VLOOKUP($B139,OFFSET([1]quests!$A$1,0,0,COUNTA([1]quests!$A:$A),MATCH(E$1,[1]quests!$1:$1,0)-MATCH($B$1,[1]quests!$1:$1,0)+1),MATCH(E$1,[1]quests!$1:$1,0)-MATCH($B$1,[1]quests!$1:$1,0)+1,FALSE)</f>
        <v>5．ウォーターランド</v>
      </c>
      <c r="F139" s="5" t="str">
        <f ca="1">VLOOKUP($D139,OFFSET([1]stages!$A$1,0,0,COUNTA([1]stages!$A:$A),MATCH(F$1,[1]stages!$2:$2,0)-MATCH($D$1,[1]stages!$2:$2,0)+1),MATCH(F$1,[1]stages!$2:$2,0)-MATCH($D$1,[1]stages!$2:$2,0)+1,FALSE)</f>
        <v>5-3. 水天一碧の凪刀</v>
      </c>
      <c r="G139" s="32">
        <v>3</v>
      </c>
      <c r="H139" s="20" t="str">
        <f t="shared" si="101"/>
        <v>5_3-3</v>
      </c>
      <c r="I139" s="31">
        <v>109</v>
      </c>
      <c r="J139" s="26" t="e">
        <f ca="1">VLOOKUP($I139,OFFSET([2]enemies!$A$1,0,0,COUNTA([2]enemies!$A:$A),MATCH(J$1,[2]enemies!$2:$2,0)-MATCH($I$1,[2]enemies!$2:$2,0)+1),MATCH(J$1,[2]enemies!$2:$2,0)-MATCH($I$1,[2]enemies!$2:$2,0)+1,FALSE)</f>
        <v>#N/A</v>
      </c>
      <c r="K139" s="29" t="e">
        <f ca="1">VLOOKUP($I139,OFFSET([2]enemies!$A$1,0,0,COUNTA([2]enemies!$A:$A),MATCH(K$1,[2]enemies!$2:$2,0)-MATCH($I$1,[2]enemies!$2:$2,0)+1),MATCH(K$1,[2]enemies!$2:$2,0)-MATCH($I$1,[2]enemies!$2:$2,0)+1,FALSE)</f>
        <v>#N/A</v>
      </c>
      <c r="L139" s="29" t="e">
        <f ca="1">VLOOKUP($I139,OFFSET([3]characters!$A$1,0,0,COUNTA([3]characters!$A:$A),MATCH(L$1,[3]characters!$2:$2,0)-MATCH($I$1,[3]characters!$2:$2,0)+1),MATCH(L$1,[3]characters!$2:$2,0)-MATCH($I$1,[3]characters!$2:$2,0)+1,FALSE)</f>
        <v>#N/A</v>
      </c>
      <c r="M139" s="28" t="e">
        <f ca="1">VLOOKUP($I139,OFFSET([3]characters!$A$1,0,0,COUNTA([3]characters!$A:$A),MATCH(M$1,[3]characters!$2:$2,0)-MATCH($I$1,[3]characters!$2:$2,0)+2),MATCH(M$1,[3]characters!$2:$2,0)-MATCH($I$1,[3]characters!$2:$2,0)+2,FALSE)</f>
        <v>#N/A</v>
      </c>
      <c r="N139" s="5" t="e">
        <f ca="1">VLOOKUP($I139,OFFSET([2]enemies!$A$1,0,0,COUNTA([2]enemies!$A:$A),MATCH(N$1,[2]enemies!$2:$2,0)-MATCH($I$1,[2]enemies!$2:$2,0)+1),MATCH(N$1,[2]enemies!$2:$2,0)-MATCH($I$1,[2]enemies!$2:$2,0)+1,FALSE)</f>
        <v>#N/A</v>
      </c>
      <c r="O139" s="6">
        <v>7</v>
      </c>
      <c r="P139" s="43">
        <v>1</v>
      </c>
      <c r="Q139" s="43">
        <v>1</v>
      </c>
      <c r="R139" s="6">
        <v>0</v>
      </c>
      <c r="S139" s="5" t="str">
        <f ca="1">VLOOKUP($T139,OFFSET([4]enemy_skill_sets!$B$1,0,0,COUNTA([4]enemy_skill_sets!$B:$B),MATCH(J$1,[4]enemy_skill_sets!$1:$1,0)-MATCH($T$1,[4]enemy_skill_sets!$1:$1,0)+2),MATCH(J$1,[4]enemy_skill_sets!$1:$1,0)-MATCH($T$1,[4]enemy_skill_sets!$1:$1,0)+2,FALSE)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9" s="5">
        <v>0</v>
      </c>
      <c r="U139" s="7">
        <v>0</v>
      </c>
      <c r="V139" s="7">
        <v>50</v>
      </c>
      <c r="W139" s="7">
        <v>0</v>
      </c>
      <c r="X139" s="26" t="e">
        <f ca="1">VLOOKUP($I139,OFFSET([2]enemies!$A$1,0,0,COUNTA([2]enemies!$A:$A),MATCH(X$1,[2]enemies!$2:$2,0)-MATCH($I$1,[2]enemies!$2:$2,0)+1),MATCH(X$1,[2]enemies!$2:$2,0)-MATCH($I$1,[2]enemies!$2:$2,0)+1,FALSE)</f>
        <v>#N/A</v>
      </c>
      <c r="Y139" s="31">
        <v>109</v>
      </c>
      <c r="Z139" s="5" t="str">
        <f ca="1">IFERROR(VLOOKUP($Y139,OFFSET([3]characters!$A$1,0,0,COUNTA([3]characters!$A:$A),MATCH(Z$1,[3]characters!$2:$2,0)-MATCH("character_id",[3]characters!$2:$2,0)+1),MATCH(Z$1,[3]characters!$2:$2,0)-MATCH("character_id",[3]characters!$2:$2,0)+1,FALSE),"")</f>
        <v/>
      </c>
      <c r="AA139" s="5" t="str">
        <f ca="1">IFERROR(VLOOKUP($Y139,OFFSET([3]characters!$A$1,0,0,COUNTA([3]characters!$A:$A),MATCH(AA$1,[3]characters!$2:$2,0)-MATCH("character_id",[3]characters!$2:$2,0)+1),MATCH(AA$1,[3]characters!$2:$2,0)-MATCH("character_id",[3]characters!$2:$2,0)+1,FALSE),"")</f>
        <v/>
      </c>
      <c r="AB139" s="5" t="str">
        <f ca="1">IFERROR(VLOOKUP($Y139,OFFSET([3]characters!$A$1,0,0,COUNTA([3]characters!$A:$A),MATCH(AB$1,[3]characters!$2:$2,0)-MATCH("character_id",[3]characters!$2:$2,0)+1),MATCH(AB$1,[3]characters!$2:$2,0)-MATCH("character_id",[3]characters!$2:$2,0)+1,FALSE),"")</f>
        <v/>
      </c>
      <c r="AC139" s="8">
        <v>1</v>
      </c>
      <c r="AD139" s="8" t="str">
        <f t="shared" ca="1" si="102"/>
        <v/>
      </c>
      <c r="AE139" s="9">
        <v>20</v>
      </c>
      <c r="AF139" s="38">
        <v>0</v>
      </c>
      <c r="AG139" s="38">
        <v>0</v>
      </c>
      <c r="AH139" s="38">
        <v>0</v>
      </c>
      <c r="AI139" s="38">
        <v>0</v>
      </c>
      <c r="AJ139" s="38">
        <v>1</v>
      </c>
    </row>
    <row r="140" spans="1:36" ht="21" customHeight="1" x14ac:dyDescent="0.15">
      <c r="A140" s="21" t="e">
        <f t="shared" ca="1" si="80"/>
        <v>#N/A</v>
      </c>
      <c r="B140" s="33">
        <v>5</v>
      </c>
      <c r="C140" s="32">
        <v>3</v>
      </c>
      <c r="D140" s="2" t="str">
        <f t="shared" si="81"/>
        <v>5_3</v>
      </c>
      <c r="E140" s="5" t="str">
        <f ca="1">VLOOKUP($B140,OFFSET([1]quests!$A$1,0,0,COUNTA([1]quests!$A:$A),MATCH(E$1,[1]quests!$1:$1,0)-MATCH($B$1,[1]quests!$1:$1,0)+1),MATCH(E$1,[1]quests!$1:$1,0)-MATCH($B$1,[1]quests!$1:$1,0)+1,FALSE)</f>
        <v>5．ウォーターランド</v>
      </c>
      <c r="F140" s="5" t="str">
        <f ca="1">VLOOKUP($D140,OFFSET([1]stages!$A$1,0,0,COUNTA([1]stages!$A:$A),MATCH(F$1,[1]stages!$2:$2,0)-MATCH($D$1,[1]stages!$2:$2,0)+1),MATCH(F$1,[1]stages!$2:$2,0)-MATCH($D$1,[1]stages!$2:$2,0)+1,FALSE)</f>
        <v>5-3. 水天一碧の凪刀</v>
      </c>
      <c r="G140" s="32">
        <v>4</v>
      </c>
      <c r="H140" s="20" t="str">
        <f t="shared" si="82"/>
        <v>5_3-4</v>
      </c>
      <c r="I140" s="31">
        <v>138</v>
      </c>
      <c r="J140" s="26" t="e">
        <f ca="1">VLOOKUP($I140,OFFSET([2]enemies!$A$1,0,0,COUNTA([2]enemies!$A:$A),MATCH(J$1,[2]enemies!$2:$2,0)-MATCH($I$1,[2]enemies!$2:$2,0)+1),MATCH(J$1,[2]enemies!$2:$2,0)-MATCH($I$1,[2]enemies!$2:$2,0)+1,FALSE)</f>
        <v>#N/A</v>
      </c>
      <c r="K140" s="29" t="e">
        <f ca="1">VLOOKUP($I140,OFFSET([2]enemies!$A$1,0,0,COUNTA([2]enemies!$A:$A),MATCH(K$1,[2]enemies!$2:$2,0)-MATCH($I$1,[2]enemies!$2:$2,0)+1),MATCH(K$1,[2]enemies!$2:$2,0)-MATCH($I$1,[2]enemies!$2:$2,0)+1,FALSE)</f>
        <v>#N/A</v>
      </c>
      <c r="L140" s="29" t="e">
        <f ca="1">VLOOKUP($I140,OFFSET([3]characters!$A$1,0,0,COUNTA([3]characters!$A:$A),MATCH(L$1,[3]characters!$2:$2,0)-MATCH($I$1,[3]characters!$2:$2,0)+1),MATCH(L$1,[3]characters!$2:$2,0)-MATCH($I$1,[3]characters!$2:$2,0)+1,FALSE)</f>
        <v>#N/A</v>
      </c>
      <c r="M140" s="28" t="e">
        <f ca="1">VLOOKUP($I140,OFFSET([3]characters!$A$1,0,0,COUNTA([3]characters!$A:$A),MATCH(M$1,[3]characters!$2:$2,0)-MATCH($I$1,[3]characters!$2:$2,0)+2),MATCH(M$1,[3]characters!$2:$2,0)-MATCH($I$1,[3]characters!$2:$2,0)+2,FALSE)</f>
        <v>#N/A</v>
      </c>
      <c r="N140" s="5" t="e">
        <f ca="1">VLOOKUP($I140,OFFSET([2]enemies!$A$1,0,0,COUNTA([2]enemies!$A:$A),MATCH(N$1,[2]enemies!$2:$2,0)-MATCH($I$1,[2]enemies!$2:$2,0)+1),MATCH(N$1,[2]enemies!$2:$2,0)-MATCH($I$1,[2]enemies!$2:$2,0)+1,FALSE)</f>
        <v>#N/A</v>
      </c>
      <c r="O140" s="6">
        <v>9</v>
      </c>
      <c r="P140" s="43">
        <v>1</v>
      </c>
      <c r="Q140" s="43">
        <v>1</v>
      </c>
      <c r="R140" s="6">
        <v>0</v>
      </c>
      <c r="S140" s="5" t="str">
        <f ca="1">VLOOKUP($T140,OFFSET([4]enemy_skill_sets!$B$1,0,0,COUNTA([4]enemy_skill_sets!$B:$B),MATCH(J$1,[4]enemy_skill_sets!$1:$1,0)-MATCH($T$1,[4]enemy_skill_sets!$1:$1,0)+2),MATCH(J$1,[4]enemy_skill_sets!$1:$1,0)-MATCH($T$1,[4]enemy_skill_sets!$1:$1,0)+2,FALSE)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0" s="5">
        <v>0</v>
      </c>
      <c r="U140" s="7">
        <v>1</v>
      </c>
      <c r="V140" s="7">
        <v>100</v>
      </c>
      <c r="W140" s="7">
        <v>1</v>
      </c>
      <c r="X140" s="26" t="e">
        <f ca="1">VLOOKUP($I140,OFFSET([2]enemies!$A$1,0,0,COUNTA([2]enemies!$A:$A),MATCH(X$1,[2]enemies!$2:$2,0)-MATCH($I$1,[2]enemies!$2:$2,0)+1),MATCH(X$1,[2]enemies!$2:$2,0)-MATCH($I$1,[2]enemies!$2:$2,0)+1,FALSE)</f>
        <v>#N/A</v>
      </c>
      <c r="Y140" s="31">
        <v>138</v>
      </c>
      <c r="Z140" s="5" t="str">
        <f ca="1">IFERROR(VLOOKUP($Y140,OFFSET([3]characters!$A$1,0,0,COUNTA([3]characters!$A:$A),MATCH(Z$1,[3]characters!$2:$2,0)-MATCH("character_id",[3]characters!$2:$2,0)+1),MATCH(Z$1,[3]characters!$2:$2,0)-MATCH("character_id",[3]characters!$2:$2,0)+1,FALSE),"")</f>
        <v/>
      </c>
      <c r="AA140" s="5" t="str">
        <f ca="1">IFERROR(VLOOKUP($Y140,OFFSET([3]characters!$A$1,0,0,COUNTA([3]characters!$A:$A),MATCH(AA$1,[3]characters!$2:$2,0)-MATCH("character_id",[3]characters!$2:$2,0)+1),MATCH(AA$1,[3]characters!$2:$2,0)-MATCH("character_id",[3]characters!$2:$2,0)+1,FALSE),"")</f>
        <v/>
      </c>
      <c r="AB140" s="5" t="str">
        <f ca="1">IFERROR(VLOOKUP($Y140,OFFSET([3]characters!$A$1,0,0,COUNTA([3]characters!$A:$A),MATCH(AB$1,[3]characters!$2:$2,0)-MATCH("character_id",[3]characters!$2:$2,0)+1),MATCH(AB$1,[3]characters!$2:$2,0)-MATCH("character_id",[3]characters!$2:$2,0)+1,FALSE),"")</f>
        <v/>
      </c>
      <c r="AC140" s="8">
        <v>1</v>
      </c>
      <c r="AD140" s="8" t="str">
        <f t="shared" ca="1" si="46"/>
        <v/>
      </c>
      <c r="AE140" s="9">
        <v>0</v>
      </c>
      <c r="AF140" s="38">
        <v>0</v>
      </c>
      <c r="AG140" s="38">
        <v>0</v>
      </c>
      <c r="AH140" s="38">
        <v>0</v>
      </c>
      <c r="AI140" s="38">
        <v>0</v>
      </c>
      <c r="AJ140" s="38">
        <v>1</v>
      </c>
    </row>
    <row r="141" spans="1:36" ht="21" customHeight="1" x14ac:dyDescent="0.15">
      <c r="A141" s="21" t="e">
        <f t="shared" ref="A141:A142" ca="1" si="103">B141&amp;"_"&amp;C141&amp;"-"&amp;G141&amp;"/"&amp;I141&amp;"&lt;lv"&amp;O141&amp;"&gt;s"&amp;X141</f>
        <v>#N/A</v>
      </c>
      <c r="B141" s="33">
        <v>5</v>
      </c>
      <c r="C141" s="32">
        <v>3</v>
      </c>
      <c r="D141" s="2" t="str">
        <f t="shared" ref="D141:D142" si="104">B141&amp;"_"&amp;C141</f>
        <v>5_3</v>
      </c>
      <c r="E141" s="5" t="str">
        <f ca="1">VLOOKUP($B141,OFFSET([1]quests!$A$1,0,0,COUNTA([1]quests!$A:$A),MATCH(E$1,[1]quests!$1:$1,0)-MATCH($B$1,[1]quests!$1:$1,0)+1),MATCH(E$1,[1]quests!$1:$1,0)-MATCH($B$1,[1]quests!$1:$1,0)+1,FALSE)</f>
        <v>5．ウォーターランド</v>
      </c>
      <c r="F141" s="5" t="str">
        <f ca="1">VLOOKUP($D141,OFFSET([1]stages!$A$1,0,0,COUNTA([1]stages!$A:$A),MATCH(F$1,[1]stages!$2:$2,0)-MATCH($D$1,[1]stages!$2:$2,0)+1),MATCH(F$1,[1]stages!$2:$2,0)-MATCH($D$1,[1]stages!$2:$2,0)+1,FALSE)</f>
        <v>5-3. 水天一碧の凪刀</v>
      </c>
      <c r="G141" s="32">
        <v>4</v>
      </c>
      <c r="H141" s="20" t="str">
        <f t="shared" ref="H141:H142" si="105">B141&amp;"_"&amp;C141&amp;"-"&amp;G141</f>
        <v>5_3-4</v>
      </c>
      <c r="I141" s="31">
        <v>25</v>
      </c>
      <c r="J141" s="26" t="e">
        <f ca="1">VLOOKUP($I141,OFFSET([2]enemies!$A$1,0,0,COUNTA([2]enemies!$A:$A),MATCH(J$1,[2]enemies!$2:$2,0)-MATCH($I$1,[2]enemies!$2:$2,0)+1),MATCH(J$1,[2]enemies!$2:$2,0)-MATCH($I$1,[2]enemies!$2:$2,0)+1,FALSE)</f>
        <v>#N/A</v>
      </c>
      <c r="K141" s="29" t="e">
        <f ca="1">VLOOKUP($I141,OFFSET([2]enemies!$A$1,0,0,COUNTA([2]enemies!$A:$A),MATCH(K$1,[2]enemies!$2:$2,0)-MATCH($I$1,[2]enemies!$2:$2,0)+1),MATCH(K$1,[2]enemies!$2:$2,0)-MATCH($I$1,[2]enemies!$2:$2,0)+1,FALSE)</f>
        <v>#N/A</v>
      </c>
      <c r="L141" s="29" t="e">
        <f ca="1">VLOOKUP($I141,OFFSET([3]characters!$A$1,0,0,COUNTA([3]characters!$A:$A),MATCH(L$1,[3]characters!$2:$2,0)-MATCH($I$1,[3]characters!$2:$2,0)+1),MATCH(L$1,[3]characters!$2:$2,0)-MATCH($I$1,[3]characters!$2:$2,0)+1,FALSE)</f>
        <v>#N/A</v>
      </c>
      <c r="M141" s="28" t="e">
        <f ca="1">VLOOKUP($I141,OFFSET([3]characters!$A$1,0,0,COUNTA([3]characters!$A:$A),MATCH(M$1,[3]characters!$2:$2,0)-MATCH($I$1,[3]characters!$2:$2,0)+2),MATCH(M$1,[3]characters!$2:$2,0)-MATCH($I$1,[3]characters!$2:$2,0)+2,FALSE)</f>
        <v>#N/A</v>
      </c>
      <c r="N141" s="5" t="e">
        <f ca="1">VLOOKUP($I141,OFFSET([2]enemies!$A$1,0,0,COUNTA([2]enemies!$A:$A),MATCH(N$1,[2]enemies!$2:$2,0)-MATCH($I$1,[2]enemies!$2:$2,0)+1),MATCH(N$1,[2]enemies!$2:$2,0)-MATCH($I$1,[2]enemies!$2:$2,0)+1,FALSE)</f>
        <v>#N/A</v>
      </c>
      <c r="O141" s="6">
        <v>7</v>
      </c>
      <c r="P141" s="43">
        <v>1</v>
      </c>
      <c r="Q141" s="43">
        <v>1</v>
      </c>
      <c r="R141" s="6">
        <v>0</v>
      </c>
      <c r="S141" s="5" t="str">
        <f ca="1">VLOOKUP($T141,OFFSET([4]enemy_skill_sets!$B$1,0,0,COUNTA([4]enemy_skill_sets!$B:$B),MATCH(J$1,[4]enemy_skill_sets!$1:$1,0)-MATCH($T$1,[4]enemy_skill_sets!$1:$1,0)+2),MATCH(J$1,[4]enemy_skill_sets!$1:$1,0)-MATCH($T$1,[4]enemy_skill_sets!$1:$1,0)+2,FALSE)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1" s="5">
        <v>0</v>
      </c>
      <c r="U141" s="7">
        <v>2</v>
      </c>
      <c r="V141" s="7">
        <v>100</v>
      </c>
      <c r="W141" s="7">
        <v>0</v>
      </c>
      <c r="X141" s="26" t="e">
        <f ca="1">VLOOKUP($I141,OFFSET([2]enemies!$A$1,0,0,COUNTA([2]enemies!$A:$A),MATCH(X$1,[2]enemies!$2:$2,0)-MATCH($I$1,[2]enemies!$2:$2,0)+1),MATCH(X$1,[2]enemies!$2:$2,0)-MATCH($I$1,[2]enemies!$2:$2,0)+1,FALSE)</f>
        <v>#N/A</v>
      </c>
      <c r="Y141" s="31">
        <v>25</v>
      </c>
      <c r="Z141" s="5" t="str">
        <f ca="1">IFERROR(VLOOKUP($Y141,OFFSET([3]characters!$A$1,0,0,COUNTA([3]characters!$A:$A),MATCH(Z$1,[3]characters!$2:$2,0)-MATCH("character_id",[3]characters!$2:$2,0)+1),MATCH(Z$1,[3]characters!$2:$2,0)-MATCH("character_id",[3]characters!$2:$2,0)+1,FALSE),"")</f>
        <v/>
      </c>
      <c r="AA141" s="5" t="str">
        <f ca="1">IFERROR(VLOOKUP($Y141,OFFSET([3]characters!$A$1,0,0,COUNTA([3]characters!$A:$A),MATCH(AA$1,[3]characters!$2:$2,0)-MATCH("character_id",[3]characters!$2:$2,0)+1),MATCH(AA$1,[3]characters!$2:$2,0)-MATCH("character_id",[3]characters!$2:$2,0)+1,FALSE),"")</f>
        <v/>
      </c>
      <c r="AB141" s="5" t="str">
        <f ca="1">IFERROR(VLOOKUP($Y141,OFFSET([3]characters!$A$1,0,0,COUNTA([3]characters!$A:$A),MATCH(AB$1,[3]characters!$2:$2,0)-MATCH("character_id",[3]characters!$2:$2,0)+1),MATCH(AB$1,[3]characters!$2:$2,0)-MATCH("character_id",[3]characters!$2:$2,0)+1,FALSE),"")</f>
        <v/>
      </c>
      <c r="AC141" s="8">
        <v>1</v>
      </c>
      <c r="AD141" s="8" t="str">
        <f t="shared" ref="AD141:AD142" ca="1" si="106">AA141</f>
        <v/>
      </c>
      <c r="AE141" s="9">
        <v>30</v>
      </c>
      <c r="AF141" s="38">
        <v>0</v>
      </c>
      <c r="AG141" s="38">
        <v>0</v>
      </c>
      <c r="AH141" s="38">
        <v>0</v>
      </c>
      <c r="AI141" s="38">
        <v>0</v>
      </c>
      <c r="AJ141" s="38">
        <v>1</v>
      </c>
    </row>
    <row r="142" spans="1:36" ht="21" customHeight="1" x14ac:dyDescent="0.15">
      <c r="A142" s="21" t="e">
        <f t="shared" ca="1" si="103"/>
        <v>#N/A</v>
      </c>
      <c r="B142" s="33">
        <v>5</v>
      </c>
      <c r="C142" s="32">
        <v>4</v>
      </c>
      <c r="D142" s="2" t="str">
        <f t="shared" si="104"/>
        <v>5_4</v>
      </c>
      <c r="E142" s="5" t="str">
        <f ca="1">VLOOKUP($B142,OFFSET([1]quests!$A$1,0,0,COUNTA([1]quests!$A:$A),MATCH(E$1,[1]quests!$1:$1,0)-MATCH($B$1,[1]quests!$1:$1,0)+1),MATCH(E$1,[1]quests!$1:$1,0)-MATCH($B$1,[1]quests!$1:$1,0)+1,FALSE)</f>
        <v>5．ウォーターランド</v>
      </c>
      <c r="F142" s="5" t="str">
        <f ca="1">VLOOKUP($D142,OFFSET([1]stages!$A$1,0,0,COUNTA([1]stages!$A:$A),MATCH(F$1,[1]stages!$2:$2,0)-MATCH($D$1,[1]stages!$2:$2,0)+1),MATCH(F$1,[1]stages!$2:$2,0)-MATCH($D$1,[1]stages!$2:$2,0)+1,FALSE)</f>
        <v>5-4. 【1回のみ】ボーナスステージ</v>
      </c>
      <c r="G142" s="32">
        <v>1</v>
      </c>
      <c r="H142" s="20" t="str">
        <f t="shared" si="105"/>
        <v>5_4-1</v>
      </c>
      <c r="I142" s="31">
        <v>340</v>
      </c>
      <c r="J142" s="26" t="e">
        <f ca="1">VLOOKUP($I142,OFFSET([2]enemies!$A$1,0,0,COUNTA([2]enemies!$A:$A),MATCH(J$1,[2]enemies!$2:$2,0)-MATCH($I$1,[2]enemies!$2:$2,0)+1),MATCH(J$1,[2]enemies!$2:$2,0)-MATCH($I$1,[2]enemies!$2:$2,0)+1,FALSE)</f>
        <v>#N/A</v>
      </c>
      <c r="K142" s="29" t="e">
        <f ca="1">VLOOKUP($I142,OFFSET([2]enemies!$A$1,0,0,COUNTA([2]enemies!$A:$A),MATCH(K$1,[2]enemies!$2:$2,0)-MATCH($I$1,[2]enemies!$2:$2,0)+1),MATCH(K$1,[2]enemies!$2:$2,0)-MATCH($I$1,[2]enemies!$2:$2,0)+1,FALSE)</f>
        <v>#N/A</v>
      </c>
      <c r="L142" s="29" t="e">
        <f ca="1">VLOOKUP($I142,OFFSET([3]characters!$A$1,0,0,COUNTA([3]characters!$A:$A),MATCH(L$1,[3]characters!$2:$2,0)-MATCH($I$1,[3]characters!$2:$2,0)+1),MATCH(L$1,[3]characters!$2:$2,0)-MATCH($I$1,[3]characters!$2:$2,0)+1,FALSE)</f>
        <v>#N/A</v>
      </c>
      <c r="M142" s="28" t="e">
        <f ca="1">VLOOKUP($I142,OFFSET([3]characters!$A$1,0,0,COUNTA([3]characters!$A:$A),MATCH(M$1,[3]characters!$2:$2,0)-MATCH($I$1,[3]characters!$2:$2,0)+2),MATCH(M$1,[3]characters!$2:$2,0)-MATCH($I$1,[3]characters!$2:$2,0)+2,FALSE)</f>
        <v>#N/A</v>
      </c>
      <c r="N142" s="5" t="e">
        <f ca="1">VLOOKUP($I142,OFFSET([2]enemies!$A$1,0,0,COUNTA([2]enemies!$A:$A),MATCH(N$1,[2]enemies!$2:$2,0)-MATCH($I$1,[2]enemies!$2:$2,0)+1),MATCH(N$1,[2]enemies!$2:$2,0)-MATCH($I$1,[2]enemies!$2:$2,0)+1,FALSE)</f>
        <v>#N/A</v>
      </c>
      <c r="O142" s="6">
        <v>1</v>
      </c>
      <c r="P142" s="43">
        <v>1</v>
      </c>
      <c r="Q142" s="43">
        <v>1</v>
      </c>
      <c r="R142" s="6">
        <v>0</v>
      </c>
      <c r="S142" s="5" t="str">
        <f ca="1">VLOOKUP($T142,OFFSET([4]enemy_skill_sets!$B$1,0,0,COUNTA([4]enemy_skill_sets!$B:$B),MATCH(J$1,[4]enemy_skill_sets!$1:$1,0)-MATCH($T$1,[4]enemy_skill_sets!$1:$1,0)+2),MATCH(J$1,[4]enemy_skill_sets!$1:$1,0)-MATCH($T$1,[4]enemy_skill_sets!$1:$1,0)+2,FALSE)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2" s="5">
        <v>0</v>
      </c>
      <c r="U142" s="7">
        <v>0</v>
      </c>
      <c r="V142" s="7">
        <v>100</v>
      </c>
      <c r="W142" s="7">
        <v>0</v>
      </c>
      <c r="X142" s="26" t="e">
        <f ca="1">VLOOKUP($I142,OFFSET([2]enemies!$A$1,0,0,COUNTA([2]enemies!$A:$A),MATCH(X$1,[2]enemies!$2:$2,0)-MATCH($I$1,[2]enemies!$2:$2,0)+1),MATCH(X$1,[2]enemies!$2:$2,0)-MATCH($I$1,[2]enemies!$2:$2,0)+1,FALSE)</f>
        <v>#N/A</v>
      </c>
      <c r="Y142" s="31">
        <v>340</v>
      </c>
      <c r="Z142" s="5" t="str">
        <f ca="1">IFERROR(VLOOKUP($Y142,OFFSET([3]characters!$A$1,0,0,COUNTA([3]characters!$A:$A),MATCH(Z$1,[3]characters!$2:$2,0)-MATCH("character_id",[3]characters!$2:$2,0)+1),MATCH(Z$1,[3]characters!$2:$2,0)-MATCH("character_id",[3]characters!$2:$2,0)+1,FALSE),"")</f>
        <v/>
      </c>
      <c r="AA142" s="5" t="str">
        <f ca="1">IFERROR(VLOOKUP($Y142,OFFSET([3]characters!$A$1,0,0,COUNTA([3]characters!$A:$A),MATCH(AA$1,[3]characters!$2:$2,0)-MATCH("character_id",[3]characters!$2:$2,0)+1),MATCH(AA$1,[3]characters!$2:$2,0)-MATCH("character_id",[3]characters!$2:$2,0)+1,FALSE),"")</f>
        <v/>
      </c>
      <c r="AB142" s="5" t="str">
        <f ca="1">IFERROR(VLOOKUP($Y142,OFFSET([3]characters!$A$1,0,0,COUNTA([3]characters!$A:$A),MATCH(AB$1,[3]characters!$2:$2,0)-MATCH("character_id",[3]characters!$2:$2,0)+1),MATCH(AB$1,[3]characters!$2:$2,0)-MATCH("character_id",[3]characters!$2:$2,0)+1,FALSE),"")</f>
        <v/>
      </c>
      <c r="AC142" s="8">
        <v>1</v>
      </c>
      <c r="AD142" s="8" t="str">
        <f t="shared" ca="1" si="106"/>
        <v/>
      </c>
      <c r="AE142" s="9">
        <v>100</v>
      </c>
      <c r="AF142" s="38">
        <v>0</v>
      </c>
      <c r="AG142" s="38">
        <v>0</v>
      </c>
      <c r="AH142" s="38">
        <v>0</v>
      </c>
      <c r="AI142" s="38">
        <v>0</v>
      </c>
      <c r="AJ142" s="38">
        <v>1</v>
      </c>
    </row>
    <row r="143" spans="1:36" ht="21" customHeight="1" x14ac:dyDescent="0.15">
      <c r="A143" s="21" t="e">
        <f ca="1">B143&amp;"_"&amp;C143&amp;"-"&amp;G143&amp;"/"&amp;I143&amp;"&lt;lv"&amp;O143&amp;"&gt;s"&amp;X143</f>
        <v>#N/A</v>
      </c>
      <c r="B143" s="33">
        <v>5</v>
      </c>
      <c r="C143" s="32">
        <v>4</v>
      </c>
      <c r="D143" s="2" t="str">
        <f>B143&amp;"_"&amp;C143</f>
        <v>5_4</v>
      </c>
      <c r="E143" s="5" t="str">
        <f ca="1">VLOOKUP($B143,OFFSET([1]quests!$A$1,0,0,COUNTA([1]quests!$A:$A),MATCH(E$1,[1]quests!$1:$1,0)-MATCH($B$1,[1]quests!$1:$1,0)+1),MATCH(E$1,[1]quests!$1:$1,0)-MATCH($B$1,[1]quests!$1:$1,0)+1,FALSE)</f>
        <v>5．ウォーターランド</v>
      </c>
      <c r="F143" s="5" t="str">
        <f ca="1">VLOOKUP($D143,OFFSET([1]stages!$A$1,0,0,COUNTA([1]stages!$A:$A),MATCH(F$1,[1]stages!$2:$2,0)-MATCH($D$1,[1]stages!$2:$2,0)+1),MATCH(F$1,[1]stages!$2:$2,0)-MATCH($D$1,[1]stages!$2:$2,0)+1,FALSE)</f>
        <v>5-4. 【1回のみ】ボーナスステージ</v>
      </c>
      <c r="G143" s="32">
        <v>2</v>
      </c>
      <c r="H143" s="20" t="str">
        <f>B143&amp;"_"&amp;C143&amp;"-"&amp;G143</f>
        <v>5_4-2</v>
      </c>
      <c r="I143" s="31">
        <v>117</v>
      </c>
      <c r="J143" s="26" t="e">
        <f ca="1">VLOOKUP($I143,OFFSET([2]enemies!$A$1,0,0,COUNTA([2]enemies!$A:$A),MATCH(J$1,[2]enemies!$2:$2,0)-MATCH($I$1,[2]enemies!$2:$2,0)+1),MATCH(J$1,[2]enemies!$2:$2,0)-MATCH($I$1,[2]enemies!$2:$2,0)+1,FALSE)</f>
        <v>#N/A</v>
      </c>
      <c r="K143" s="29" t="e">
        <f ca="1">VLOOKUP($I143,OFFSET([2]enemies!$A$1,0,0,COUNTA([2]enemies!$A:$A),MATCH(K$1,[2]enemies!$2:$2,0)-MATCH($I$1,[2]enemies!$2:$2,0)+1),MATCH(K$1,[2]enemies!$2:$2,0)-MATCH($I$1,[2]enemies!$2:$2,0)+1,FALSE)</f>
        <v>#N/A</v>
      </c>
      <c r="L143" s="29" t="e">
        <f ca="1">VLOOKUP($I143,OFFSET([3]characters!$A$1,0,0,COUNTA([3]characters!$A:$A),MATCH(L$1,[3]characters!$2:$2,0)-MATCH($I$1,[3]characters!$2:$2,0)+1),MATCH(L$1,[3]characters!$2:$2,0)-MATCH($I$1,[3]characters!$2:$2,0)+1,FALSE)</f>
        <v>#N/A</v>
      </c>
      <c r="M143" s="28" t="e">
        <f ca="1">VLOOKUP($I143,OFFSET([3]characters!$A$1,0,0,COUNTA([3]characters!$A:$A),MATCH(M$1,[3]characters!$2:$2,0)-MATCH($I$1,[3]characters!$2:$2,0)+2),MATCH(M$1,[3]characters!$2:$2,0)-MATCH($I$1,[3]characters!$2:$2,0)+2,FALSE)</f>
        <v>#N/A</v>
      </c>
      <c r="N143" s="5" t="e">
        <f ca="1">VLOOKUP($I143,OFFSET([2]enemies!$A$1,0,0,COUNTA([2]enemies!$A:$A),MATCH(N$1,[2]enemies!$2:$2,0)-MATCH($I$1,[2]enemies!$2:$2,0)+1),MATCH(N$1,[2]enemies!$2:$2,0)-MATCH($I$1,[2]enemies!$2:$2,0)+1,FALSE)</f>
        <v>#N/A</v>
      </c>
      <c r="O143" s="6">
        <v>1</v>
      </c>
      <c r="P143" s="43">
        <v>1</v>
      </c>
      <c r="Q143" s="43">
        <v>1</v>
      </c>
      <c r="R143" s="6">
        <v>0</v>
      </c>
      <c r="S143" s="5" t="str">
        <f ca="1">VLOOKUP($T143,OFFSET([4]enemy_skill_sets!$B$1,0,0,COUNTA([4]enemy_skill_sets!$B:$B),MATCH(J$1,[4]enemy_skill_sets!$1:$1,0)-MATCH($T$1,[4]enemy_skill_sets!$1:$1,0)+2),MATCH(J$1,[4]enemy_skill_sets!$1:$1,0)-MATCH($T$1,[4]enemy_skill_sets!$1:$1,0)+2,FALSE)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3" s="5">
        <v>0</v>
      </c>
      <c r="U143" s="7">
        <v>0</v>
      </c>
      <c r="V143" s="7">
        <v>100</v>
      </c>
      <c r="W143" s="7">
        <v>0</v>
      </c>
      <c r="X143" s="26" t="e">
        <f ca="1">VLOOKUP($I143,OFFSET([2]enemies!$A$1,0,0,COUNTA([2]enemies!$A:$A),MATCH(X$1,[2]enemies!$2:$2,0)-MATCH($I$1,[2]enemies!$2:$2,0)+1),MATCH(X$1,[2]enemies!$2:$2,0)-MATCH($I$1,[2]enemies!$2:$2,0)+1,FALSE)</f>
        <v>#N/A</v>
      </c>
      <c r="Y143" s="31">
        <v>117</v>
      </c>
      <c r="Z143" s="5" t="str">
        <f ca="1">IFERROR(VLOOKUP($Y143,OFFSET([3]characters!$A$1,0,0,COUNTA([3]characters!$A:$A),MATCH(Z$1,[3]characters!$2:$2,0)-MATCH("character_id",[3]characters!$2:$2,0)+1),MATCH(Z$1,[3]characters!$2:$2,0)-MATCH("character_id",[3]characters!$2:$2,0)+1,FALSE),"")</f>
        <v/>
      </c>
      <c r="AA143" s="5" t="str">
        <f ca="1">IFERROR(VLOOKUP($Y143,OFFSET([3]characters!$A$1,0,0,COUNTA([3]characters!$A:$A),MATCH(AA$1,[3]characters!$2:$2,0)-MATCH("character_id",[3]characters!$2:$2,0)+1),MATCH(AA$1,[3]characters!$2:$2,0)-MATCH("character_id",[3]characters!$2:$2,0)+1,FALSE),"")</f>
        <v/>
      </c>
      <c r="AB143" s="5" t="str">
        <f ca="1">IFERROR(VLOOKUP($Y143,OFFSET([3]characters!$A$1,0,0,COUNTA([3]characters!$A:$A),MATCH(AB$1,[3]characters!$2:$2,0)-MATCH("character_id",[3]characters!$2:$2,0)+1),MATCH(AB$1,[3]characters!$2:$2,0)-MATCH("character_id",[3]characters!$2:$2,0)+1,FALSE),"")</f>
        <v/>
      </c>
      <c r="AC143" s="8">
        <v>1</v>
      </c>
      <c r="AD143" s="8" t="str">
        <f ca="1">AA143</f>
        <v/>
      </c>
      <c r="AE143" s="9">
        <v>100</v>
      </c>
      <c r="AF143" s="38">
        <v>0</v>
      </c>
      <c r="AG143" s="38">
        <v>0</v>
      </c>
      <c r="AH143" s="38">
        <v>0</v>
      </c>
      <c r="AI143" s="38">
        <v>0</v>
      </c>
      <c r="AJ143" s="38">
        <v>1</v>
      </c>
    </row>
    <row r="144" spans="1:36" ht="21" customHeight="1" x14ac:dyDescent="0.15">
      <c r="A144" s="21" t="e">
        <f t="shared" ref="A144:A148" ca="1" si="107">B144&amp;"_"&amp;C144&amp;"-"&amp;G144&amp;"/"&amp;I144&amp;"&lt;lv"&amp;O144&amp;"&gt;s"&amp;X144</f>
        <v>#N/A</v>
      </c>
      <c r="B144" s="33">
        <v>5</v>
      </c>
      <c r="C144" s="32">
        <v>4</v>
      </c>
      <c r="D144" s="2" t="str">
        <f t="shared" ref="D144:D148" si="108">B144&amp;"_"&amp;C144</f>
        <v>5_4</v>
      </c>
      <c r="E144" s="5" t="str">
        <f ca="1">VLOOKUP($B144,OFFSET([1]quests!$A$1,0,0,COUNTA([1]quests!$A:$A),MATCH(E$1,[1]quests!$1:$1,0)-MATCH($B$1,[1]quests!$1:$1,0)+1),MATCH(E$1,[1]quests!$1:$1,0)-MATCH($B$1,[1]quests!$1:$1,0)+1,FALSE)</f>
        <v>5．ウォーターランド</v>
      </c>
      <c r="F144" s="5" t="str">
        <f ca="1">VLOOKUP($D144,OFFSET([1]stages!$A$1,0,0,COUNTA([1]stages!$A:$A),MATCH(F$1,[1]stages!$2:$2,0)-MATCH($D$1,[1]stages!$2:$2,0)+1),MATCH(F$1,[1]stages!$2:$2,0)-MATCH($D$1,[1]stages!$2:$2,0)+1,FALSE)</f>
        <v>5-4. 【1回のみ】ボーナスステージ</v>
      </c>
      <c r="G144" s="32">
        <v>3</v>
      </c>
      <c r="H144" s="20" t="str">
        <f t="shared" ref="H144:H148" si="109">B144&amp;"_"&amp;C144&amp;"-"&amp;G144</f>
        <v>5_4-3</v>
      </c>
      <c r="I144" s="31">
        <v>340</v>
      </c>
      <c r="J144" s="26" t="e">
        <f ca="1">VLOOKUP($I144,OFFSET([2]enemies!$A$1,0,0,COUNTA([2]enemies!$A:$A),MATCH(J$1,[2]enemies!$2:$2,0)-MATCH($I$1,[2]enemies!$2:$2,0)+1),MATCH(J$1,[2]enemies!$2:$2,0)-MATCH($I$1,[2]enemies!$2:$2,0)+1,FALSE)</f>
        <v>#N/A</v>
      </c>
      <c r="K144" s="29" t="e">
        <f ca="1">VLOOKUP($I144,OFFSET([2]enemies!$A$1,0,0,COUNTA([2]enemies!$A:$A),MATCH(K$1,[2]enemies!$2:$2,0)-MATCH($I$1,[2]enemies!$2:$2,0)+1),MATCH(K$1,[2]enemies!$2:$2,0)-MATCH($I$1,[2]enemies!$2:$2,0)+1,FALSE)</f>
        <v>#N/A</v>
      </c>
      <c r="L144" s="29" t="e">
        <f ca="1">VLOOKUP($I144,OFFSET([3]characters!$A$1,0,0,COUNTA([3]characters!$A:$A),MATCH(L$1,[3]characters!$2:$2,0)-MATCH($I$1,[3]characters!$2:$2,0)+1),MATCH(L$1,[3]characters!$2:$2,0)-MATCH($I$1,[3]characters!$2:$2,0)+1,FALSE)</f>
        <v>#N/A</v>
      </c>
      <c r="M144" s="28" t="e">
        <f ca="1">VLOOKUP($I144,OFFSET([3]characters!$A$1,0,0,COUNTA([3]characters!$A:$A),MATCH(M$1,[3]characters!$2:$2,0)-MATCH($I$1,[3]characters!$2:$2,0)+2),MATCH(M$1,[3]characters!$2:$2,0)-MATCH($I$1,[3]characters!$2:$2,0)+2,FALSE)</f>
        <v>#N/A</v>
      </c>
      <c r="N144" s="5" t="e">
        <f ca="1">VLOOKUP($I144,OFFSET([2]enemies!$A$1,0,0,COUNTA([2]enemies!$A:$A),MATCH(N$1,[2]enemies!$2:$2,0)-MATCH($I$1,[2]enemies!$2:$2,0)+1),MATCH(N$1,[2]enemies!$2:$2,0)-MATCH($I$1,[2]enemies!$2:$2,0)+1,FALSE)</f>
        <v>#N/A</v>
      </c>
      <c r="O144" s="6">
        <v>1</v>
      </c>
      <c r="P144" s="43">
        <v>1</v>
      </c>
      <c r="Q144" s="43">
        <v>1</v>
      </c>
      <c r="R144" s="6">
        <v>0</v>
      </c>
      <c r="S144" s="5" t="str">
        <f ca="1">VLOOKUP($T144,OFFSET([4]enemy_skill_sets!$B$1,0,0,COUNTA([4]enemy_skill_sets!$B:$B),MATCH(J$1,[4]enemy_skill_sets!$1:$1,0)-MATCH($T$1,[4]enemy_skill_sets!$1:$1,0)+2),MATCH(J$1,[4]enemy_skill_sets!$1:$1,0)-MATCH($T$1,[4]enemy_skill_sets!$1:$1,0)+2,FALSE)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4" s="5">
        <v>0</v>
      </c>
      <c r="U144" s="7">
        <v>0</v>
      </c>
      <c r="V144" s="7">
        <v>100</v>
      </c>
      <c r="W144" s="7">
        <v>0</v>
      </c>
      <c r="X144" s="26" t="e">
        <f ca="1">VLOOKUP($I144,OFFSET([2]enemies!$A$1,0,0,COUNTA([2]enemies!$A:$A),MATCH(X$1,[2]enemies!$2:$2,0)-MATCH($I$1,[2]enemies!$2:$2,0)+1),MATCH(X$1,[2]enemies!$2:$2,0)-MATCH($I$1,[2]enemies!$2:$2,0)+1,FALSE)</f>
        <v>#N/A</v>
      </c>
      <c r="Y144" s="31">
        <v>340</v>
      </c>
      <c r="Z144" s="5" t="str">
        <f ca="1">IFERROR(VLOOKUP($Y144,OFFSET([3]characters!$A$1,0,0,COUNTA([3]characters!$A:$A),MATCH(Z$1,[3]characters!$2:$2,0)-MATCH("character_id",[3]characters!$2:$2,0)+1),MATCH(Z$1,[3]characters!$2:$2,0)-MATCH("character_id",[3]characters!$2:$2,0)+1,FALSE),"")</f>
        <v/>
      </c>
      <c r="AA144" s="5" t="str">
        <f ca="1">IFERROR(VLOOKUP($Y144,OFFSET([3]characters!$A$1,0,0,COUNTA([3]characters!$A:$A),MATCH(AA$1,[3]characters!$2:$2,0)-MATCH("character_id",[3]characters!$2:$2,0)+1),MATCH(AA$1,[3]characters!$2:$2,0)-MATCH("character_id",[3]characters!$2:$2,0)+1,FALSE),"")</f>
        <v/>
      </c>
      <c r="AB144" s="5" t="str">
        <f ca="1">IFERROR(VLOOKUP($Y144,OFFSET([3]characters!$A$1,0,0,COUNTA([3]characters!$A:$A),MATCH(AB$1,[3]characters!$2:$2,0)-MATCH("character_id",[3]characters!$2:$2,0)+1),MATCH(AB$1,[3]characters!$2:$2,0)-MATCH("character_id",[3]characters!$2:$2,0)+1,FALSE),"")</f>
        <v/>
      </c>
      <c r="AC144" s="8">
        <v>1</v>
      </c>
      <c r="AD144" s="8" t="str">
        <f t="shared" ref="AD144:AD148" ca="1" si="110">AA144</f>
        <v/>
      </c>
      <c r="AE144" s="9">
        <v>100</v>
      </c>
      <c r="AF144" s="38">
        <v>0</v>
      </c>
      <c r="AG144" s="38">
        <v>0</v>
      </c>
      <c r="AH144" s="38">
        <v>0</v>
      </c>
      <c r="AI144" s="38">
        <v>0</v>
      </c>
      <c r="AJ144" s="38">
        <v>1</v>
      </c>
    </row>
    <row r="145" spans="1:36" ht="21" customHeight="1" x14ac:dyDescent="0.15">
      <c r="A145" s="21" t="e">
        <f t="shared" ca="1" si="107"/>
        <v>#N/A</v>
      </c>
      <c r="B145" s="33">
        <v>5</v>
      </c>
      <c r="C145" s="32">
        <v>4</v>
      </c>
      <c r="D145" s="2" t="str">
        <f t="shared" si="108"/>
        <v>5_4</v>
      </c>
      <c r="E145" s="5" t="str">
        <f ca="1">VLOOKUP($B145,OFFSET([1]quests!$A$1,0,0,COUNTA([1]quests!$A:$A),MATCH(E$1,[1]quests!$1:$1,0)-MATCH($B$1,[1]quests!$1:$1,0)+1),MATCH(E$1,[1]quests!$1:$1,0)-MATCH($B$1,[1]quests!$1:$1,0)+1,FALSE)</f>
        <v>5．ウォーターランド</v>
      </c>
      <c r="F145" s="5" t="str">
        <f ca="1">VLOOKUP($D145,OFFSET([1]stages!$A$1,0,0,COUNTA([1]stages!$A:$A),MATCH(F$1,[1]stages!$2:$2,0)-MATCH($D$1,[1]stages!$2:$2,0)+1),MATCH(F$1,[1]stages!$2:$2,0)-MATCH($D$1,[1]stages!$2:$2,0)+1,FALSE)</f>
        <v>5-4. 【1回のみ】ボーナスステージ</v>
      </c>
      <c r="G145" s="32">
        <v>4</v>
      </c>
      <c r="H145" s="20" t="str">
        <f t="shared" si="109"/>
        <v>5_4-4</v>
      </c>
      <c r="I145" s="31">
        <v>117</v>
      </c>
      <c r="J145" s="26" t="e">
        <f ca="1">VLOOKUP($I145,OFFSET([2]enemies!$A$1,0,0,COUNTA([2]enemies!$A:$A),MATCH(J$1,[2]enemies!$2:$2,0)-MATCH($I$1,[2]enemies!$2:$2,0)+1),MATCH(J$1,[2]enemies!$2:$2,0)-MATCH($I$1,[2]enemies!$2:$2,0)+1,FALSE)</f>
        <v>#N/A</v>
      </c>
      <c r="K145" s="29" t="e">
        <f ca="1">VLOOKUP($I145,OFFSET([2]enemies!$A$1,0,0,COUNTA([2]enemies!$A:$A),MATCH(K$1,[2]enemies!$2:$2,0)-MATCH($I$1,[2]enemies!$2:$2,0)+1),MATCH(K$1,[2]enemies!$2:$2,0)-MATCH($I$1,[2]enemies!$2:$2,0)+1,FALSE)</f>
        <v>#N/A</v>
      </c>
      <c r="L145" s="29" t="e">
        <f ca="1">VLOOKUP($I145,OFFSET([3]characters!$A$1,0,0,COUNTA([3]characters!$A:$A),MATCH(L$1,[3]characters!$2:$2,0)-MATCH($I$1,[3]characters!$2:$2,0)+1),MATCH(L$1,[3]characters!$2:$2,0)-MATCH($I$1,[3]characters!$2:$2,0)+1,FALSE)</f>
        <v>#N/A</v>
      </c>
      <c r="M145" s="28" t="e">
        <f ca="1">VLOOKUP($I145,OFFSET([3]characters!$A$1,0,0,COUNTA([3]characters!$A:$A),MATCH(M$1,[3]characters!$2:$2,0)-MATCH($I$1,[3]characters!$2:$2,0)+2),MATCH(M$1,[3]characters!$2:$2,0)-MATCH($I$1,[3]characters!$2:$2,0)+2,FALSE)</f>
        <v>#N/A</v>
      </c>
      <c r="N145" s="5" t="e">
        <f ca="1">VLOOKUP($I145,OFFSET([2]enemies!$A$1,0,0,COUNTA([2]enemies!$A:$A),MATCH(N$1,[2]enemies!$2:$2,0)-MATCH($I$1,[2]enemies!$2:$2,0)+1),MATCH(N$1,[2]enemies!$2:$2,0)-MATCH($I$1,[2]enemies!$2:$2,0)+1,FALSE)</f>
        <v>#N/A</v>
      </c>
      <c r="O145" s="6">
        <v>1</v>
      </c>
      <c r="P145" s="43">
        <v>1</v>
      </c>
      <c r="Q145" s="43">
        <v>1</v>
      </c>
      <c r="R145" s="6">
        <v>0</v>
      </c>
      <c r="S145" s="5" t="str">
        <f ca="1">VLOOKUP($T145,OFFSET([4]enemy_skill_sets!$B$1,0,0,COUNTA([4]enemy_skill_sets!$B:$B),MATCH(J$1,[4]enemy_skill_sets!$1:$1,0)-MATCH($T$1,[4]enemy_skill_sets!$1:$1,0)+2),MATCH(J$1,[4]enemy_skill_sets!$1:$1,0)-MATCH($T$1,[4]enemy_skill_sets!$1:$1,0)+2,FALSE)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5" s="5">
        <v>0</v>
      </c>
      <c r="U145" s="7">
        <v>2</v>
      </c>
      <c r="V145" s="7">
        <v>100</v>
      </c>
      <c r="W145" s="7">
        <v>0</v>
      </c>
      <c r="X145" s="26" t="e">
        <f ca="1">VLOOKUP($I145,OFFSET([2]enemies!$A$1,0,0,COUNTA([2]enemies!$A:$A),MATCH(X$1,[2]enemies!$2:$2,0)-MATCH($I$1,[2]enemies!$2:$2,0)+1),MATCH(X$1,[2]enemies!$2:$2,0)-MATCH($I$1,[2]enemies!$2:$2,0)+1,FALSE)</f>
        <v>#N/A</v>
      </c>
      <c r="Y145" s="31">
        <v>117</v>
      </c>
      <c r="Z145" s="5" t="str">
        <f ca="1">IFERROR(VLOOKUP($Y145,OFFSET([3]characters!$A$1,0,0,COUNTA([3]characters!$A:$A),MATCH(Z$1,[3]characters!$2:$2,0)-MATCH("character_id",[3]characters!$2:$2,0)+1),MATCH(Z$1,[3]characters!$2:$2,0)-MATCH("character_id",[3]characters!$2:$2,0)+1,FALSE),"")</f>
        <v/>
      </c>
      <c r="AA145" s="5" t="str">
        <f ca="1">IFERROR(VLOOKUP($Y145,OFFSET([3]characters!$A$1,0,0,COUNTA([3]characters!$A:$A),MATCH(AA$1,[3]characters!$2:$2,0)-MATCH("character_id",[3]characters!$2:$2,0)+1),MATCH(AA$1,[3]characters!$2:$2,0)-MATCH("character_id",[3]characters!$2:$2,0)+1,FALSE),"")</f>
        <v/>
      </c>
      <c r="AB145" s="5" t="str">
        <f ca="1">IFERROR(VLOOKUP($Y145,OFFSET([3]characters!$A$1,0,0,COUNTA([3]characters!$A:$A),MATCH(AB$1,[3]characters!$2:$2,0)-MATCH("character_id",[3]characters!$2:$2,0)+1),MATCH(AB$1,[3]characters!$2:$2,0)-MATCH("character_id",[3]characters!$2:$2,0)+1,FALSE),"")</f>
        <v/>
      </c>
      <c r="AC145" s="8">
        <v>1</v>
      </c>
      <c r="AD145" s="8" t="str">
        <f t="shared" ca="1" si="110"/>
        <v/>
      </c>
      <c r="AE145" s="9">
        <v>0</v>
      </c>
      <c r="AF145" s="38">
        <v>0</v>
      </c>
      <c r="AG145" s="38">
        <v>0</v>
      </c>
      <c r="AH145" s="38">
        <v>0</v>
      </c>
      <c r="AI145" s="38">
        <v>0</v>
      </c>
      <c r="AJ145" s="38">
        <v>1</v>
      </c>
    </row>
    <row r="146" spans="1:36" ht="21" customHeight="1" x14ac:dyDescent="0.15">
      <c r="A146" s="21" t="e">
        <f t="shared" ca="1" si="107"/>
        <v>#N/A</v>
      </c>
      <c r="B146" s="33">
        <v>5</v>
      </c>
      <c r="C146" s="32">
        <v>4</v>
      </c>
      <c r="D146" s="2" t="str">
        <f t="shared" si="108"/>
        <v>5_4</v>
      </c>
      <c r="E146" s="5" t="str">
        <f ca="1">VLOOKUP($B146,OFFSET([1]quests!$A$1,0,0,COUNTA([1]quests!$A:$A),MATCH(E$1,[1]quests!$1:$1,0)-MATCH($B$1,[1]quests!$1:$1,0)+1),MATCH(E$1,[1]quests!$1:$1,0)-MATCH($B$1,[1]quests!$1:$1,0)+1,FALSE)</f>
        <v>5．ウォーターランド</v>
      </c>
      <c r="F146" s="5" t="str">
        <f ca="1">VLOOKUP($D146,OFFSET([1]stages!$A$1,0,0,COUNTA([1]stages!$A:$A),MATCH(F$1,[1]stages!$2:$2,0)-MATCH($D$1,[1]stages!$2:$2,0)+1),MATCH(F$1,[1]stages!$2:$2,0)-MATCH($D$1,[1]stages!$2:$2,0)+1,FALSE)</f>
        <v>5-4. 【1回のみ】ボーナスステージ</v>
      </c>
      <c r="G146" s="32">
        <v>4</v>
      </c>
      <c r="H146" s="20" t="str">
        <f t="shared" si="109"/>
        <v>5_4-4</v>
      </c>
      <c r="I146" s="31">
        <v>118</v>
      </c>
      <c r="J146" s="26" t="e">
        <f ca="1">VLOOKUP($I146,OFFSET([2]enemies!$A$1,0,0,COUNTA([2]enemies!$A:$A),MATCH(J$1,[2]enemies!$2:$2,0)-MATCH($I$1,[2]enemies!$2:$2,0)+1),MATCH(J$1,[2]enemies!$2:$2,0)-MATCH($I$1,[2]enemies!$2:$2,0)+1,FALSE)</f>
        <v>#N/A</v>
      </c>
      <c r="K146" s="29" t="e">
        <f ca="1">VLOOKUP($I146,OFFSET([2]enemies!$A$1,0,0,COUNTA([2]enemies!$A:$A),MATCH(K$1,[2]enemies!$2:$2,0)-MATCH($I$1,[2]enemies!$2:$2,0)+1),MATCH(K$1,[2]enemies!$2:$2,0)-MATCH($I$1,[2]enemies!$2:$2,0)+1,FALSE)</f>
        <v>#N/A</v>
      </c>
      <c r="L146" s="29" t="e">
        <f ca="1">VLOOKUP($I146,OFFSET([3]characters!$A$1,0,0,COUNTA([3]characters!$A:$A),MATCH(L$1,[3]characters!$2:$2,0)-MATCH($I$1,[3]characters!$2:$2,0)+1),MATCH(L$1,[3]characters!$2:$2,0)-MATCH($I$1,[3]characters!$2:$2,0)+1,FALSE)</f>
        <v>#N/A</v>
      </c>
      <c r="M146" s="28" t="e">
        <f ca="1">VLOOKUP($I146,OFFSET([3]characters!$A$1,0,0,COUNTA([3]characters!$A:$A),MATCH(M$1,[3]characters!$2:$2,0)-MATCH($I$1,[3]characters!$2:$2,0)+2),MATCH(M$1,[3]characters!$2:$2,0)-MATCH($I$1,[3]characters!$2:$2,0)+2,FALSE)</f>
        <v>#N/A</v>
      </c>
      <c r="N146" s="5" t="e">
        <f ca="1">VLOOKUP($I146,OFFSET([2]enemies!$A$1,0,0,COUNTA([2]enemies!$A:$A),MATCH(N$1,[2]enemies!$2:$2,0)-MATCH($I$1,[2]enemies!$2:$2,0)+1),MATCH(N$1,[2]enemies!$2:$2,0)-MATCH($I$1,[2]enemies!$2:$2,0)+1,FALSE)</f>
        <v>#N/A</v>
      </c>
      <c r="O146" s="6">
        <v>1</v>
      </c>
      <c r="P146" s="43">
        <v>1</v>
      </c>
      <c r="Q146" s="43">
        <v>1</v>
      </c>
      <c r="R146" s="6">
        <v>0</v>
      </c>
      <c r="S146" s="5" t="str">
        <f ca="1">VLOOKUP($T146,OFFSET([4]enemy_skill_sets!$B$1,0,0,COUNTA([4]enemy_skill_sets!$B:$B),MATCH(J$1,[4]enemy_skill_sets!$1:$1,0)-MATCH($T$1,[4]enemy_skill_sets!$1:$1,0)+2),MATCH(J$1,[4]enemy_skill_sets!$1:$1,0)-MATCH($T$1,[4]enemy_skill_sets!$1:$1,0)+2,FALSE)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6" s="5">
        <v>0</v>
      </c>
      <c r="U146" s="7">
        <v>1</v>
      </c>
      <c r="V146" s="7">
        <v>100</v>
      </c>
      <c r="W146" s="7">
        <v>1</v>
      </c>
      <c r="X146" s="26" t="e">
        <f ca="1">VLOOKUP($I146,OFFSET([2]enemies!$A$1,0,0,COUNTA([2]enemies!$A:$A),MATCH(X$1,[2]enemies!$2:$2,0)-MATCH($I$1,[2]enemies!$2:$2,0)+1),MATCH(X$1,[2]enemies!$2:$2,0)-MATCH($I$1,[2]enemies!$2:$2,0)+1,FALSE)</f>
        <v>#N/A</v>
      </c>
      <c r="Y146" s="31">
        <v>118</v>
      </c>
      <c r="Z146" s="5" t="str">
        <f ca="1">IFERROR(VLOOKUP($Y146,OFFSET([3]characters!$A$1,0,0,COUNTA([3]characters!$A:$A),MATCH(Z$1,[3]characters!$2:$2,0)-MATCH("character_id",[3]characters!$2:$2,0)+1),MATCH(Z$1,[3]characters!$2:$2,0)-MATCH("character_id",[3]characters!$2:$2,0)+1,FALSE),"")</f>
        <v/>
      </c>
      <c r="AA146" s="5" t="str">
        <f ca="1">IFERROR(VLOOKUP($Y146,OFFSET([3]characters!$A$1,0,0,COUNTA([3]characters!$A:$A),MATCH(AA$1,[3]characters!$2:$2,0)-MATCH("character_id",[3]characters!$2:$2,0)+1),MATCH(AA$1,[3]characters!$2:$2,0)-MATCH("character_id",[3]characters!$2:$2,0)+1,FALSE),"")</f>
        <v/>
      </c>
      <c r="AB146" s="5" t="str">
        <f ca="1">IFERROR(VLOOKUP($Y146,OFFSET([3]characters!$A$1,0,0,COUNTA([3]characters!$A:$A),MATCH(AB$1,[3]characters!$2:$2,0)-MATCH("character_id",[3]characters!$2:$2,0)+1),MATCH(AB$1,[3]characters!$2:$2,0)-MATCH("character_id",[3]characters!$2:$2,0)+1,FALSE),"")</f>
        <v/>
      </c>
      <c r="AC146" s="8">
        <v>1</v>
      </c>
      <c r="AD146" s="8" t="str">
        <f t="shared" ca="1" si="110"/>
        <v/>
      </c>
      <c r="AE146" s="9">
        <v>100</v>
      </c>
      <c r="AF146" s="38">
        <v>0</v>
      </c>
      <c r="AG146" s="38">
        <v>0</v>
      </c>
      <c r="AH146" s="38">
        <v>0</v>
      </c>
      <c r="AI146" s="38">
        <v>0</v>
      </c>
      <c r="AJ146" s="38">
        <v>1</v>
      </c>
    </row>
    <row r="147" spans="1:36" ht="21" customHeight="1" x14ac:dyDescent="0.15">
      <c r="A147" s="21" t="e">
        <f t="shared" ca="1" si="107"/>
        <v>#N/A</v>
      </c>
      <c r="B147" s="33">
        <v>5</v>
      </c>
      <c r="C147" s="32">
        <v>4</v>
      </c>
      <c r="D147" s="2" t="str">
        <f t="shared" si="108"/>
        <v>5_4</v>
      </c>
      <c r="E147" s="5" t="str">
        <f ca="1">VLOOKUP($B147,OFFSET([1]quests!$A$1,0,0,COUNTA([1]quests!$A:$A),MATCH(E$1,[1]quests!$1:$1,0)-MATCH($B$1,[1]quests!$1:$1,0)+1),MATCH(E$1,[1]quests!$1:$1,0)-MATCH($B$1,[1]quests!$1:$1,0)+1,FALSE)</f>
        <v>5．ウォーターランド</v>
      </c>
      <c r="F147" s="5" t="str">
        <f ca="1">VLOOKUP($D147,OFFSET([1]stages!$A$1,0,0,COUNTA([1]stages!$A:$A),MATCH(F$1,[1]stages!$2:$2,0)-MATCH($D$1,[1]stages!$2:$2,0)+1),MATCH(F$1,[1]stages!$2:$2,0)-MATCH($D$1,[1]stages!$2:$2,0)+1,FALSE)</f>
        <v>5-4. 【1回のみ】ボーナスステージ</v>
      </c>
      <c r="G147" s="32">
        <v>5</v>
      </c>
      <c r="H147" s="20" t="str">
        <f t="shared" si="109"/>
        <v>5_4-5</v>
      </c>
      <c r="I147" s="31">
        <v>340</v>
      </c>
      <c r="J147" s="26" t="e">
        <f ca="1">VLOOKUP($I147,OFFSET([2]enemies!$A$1,0,0,COUNTA([2]enemies!$A:$A),MATCH(J$1,[2]enemies!$2:$2,0)-MATCH($I$1,[2]enemies!$2:$2,0)+1),MATCH(J$1,[2]enemies!$2:$2,0)-MATCH($I$1,[2]enemies!$2:$2,0)+1,FALSE)</f>
        <v>#N/A</v>
      </c>
      <c r="K147" s="29" t="e">
        <f ca="1">VLOOKUP($I147,OFFSET([2]enemies!$A$1,0,0,COUNTA([2]enemies!$A:$A),MATCH(K$1,[2]enemies!$2:$2,0)-MATCH($I$1,[2]enemies!$2:$2,0)+1),MATCH(K$1,[2]enemies!$2:$2,0)-MATCH($I$1,[2]enemies!$2:$2,0)+1,FALSE)</f>
        <v>#N/A</v>
      </c>
      <c r="L147" s="29" t="e">
        <f ca="1">VLOOKUP($I147,OFFSET([3]characters!$A$1,0,0,COUNTA([3]characters!$A:$A),MATCH(L$1,[3]characters!$2:$2,0)-MATCH($I$1,[3]characters!$2:$2,0)+1),MATCH(L$1,[3]characters!$2:$2,0)-MATCH($I$1,[3]characters!$2:$2,0)+1,FALSE)</f>
        <v>#N/A</v>
      </c>
      <c r="M147" s="28" t="e">
        <f ca="1">VLOOKUP($I147,OFFSET([3]characters!$A$1,0,0,COUNTA([3]characters!$A:$A),MATCH(M$1,[3]characters!$2:$2,0)-MATCH($I$1,[3]characters!$2:$2,0)+2),MATCH(M$1,[3]characters!$2:$2,0)-MATCH($I$1,[3]characters!$2:$2,0)+2,FALSE)</f>
        <v>#N/A</v>
      </c>
      <c r="N147" s="5" t="e">
        <f ca="1">VLOOKUP($I147,OFFSET([2]enemies!$A$1,0,0,COUNTA([2]enemies!$A:$A),MATCH(N$1,[2]enemies!$2:$2,0)-MATCH($I$1,[2]enemies!$2:$2,0)+1),MATCH(N$1,[2]enemies!$2:$2,0)-MATCH($I$1,[2]enemies!$2:$2,0)+1,FALSE)</f>
        <v>#N/A</v>
      </c>
      <c r="O147" s="6">
        <v>1</v>
      </c>
      <c r="P147" s="43">
        <v>1</v>
      </c>
      <c r="Q147" s="43">
        <v>1</v>
      </c>
      <c r="R147" s="6">
        <v>0</v>
      </c>
      <c r="S147" s="5" t="str">
        <f ca="1">VLOOKUP($T147,OFFSET([4]enemy_skill_sets!$B$1,0,0,COUNTA([4]enemy_skill_sets!$B:$B),MATCH(J$1,[4]enemy_skill_sets!$1:$1,0)-MATCH($T$1,[4]enemy_skill_sets!$1:$1,0)+2),MATCH(J$1,[4]enemy_skill_sets!$1:$1,0)-MATCH($T$1,[4]enemy_skill_sets!$1:$1,0)+2,FALSE)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7" s="5">
        <v>0</v>
      </c>
      <c r="U147" s="7">
        <v>2</v>
      </c>
      <c r="V147" s="7">
        <v>100</v>
      </c>
      <c r="W147" s="7">
        <v>0</v>
      </c>
      <c r="X147" s="26" t="e">
        <f ca="1">VLOOKUP($I147,OFFSET([2]enemies!$A$1,0,0,COUNTA([2]enemies!$A:$A),MATCH(X$1,[2]enemies!$2:$2,0)-MATCH($I$1,[2]enemies!$2:$2,0)+1),MATCH(X$1,[2]enemies!$2:$2,0)-MATCH($I$1,[2]enemies!$2:$2,0)+1,FALSE)</f>
        <v>#N/A</v>
      </c>
      <c r="Y147" s="31">
        <v>340</v>
      </c>
      <c r="Z147" s="5" t="str">
        <f ca="1">IFERROR(VLOOKUP($Y147,OFFSET([3]characters!$A$1,0,0,COUNTA([3]characters!$A:$A),MATCH(Z$1,[3]characters!$2:$2,0)-MATCH("character_id",[3]characters!$2:$2,0)+1),MATCH(Z$1,[3]characters!$2:$2,0)-MATCH("character_id",[3]characters!$2:$2,0)+1,FALSE),"")</f>
        <v/>
      </c>
      <c r="AA147" s="5" t="str">
        <f ca="1">IFERROR(VLOOKUP($Y147,OFFSET([3]characters!$A$1,0,0,COUNTA([3]characters!$A:$A),MATCH(AA$1,[3]characters!$2:$2,0)-MATCH("character_id",[3]characters!$2:$2,0)+1),MATCH(AA$1,[3]characters!$2:$2,0)-MATCH("character_id",[3]characters!$2:$2,0)+1,FALSE),"")</f>
        <v/>
      </c>
      <c r="AB147" s="5" t="str">
        <f ca="1">IFERROR(VLOOKUP($Y147,OFFSET([3]characters!$A$1,0,0,COUNTA([3]characters!$A:$A),MATCH(AB$1,[3]characters!$2:$2,0)-MATCH("character_id",[3]characters!$2:$2,0)+1),MATCH(AB$1,[3]characters!$2:$2,0)-MATCH("character_id",[3]characters!$2:$2,0)+1,FALSE),"")</f>
        <v/>
      </c>
      <c r="AC147" s="8">
        <v>1</v>
      </c>
      <c r="AD147" s="8" t="str">
        <f t="shared" ca="1" si="110"/>
        <v/>
      </c>
      <c r="AE147" s="9">
        <v>0</v>
      </c>
      <c r="AF147" s="38">
        <v>0</v>
      </c>
      <c r="AG147" s="38">
        <v>0</v>
      </c>
      <c r="AH147" s="38">
        <v>0</v>
      </c>
      <c r="AI147" s="38">
        <v>0</v>
      </c>
      <c r="AJ147" s="38">
        <v>1</v>
      </c>
    </row>
    <row r="148" spans="1:36" ht="21" customHeight="1" x14ac:dyDescent="0.15">
      <c r="A148" s="21" t="e">
        <f t="shared" ca="1" si="107"/>
        <v>#N/A</v>
      </c>
      <c r="B148" s="33">
        <v>5</v>
      </c>
      <c r="C148" s="32">
        <v>4</v>
      </c>
      <c r="D148" s="2" t="str">
        <f t="shared" si="108"/>
        <v>5_4</v>
      </c>
      <c r="E148" s="5" t="str">
        <f ca="1">VLOOKUP($B148,OFFSET([1]quests!$A$1,0,0,COUNTA([1]quests!$A:$A),MATCH(E$1,[1]quests!$1:$1,0)-MATCH($B$1,[1]quests!$1:$1,0)+1),MATCH(E$1,[1]quests!$1:$1,0)-MATCH($B$1,[1]quests!$1:$1,0)+1,FALSE)</f>
        <v>5．ウォーターランド</v>
      </c>
      <c r="F148" s="5" t="str">
        <f ca="1">VLOOKUP($D148,OFFSET([1]stages!$A$1,0,0,COUNTA([1]stages!$A:$A),MATCH(F$1,[1]stages!$2:$2,0)-MATCH($D$1,[1]stages!$2:$2,0)+1),MATCH(F$1,[1]stages!$2:$2,0)-MATCH($D$1,[1]stages!$2:$2,0)+1,FALSE)</f>
        <v>5-4. 【1回のみ】ボーナスステージ</v>
      </c>
      <c r="G148" s="32">
        <v>5</v>
      </c>
      <c r="H148" s="20" t="str">
        <f t="shared" si="109"/>
        <v>5_4-5</v>
      </c>
      <c r="I148" s="31">
        <v>341</v>
      </c>
      <c r="J148" s="26" t="e">
        <f ca="1">VLOOKUP($I148,OFFSET([2]enemies!$A$1,0,0,COUNTA([2]enemies!$A:$A),MATCH(J$1,[2]enemies!$2:$2,0)-MATCH($I$1,[2]enemies!$2:$2,0)+1),MATCH(J$1,[2]enemies!$2:$2,0)-MATCH($I$1,[2]enemies!$2:$2,0)+1,FALSE)</f>
        <v>#N/A</v>
      </c>
      <c r="K148" s="29" t="e">
        <f ca="1">VLOOKUP($I148,OFFSET([2]enemies!$A$1,0,0,COUNTA([2]enemies!$A:$A),MATCH(K$1,[2]enemies!$2:$2,0)-MATCH($I$1,[2]enemies!$2:$2,0)+1),MATCH(K$1,[2]enemies!$2:$2,0)-MATCH($I$1,[2]enemies!$2:$2,0)+1,FALSE)</f>
        <v>#N/A</v>
      </c>
      <c r="L148" s="29" t="e">
        <f ca="1">VLOOKUP($I148,OFFSET([3]characters!$A$1,0,0,COUNTA([3]characters!$A:$A),MATCH(L$1,[3]characters!$2:$2,0)-MATCH($I$1,[3]characters!$2:$2,0)+1),MATCH(L$1,[3]characters!$2:$2,0)-MATCH($I$1,[3]characters!$2:$2,0)+1,FALSE)</f>
        <v>#N/A</v>
      </c>
      <c r="M148" s="28" t="e">
        <f ca="1">VLOOKUP($I148,OFFSET([3]characters!$A$1,0,0,COUNTA([3]characters!$A:$A),MATCH(M$1,[3]characters!$2:$2,0)-MATCH($I$1,[3]characters!$2:$2,0)+2),MATCH(M$1,[3]characters!$2:$2,0)-MATCH($I$1,[3]characters!$2:$2,0)+2,FALSE)</f>
        <v>#N/A</v>
      </c>
      <c r="N148" s="5" t="e">
        <f ca="1">VLOOKUP($I148,OFFSET([2]enemies!$A$1,0,0,COUNTA([2]enemies!$A:$A),MATCH(N$1,[2]enemies!$2:$2,0)-MATCH($I$1,[2]enemies!$2:$2,0)+1),MATCH(N$1,[2]enemies!$2:$2,0)-MATCH($I$1,[2]enemies!$2:$2,0)+1,FALSE)</f>
        <v>#N/A</v>
      </c>
      <c r="O148" s="6">
        <v>1</v>
      </c>
      <c r="P148" s="43">
        <v>1</v>
      </c>
      <c r="Q148" s="43">
        <v>1</v>
      </c>
      <c r="R148" s="6">
        <v>0</v>
      </c>
      <c r="S148" s="5" t="str">
        <f ca="1">VLOOKUP($T148,OFFSET([4]enemy_skill_sets!$B$1,0,0,COUNTA([4]enemy_skill_sets!$B:$B),MATCH(J$1,[4]enemy_skill_sets!$1:$1,0)-MATCH($T$1,[4]enemy_skill_sets!$1:$1,0)+2),MATCH(J$1,[4]enemy_skill_sets!$1:$1,0)-MATCH($T$1,[4]enemy_skill_sets!$1:$1,0)+2,FALSE)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8" s="5">
        <v>0</v>
      </c>
      <c r="U148" s="7">
        <v>1</v>
      </c>
      <c r="V148" s="7">
        <v>100</v>
      </c>
      <c r="W148" s="7">
        <v>1</v>
      </c>
      <c r="X148" s="26" t="e">
        <f ca="1">VLOOKUP($I148,OFFSET([2]enemies!$A$1,0,0,COUNTA([2]enemies!$A:$A),MATCH(X$1,[2]enemies!$2:$2,0)-MATCH($I$1,[2]enemies!$2:$2,0)+1),MATCH(X$1,[2]enemies!$2:$2,0)-MATCH($I$1,[2]enemies!$2:$2,0)+1,FALSE)</f>
        <v>#N/A</v>
      </c>
      <c r="Y148" s="31">
        <v>341</v>
      </c>
      <c r="Z148" s="5" t="str">
        <f ca="1">IFERROR(VLOOKUP($Y148,OFFSET([3]characters!$A$1,0,0,COUNTA([3]characters!$A:$A),MATCH(Z$1,[3]characters!$2:$2,0)-MATCH("character_id",[3]characters!$2:$2,0)+1),MATCH(Z$1,[3]characters!$2:$2,0)-MATCH("character_id",[3]characters!$2:$2,0)+1,FALSE),"")</f>
        <v/>
      </c>
      <c r="AA148" s="5" t="str">
        <f ca="1">IFERROR(VLOOKUP($Y148,OFFSET([3]characters!$A$1,0,0,COUNTA([3]characters!$A:$A),MATCH(AA$1,[3]characters!$2:$2,0)-MATCH("character_id",[3]characters!$2:$2,0)+1),MATCH(AA$1,[3]characters!$2:$2,0)-MATCH("character_id",[3]characters!$2:$2,0)+1,FALSE),"")</f>
        <v/>
      </c>
      <c r="AB148" s="5" t="str">
        <f ca="1">IFERROR(VLOOKUP($Y148,OFFSET([3]characters!$A$1,0,0,COUNTA([3]characters!$A:$A),MATCH(AB$1,[3]characters!$2:$2,0)-MATCH("character_id",[3]characters!$2:$2,0)+1),MATCH(AB$1,[3]characters!$2:$2,0)-MATCH("character_id",[3]characters!$2:$2,0)+1,FALSE),"")</f>
        <v/>
      </c>
      <c r="AC148" s="8">
        <v>1</v>
      </c>
      <c r="AD148" s="8" t="str">
        <f t="shared" ca="1" si="110"/>
        <v/>
      </c>
      <c r="AE148" s="9">
        <v>100</v>
      </c>
      <c r="AF148" s="38">
        <v>0</v>
      </c>
      <c r="AG148" s="38">
        <v>0</v>
      </c>
      <c r="AH148" s="38">
        <v>0</v>
      </c>
      <c r="AI148" s="38">
        <v>0</v>
      </c>
      <c r="AJ148" s="38">
        <v>1</v>
      </c>
    </row>
    <row r="149" spans="1:36" ht="21" customHeight="1" x14ac:dyDescent="0.15">
      <c r="A149" s="21" t="e">
        <f t="shared" ca="1" si="80"/>
        <v>#N/A</v>
      </c>
      <c r="B149" s="33">
        <v>6</v>
      </c>
      <c r="C149" s="32">
        <v>1</v>
      </c>
      <c r="D149" s="2" t="str">
        <f t="shared" ref="D149:D172" si="111">B149&amp;"_"&amp;C149</f>
        <v>6_1</v>
      </c>
      <c r="E149" s="5" t="str">
        <f ca="1">VLOOKUP($B149,OFFSET([1]quests!$A$1,0,0,COUNTA([1]quests!$A:$A),MATCH(E$1,[1]quests!$1:$1,0)-MATCH($B$1,[1]quests!$1:$1,0)+1),MATCH(E$1,[1]quests!$1:$1,0)-MATCH($B$1,[1]quests!$1:$1,0)+1,FALSE)</f>
        <v>6．ドリームパーク</v>
      </c>
      <c r="F149" s="5" t="str">
        <f ca="1">VLOOKUP($D149,OFFSET([1]stages!$A$1,0,0,COUNTA([1]stages!$A:$A),MATCH(F$1,[1]stages!$2:$2,0)-MATCH($D$1,[1]stages!$2:$2,0)+1),MATCH(F$1,[1]stages!$2:$2,0)-MATCH($D$1,[1]stages!$2:$2,0)+1,FALSE)</f>
        <v>6-1. 虚構の国</v>
      </c>
      <c r="G149" s="32">
        <v>1</v>
      </c>
      <c r="H149" s="20" t="str">
        <f t="shared" si="82"/>
        <v>6_1-1</v>
      </c>
      <c r="I149" s="31">
        <v>1</v>
      </c>
      <c r="J149" s="26" t="e">
        <f ca="1">VLOOKUP($I149,OFFSET([2]enemies!$A$1,0,0,COUNTA([2]enemies!$A:$A),MATCH(J$1,[2]enemies!$2:$2,0)-MATCH($I$1,[2]enemies!$2:$2,0)+1),MATCH(J$1,[2]enemies!$2:$2,0)-MATCH($I$1,[2]enemies!$2:$2,0)+1,FALSE)</f>
        <v>#N/A</v>
      </c>
      <c r="K149" s="29" t="e">
        <f ca="1">VLOOKUP($I149,OFFSET([2]enemies!$A$1,0,0,COUNTA([2]enemies!$A:$A),MATCH(K$1,[2]enemies!$2:$2,0)-MATCH($I$1,[2]enemies!$2:$2,0)+1),MATCH(K$1,[2]enemies!$2:$2,0)-MATCH($I$1,[2]enemies!$2:$2,0)+1,FALSE)</f>
        <v>#N/A</v>
      </c>
      <c r="L149" s="29" t="e">
        <f ca="1">VLOOKUP($I149,OFFSET([3]characters!$A$1,0,0,COUNTA([3]characters!$A:$A),MATCH(L$1,[3]characters!$2:$2,0)-MATCH($I$1,[3]characters!$2:$2,0)+1),MATCH(L$1,[3]characters!$2:$2,0)-MATCH($I$1,[3]characters!$2:$2,0)+1,FALSE)</f>
        <v>#N/A</v>
      </c>
      <c r="M149" s="28" t="e">
        <f ca="1">VLOOKUP($I149,OFFSET([3]characters!$A$1,0,0,COUNTA([3]characters!$A:$A),MATCH(M$1,[3]characters!$2:$2,0)-MATCH($I$1,[3]characters!$2:$2,0)+2),MATCH(M$1,[3]characters!$2:$2,0)-MATCH($I$1,[3]characters!$2:$2,0)+2,FALSE)</f>
        <v>#N/A</v>
      </c>
      <c r="N149" s="5" t="e">
        <f ca="1">VLOOKUP($I149,OFFSET([2]enemies!$A$1,0,0,COUNTA([2]enemies!$A:$A),MATCH(N$1,[2]enemies!$2:$2,0)-MATCH($I$1,[2]enemies!$2:$2,0)+1),MATCH(N$1,[2]enemies!$2:$2,0)-MATCH($I$1,[2]enemies!$2:$2,0)+1,FALSE)</f>
        <v>#N/A</v>
      </c>
      <c r="O149" s="6">
        <v>8</v>
      </c>
      <c r="P149" s="43">
        <v>1</v>
      </c>
      <c r="Q149" s="43">
        <v>1</v>
      </c>
      <c r="R149" s="6">
        <v>0</v>
      </c>
      <c r="S149" s="5" t="str">
        <f ca="1">VLOOKUP($T149,OFFSET([4]enemy_skill_sets!$B$1,0,0,COUNTA([4]enemy_skill_sets!$B:$B),MATCH(J$1,[4]enemy_skill_sets!$1:$1,0)-MATCH($T$1,[4]enemy_skill_sets!$1:$1,0)+2),MATCH(J$1,[4]enemy_skill_sets!$1:$1,0)-MATCH($T$1,[4]enemy_skill_sets!$1:$1,0)+2,FALSE)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9" s="5">
        <v>0</v>
      </c>
      <c r="U149" s="7">
        <v>0</v>
      </c>
      <c r="V149" s="7">
        <v>100</v>
      </c>
      <c r="W149" s="7">
        <v>0</v>
      </c>
      <c r="X149" s="26" t="e">
        <f ca="1">VLOOKUP($I149,OFFSET([2]enemies!$A$1,0,0,COUNTA([2]enemies!$A:$A),MATCH(X$1,[2]enemies!$2:$2,0)-MATCH($I$1,[2]enemies!$2:$2,0)+1),MATCH(X$1,[2]enemies!$2:$2,0)-MATCH($I$1,[2]enemies!$2:$2,0)+1,FALSE)</f>
        <v>#N/A</v>
      </c>
      <c r="Y149" s="31">
        <v>1</v>
      </c>
      <c r="Z149" s="5" t="str">
        <f ca="1">IFERROR(VLOOKUP($Y149,OFFSET([3]characters!$A$1,0,0,COUNTA([3]characters!$A:$A),MATCH(Z$1,[3]characters!$2:$2,0)-MATCH("character_id",[3]characters!$2:$2,0)+1),MATCH(Z$1,[3]characters!$2:$2,0)-MATCH("character_id",[3]characters!$2:$2,0)+1,FALSE),"")</f>
        <v/>
      </c>
      <c r="AA149" s="5" t="str">
        <f ca="1">IFERROR(VLOOKUP($Y149,OFFSET([3]characters!$A$1,0,0,COUNTA([3]characters!$A:$A),MATCH(AA$1,[3]characters!$2:$2,0)-MATCH("character_id",[3]characters!$2:$2,0)+1),MATCH(AA$1,[3]characters!$2:$2,0)-MATCH("character_id",[3]characters!$2:$2,0)+1,FALSE),"")</f>
        <v/>
      </c>
      <c r="AB149" s="5" t="str">
        <f ca="1">IFERROR(VLOOKUP($Y149,OFFSET([3]characters!$A$1,0,0,COUNTA([3]characters!$A:$A),MATCH(AB$1,[3]characters!$2:$2,0)-MATCH("character_id",[3]characters!$2:$2,0)+1),MATCH(AB$1,[3]characters!$2:$2,0)-MATCH("character_id",[3]characters!$2:$2,0)+1,FALSE),"")</f>
        <v/>
      </c>
      <c r="AC149" s="8">
        <v>4</v>
      </c>
      <c r="AD149" s="8" t="str">
        <f t="shared" ca="1" si="46"/>
        <v/>
      </c>
      <c r="AE149" s="9">
        <v>30</v>
      </c>
      <c r="AF149" s="38">
        <v>0</v>
      </c>
      <c r="AG149" s="38">
        <v>0</v>
      </c>
      <c r="AH149" s="38">
        <v>0</v>
      </c>
      <c r="AI149" s="38">
        <v>0</v>
      </c>
      <c r="AJ149" s="38">
        <v>1</v>
      </c>
    </row>
    <row r="150" spans="1:36" ht="21" customHeight="1" x14ac:dyDescent="0.15">
      <c r="A150" s="21" t="e">
        <f t="shared" ca="1" si="80"/>
        <v>#N/A</v>
      </c>
      <c r="B150" s="33">
        <v>6</v>
      </c>
      <c r="C150" s="32">
        <v>1</v>
      </c>
      <c r="D150" s="2" t="str">
        <f t="shared" si="111"/>
        <v>6_1</v>
      </c>
      <c r="E150" s="5" t="str">
        <f ca="1">VLOOKUP($B150,OFFSET([1]quests!$A$1,0,0,COUNTA([1]quests!$A:$A),MATCH(E$1,[1]quests!$1:$1,0)-MATCH($B$1,[1]quests!$1:$1,0)+1),MATCH(E$1,[1]quests!$1:$1,0)-MATCH($B$1,[1]quests!$1:$1,0)+1,FALSE)</f>
        <v>6．ドリームパーク</v>
      </c>
      <c r="F150" s="5" t="str">
        <f ca="1">VLOOKUP($D150,OFFSET([1]stages!$A$1,0,0,COUNTA([1]stages!$A:$A),MATCH(F$1,[1]stages!$2:$2,0)-MATCH($D$1,[1]stages!$2:$2,0)+1),MATCH(F$1,[1]stages!$2:$2,0)-MATCH($D$1,[1]stages!$2:$2,0)+1,FALSE)</f>
        <v>6-1. 虚構の国</v>
      </c>
      <c r="G150" s="32">
        <v>1</v>
      </c>
      <c r="H150" s="20" t="str">
        <f t="shared" si="82"/>
        <v>6_1-1</v>
      </c>
      <c r="I150" s="31">
        <v>3</v>
      </c>
      <c r="J150" s="26" t="e">
        <f ca="1">VLOOKUP($I150,OFFSET([2]enemies!$A$1,0,0,COUNTA([2]enemies!$A:$A),MATCH(J$1,[2]enemies!$2:$2,0)-MATCH($I$1,[2]enemies!$2:$2,0)+1),MATCH(J$1,[2]enemies!$2:$2,0)-MATCH($I$1,[2]enemies!$2:$2,0)+1,FALSE)</f>
        <v>#N/A</v>
      </c>
      <c r="K150" s="29" t="e">
        <f ca="1">VLOOKUP($I150,OFFSET([2]enemies!$A$1,0,0,COUNTA([2]enemies!$A:$A),MATCH(K$1,[2]enemies!$2:$2,0)-MATCH($I$1,[2]enemies!$2:$2,0)+1),MATCH(K$1,[2]enemies!$2:$2,0)-MATCH($I$1,[2]enemies!$2:$2,0)+1,FALSE)</f>
        <v>#N/A</v>
      </c>
      <c r="L150" s="29" t="e">
        <f ca="1">VLOOKUP($I150,OFFSET([3]characters!$A$1,0,0,COUNTA([3]characters!$A:$A),MATCH(L$1,[3]characters!$2:$2,0)-MATCH($I$1,[3]characters!$2:$2,0)+1),MATCH(L$1,[3]characters!$2:$2,0)-MATCH($I$1,[3]characters!$2:$2,0)+1,FALSE)</f>
        <v>#N/A</v>
      </c>
      <c r="M150" s="28" t="e">
        <f ca="1">VLOOKUP($I150,OFFSET([3]characters!$A$1,0,0,COUNTA([3]characters!$A:$A),MATCH(M$1,[3]characters!$2:$2,0)-MATCH($I$1,[3]characters!$2:$2,0)+2),MATCH(M$1,[3]characters!$2:$2,0)-MATCH($I$1,[3]characters!$2:$2,0)+2,FALSE)</f>
        <v>#N/A</v>
      </c>
      <c r="N150" s="5" t="e">
        <f ca="1">VLOOKUP($I150,OFFSET([2]enemies!$A$1,0,0,COUNTA([2]enemies!$A:$A),MATCH(N$1,[2]enemies!$2:$2,0)-MATCH($I$1,[2]enemies!$2:$2,0)+1),MATCH(N$1,[2]enemies!$2:$2,0)-MATCH($I$1,[2]enemies!$2:$2,0)+1,FALSE)</f>
        <v>#N/A</v>
      </c>
      <c r="O150" s="6">
        <v>8</v>
      </c>
      <c r="P150" s="43">
        <v>1</v>
      </c>
      <c r="Q150" s="43">
        <v>1</v>
      </c>
      <c r="R150" s="6">
        <v>0</v>
      </c>
      <c r="S150" s="5" t="str">
        <f ca="1">VLOOKUP($T150,OFFSET([4]enemy_skill_sets!$B$1,0,0,COUNTA([4]enemy_skill_sets!$B:$B),MATCH(J$1,[4]enemy_skill_sets!$1:$1,0)-MATCH($T$1,[4]enemy_skill_sets!$1:$1,0)+2),MATCH(J$1,[4]enemy_skill_sets!$1:$1,0)-MATCH($T$1,[4]enemy_skill_sets!$1:$1,0)+2,FALSE)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0" s="5">
        <v>0</v>
      </c>
      <c r="U150" s="7">
        <v>0</v>
      </c>
      <c r="V150" s="7">
        <v>100</v>
      </c>
      <c r="W150" s="7">
        <v>0</v>
      </c>
      <c r="X150" s="26" t="e">
        <f ca="1">VLOOKUP($I150,OFFSET([2]enemies!$A$1,0,0,COUNTA([2]enemies!$A:$A),MATCH(X$1,[2]enemies!$2:$2,0)-MATCH($I$1,[2]enemies!$2:$2,0)+1),MATCH(X$1,[2]enemies!$2:$2,0)-MATCH($I$1,[2]enemies!$2:$2,0)+1,FALSE)</f>
        <v>#N/A</v>
      </c>
      <c r="Y150" s="31">
        <v>3</v>
      </c>
      <c r="Z150" s="5" t="str">
        <f ca="1">IFERROR(VLOOKUP($Y150,OFFSET([3]characters!$A$1,0,0,COUNTA([3]characters!$A:$A),MATCH(Z$1,[3]characters!$2:$2,0)-MATCH("character_id",[3]characters!$2:$2,0)+1),MATCH(Z$1,[3]characters!$2:$2,0)-MATCH("character_id",[3]characters!$2:$2,0)+1,FALSE),"")</f>
        <v/>
      </c>
      <c r="AA150" s="5" t="str">
        <f ca="1">IFERROR(VLOOKUP($Y150,OFFSET([3]characters!$A$1,0,0,COUNTA([3]characters!$A:$A),MATCH(AA$1,[3]characters!$2:$2,0)-MATCH("character_id",[3]characters!$2:$2,0)+1),MATCH(AA$1,[3]characters!$2:$2,0)-MATCH("character_id",[3]characters!$2:$2,0)+1,FALSE),"")</f>
        <v/>
      </c>
      <c r="AB150" s="5" t="str">
        <f ca="1">IFERROR(VLOOKUP($Y150,OFFSET([3]characters!$A$1,0,0,COUNTA([3]characters!$A:$A),MATCH(AB$1,[3]characters!$2:$2,0)-MATCH("character_id",[3]characters!$2:$2,0)+1),MATCH(AB$1,[3]characters!$2:$2,0)-MATCH("character_id",[3]characters!$2:$2,0)+1,FALSE),"")</f>
        <v/>
      </c>
      <c r="AC150" s="8">
        <v>4</v>
      </c>
      <c r="AD150" s="8" t="str">
        <f t="shared" ca="1" si="46"/>
        <v/>
      </c>
      <c r="AE150" s="9">
        <v>30</v>
      </c>
      <c r="AF150" s="38">
        <v>0</v>
      </c>
      <c r="AG150" s="38">
        <v>0</v>
      </c>
      <c r="AH150" s="38">
        <v>0</v>
      </c>
      <c r="AI150" s="38">
        <v>0</v>
      </c>
      <c r="AJ150" s="38">
        <v>1</v>
      </c>
    </row>
    <row r="151" spans="1:36" ht="21" customHeight="1" x14ac:dyDescent="0.15">
      <c r="A151" s="21" t="e">
        <f t="shared" ca="1" si="80"/>
        <v>#N/A</v>
      </c>
      <c r="B151" s="33">
        <v>6</v>
      </c>
      <c r="C151" s="32">
        <v>1</v>
      </c>
      <c r="D151" s="2" t="str">
        <f t="shared" si="111"/>
        <v>6_1</v>
      </c>
      <c r="E151" s="5" t="str">
        <f ca="1">VLOOKUP($B151,OFFSET([1]quests!$A$1,0,0,COUNTA([1]quests!$A:$A),MATCH(E$1,[1]quests!$1:$1,0)-MATCH($B$1,[1]quests!$1:$1,0)+1),MATCH(E$1,[1]quests!$1:$1,0)-MATCH($B$1,[1]quests!$1:$1,0)+1,FALSE)</f>
        <v>6．ドリームパーク</v>
      </c>
      <c r="F151" s="5" t="str">
        <f ca="1">VLOOKUP($D151,OFFSET([1]stages!$A$1,0,0,COUNTA([1]stages!$A:$A),MATCH(F$1,[1]stages!$2:$2,0)-MATCH($D$1,[1]stages!$2:$2,0)+1),MATCH(F$1,[1]stages!$2:$2,0)-MATCH($D$1,[1]stages!$2:$2,0)+1,FALSE)</f>
        <v>6-1. 虚構の国</v>
      </c>
      <c r="G151" s="32">
        <v>1</v>
      </c>
      <c r="H151" s="20" t="str">
        <f t="shared" si="82"/>
        <v>6_1-1</v>
      </c>
      <c r="I151" s="31">
        <v>5</v>
      </c>
      <c r="J151" s="26" t="e">
        <f ca="1">VLOOKUP($I151,OFFSET([2]enemies!$A$1,0,0,COUNTA([2]enemies!$A:$A),MATCH(J$1,[2]enemies!$2:$2,0)-MATCH($I$1,[2]enemies!$2:$2,0)+1),MATCH(J$1,[2]enemies!$2:$2,0)-MATCH($I$1,[2]enemies!$2:$2,0)+1,FALSE)</f>
        <v>#N/A</v>
      </c>
      <c r="K151" s="29" t="e">
        <f ca="1">VLOOKUP($I151,OFFSET([2]enemies!$A$1,0,0,COUNTA([2]enemies!$A:$A),MATCH(K$1,[2]enemies!$2:$2,0)-MATCH($I$1,[2]enemies!$2:$2,0)+1),MATCH(K$1,[2]enemies!$2:$2,0)-MATCH($I$1,[2]enemies!$2:$2,0)+1,FALSE)</f>
        <v>#N/A</v>
      </c>
      <c r="L151" s="29" t="e">
        <f ca="1">VLOOKUP($I151,OFFSET([3]characters!$A$1,0,0,COUNTA([3]characters!$A:$A),MATCH(L$1,[3]characters!$2:$2,0)-MATCH($I$1,[3]characters!$2:$2,0)+1),MATCH(L$1,[3]characters!$2:$2,0)-MATCH($I$1,[3]characters!$2:$2,0)+1,FALSE)</f>
        <v>#N/A</v>
      </c>
      <c r="M151" s="28" t="e">
        <f ca="1">VLOOKUP($I151,OFFSET([3]characters!$A$1,0,0,COUNTA([3]characters!$A:$A),MATCH(M$1,[3]characters!$2:$2,0)-MATCH($I$1,[3]characters!$2:$2,0)+2),MATCH(M$1,[3]characters!$2:$2,0)-MATCH($I$1,[3]characters!$2:$2,0)+2,FALSE)</f>
        <v>#N/A</v>
      </c>
      <c r="N151" s="5" t="e">
        <f ca="1">VLOOKUP($I151,OFFSET([2]enemies!$A$1,0,0,COUNTA([2]enemies!$A:$A),MATCH(N$1,[2]enemies!$2:$2,0)-MATCH($I$1,[2]enemies!$2:$2,0)+1),MATCH(N$1,[2]enemies!$2:$2,0)-MATCH($I$1,[2]enemies!$2:$2,0)+1,FALSE)</f>
        <v>#N/A</v>
      </c>
      <c r="O151" s="6">
        <v>8</v>
      </c>
      <c r="P151" s="43">
        <v>1</v>
      </c>
      <c r="Q151" s="43">
        <v>1</v>
      </c>
      <c r="R151" s="6">
        <v>0</v>
      </c>
      <c r="S151" s="5" t="str">
        <f ca="1">VLOOKUP($T151,OFFSET([4]enemy_skill_sets!$B$1,0,0,COUNTA([4]enemy_skill_sets!$B:$B),MATCH(J$1,[4]enemy_skill_sets!$1:$1,0)-MATCH($T$1,[4]enemy_skill_sets!$1:$1,0)+2),MATCH(J$1,[4]enemy_skill_sets!$1:$1,0)-MATCH($T$1,[4]enemy_skill_sets!$1:$1,0)+2,FALSE)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1" s="5">
        <v>0</v>
      </c>
      <c r="U151" s="7">
        <v>0</v>
      </c>
      <c r="V151" s="7">
        <v>100</v>
      </c>
      <c r="W151" s="7">
        <v>0</v>
      </c>
      <c r="X151" s="26" t="e">
        <f ca="1">VLOOKUP($I151,OFFSET([2]enemies!$A$1,0,0,COUNTA([2]enemies!$A:$A),MATCH(X$1,[2]enemies!$2:$2,0)-MATCH($I$1,[2]enemies!$2:$2,0)+1),MATCH(X$1,[2]enemies!$2:$2,0)-MATCH($I$1,[2]enemies!$2:$2,0)+1,FALSE)</f>
        <v>#N/A</v>
      </c>
      <c r="Y151" s="31">
        <v>5</v>
      </c>
      <c r="Z151" s="5" t="str">
        <f ca="1">IFERROR(VLOOKUP($Y151,OFFSET([3]characters!$A$1,0,0,COUNTA([3]characters!$A:$A),MATCH(Z$1,[3]characters!$2:$2,0)-MATCH("character_id",[3]characters!$2:$2,0)+1),MATCH(Z$1,[3]characters!$2:$2,0)-MATCH("character_id",[3]characters!$2:$2,0)+1,FALSE),"")</f>
        <v/>
      </c>
      <c r="AA151" s="5" t="str">
        <f ca="1">IFERROR(VLOOKUP($Y151,OFFSET([3]characters!$A$1,0,0,COUNTA([3]characters!$A:$A),MATCH(AA$1,[3]characters!$2:$2,0)-MATCH("character_id",[3]characters!$2:$2,0)+1),MATCH(AA$1,[3]characters!$2:$2,0)-MATCH("character_id",[3]characters!$2:$2,0)+1,FALSE),"")</f>
        <v/>
      </c>
      <c r="AB151" s="5" t="str">
        <f ca="1">IFERROR(VLOOKUP($Y151,OFFSET([3]characters!$A$1,0,0,COUNTA([3]characters!$A:$A),MATCH(AB$1,[3]characters!$2:$2,0)-MATCH("character_id",[3]characters!$2:$2,0)+1),MATCH(AB$1,[3]characters!$2:$2,0)-MATCH("character_id",[3]characters!$2:$2,0)+1,FALSE),"")</f>
        <v/>
      </c>
      <c r="AC151" s="8">
        <v>4</v>
      </c>
      <c r="AD151" s="8" t="str">
        <f t="shared" ca="1" si="46"/>
        <v/>
      </c>
      <c r="AE151" s="9">
        <v>30</v>
      </c>
      <c r="AF151" s="38">
        <v>0</v>
      </c>
      <c r="AG151" s="38">
        <v>0</v>
      </c>
      <c r="AH151" s="38">
        <v>0</v>
      </c>
      <c r="AI151" s="38">
        <v>0</v>
      </c>
      <c r="AJ151" s="38">
        <v>1</v>
      </c>
    </row>
    <row r="152" spans="1:36" ht="21" customHeight="1" x14ac:dyDescent="0.15">
      <c r="A152" s="21" t="e">
        <f t="shared" ca="1" si="80"/>
        <v>#N/A</v>
      </c>
      <c r="B152" s="33">
        <v>6</v>
      </c>
      <c r="C152" s="32">
        <v>1</v>
      </c>
      <c r="D152" s="2" t="str">
        <f t="shared" si="111"/>
        <v>6_1</v>
      </c>
      <c r="E152" s="5" t="str">
        <f ca="1">VLOOKUP($B152,OFFSET([1]quests!$A$1,0,0,COUNTA([1]quests!$A:$A),MATCH(E$1,[1]quests!$1:$1,0)-MATCH($B$1,[1]quests!$1:$1,0)+1),MATCH(E$1,[1]quests!$1:$1,0)-MATCH($B$1,[1]quests!$1:$1,0)+1,FALSE)</f>
        <v>6．ドリームパーク</v>
      </c>
      <c r="F152" s="5" t="str">
        <f ca="1">VLOOKUP($D152,OFFSET([1]stages!$A$1,0,0,COUNTA([1]stages!$A:$A),MATCH(F$1,[1]stages!$2:$2,0)-MATCH($D$1,[1]stages!$2:$2,0)+1),MATCH(F$1,[1]stages!$2:$2,0)-MATCH($D$1,[1]stages!$2:$2,0)+1,FALSE)</f>
        <v>6-1. 虚構の国</v>
      </c>
      <c r="G152" s="32">
        <v>1</v>
      </c>
      <c r="H152" s="20" t="str">
        <f t="shared" si="82"/>
        <v>6_1-1</v>
      </c>
      <c r="I152" s="31">
        <v>7</v>
      </c>
      <c r="J152" s="26" t="e">
        <f ca="1">VLOOKUP($I152,OFFSET([2]enemies!$A$1,0,0,COUNTA([2]enemies!$A:$A),MATCH(J$1,[2]enemies!$2:$2,0)-MATCH($I$1,[2]enemies!$2:$2,0)+1),MATCH(J$1,[2]enemies!$2:$2,0)-MATCH($I$1,[2]enemies!$2:$2,0)+1,FALSE)</f>
        <v>#N/A</v>
      </c>
      <c r="K152" s="29" t="e">
        <f ca="1">VLOOKUP($I152,OFFSET([2]enemies!$A$1,0,0,COUNTA([2]enemies!$A:$A),MATCH(K$1,[2]enemies!$2:$2,0)-MATCH($I$1,[2]enemies!$2:$2,0)+1),MATCH(K$1,[2]enemies!$2:$2,0)-MATCH($I$1,[2]enemies!$2:$2,0)+1,FALSE)</f>
        <v>#N/A</v>
      </c>
      <c r="L152" s="29" t="e">
        <f ca="1">VLOOKUP($I152,OFFSET([3]characters!$A$1,0,0,COUNTA([3]characters!$A:$A),MATCH(L$1,[3]characters!$2:$2,0)-MATCH($I$1,[3]characters!$2:$2,0)+1),MATCH(L$1,[3]characters!$2:$2,0)-MATCH($I$1,[3]characters!$2:$2,0)+1,FALSE)</f>
        <v>#N/A</v>
      </c>
      <c r="M152" s="28" t="e">
        <f ca="1">VLOOKUP($I152,OFFSET([3]characters!$A$1,0,0,COUNTA([3]characters!$A:$A),MATCH(M$1,[3]characters!$2:$2,0)-MATCH($I$1,[3]characters!$2:$2,0)+2),MATCH(M$1,[3]characters!$2:$2,0)-MATCH($I$1,[3]characters!$2:$2,0)+2,FALSE)</f>
        <v>#N/A</v>
      </c>
      <c r="N152" s="5" t="e">
        <f ca="1">VLOOKUP($I152,OFFSET([2]enemies!$A$1,0,0,COUNTA([2]enemies!$A:$A),MATCH(N$1,[2]enemies!$2:$2,0)-MATCH($I$1,[2]enemies!$2:$2,0)+1),MATCH(N$1,[2]enemies!$2:$2,0)-MATCH($I$1,[2]enemies!$2:$2,0)+1,FALSE)</f>
        <v>#N/A</v>
      </c>
      <c r="O152" s="6">
        <v>8</v>
      </c>
      <c r="P152" s="43">
        <v>1</v>
      </c>
      <c r="Q152" s="43">
        <v>1</v>
      </c>
      <c r="R152" s="6">
        <v>0</v>
      </c>
      <c r="S152" s="5" t="str">
        <f ca="1">VLOOKUP($T152,OFFSET([4]enemy_skill_sets!$B$1,0,0,COUNTA([4]enemy_skill_sets!$B:$B),MATCH(J$1,[4]enemy_skill_sets!$1:$1,0)-MATCH($T$1,[4]enemy_skill_sets!$1:$1,0)+2),MATCH(J$1,[4]enemy_skill_sets!$1:$1,0)-MATCH($T$1,[4]enemy_skill_sets!$1:$1,0)+2,FALSE)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2" s="5">
        <v>0</v>
      </c>
      <c r="U152" s="7">
        <v>0</v>
      </c>
      <c r="V152" s="7">
        <v>100</v>
      </c>
      <c r="W152" s="7">
        <v>0</v>
      </c>
      <c r="X152" s="26" t="e">
        <f ca="1">VLOOKUP($I152,OFFSET([2]enemies!$A$1,0,0,COUNTA([2]enemies!$A:$A),MATCH(X$1,[2]enemies!$2:$2,0)-MATCH($I$1,[2]enemies!$2:$2,0)+1),MATCH(X$1,[2]enemies!$2:$2,0)-MATCH($I$1,[2]enemies!$2:$2,0)+1,FALSE)</f>
        <v>#N/A</v>
      </c>
      <c r="Y152" s="31">
        <v>7</v>
      </c>
      <c r="Z152" s="5" t="str">
        <f ca="1">IFERROR(VLOOKUP($Y152,OFFSET([3]characters!$A$1,0,0,COUNTA([3]characters!$A:$A),MATCH(Z$1,[3]characters!$2:$2,0)-MATCH("character_id",[3]characters!$2:$2,0)+1),MATCH(Z$1,[3]characters!$2:$2,0)-MATCH("character_id",[3]characters!$2:$2,0)+1,FALSE),"")</f>
        <v/>
      </c>
      <c r="AA152" s="5" t="str">
        <f ca="1">IFERROR(VLOOKUP($Y152,OFFSET([3]characters!$A$1,0,0,COUNTA([3]characters!$A:$A),MATCH(AA$1,[3]characters!$2:$2,0)-MATCH("character_id",[3]characters!$2:$2,0)+1),MATCH(AA$1,[3]characters!$2:$2,0)-MATCH("character_id",[3]characters!$2:$2,0)+1,FALSE),"")</f>
        <v/>
      </c>
      <c r="AB152" s="5" t="str">
        <f ca="1">IFERROR(VLOOKUP($Y152,OFFSET([3]characters!$A$1,0,0,COUNTA([3]characters!$A:$A),MATCH(AB$1,[3]characters!$2:$2,0)-MATCH("character_id",[3]characters!$2:$2,0)+1),MATCH(AB$1,[3]characters!$2:$2,0)-MATCH("character_id",[3]characters!$2:$2,0)+1,FALSE),"")</f>
        <v/>
      </c>
      <c r="AC152" s="8">
        <v>4</v>
      </c>
      <c r="AD152" s="8" t="str">
        <f t="shared" ca="1" si="46"/>
        <v/>
      </c>
      <c r="AE152" s="9">
        <v>30</v>
      </c>
      <c r="AF152" s="38">
        <v>0</v>
      </c>
      <c r="AG152" s="38">
        <v>0</v>
      </c>
      <c r="AH152" s="38">
        <v>0</v>
      </c>
      <c r="AI152" s="38">
        <v>0</v>
      </c>
      <c r="AJ152" s="38">
        <v>1</v>
      </c>
    </row>
    <row r="153" spans="1:36" ht="21" customHeight="1" x14ac:dyDescent="0.15">
      <c r="A153" s="21" t="e">
        <f t="shared" ref="A153:A154" ca="1" si="112">B153&amp;"_"&amp;C153&amp;"-"&amp;G153&amp;"/"&amp;I153&amp;"&lt;lv"&amp;O153&amp;"&gt;s"&amp;X153</f>
        <v>#N/A</v>
      </c>
      <c r="B153" s="33">
        <v>6</v>
      </c>
      <c r="C153" s="32">
        <v>1</v>
      </c>
      <c r="D153" s="2" t="str">
        <f t="shared" ref="D153:D154" si="113">B153&amp;"_"&amp;C153</f>
        <v>6_1</v>
      </c>
      <c r="E153" s="5" t="str">
        <f ca="1">VLOOKUP($B153,OFFSET([1]quests!$A$1,0,0,COUNTA([1]quests!$A:$A),MATCH(E$1,[1]quests!$1:$1,0)-MATCH($B$1,[1]quests!$1:$1,0)+1),MATCH(E$1,[1]quests!$1:$1,0)-MATCH($B$1,[1]quests!$1:$1,0)+1,FALSE)</f>
        <v>6．ドリームパーク</v>
      </c>
      <c r="F153" s="5" t="str">
        <f ca="1">VLOOKUP($D153,OFFSET([1]stages!$A$1,0,0,COUNTA([1]stages!$A:$A),MATCH(F$1,[1]stages!$2:$2,0)-MATCH($D$1,[1]stages!$2:$2,0)+1),MATCH(F$1,[1]stages!$2:$2,0)-MATCH($D$1,[1]stages!$2:$2,0)+1,FALSE)</f>
        <v>6-1. 虚構の国</v>
      </c>
      <c r="G153" s="32">
        <v>1</v>
      </c>
      <c r="H153" s="20" t="str">
        <f t="shared" ref="H153:H154" si="114">B153&amp;"_"&amp;C153&amp;"-"&amp;G153</f>
        <v>6_1-1</v>
      </c>
      <c r="I153" s="31">
        <v>101</v>
      </c>
      <c r="J153" s="26" t="e">
        <f ca="1">VLOOKUP($I153,OFFSET([2]enemies!$A$1,0,0,COUNTA([2]enemies!$A:$A),MATCH(J$1,[2]enemies!$2:$2,0)-MATCH($I$1,[2]enemies!$2:$2,0)+1),MATCH(J$1,[2]enemies!$2:$2,0)-MATCH($I$1,[2]enemies!$2:$2,0)+1,FALSE)</f>
        <v>#N/A</v>
      </c>
      <c r="K153" s="29" t="e">
        <f ca="1">VLOOKUP($I153,OFFSET([2]enemies!$A$1,0,0,COUNTA([2]enemies!$A:$A),MATCH(K$1,[2]enemies!$2:$2,0)-MATCH($I$1,[2]enemies!$2:$2,0)+1),MATCH(K$1,[2]enemies!$2:$2,0)-MATCH($I$1,[2]enemies!$2:$2,0)+1,FALSE)</f>
        <v>#N/A</v>
      </c>
      <c r="L153" s="29" t="e">
        <f ca="1">VLOOKUP($I153,OFFSET([3]characters!$A$1,0,0,COUNTA([3]characters!$A:$A),MATCH(L$1,[3]characters!$2:$2,0)-MATCH($I$1,[3]characters!$2:$2,0)+1),MATCH(L$1,[3]characters!$2:$2,0)-MATCH($I$1,[3]characters!$2:$2,0)+1,FALSE)</f>
        <v>#N/A</v>
      </c>
      <c r="M153" s="28" t="e">
        <f ca="1">VLOOKUP($I153,OFFSET([3]characters!$A$1,0,0,COUNTA([3]characters!$A:$A),MATCH(M$1,[3]characters!$2:$2,0)-MATCH($I$1,[3]characters!$2:$2,0)+2),MATCH(M$1,[3]characters!$2:$2,0)-MATCH($I$1,[3]characters!$2:$2,0)+2,FALSE)</f>
        <v>#N/A</v>
      </c>
      <c r="N153" s="5" t="e">
        <f ca="1">VLOOKUP($I153,OFFSET([2]enemies!$A$1,0,0,COUNTA([2]enemies!$A:$A),MATCH(N$1,[2]enemies!$2:$2,0)-MATCH($I$1,[2]enemies!$2:$2,0)+1),MATCH(N$1,[2]enemies!$2:$2,0)-MATCH($I$1,[2]enemies!$2:$2,0)+1,FALSE)</f>
        <v>#N/A</v>
      </c>
      <c r="O153" s="6">
        <v>8</v>
      </c>
      <c r="P153" s="43">
        <v>1</v>
      </c>
      <c r="Q153" s="43">
        <v>1</v>
      </c>
      <c r="R153" s="6">
        <v>0</v>
      </c>
      <c r="S153" s="5" t="str">
        <f ca="1">VLOOKUP($T153,OFFSET([4]enemy_skill_sets!$B$1,0,0,COUNTA([4]enemy_skill_sets!$B:$B),MATCH(J$1,[4]enemy_skill_sets!$1:$1,0)-MATCH($T$1,[4]enemy_skill_sets!$1:$1,0)+2),MATCH(J$1,[4]enemy_skill_sets!$1:$1,0)-MATCH($T$1,[4]enemy_skill_sets!$1:$1,0)+2,FALSE)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3" s="5">
        <v>0</v>
      </c>
      <c r="U153" s="7">
        <v>0</v>
      </c>
      <c r="V153" s="39">
        <v>50</v>
      </c>
      <c r="W153" s="7">
        <v>0</v>
      </c>
      <c r="X153" s="26" t="e">
        <f ca="1">VLOOKUP($I153,OFFSET([2]enemies!$A$1,0,0,COUNTA([2]enemies!$A:$A),MATCH(X$1,[2]enemies!$2:$2,0)-MATCH($I$1,[2]enemies!$2:$2,0)+1),MATCH(X$1,[2]enemies!$2:$2,0)-MATCH($I$1,[2]enemies!$2:$2,0)+1,FALSE)</f>
        <v>#N/A</v>
      </c>
      <c r="Y153" s="31">
        <v>101</v>
      </c>
      <c r="Z153" s="5" t="str">
        <f ca="1">IFERROR(VLOOKUP($Y153,OFFSET([3]characters!$A$1,0,0,COUNTA([3]characters!$A:$A),MATCH(Z$1,[3]characters!$2:$2,0)-MATCH("character_id",[3]characters!$2:$2,0)+1),MATCH(Z$1,[3]characters!$2:$2,0)-MATCH("character_id",[3]characters!$2:$2,0)+1,FALSE),"")</f>
        <v/>
      </c>
      <c r="AA153" s="5" t="str">
        <f ca="1">IFERROR(VLOOKUP($Y153,OFFSET([3]characters!$A$1,0,0,COUNTA([3]characters!$A:$A),MATCH(AA$1,[3]characters!$2:$2,0)-MATCH("character_id",[3]characters!$2:$2,0)+1),MATCH(AA$1,[3]characters!$2:$2,0)-MATCH("character_id",[3]characters!$2:$2,0)+1,FALSE),"")</f>
        <v/>
      </c>
      <c r="AB153" s="5" t="str">
        <f ca="1">IFERROR(VLOOKUP($Y153,OFFSET([3]characters!$A$1,0,0,COUNTA([3]characters!$A:$A),MATCH(AB$1,[3]characters!$2:$2,0)-MATCH("character_id",[3]characters!$2:$2,0)+1),MATCH(AB$1,[3]characters!$2:$2,0)-MATCH("character_id",[3]characters!$2:$2,0)+1,FALSE),"")</f>
        <v/>
      </c>
      <c r="AC153" s="8">
        <v>1</v>
      </c>
      <c r="AD153" s="8" t="str">
        <f t="shared" ca="1" si="46"/>
        <v/>
      </c>
      <c r="AE153" s="9">
        <v>20</v>
      </c>
      <c r="AF153" s="38">
        <v>0</v>
      </c>
      <c r="AG153" s="38">
        <v>0</v>
      </c>
      <c r="AH153" s="38">
        <v>0</v>
      </c>
      <c r="AI153" s="38">
        <v>0</v>
      </c>
      <c r="AJ153" s="38">
        <v>1</v>
      </c>
    </row>
    <row r="154" spans="1:36" ht="21" customHeight="1" x14ac:dyDescent="0.15">
      <c r="A154" s="21" t="e">
        <f t="shared" ca="1" si="112"/>
        <v>#N/A</v>
      </c>
      <c r="B154" s="33">
        <v>6</v>
      </c>
      <c r="C154" s="32">
        <v>1</v>
      </c>
      <c r="D154" s="2" t="str">
        <f t="shared" si="113"/>
        <v>6_1</v>
      </c>
      <c r="E154" s="5" t="str">
        <f ca="1">VLOOKUP($B154,OFFSET([1]quests!$A$1,0,0,COUNTA([1]quests!$A:$A),MATCH(E$1,[1]quests!$1:$1,0)-MATCH($B$1,[1]quests!$1:$1,0)+1),MATCH(E$1,[1]quests!$1:$1,0)-MATCH($B$1,[1]quests!$1:$1,0)+1,FALSE)</f>
        <v>6．ドリームパーク</v>
      </c>
      <c r="F154" s="5" t="str">
        <f ca="1">VLOOKUP($D154,OFFSET([1]stages!$A$1,0,0,COUNTA([1]stages!$A:$A),MATCH(F$1,[1]stages!$2:$2,0)-MATCH($D$1,[1]stages!$2:$2,0)+1),MATCH(F$1,[1]stages!$2:$2,0)-MATCH($D$1,[1]stages!$2:$2,0)+1,FALSE)</f>
        <v>6-1. 虚構の国</v>
      </c>
      <c r="G154" s="32">
        <v>1</v>
      </c>
      <c r="H154" s="20" t="str">
        <f t="shared" si="114"/>
        <v>6_1-1</v>
      </c>
      <c r="I154" s="31">
        <v>105</v>
      </c>
      <c r="J154" s="26" t="e">
        <f ca="1">VLOOKUP($I154,OFFSET([2]enemies!$A$1,0,0,COUNTA([2]enemies!$A:$A),MATCH(J$1,[2]enemies!$2:$2,0)-MATCH($I$1,[2]enemies!$2:$2,0)+1),MATCH(J$1,[2]enemies!$2:$2,0)-MATCH($I$1,[2]enemies!$2:$2,0)+1,FALSE)</f>
        <v>#N/A</v>
      </c>
      <c r="K154" s="29" t="e">
        <f ca="1">VLOOKUP($I154,OFFSET([2]enemies!$A$1,0,0,COUNTA([2]enemies!$A:$A),MATCH(K$1,[2]enemies!$2:$2,0)-MATCH($I$1,[2]enemies!$2:$2,0)+1),MATCH(K$1,[2]enemies!$2:$2,0)-MATCH($I$1,[2]enemies!$2:$2,0)+1,FALSE)</f>
        <v>#N/A</v>
      </c>
      <c r="L154" s="29" t="e">
        <f ca="1">VLOOKUP($I154,OFFSET([3]characters!$A$1,0,0,COUNTA([3]characters!$A:$A),MATCH(L$1,[3]characters!$2:$2,0)-MATCH($I$1,[3]characters!$2:$2,0)+1),MATCH(L$1,[3]characters!$2:$2,0)-MATCH($I$1,[3]characters!$2:$2,0)+1,FALSE)</f>
        <v>#N/A</v>
      </c>
      <c r="M154" s="28" t="e">
        <f ca="1">VLOOKUP($I154,OFFSET([3]characters!$A$1,0,0,COUNTA([3]characters!$A:$A),MATCH(M$1,[3]characters!$2:$2,0)-MATCH($I$1,[3]characters!$2:$2,0)+2),MATCH(M$1,[3]characters!$2:$2,0)-MATCH($I$1,[3]characters!$2:$2,0)+2,FALSE)</f>
        <v>#N/A</v>
      </c>
      <c r="N154" s="5" t="e">
        <f ca="1">VLOOKUP($I154,OFFSET([2]enemies!$A$1,0,0,COUNTA([2]enemies!$A:$A),MATCH(N$1,[2]enemies!$2:$2,0)-MATCH($I$1,[2]enemies!$2:$2,0)+1),MATCH(N$1,[2]enemies!$2:$2,0)-MATCH($I$1,[2]enemies!$2:$2,0)+1,FALSE)</f>
        <v>#N/A</v>
      </c>
      <c r="O154" s="6">
        <v>8</v>
      </c>
      <c r="P154" s="43">
        <v>1</v>
      </c>
      <c r="Q154" s="43">
        <v>1</v>
      </c>
      <c r="R154" s="6">
        <v>0</v>
      </c>
      <c r="S154" s="5" t="str">
        <f ca="1">VLOOKUP($T154,OFFSET([4]enemy_skill_sets!$B$1,0,0,COUNTA([4]enemy_skill_sets!$B:$B),MATCH(J$1,[4]enemy_skill_sets!$1:$1,0)-MATCH($T$1,[4]enemy_skill_sets!$1:$1,0)+2),MATCH(J$1,[4]enemy_skill_sets!$1:$1,0)-MATCH($T$1,[4]enemy_skill_sets!$1:$1,0)+2,FALSE)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4" s="5">
        <v>0</v>
      </c>
      <c r="U154" s="7">
        <v>0</v>
      </c>
      <c r="V154" s="40">
        <v>50</v>
      </c>
      <c r="W154" s="7">
        <v>0</v>
      </c>
      <c r="X154" s="26" t="e">
        <f ca="1">VLOOKUP($I154,OFFSET([2]enemies!$A$1,0,0,COUNTA([2]enemies!$A:$A),MATCH(X$1,[2]enemies!$2:$2,0)-MATCH($I$1,[2]enemies!$2:$2,0)+1),MATCH(X$1,[2]enemies!$2:$2,0)-MATCH($I$1,[2]enemies!$2:$2,0)+1,FALSE)</f>
        <v>#N/A</v>
      </c>
      <c r="Y154" s="31">
        <v>105</v>
      </c>
      <c r="Z154" s="5" t="str">
        <f ca="1">IFERROR(VLOOKUP($Y154,OFFSET([3]characters!$A$1,0,0,COUNTA([3]characters!$A:$A),MATCH(Z$1,[3]characters!$2:$2,0)-MATCH("character_id",[3]characters!$2:$2,0)+1),MATCH(Z$1,[3]characters!$2:$2,0)-MATCH("character_id",[3]characters!$2:$2,0)+1,FALSE),"")</f>
        <v/>
      </c>
      <c r="AA154" s="5" t="str">
        <f ca="1">IFERROR(VLOOKUP($Y154,OFFSET([3]characters!$A$1,0,0,COUNTA([3]characters!$A:$A),MATCH(AA$1,[3]characters!$2:$2,0)-MATCH("character_id",[3]characters!$2:$2,0)+1),MATCH(AA$1,[3]characters!$2:$2,0)-MATCH("character_id",[3]characters!$2:$2,0)+1,FALSE),"")</f>
        <v/>
      </c>
      <c r="AB154" s="5" t="str">
        <f ca="1">IFERROR(VLOOKUP($Y154,OFFSET([3]characters!$A$1,0,0,COUNTA([3]characters!$A:$A),MATCH(AB$1,[3]characters!$2:$2,0)-MATCH("character_id",[3]characters!$2:$2,0)+1),MATCH(AB$1,[3]characters!$2:$2,0)-MATCH("character_id",[3]characters!$2:$2,0)+1,FALSE),"")</f>
        <v/>
      </c>
      <c r="AC154" s="8">
        <v>1</v>
      </c>
      <c r="AD154" s="8" t="str">
        <f t="shared" ca="1" si="46"/>
        <v/>
      </c>
      <c r="AE154" s="9">
        <v>20</v>
      </c>
      <c r="AF154" s="38">
        <v>0</v>
      </c>
      <c r="AG154" s="38">
        <v>0</v>
      </c>
      <c r="AH154" s="38">
        <v>0</v>
      </c>
      <c r="AI154" s="38">
        <v>0</v>
      </c>
      <c r="AJ154" s="38">
        <v>1</v>
      </c>
    </row>
    <row r="155" spans="1:36" ht="21" customHeight="1" x14ac:dyDescent="0.15">
      <c r="A155" s="21" t="e">
        <f t="shared" ca="1" si="80"/>
        <v>#N/A</v>
      </c>
      <c r="B155" s="33">
        <v>6</v>
      </c>
      <c r="C155" s="32">
        <v>1</v>
      </c>
      <c r="D155" s="2" t="str">
        <f t="shared" si="111"/>
        <v>6_1</v>
      </c>
      <c r="E155" s="5" t="str">
        <f ca="1">VLOOKUP($B155,OFFSET([1]quests!$A$1,0,0,COUNTA([1]quests!$A:$A),MATCH(E$1,[1]quests!$1:$1,0)-MATCH($B$1,[1]quests!$1:$1,0)+1),MATCH(E$1,[1]quests!$1:$1,0)-MATCH($B$1,[1]quests!$1:$1,0)+1,FALSE)</f>
        <v>6．ドリームパーク</v>
      </c>
      <c r="F155" s="5" t="str">
        <f ca="1">VLOOKUP($D155,OFFSET([1]stages!$A$1,0,0,COUNTA([1]stages!$A:$A),MATCH(F$1,[1]stages!$2:$2,0)-MATCH($D$1,[1]stages!$2:$2,0)+1),MATCH(F$1,[1]stages!$2:$2,0)-MATCH($D$1,[1]stages!$2:$2,0)+1,FALSE)</f>
        <v>6-1. 虚構の国</v>
      </c>
      <c r="G155" s="32">
        <v>2</v>
      </c>
      <c r="H155" s="20" t="str">
        <f t="shared" si="82"/>
        <v>6_1-2</v>
      </c>
      <c r="I155" s="31">
        <v>9</v>
      </c>
      <c r="J155" s="26" t="e">
        <f ca="1">VLOOKUP($I155,OFFSET([2]enemies!$A$1,0,0,COUNTA([2]enemies!$A:$A),MATCH(J$1,[2]enemies!$2:$2,0)-MATCH($I$1,[2]enemies!$2:$2,0)+1),MATCH(J$1,[2]enemies!$2:$2,0)-MATCH($I$1,[2]enemies!$2:$2,0)+1,FALSE)</f>
        <v>#N/A</v>
      </c>
      <c r="K155" s="29" t="e">
        <f ca="1">VLOOKUP($I155,OFFSET([2]enemies!$A$1,0,0,COUNTA([2]enemies!$A:$A),MATCH(K$1,[2]enemies!$2:$2,0)-MATCH($I$1,[2]enemies!$2:$2,0)+1),MATCH(K$1,[2]enemies!$2:$2,0)-MATCH($I$1,[2]enemies!$2:$2,0)+1,FALSE)</f>
        <v>#N/A</v>
      </c>
      <c r="L155" s="29" t="e">
        <f ca="1">VLOOKUP($I155,OFFSET([3]characters!$A$1,0,0,COUNTA([3]characters!$A:$A),MATCH(L$1,[3]characters!$2:$2,0)-MATCH($I$1,[3]characters!$2:$2,0)+1),MATCH(L$1,[3]characters!$2:$2,0)-MATCH($I$1,[3]characters!$2:$2,0)+1,FALSE)</f>
        <v>#N/A</v>
      </c>
      <c r="M155" s="28" t="e">
        <f ca="1">VLOOKUP($I155,OFFSET([3]characters!$A$1,0,0,COUNTA([3]characters!$A:$A),MATCH(M$1,[3]characters!$2:$2,0)-MATCH($I$1,[3]characters!$2:$2,0)+2),MATCH(M$1,[3]characters!$2:$2,0)-MATCH($I$1,[3]characters!$2:$2,0)+2,FALSE)</f>
        <v>#N/A</v>
      </c>
      <c r="N155" s="5" t="e">
        <f ca="1">VLOOKUP($I155,OFFSET([2]enemies!$A$1,0,0,COUNTA([2]enemies!$A:$A),MATCH(N$1,[2]enemies!$2:$2,0)-MATCH($I$1,[2]enemies!$2:$2,0)+1),MATCH(N$1,[2]enemies!$2:$2,0)-MATCH($I$1,[2]enemies!$2:$2,0)+1,FALSE)</f>
        <v>#N/A</v>
      </c>
      <c r="O155" s="6">
        <v>8</v>
      </c>
      <c r="P155" s="43">
        <v>1</v>
      </c>
      <c r="Q155" s="43">
        <v>1</v>
      </c>
      <c r="R155" s="6">
        <v>0</v>
      </c>
      <c r="S155" s="5" t="str">
        <f ca="1">VLOOKUP($T155,OFFSET([4]enemy_skill_sets!$B$1,0,0,COUNTA([4]enemy_skill_sets!$B:$B),MATCH(J$1,[4]enemy_skill_sets!$1:$1,0)-MATCH($T$1,[4]enemy_skill_sets!$1:$1,0)+2),MATCH(J$1,[4]enemy_skill_sets!$1:$1,0)-MATCH($T$1,[4]enemy_skill_sets!$1:$1,0)+2,FALSE)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5" s="5">
        <v>0</v>
      </c>
      <c r="U155" s="7">
        <v>0</v>
      </c>
      <c r="V155" s="7">
        <v>100</v>
      </c>
      <c r="W155" s="7">
        <v>0</v>
      </c>
      <c r="X155" s="26" t="e">
        <f ca="1">VLOOKUP($I155,OFFSET([2]enemies!$A$1,0,0,COUNTA([2]enemies!$A:$A),MATCH(X$1,[2]enemies!$2:$2,0)-MATCH($I$1,[2]enemies!$2:$2,0)+1),MATCH(X$1,[2]enemies!$2:$2,0)-MATCH($I$1,[2]enemies!$2:$2,0)+1,FALSE)</f>
        <v>#N/A</v>
      </c>
      <c r="Y155" s="31">
        <v>9</v>
      </c>
      <c r="Z155" s="5" t="str">
        <f ca="1">IFERROR(VLOOKUP($Y155,OFFSET([3]characters!$A$1,0,0,COUNTA([3]characters!$A:$A),MATCH(Z$1,[3]characters!$2:$2,0)-MATCH("character_id",[3]characters!$2:$2,0)+1),MATCH(Z$1,[3]characters!$2:$2,0)-MATCH("character_id",[3]characters!$2:$2,0)+1,FALSE),"")</f>
        <v/>
      </c>
      <c r="AA155" s="5" t="str">
        <f ca="1">IFERROR(VLOOKUP($Y155,OFFSET([3]characters!$A$1,0,0,COUNTA([3]characters!$A:$A),MATCH(AA$1,[3]characters!$2:$2,0)-MATCH("character_id",[3]characters!$2:$2,0)+1),MATCH(AA$1,[3]characters!$2:$2,0)-MATCH("character_id",[3]characters!$2:$2,0)+1,FALSE),"")</f>
        <v/>
      </c>
      <c r="AB155" s="5" t="str">
        <f ca="1">IFERROR(VLOOKUP($Y155,OFFSET([3]characters!$A$1,0,0,COUNTA([3]characters!$A:$A),MATCH(AB$1,[3]characters!$2:$2,0)-MATCH("character_id",[3]characters!$2:$2,0)+1),MATCH(AB$1,[3]characters!$2:$2,0)-MATCH("character_id",[3]characters!$2:$2,0)+1,FALSE),"")</f>
        <v/>
      </c>
      <c r="AC155" s="8">
        <v>2</v>
      </c>
      <c r="AD155" s="8" t="str">
        <f t="shared" ca="1" si="46"/>
        <v/>
      </c>
      <c r="AE155" s="9">
        <v>30</v>
      </c>
      <c r="AF155" s="38">
        <v>0</v>
      </c>
      <c r="AG155" s="38">
        <v>0</v>
      </c>
      <c r="AH155" s="38">
        <v>0</v>
      </c>
      <c r="AI155" s="38">
        <v>0</v>
      </c>
      <c r="AJ155" s="38">
        <v>1</v>
      </c>
    </row>
    <row r="156" spans="1:36" ht="21" customHeight="1" x14ac:dyDescent="0.15">
      <c r="A156" s="21" t="e">
        <f t="shared" ca="1" si="80"/>
        <v>#N/A</v>
      </c>
      <c r="B156" s="33">
        <v>6</v>
      </c>
      <c r="C156" s="32">
        <v>1</v>
      </c>
      <c r="D156" s="2" t="str">
        <f t="shared" si="111"/>
        <v>6_1</v>
      </c>
      <c r="E156" s="5" t="str">
        <f ca="1">VLOOKUP($B156,OFFSET([1]quests!$A$1,0,0,COUNTA([1]quests!$A:$A),MATCH(E$1,[1]quests!$1:$1,0)-MATCH($B$1,[1]quests!$1:$1,0)+1),MATCH(E$1,[1]quests!$1:$1,0)-MATCH($B$1,[1]quests!$1:$1,0)+1,FALSE)</f>
        <v>6．ドリームパーク</v>
      </c>
      <c r="F156" s="5" t="str">
        <f ca="1">VLOOKUP($D156,OFFSET([1]stages!$A$1,0,0,COUNTA([1]stages!$A:$A),MATCH(F$1,[1]stages!$2:$2,0)-MATCH($D$1,[1]stages!$2:$2,0)+1),MATCH(F$1,[1]stages!$2:$2,0)-MATCH($D$1,[1]stages!$2:$2,0)+1,FALSE)</f>
        <v>6-1. 虚構の国</v>
      </c>
      <c r="G156" s="32">
        <v>2</v>
      </c>
      <c r="H156" s="20" t="str">
        <f t="shared" si="82"/>
        <v>6_1-2</v>
      </c>
      <c r="I156" s="31">
        <v>11</v>
      </c>
      <c r="J156" s="26" t="e">
        <f ca="1">VLOOKUP($I156,OFFSET([2]enemies!$A$1,0,0,COUNTA([2]enemies!$A:$A),MATCH(J$1,[2]enemies!$2:$2,0)-MATCH($I$1,[2]enemies!$2:$2,0)+1),MATCH(J$1,[2]enemies!$2:$2,0)-MATCH($I$1,[2]enemies!$2:$2,0)+1,FALSE)</f>
        <v>#N/A</v>
      </c>
      <c r="K156" s="29" t="e">
        <f ca="1">VLOOKUP($I156,OFFSET([2]enemies!$A$1,0,0,COUNTA([2]enemies!$A:$A),MATCH(K$1,[2]enemies!$2:$2,0)-MATCH($I$1,[2]enemies!$2:$2,0)+1),MATCH(K$1,[2]enemies!$2:$2,0)-MATCH($I$1,[2]enemies!$2:$2,0)+1,FALSE)</f>
        <v>#N/A</v>
      </c>
      <c r="L156" s="29" t="e">
        <f ca="1">VLOOKUP($I156,OFFSET([3]characters!$A$1,0,0,COUNTA([3]characters!$A:$A),MATCH(L$1,[3]characters!$2:$2,0)-MATCH($I$1,[3]characters!$2:$2,0)+1),MATCH(L$1,[3]characters!$2:$2,0)-MATCH($I$1,[3]characters!$2:$2,0)+1,FALSE)</f>
        <v>#N/A</v>
      </c>
      <c r="M156" s="28" t="e">
        <f ca="1">VLOOKUP($I156,OFFSET([3]characters!$A$1,0,0,COUNTA([3]characters!$A:$A),MATCH(M$1,[3]characters!$2:$2,0)-MATCH($I$1,[3]characters!$2:$2,0)+2),MATCH(M$1,[3]characters!$2:$2,0)-MATCH($I$1,[3]characters!$2:$2,0)+2,FALSE)</f>
        <v>#N/A</v>
      </c>
      <c r="N156" s="5" t="e">
        <f ca="1">VLOOKUP($I156,OFFSET([2]enemies!$A$1,0,0,COUNTA([2]enemies!$A:$A),MATCH(N$1,[2]enemies!$2:$2,0)-MATCH($I$1,[2]enemies!$2:$2,0)+1),MATCH(N$1,[2]enemies!$2:$2,0)-MATCH($I$1,[2]enemies!$2:$2,0)+1,FALSE)</f>
        <v>#N/A</v>
      </c>
      <c r="O156" s="6">
        <v>8</v>
      </c>
      <c r="P156" s="43">
        <v>1</v>
      </c>
      <c r="Q156" s="43">
        <v>1</v>
      </c>
      <c r="R156" s="6">
        <v>0</v>
      </c>
      <c r="S156" s="5" t="str">
        <f ca="1">VLOOKUP($T156,OFFSET([4]enemy_skill_sets!$B$1,0,0,COUNTA([4]enemy_skill_sets!$B:$B),MATCH(J$1,[4]enemy_skill_sets!$1:$1,0)-MATCH($T$1,[4]enemy_skill_sets!$1:$1,0)+2),MATCH(J$1,[4]enemy_skill_sets!$1:$1,0)-MATCH($T$1,[4]enemy_skill_sets!$1:$1,0)+2,FALSE)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6" s="5">
        <v>0</v>
      </c>
      <c r="U156" s="7">
        <v>0</v>
      </c>
      <c r="V156" s="7">
        <v>100</v>
      </c>
      <c r="W156" s="7">
        <v>0</v>
      </c>
      <c r="X156" s="26" t="e">
        <f ca="1">VLOOKUP($I156,OFFSET([2]enemies!$A$1,0,0,COUNTA([2]enemies!$A:$A),MATCH(X$1,[2]enemies!$2:$2,0)-MATCH($I$1,[2]enemies!$2:$2,0)+1),MATCH(X$1,[2]enemies!$2:$2,0)-MATCH($I$1,[2]enemies!$2:$2,0)+1,FALSE)</f>
        <v>#N/A</v>
      </c>
      <c r="Y156" s="31">
        <v>11</v>
      </c>
      <c r="Z156" s="5" t="str">
        <f ca="1">IFERROR(VLOOKUP($Y156,OFFSET([3]characters!$A$1,0,0,COUNTA([3]characters!$A:$A),MATCH(Z$1,[3]characters!$2:$2,0)-MATCH("character_id",[3]characters!$2:$2,0)+1),MATCH(Z$1,[3]characters!$2:$2,0)-MATCH("character_id",[3]characters!$2:$2,0)+1,FALSE),"")</f>
        <v/>
      </c>
      <c r="AA156" s="5" t="str">
        <f ca="1">IFERROR(VLOOKUP($Y156,OFFSET([3]characters!$A$1,0,0,COUNTA([3]characters!$A:$A),MATCH(AA$1,[3]characters!$2:$2,0)-MATCH("character_id",[3]characters!$2:$2,0)+1),MATCH(AA$1,[3]characters!$2:$2,0)-MATCH("character_id",[3]characters!$2:$2,0)+1,FALSE),"")</f>
        <v/>
      </c>
      <c r="AB156" s="5" t="str">
        <f ca="1">IFERROR(VLOOKUP($Y156,OFFSET([3]characters!$A$1,0,0,COUNTA([3]characters!$A:$A),MATCH(AB$1,[3]characters!$2:$2,0)-MATCH("character_id",[3]characters!$2:$2,0)+1),MATCH(AB$1,[3]characters!$2:$2,0)-MATCH("character_id",[3]characters!$2:$2,0)+1,FALSE),"")</f>
        <v/>
      </c>
      <c r="AC156" s="8">
        <v>2</v>
      </c>
      <c r="AD156" s="8" t="str">
        <f t="shared" ref="AD156:AD197" ca="1" si="115">AA156</f>
        <v/>
      </c>
      <c r="AE156" s="9">
        <v>30</v>
      </c>
      <c r="AF156" s="38">
        <v>0</v>
      </c>
      <c r="AG156" s="38">
        <v>0</v>
      </c>
      <c r="AH156" s="38">
        <v>0</v>
      </c>
      <c r="AI156" s="38">
        <v>0</v>
      </c>
      <c r="AJ156" s="38">
        <v>1</v>
      </c>
    </row>
    <row r="157" spans="1:36" ht="21" customHeight="1" x14ac:dyDescent="0.15">
      <c r="A157" s="21" t="e">
        <f t="shared" ca="1" si="80"/>
        <v>#N/A</v>
      </c>
      <c r="B157" s="33">
        <v>6</v>
      </c>
      <c r="C157" s="32">
        <v>1</v>
      </c>
      <c r="D157" s="2" t="str">
        <f t="shared" si="111"/>
        <v>6_1</v>
      </c>
      <c r="E157" s="5" t="str">
        <f ca="1">VLOOKUP($B157,OFFSET([1]quests!$A$1,0,0,COUNTA([1]quests!$A:$A),MATCH(E$1,[1]quests!$1:$1,0)-MATCH($B$1,[1]quests!$1:$1,0)+1),MATCH(E$1,[1]quests!$1:$1,0)-MATCH($B$1,[1]quests!$1:$1,0)+1,FALSE)</f>
        <v>6．ドリームパーク</v>
      </c>
      <c r="F157" s="5" t="str">
        <f ca="1">VLOOKUP($D157,OFFSET([1]stages!$A$1,0,0,COUNTA([1]stages!$A:$A),MATCH(F$1,[1]stages!$2:$2,0)-MATCH($D$1,[1]stages!$2:$2,0)+1),MATCH(F$1,[1]stages!$2:$2,0)-MATCH($D$1,[1]stages!$2:$2,0)+1,FALSE)</f>
        <v>6-1. 虚構の国</v>
      </c>
      <c r="G157" s="32">
        <v>2</v>
      </c>
      <c r="H157" s="20" t="str">
        <f t="shared" si="82"/>
        <v>6_1-2</v>
      </c>
      <c r="I157" s="31">
        <v>13</v>
      </c>
      <c r="J157" s="26" t="e">
        <f ca="1">VLOOKUP($I157,OFFSET([2]enemies!$A$1,0,0,COUNTA([2]enemies!$A:$A),MATCH(J$1,[2]enemies!$2:$2,0)-MATCH($I$1,[2]enemies!$2:$2,0)+1),MATCH(J$1,[2]enemies!$2:$2,0)-MATCH($I$1,[2]enemies!$2:$2,0)+1,FALSE)</f>
        <v>#N/A</v>
      </c>
      <c r="K157" s="29" t="e">
        <f ca="1">VLOOKUP($I157,OFFSET([2]enemies!$A$1,0,0,COUNTA([2]enemies!$A:$A),MATCH(K$1,[2]enemies!$2:$2,0)-MATCH($I$1,[2]enemies!$2:$2,0)+1),MATCH(K$1,[2]enemies!$2:$2,0)-MATCH($I$1,[2]enemies!$2:$2,0)+1,FALSE)</f>
        <v>#N/A</v>
      </c>
      <c r="L157" s="29" t="e">
        <f ca="1">VLOOKUP($I157,OFFSET([3]characters!$A$1,0,0,COUNTA([3]characters!$A:$A),MATCH(L$1,[3]characters!$2:$2,0)-MATCH($I$1,[3]characters!$2:$2,0)+1),MATCH(L$1,[3]characters!$2:$2,0)-MATCH($I$1,[3]characters!$2:$2,0)+1,FALSE)</f>
        <v>#N/A</v>
      </c>
      <c r="M157" s="28" t="e">
        <f ca="1">VLOOKUP($I157,OFFSET([3]characters!$A$1,0,0,COUNTA([3]characters!$A:$A),MATCH(M$1,[3]characters!$2:$2,0)-MATCH($I$1,[3]characters!$2:$2,0)+2),MATCH(M$1,[3]characters!$2:$2,0)-MATCH($I$1,[3]characters!$2:$2,0)+2,FALSE)</f>
        <v>#N/A</v>
      </c>
      <c r="N157" s="5" t="e">
        <f ca="1">VLOOKUP($I157,OFFSET([2]enemies!$A$1,0,0,COUNTA([2]enemies!$A:$A),MATCH(N$1,[2]enemies!$2:$2,0)-MATCH($I$1,[2]enemies!$2:$2,0)+1),MATCH(N$1,[2]enemies!$2:$2,0)-MATCH($I$1,[2]enemies!$2:$2,0)+1,FALSE)</f>
        <v>#N/A</v>
      </c>
      <c r="O157" s="6">
        <v>8</v>
      </c>
      <c r="P157" s="43">
        <v>1</v>
      </c>
      <c r="Q157" s="43">
        <v>1</v>
      </c>
      <c r="R157" s="6">
        <v>0</v>
      </c>
      <c r="S157" s="5" t="str">
        <f ca="1">VLOOKUP($T157,OFFSET([4]enemy_skill_sets!$B$1,0,0,COUNTA([4]enemy_skill_sets!$B:$B),MATCH(J$1,[4]enemy_skill_sets!$1:$1,0)-MATCH($T$1,[4]enemy_skill_sets!$1:$1,0)+2),MATCH(J$1,[4]enemy_skill_sets!$1:$1,0)-MATCH($T$1,[4]enemy_skill_sets!$1:$1,0)+2,FALSE)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7" s="5">
        <v>0</v>
      </c>
      <c r="U157" s="7">
        <v>0</v>
      </c>
      <c r="V157" s="7">
        <v>100</v>
      </c>
      <c r="W157" s="7">
        <v>0</v>
      </c>
      <c r="X157" s="26" t="e">
        <f ca="1">VLOOKUP($I157,OFFSET([2]enemies!$A$1,0,0,COUNTA([2]enemies!$A:$A),MATCH(X$1,[2]enemies!$2:$2,0)-MATCH($I$1,[2]enemies!$2:$2,0)+1),MATCH(X$1,[2]enemies!$2:$2,0)-MATCH($I$1,[2]enemies!$2:$2,0)+1,FALSE)</f>
        <v>#N/A</v>
      </c>
      <c r="Y157" s="31">
        <v>13</v>
      </c>
      <c r="Z157" s="5" t="str">
        <f ca="1">IFERROR(VLOOKUP($Y157,OFFSET([3]characters!$A$1,0,0,COUNTA([3]characters!$A:$A),MATCH(Z$1,[3]characters!$2:$2,0)-MATCH("character_id",[3]characters!$2:$2,0)+1),MATCH(Z$1,[3]characters!$2:$2,0)-MATCH("character_id",[3]characters!$2:$2,0)+1,FALSE),"")</f>
        <v/>
      </c>
      <c r="AA157" s="5" t="str">
        <f ca="1">IFERROR(VLOOKUP($Y157,OFFSET([3]characters!$A$1,0,0,COUNTA([3]characters!$A:$A),MATCH(AA$1,[3]characters!$2:$2,0)-MATCH("character_id",[3]characters!$2:$2,0)+1),MATCH(AA$1,[3]characters!$2:$2,0)-MATCH("character_id",[3]characters!$2:$2,0)+1,FALSE),"")</f>
        <v/>
      </c>
      <c r="AB157" s="5" t="str">
        <f ca="1">IFERROR(VLOOKUP($Y157,OFFSET([3]characters!$A$1,0,0,COUNTA([3]characters!$A:$A),MATCH(AB$1,[3]characters!$2:$2,0)-MATCH("character_id",[3]characters!$2:$2,0)+1),MATCH(AB$1,[3]characters!$2:$2,0)-MATCH("character_id",[3]characters!$2:$2,0)+1,FALSE),"")</f>
        <v/>
      </c>
      <c r="AC157" s="8">
        <v>2</v>
      </c>
      <c r="AD157" s="8" t="str">
        <f t="shared" ca="1" si="115"/>
        <v/>
      </c>
      <c r="AE157" s="9">
        <v>30</v>
      </c>
      <c r="AF157" s="38">
        <v>0</v>
      </c>
      <c r="AG157" s="38">
        <v>0</v>
      </c>
      <c r="AH157" s="38">
        <v>0</v>
      </c>
      <c r="AI157" s="38">
        <v>0</v>
      </c>
      <c r="AJ157" s="38">
        <v>1</v>
      </c>
    </row>
    <row r="158" spans="1:36" ht="21" customHeight="1" x14ac:dyDescent="0.15">
      <c r="A158" s="21" t="e">
        <f t="shared" ca="1" si="80"/>
        <v>#N/A</v>
      </c>
      <c r="B158" s="33">
        <v>6</v>
      </c>
      <c r="C158" s="32">
        <v>1</v>
      </c>
      <c r="D158" s="2" t="str">
        <f t="shared" si="111"/>
        <v>6_1</v>
      </c>
      <c r="E158" s="5" t="str">
        <f ca="1">VLOOKUP($B158,OFFSET([1]quests!$A$1,0,0,COUNTA([1]quests!$A:$A),MATCH(E$1,[1]quests!$1:$1,0)-MATCH($B$1,[1]quests!$1:$1,0)+1),MATCH(E$1,[1]quests!$1:$1,0)-MATCH($B$1,[1]quests!$1:$1,0)+1,FALSE)</f>
        <v>6．ドリームパーク</v>
      </c>
      <c r="F158" s="5" t="str">
        <f ca="1">VLOOKUP($D158,OFFSET([1]stages!$A$1,0,0,COUNTA([1]stages!$A:$A),MATCH(F$1,[1]stages!$2:$2,0)-MATCH($D$1,[1]stages!$2:$2,0)+1),MATCH(F$1,[1]stages!$2:$2,0)-MATCH($D$1,[1]stages!$2:$2,0)+1,FALSE)</f>
        <v>6-1. 虚構の国</v>
      </c>
      <c r="G158" s="32">
        <v>2</v>
      </c>
      <c r="H158" s="20" t="str">
        <f t="shared" si="82"/>
        <v>6_1-2</v>
      </c>
      <c r="I158" s="31">
        <v>15</v>
      </c>
      <c r="J158" s="26" t="e">
        <f ca="1">VLOOKUP($I158,OFFSET([2]enemies!$A$1,0,0,COUNTA([2]enemies!$A:$A),MATCH(J$1,[2]enemies!$2:$2,0)-MATCH($I$1,[2]enemies!$2:$2,0)+1),MATCH(J$1,[2]enemies!$2:$2,0)-MATCH($I$1,[2]enemies!$2:$2,0)+1,FALSE)</f>
        <v>#N/A</v>
      </c>
      <c r="K158" s="29" t="e">
        <f ca="1">VLOOKUP($I158,OFFSET([2]enemies!$A$1,0,0,COUNTA([2]enemies!$A:$A),MATCH(K$1,[2]enemies!$2:$2,0)-MATCH($I$1,[2]enemies!$2:$2,0)+1),MATCH(K$1,[2]enemies!$2:$2,0)-MATCH($I$1,[2]enemies!$2:$2,0)+1,FALSE)</f>
        <v>#N/A</v>
      </c>
      <c r="L158" s="29" t="e">
        <f ca="1">VLOOKUP($I158,OFFSET([3]characters!$A$1,0,0,COUNTA([3]characters!$A:$A),MATCH(L$1,[3]characters!$2:$2,0)-MATCH($I$1,[3]characters!$2:$2,0)+1),MATCH(L$1,[3]characters!$2:$2,0)-MATCH($I$1,[3]characters!$2:$2,0)+1,FALSE)</f>
        <v>#N/A</v>
      </c>
      <c r="M158" s="28" t="e">
        <f ca="1">VLOOKUP($I158,OFFSET([3]characters!$A$1,0,0,COUNTA([3]characters!$A:$A),MATCH(M$1,[3]characters!$2:$2,0)-MATCH($I$1,[3]characters!$2:$2,0)+2),MATCH(M$1,[3]characters!$2:$2,0)-MATCH($I$1,[3]characters!$2:$2,0)+2,FALSE)</f>
        <v>#N/A</v>
      </c>
      <c r="N158" s="5" t="e">
        <f ca="1">VLOOKUP($I158,OFFSET([2]enemies!$A$1,0,0,COUNTA([2]enemies!$A:$A),MATCH(N$1,[2]enemies!$2:$2,0)-MATCH($I$1,[2]enemies!$2:$2,0)+1),MATCH(N$1,[2]enemies!$2:$2,0)-MATCH($I$1,[2]enemies!$2:$2,0)+1,FALSE)</f>
        <v>#N/A</v>
      </c>
      <c r="O158" s="6">
        <v>8</v>
      </c>
      <c r="P158" s="43">
        <v>1</v>
      </c>
      <c r="Q158" s="43">
        <v>1</v>
      </c>
      <c r="R158" s="6">
        <v>0</v>
      </c>
      <c r="S158" s="5" t="str">
        <f ca="1">VLOOKUP($T158,OFFSET([4]enemy_skill_sets!$B$1,0,0,COUNTA([4]enemy_skill_sets!$B:$B),MATCH(J$1,[4]enemy_skill_sets!$1:$1,0)-MATCH($T$1,[4]enemy_skill_sets!$1:$1,0)+2),MATCH(J$1,[4]enemy_skill_sets!$1:$1,0)-MATCH($T$1,[4]enemy_skill_sets!$1:$1,0)+2,FALSE)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8" s="5">
        <v>0</v>
      </c>
      <c r="U158" s="7">
        <v>0</v>
      </c>
      <c r="V158" s="7">
        <v>100</v>
      </c>
      <c r="W158" s="7">
        <v>0</v>
      </c>
      <c r="X158" s="26" t="e">
        <f ca="1">VLOOKUP($I158,OFFSET([2]enemies!$A$1,0,0,COUNTA([2]enemies!$A:$A),MATCH(X$1,[2]enemies!$2:$2,0)-MATCH($I$1,[2]enemies!$2:$2,0)+1),MATCH(X$1,[2]enemies!$2:$2,0)-MATCH($I$1,[2]enemies!$2:$2,0)+1,FALSE)</f>
        <v>#N/A</v>
      </c>
      <c r="Y158" s="31">
        <v>15</v>
      </c>
      <c r="Z158" s="5" t="str">
        <f ca="1">IFERROR(VLOOKUP($Y158,OFFSET([3]characters!$A$1,0,0,COUNTA([3]characters!$A:$A),MATCH(Z$1,[3]characters!$2:$2,0)-MATCH("character_id",[3]characters!$2:$2,0)+1),MATCH(Z$1,[3]characters!$2:$2,0)-MATCH("character_id",[3]characters!$2:$2,0)+1,FALSE),"")</f>
        <v/>
      </c>
      <c r="AA158" s="5" t="str">
        <f ca="1">IFERROR(VLOOKUP($Y158,OFFSET([3]characters!$A$1,0,0,COUNTA([3]characters!$A:$A),MATCH(AA$1,[3]characters!$2:$2,0)-MATCH("character_id",[3]characters!$2:$2,0)+1),MATCH(AA$1,[3]characters!$2:$2,0)-MATCH("character_id",[3]characters!$2:$2,0)+1,FALSE),"")</f>
        <v/>
      </c>
      <c r="AB158" s="5" t="str">
        <f ca="1">IFERROR(VLOOKUP($Y158,OFFSET([3]characters!$A$1,0,0,COUNTA([3]characters!$A:$A),MATCH(AB$1,[3]characters!$2:$2,0)-MATCH("character_id",[3]characters!$2:$2,0)+1),MATCH(AB$1,[3]characters!$2:$2,0)-MATCH("character_id",[3]characters!$2:$2,0)+1,FALSE),"")</f>
        <v/>
      </c>
      <c r="AC158" s="8">
        <v>2</v>
      </c>
      <c r="AD158" s="8" t="str">
        <f t="shared" ca="1" si="115"/>
        <v/>
      </c>
      <c r="AE158" s="9">
        <v>30</v>
      </c>
      <c r="AF158" s="38">
        <v>0</v>
      </c>
      <c r="AG158" s="38">
        <v>0</v>
      </c>
      <c r="AH158" s="38">
        <v>0</v>
      </c>
      <c r="AI158" s="38">
        <v>0</v>
      </c>
      <c r="AJ158" s="38">
        <v>1</v>
      </c>
    </row>
    <row r="159" spans="1:36" ht="21" customHeight="1" x14ac:dyDescent="0.15">
      <c r="A159" s="21" t="e">
        <f t="shared" ca="1" si="80"/>
        <v>#N/A</v>
      </c>
      <c r="B159" s="33">
        <v>6</v>
      </c>
      <c r="C159" s="32">
        <v>1</v>
      </c>
      <c r="D159" s="2" t="str">
        <f t="shared" si="111"/>
        <v>6_1</v>
      </c>
      <c r="E159" s="5" t="str">
        <f ca="1">VLOOKUP($B159,OFFSET([1]quests!$A$1,0,0,COUNTA([1]quests!$A:$A),MATCH(E$1,[1]quests!$1:$1,0)-MATCH($B$1,[1]quests!$1:$1,0)+1),MATCH(E$1,[1]quests!$1:$1,0)-MATCH($B$1,[1]quests!$1:$1,0)+1,FALSE)</f>
        <v>6．ドリームパーク</v>
      </c>
      <c r="F159" s="5" t="str">
        <f ca="1">VLOOKUP($D159,OFFSET([1]stages!$A$1,0,0,COUNTA([1]stages!$A:$A),MATCH(F$1,[1]stages!$2:$2,0)-MATCH($D$1,[1]stages!$2:$2,0)+1),MATCH(F$1,[1]stages!$2:$2,0)-MATCH($D$1,[1]stages!$2:$2,0)+1,FALSE)</f>
        <v>6-1. 虚構の国</v>
      </c>
      <c r="G159" s="32">
        <v>2</v>
      </c>
      <c r="H159" s="20" t="str">
        <f t="shared" si="82"/>
        <v>6_1-2</v>
      </c>
      <c r="I159" s="31">
        <v>17</v>
      </c>
      <c r="J159" s="26" t="e">
        <f ca="1">VLOOKUP($I159,OFFSET([2]enemies!$A$1,0,0,COUNTA([2]enemies!$A:$A),MATCH(J$1,[2]enemies!$2:$2,0)-MATCH($I$1,[2]enemies!$2:$2,0)+1),MATCH(J$1,[2]enemies!$2:$2,0)-MATCH($I$1,[2]enemies!$2:$2,0)+1,FALSE)</f>
        <v>#N/A</v>
      </c>
      <c r="K159" s="29" t="e">
        <f ca="1">VLOOKUP($I159,OFFSET([2]enemies!$A$1,0,0,COUNTA([2]enemies!$A:$A),MATCH(K$1,[2]enemies!$2:$2,0)-MATCH($I$1,[2]enemies!$2:$2,0)+1),MATCH(K$1,[2]enemies!$2:$2,0)-MATCH($I$1,[2]enemies!$2:$2,0)+1,FALSE)</f>
        <v>#N/A</v>
      </c>
      <c r="L159" s="29" t="e">
        <f ca="1">VLOOKUP($I159,OFFSET([3]characters!$A$1,0,0,COUNTA([3]characters!$A:$A),MATCH(L$1,[3]characters!$2:$2,0)-MATCH($I$1,[3]characters!$2:$2,0)+1),MATCH(L$1,[3]characters!$2:$2,0)-MATCH($I$1,[3]characters!$2:$2,0)+1,FALSE)</f>
        <v>#N/A</v>
      </c>
      <c r="M159" s="28" t="e">
        <f ca="1">VLOOKUP($I159,OFFSET([3]characters!$A$1,0,0,COUNTA([3]characters!$A:$A),MATCH(M$1,[3]characters!$2:$2,0)-MATCH($I$1,[3]characters!$2:$2,0)+2),MATCH(M$1,[3]characters!$2:$2,0)-MATCH($I$1,[3]characters!$2:$2,0)+2,FALSE)</f>
        <v>#N/A</v>
      </c>
      <c r="N159" s="5" t="e">
        <f ca="1">VLOOKUP($I159,OFFSET([2]enemies!$A$1,0,0,COUNTA([2]enemies!$A:$A),MATCH(N$1,[2]enemies!$2:$2,0)-MATCH($I$1,[2]enemies!$2:$2,0)+1),MATCH(N$1,[2]enemies!$2:$2,0)-MATCH($I$1,[2]enemies!$2:$2,0)+1,FALSE)</f>
        <v>#N/A</v>
      </c>
      <c r="O159" s="6">
        <v>8</v>
      </c>
      <c r="P159" s="43">
        <v>1</v>
      </c>
      <c r="Q159" s="43">
        <v>1</v>
      </c>
      <c r="R159" s="6">
        <v>0</v>
      </c>
      <c r="S159" s="5" t="str">
        <f ca="1">VLOOKUP($T159,OFFSET([4]enemy_skill_sets!$B$1,0,0,COUNTA([4]enemy_skill_sets!$B:$B),MATCH(J$1,[4]enemy_skill_sets!$1:$1,0)-MATCH($T$1,[4]enemy_skill_sets!$1:$1,0)+2),MATCH(J$1,[4]enemy_skill_sets!$1:$1,0)-MATCH($T$1,[4]enemy_skill_sets!$1:$1,0)+2,FALSE)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9" s="5">
        <v>0</v>
      </c>
      <c r="U159" s="7">
        <v>0</v>
      </c>
      <c r="V159" s="7">
        <v>100</v>
      </c>
      <c r="W159" s="7">
        <v>0</v>
      </c>
      <c r="X159" s="26" t="e">
        <f ca="1">VLOOKUP($I159,OFFSET([2]enemies!$A$1,0,0,COUNTA([2]enemies!$A:$A),MATCH(X$1,[2]enemies!$2:$2,0)-MATCH($I$1,[2]enemies!$2:$2,0)+1),MATCH(X$1,[2]enemies!$2:$2,0)-MATCH($I$1,[2]enemies!$2:$2,0)+1,FALSE)</f>
        <v>#N/A</v>
      </c>
      <c r="Y159" s="31">
        <v>17</v>
      </c>
      <c r="Z159" s="5" t="str">
        <f ca="1">IFERROR(VLOOKUP($Y159,OFFSET([3]characters!$A$1,0,0,COUNTA([3]characters!$A:$A),MATCH(Z$1,[3]characters!$2:$2,0)-MATCH("character_id",[3]characters!$2:$2,0)+1),MATCH(Z$1,[3]characters!$2:$2,0)-MATCH("character_id",[3]characters!$2:$2,0)+1,FALSE),"")</f>
        <v/>
      </c>
      <c r="AA159" s="5" t="str">
        <f ca="1">IFERROR(VLOOKUP($Y159,OFFSET([3]characters!$A$1,0,0,COUNTA([3]characters!$A:$A),MATCH(AA$1,[3]characters!$2:$2,0)-MATCH("character_id",[3]characters!$2:$2,0)+1),MATCH(AA$1,[3]characters!$2:$2,0)-MATCH("character_id",[3]characters!$2:$2,0)+1,FALSE),"")</f>
        <v/>
      </c>
      <c r="AB159" s="5" t="str">
        <f ca="1">IFERROR(VLOOKUP($Y159,OFFSET([3]characters!$A$1,0,0,COUNTA([3]characters!$A:$A),MATCH(AB$1,[3]characters!$2:$2,0)-MATCH("character_id",[3]characters!$2:$2,0)+1),MATCH(AB$1,[3]characters!$2:$2,0)-MATCH("character_id",[3]characters!$2:$2,0)+1,FALSE),"")</f>
        <v/>
      </c>
      <c r="AC159" s="8">
        <v>2</v>
      </c>
      <c r="AD159" s="8" t="str">
        <f t="shared" ca="1" si="115"/>
        <v/>
      </c>
      <c r="AE159" s="9">
        <v>30</v>
      </c>
      <c r="AF159" s="38">
        <v>0</v>
      </c>
      <c r="AG159" s="38">
        <v>0</v>
      </c>
      <c r="AH159" s="38">
        <v>0</v>
      </c>
      <c r="AI159" s="38">
        <v>0</v>
      </c>
      <c r="AJ159" s="38">
        <v>1</v>
      </c>
    </row>
    <row r="160" spans="1:36" ht="21" customHeight="1" x14ac:dyDescent="0.15">
      <c r="A160" s="21" t="e">
        <f t="shared" ca="1" si="80"/>
        <v>#N/A</v>
      </c>
      <c r="B160" s="33">
        <v>6</v>
      </c>
      <c r="C160" s="32">
        <v>1</v>
      </c>
      <c r="D160" s="2" t="str">
        <f t="shared" si="111"/>
        <v>6_1</v>
      </c>
      <c r="E160" s="5" t="str">
        <f ca="1">VLOOKUP($B160,OFFSET([1]quests!$A$1,0,0,COUNTA([1]quests!$A:$A),MATCH(E$1,[1]quests!$1:$1,0)-MATCH($B$1,[1]quests!$1:$1,0)+1),MATCH(E$1,[1]quests!$1:$1,0)-MATCH($B$1,[1]quests!$1:$1,0)+1,FALSE)</f>
        <v>6．ドリームパーク</v>
      </c>
      <c r="F160" s="5" t="str">
        <f ca="1">VLOOKUP($D160,OFFSET([1]stages!$A$1,0,0,COUNTA([1]stages!$A:$A),MATCH(F$1,[1]stages!$2:$2,0)-MATCH($D$1,[1]stages!$2:$2,0)+1),MATCH(F$1,[1]stages!$2:$2,0)-MATCH($D$1,[1]stages!$2:$2,0)+1,FALSE)</f>
        <v>6-1. 虚構の国</v>
      </c>
      <c r="G160" s="32">
        <v>2</v>
      </c>
      <c r="H160" s="20" t="str">
        <f t="shared" si="82"/>
        <v>6_1-2</v>
      </c>
      <c r="I160" s="31">
        <v>19</v>
      </c>
      <c r="J160" s="26" t="e">
        <f ca="1">VLOOKUP($I160,OFFSET([2]enemies!$A$1,0,0,COUNTA([2]enemies!$A:$A),MATCH(J$1,[2]enemies!$2:$2,0)-MATCH($I$1,[2]enemies!$2:$2,0)+1),MATCH(J$1,[2]enemies!$2:$2,0)-MATCH($I$1,[2]enemies!$2:$2,0)+1,FALSE)</f>
        <v>#N/A</v>
      </c>
      <c r="K160" s="29" t="e">
        <f ca="1">VLOOKUP($I160,OFFSET([2]enemies!$A$1,0,0,COUNTA([2]enemies!$A:$A),MATCH(K$1,[2]enemies!$2:$2,0)-MATCH($I$1,[2]enemies!$2:$2,0)+1),MATCH(K$1,[2]enemies!$2:$2,0)-MATCH($I$1,[2]enemies!$2:$2,0)+1,FALSE)</f>
        <v>#N/A</v>
      </c>
      <c r="L160" s="29" t="e">
        <f ca="1">VLOOKUP($I160,OFFSET([3]characters!$A$1,0,0,COUNTA([3]characters!$A:$A),MATCH(L$1,[3]characters!$2:$2,0)-MATCH($I$1,[3]characters!$2:$2,0)+1),MATCH(L$1,[3]characters!$2:$2,0)-MATCH($I$1,[3]characters!$2:$2,0)+1,FALSE)</f>
        <v>#N/A</v>
      </c>
      <c r="M160" s="28" t="e">
        <f ca="1">VLOOKUP($I160,OFFSET([3]characters!$A$1,0,0,COUNTA([3]characters!$A:$A),MATCH(M$1,[3]characters!$2:$2,0)-MATCH($I$1,[3]characters!$2:$2,0)+2),MATCH(M$1,[3]characters!$2:$2,0)-MATCH($I$1,[3]characters!$2:$2,0)+2,FALSE)</f>
        <v>#N/A</v>
      </c>
      <c r="N160" s="5" t="e">
        <f ca="1">VLOOKUP($I160,OFFSET([2]enemies!$A$1,0,0,COUNTA([2]enemies!$A:$A),MATCH(N$1,[2]enemies!$2:$2,0)-MATCH($I$1,[2]enemies!$2:$2,0)+1),MATCH(N$1,[2]enemies!$2:$2,0)-MATCH($I$1,[2]enemies!$2:$2,0)+1,FALSE)</f>
        <v>#N/A</v>
      </c>
      <c r="O160" s="6">
        <v>8</v>
      </c>
      <c r="P160" s="43">
        <v>1</v>
      </c>
      <c r="Q160" s="43">
        <v>1</v>
      </c>
      <c r="R160" s="6">
        <v>0</v>
      </c>
      <c r="S160" s="5" t="str">
        <f ca="1">VLOOKUP($T160,OFFSET([4]enemy_skill_sets!$B$1,0,0,COUNTA([4]enemy_skill_sets!$B:$B),MATCH(J$1,[4]enemy_skill_sets!$1:$1,0)-MATCH($T$1,[4]enemy_skill_sets!$1:$1,0)+2),MATCH(J$1,[4]enemy_skill_sets!$1:$1,0)-MATCH($T$1,[4]enemy_skill_sets!$1:$1,0)+2,FALSE)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0" s="5">
        <v>0</v>
      </c>
      <c r="U160" s="7">
        <v>0</v>
      </c>
      <c r="V160" s="7">
        <v>100</v>
      </c>
      <c r="W160" s="7">
        <v>0</v>
      </c>
      <c r="X160" s="26" t="e">
        <f ca="1">VLOOKUP($I160,OFFSET([2]enemies!$A$1,0,0,COUNTA([2]enemies!$A:$A),MATCH(X$1,[2]enemies!$2:$2,0)-MATCH($I$1,[2]enemies!$2:$2,0)+1),MATCH(X$1,[2]enemies!$2:$2,0)-MATCH($I$1,[2]enemies!$2:$2,0)+1,FALSE)</f>
        <v>#N/A</v>
      </c>
      <c r="Y160" s="31">
        <v>19</v>
      </c>
      <c r="Z160" s="5" t="str">
        <f ca="1">IFERROR(VLOOKUP($Y160,OFFSET([3]characters!$A$1,0,0,COUNTA([3]characters!$A:$A),MATCH(Z$1,[3]characters!$2:$2,0)-MATCH("character_id",[3]characters!$2:$2,0)+1),MATCH(Z$1,[3]characters!$2:$2,0)-MATCH("character_id",[3]characters!$2:$2,0)+1,FALSE),"")</f>
        <v/>
      </c>
      <c r="AA160" s="5" t="str">
        <f ca="1">IFERROR(VLOOKUP($Y160,OFFSET([3]characters!$A$1,0,0,COUNTA([3]characters!$A:$A),MATCH(AA$1,[3]characters!$2:$2,0)-MATCH("character_id",[3]characters!$2:$2,0)+1),MATCH(AA$1,[3]characters!$2:$2,0)-MATCH("character_id",[3]characters!$2:$2,0)+1,FALSE),"")</f>
        <v/>
      </c>
      <c r="AB160" s="5" t="str">
        <f ca="1">IFERROR(VLOOKUP($Y160,OFFSET([3]characters!$A$1,0,0,COUNTA([3]characters!$A:$A),MATCH(AB$1,[3]characters!$2:$2,0)-MATCH("character_id",[3]characters!$2:$2,0)+1),MATCH(AB$1,[3]characters!$2:$2,0)-MATCH("character_id",[3]characters!$2:$2,0)+1,FALSE),"")</f>
        <v/>
      </c>
      <c r="AC160" s="8">
        <v>2</v>
      </c>
      <c r="AD160" s="8" t="str">
        <f t="shared" ca="1" si="115"/>
        <v/>
      </c>
      <c r="AE160" s="9">
        <v>30</v>
      </c>
      <c r="AF160" s="38">
        <v>0</v>
      </c>
      <c r="AG160" s="38">
        <v>0</v>
      </c>
      <c r="AH160" s="38">
        <v>0</v>
      </c>
      <c r="AI160" s="38">
        <v>0</v>
      </c>
      <c r="AJ160" s="38">
        <v>1</v>
      </c>
    </row>
    <row r="161" spans="1:36" ht="21" customHeight="1" x14ac:dyDescent="0.15">
      <c r="A161" s="21" t="e">
        <f t="shared" ca="1" si="80"/>
        <v>#N/A</v>
      </c>
      <c r="B161" s="33">
        <v>6</v>
      </c>
      <c r="C161" s="32">
        <v>1</v>
      </c>
      <c r="D161" s="2" t="str">
        <f t="shared" si="111"/>
        <v>6_1</v>
      </c>
      <c r="E161" s="5" t="str">
        <f ca="1">VLOOKUP($B161,OFFSET([1]quests!$A$1,0,0,COUNTA([1]quests!$A:$A),MATCH(E$1,[1]quests!$1:$1,0)-MATCH($B$1,[1]quests!$1:$1,0)+1),MATCH(E$1,[1]quests!$1:$1,0)-MATCH($B$1,[1]quests!$1:$1,0)+1,FALSE)</f>
        <v>6．ドリームパーク</v>
      </c>
      <c r="F161" s="5" t="str">
        <f ca="1">VLOOKUP($D161,OFFSET([1]stages!$A$1,0,0,COUNTA([1]stages!$A:$A),MATCH(F$1,[1]stages!$2:$2,0)-MATCH($D$1,[1]stages!$2:$2,0)+1),MATCH(F$1,[1]stages!$2:$2,0)-MATCH($D$1,[1]stages!$2:$2,0)+1,FALSE)</f>
        <v>6-1. 虚構の国</v>
      </c>
      <c r="G161" s="32">
        <v>2</v>
      </c>
      <c r="H161" s="20" t="str">
        <f t="shared" si="82"/>
        <v>6_1-2</v>
      </c>
      <c r="I161" s="31">
        <v>101</v>
      </c>
      <c r="J161" s="26" t="e">
        <f ca="1">VLOOKUP($I161,OFFSET([2]enemies!$A$1,0,0,COUNTA([2]enemies!$A:$A),MATCH(J$1,[2]enemies!$2:$2,0)-MATCH($I$1,[2]enemies!$2:$2,0)+1),MATCH(J$1,[2]enemies!$2:$2,0)-MATCH($I$1,[2]enemies!$2:$2,0)+1,FALSE)</f>
        <v>#N/A</v>
      </c>
      <c r="K161" s="29" t="e">
        <f ca="1">VLOOKUP($I161,OFFSET([2]enemies!$A$1,0,0,COUNTA([2]enemies!$A:$A),MATCH(K$1,[2]enemies!$2:$2,0)-MATCH($I$1,[2]enemies!$2:$2,0)+1),MATCH(K$1,[2]enemies!$2:$2,0)-MATCH($I$1,[2]enemies!$2:$2,0)+1,FALSE)</f>
        <v>#N/A</v>
      </c>
      <c r="L161" s="29" t="e">
        <f ca="1">VLOOKUP($I161,OFFSET([3]characters!$A$1,0,0,COUNTA([3]characters!$A:$A),MATCH(L$1,[3]characters!$2:$2,0)-MATCH($I$1,[3]characters!$2:$2,0)+1),MATCH(L$1,[3]characters!$2:$2,0)-MATCH($I$1,[3]characters!$2:$2,0)+1,FALSE)</f>
        <v>#N/A</v>
      </c>
      <c r="M161" s="28" t="e">
        <f ca="1">VLOOKUP($I161,OFFSET([3]characters!$A$1,0,0,COUNTA([3]characters!$A:$A),MATCH(M$1,[3]characters!$2:$2,0)-MATCH($I$1,[3]characters!$2:$2,0)+2),MATCH(M$1,[3]characters!$2:$2,0)-MATCH($I$1,[3]characters!$2:$2,0)+2,FALSE)</f>
        <v>#N/A</v>
      </c>
      <c r="N161" s="5" t="e">
        <f ca="1">VLOOKUP($I161,OFFSET([2]enemies!$A$1,0,0,COUNTA([2]enemies!$A:$A),MATCH(N$1,[2]enemies!$2:$2,0)-MATCH($I$1,[2]enemies!$2:$2,0)+1),MATCH(N$1,[2]enemies!$2:$2,0)-MATCH($I$1,[2]enemies!$2:$2,0)+1,FALSE)</f>
        <v>#N/A</v>
      </c>
      <c r="O161" s="6">
        <v>8</v>
      </c>
      <c r="P161" s="43">
        <v>1</v>
      </c>
      <c r="Q161" s="43">
        <v>1</v>
      </c>
      <c r="R161" s="6">
        <v>0</v>
      </c>
      <c r="S161" s="5" t="str">
        <f ca="1">VLOOKUP($T161,OFFSET([4]enemy_skill_sets!$B$1,0,0,COUNTA([4]enemy_skill_sets!$B:$B),MATCH(J$1,[4]enemy_skill_sets!$1:$1,0)-MATCH($T$1,[4]enemy_skill_sets!$1:$1,0)+2),MATCH(J$1,[4]enemy_skill_sets!$1:$1,0)-MATCH($T$1,[4]enemy_skill_sets!$1:$1,0)+2,FALSE)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1" s="5">
        <v>0</v>
      </c>
      <c r="U161" s="7">
        <v>0</v>
      </c>
      <c r="V161" s="39">
        <v>50</v>
      </c>
      <c r="W161" s="7">
        <v>0</v>
      </c>
      <c r="X161" s="26" t="e">
        <f ca="1">VLOOKUP($I161,OFFSET([2]enemies!$A$1,0,0,COUNTA([2]enemies!$A:$A),MATCH(X$1,[2]enemies!$2:$2,0)-MATCH($I$1,[2]enemies!$2:$2,0)+1),MATCH(X$1,[2]enemies!$2:$2,0)-MATCH($I$1,[2]enemies!$2:$2,0)+1,FALSE)</f>
        <v>#N/A</v>
      </c>
      <c r="Y161" s="31">
        <v>101</v>
      </c>
      <c r="Z161" s="5" t="str">
        <f ca="1">IFERROR(VLOOKUP($Y161,OFFSET([3]characters!$A$1,0,0,COUNTA([3]characters!$A:$A),MATCH(Z$1,[3]characters!$2:$2,0)-MATCH("character_id",[3]characters!$2:$2,0)+1),MATCH(Z$1,[3]characters!$2:$2,0)-MATCH("character_id",[3]characters!$2:$2,0)+1,FALSE),"")</f>
        <v/>
      </c>
      <c r="AA161" s="5" t="str">
        <f ca="1">IFERROR(VLOOKUP($Y161,OFFSET([3]characters!$A$1,0,0,COUNTA([3]characters!$A:$A),MATCH(AA$1,[3]characters!$2:$2,0)-MATCH("character_id",[3]characters!$2:$2,0)+1),MATCH(AA$1,[3]characters!$2:$2,0)-MATCH("character_id",[3]characters!$2:$2,0)+1,FALSE),"")</f>
        <v/>
      </c>
      <c r="AB161" s="5" t="str">
        <f ca="1">IFERROR(VLOOKUP($Y161,OFFSET([3]characters!$A$1,0,0,COUNTA([3]characters!$A:$A),MATCH(AB$1,[3]characters!$2:$2,0)-MATCH("character_id",[3]characters!$2:$2,0)+1),MATCH(AB$1,[3]characters!$2:$2,0)-MATCH("character_id",[3]characters!$2:$2,0)+1,FALSE),"")</f>
        <v/>
      </c>
      <c r="AC161" s="8">
        <v>1</v>
      </c>
      <c r="AD161" s="8" t="str">
        <f t="shared" ca="1" si="115"/>
        <v/>
      </c>
      <c r="AE161" s="9">
        <v>20</v>
      </c>
      <c r="AF161" s="38">
        <v>0</v>
      </c>
      <c r="AG161" s="38">
        <v>0</v>
      </c>
      <c r="AH161" s="38">
        <v>0</v>
      </c>
      <c r="AI161" s="38">
        <v>0</v>
      </c>
      <c r="AJ161" s="38">
        <v>1</v>
      </c>
    </row>
    <row r="162" spans="1:36" ht="21" customHeight="1" x14ac:dyDescent="0.15">
      <c r="A162" s="21" t="e">
        <f t="shared" ca="1" si="80"/>
        <v>#N/A</v>
      </c>
      <c r="B162" s="33">
        <v>6</v>
      </c>
      <c r="C162" s="32">
        <v>1</v>
      </c>
      <c r="D162" s="2" t="str">
        <f t="shared" si="111"/>
        <v>6_1</v>
      </c>
      <c r="E162" s="5" t="str">
        <f ca="1">VLOOKUP($B162,OFFSET([1]quests!$A$1,0,0,COUNTA([1]quests!$A:$A),MATCH(E$1,[1]quests!$1:$1,0)-MATCH($B$1,[1]quests!$1:$1,0)+1),MATCH(E$1,[1]quests!$1:$1,0)-MATCH($B$1,[1]quests!$1:$1,0)+1,FALSE)</f>
        <v>6．ドリームパーク</v>
      </c>
      <c r="F162" s="5" t="str">
        <f ca="1">VLOOKUP($D162,OFFSET([1]stages!$A$1,0,0,COUNTA([1]stages!$A:$A),MATCH(F$1,[1]stages!$2:$2,0)-MATCH($D$1,[1]stages!$2:$2,0)+1),MATCH(F$1,[1]stages!$2:$2,0)-MATCH($D$1,[1]stages!$2:$2,0)+1,FALSE)</f>
        <v>6-1. 虚構の国</v>
      </c>
      <c r="G162" s="32">
        <v>2</v>
      </c>
      <c r="H162" s="20" t="str">
        <f t="shared" si="82"/>
        <v>6_1-2</v>
      </c>
      <c r="I162" s="31">
        <v>105</v>
      </c>
      <c r="J162" s="26" t="e">
        <f ca="1">VLOOKUP($I162,OFFSET([2]enemies!$A$1,0,0,COUNTA([2]enemies!$A:$A),MATCH(J$1,[2]enemies!$2:$2,0)-MATCH($I$1,[2]enemies!$2:$2,0)+1),MATCH(J$1,[2]enemies!$2:$2,0)-MATCH($I$1,[2]enemies!$2:$2,0)+1,FALSE)</f>
        <v>#N/A</v>
      </c>
      <c r="K162" s="29" t="e">
        <f ca="1">VLOOKUP($I162,OFFSET([2]enemies!$A$1,0,0,COUNTA([2]enemies!$A:$A),MATCH(K$1,[2]enemies!$2:$2,0)-MATCH($I$1,[2]enemies!$2:$2,0)+1),MATCH(K$1,[2]enemies!$2:$2,0)-MATCH($I$1,[2]enemies!$2:$2,0)+1,FALSE)</f>
        <v>#N/A</v>
      </c>
      <c r="L162" s="29" t="e">
        <f ca="1">VLOOKUP($I162,OFFSET([3]characters!$A$1,0,0,COUNTA([3]characters!$A:$A),MATCH(L$1,[3]characters!$2:$2,0)-MATCH($I$1,[3]characters!$2:$2,0)+1),MATCH(L$1,[3]characters!$2:$2,0)-MATCH($I$1,[3]characters!$2:$2,0)+1,FALSE)</f>
        <v>#N/A</v>
      </c>
      <c r="M162" s="28" t="e">
        <f ca="1">VLOOKUP($I162,OFFSET([3]characters!$A$1,0,0,COUNTA([3]characters!$A:$A),MATCH(M$1,[3]characters!$2:$2,0)-MATCH($I$1,[3]characters!$2:$2,0)+2),MATCH(M$1,[3]characters!$2:$2,0)-MATCH($I$1,[3]characters!$2:$2,0)+2,FALSE)</f>
        <v>#N/A</v>
      </c>
      <c r="N162" s="5" t="e">
        <f ca="1">VLOOKUP($I162,OFFSET([2]enemies!$A$1,0,0,COUNTA([2]enemies!$A:$A),MATCH(N$1,[2]enemies!$2:$2,0)-MATCH($I$1,[2]enemies!$2:$2,0)+1),MATCH(N$1,[2]enemies!$2:$2,0)-MATCH($I$1,[2]enemies!$2:$2,0)+1,FALSE)</f>
        <v>#N/A</v>
      </c>
      <c r="O162" s="6">
        <v>8</v>
      </c>
      <c r="P162" s="43">
        <v>1</v>
      </c>
      <c r="Q162" s="43">
        <v>1</v>
      </c>
      <c r="R162" s="6">
        <v>0</v>
      </c>
      <c r="S162" s="5" t="str">
        <f ca="1">VLOOKUP($T162,OFFSET([4]enemy_skill_sets!$B$1,0,0,COUNTA([4]enemy_skill_sets!$B:$B),MATCH(J$1,[4]enemy_skill_sets!$1:$1,0)-MATCH($T$1,[4]enemy_skill_sets!$1:$1,0)+2),MATCH(J$1,[4]enemy_skill_sets!$1:$1,0)-MATCH($T$1,[4]enemy_skill_sets!$1:$1,0)+2,FALSE)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2" s="5">
        <v>0</v>
      </c>
      <c r="U162" s="7">
        <v>0</v>
      </c>
      <c r="V162" s="40">
        <v>50</v>
      </c>
      <c r="W162" s="7">
        <v>0</v>
      </c>
      <c r="X162" s="26" t="e">
        <f ca="1">VLOOKUP($I162,OFFSET([2]enemies!$A$1,0,0,COUNTA([2]enemies!$A:$A),MATCH(X$1,[2]enemies!$2:$2,0)-MATCH($I$1,[2]enemies!$2:$2,0)+1),MATCH(X$1,[2]enemies!$2:$2,0)-MATCH($I$1,[2]enemies!$2:$2,0)+1,FALSE)</f>
        <v>#N/A</v>
      </c>
      <c r="Y162" s="31">
        <v>105</v>
      </c>
      <c r="Z162" s="5" t="str">
        <f ca="1">IFERROR(VLOOKUP($Y162,OFFSET([3]characters!$A$1,0,0,COUNTA([3]characters!$A:$A),MATCH(Z$1,[3]characters!$2:$2,0)-MATCH("character_id",[3]characters!$2:$2,0)+1),MATCH(Z$1,[3]characters!$2:$2,0)-MATCH("character_id",[3]characters!$2:$2,0)+1,FALSE),"")</f>
        <v/>
      </c>
      <c r="AA162" s="5" t="str">
        <f ca="1">IFERROR(VLOOKUP($Y162,OFFSET([3]characters!$A$1,0,0,COUNTA([3]characters!$A:$A),MATCH(AA$1,[3]characters!$2:$2,0)-MATCH("character_id",[3]characters!$2:$2,0)+1),MATCH(AA$1,[3]characters!$2:$2,0)-MATCH("character_id",[3]characters!$2:$2,0)+1,FALSE),"")</f>
        <v/>
      </c>
      <c r="AB162" s="5" t="str">
        <f ca="1">IFERROR(VLOOKUP($Y162,OFFSET([3]characters!$A$1,0,0,COUNTA([3]characters!$A:$A),MATCH(AB$1,[3]characters!$2:$2,0)-MATCH("character_id",[3]characters!$2:$2,0)+1),MATCH(AB$1,[3]characters!$2:$2,0)-MATCH("character_id",[3]characters!$2:$2,0)+1,FALSE),"")</f>
        <v/>
      </c>
      <c r="AC162" s="8">
        <v>1</v>
      </c>
      <c r="AD162" s="8" t="str">
        <f t="shared" ca="1" si="115"/>
        <v/>
      </c>
      <c r="AE162" s="9">
        <v>20</v>
      </c>
      <c r="AF162" s="38">
        <v>0</v>
      </c>
      <c r="AG162" s="38">
        <v>0</v>
      </c>
      <c r="AH162" s="38">
        <v>0</v>
      </c>
      <c r="AI162" s="38">
        <v>0</v>
      </c>
      <c r="AJ162" s="38">
        <v>1</v>
      </c>
    </row>
    <row r="163" spans="1:36" ht="21" customHeight="1" x14ac:dyDescent="0.15">
      <c r="A163" s="21" t="e">
        <f t="shared" ca="1" si="80"/>
        <v>#N/A</v>
      </c>
      <c r="B163" s="33">
        <v>6</v>
      </c>
      <c r="C163" s="32">
        <v>1</v>
      </c>
      <c r="D163" s="2" t="str">
        <f t="shared" si="111"/>
        <v>6_1</v>
      </c>
      <c r="E163" s="5" t="str">
        <f ca="1">VLOOKUP($B163,OFFSET([1]quests!$A$1,0,0,COUNTA([1]quests!$A:$A),MATCH(E$1,[1]quests!$1:$1,0)-MATCH($B$1,[1]quests!$1:$1,0)+1),MATCH(E$1,[1]quests!$1:$1,0)-MATCH($B$1,[1]quests!$1:$1,0)+1,FALSE)</f>
        <v>6．ドリームパーク</v>
      </c>
      <c r="F163" s="5" t="str">
        <f ca="1">VLOOKUP($D163,OFFSET([1]stages!$A$1,0,0,COUNTA([1]stages!$A:$A),MATCH(F$1,[1]stages!$2:$2,0)-MATCH($D$1,[1]stages!$2:$2,0)+1),MATCH(F$1,[1]stages!$2:$2,0)-MATCH($D$1,[1]stages!$2:$2,0)+1,FALSE)</f>
        <v>6-1. 虚構の国</v>
      </c>
      <c r="G163" s="32">
        <v>3</v>
      </c>
      <c r="H163" s="20" t="str">
        <f t="shared" si="82"/>
        <v>6_1-3</v>
      </c>
      <c r="I163" s="31">
        <v>10</v>
      </c>
      <c r="J163" s="26" t="e">
        <f ca="1">VLOOKUP($I163,OFFSET([2]enemies!$A$1,0,0,COUNTA([2]enemies!$A:$A),MATCH(J$1,[2]enemies!$2:$2,0)-MATCH($I$1,[2]enemies!$2:$2,0)+1),MATCH(J$1,[2]enemies!$2:$2,0)-MATCH($I$1,[2]enemies!$2:$2,0)+1,FALSE)</f>
        <v>#N/A</v>
      </c>
      <c r="K163" s="29" t="e">
        <f ca="1">VLOOKUP($I163,OFFSET([2]enemies!$A$1,0,0,COUNTA([2]enemies!$A:$A),MATCH(K$1,[2]enemies!$2:$2,0)-MATCH($I$1,[2]enemies!$2:$2,0)+1),MATCH(K$1,[2]enemies!$2:$2,0)-MATCH($I$1,[2]enemies!$2:$2,0)+1,FALSE)</f>
        <v>#N/A</v>
      </c>
      <c r="L163" s="29" t="e">
        <f ca="1">VLOOKUP($I163,OFFSET([3]characters!$A$1,0,0,COUNTA([3]characters!$A:$A),MATCH(L$1,[3]characters!$2:$2,0)-MATCH($I$1,[3]characters!$2:$2,0)+1),MATCH(L$1,[3]characters!$2:$2,0)-MATCH($I$1,[3]characters!$2:$2,0)+1,FALSE)</f>
        <v>#N/A</v>
      </c>
      <c r="M163" s="28" t="e">
        <f ca="1">VLOOKUP($I163,OFFSET([3]characters!$A$1,0,0,COUNTA([3]characters!$A:$A),MATCH(M$1,[3]characters!$2:$2,0)-MATCH($I$1,[3]characters!$2:$2,0)+2),MATCH(M$1,[3]characters!$2:$2,0)-MATCH($I$1,[3]characters!$2:$2,0)+2,FALSE)</f>
        <v>#N/A</v>
      </c>
      <c r="N163" s="5" t="e">
        <f ca="1">VLOOKUP($I163,OFFSET([2]enemies!$A$1,0,0,COUNTA([2]enemies!$A:$A),MATCH(N$1,[2]enemies!$2:$2,0)-MATCH($I$1,[2]enemies!$2:$2,0)+1),MATCH(N$1,[2]enemies!$2:$2,0)-MATCH($I$1,[2]enemies!$2:$2,0)+1,FALSE)</f>
        <v>#N/A</v>
      </c>
      <c r="O163" s="6">
        <v>8</v>
      </c>
      <c r="P163" s="43">
        <v>1</v>
      </c>
      <c r="Q163" s="43">
        <v>1</v>
      </c>
      <c r="R163" s="6">
        <v>0</v>
      </c>
      <c r="S163" s="5" t="str">
        <f ca="1">VLOOKUP($T163,OFFSET([4]enemy_skill_sets!$B$1,0,0,COUNTA([4]enemy_skill_sets!$B:$B),MATCH(J$1,[4]enemy_skill_sets!$1:$1,0)-MATCH($T$1,[4]enemy_skill_sets!$1:$1,0)+2),MATCH(J$1,[4]enemy_skill_sets!$1:$1,0)-MATCH($T$1,[4]enemy_skill_sets!$1:$1,0)+2,FALSE)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3" s="5">
        <v>0</v>
      </c>
      <c r="U163" s="7">
        <v>1</v>
      </c>
      <c r="V163" s="7">
        <v>100</v>
      </c>
      <c r="W163" s="7">
        <v>0</v>
      </c>
      <c r="X163" s="26" t="e">
        <f ca="1">VLOOKUP($I163,OFFSET([2]enemies!$A$1,0,0,COUNTA([2]enemies!$A:$A),MATCH(X$1,[2]enemies!$2:$2,0)-MATCH($I$1,[2]enemies!$2:$2,0)+1),MATCH(X$1,[2]enemies!$2:$2,0)-MATCH($I$1,[2]enemies!$2:$2,0)+1,FALSE)</f>
        <v>#N/A</v>
      </c>
      <c r="Y163" s="31">
        <v>9</v>
      </c>
      <c r="Z163" s="5" t="str">
        <f ca="1">IFERROR(VLOOKUP($Y163,OFFSET([3]characters!$A$1,0,0,COUNTA([3]characters!$A:$A),MATCH(Z$1,[3]characters!$2:$2,0)-MATCH("character_id",[3]characters!$2:$2,0)+1),MATCH(Z$1,[3]characters!$2:$2,0)-MATCH("character_id",[3]characters!$2:$2,0)+1,FALSE),"")</f>
        <v/>
      </c>
      <c r="AA163" s="5" t="str">
        <f ca="1">IFERROR(VLOOKUP($Y163,OFFSET([3]characters!$A$1,0,0,COUNTA([3]characters!$A:$A),MATCH(AA$1,[3]characters!$2:$2,0)-MATCH("character_id",[3]characters!$2:$2,0)+1),MATCH(AA$1,[3]characters!$2:$2,0)-MATCH("character_id",[3]characters!$2:$2,0)+1,FALSE),"")</f>
        <v/>
      </c>
      <c r="AB163" s="5" t="str">
        <f ca="1">IFERROR(VLOOKUP($Y163,OFFSET([3]characters!$A$1,0,0,COUNTA([3]characters!$A:$A),MATCH(AB$1,[3]characters!$2:$2,0)-MATCH("character_id",[3]characters!$2:$2,0)+1),MATCH(AB$1,[3]characters!$2:$2,0)-MATCH("character_id",[3]characters!$2:$2,0)+1,FALSE),"")</f>
        <v/>
      </c>
      <c r="AC163" s="8">
        <v>1</v>
      </c>
      <c r="AD163" s="8" t="str">
        <f t="shared" ca="1" si="115"/>
        <v/>
      </c>
      <c r="AE163" s="9">
        <v>0</v>
      </c>
      <c r="AF163" s="38">
        <v>0</v>
      </c>
      <c r="AG163" s="38">
        <v>0</v>
      </c>
      <c r="AH163" s="38">
        <v>0</v>
      </c>
      <c r="AI163" s="38">
        <v>0</v>
      </c>
      <c r="AJ163" s="38">
        <v>1</v>
      </c>
    </row>
    <row r="164" spans="1:36" ht="21" customHeight="1" x14ac:dyDescent="0.15">
      <c r="A164" s="21" t="e">
        <f t="shared" ca="1" si="80"/>
        <v>#N/A</v>
      </c>
      <c r="B164" s="33">
        <v>6</v>
      </c>
      <c r="C164" s="32">
        <v>1</v>
      </c>
      <c r="D164" s="2" t="str">
        <f t="shared" si="111"/>
        <v>6_1</v>
      </c>
      <c r="E164" s="5" t="str">
        <f ca="1">VLOOKUP($B164,OFFSET([1]quests!$A$1,0,0,COUNTA([1]quests!$A:$A),MATCH(E$1,[1]quests!$1:$1,0)-MATCH($B$1,[1]quests!$1:$1,0)+1),MATCH(E$1,[1]quests!$1:$1,0)-MATCH($B$1,[1]quests!$1:$1,0)+1,FALSE)</f>
        <v>6．ドリームパーク</v>
      </c>
      <c r="F164" s="5" t="str">
        <f ca="1">VLOOKUP($D164,OFFSET([1]stages!$A$1,0,0,COUNTA([1]stages!$A:$A),MATCH(F$1,[1]stages!$2:$2,0)-MATCH($D$1,[1]stages!$2:$2,0)+1),MATCH(F$1,[1]stages!$2:$2,0)-MATCH($D$1,[1]stages!$2:$2,0)+1,FALSE)</f>
        <v>6-1. 虚構の国</v>
      </c>
      <c r="G164" s="32">
        <v>3</v>
      </c>
      <c r="H164" s="20" t="str">
        <f t="shared" si="82"/>
        <v>6_1-3</v>
      </c>
      <c r="I164" s="31">
        <v>20</v>
      </c>
      <c r="J164" s="26" t="e">
        <f ca="1">VLOOKUP($I164,OFFSET([2]enemies!$A$1,0,0,COUNTA([2]enemies!$A:$A),MATCH(J$1,[2]enemies!$2:$2,0)-MATCH($I$1,[2]enemies!$2:$2,0)+1),MATCH(J$1,[2]enemies!$2:$2,0)-MATCH($I$1,[2]enemies!$2:$2,0)+1,FALSE)</f>
        <v>#N/A</v>
      </c>
      <c r="K164" s="29" t="e">
        <f ca="1">VLOOKUP($I164,OFFSET([2]enemies!$A$1,0,0,COUNTA([2]enemies!$A:$A),MATCH(K$1,[2]enemies!$2:$2,0)-MATCH($I$1,[2]enemies!$2:$2,0)+1),MATCH(K$1,[2]enemies!$2:$2,0)-MATCH($I$1,[2]enemies!$2:$2,0)+1,FALSE)</f>
        <v>#N/A</v>
      </c>
      <c r="L164" s="29" t="e">
        <f ca="1">VLOOKUP($I164,OFFSET([3]characters!$A$1,0,0,COUNTA([3]characters!$A:$A),MATCH(L$1,[3]characters!$2:$2,0)-MATCH($I$1,[3]characters!$2:$2,0)+1),MATCH(L$1,[3]characters!$2:$2,0)-MATCH($I$1,[3]characters!$2:$2,0)+1,FALSE)</f>
        <v>#N/A</v>
      </c>
      <c r="M164" s="28" t="e">
        <f ca="1">VLOOKUP($I164,OFFSET([3]characters!$A$1,0,0,COUNTA([3]characters!$A:$A),MATCH(M$1,[3]characters!$2:$2,0)-MATCH($I$1,[3]characters!$2:$2,0)+2),MATCH(M$1,[3]characters!$2:$2,0)-MATCH($I$1,[3]characters!$2:$2,0)+2,FALSE)</f>
        <v>#N/A</v>
      </c>
      <c r="N164" s="5" t="e">
        <f ca="1">VLOOKUP($I164,OFFSET([2]enemies!$A$1,0,0,COUNTA([2]enemies!$A:$A),MATCH(N$1,[2]enemies!$2:$2,0)-MATCH($I$1,[2]enemies!$2:$2,0)+1),MATCH(N$1,[2]enemies!$2:$2,0)-MATCH($I$1,[2]enemies!$2:$2,0)+1,FALSE)</f>
        <v>#N/A</v>
      </c>
      <c r="O164" s="6">
        <v>8</v>
      </c>
      <c r="P164" s="43">
        <v>1</v>
      </c>
      <c r="Q164" s="43">
        <v>1</v>
      </c>
      <c r="R164" s="6">
        <v>0</v>
      </c>
      <c r="S164" s="5" t="str">
        <f ca="1">VLOOKUP($T164,OFFSET([4]enemy_skill_sets!$B$1,0,0,COUNTA([4]enemy_skill_sets!$B:$B),MATCH(J$1,[4]enemy_skill_sets!$1:$1,0)-MATCH($T$1,[4]enemy_skill_sets!$1:$1,0)+2),MATCH(J$1,[4]enemy_skill_sets!$1:$1,0)-MATCH($T$1,[4]enemy_skill_sets!$1:$1,0)+2,FALSE)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4" s="5">
        <v>0</v>
      </c>
      <c r="U164" s="7">
        <v>1</v>
      </c>
      <c r="V164" s="7">
        <v>100</v>
      </c>
      <c r="W164" s="7">
        <v>0</v>
      </c>
      <c r="X164" s="26" t="e">
        <f ca="1">VLOOKUP($I164,OFFSET([2]enemies!$A$1,0,0,COUNTA([2]enemies!$A:$A),MATCH(X$1,[2]enemies!$2:$2,0)-MATCH($I$1,[2]enemies!$2:$2,0)+1),MATCH(X$1,[2]enemies!$2:$2,0)-MATCH($I$1,[2]enemies!$2:$2,0)+1,FALSE)</f>
        <v>#N/A</v>
      </c>
      <c r="Y164" s="31">
        <v>19</v>
      </c>
      <c r="Z164" s="5" t="str">
        <f ca="1">IFERROR(VLOOKUP($Y164,OFFSET([3]characters!$A$1,0,0,COUNTA([3]characters!$A:$A),MATCH(Z$1,[3]characters!$2:$2,0)-MATCH("character_id",[3]characters!$2:$2,0)+1),MATCH(Z$1,[3]characters!$2:$2,0)-MATCH("character_id",[3]characters!$2:$2,0)+1,FALSE),"")</f>
        <v/>
      </c>
      <c r="AA164" s="5" t="str">
        <f ca="1">IFERROR(VLOOKUP($Y164,OFFSET([3]characters!$A$1,0,0,COUNTA([3]characters!$A:$A),MATCH(AA$1,[3]characters!$2:$2,0)-MATCH("character_id",[3]characters!$2:$2,0)+1),MATCH(AA$1,[3]characters!$2:$2,0)-MATCH("character_id",[3]characters!$2:$2,0)+1,FALSE),"")</f>
        <v/>
      </c>
      <c r="AB164" s="5" t="str">
        <f ca="1">IFERROR(VLOOKUP($Y164,OFFSET([3]characters!$A$1,0,0,COUNTA([3]characters!$A:$A),MATCH(AB$1,[3]characters!$2:$2,0)-MATCH("character_id",[3]characters!$2:$2,0)+1),MATCH(AB$1,[3]characters!$2:$2,0)-MATCH("character_id",[3]characters!$2:$2,0)+1,FALSE),"")</f>
        <v/>
      </c>
      <c r="AC164" s="8">
        <v>1</v>
      </c>
      <c r="AD164" s="8" t="str">
        <f t="shared" ca="1" si="115"/>
        <v/>
      </c>
      <c r="AE164" s="9">
        <v>0</v>
      </c>
      <c r="AF164" s="38">
        <v>0</v>
      </c>
      <c r="AG164" s="38">
        <v>0</v>
      </c>
      <c r="AH164" s="38">
        <v>0</v>
      </c>
      <c r="AI164" s="38">
        <v>0</v>
      </c>
      <c r="AJ164" s="38">
        <v>1</v>
      </c>
    </row>
    <row r="165" spans="1:36" ht="21" customHeight="1" x14ac:dyDescent="0.15">
      <c r="A165" s="21" t="e">
        <f t="shared" ca="1" si="80"/>
        <v>#N/A</v>
      </c>
      <c r="B165" s="33">
        <v>6</v>
      </c>
      <c r="C165" s="32">
        <v>1</v>
      </c>
      <c r="D165" s="2" t="str">
        <f t="shared" si="111"/>
        <v>6_1</v>
      </c>
      <c r="E165" s="5" t="str">
        <f ca="1">VLOOKUP($B165,OFFSET([1]quests!$A$1,0,0,COUNTA([1]quests!$A:$A),MATCH(E$1,[1]quests!$1:$1,0)-MATCH($B$1,[1]quests!$1:$1,0)+1),MATCH(E$1,[1]quests!$1:$1,0)-MATCH($B$1,[1]quests!$1:$1,0)+1,FALSE)</f>
        <v>6．ドリームパーク</v>
      </c>
      <c r="F165" s="5" t="str">
        <f ca="1">VLOOKUP($D165,OFFSET([1]stages!$A$1,0,0,COUNTA([1]stages!$A:$A),MATCH(F$1,[1]stages!$2:$2,0)-MATCH($D$1,[1]stages!$2:$2,0)+1),MATCH(F$1,[1]stages!$2:$2,0)-MATCH($D$1,[1]stages!$2:$2,0)+1,FALSE)</f>
        <v>6-1. 虚構の国</v>
      </c>
      <c r="G165" s="32">
        <v>3</v>
      </c>
      <c r="H165" s="20" t="str">
        <f t="shared" si="82"/>
        <v>6_1-3</v>
      </c>
      <c r="I165" s="31">
        <v>26</v>
      </c>
      <c r="J165" s="26" t="e">
        <f ca="1">VLOOKUP($I165,OFFSET([2]enemies!$A$1,0,0,COUNTA([2]enemies!$A:$A),MATCH(J$1,[2]enemies!$2:$2,0)-MATCH($I$1,[2]enemies!$2:$2,0)+1),MATCH(J$1,[2]enemies!$2:$2,0)-MATCH($I$1,[2]enemies!$2:$2,0)+1,FALSE)</f>
        <v>#N/A</v>
      </c>
      <c r="K165" s="29" t="e">
        <f ca="1">VLOOKUP($I165,OFFSET([2]enemies!$A$1,0,0,COUNTA([2]enemies!$A:$A),MATCH(K$1,[2]enemies!$2:$2,0)-MATCH($I$1,[2]enemies!$2:$2,0)+1),MATCH(K$1,[2]enemies!$2:$2,0)-MATCH($I$1,[2]enemies!$2:$2,0)+1,FALSE)</f>
        <v>#N/A</v>
      </c>
      <c r="L165" s="29" t="e">
        <f ca="1">VLOOKUP($I165,OFFSET([3]characters!$A$1,0,0,COUNTA([3]characters!$A:$A),MATCH(L$1,[3]characters!$2:$2,0)-MATCH($I$1,[3]characters!$2:$2,0)+1),MATCH(L$1,[3]characters!$2:$2,0)-MATCH($I$1,[3]characters!$2:$2,0)+1,FALSE)</f>
        <v>#N/A</v>
      </c>
      <c r="M165" s="28" t="e">
        <f ca="1">VLOOKUP($I165,OFFSET([3]characters!$A$1,0,0,COUNTA([3]characters!$A:$A),MATCH(M$1,[3]characters!$2:$2,0)-MATCH($I$1,[3]characters!$2:$2,0)+2),MATCH(M$1,[3]characters!$2:$2,0)-MATCH($I$1,[3]characters!$2:$2,0)+2,FALSE)</f>
        <v>#N/A</v>
      </c>
      <c r="N165" s="5" t="e">
        <f ca="1">VLOOKUP($I165,OFFSET([2]enemies!$A$1,0,0,COUNTA([2]enemies!$A:$A),MATCH(N$1,[2]enemies!$2:$2,0)-MATCH($I$1,[2]enemies!$2:$2,0)+1),MATCH(N$1,[2]enemies!$2:$2,0)-MATCH($I$1,[2]enemies!$2:$2,0)+1,FALSE)</f>
        <v>#N/A</v>
      </c>
      <c r="O165" s="6">
        <v>8</v>
      </c>
      <c r="P165" s="43">
        <v>1</v>
      </c>
      <c r="Q165" s="43">
        <v>1</v>
      </c>
      <c r="R165" s="6">
        <v>0</v>
      </c>
      <c r="S165" s="5" t="str">
        <f ca="1">VLOOKUP($T165,OFFSET([4]enemy_skill_sets!$B$1,0,0,COUNTA([4]enemy_skill_sets!$B:$B),MATCH(J$1,[4]enemy_skill_sets!$1:$1,0)-MATCH($T$1,[4]enemy_skill_sets!$1:$1,0)+2),MATCH(J$1,[4]enemy_skill_sets!$1:$1,0)-MATCH($T$1,[4]enemy_skill_sets!$1:$1,0)+2,FALSE)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5" s="5">
        <v>0</v>
      </c>
      <c r="U165" s="7">
        <v>1</v>
      </c>
      <c r="V165" s="7">
        <v>100</v>
      </c>
      <c r="W165" s="7">
        <v>1</v>
      </c>
      <c r="X165" s="26" t="e">
        <f ca="1">VLOOKUP($I165,OFFSET([2]enemies!$A$1,0,0,COUNTA([2]enemies!$A:$A),MATCH(X$1,[2]enemies!$2:$2,0)-MATCH($I$1,[2]enemies!$2:$2,0)+1),MATCH(X$1,[2]enemies!$2:$2,0)-MATCH($I$1,[2]enemies!$2:$2,0)+1,FALSE)</f>
        <v>#N/A</v>
      </c>
      <c r="Y165" s="31">
        <v>25</v>
      </c>
      <c r="Z165" s="5" t="str">
        <f ca="1">IFERROR(VLOOKUP($Y165,OFFSET([3]characters!$A$1,0,0,COUNTA([3]characters!$A:$A),MATCH(Z$1,[3]characters!$2:$2,0)-MATCH("character_id",[3]characters!$2:$2,0)+1),MATCH(Z$1,[3]characters!$2:$2,0)-MATCH("character_id",[3]characters!$2:$2,0)+1,FALSE),"")</f>
        <v/>
      </c>
      <c r="AA165" s="5" t="str">
        <f ca="1">IFERROR(VLOOKUP($Y165,OFFSET([3]characters!$A$1,0,0,COUNTA([3]characters!$A:$A),MATCH(AA$1,[3]characters!$2:$2,0)-MATCH("character_id",[3]characters!$2:$2,0)+1),MATCH(AA$1,[3]characters!$2:$2,0)-MATCH("character_id",[3]characters!$2:$2,0)+1,FALSE),"")</f>
        <v/>
      </c>
      <c r="AB165" s="5" t="str">
        <f ca="1">IFERROR(VLOOKUP($Y165,OFFSET([3]characters!$A$1,0,0,COUNTA([3]characters!$A:$A),MATCH(AB$1,[3]characters!$2:$2,0)-MATCH("character_id",[3]characters!$2:$2,0)+1),MATCH(AB$1,[3]characters!$2:$2,0)-MATCH("character_id",[3]characters!$2:$2,0)+1,FALSE),"")</f>
        <v/>
      </c>
      <c r="AC165" s="8">
        <v>1</v>
      </c>
      <c r="AD165" s="8" t="str">
        <f t="shared" ca="1" si="115"/>
        <v/>
      </c>
      <c r="AE165" s="9">
        <v>0</v>
      </c>
      <c r="AF165" s="38">
        <v>0</v>
      </c>
      <c r="AG165" s="38">
        <v>0</v>
      </c>
      <c r="AH165" s="38">
        <v>0</v>
      </c>
      <c r="AI165" s="38">
        <v>0</v>
      </c>
      <c r="AJ165" s="38">
        <v>1</v>
      </c>
    </row>
    <row r="166" spans="1:36" ht="21" customHeight="1" x14ac:dyDescent="0.15">
      <c r="A166" s="21" t="e">
        <f t="shared" ca="1" si="80"/>
        <v>#N/A</v>
      </c>
      <c r="B166" s="33">
        <v>6</v>
      </c>
      <c r="C166" s="32">
        <v>1</v>
      </c>
      <c r="D166" s="2" t="str">
        <f t="shared" si="111"/>
        <v>6_1</v>
      </c>
      <c r="E166" s="5" t="str">
        <f ca="1">VLOOKUP($B166,OFFSET([1]quests!$A$1,0,0,COUNTA([1]quests!$A:$A),MATCH(E$1,[1]quests!$1:$1,0)-MATCH($B$1,[1]quests!$1:$1,0)+1),MATCH(E$1,[1]quests!$1:$1,0)-MATCH($B$1,[1]quests!$1:$1,0)+1,FALSE)</f>
        <v>6．ドリームパーク</v>
      </c>
      <c r="F166" s="5" t="str">
        <f ca="1">VLOOKUP($D166,OFFSET([1]stages!$A$1,0,0,COUNTA([1]stages!$A:$A),MATCH(F$1,[1]stages!$2:$2,0)-MATCH($D$1,[1]stages!$2:$2,0)+1),MATCH(F$1,[1]stages!$2:$2,0)-MATCH($D$1,[1]stages!$2:$2,0)+1,FALSE)</f>
        <v>6-1. 虚構の国</v>
      </c>
      <c r="G166" s="32">
        <v>3</v>
      </c>
      <c r="H166" s="20" t="str">
        <f t="shared" si="82"/>
        <v>6_1-3</v>
      </c>
      <c r="I166" s="31">
        <v>28</v>
      </c>
      <c r="J166" s="26" t="e">
        <f ca="1">VLOOKUP($I166,OFFSET([2]enemies!$A$1,0,0,COUNTA([2]enemies!$A:$A),MATCH(J$1,[2]enemies!$2:$2,0)-MATCH($I$1,[2]enemies!$2:$2,0)+1),MATCH(J$1,[2]enemies!$2:$2,0)-MATCH($I$1,[2]enemies!$2:$2,0)+1,FALSE)</f>
        <v>#N/A</v>
      </c>
      <c r="K166" s="29" t="e">
        <f ca="1">VLOOKUP($I166,OFFSET([2]enemies!$A$1,0,0,COUNTA([2]enemies!$A:$A),MATCH(K$1,[2]enemies!$2:$2,0)-MATCH($I$1,[2]enemies!$2:$2,0)+1),MATCH(K$1,[2]enemies!$2:$2,0)-MATCH($I$1,[2]enemies!$2:$2,0)+1,FALSE)</f>
        <v>#N/A</v>
      </c>
      <c r="L166" s="29" t="e">
        <f ca="1">VLOOKUP($I166,OFFSET([3]characters!$A$1,0,0,COUNTA([3]characters!$A:$A),MATCH(L$1,[3]characters!$2:$2,0)-MATCH($I$1,[3]characters!$2:$2,0)+1),MATCH(L$1,[3]characters!$2:$2,0)-MATCH($I$1,[3]characters!$2:$2,0)+1,FALSE)</f>
        <v>#N/A</v>
      </c>
      <c r="M166" s="28" t="e">
        <f ca="1">VLOOKUP($I166,OFFSET([3]characters!$A$1,0,0,COUNTA([3]characters!$A:$A),MATCH(M$1,[3]characters!$2:$2,0)-MATCH($I$1,[3]characters!$2:$2,0)+2),MATCH(M$1,[3]characters!$2:$2,0)-MATCH($I$1,[3]characters!$2:$2,0)+2,FALSE)</f>
        <v>#N/A</v>
      </c>
      <c r="N166" s="5" t="e">
        <f ca="1">VLOOKUP($I166,OFFSET([2]enemies!$A$1,0,0,COUNTA([2]enemies!$A:$A),MATCH(N$1,[2]enemies!$2:$2,0)-MATCH($I$1,[2]enemies!$2:$2,0)+1),MATCH(N$1,[2]enemies!$2:$2,0)-MATCH($I$1,[2]enemies!$2:$2,0)+1,FALSE)</f>
        <v>#N/A</v>
      </c>
      <c r="O166" s="6">
        <v>8</v>
      </c>
      <c r="P166" s="43">
        <v>1</v>
      </c>
      <c r="Q166" s="43">
        <v>1</v>
      </c>
      <c r="R166" s="6">
        <v>0</v>
      </c>
      <c r="S166" s="5" t="str">
        <f ca="1">VLOOKUP($T166,OFFSET([4]enemy_skill_sets!$B$1,0,0,COUNTA([4]enemy_skill_sets!$B:$B),MATCH(J$1,[4]enemy_skill_sets!$1:$1,0)-MATCH($T$1,[4]enemy_skill_sets!$1:$1,0)+2),MATCH(J$1,[4]enemy_skill_sets!$1:$1,0)-MATCH($T$1,[4]enemy_skill_sets!$1:$1,0)+2,FALSE)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66" s="5">
        <v>28</v>
      </c>
      <c r="U166" s="7">
        <v>1</v>
      </c>
      <c r="V166" s="7">
        <v>100</v>
      </c>
      <c r="W166" s="7">
        <v>0</v>
      </c>
      <c r="X166" s="26" t="e">
        <f ca="1">VLOOKUP($I166,OFFSET([2]enemies!$A$1,0,0,COUNTA([2]enemies!$A:$A),MATCH(X$1,[2]enemies!$2:$2,0)-MATCH($I$1,[2]enemies!$2:$2,0)+1),MATCH(X$1,[2]enemies!$2:$2,0)-MATCH($I$1,[2]enemies!$2:$2,0)+1,FALSE)</f>
        <v>#N/A</v>
      </c>
      <c r="Y166" s="31">
        <v>27</v>
      </c>
      <c r="Z166" s="5" t="str">
        <f ca="1">IFERROR(VLOOKUP($Y166,OFFSET([3]characters!$A$1,0,0,COUNTA([3]characters!$A:$A),MATCH(Z$1,[3]characters!$2:$2,0)-MATCH("character_id",[3]characters!$2:$2,0)+1),MATCH(Z$1,[3]characters!$2:$2,0)-MATCH("character_id",[3]characters!$2:$2,0)+1,FALSE),"")</f>
        <v/>
      </c>
      <c r="AA166" s="5" t="str">
        <f ca="1">IFERROR(VLOOKUP($Y166,OFFSET([3]characters!$A$1,0,0,COUNTA([3]characters!$A:$A),MATCH(AA$1,[3]characters!$2:$2,0)-MATCH("character_id",[3]characters!$2:$2,0)+1),MATCH(AA$1,[3]characters!$2:$2,0)-MATCH("character_id",[3]characters!$2:$2,0)+1,FALSE),"")</f>
        <v/>
      </c>
      <c r="AB166" s="5" t="str">
        <f ca="1">IFERROR(VLOOKUP($Y166,OFFSET([3]characters!$A$1,0,0,COUNTA([3]characters!$A:$A),MATCH(AB$1,[3]characters!$2:$2,0)-MATCH("character_id",[3]characters!$2:$2,0)+1),MATCH(AB$1,[3]characters!$2:$2,0)-MATCH("character_id",[3]characters!$2:$2,0)+1,FALSE),"")</f>
        <v/>
      </c>
      <c r="AC166" s="8">
        <v>1</v>
      </c>
      <c r="AD166" s="8" t="str">
        <f t="shared" ca="1" si="115"/>
        <v/>
      </c>
      <c r="AE166" s="9">
        <v>0</v>
      </c>
      <c r="AF166" s="38">
        <v>0</v>
      </c>
      <c r="AG166" s="38">
        <v>0</v>
      </c>
      <c r="AH166" s="38">
        <v>0</v>
      </c>
      <c r="AI166" s="38">
        <v>0</v>
      </c>
      <c r="AJ166" s="38">
        <v>1</v>
      </c>
    </row>
    <row r="167" spans="1:36" ht="21" customHeight="1" x14ac:dyDescent="0.15">
      <c r="A167" s="21" t="e">
        <f t="shared" ca="1" si="80"/>
        <v>#N/A</v>
      </c>
      <c r="B167" s="33">
        <v>6</v>
      </c>
      <c r="C167" s="32">
        <v>2</v>
      </c>
      <c r="D167" s="2" t="str">
        <f t="shared" si="111"/>
        <v>6_2</v>
      </c>
      <c r="E167" s="5" t="str">
        <f ca="1">VLOOKUP($B167,OFFSET([1]quests!$A$1,0,0,COUNTA([1]quests!$A:$A),MATCH(E$1,[1]quests!$1:$1,0)-MATCH($B$1,[1]quests!$1:$1,0)+1),MATCH(E$1,[1]quests!$1:$1,0)-MATCH($B$1,[1]quests!$1:$1,0)+1,FALSE)</f>
        <v>6．ドリームパーク</v>
      </c>
      <c r="F167" s="5" t="str">
        <f ca="1">VLOOKUP($D167,OFFSET([1]stages!$A$1,0,0,COUNTA([1]stages!$A:$A),MATCH(F$1,[1]stages!$2:$2,0)-MATCH($D$1,[1]stages!$2:$2,0)+1),MATCH(F$1,[1]stages!$2:$2,0)-MATCH($D$1,[1]stages!$2:$2,0)+1,FALSE)</f>
        <v>6-2. 夢の国の洗礼</v>
      </c>
      <c r="G167" s="32">
        <v>1</v>
      </c>
      <c r="H167" s="20" t="str">
        <f t="shared" si="82"/>
        <v>6_2-1</v>
      </c>
      <c r="I167" s="31">
        <v>1</v>
      </c>
      <c r="J167" s="26" t="e">
        <f ca="1">VLOOKUP($I167,OFFSET([2]enemies!$A$1,0,0,COUNTA([2]enemies!$A:$A),MATCH(J$1,[2]enemies!$2:$2,0)-MATCH($I$1,[2]enemies!$2:$2,0)+1),MATCH(J$1,[2]enemies!$2:$2,0)-MATCH($I$1,[2]enemies!$2:$2,0)+1,FALSE)</f>
        <v>#N/A</v>
      </c>
      <c r="K167" s="29" t="e">
        <f ca="1">VLOOKUP($I167,OFFSET([2]enemies!$A$1,0,0,COUNTA([2]enemies!$A:$A),MATCH(K$1,[2]enemies!$2:$2,0)-MATCH($I$1,[2]enemies!$2:$2,0)+1),MATCH(K$1,[2]enemies!$2:$2,0)-MATCH($I$1,[2]enemies!$2:$2,0)+1,FALSE)</f>
        <v>#N/A</v>
      </c>
      <c r="L167" s="29" t="e">
        <f ca="1">VLOOKUP($I167,OFFSET([3]characters!$A$1,0,0,COUNTA([3]characters!$A:$A),MATCH(L$1,[3]characters!$2:$2,0)-MATCH($I$1,[3]characters!$2:$2,0)+1),MATCH(L$1,[3]characters!$2:$2,0)-MATCH($I$1,[3]characters!$2:$2,0)+1,FALSE)</f>
        <v>#N/A</v>
      </c>
      <c r="M167" s="28" t="e">
        <f ca="1">VLOOKUP($I167,OFFSET([3]characters!$A$1,0,0,COUNTA([3]characters!$A:$A),MATCH(M$1,[3]characters!$2:$2,0)-MATCH($I$1,[3]characters!$2:$2,0)+2),MATCH(M$1,[3]characters!$2:$2,0)-MATCH($I$1,[3]characters!$2:$2,0)+2,FALSE)</f>
        <v>#N/A</v>
      </c>
      <c r="N167" s="5" t="e">
        <f ca="1">VLOOKUP($I167,OFFSET([2]enemies!$A$1,0,0,COUNTA([2]enemies!$A:$A),MATCH(N$1,[2]enemies!$2:$2,0)-MATCH($I$1,[2]enemies!$2:$2,0)+1),MATCH(N$1,[2]enemies!$2:$2,0)-MATCH($I$1,[2]enemies!$2:$2,0)+1,FALSE)</f>
        <v>#N/A</v>
      </c>
      <c r="O167" s="6">
        <v>8</v>
      </c>
      <c r="P167" s="43">
        <v>1</v>
      </c>
      <c r="Q167" s="43">
        <v>1</v>
      </c>
      <c r="R167" s="6">
        <v>0</v>
      </c>
      <c r="S167" s="5" t="str">
        <f ca="1">VLOOKUP($T167,OFFSET([4]enemy_skill_sets!$B$1,0,0,COUNTA([4]enemy_skill_sets!$B:$B),MATCH(J$1,[4]enemy_skill_sets!$1:$1,0)-MATCH($T$1,[4]enemy_skill_sets!$1:$1,0)+2),MATCH(J$1,[4]enemy_skill_sets!$1:$1,0)-MATCH($T$1,[4]enemy_skill_sets!$1:$1,0)+2,FALSE)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7" s="5">
        <v>0</v>
      </c>
      <c r="U167" s="7">
        <v>0</v>
      </c>
      <c r="V167" s="7">
        <v>100</v>
      </c>
      <c r="W167" s="7">
        <v>0</v>
      </c>
      <c r="X167" s="26" t="e">
        <f ca="1">VLOOKUP($I167,OFFSET([2]enemies!$A$1,0,0,COUNTA([2]enemies!$A:$A),MATCH(X$1,[2]enemies!$2:$2,0)-MATCH($I$1,[2]enemies!$2:$2,0)+1),MATCH(X$1,[2]enemies!$2:$2,0)-MATCH($I$1,[2]enemies!$2:$2,0)+1,FALSE)</f>
        <v>#N/A</v>
      </c>
      <c r="Y167" s="31">
        <v>1</v>
      </c>
      <c r="Z167" s="5" t="str">
        <f ca="1">IFERROR(VLOOKUP($Y167,OFFSET([3]characters!$A$1,0,0,COUNTA([3]characters!$A:$A),MATCH(Z$1,[3]characters!$2:$2,0)-MATCH("character_id",[3]characters!$2:$2,0)+1),MATCH(Z$1,[3]characters!$2:$2,0)-MATCH("character_id",[3]characters!$2:$2,0)+1,FALSE),"")</f>
        <v/>
      </c>
      <c r="AA167" s="5" t="str">
        <f ca="1">IFERROR(VLOOKUP($Y167,OFFSET([3]characters!$A$1,0,0,COUNTA([3]characters!$A:$A),MATCH(AA$1,[3]characters!$2:$2,0)-MATCH("character_id",[3]characters!$2:$2,0)+1),MATCH(AA$1,[3]characters!$2:$2,0)-MATCH("character_id",[3]characters!$2:$2,0)+1,FALSE),"")</f>
        <v/>
      </c>
      <c r="AB167" s="5" t="str">
        <f ca="1">IFERROR(VLOOKUP($Y167,OFFSET([3]characters!$A$1,0,0,COUNTA([3]characters!$A:$A),MATCH(AB$1,[3]characters!$2:$2,0)-MATCH("character_id",[3]characters!$2:$2,0)+1),MATCH(AB$1,[3]characters!$2:$2,0)-MATCH("character_id",[3]characters!$2:$2,0)+1,FALSE),"")</f>
        <v/>
      </c>
      <c r="AC167" s="8">
        <v>4</v>
      </c>
      <c r="AD167" s="8" t="str">
        <f t="shared" ca="1" si="115"/>
        <v/>
      </c>
      <c r="AE167" s="9">
        <v>30</v>
      </c>
      <c r="AF167" s="38">
        <v>0</v>
      </c>
      <c r="AG167" s="38">
        <v>0</v>
      </c>
      <c r="AH167" s="38">
        <v>0</v>
      </c>
      <c r="AI167" s="38">
        <v>0</v>
      </c>
      <c r="AJ167" s="38">
        <v>1</v>
      </c>
    </row>
    <row r="168" spans="1:36" ht="21" customHeight="1" x14ac:dyDescent="0.15">
      <c r="A168" s="21" t="e">
        <f t="shared" ca="1" si="80"/>
        <v>#N/A</v>
      </c>
      <c r="B168" s="33">
        <v>6</v>
      </c>
      <c r="C168" s="32">
        <v>2</v>
      </c>
      <c r="D168" s="2" t="str">
        <f t="shared" si="111"/>
        <v>6_2</v>
      </c>
      <c r="E168" s="5" t="str">
        <f ca="1">VLOOKUP($B168,OFFSET([1]quests!$A$1,0,0,COUNTA([1]quests!$A:$A),MATCH(E$1,[1]quests!$1:$1,0)-MATCH($B$1,[1]quests!$1:$1,0)+1),MATCH(E$1,[1]quests!$1:$1,0)-MATCH($B$1,[1]quests!$1:$1,0)+1,FALSE)</f>
        <v>6．ドリームパーク</v>
      </c>
      <c r="F168" s="5" t="str">
        <f ca="1">VLOOKUP($D168,OFFSET([1]stages!$A$1,0,0,COUNTA([1]stages!$A:$A),MATCH(F$1,[1]stages!$2:$2,0)-MATCH($D$1,[1]stages!$2:$2,0)+1),MATCH(F$1,[1]stages!$2:$2,0)-MATCH($D$1,[1]stages!$2:$2,0)+1,FALSE)</f>
        <v>6-2. 夢の国の洗礼</v>
      </c>
      <c r="G168" s="32">
        <v>1</v>
      </c>
      <c r="H168" s="20" t="str">
        <f t="shared" si="82"/>
        <v>6_2-1</v>
      </c>
      <c r="I168" s="31">
        <v>3</v>
      </c>
      <c r="J168" s="26" t="e">
        <f ca="1">VLOOKUP($I168,OFFSET([2]enemies!$A$1,0,0,COUNTA([2]enemies!$A:$A),MATCH(J$1,[2]enemies!$2:$2,0)-MATCH($I$1,[2]enemies!$2:$2,0)+1),MATCH(J$1,[2]enemies!$2:$2,0)-MATCH($I$1,[2]enemies!$2:$2,0)+1,FALSE)</f>
        <v>#N/A</v>
      </c>
      <c r="K168" s="29" t="e">
        <f ca="1">VLOOKUP($I168,OFFSET([2]enemies!$A$1,0,0,COUNTA([2]enemies!$A:$A),MATCH(K$1,[2]enemies!$2:$2,0)-MATCH($I$1,[2]enemies!$2:$2,0)+1),MATCH(K$1,[2]enemies!$2:$2,0)-MATCH($I$1,[2]enemies!$2:$2,0)+1,FALSE)</f>
        <v>#N/A</v>
      </c>
      <c r="L168" s="29" t="e">
        <f ca="1">VLOOKUP($I168,OFFSET([3]characters!$A$1,0,0,COUNTA([3]characters!$A:$A),MATCH(L$1,[3]characters!$2:$2,0)-MATCH($I$1,[3]characters!$2:$2,0)+1),MATCH(L$1,[3]characters!$2:$2,0)-MATCH($I$1,[3]characters!$2:$2,0)+1,FALSE)</f>
        <v>#N/A</v>
      </c>
      <c r="M168" s="28" t="e">
        <f ca="1">VLOOKUP($I168,OFFSET([3]characters!$A$1,0,0,COUNTA([3]characters!$A:$A),MATCH(M$1,[3]characters!$2:$2,0)-MATCH($I$1,[3]characters!$2:$2,0)+2),MATCH(M$1,[3]characters!$2:$2,0)-MATCH($I$1,[3]characters!$2:$2,0)+2,FALSE)</f>
        <v>#N/A</v>
      </c>
      <c r="N168" s="5" t="e">
        <f ca="1">VLOOKUP($I168,OFFSET([2]enemies!$A$1,0,0,COUNTA([2]enemies!$A:$A),MATCH(N$1,[2]enemies!$2:$2,0)-MATCH($I$1,[2]enemies!$2:$2,0)+1),MATCH(N$1,[2]enemies!$2:$2,0)-MATCH($I$1,[2]enemies!$2:$2,0)+1,FALSE)</f>
        <v>#N/A</v>
      </c>
      <c r="O168" s="6">
        <v>8</v>
      </c>
      <c r="P168" s="43">
        <v>1</v>
      </c>
      <c r="Q168" s="43">
        <v>1</v>
      </c>
      <c r="R168" s="6">
        <v>0</v>
      </c>
      <c r="S168" s="5" t="str">
        <f ca="1">VLOOKUP($T168,OFFSET([4]enemy_skill_sets!$B$1,0,0,COUNTA([4]enemy_skill_sets!$B:$B),MATCH(J$1,[4]enemy_skill_sets!$1:$1,0)-MATCH($T$1,[4]enemy_skill_sets!$1:$1,0)+2),MATCH(J$1,[4]enemy_skill_sets!$1:$1,0)-MATCH($T$1,[4]enemy_skill_sets!$1:$1,0)+2,FALSE)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8" s="5">
        <v>0</v>
      </c>
      <c r="U168" s="7">
        <v>0</v>
      </c>
      <c r="V168" s="7">
        <v>100</v>
      </c>
      <c r="W168" s="7">
        <v>0</v>
      </c>
      <c r="X168" s="26" t="e">
        <f ca="1">VLOOKUP($I168,OFFSET([2]enemies!$A$1,0,0,COUNTA([2]enemies!$A:$A),MATCH(X$1,[2]enemies!$2:$2,0)-MATCH($I$1,[2]enemies!$2:$2,0)+1),MATCH(X$1,[2]enemies!$2:$2,0)-MATCH($I$1,[2]enemies!$2:$2,0)+1,FALSE)</f>
        <v>#N/A</v>
      </c>
      <c r="Y168" s="31">
        <v>3</v>
      </c>
      <c r="Z168" s="5" t="str">
        <f ca="1">IFERROR(VLOOKUP($Y168,OFFSET([3]characters!$A$1,0,0,COUNTA([3]characters!$A:$A),MATCH(Z$1,[3]characters!$2:$2,0)-MATCH("character_id",[3]characters!$2:$2,0)+1),MATCH(Z$1,[3]characters!$2:$2,0)-MATCH("character_id",[3]characters!$2:$2,0)+1,FALSE),"")</f>
        <v/>
      </c>
      <c r="AA168" s="5" t="str">
        <f ca="1">IFERROR(VLOOKUP($Y168,OFFSET([3]characters!$A$1,0,0,COUNTA([3]characters!$A:$A),MATCH(AA$1,[3]characters!$2:$2,0)-MATCH("character_id",[3]characters!$2:$2,0)+1),MATCH(AA$1,[3]characters!$2:$2,0)-MATCH("character_id",[3]characters!$2:$2,0)+1,FALSE),"")</f>
        <v/>
      </c>
      <c r="AB168" s="5" t="str">
        <f ca="1">IFERROR(VLOOKUP($Y168,OFFSET([3]characters!$A$1,0,0,COUNTA([3]characters!$A:$A),MATCH(AB$1,[3]characters!$2:$2,0)-MATCH("character_id",[3]characters!$2:$2,0)+1),MATCH(AB$1,[3]characters!$2:$2,0)-MATCH("character_id",[3]characters!$2:$2,0)+1,FALSE),"")</f>
        <v/>
      </c>
      <c r="AC168" s="8">
        <v>4</v>
      </c>
      <c r="AD168" s="8" t="str">
        <f t="shared" ca="1" si="115"/>
        <v/>
      </c>
      <c r="AE168" s="9">
        <v>30</v>
      </c>
      <c r="AF168" s="38">
        <v>0</v>
      </c>
      <c r="AG168" s="38">
        <v>0</v>
      </c>
      <c r="AH168" s="38">
        <v>0</v>
      </c>
      <c r="AI168" s="38">
        <v>0</v>
      </c>
      <c r="AJ168" s="38">
        <v>1</v>
      </c>
    </row>
    <row r="169" spans="1:36" ht="21" customHeight="1" x14ac:dyDescent="0.15">
      <c r="A169" s="21" t="e">
        <f t="shared" ca="1" si="80"/>
        <v>#N/A</v>
      </c>
      <c r="B169" s="33">
        <v>6</v>
      </c>
      <c r="C169" s="32">
        <v>2</v>
      </c>
      <c r="D169" s="2" t="str">
        <f t="shared" si="111"/>
        <v>6_2</v>
      </c>
      <c r="E169" s="5" t="str">
        <f ca="1">VLOOKUP($B169,OFFSET([1]quests!$A$1,0,0,COUNTA([1]quests!$A:$A),MATCH(E$1,[1]quests!$1:$1,0)-MATCH($B$1,[1]quests!$1:$1,0)+1),MATCH(E$1,[1]quests!$1:$1,0)-MATCH($B$1,[1]quests!$1:$1,0)+1,FALSE)</f>
        <v>6．ドリームパーク</v>
      </c>
      <c r="F169" s="5" t="str">
        <f ca="1">VLOOKUP($D169,OFFSET([1]stages!$A$1,0,0,COUNTA([1]stages!$A:$A),MATCH(F$1,[1]stages!$2:$2,0)-MATCH($D$1,[1]stages!$2:$2,0)+1),MATCH(F$1,[1]stages!$2:$2,0)-MATCH($D$1,[1]stages!$2:$2,0)+1,FALSE)</f>
        <v>6-2. 夢の国の洗礼</v>
      </c>
      <c r="G169" s="32">
        <v>1</v>
      </c>
      <c r="H169" s="20" t="str">
        <f t="shared" si="82"/>
        <v>6_2-1</v>
      </c>
      <c r="I169" s="31">
        <v>5</v>
      </c>
      <c r="J169" s="26" t="e">
        <f ca="1">VLOOKUP($I169,OFFSET([2]enemies!$A$1,0,0,COUNTA([2]enemies!$A:$A),MATCH(J$1,[2]enemies!$2:$2,0)-MATCH($I$1,[2]enemies!$2:$2,0)+1),MATCH(J$1,[2]enemies!$2:$2,0)-MATCH($I$1,[2]enemies!$2:$2,0)+1,FALSE)</f>
        <v>#N/A</v>
      </c>
      <c r="K169" s="29" t="e">
        <f ca="1">VLOOKUP($I169,OFFSET([2]enemies!$A$1,0,0,COUNTA([2]enemies!$A:$A),MATCH(K$1,[2]enemies!$2:$2,0)-MATCH($I$1,[2]enemies!$2:$2,0)+1),MATCH(K$1,[2]enemies!$2:$2,0)-MATCH($I$1,[2]enemies!$2:$2,0)+1,FALSE)</f>
        <v>#N/A</v>
      </c>
      <c r="L169" s="29" t="e">
        <f ca="1">VLOOKUP($I169,OFFSET([3]characters!$A$1,0,0,COUNTA([3]characters!$A:$A),MATCH(L$1,[3]characters!$2:$2,0)-MATCH($I$1,[3]characters!$2:$2,0)+1),MATCH(L$1,[3]characters!$2:$2,0)-MATCH($I$1,[3]characters!$2:$2,0)+1,FALSE)</f>
        <v>#N/A</v>
      </c>
      <c r="M169" s="28" t="e">
        <f ca="1">VLOOKUP($I169,OFFSET([3]characters!$A$1,0,0,COUNTA([3]characters!$A:$A),MATCH(M$1,[3]characters!$2:$2,0)-MATCH($I$1,[3]characters!$2:$2,0)+2),MATCH(M$1,[3]characters!$2:$2,0)-MATCH($I$1,[3]characters!$2:$2,0)+2,FALSE)</f>
        <v>#N/A</v>
      </c>
      <c r="N169" s="5" t="e">
        <f ca="1">VLOOKUP($I169,OFFSET([2]enemies!$A$1,0,0,COUNTA([2]enemies!$A:$A),MATCH(N$1,[2]enemies!$2:$2,0)-MATCH($I$1,[2]enemies!$2:$2,0)+1),MATCH(N$1,[2]enemies!$2:$2,0)-MATCH($I$1,[2]enemies!$2:$2,0)+1,FALSE)</f>
        <v>#N/A</v>
      </c>
      <c r="O169" s="6">
        <v>8</v>
      </c>
      <c r="P169" s="43">
        <v>1</v>
      </c>
      <c r="Q169" s="43">
        <v>1</v>
      </c>
      <c r="R169" s="6">
        <v>0</v>
      </c>
      <c r="S169" s="5" t="str">
        <f ca="1">VLOOKUP($T169,OFFSET([4]enemy_skill_sets!$B$1,0,0,COUNTA([4]enemy_skill_sets!$B:$B),MATCH(J$1,[4]enemy_skill_sets!$1:$1,0)-MATCH($T$1,[4]enemy_skill_sets!$1:$1,0)+2),MATCH(J$1,[4]enemy_skill_sets!$1:$1,0)-MATCH($T$1,[4]enemy_skill_sets!$1:$1,0)+2,FALSE)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9" s="5">
        <v>0</v>
      </c>
      <c r="U169" s="7">
        <v>0</v>
      </c>
      <c r="V169" s="7">
        <v>100</v>
      </c>
      <c r="W169" s="7">
        <v>0</v>
      </c>
      <c r="X169" s="26" t="e">
        <f ca="1">VLOOKUP($I169,OFFSET([2]enemies!$A$1,0,0,COUNTA([2]enemies!$A:$A),MATCH(X$1,[2]enemies!$2:$2,0)-MATCH($I$1,[2]enemies!$2:$2,0)+1),MATCH(X$1,[2]enemies!$2:$2,0)-MATCH($I$1,[2]enemies!$2:$2,0)+1,FALSE)</f>
        <v>#N/A</v>
      </c>
      <c r="Y169" s="31">
        <v>5</v>
      </c>
      <c r="Z169" s="5" t="str">
        <f ca="1">IFERROR(VLOOKUP($Y169,OFFSET([3]characters!$A$1,0,0,COUNTA([3]characters!$A:$A),MATCH(Z$1,[3]characters!$2:$2,0)-MATCH("character_id",[3]characters!$2:$2,0)+1),MATCH(Z$1,[3]characters!$2:$2,0)-MATCH("character_id",[3]characters!$2:$2,0)+1,FALSE),"")</f>
        <v/>
      </c>
      <c r="AA169" s="5" t="str">
        <f ca="1">IFERROR(VLOOKUP($Y169,OFFSET([3]characters!$A$1,0,0,COUNTA([3]characters!$A:$A),MATCH(AA$1,[3]characters!$2:$2,0)-MATCH("character_id",[3]characters!$2:$2,0)+1),MATCH(AA$1,[3]characters!$2:$2,0)-MATCH("character_id",[3]characters!$2:$2,0)+1,FALSE),"")</f>
        <v/>
      </c>
      <c r="AB169" s="5" t="str">
        <f ca="1">IFERROR(VLOOKUP($Y169,OFFSET([3]characters!$A$1,0,0,COUNTA([3]characters!$A:$A),MATCH(AB$1,[3]characters!$2:$2,0)-MATCH("character_id",[3]characters!$2:$2,0)+1),MATCH(AB$1,[3]characters!$2:$2,0)-MATCH("character_id",[3]characters!$2:$2,0)+1,FALSE),"")</f>
        <v/>
      </c>
      <c r="AC169" s="8">
        <v>4</v>
      </c>
      <c r="AD169" s="8" t="str">
        <f t="shared" ca="1" si="115"/>
        <v/>
      </c>
      <c r="AE169" s="9">
        <v>30</v>
      </c>
      <c r="AF169" s="38">
        <v>0</v>
      </c>
      <c r="AG169" s="38">
        <v>0</v>
      </c>
      <c r="AH169" s="38">
        <v>0</v>
      </c>
      <c r="AI169" s="38">
        <v>0</v>
      </c>
      <c r="AJ169" s="38">
        <v>1</v>
      </c>
    </row>
    <row r="170" spans="1:36" ht="21" customHeight="1" x14ac:dyDescent="0.15">
      <c r="A170" s="21" t="e">
        <f t="shared" ca="1" si="80"/>
        <v>#N/A</v>
      </c>
      <c r="B170" s="33">
        <v>6</v>
      </c>
      <c r="C170" s="32">
        <v>2</v>
      </c>
      <c r="D170" s="2" t="str">
        <f t="shared" si="111"/>
        <v>6_2</v>
      </c>
      <c r="E170" s="5" t="str">
        <f ca="1">VLOOKUP($B170,OFFSET([1]quests!$A$1,0,0,COUNTA([1]quests!$A:$A),MATCH(E$1,[1]quests!$1:$1,0)-MATCH($B$1,[1]quests!$1:$1,0)+1),MATCH(E$1,[1]quests!$1:$1,0)-MATCH($B$1,[1]quests!$1:$1,0)+1,FALSE)</f>
        <v>6．ドリームパーク</v>
      </c>
      <c r="F170" s="5" t="str">
        <f ca="1">VLOOKUP($D170,OFFSET([1]stages!$A$1,0,0,COUNTA([1]stages!$A:$A),MATCH(F$1,[1]stages!$2:$2,0)-MATCH($D$1,[1]stages!$2:$2,0)+1),MATCH(F$1,[1]stages!$2:$2,0)-MATCH($D$1,[1]stages!$2:$2,0)+1,FALSE)</f>
        <v>6-2. 夢の国の洗礼</v>
      </c>
      <c r="G170" s="32">
        <v>1</v>
      </c>
      <c r="H170" s="20" t="str">
        <f t="shared" si="82"/>
        <v>6_2-1</v>
      </c>
      <c r="I170" s="31">
        <v>7</v>
      </c>
      <c r="J170" s="26" t="e">
        <f ca="1">VLOOKUP($I170,OFFSET([2]enemies!$A$1,0,0,COUNTA([2]enemies!$A:$A),MATCH(J$1,[2]enemies!$2:$2,0)-MATCH($I$1,[2]enemies!$2:$2,0)+1),MATCH(J$1,[2]enemies!$2:$2,0)-MATCH($I$1,[2]enemies!$2:$2,0)+1,FALSE)</f>
        <v>#N/A</v>
      </c>
      <c r="K170" s="29" t="e">
        <f ca="1">VLOOKUP($I170,OFFSET([2]enemies!$A$1,0,0,COUNTA([2]enemies!$A:$A),MATCH(K$1,[2]enemies!$2:$2,0)-MATCH($I$1,[2]enemies!$2:$2,0)+1),MATCH(K$1,[2]enemies!$2:$2,0)-MATCH($I$1,[2]enemies!$2:$2,0)+1,FALSE)</f>
        <v>#N/A</v>
      </c>
      <c r="L170" s="29" t="e">
        <f ca="1">VLOOKUP($I170,OFFSET([3]characters!$A$1,0,0,COUNTA([3]characters!$A:$A),MATCH(L$1,[3]characters!$2:$2,0)-MATCH($I$1,[3]characters!$2:$2,0)+1),MATCH(L$1,[3]characters!$2:$2,0)-MATCH($I$1,[3]characters!$2:$2,0)+1,FALSE)</f>
        <v>#N/A</v>
      </c>
      <c r="M170" s="28" t="e">
        <f ca="1">VLOOKUP($I170,OFFSET([3]characters!$A$1,0,0,COUNTA([3]characters!$A:$A),MATCH(M$1,[3]characters!$2:$2,0)-MATCH($I$1,[3]characters!$2:$2,0)+2),MATCH(M$1,[3]characters!$2:$2,0)-MATCH($I$1,[3]characters!$2:$2,0)+2,FALSE)</f>
        <v>#N/A</v>
      </c>
      <c r="N170" s="5" t="e">
        <f ca="1">VLOOKUP($I170,OFFSET([2]enemies!$A$1,0,0,COUNTA([2]enemies!$A:$A),MATCH(N$1,[2]enemies!$2:$2,0)-MATCH($I$1,[2]enemies!$2:$2,0)+1),MATCH(N$1,[2]enemies!$2:$2,0)-MATCH($I$1,[2]enemies!$2:$2,0)+1,FALSE)</f>
        <v>#N/A</v>
      </c>
      <c r="O170" s="6">
        <v>8</v>
      </c>
      <c r="P170" s="43">
        <v>1</v>
      </c>
      <c r="Q170" s="43">
        <v>1</v>
      </c>
      <c r="R170" s="6">
        <v>0</v>
      </c>
      <c r="S170" s="5" t="str">
        <f ca="1">VLOOKUP($T170,OFFSET([4]enemy_skill_sets!$B$1,0,0,COUNTA([4]enemy_skill_sets!$B:$B),MATCH(J$1,[4]enemy_skill_sets!$1:$1,0)-MATCH($T$1,[4]enemy_skill_sets!$1:$1,0)+2),MATCH(J$1,[4]enemy_skill_sets!$1:$1,0)-MATCH($T$1,[4]enemy_skill_sets!$1:$1,0)+2,FALSE)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0" s="5">
        <v>0</v>
      </c>
      <c r="U170" s="7">
        <v>0</v>
      </c>
      <c r="V170" s="7">
        <v>100</v>
      </c>
      <c r="W170" s="7">
        <v>0</v>
      </c>
      <c r="X170" s="26" t="e">
        <f ca="1">VLOOKUP($I170,OFFSET([2]enemies!$A$1,0,0,COUNTA([2]enemies!$A:$A),MATCH(X$1,[2]enemies!$2:$2,0)-MATCH($I$1,[2]enemies!$2:$2,0)+1),MATCH(X$1,[2]enemies!$2:$2,0)-MATCH($I$1,[2]enemies!$2:$2,0)+1,FALSE)</f>
        <v>#N/A</v>
      </c>
      <c r="Y170" s="31">
        <v>7</v>
      </c>
      <c r="Z170" s="5" t="str">
        <f ca="1">IFERROR(VLOOKUP($Y170,OFFSET([3]characters!$A$1,0,0,COUNTA([3]characters!$A:$A),MATCH(Z$1,[3]characters!$2:$2,0)-MATCH("character_id",[3]characters!$2:$2,0)+1),MATCH(Z$1,[3]characters!$2:$2,0)-MATCH("character_id",[3]characters!$2:$2,0)+1,FALSE),"")</f>
        <v/>
      </c>
      <c r="AA170" s="5" t="str">
        <f ca="1">IFERROR(VLOOKUP($Y170,OFFSET([3]characters!$A$1,0,0,COUNTA([3]characters!$A:$A),MATCH(AA$1,[3]characters!$2:$2,0)-MATCH("character_id",[3]characters!$2:$2,0)+1),MATCH(AA$1,[3]characters!$2:$2,0)-MATCH("character_id",[3]characters!$2:$2,0)+1,FALSE),"")</f>
        <v/>
      </c>
      <c r="AB170" s="5" t="str">
        <f ca="1">IFERROR(VLOOKUP($Y170,OFFSET([3]characters!$A$1,0,0,COUNTA([3]characters!$A:$A),MATCH(AB$1,[3]characters!$2:$2,0)-MATCH("character_id",[3]characters!$2:$2,0)+1),MATCH(AB$1,[3]characters!$2:$2,0)-MATCH("character_id",[3]characters!$2:$2,0)+1,FALSE),"")</f>
        <v/>
      </c>
      <c r="AC170" s="8">
        <v>4</v>
      </c>
      <c r="AD170" s="8" t="str">
        <f t="shared" ca="1" si="115"/>
        <v/>
      </c>
      <c r="AE170" s="9">
        <v>30</v>
      </c>
      <c r="AF170" s="38">
        <v>0</v>
      </c>
      <c r="AG170" s="38">
        <v>0</v>
      </c>
      <c r="AH170" s="38">
        <v>0</v>
      </c>
      <c r="AI170" s="38">
        <v>0</v>
      </c>
      <c r="AJ170" s="38">
        <v>1</v>
      </c>
    </row>
    <row r="171" spans="1:36" ht="21" customHeight="1" x14ac:dyDescent="0.15">
      <c r="A171" s="21" t="e">
        <f t="shared" ca="1" si="80"/>
        <v>#N/A</v>
      </c>
      <c r="B171" s="33">
        <v>6</v>
      </c>
      <c r="C171" s="32">
        <v>2</v>
      </c>
      <c r="D171" s="2" t="str">
        <f t="shared" si="111"/>
        <v>6_2</v>
      </c>
      <c r="E171" s="5" t="str">
        <f ca="1">VLOOKUP($B171,OFFSET([1]quests!$A$1,0,0,COUNTA([1]quests!$A:$A),MATCH(E$1,[1]quests!$1:$1,0)-MATCH($B$1,[1]quests!$1:$1,0)+1),MATCH(E$1,[1]quests!$1:$1,0)-MATCH($B$1,[1]quests!$1:$1,0)+1,FALSE)</f>
        <v>6．ドリームパーク</v>
      </c>
      <c r="F171" s="5" t="str">
        <f ca="1">VLOOKUP($D171,OFFSET([1]stages!$A$1,0,0,COUNTA([1]stages!$A:$A),MATCH(F$1,[1]stages!$2:$2,0)-MATCH($D$1,[1]stages!$2:$2,0)+1),MATCH(F$1,[1]stages!$2:$2,0)-MATCH($D$1,[1]stages!$2:$2,0)+1,FALSE)</f>
        <v>6-2. 夢の国の洗礼</v>
      </c>
      <c r="G171" s="32">
        <v>1</v>
      </c>
      <c r="H171" s="20" t="str">
        <f t="shared" si="82"/>
        <v>6_2-1</v>
      </c>
      <c r="I171" s="31">
        <v>9</v>
      </c>
      <c r="J171" s="26" t="e">
        <f ca="1">VLOOKUP($I171,OFFSET([2]enemies!$A$1,0,0,COUNTA([2]enemies!$A:$A),MATCH(J$1,[2]enemies!$2:$2,0)-MATCH($I$1,[2]enemies!$2:$2,0)+1),MATCH(J$1,[2]enemies!$2:$2,0)-MATCH($I$1,[2]enemies!$2:$2,0)+1,FALSE)</f>
        <v>#N/A</v>
      </c>
      <c r="K171" s="29" t="e">
        <f ca="1">VLOOKUP($I171,OFFSET([2]enemies!$A$1,0,0,COUNTA([2]enemies!$A:$A),MATCH(K$1,[2]enemies!$2:$2,0)-MATCH($I$1,[2]enemies!$2:$2,0)+1),MATCH(K$1,[2]enemies!$2:$2,0)-MATCH($I$1,[2]enemies!$2:$2,0)+1,FALSE)</f>
        <v>#N/A</v>
      </c>
      <c r="L171" s="29" t="e">
        <f ca="1">VLOOKUP($I171,OFFSET([3]characters!$A$1,0,0,COUNTA([3]characters!$A:$A),MATCH(L$1,[3]characters!$2:$2,0)-MATCH($I$1,[3]characters!$2:$2,0)+1),MATCH(L$1,[3]characters!$2:$2,0)-MATCH($I$1,[3]characters!$2:$2,0)+1,FALSE)</f>
        <v>#N/A</v>
      </c>
      <c r="M171" s="28" t="e">
        <f ca="1">VLOOKUP($I171,OFFSET([3]characters!$A$1,0,0,COUNTA([3]characters!$A:$A),MATCH(M$1,[3]characters!$2:$2,0)-MATCH($I$1,[3]characters!$2:$2,0)+2),MATCH(M$1,[3]characters!$2:$2,0)-MATCH($I$1,[3]characters!$2:$2,0)+2,FALSE)</f>
        <v>#N/A</v>
      </c>
      <c r="N171" s="5" t="e">
        <f ca="1">VLOOKUP($I171,OFFSET([2]enemies!$A$1,0,0,COUNTA([2]enemies!$A:$A),MATCH(N$1,[2]enemies!$2:$2,0)-MATCH($I$1,[2]enemies!$2:$2,0)+1),MATCH(N$1,[2]enemies!$2:$2,0)-MATCH($I$1,[2]enemies!$2:$2,0)+1,FALSE)</f>
        <v>#N/A</v>
      </c>
      <c r="O171" s="6">
        <v>8</v>
      </c>
      <c r="P171" s="43">
        <v>1</v>
      </c>
      <c r="Q171" s="43">
        <v>1</v>
      </c>
      <c r="R171" s="6">
        <v>0</v>
      </c>
      <c r="S171" s="5" t="str">
        <f ca="1">VLOOKUP($T171,OFFSET([4]enemy_skill_sets!$B$1,0,0,COUNTA([4]enemy_skill_sets!$B:$B),MATCH(J$1,[4]enemy_skill_sets!$1:$1,0)-MATCH($T$1,[4]enemy_skill_sets!$1:$1,0)+2),MATCH(J$1,[4]enemy_skill_sets!$1:$1,0)-MATCH($T$1,[4]enemy_skill_sets!$1:$1,0)+2,FALSE)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1" s="5">
        <v>0</v>
      </c>
      <c r="U171" s="7">
        <v>0</v>
      </c>
      <c r="V171" s="7">
        <v>100</v>
      </c>
      <c r="W171" s="7">
        <v>0</v>
      </c>
      <c r="X171" s="26" t="e">
        <f ca="1">VLOOKUP($I171,OFFSET([2]enemies!$A$1,0,0,COUNTA([2]enemies!$A:$A),MATCH(X$1,[2]enemies!$2:$2,0)-MATCH($I$1,[2]enemies!$2:$2,0)+1),MATCH(X$1,[2]enemies!$2:$2,0)-MATCH($I$1,[2]enemies!$2:$2,0)+1,FALSE)</f>
        <v>#N/A</v>
      </c>
      <c r="Y171" s="31">
        <v>9</v>
      </c>
      <c r="Z171" s="5" t="str">
        <f ca="1">IFERROR(VLOOKUP($Y171,OFFSET([3]characters!$A$1,0,0,COUNTA([3]characters!$A:$A),MATCH(Z$1,[3]characters!$2:$2,0)-MATCH("character_id",[3]characters!$2:$2,0)+1),MATCH(Z$1,[3]characters!$2:$2,0)-MATCH("character_id",[3]characters!$2:$2,0)+1,FALSE),"")</f>
        <v/>
      </c>
      <c r="AA171" s="5" t="str">
        <f ca="1">IFERROR(VLOOKUP($Y171,OFFSET([3]characters!$A$1,0,0,COUNTA([3]characters!$A:$A),MATCH(AA$1,[3]characters!$2:$2,0)-MATCH("character_id",[3]characters!$2:$2,0)+1),MATCH(AA$1,[3]characters!$2:$2,0)-MATCH("character_id",[3]characters!$2:$2,0)+1,FALSE),"")</f>
        <v/>
      </c>
      <c r="AB171" s="5" t="str">
        <f ca="1">IFERROR(VLOOKUP($Y171,OFFSET([3]characters!$A$1,0,0,COUNTA([3]characters!$A:$A),MATCH(AB$1,[3]characters!$2:$2,0)-MATCH("character_id",[3]characters!$2:$2,0)+1),MATCH(AB$1,[3]characters!$2:$2,0)-MATCH("character_id",[3]characters!$2:$2,0)+1,FALSE),"")</f>
        <v/>
      </c>
      <c r="AC171" s="8">
        <v>2</v>
      </c>
      <c r="AD171" s="8" t="str">
        <f t="shared" ca="1" si="115"/>
        <v/>
      </c>
      <c r="AE171" s="9">
        <v>30</v>
      </c>
      <c r="AF171" s="38">
        <v>0</v>
      </c>
      <c r="AG171" s="38">
        <v>0</v>
      </c>
      <c r="AH171" s="38">
        <v>0</v>
      </c>
      <c r="AI171" s="38">
        <v>0</v>
      </c>
      <c r="AJ171" s="38">
        <v>1</v>
      </c>
    </row>
    <row r="172" spans="1:36" ht="21" customHeight="1" x14ac:dyDescent="0.15">
      <c r="A172" s="21" t="e">
        <f t="shared" ca="1" si="80"/>
        <v>#N/A</v>
      </c>
      <c r="B172" s="33">
        <v>6</v>
      </c>
      <c r="C172" s="32">
        <v>2</v>
      </c>
      <c r="D172" s="2" t="str">
        <f t="shared" si="111"/>
        <v>6_2</v>
      </c>
      <c r="E172" s="5" t="str">
        <f ca="1">VLOOKUP($B172,OFFSET([1]quests!$A$1,0,0,COUNTA([1]quests!$A:$A),MATCH(E$1,[1]quests!$1:$1,0)-MATCH($B$1,[1]quests!$1:$1,0)+1),MATCH(E$1,[1]quests!$1:$1,0)-MATCH($B$1,[1]quests!$1:$1,0)+1,FALSE)</f>
        <v>6．ドリームパーク</v>
      </c>
      <c r="F172" s="5" t="str">
        <f ca="1">VLOOKUP($D172,OFFSET([1]stages!$A$1,0,0,COUNTA([1]stages!$A:$A),MATCH(F$1,[1]stages!$2:$2,0)-MATCH($D$1,[1]stages!$2:$2,0)+1),MATCH(F$1,[1]stages!$2:$2,0)-MATCH($D$1,[1]stages!$2:$2,0)+1,FALSE)</f>
        <v>6-2. 夢の国の洗礼</v>
      </c>
      <c r="G172" s="32">
        <v>1</v>
      </c>
      <c r="H172" s="20" t="str">
        <f t="shared" si="82"/>
        <v>6_2-1</v>
      </c>
      <c r="I172" s="31">
        <v>11</v>
      </c>
      <c r="J172" s="26" t="e">
        <f ca="1">VLOOKUP($I172,OFFSET([2]enemies!$A$1,0,0,COUNTA([2]enemies!$A:$A),MATCH(J$1,[2]enemies!$2:$2,0)-MATCH($I$1,[2]enemies!$2:$2,0)+1),MATCH(J$1,[2]enemies!$2:$2,0)-MATCH($I$1,[2]enemies!$2:$2,0)+1,FALSE)</f>
        <v>#N/A</v>
      </c>
      <c r="K172" s="29" t="e">
        <f ca="1">VLOOKUP($I172,OFFSET([2]enemies!$A$1,0,0,COUNTA([2]enemies!$A:$A),MATCH(K$1,[2]enemies!$2:$2,0)-MATCH($I$1,[2]enemies!$2:$2,0)+1),MATCH(K$1,[2]enemies!$2:$2,0)-MATCH($I$1,[2]enemies!$2:$2,0)+1,FALSE)</f>
        <v>#N/A</v>
      </c>
      <c r="L172" s="29" t="e">
        <f ca="1">VLOOKUP($I172,OFFSET([3]characters!$A$1,0,0,COUNTA([3]characters!$A:$A),MATCH(L$1,[3]characters!$2:$2,0)-MATCH($I$1,[3]characters!$2:$2,0)+1),MATCH(L$1,[3]characters!$2:$2,0)-MATCH($I$1,[3]characters!$2:$2,0)+1,FALSE)</f>
        <v>#N/A</v>
      </c>
      <c r="M172" s="28" t="e">
        <f ca="1">VLOOKUP($I172,OFFSET([3]characters!$A$1,0,0,COUNTA([3]characters!$A:$A),MATCH(M$1,[3]characters!$2:$2,0)-MATCH($I$1,[3]characters!$2:$2,0)+2),MATCH(M$1,[3]characters!$2:$2,0)-MATCH($I$1,[3]characters!$2:$2,0)+2,FALSE)</f>
        <v>#N/A</v>
      </c>
      <c r="N172" s="5" t="e">
        <f ca="1">VLOOKUP($I172,OFFSET([2]enemies!$A$1,0,0,COUNTA([2]enemies!$A:$A),MATCH(N$1,[2]enemies!$2:$2,0)-MATCH($I$1,[2]enemies!$2:$2,0)+1),MATCH(N$1,[2]enemies!$2:$2,0)-MATCH($I$1,[2]enemies!$2:$2,0)+1,FALSE)</f>
        <v>#N/A</v>
      </c>
      <c r="O172" s="6">
        <v>8</v>
      </c>
      <c r="P172" s="43">
        <v>1</v>
      </c>
      <c r="Q172" s="43">
        <v>1</v>
      </c>
      <c r="R172" s="6">
        <v>0</v>
      </c>
      <c r="S172" s="5" t="str">
        <f ca="1">VLOOKUP($T172,OFFSET([4]enemy_skill_sets!$B$1,0,0,COUNTA([4]enemy_skill_sets!$B:$B),MATCH(J$1,[4]enemy_skill_sets!$1:$1,0)-MATCH($T$1,[4]enemy_skill_sets!$1:$1,0)+2),MATCH(J$1,[4]enemy_skill_sets!$1:$1,0)-MATCH($T$1,[4]enemy_skill_sets!$1:$1,0)+2,FALSE)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2" s="5">
        <v>0</v>
      </c>
      <c r="U172" s="7">
        <v>0</v>
      </c>
      <c r="V172" s="7">
        <v>100</v>
      </c>
      <c r="W172" s="7">
        <v>0</v>
      </c>
      <c r="X172" s="26" t="e">
        <f ca="1">VLOOKUP($I172,OFFSET([2]enemies!$A$1,0,0,COUNTA([2]enemies!$A:$A),MATCH(X$1,[2]enemies!$2:$2,0)-MATCH($I$1,[2]enemies!$2:$2,0)+1),MATCH(X$1,[2]enemies!$2:$2,0)-MATCH($I$1,[2]enemies!$2:$2,0)+1,FALSE)</f>
        <v>#N/A</v>
      </c>
      <c r="Y172" s="31">
        <v>11</v>
      </c>
      <c r="Z172" s="5" t="str">
        <f ca="1">IFERROR(VLOOKUP($Y172,OFFSET([3]characters!$A$1,0,0,COUNTA([3]characters!$A:$A),MATCH(Z$1,[3]characters!$2:$2,0)-MATCH("character_id",[3]characters!$2:$2,0)+1),MATCH(Z$1,[3]characters!$2:$2,0)-MATCH("character_id",[3]characters!$2:$2,0)+1,FALSE),"")</f>
        <v/>
      </c>
      <c r="AA172" s="5" t="str">
        <f ca="1">IFERROR(VLOOKUP($Y172,OFFSET([3]characters!$A$1,0,0,COUNTA([3]characters!$A:$A),MATCH(AA$1,[3]characters!$2:$2,0)-MATCH("character_id",[3]characters!$2:$2,0)+1),MATCH(AA$1,[3]characters!$2:$2,0)-MATCH("character_id",[3]characters!$2:$2,0)+1,FALSE),"")</f>
        <v/>
      </c>
      <c r="AB172" s="5" t="str">
        <f ca="1">IFERROR(VLOOKUP($Y172,OFFSET([3]characters!$A$1,0,0,COUNTA([3]characters!$A:$A),MATCH(AB$1,[3]characters!$2:$2,0)-MATCH("character_id",[3]characters!$2:$2,0)+1),MATCH(AB$1,[3]characters!$2:$2,0)-MATCH("character_id",[3]characters!$2:$2,0)+1,FALSE),"")</f>
        <v/>
      </c>
      <c r="AC172" s="8">
        <v>2</v>
      </c>
      <c r="AD172" s="8" t="str">
        <f t="shared" ca="1" si="115"/>
        <v/>
      </c>
      <c r="AE172" s="9">
        <v>30</v>
      </c>
      <c r="AF172" s="38">
        <v>0</v>
      </c>
      <c r="AG172" s="38">
        <v>0</v>
      </c>
      <c r="AH172" s="38">
        <v>0</v>
      </c>
      <c r="AI172" s="38">
        <v>0</v>
      </c>
      <c r="AJ172" s="38">
        <v>1</v>
      </c>
    </row>
    <row r="173" spans="1:36" ht="21" customHeight="1" x14ac:dyDescent="0.15">
      <c r="A173" s="21" t="e">
        <f t="shared" ca="1" si="80"/>
        <v>#N/A</v>
      </c>
      <c r="B173" s="33">
        <v>6</v>
      </c>
      <c r="C173" s="32">
        <v>2</v>
      </c>
      <c r="D173" s="2" t="str">
        <f t="shared" ref="D173:D223" si="116">B173&amp;"_"&amp;C173</f>
        <v>6_2</v>
      </c>
      <c r="E173" s="5" t="str">
        <f ca="1">VLOOKUP($B173,OFFSET([1]quests!$A$1,0,0,COUNTA([1]quests!$A:$A),MATCH(E$1,[1]quests!$1:$1,0)-MATCH($B$1,[1]quests!$1:$1,0)+1),MATCH(E$1,[1]quests!$1:$1,0)-MATCH($B$1,[1]quests!$1:$1,0)+1,FALSE)</f>
        <v>6．ドリームパーク</v>
      </c>
      <c r="F173" s="5" t="str">
        <f ca="1">VLOOKUP($D173,OFFSET([1]stages!$A$1,0,0,COUNTA([1]stages!$A:$A),MATCH(F$1,[1]stages!$2:$2,0)-MATCH($D$1,[1]stages!$2:$2,0)+1),MATCH(F$1,[1]stages!$2:$2,0)-MATCH($D$1,[1]stages!$2:$2,0)+1,FALSE)</f>
        <v>6-2. 夢の国の洗礼</v>
      </c>
      <c r="G173" s="32">
        <v>2</v>
      </c>
      <c r="H173" s="20" t="str">
        <f t="shared" ref="H173:H223" si="117">B173&amp;"_"&amp;C173&amp;"-"&amp;G173</f>
        <v>6_2-2</v>
      </c>
      <c r="I173" s="31">
        <v>13</v>
      </c>
      <c r="J173" s="26" t="e">
        <f ca="1">VLOOKUP($I173,OFFSET([2]enemies!$A$1,0,0,COUNTA([2]enemies!$A:$A),MATCH(J$1,[2]enemies!$2:$2,0)-MATCH($I$1,[2]enemies!$2:$2,0)+1),MATCH(J$1,[2]enemies!$2:$2,0)-MATCH($I$1,[2]enemies!$2:$2,0)+1,FALSE)</f>
        <v>#N/A</v>
      </c>
      <c r="K173" s="29" t="e">
        <f ca="1">VLOOKUP($I173,OFFSET([2]enemies!$A$1,0,0,COUNTA([2]enemies!$A:$A),MATCH(K$1,[2]enemies!$2:$2,0)-MATCH($I$1,[2]enemies!$2:$2,0)+1),MATCH(K$1,[2]enemies!$2:$2,0)-MATCH($I$1,[2]enemies!$2:$2,0)+1,FALSE)</f>
        <v>#N/A</v>
      </c>
      <c r="L173" s="29" t="e">
        <f ca="1">VLOOKUP($I173,OFFSET([3]characters!$A$1,0,0,COUNTA([3]characters!$A:$A),MATCH(L$1,[3]characters!$2:$2,0)-MATCH($I$1,[3]characters!$2:$2,0)+1),MATCH(L$1,[3]characters!$2:$2,0)-MATCH($I$1,[3]characters!$2:$2,0)+1,FALSE)</f>
        <v>#N/A</v>
      </c>
      <c r="M173" s="28" t="e">
        <f ca="1">VLOOKUP($I173,OFFSET([3]characters!$A$1,0,0,COUNTA([3]characters!$A:$A),MATCH(M$1,[3]characters!$2:$2,0)-MATCH($I$1,[3]characters!$2:$2,0)+2),MATCH(M$1,[3]characters!$2:$2,0)-MATCH($I$1,[3]characters!$2:$2,0)+2,FALSE)</f>
        <v>#N/A</v>
      </c>
      <c r="N173" s="5" t="e">
        <f ca="1">VLOOKUP($I173,OFFSET([2]enemies!$A$1,0,0,COUNTA([2]enemies!$A:$A),MATCH(N$1,[2]enemies!$2:$2,0)-MATCH($I$1,[2]enemies!$2:$2,0)+1),MATCH(N$1,[2]enemies!$2:$2,0)-MATCH($I$1,[2]enemies!$2:$2,0)+1,FALSE)</f>
        <v>#N/A</v>
      </c>
      <c r="O173" s="6">
        <v>8</v>
      </c>
      <c r="P173" s="43">
        <v>1</v>
      </c>
      <c r="Q173" s="43">
        <v>1</v>
      </c>
      <c r="R173" s="6">
        <v>0</v>
      </c>
      <c r="S173" s="5" t="str">
        <f ca="1">VLOOKUP($T173,OFFSET([4]enemy_skill_sets!$B$1,0,0,COUNTA([4]enemy_skill_sets!$B:$B),MATCH(J$1,[4]enemy_skill_sets!$1:$1,0)-MATCH($T$1,[4]enemy_skill_sets!$1:$1,0)+2),MATCH(J$1,[4]enemy_skill_sets!$1:$1,0)-MATCH($T$1,[4]enemy_skill_sets!$1:$1,0)+2,FALSE)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3" s="5">
        <v>0</v>
      </c>
      <c r="U173" s="7">
        <v>0</v>
      </c>
      <c r="V173" s="7">
        <v>100</v>
      </c>
      <c r="W173" s="7">
        <v>0</v>
      </c>
      <c r="X173" s="26" t="e">
        <f ca="1">VLOOKUP($I173,OFFSET([2]enemies!$A$1,0,0,COUNTA([2]enemies!$A:$A),MATCH(X$1,[2]enemies!$2:$2,0)-MATCH($I$1,[2]enemies!$2:$2,0)+1),MATCH(X$1,[2]enemies!$2:$2,0)-MATCH($I$1,[2]enemies!$2:$2,0)+1,FALSE)</f>
        <v>#N/A</v>
      </c>
      <c r="Y173" s="31">
        <v>13</v>
      </c>
      <c r="Z173" s="5" t="str">
        <f ca="1">IFERROR(VLOOKUP($Y173,OFFSET([3]characters!$A$1,0,0,COUNTA([3]characters!$A:$A),MATCH(Z$1,[3]characters!$2:$2,0)-MATCH("character_id",[3]characters!$2:$2,0)+1),MATCH(Z$1,[3]characters!$2:$2,0)-MATCH("character_id",[3]characters!$2:$2,0)+1,FALSE),"")</f>
        <v/>
      </c>
      <c r="AA173" s="5" t="str">
        <f ca="1">IFERROR(VLOOKUP($Y173,OFFSET([3]characters!$A$1,0,0,COUNTA([3]characters!$A:$A),MATCH(AA$1,[3]characters!$2:$2,0)-MATCH("character_id",[3]characters!$2:$2,0)+1),MATCH(AA$1,[3]characters!$2:$2,0)-MATCH("character_id",[3]characters!$2:$2,0)+1,FALSE),"")</f>
        <v/>
      </c>
      <c r="AB173" s="5" t="str">
        <f ca="1">IFERROR(VLOOKUP($Y173,OFFSET([3]characters!$A$1,0,0,COUNTA([3]characters!$A:$A),MATCH(AB$1,[3]characters!$2:$2,0)-MATCH("character_id",[3]characters!$2:$2,0)+1),MATCH(AB$1,[3]characters!$2:$2,0)-MATCH("character_id",[3]characters!$2:$2,0)+1,FALSE),"")</f>
        <v/>
      </c>
      <c r="AC173" s="8">
        <v>2</v>
      </c>
      <c r="AD173" s="8" t="str">
        <f t="shared" ca="1" si="115"/>
        <v/>
      </c>
      <c r="AE173" s="9">
        <v>30</v>
      </c>
      <c r="AF173" s="38">
        <v>0</v>
      </c>
      <c r="AG173" s="38">
        <v>0</v>
      </c>
      <c r="AH173" s="38">
        <v>0</v>
      </c>
      <c r="AI173" s="38">
        <v>0</v>
      </c>
      <c r="AJ173" s="38">
        <v>1</v>
      </c>
    </row>
    <row r="174" spans="1:36" ht="21" customHeight="1" x14ac:dyDescent="0.15">
      <c r="A174" s="21" t="e">
        <f t="shared" ca="1" si="80"/>
        <v>#N/A</v>
      </c>
      <c r="B174" s="33">
        <v>6</v>
      </c>
      <c r="C174" s="32">
        <v>2</v>
      </c>
      <c r="D174" s="2" t="str">
        <f t="shared" si="116"/>
        <v>6_2</v>
      </c>
      <c r="E174" s="5" t="str">
        <f ca="1">VLOOKUP($B174,OFFSET([1]quests!$A$1,0,0,COUNTA([1]quests!$A:$A),MATCH(E$1,[1]quests!$1:$1,0)-MATCH($B$1,[1]quests!$1:$1,0)+1),MATCH(E$1,[1]quests!$1:$1,0)-MATCH($B$1,[1]quests!$1:$1,0)+1,FALSE)</f>
        <v>6．ドリームパーク</v>
      </c>
      <c r="F174" s="5" t="str">
        <f ca="1">VLOOKUP($D174,OFFSET([1]stages!$A$1,0,0,COUNTA([1]stages!$A:$A),MATCH(F$1,[1]stages!$2:$2,0)-MATCH($D$1,[1]stages!$2:$2,0)+1),MATCH(F$1,[1]stages!$2:$2,0)-MATCH($D$1,[1]stages!$2:$2,0)+1,FALSE)</f>
        <v>6-2. 夢の国の洗礼</v>
      </c>
      <c r="G174" s="32">
        <v>2</v>
      </c>
      <c r="H174" s="20" t="str">
        <f t="shared" si="117"/>
        <v>6_2-2</v>
      </c>
      <c r="I174" s="31">
        <v>15</v>
      </c>
      <c r="J174" s="26" t="e">
        <f ca="1">VLOOKUP($I174,OFFSET([2]enemies!$A$1,0,0,COUNTA([2]enemies!$A:$A),MATCH(J$1,[2]enemies!$2:$2,0)-MATCH($I$1,[2]enemies!$2:$2,0)+1),MATCH(J$1,[2]enemies!$2:$2,0)-MATCH($I$1,[2]enemies!$2:$2,0)+1,FALSE)</f>
        <v>#N/A</v>
      </c>
      <c r="K174" s="29" t="e">
        <f ca="1">VLOOKUP($I174,OFFSET([2]enemies!$A$1,0,0,COUNTA([2]enemies!$A:$A),MATCH(K$1,[2]enemies!$2:$2,0)-MATCH($I$1,[2]enemies!$2:$2,0)+1),MATCH(K$1,[2]enemies!$2:$2,0)-MATCH($I$1,[2]enemies!$2:$2,0)+1,FALSE)</f>
        <v>#N/A</v>
      </c>
      <c r="L174" s="29" t="e">
        <f ca="1">VLOOKUP($I174,OFFSET([3]characters!$A$1,0,0,COUNTA([3]characters!$A:$A),MATCH(L$1,[3]characters!$2:$2,0)-MATCH($I$1,[3]characters!$2:$2,0)+1),MATCH(L$1,[3]characters!$2:$2,0)-MATCH($I$1,[3]characters!$2:$2,0)+1,FALSE)</f>
        <v>#N/A</v>
      </c>
      <c r="M174" s="28" t="e">
        <f ca="1">VLOOKUP($I174,OFFSET([3]characters!$A$1,0,0,COUNTA([3]characters!$A:$A),MATCH(M$1,[3]characters!$2:$2,0)-MATCH($I$1,[3]characters!$2:$2,0)+2),MATCH(M$1,[3]characters!$2:$2,0)-MATCH($I$1,[3]characters!$2:$2,0)+2,FALSE)</f>
        <v>#N/A</v>
      </c>
      <c r="N174" s="5" t="e">
        <f ca="1">VLOOKUP($I174,OFFSET([2]enemies!$A$1,0,0,COUNTA([2]enemies!$A:$A),MATCH(N$1,[2]enemies!$2:$2,0)-MATCH($I$1,[2]enemies!$2:$2,0)+1),MATCH(N$1,[2]enemies!$2:$2,0)-MATCH($I$1,[2]enemies!$2:$2,0)+1,FALSE)</f>
        <v>#N/A</v>
      </c>
      <c r="O174" s="6">
        <v>8</v>
      </c>
      <c r="P174" s="43">
        <v>1</v>
      </c>
      <c r="Q174" s="43">
        <v>1</v>
      </c>
      <c r="R174" s="6">
        <v>0</v>
      </c>
      <c r="S174" s="5" t="str">
        <f ca="1">VLOOKUP($T174,OFFSET([4]enemy_skill_sets!$B$1,0,0,COUNTA([4]enemy_skill_sets!$B:$B),MATCH(J$1,[4]enemy_skill_sets!$1:$1,0)-MATCH($T$1,[4]enemy_skill_sets!$1:$1,0)+2),MATCH(J$1,[4]enemy_skill_sets!$1:$1,0)-MATCH($T$1,[4]enemy_skill_sets!$1:$1,0)+2,FALSE)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4" s="5">
        <v>0</v>
      </c>
      <c r="U174" s="7">
        <v>0</v>
      </c>
      <c r="V174" s="7">
        <v>100</v>
      </c>
      <c r="W174" s="7">
        <v>0</v>
      </c>
      <c r="X174" s="26" t="e">
        <f ca="1">VLOOKUP($I174,OFFSET([2]enemies!$A$1,0,0,COUNTA([2]enemies!$A:$A),MATCH(X$1,[2]enemies!$2:$2,0)-MATCH($I$1,[2]enemies!$2:$2,0)+1),MATCH(X$1,[2]enemies!$2:$2,0)-MATCH($I$1,[2]enemies!$2:$2,0)+1,FALSE)</f>
        <v>#N/A</v>
      </c>
      <c r="Y174" s="31">
        <v>15</v>
      </c>
      <c r="Z174" s="5" t="str">
        <f ca="1">IFERROR(VLOOKUP($Y174,OFFSET([3]characters!$A$1,0,0,COUNTA([3]characters!$A:$A),MATCH(Z$1,[3]characters!$2:$2,0)-MATCH("character_id",[3]characters!$2:$2,0)+1),MATCH(Z$1,[3]characters!$2:$2,0)-MATCH("character_id",[3]characters!$2:$2,0)+1,FALSE),"")</f>
        <v/>
      </c>
      <c r="AA174" s="5" t="str">
        <f ca="1">IFERROR(VLOOKUP($Y174,OFFSET([3]characters!$A$1,0,0,COUNTA([3]characters!$A:$A),MATCH(AA$1,[3]characters!$2:$2,0)-MATCH("character_id",[3]characters!$2:$2,0)+1),MATCH(AA$1,[3]characters!$2:$2,0)-MATCH("character_id",[3]characters!$2:$2,0)+1,FALSE),"")</f>
        <v/>
      </c>
      <c r="AB174" s="5" t="str">
        <f ca="1">IFERROR(VLOOKUP($Y174,OFFSET([3]characters!$A$1,0,0,COUNTA([3]characters!$A:$A),MATCH(AB$1,[3]characters!$2:$2,0)-MATCH("character_id",[3]characters!$2:$2,0)+1),MATCH(AB$1,[3]characters!$2:$2,0)-MATCH("character_id",[3]characters!$2:$2,0)+1,FALSE),"")</f>
        <v/>
      </c>
      <c r="AC174" s="8">
        <v>2</v>
      </c>
      <c r="AD174" s="8" t="str">
        <f t="shared" ca="1" si="115"/>
        <v/>
      </c>
      <c r="AE174" s="9">
        <v>30</v>
      </c>
      <c r="AF174" s="38">
        <v>0</v>
      </c>
      <c r="AG174" s="38">
        <v>0</v>
      </c>
      <c r="AH174" s="38">
        <v>0</v>
      </c>
      <c r="AI174" s="38">
        <v>0</v>
      </c>
      <c r="AJ174" s="38">
        <v>1</v>
      </c>
    </row>
    <row r="175" spans="1:36" ht="21" customHeight="1" x14ac:dyDescent="0.15">
      <c r="A175" s="21" t="e">
        <f t="shared" ca="1" si="80"/>
        <v>#N/A</v>
      </c>
      <c r="B175" s="33">
        <v>6</v>
      </c>
      <c r="C175" s="32">
        <v>2</v>
      </c>
      <c r="D175" s="2" t="str">
        <f t="shared" si="116"/>
        <v>6_2</v>
      </c>
      <c r="E175" s="5" t="str">
        <f ca="1">VLOOKUP($B175,OFFSET([1]quests!$A$1,0,0,COUNTA([1]quests!$A:$A),MATCH(E$1,[1]quests!$1:$1,0)-MATCH($B$1,[1]quests!$1:$1,0)+1),MATCH(E$1,[1]quests!$1:$1,0)-MATCH($B$1,[1]quests!$1:$1,0)+1,FALSE)</f>
        <v>6．ドリームパーク</v>
      </c>
      <c r="F175" s="5" t="str">
        <f ca="1">VLOOKUP($D175,OFFSET([1]stages!$A$1,0,0,COUNTA([1]stages!$A:$A),MATCH(F$1,[1]stages!$2:$2,0)-MATCH($D$1,[1]stages!$2:$2,0)+1),MATCH(F$1,[1]stages!$2:$2,0)-MATCH($D$1,[1]stages!$2:$2,0)+1,FALSE)</f>
        <v>6-2. 夢の国の洗礼</v>
      </c>
      <c r="G175" s="32">
        <v>2</v>
      </c>
      <c r="H175" s="20" t="str">
        <f t="shared" si="117"/>
        <v>6_2-2</v>
      </c>
      <c r="I175" s="31">
        <v>17</v>
      </c>
      <c r="J175" s="26" t="e">
        <f ca="1">VLOOKUP($I175,OFFSET([2]enemies!$A$1,0,0,COUNTA([2]enemies!$A:$A),MATCH(J$1,[2]enemies!$2:$2,0)-MATCH($I$1,[2]enemies!$2:$2,0)+1),MATCH(J$1,[2]enemies!$2:$2,0)-MATCH($I$1,[2]enemies!$2:$2,0)+1,FALSE)</f>
        <v>#N/A</v>
      </c>
      <c r="K175" s="29" t="e">
        <f ca="1">VLOOKUP($I175,OFFSET([2]enemies!$A$1,0,0,COUNTA([2]enemies!$A:$A),MATCH(K$1,[2]enemies!$2:$2,0)-MATCH($I$1,[2]enemies!$2:$2,0)+1),MATCH(K$1,[2]enemies!$2:$2,0)-MATCH($I$1,[2]enemies!$2:$2,0)+1,FALSE)</f>
        <v>#N/A</v>
      </c>
      <c r="L175" s="29" t="e">
        <f ca="1">VLOOKUP($I175,OFFSET([3]characters!$A$1,0,0,COUNTA([3]characters!$A:$A),MATCH(L$1,[3]characters!$2:$2,0)-MATCH($I$1,[3]characters!$2:$2,0)+1),MATCH(L$1,[3]characters!$2:$2,0)-MATCH($I$1,[3]characters!$2:$2,0)+1,FALSE)</f>
        <v>#N/A</v>
      </c>
      <c r="M175" s="28" t="e">
        <f ca="1">VLOOKUP($I175,OFFSET([3]characters!$A$1,0,0,COUNTA([3]characters!$A:$A),MATCH(M$1,[3]characters!$2:$2,0)-MATCH($I$1,[3]characters!$2:$2,0)+2),MATCH(M$1,[3]characters!$2:$2,0)-MATCH($I$1,[3]characters!$2:$2,0)+2,FALSE)</f>
        <v>#N/A</v>
      </c>
      <c r="N175" s="5" t="e">
        <f ca="1">VLOOKUP($I175,OFFSET([2]enemies!$A$1,0,0,COUNTA([2]enemies!$A:$A),MATCH(N$1,[2]enemies!$2:$2,0)-MATCH($I$1,[2]enemies!$2:$2,0)+1),MATCH(N$1,[2]enemies!$2:$2,0)-MATCH($I$1,[2]enemies!$2:$2,0)+1,FALSE)</f>
        <v>#N/A</v>
      </c>
      <c r="O175" s="6">
        <v>8</v>
      </c>
      <c r="P175" s="43">
        <v>1</v>
      </c>
      <c r="Q175" s="43">
        <v>1</v>
      </c>
      <c r="R175" s="6">
        <v>0</v>
      </c>
      <c r="S175" s="5" t="str">
        <f ca="1">VLOOKUP($T175,OFFSET([4]enemy_skill_sets!$B$1,0,0,COUNTA([4]enemy_skill_sets!$B:$B),MATCH(J$1,[4]enemy_skill_sets!$1:$1,0)-MATCH($T$1,[4]enemy_skill_sets!$1:$1,0)+2),MATCH(J$1,[4]enemy_skill_sets!$1:$1,0)-MATCH($T$1,[4]enemy_skill_sets!$1:$1,0)+2,FALSE)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5" s="5">
        <v>0</v>
      </c>
      <c r="U175" s="7">
        <v>0</v>
      </c>
      <c r="V175" s="7">
        <v>100</v>
      </c>
      <c r="W175" s="7">
        <v>0</v>
      </c>
      <c r="X175" s="26" t="e">
        <f ca="1">VLOOKUP($I175,OFFSET([2]enemies!$A$1,0,0,COUNTA([2]enemies!$A:$A),MATCH(X$1,[2]enemies!$2:$2,0)-MATCH($I$1,[2]enemies!$2:$2,0)+1),MATCH(X$1,[2]enemies!$2:$2,0)-MATCH($I$1,[2]enemies!$2:$2,0)+1,FALSE)</f>
        <v>#N/A</v>
      </c>
      <c r="Y175" s="31">
        <v>17</v>
      </c>
      <c r="Z175" s="5" t="str">
        <f ca="1">IFERROR(VLOOKUP($Y175,OFFSET([3]characters!$A$1,0,0,COUNTA([3]characters!$A:$A),MATCH(Z$1,[3]characters!$2:$2,0)-MATCH("character_id",[3]characters!$2:$2,0)+1),MATCH(Z$1,[3]characters!$2:$2,0)-MATCH("character_id",[3]characters!$2:$2,0)+1,FALSE),"")</f>
        <v/>
      </c>
      <c r="AA175" s="5" t="str">
        <f ca="1">IFERROR(VLOOKUP($Y175,OFFSET([3]characters!$A$1,0,0,COUNTA([3]characters!$A:$A),MATCH(AA$1,[3]characters!$2:$2,0)-MATCH("character_id",[3]characters!$2:$2,0)+1),MATCH(AA$1,[3]characters!$2:$2,0)-MATCH("character_id",[3]characters!$2:$2,0)+1,FALSE),"")</f>
        <v/>
      </c>
      <c r="AB175" s="5" t="str">
        <f ca="1">IFERROR(VLOOKUP($Y175,OFFSET([3]characters!$A$1,0,0,COUNTA([3]characters!$A:$A),MATCH(AB$1,[3]characters!$2:$2,0)-MATCH("character_id",[3]characters!$2:$2,0)+1),MATCH(AB$1,[3]characters!$2:$2,0)-MATCH("character_id",[3]characters!$2:$2,0)+1,FALSE),"")</f>
        <v/>
      </c>
      <c r="AC175" s="8">
        <v>2</v>
      </c>
      <c r="AD175" s="8" t="str">
        <f t="shared" ca="1" si="115"/>
        <v/>
      </c>
      <c r="AE175" s="9">
        <v>30</v>
      </c>
      <c r="AF175" s="38">
        <v>0</v>
      </c>
      <c r="AG175" s="38">
        <v>0</v>
      </c>
      <c r="AH175" s="38">
        <v>0</v>
      </c>
      <c r="AI175" s="38">
        <v>0</v>
      </c>
      <c r="AJ175" s="38">
        <v>1</v>
      </c>
    </row>
    <row r="176" spans="1:36" ht="21" customHeight="1" x14ac:dyDescent="0.15">
      <c r="A176" s="21" t="e">
        <f t="shared" ca="1" si="80"/>
        <v>#N/A</v>
      </c>
      <c r="B176" s="33">
        <v>6</v>
      </c>
      <c r="C176" s="32">
        <v>2</v>
      </c>
      <c r="D176" s="2" t="str">
        <f t="shared" si="116"/>
        <v>6_2</v>
      </c>
      <c r="E176" s="5" t="str">
        <f ca="1">VLOOKUP($B176,OFFSET([1]quests!$A$1,0,0,COUNTA([1]quests!$A:$A),MATCH(E$1,[1]quests!$1:$1,0)-MATCH($B$1,[1]quests!$1:$1,0)+1),MATCH(E$1,[1]quests!$1:$1,0)-MATCH($B$1,[1]quests!$1:$1,0)+1,FALSE)</f>
        <v>6．ドリームパーク</v>
      </c>
      <c r="F176" s="5" t="str">
        <f ca="1">VLOOKUP($D176,OFFSET([1]stages!$A$1,0,0,COUNTA([1]stages!$A:$A),MATCH(F$1,[1]stages!$2:$2,0)-MATCH($D$1,[1]stages!$2:$2,0)+1),MATCH(F$1,[1]stages!$2:$2,0)-MATCH($D$1,[1]stages!$2:$2,0)+1,FALSE)</f>
        <v>6-2. 夢の国の洗礼</v>
      </c>
      <c r="G176" s="32">
        <v>2</v>
      </c>
      <c r="H176" s="20" t="str">
        <f t="shared" si="117"/>
        <v>6_2-2</v>
      </c>
      <c r="I176" s="31">
        <v>19</v>
      </c>
      <c r="J176" s="26" t="e">
        <f ca="1">VLOOKUP($I176,OFFSET([2]enemies!$A$1,0,0,COUNTA([2]enemies!$A:$A),MATCH(J$1,[2]enemies!$2:$2,0)-MATCH($I$1,[2]enemies!$2:$2,0)+1),MATCH(J$1,[2]enemies!$2:$2,0)-MATCH($I$1,[2]enemies!$2:$2,0)+1,FALSE)</f>
        <v>#N/A</v>
      </c>
      <c r="K176" s="29" t="e">
        <f ca="1">VLOOKUP($I176,OFFSET([2]enemies!$A$1,0,0,COUNTA([2]enemies!$A:$A),MATCH(K$1,[2]enemies!$2:$2,0)-MATCH($I$1,[2]enemies!$2:$2,0)+1),MATCH(K$1,[2]enemies!$2:$2,0)-MATCH($I$1,[2]enemies!$2:$2,0)+1,FALSE)</f>
        <v>#N/A</v>
      </c>
      <c r="L176" s="29" t="e">
        <f ca="1">VLOOKUP($I176,OFFSET([3]characters!$A$1,0,0,COUNTA([3]characters!$A:$A),MATCH(L$1,[3]characters!$2:$2,0)-MATCH($I$1,[3]characters!$2:$2,0)+1),MATCH(L$1,[3]characters!$2:$2,0)-MATCH($I$1,[3]characters!$2:$2,0)+1,FALSE)</f>
        <v>#N/A</v>
      </c>
      <c r="M176" s="28" t="e">
        <f ca="1">VLOOKUP($I176,OFFSET([3]characters!$A$1,0,0,COUNTA([3]characters!$A:$A),MATCH(M$1,[3]characters!$2:$2,0)-MATCH($I$1,[3]characters!$2:$2,0)+2),MATCH(M$1,[3]characters!$2:$2,0)-MATCH($I$1,[3]characters!$2:$2,0)+2,FALSE)</f>
        <v>#N/A</v>
      </c>
      <c r="N176" s="5" t="e">
        <f ca="1">VLOOKUP($I176,OFFSET([2]enemies!$A$1,0,0,COUNTA([2]enemies!$A:$A),MATCH(N$1,[2]enemies!$2:$2,0)-MATCH($I$1,[2]enemies!$2:$2,0)+1),MATCH(N$1,[2]enemies!$2:$2,0)-MATCH($I$1,[2]enemies!$2:$2,0)+1,FALSE)</f>
        <v>#N/A</v>
      </c>
      <c r="O176" s="6">
        <v>8</v>
      </c>
      <c r="P176" s="43">
        <v>1</v>
      </c>
      <c r="Q176" s="43">
        <v>1</v>
      </c>
      <c r="R176" s="6">
        <v>0</v>
      </c>
      <c r="S176" s="5" t="str">
        <f ca="1">VLOOKUP($T176,OFFSET([4]enemy_skill_sets!$B$1,0,0,COUNTA([4]enemy_skill_sets!$B:$B),MATCH(J$1,[4]enemy_skill_sets!$1:$1,0)-MATCH($T$1,[4]enemy_skill_sets!$1:$1,0)+2),MATCH(J$1,[4]enemy_skill_sets!$1:$1,0)-MATCH($T$1,[4]enemy_skill_sets!$1:$1,0)+2,FALSE)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6" s="5">
        <v>0</v>
      </c>
      <c r="U176" s="7">
        <v>0</v>
      </c>
      <c r="V176" s="7">
        <v>100</v>
      </c>
      <c r="W176" s="7">
        <v>0</v>
      </c>
      <c r="X176" s="26" t="e">
        <f ca="1">VLOOKUP($I176,OFFSET([2]enemies!$A$1,0,0,COUNTA([2]enemies!$A:$A),MATCH(X$1,[2]enemies!$2:$2,0)-MATCH($I$1,[2]enemies!$2:$2,0)+1),MATCH(X$1,[2]enemies!$2:$2,0)-MATCH($I$1,[2]enemies!$2:$2,0)+1,FALSE)</f>
        <v>#N/A</v>
      </c>
      <c r="Y176" s="31">
        <v>19</v>
      </c>
      <c r="Z176" s="5" t="str">
        <f ca="1">IFERROR(VLOOKUP($Y176,OFFSET([3]characters!$A$1,0,0,COUNTA([3]characters!$A:$A),MATCH(Z$1,[3]characters!$2:$2,0)-MATCH("character_id",[3]characters!$2:$2,0)+1),MATCH(Z$1,[3]characters!$2:$2,0)-MATCH("character_id",[3]characters!$2:$2,0)+1,FALSE),"")</f>
        <v/>
      </c>
      <c r="AA176" s="5" t="str">
        <f ca="1">IFERROR(VLOOKUP($Y176,OFFSET([3]characters!$A$1,0,0,COUNTA([3]characters!$A:$A),MATCH(AA$1,[3]characters!$2:$2,0)-MATCH("character_id",[3]characters!$2:$2,0)+1),MATCH(AA$1,[3]characters!$2:$2,0)-MATCH("character_id",[3]characters!$2:$2,0)+1,FALSE),"")</f>
        <v/>
      </c>
      <c r="AB176" s="5" t="str">
        <f ca="1">IFERROR(VLOOKUP($Y176,OFFSET([3]characters!$A$1,0,0,COUNTA([3]characters!$A:$A),MATCH(AB$1,[3]characters!$2:$2,0)-MATCH("character_id",[3]characters!$2:$2,0)+1),MATCH(AB$1,[3]characters!$2:$2,0)-MATCH("character_id",[3]characters!$2:$2,0)+1,FALSE),"")</f>
        <v/>
      </c>
      <c r="AC176" s="8">
        <v>2</v>
      </c>
      <c r="AD176" s="8" t="str">
        <f t="shared" ca="1" si="115"/>
        <v/>
      </c>
      <c r="AE176" s="9">
        <v>30</v>
      </c>
      <c r="AF176" s="38">
        <v>0</v>
      </c>
      <c r="AG176" s="38">
        <v>0</v>
      </c>
      <c r="AH176" s="38">
        <v>0</v>
      </c>
      <c r="AI176" s="38">
        <v>0</v>
      </c>
      <c r="AJ176" s="38">
        <v>1</v>
      </c>
    </row>
    <row r="177" spans="1:36" ht="21" customHeight="1" x14ac:dyDescent="0.15">
      <c r="A177" s="21" t="e">
        <f t="shared" ca="1" si="80"/>
        <v>#N/A</v>
      </c>
      <c r="B177" s="33">
        <v>6</v>
      </c>
      <c r="C177" s="32">
        <v>2</v>
      </c>
      <c r="D177" s="2" t="str">
        <f t="shared" si="116"/>
        <v>6_2</v>
      </c>
      <c r="E177" s="5" t="str">
        <f ca="1">VLOOKUP($B177,OFFSET([1]quests!$A$1,0,0,COUNTA([1]quests!$A:$A),MATCH(E$1,[1]quests!$1:$1,0)-MATCH($B$1,[1]quests!$1:$1,0)+1),MATCH(E$1,[1]quests!$1:$1,0)-MATCH($B$1,[1]quests!$1:$1,0)+1,FALSE)</f>
        <v>6．ドリームパーク</v>
      </c>
      <c r="F177" s="5" t="str">
        <f ca="1">VLOOKUP($D177,OFFSET([1]stages!$A$1,0,0,COUNTA([1]stages!$A:$A),MATCH(F$1,[1]stages!$2:$2,0)-MATCH($D$1,[1]stages!$2:$2,0)+1),MATCH(F$1,[1]stages!$2:$2,0)-MATCH($D$1,[1]stages!$2:$2,0)+1,FALSE)</f>
        <v>6-2. 夢の国の洗礼</v>
      </c>
      <c r="G177" s="32">
        <v>2</v>
      </c>
      <c r="H177" s="20" t="str">
        <f t="shared" si="117"/>
        <v>6_2-2</v>
      </c>
      <c r="I177" s="31">
        <v>101</v>
      </c>
      <c r="J177" s="26" t="e">
        <f ca="1">VLOOKUP($I177,OFFSET([2]enemies!$A$1,0,0,COUNTA([2]enemies!$A:$A),MATCH(J$1,[2]enemies!$2:$2,0)-MATCH($I$1,[2]enemies!$2:$2,0)+1),MATCH(J$1,[2]enemies!$2:$2,0)-MATCH($I$1,[2]enemies!$2:$2,0)+1,FALSE)</f>
        <v>#N/A</v>
      </c>
      <c r="K177" s="29" t="e">
        <f ca="1">VLOOKUP($I177,OFFSET([2]enemies!$A$1,0,0,COUNTA([2]enemies!$A:$A),MATCH(K$1,[2]enemies!$2:$2,0)-MATCH($I$1,[2]enemies!$2:$2,0)+1),MATCH(K$1,[2]enemies!$2:$2,0)-MATCH($I$1,[2]enemies!$2:$2,0)+1,FALSE)</f>
        <v>#N/A</v>
      </c>
      <c r="L177" s="29" t="e">
        <f ca="1">VLOOKUP($I177,OFFSET([3]characters!$A$1,0,0,COUNTA([3]characters!$A:$A),MATCH(L$1,[3]characters!$2:$2,0)-MATCH($I$1,[3]characters!$2:$2,0)+1),MATCH(L$1,[3]characters!$2:$2,0)-MATCH($I$1,[3]characters!$2:$2,0)+1,FALSE)</f>
        <v>#N/A</v>
      </c>
      <c r="M177" s="28" t="e">
        <f ca="1">VLOOKUP($I177,OFFSET([3]characters!$A$1,0,0,COUNTA([3]characters!$A:$A),MATCH(M$1,[3]characters!$2:$2,0)-MATCH($I$1,[3]characters!$2:$2,0)+2),MATCH(M$1,[3]characters!$2:$2,0)-MATCH($I$1,[3]characters!$2:$2,0)+2,FALSE)</f>
        <v>#N/A</v>
      </c>
      <c r="N177" s="5" t="e">
        <f ca="1">VLOOKUP($I177,OFFSET([2]enemies!$A$1,0,0,COUNTA([2]enemies!$A:$A),MATCH(N$1,[2]enemies!$2:$2,0)-MATCH($I$1,[2]enemies!$2:$2,0)+1),MATCH(N$1,[2]enemies!$2:$2,0)-MATCH($I$1,[2]enemies!$2:$2,0)+1,FALSE)</f>
        <v>#N/A</v>
      </c>
      <c r="O177" s="6">
        <v>8</v>
      </c>
      <c r="P177" s="43">
        <v>1</v>
      </c>
      <c r="Q177" s="43">
        <v>1</v>
      </c>
      <c r="R177" s="6">
        <v>0</v>
      </c>
      <c r="S177" s="5" t="str">
        <f ca="1">VLOOKUP($T177,OFFSET([4]enemy_skill_sets!$B$1,0,0,COUNTA([4]enemy_skill_sets!$B:$B),MATCH(J$1,[4]enemy_skill_sets!$1:$1,0)-MATCH($T$1,[4]enemy_skill_sets!$1:$1,0)+2),MATCH(J$1,[4]enemy_skill_sets!$1:$1,0)-MATCH($T$1,[4]enemy_skill_sets!$1:$1,0)+2,FALSE)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7" s="5">
        <v>0</v>
      </c>
      <c r="U177" s="7">
        <v>0</v>
      </c>
      <c r="V177" s="7">
        <v>50</v>
      </c>
      <c r="W177" s="7">
        <v>0</v>
      </c>
      <c r="X177" s="26" t="e">
        <f ca="1">VLOOKUP($I177,OFFSET([2]enemies!$A$1,0,0,COUNTA([2]enemies!$A:$A),MATCH(X$1,[2]enemies!$2:$2,0)-MATCH($I$1,[2]enemies!$2:$2,0)+1),MATCH(X$1,[2]enemies!$2:$2,0)-MATCH($I$1,[2]enemies!$2:$2,0)+1,FALSE)</f>
        <v>#N/A</v>
      </c>
      <c r="Y177" s="31">
        <v>101</v>
      </c>
      <c r="Z177" s="5" t="str">
        <f ca="1">IFERROR(VLOOKUP($Y177,OFFSET([3]characters!$A$1,0,0,COUNTA([3]characters!$A:$A),MATCH(Z$1,[3]characters!$2:$2,0)-MATCH("character_id",[3]characters!$2:$2,0)+1),MATCH(Z$1,[3]characters!$2:$2,0)-MATCH("character_id",[3]characters!$2:$2,0)+1,FALSE),"")</f>
        <v/>
      </c>
      <c r="AA177" s="5" t="str">
        <f ca="1">IFERROR(VLOOKUP($Y177,OFFSET([3]characters!$A$1,0,0,COUNTA([3]characters!$A:$A),MATCH(AA$1,[3]characters!$2:$2,0)-MATCH("character_id",[3]characters!$2:$2,0)+1),MATCH(AA$1,[3]characters!$2:$2,0)-MATCH("character_id",[3]characters!$2:$2,0)+1,FALSE),"")</f>
        <v/>
      </c>
      <c r="AB177" s="5" t="str">
        <f ca="1">IFERROR(VLOOKUP($Y177,OFFSET([3]characters!$A$1,0,0,COUNTA([3]characters!$A:$A),MATCH(AB$1,[3]characters!$2:$2,0)-MATCH("character_id",[3]characters!$2:$2,0)+1),MATCH(AB$1,[3]characters!$2:$2,0)-MATCH("character_id",[3]characters!$2:$2,0)+1,FALSE),"")</f>
        <v/>
      </c>
      <c r="AC177" s="8">
        <v>1</v>
      </c>
      <c r="AD177" s="8" t="str">
        <f t="shared" ca="1" si="115"/>
        <v/>
      </c>
      <c r="AE177" s="9">
        <v>20</v>
      </c>
      <c r="AF177" s="38">
        <v>0</v>
      </c>
      <c r="AG177" s="38">
        <v>0</v>
      </c>
      <c r="AH177" s="38">
        <v>0</v>
      </c>
      <c r="AI177" s="38">
        <v>0</v>
      </c>
      <c r="AJ177" s="38">
        <v>1</v>
      </c>
    </row>
    <row r="178" spans="1:36" ht="21" customHeight="1" x14ac:dyDescent="0.15">
      <c r="A178" s="21" t="e">
        <f t="shared" ref="A178:A233" ca="1" si="118">B178&amp;"_"&amp;C178&amp;"-"&amp;G178&amp;"/"&amp;I178&amp;"&lt;lv"&amp;O178&amp;"&gt;s"&amp;X178</f>
        <v>#N/A</v>
      </c>
      <c r="B178" s="33">
        <v>6</v>
      </c>
      <c r="C178" s="32">
        <v>2</v>
      </c>
      <c r="D178" s="2" t="str">
        <f t="shared" si="116"/>
        <v>6_2</v>
      </c>
      <c r="E178" s="5" t="str">
        <f ca="1">VLOOKUP($B178,OFFSET([1]quests!$A$1,0,0,COUNTA([1]quests!$A:$A),MATCH(E$1,[1]quests!$1:$1,0)-MATCH($B$1,[1]quests!$1:$1,0)+1),MATCH(E$1,[1]quests!$1:$1,0)-MATCH($B$1,[1]quests!$1:$1,0)+1,FALSE)</f>
        <v>6．ドリームパーク</v>
      </c>
      <c r="F178" s="5" t="str">
        <f ca="1">VLOOKUP($D178,OFFSET([1]stages!$A$1,0,0,COUNTA([1]stages!$A:$A),MATCH(F$1,[1]stages!$2:$2,0)-MATCH($D$1,[1]stages!$2:$2,0)+1),MATCH(F$1,[1]stages!$2:$2,0)-MATCH($D$1,[1]stages!$2:$2,0)+1,FALSE)</f>
        <v>6-2. 夢の国の洗礼</v>
      </c>
      <c r="G178" s="32">
        <v>2</v>
      </c>
      <c r="H178" s="20" t="str">
        <f t="shared" si="117"/>
        <v>6_2-2</v>
      </c>
      <c r="I178" s="31">
        <v>105</v>
      </c>
      <c r="J178" s="26" t="e">
        <f ca="1">VLOOKUP($I178,OFFSET([2]enemies!$A$1,0,0,COUNTA([2]enemies!$A:$A),MATCH(J$1,[2]enemies!$2:$2,0)-MATCH($I$1,[2]enemies!$2:$2,0)+1),MATCH(J$1,[2]enemies!$2:$2,0)-MATCH($I$1,[2]enemies!$2:$2,0)+1,FALSE)</f>
        <v>#N/A</v>
      </c>
      <c r="K178" s="29" t="e">
        <f ca="1">VLOOKUP($I178,OFFSET([2]enemies!$A$1,0,0,COUNTA([2]enemies!$A:$A),MATCH(K$1,[2]enemies!$2:$2,0)-MATCH($I$1,[2]enemies!$2:$2,0)+1),MATCH(K$1,[2]enemies!$2:$2,0)-MATCH($I$1,[2]enemies!$2:$2,0)+1,FALSE)</f>
        <v>#N/A</v>
      </c>
      <c r="L178" s="29" t="e">
        <f ca="1">VLOOKUP($I178,OFFSET([3]characters!$A$1,0,0,COUNTA([3]characters!$A:$A),MATCH(L$1,[3]characters!$2:$2,0)-MATCH($I$1,[3]characters!$2:$2,0)+1),MATCH(L$1,[3]characters!$2:$2,0)-MATCH($I$1,[3]characters!$2:$2,0)+1,FALSE)</f>
        <v>#N/A</v>
      </c>
      <c r="M178" s="28" t="e">
        <f ca="1">VLOOKUP($I178,OFFSET([3]characters!$A$1,0,0,COUNTA([3]characters!$A:$A),MATCH(M$1,[3]characters!$2:$2,0)-MATCH($I$1,[3]characters!$2:$2,0)+2),MATCH(M$1,[3]characters!$2:$2,0)-MATCH($I$1,[3]characters!$2:$2,0)+2,FALSE)</f>
        <v>#N/A</v>
      </c>
      <c r="N178" s="5" t="e">
        <f ca="1">VLOOKUP($I178,OFFSET([2]enemies!$A$1,0,0,COUNTA([2]enemies!$A:$A),MATCH(N$1,[2]enemies!$2:$2,0)-MATCH($I$1,[2]enemies!$2:$2,0)+1),MATCH(N$1,[2]enemies!$2:$2,0)-MATCH($I$1,[2]enemies!$2:$2,0)+1,FALSE)</f>
        <v>#N/A</v>
      </c>
      <c r="O178" s="6">
        <v>8</v>
      </c>
      <c r="P178" s="43">
        <v>1</v>
      </c>
      <c r="Q178" s="43">
        <v>1</v>
      </c>
      <c r="R178" s="6">
        <v>0</v>
      </c>
      <c r="S178" s="5" t="str">
        <f ca="1">VLOOKUP($T178,OFFSET([4]enemy_skill_sets!$B$1,0,0,COUNTA([4]enemy_skill_sets!$B:$B),MATCH(J$1,[4]enemy_skill_sets!$1:$1,0)-MATCH($T$1,[4]enemy_skill_sets!$1:$1,0)+2),MATCH(J$1,[4]enemy_skill_sets!$1:$1,0)-MATCH($T$1,[4]enemy_skill_sets!$1:$1,0)+2,FALSE)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8" s="5">
        <v>0</v>
      </c>
      <c r="U178" s="7">
        <v>0</v>
      </c>
      <c r="V178" s="7">
        <v>50</v>
      </c>
      <c r="W178" s="7">
        <v>0</v>
      </c>
      <c r="X178" s="26" t="e">
        <f ca="1">VLOOKUP($I178,OFFSET([2]enemies!$A$1,0,0,COUNTA([2]enemies!$A:$A),MATCH(X$1,[2]enemies!$2:$2,0)-MATCH($I$1,[2]enemies!$2:$2,0)+1),MATCH(X$1,[2]enemies!$2:$2,0)-MATCH($I$1,[2]enemies!$2:$2,0)+1,FALSE)</f>
        <v>#N/A</v>
      </c>
      <c r="Y178" s="31">
        <v>105</v>
      </c>
      <c r="Z178" s="5" t="str">
        <f ca="1">IFERROR(VLOOKUP($Y178,OFFSET([3]characters!$A$1,0,0,COUNTA([3]characters!$A:$A),MATCH(Z$1,[3]characters!$2:$2,0)-MATCH("character_id",[3]characters!$2:$2,0)+1),MATCH(Z$1,[3]characters!$2:$2,0)-MATCH("character_id",[3]characters!$2:$2,0)+1,FALSE),"")</f>
        <v/>
      </c>
      <c r="AA178" s="5" t="str">
        <f ca="1">IFERROR(VLOOKUP($Y178,OFFSET([3]characters!$A$1,0,0,COUNTA([3]characters!$A:$A),MATCH(AA$1,[3]characters!$2:$2,0)-MATCH("character_id",[3]characters!$2:$2,0)+1),MATCH(AA$1,[3]characters!$2:$2,0)-MATCH("character_id",[3]characters!$2:$2,0)+1,FALSE),"")</f>
        <v/>
      </c>
      <c r="AB178" s="5" t="str">
        <f ca="1">IFERROR(VLOOKUP($Y178,OFFSET([3]characters!$A$1,0,0,COUNTA([3]characters!$A:$A),MATCH(AB$1,[3]characters!$2:$2,0)-MATCH("character_id",[3]characters!$2:$2,0)+1),MATCH(AB$1,[3]characters!$2:$2,0)-MATCH("character_id",[3]characters!$2:$2,0)+1,FALSE),"")</f>
        <v/>
      </c>
      <c r="AC178" s="8">
        <v>1</v>
      </c>
      <c r="AD178" s="8" t="str">
        <f t="shared" ca="1" si="115"/>
        <v/>
      </c>
      <c r="AE178" s="9">
        <v>20</v>
      </c>
      <c r="AF178" s="38">
        <v>0</v>
      </c>
      <c r="AG178" s="38">
        <v>0</v>
      </c>
      <c r="AH178" s="38">
        <v>0</v>
      </c>
      <c r="AI178" s="38">
        <v>0</v>
      </c>
      <c r="AJ178" s="38">
        <v>1</v>
      </c>
    </row>
    <row r="179" spans="1:36" ht="21" customHeight="1" x14ac:dyDescent="0.15">
      <c r="A179" s="21" t="e">
        <f t="shared" ca="1" si="118"/>
        <v>#N/A</v>
      </c>
      <c r="B179" s="33">
        <v>6</v>
      </c>
      <c r="C179" s="32">
        <v>2</v>
      </c>
      <c r="D179" s="2" t="str">
        <f t="shared" si="116"/>
        <v>6_2</v>
      </c>
      <c r="E179" s="5" t="str">
        <f ca="1">VLOOKUP($B179,OFFSET([1]quests!$A$1,0,0,COUNTA([1]quests!$A:$A),MATCH(E$1,[1]quests!$1:$1,0)-MATCH($B$1,[1]quests!$1:$1,0)+1),MATCH(E$1,[1]quests!$1:$1,0)-MATCH($B$1,[1]quests!$1:$1,0)+1,FALSE)</f>
        <v>6．ドリームパーク</v>
      </c>
      <c r="F179" s="5" t="str">
        <f ca="1">VLOOKUP($D179,OFFSET([1]stages!$A$1,0,0,COUNTA([1]stages!$A:$A),MATCH(F$1,[1]stages!$2:$2,0)-MATCH($D$1,[1]stages!$2:$2,0)+1),MATCH(F$1,[1]stages!$2:$2,0)-MATCH($D$1,[1]stages!$2:$2,0)+1,FALSE)</f>
        <v>6-2. 夢の国の洗礼</v>
      </c>
      <c r="G179" s="32">
        <v>3</v>
      </c>
      <c r="H179" s="20" t="str">
        <f t="shared" si="117"/>
        <v>6_2-3</v>
      </c>
      <c r="I179" s="31">
        <v>15</v>
      </c>
      <c r="J179" s="26" t="e">
        <f ca="1">VLOOKUP($I179,OFFSET([2]enemies!$A$1,0,0,COUNTA([2]enemies!$A:$A),MATCH(J$1,[2]enemies!$2:$2,0)-MATCH($I$1,[2]enemies!$2:$2,0)+1),MATCH(J$1,[2]enemies!$2:$2,0)-MATCH($I$1,[2]enemies!$2:$2,0)+1,FALSE)</f>
        <v>#N/A</v>
      </c>
      <c r="K179" s="29" t="e">
        <f ca="1">VLOOKUP($I179,OFFSET([2]enemies!$A$1,0,0,COUNTA([2]enemies!$A:$A),MATCH(K$1,[2]enemies!$2:$2,0)-MATCH($I$1,[2]enemies!$2:$2,0)+1),MATCH(K$1,[2]enemies!$2:$2,0)-MATCH($I$1,[2]enemies!$2:$2,0)+1,FALSE)</f>
        <v>#N/A</v>
      </c>
      <c r="L179" s="29" t="e">
        <f ca="1">VLOOKUP($I179,OFFSET([3]characters!$A$1,0,0,COUNTA([3]characters!$A:$A),MATCH(L$1,[3]characters!$2:$2,0)-MATCH($I$1,[3]characters!$2:$2,0)+1),MATCH(L$1,[3]characters!$2:$2,0)-MATCH($I$1,[3]characters!$2:$2,0)+1,FALSE)</f>
        <v>#N/A</v>
      </c>
      <c r="M179" s="28" t="e">
        <f ca="1">VLOOKUP($I179,OFFSET([3]characters!$A$1,0,0,COUNTA([3]characters!$A:$A),MATCH(M$1,[3]characters!$2:$2,0)-MATCH($I$1,[3]characters!$2:$2,0)+2),MATCH(M$1,[3]characters!$2:$2,0)-MATCH($I$1,[3]characters!$2:$2,0)+2,FALSE)</f>
        <v>#N/A</v>
      </c>
      <c r="N179" s="5" t="e">
        <f ca="1">VLOOKUP($I179,OFFSET([2]enemies!$A$1,0,0,COUNTA([2]enemies!$A:$A),MATCH(N$1,[2]enemies!$2:$2,0)-MATCH($I$1,[2]enemies!$2:$2,0)+1),MATCH(N$1,[2]enemies!$2:$2,0)-MATCH($I$1,[2]enemies!$2:$2,0)+1,FALSE)</f>
        <v>#N/A</v>
      </c>
      <c r="O179" s="6">
        <v>8</v>
      </c>
      <c r="P179" s="43">
        <v>1</v>
      </c>
      <c r="Q179" s="43">
        <v>1</v>
      </c>
      <c r="R179" s="6">
        <v>0</v>
      </c>
      <c r="S179" s="5" t="str">
        <f ca="1">VLOOKUP($T179,OFFSET([4]enemy_skill_sets!$B$1,0,0,COUNTA([4]enemy_skill_sets!$B:$B),MATCH(J$1,[4]enemy_skill_sets!$1:$1,0)-MATCH($T$1,[4]enemy_skill_sets!$1:$1,0)+2),MATCH(J$1,[4]enemy_skill_sets!$1:$1,0)-MATCH($T$1,[4]enemy_skill_sets!$1:$1,0)+2,FALSE)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9" s="5">
        <v>0</v>
      </c>
      <c r="U179" s="7">
        <v>0</v>
      </c>
      <c r="V179" s="7">
        <v>100</v>
      </c>
      <c r="W179" s="7">
        <v>0</v>
      </c>
      <c r="X179" s="26" t="e">
        <f ca="1">VLOOKUP($I179,OFFSET([2]enemies!$A$1,0,0,COUNTA([2]enemies!$A:$A),MATCH(X$1,[2]enemies!$2:$2,0)-MATCH($I$1,[2]enemies!$2:$2,0)+1),MATCH(X$1,[2]enemies!$2:$2,0)-MATCH($I$1,[2]enemies!$2:$2,0)+1,FALSE)</f>
        <v>#N/A</v>
      </c>
      <c r="Y179" s="31">
        <v>15</v>
      </c>
      <c r="Z179" s="5" t="str">
        <f ca="1">IFERROR(VLOOKUP($Y179,OFFSET([3]characters!$A$1,0,0,COUNTA([3]characters!$A:$A),MATCH(Z$1,[3]characters!$2:$2,0)-MATCH("character_id",[3]characters!$2:$2,0)+1),MATCH(Z$1,[3]characters!$2:$2,0)-MATCH("character_id",[3]characters!$2:$2,0)+1,FALSE),"")</f>
        <v/>
      </c>
      <c r="AA179" s="5" t="str">
        <f ca="1">IFERROR(VLOOKUP($Y179,OFFSET([3]characters!$A$1,0,0,COUNTA([3]characters!$A:$A),MATCH(AA$1,[3]characters!$2:$2,0)-MATCH("character_id",[3]characters!$2:$2,0)+1),MATCH(AA$1,[3]characters!$2:$2,0)-MATCH("character_id",[3]characters!$2:$2,0)+1,FALSE),"")</f>
        <v/>
      </c>
      <c r="AB179" s="5" t="str">
        <f ca="1">IFERROR(VLOOKUP($Y179,OFFSET([3]characters!$A$1,0,0,COUNTA([3]characters!$A:$A),MATCH(AB$1,[3]characters!$2:$2,0)-MATCH("character_id",[3]characters!$2:$2,0)+1),MATCH(AB$1,[3]characters!$2:$2,0)-MATCH("character_id",[3]characters!$2:$2,0)+1,FALSE),"")</f>
        <v/>
      </c>
      <c r="AC179" s="8">
        <v>2</v>
      </c>
      <c r="AD179" s="8" t="str">
        <f t="shared" ca="1" si="115"/>
        <v/>
      </c>
      <c r="AE179" s="9">
        <v>30</v>
      </c>
      <c r="AF179" s="38">
        <v>0</v>
      </c>
      <c r="AG179" s="38">
        <v>0</v>
      </c>
      <c r="AH179" s="38">
        <v>0</v>
      </c>
      <c r="AI179" s="38">
        <v>0</v>
      </c>
      <c r="AJ179" s="38">
        <v>1</v>
      </c>
    </row>
    <row r="180" spans="1:36" ht="21" customHeight="1" x14ac:dyDescent="0.15">
      <c r="A180" s="21" t="e">
        <f t="shared" ca="1" si="118"/>
        <v>#N/A</v>
      </c>
      <c r="B180" s="33">
        <v>6</v>
      </c>
      <c r="C180" s="32">
        <v>2</v>
      </c>
      <c r="D180" s="2" t="str">
        <f t="shared" si="116"/>
        <v>6_2</v>
      </c>
      <c r="E180" s="5" t="str">
        <f ca="1">VLOOKUP($B180,OFFSET([1]quests!$A$1,0,0,COUNTA([1]quests!$A:$A),MATCH(E$1,[1]quests!$1:$1,0)-MATCH($B$1,[1]quests!$1:$1,0)+1),MATCH(E$1,[1]quests!$1:$1,0)-MATCH($B$1,[1]quests!$1:$1,0)+1,FALSE)</f>
        <v>6．ドリームパーク</v>
      </c>
      <c r="F180" s="5" t="str">
        <f ca="1">VLOOKUP($D180,OFFSET([1]stages!$A$1,0,0,COUNTA([1]stages!$A:$A),MATCH(F$1,[1]stages!$2:$2,0)-MATCH($D$1,[1]stages!$2:$2,0)+1),MATCH(F$1,[1]stages!$2:$2,0)-MATCH($D$1,[1]stages!$2:$2,0)+1,FALSE)</f>
        <v>6-2. 夢の国の洗礼</v>
      </c>
      <c r="G180" s="32">
        <v>3</v>
      </c>
      <c r="H180" s="20" t="str">
        <f t="shared" si="117"/>
        <v>6_2-3</v>
      </c>
      <c r="I180" s="31">
        <v>17</v>
      </c>
      <c r="J180" s="26" t="e">
        <f ca="1">VLOOKUP($I180,OFFSET([2]enemies!$A$1,0,0,COUNTA([2]enemies!$A:$A),MATCH(J$1,[2]enemies!$2:$2,0)-MATCH($I$1,[2]enemies!$2:$2,0)+1),MATCH(J$1,[2]enemies!$2:$2,0)-MATCH($I$1,[2]enemies!$2:$2,0)+1,FALSE)</f>
        <v>#N/A</v>
      </c>
      <c r="K180" s="29" t="e">
        <f ca="1">VLOOKUP($I180,OFFSET([2]enemies!$A$1,0,0,COUNTA([2]enemies!$A:$A),MATCH(K$1,[2]enemies!$2:$2,0)-MATCH($I$1,[2]enemies!$2:$2,0)+1),MATCH(K$1,[2]enemies!$2:$2,0)-MATCH($I$1,[2]enemies!$2:$2,0)+1,FALSE)</f>
        <v>#N/A</v>
      </c>
      <c r="L180" s="29" t="e">
        <f ca="1">VLOOKUP($I180,OFFSET([3]characters!$A$1,0,0,COUNTA([3]characters!$A:$A),MATCH(L$1,[3]characters!$2:$2,0)-MATCH($I$1,[3]characters!$2:$2,0)+1),MATCH(L$1,[3]characters!$2:$2,0)-MATCH($I$1,[3]characters!$2:$2,0)+1,FALSE)</f>
        <v>#N/A</v>
      </c>
      <c r="M180" s="28" t="e">
        <f ca="1">VLOOKUP($I180,OFFSET([3]characters!$A$1,0,0,COUNTA([3]characters!$A:$A),MATCH(M$1,[3]characters!$2:$2,0)-MATCH($I$1,[3]characters!$2:$2,0)+2),MATCH(M$1,[3]characters!$2:$2,0)-MATCH($I$1,[3]characters!$2:$2,0)+2,FALSE)</f>
        <v>#N/A</v>
      </c>
      <c r="N180" s="5" t="e">
        <f ca="1">VLOOKUP($I180,OFFSET([2]enemies!$A$1,0,0,COUNTA([2]enemies!$A:$A),MATCH(N$1,[2]enemies!$2:$2,0)-MATCH($I$1,[2]enemies!$2:$2,0)+1),MATCH(N$1,[2]enemies!$2:$2,0)-MATCH($I$1,[2]enemies!$2:$2,0)+1,FALSE)</f>
        <v>#N/A</v>
      </c>
      <c r="O180" s="6">
        <v>8</v>
      </c>
      <c r="P180" s="43">
        <v>1</v>
      </c>
      <c r="Q180" s="43">
        <v>1</v>
      </c>
      <c r="R180" s="6">
        <v>0</v>
      </c>
      <c r="S180" s="5" t="str">
        <f ca="1">VLOOKUP($T180,OFFSET([4]enemy_skill_sets!$B$1,0,0,COUNTA([4]enemy_skill_sets!$B:$B),MATCH(J$1,[4]enemy_skill_sets!$1:$1,0)-MATCH($T$1,[4]enemy_skill_sets!$1:$1,0)+2),MATCH(J$1,[4]enemy_skill_sets!$1:$1,0)-MATCH($T$1,[4]enemy_skill_sets!$1:$1,0)+2,FALSE)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0" s="5">
        <v>0</v>
      </c>
      <c r="U180" s="7">
        <v>0</v>
      </c>
      <c r="V180" s="7">
        <v>100</v>
      </c>
      <c r="W180" s="7">
        <v>0</v>
      </c>
      <c r="X180" s="26" t="e">
        <f ca="1">VLOOKUP($I180,OFFSET([2]enemies!$A$1,0,0,COUNTA([2]enemies!$A:$A),MATCH(X$1,[2]enemies!$2:$2,0)-MATCH($I$1,[2]enemies!$2:$2,0)+1),MATCH(X$1,[2]enemies!$2:$2,0)-MATCH($I$1,[2]enemies!$2:$2,0)+1,FALSE)</f>
        <v>#N/A</v>
      </c>
      <c r="Y180" s="31">
        <v>17</v>
      </c>
      <c r="Z180" s="5" t="str">
        <f ca="1">IFERROR(VLOOKUP($Y180,OFFSET([3]characters!$A$1,0,0,COUNTA([3]characters!$A:$A),MATCH(Z$1,[3]characters!$2:$2,0)-MATCH("character_id",[3]characters!$2:$2,0)+1),MATCH(Z$1,[3]characters!$2:$2,0)-MATCH("character_id",[3]characters!$2:$2,0)+1,FALSE),"")</f>
        <v/>
      </c>
      <c r="AA180" s="5" t="str">
        <f ca="1">IFERROR(VLOOKUP($Y180,OFFSET([3]characters!$A$1,0,0,COUNTA([3]characters!$A:$A),MATCH(AA$1,[3]characters!$2:$2,0)-MATCH("character_id",[3]characters!$2:$2,0)+1),MATCH(AA$1,[3]characters!$2:$2,0)-MATCH("character_id",[3]characters!$2:$2,0)+1,FALSE),"")</f>
        <v/>
      </c>
      <c r="AB180" s="5" t="str">
        <f ca="1">IFERROR(VLOOKUP($Y180,OFFSET([3]characters!$A$1,0,0,COUNTA([3]characters!$A:$A),MATCH(AB$1,[3]characters!$2:$2,0)-MATCH("character_id",[3]characters!$2:$2,0)+1),MATCH(AB$1,[3]characters!$2:$2,0)-MATCH("character_id",[3]characters!$2:$2,0)+1,FALSE),"")</f>
        <v/>
      </c>
      <c r="AC180" s="8">
        <v>2</v>
      </c>
      <c r="AD180" s="8" t="str">
        <f t="shared" ca="1" si="115"/>
        <v/>
      </c>
      <c r="AE180" s="9">
        <v>30</v>
      </c>
      <c r="AF180" s="38">
        <v>0</v>
      </c>
      <c r="AG180" s="38">
        <v>0</v>
      </c>
      <c r="AH180" s="38">
        <v>0</v>
      </c>
      <c r="AI180" s="38">
        <v>0</v>
      </c>
      <c r="AJ180" s="38">
        <v>1</v>
      </c>
    </row>
    <row r="181" spans="1:36" ht="21" customHeight="1" x14ac:dyDescent="0.15">
      <c r="A181" s="21" t="e">
        <f t="shared" ca="1" si="118"/>
        <v>#N/A</v>
      </c>
      <c r="B181" s="33">
        <v>6</v>
      </c>
      <c r="C181" s="32">
        <v>2</v>
      </c>
      <c r="D181" s="2" t="str">
        <f t="shared" si="116"/>
        <v>6_2</v>
      </c>
      <c r="E181" s="5" t="str">
        <f ca="1">VLOOKUP($B181,OFFSET([1]quests!$A$1,0,0,COUNTA([1]quests!$A:$A),MATCH(E$1,[1]quests!$1:$1,0)-MATCH($B$1,[1]quests!$1:$1,0)+1),MATCH(E$1,[1]quests!$1:$1,0)-MATCH($B$1,[1]quests!$1:$1,0)+1,FALSE)</f>
        <v>6．ドリームパーク</v>
      </c>
      <c r="F181" s="5" t="str">
        <f ca="1">VLOOKUP($D181,OFFSET([1]stages!$A$1,0,0,COUNTA([1]stages!$A:$A),MATCH(F$1,[1]stages!$2:$2,0)-MATCH($D$1,[1]stages!$2:$2,0)+1),MATCH(F$1,[1]stages!$2:$2,0)-MATCH($D$1,[1]stages!$2:$2,0)+1,FALSE)</f>
        <v>6-2. 夢の国の洗礼</v>
      </c>
      <c r="G181" s="32">
        <v>3</v>
      </c>
      <c r="H181" s="20" t="str">
        <f t="shared" si="117"/>
        <v>6_2-3</v>
      </c>
      <c r="I181" s="31">
        <v>19</v>
      </c>
      <c r="J181" s="26" t="e">
        <f ca="1">VLOOKUP($I181,OFFSET([2]enemies!$A$1,0,0,COUNTA([2]enemies!$A:$A),MATCH(J$1,[2]enemies!$2:$2,0)-MATCH($I$1,[2]enemies!$2:$2,0)+1),MATCH(J$1,[2]enemies!$2:$2,0)-MATCH($I$1,[2]enemies!$2:$2,0)+1,FALSE)</f>
        <v>#N/A</v>
      </c>
      <c r="K181" s="29" t="e">
        <f ca="1">VLOOKUP($I181,OFFSET([2]enemies!$A$1,0,0,COUNTA([2]enemies!$A:$A),MATCH(K$1,[2]enemies!$2:$2,0)-MATCH($I$1,[2]enemies!$2:$2,0)+1),MATCH(K$1,[2]enemies!$2:$2,0)-MATCH($I$1,[2]enemies!$2:$2,0)+1,FALSE)</f>
        <v>#N/A</v>
      </c>
      <c r="L181" s="29" t="e">
        <f ca="1">VLOOKUP($I181,OFFSET([3]characters!$A$1,0,0,COUNTA([3]characters!$A:$A),MATCH(L$1,[3]characters!$2:$2,0)-MATCH($I$1,[3]characters!$2:$2,0)+1),MATCH(L$1,[3]characters!$2:$2,0)-MATCH($I$1,[3]characters!$2:$2,0)+1,FALSE)</f>
        <v>#N/A</v>
      </c>
      <c r="M181" s="28" t="e">
        <f ca="1">VLOOKUP($I181,OFFSET([3]characters!$A$1,0,0,COUNTA([3]characters!$A:$A),MATCH(M$1,[3]characters!$2:$2,0)-MATCH($I$1,[3]characters!$2:$2,0)+2),MATCH(M$1,[3]characters!$2:$2,0)-MATCH($I$1,[3]characters!$2:$2,0)+2,FALSE)</f>
        <v>#N/A</v>
      </c>
      <c r="N181" s="5" t="e">
        <f ca="1">VLOOKUP($I181,OFFSET([2]enemies!$A$1,0,0,COUNTA([2]enemies!$A:$A),MATCH(N$1,[2]enemies!$2:$2,0)-MATCH($I$1,[2]enemies!$2:$2,0)+1),MATCH(N$1,[2]enemies!$2:$2,0)-MATCH($I$1,[2]enemies!$2:$2,0)+1,FALSE)</f>
        <v>#N/A</v>
      </c>
      <c r="O181" s="6">
        <v>8</v>
      </c>
      <c r="P181" s="43">
        <v>1</v>
      </c>
      <c r="Q181" s="43">
        <v>1</v>
      </c>
      <c r="R181" s="6">
        <v>0</v>
      </c>
      <c r="S181" s="5" t="str">
        <f ca="1">VLOOKUP($T181,OFFSET([4]enemy_skill_sets!$B$1,0,0,COUNTA([4]enemy_skill_sets!$B:$B),MATCH(J$1,[4]enemy_skill_sets!$1:$1,0)-MATCH($T$1,[4]enemy_skill_sets!$1:$1,0)+2),MATCH(J$1,[4]enemy_skill_sets!$1:$1,0)-MATCH($T$1,[4]enemy_skill_sets!$1:$1,0)+2,FALSE)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1" s="5">
        <v>0</v>
      </c>
      <c r="U181" s="7">
        <v>0</v>
      </c>
      <c r="V181" s="7">
        <v>100</v>
      </c>
      <c r="W181" s="7">
        <v>0</v>
      </c>
      <c r="X181" s="26" t="e">
        <f ca="1">VLOOKUP($I181,OFFSET([2]enemies!$A$1,0,0,COUNTA([2]enemies!$A:$A),MATCH(X$1,[2]enemies!$2:$2,0)-MATCH($I$1,[2]enemies!$2:$2,0)+1),MATCH(X$1,[2]enemies!$2:$2,0)-MATCH($I$1,[2]enemies!$2:$2,0)+1,FALSE)</f>
        <v>#N/A</v>
      </c>
      <c r="Y181" s="31">
        <v>19</v>
      </c>
      <c r="Z181" s="5" t="str">
        <f ca="1">IFERROR(VLOOKUP($Y181,OFFSET([3]characters!$A$1,0,0,COUNTA([3]characters!$A:$A),MATCH(Z$1,[3]characters!$2:$2,0)-MATCH("character_id",[3]characters!$2:$2,0)+1),MATCH(Z$1,[3]characters!$2:$2,0)-MATCH("character_id",[3]characters!$2:$2,0)+1,FALSE),"")</f>
        <v/>
      </c>
      <c r="AA181" s="5" t="str">
        <f ca="1">IFERROR(VLOOKUP($Y181,OFFSET([3]characters!$A$1,0,0,COUNTA([3]characters!$A:$A),MATCH(AA$1,[3]characters!$2:$2,0)-MATCH("character_id",[3]characters!$2:$2,0)+1),MATCH(AA$1,[3]characters!$2:$2,0)-MATCH("character_id",[3]characters!$2:$2,0)+1,FALSE),"")</f>
        <v/>
      </c>
      <c r="AB181" s="5" t="str">
        <f ca="1">IFERROR(VLOOKUP($Y181,OFFSET([3]characters!$A$1,0,0,COUNTA([3]characters!$A:$A),MATCH(AB$1,[3]characters!$2:$2,0)-MATCH("character_id",[3]characters!$2:$2,0)+1),MATCH(AB$1,[3]characters!$2:$2,0)-MATCH("character_id",[3]characters!$2:$2,0)+1,FALSE),"")</f>
        <v/>
      </c>
      <c r="AC181" s="8">
        <v>2</v>
      </c>
      <c r="AD181" s="8" t="str">
        <f t="shared" ca="1" si="115"/>
        <v/>
      </c>
      <c r="AE181" s="9">
        <v>30</v>
      </c>
      <c r="AF181" s="38">
        <v>0</v>
      </c>
      <c r="AG181" s="38">
        <v>0</v>
      </c>
      <c r="AH181" s="38">
        <v>0</v>
      </c>
      <c r="AI181" s="38">
        <v>0</v>
      </c>
      <c r="AJ181" s="38">
        <v>1</v>
      </c>
    </row>
    <row r="182" spans="1:36" ht="21" customHeight="1" x14ac:dyDescent="0.15">
      <c r="A182" s="21" t="e">
        <f t="shared" ca="1" si="118"/>
        <v>#N/A</v>
      </c>
      <c r="B182" s="33">
        <v>6</v>
      </c>
      <c r="C182" s="32">
        <v>2</v>
      </c>
      <c r="D182" s="2" t="str">
        <f t="shared" si="116"/>
        <v>6_2</v>
      </c>
      <c r="E182" s="5" t="str">
        <f ca="1">VLOOKUP($B182,OFFSET([1]quests!$A$1,0,0,COUNTA([1]quests!$A:$A),MATCH(E$1,[1]quests!$1:$1,0)-MATCH($B$1,[1]quests!$1:$1,0)+1),MATCH(E$1,[1]quests!$1:$1,0)-MATCH($B$1,[1]quests!$1:$1,0)+1,FALSE)</f>
        <v>6．ドリームパーク</v>
      </c>
      <c r="F182" s="5" t="str">
        <f ca="1">VLOOKUP($D182,OFFSET([1]stages!$A$1,0,0,COUNTA([1]stages!$A:$A),MATCH(F$1,[1]stages!$2:$2,0)-MATCH($D$1,[1]stages!$2:$2,0)+1),MATCH(F$1,[1]stages!$2:$2,0)-MATCH($D$1,[1]stages!$2:$2,0)+1,FALSE)</f>
        <v>6-2. 夢の国の洗礼</v>
      </c>
      <c r="G182" s="32">
        <v>3</v>
      </c>
      <c r="H182" s="20" t="str">
        <f t="shared" si="117"/>
        <v>6_2-3</v>
      </c>
      <c r="I182" s="31">
        <v>23</v>
      </c>
      <c r="J182" s="26" t="e">
        <f ca="1">VLOOKUP($I182,OFFSET([2]enemies!$A$1,0,0,COUNTA([2]enemies!$A:$A),MATCH(J$1,[2]enemies!$2:$2,0)-MATCH($I$1,[2]enemies!$2:$2,0)+1),MATCH(J$1,[2]enemies!$2:$2,0)-MATCH($I$1,[2]enemies!$2:$2,0)+1,FALSE)</f>
        <v>#N/A</v>
      </c>
      <c r="K182" s="29" t="e">
        <f ca="1">VLOOKUP($I182,OFFSET([2]enemies!$A$1,0,0,COUNTA([2]enemies!$A:$A),MATCH(K$1,[2]enemies!$2:$2,0)-MATCH($I$1,[2]enemies!$2:$2,0)+1),MATCH(K$1,[2]enemies!$2:$2,0)-MATCH($I$1,[2]enemies!$2:$2,0)+1,FALSE)</f>
        <v>#N/A</v>
      </c>
      <c r="L182" s="29" t="e">
        <f ca="1">VLOOKUP($I182,OFFSET([3]characters!$A$1,0,0,COUNTA([3]characters!$A:$A),MATCH(L$1,[3]characters!$2:$2,0)-MATCH($I$1,[3]characters!$2:$2,0)+1),MATCH(L$1,[3]characters!$2:$2,0)-MATCH($I$1,[3]characters!$2:$2,0)+1,FALSE)</f>
        <v>#N/A</v>
      </c>
      <c r="M182" s="28" t="e">
        <f ca="1">VLOOKUP($I182,OFFSET([3]characters!$A$1,0,0,COUNTA([3]characters!$A:$A),MATCH(M$1,[3]characters!$2:$2,0)-MATCH($I$1,[3]characters!$2:$2,0)+2),MATCH(M$1,[3]characters!$2:$2,0)-MATCH($I$1,[3]characters!$2:$2,0)+2,FALSE)</f>
        <v>#N/A</v>
      </c>
      <c r="N182" s="5" t="e">
        <f ca="1">VLOOKUP($I182,OFFSET([2]enemies!$A$1,0,0,COUNTA([2]enemies!$A:$A),MATCH(N$1,[2]enemies!$2:$2,0)-MATCH($I$1,[2]enemies!$2:$2,0)+1),MATCH(N$1,[2]enemies!$2:$2,0)-MATCH($I$1,[2]enemies!$2:$2,0)+1,FALSE)</f>
        <v>#N/A</v>
      </c>
      <c r="O182" s="6">
        <v>8</v>
      </c>
      <c r="P182" s="43">
        <v>1</v>
      </c>
      <c r="Q182" s="43">
        <v>1</v>
      </c>
      <c r="R182" s="6">
        <v>0</v>
      </c>
      <c r="S182" s="5" t="str">
        <f ca="1">VLOOKUP($T182,OFFSET([4]enemy_skill_sets!$B$1,0,0,COUNTA([4]enemy_skill_sets!$B:$B),MATCH(J$1,[4]enemy_skill_sets!$1:$1,0)-MATCH($T$1,[4]enemy_skill_sets!$1:$1,0)+2),MATCH(J$1,[4]enemy_skill_sets!$1:$1,0)-MATCH($T$1,[4]enemy_skill_sets!$1:$1,0)+2,FALSE)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2" s="5">
        <v>0</v>
      </c>
      <c r="U182" s="7">
        <v>0</v>
      </c>
      <c r="V182" s="7">
        <v>100</v>
      </c>
      <c r="W182" s="7">
        <v>0</v>
      </c>
      <c r="X182" s="26" t="e">
        <f ca="1">VLOOKUP($I182,OFFSET([2]enemies!$A$1,0,0,COUNTA([2]enemies!$A:$A),MATCH(X$1,[2]enemies!$2:$2,0)-MATCH($I$1,[2]enemies!$2:$2,0)+1),MATCH(X$1,[2]enemies!$2:$2,0)-MATCH($I$1,[2]enemies!$2:$2,0)+1,FALSE)</f>
        <v>#N/A</v>
      </c>
      <c r="Y182" s="31">
        <v>23</v>
      </c>
      <c r="Z182" s="5" t="str">
        <f ca="1">IFERROR(VLOOKUP($Y182,OFFSET([3]characters!$A$1,0,0,COUNTA([3]characters!$A:$A),MATCH(Z$1,[3]characters!$2:$2,0)-MATCH("character_id",[3]characters!$2:$2,0)+1),MATCH(Z$1,[3]characters!$2:$2,0)-MATCH("character_id",[3]characters!$2:$2,0)+1,FALSE),"")</f>
        <v/>
      </c>
      <c r="AA182" s="5" t="str">
        <f ca="1">IFERROR(VLOOKUP($Y182,OFFSET([3]characters!$A$1,0,0,COUNTA([3]characters!$A:$A),MATCH(AA$1,[3]characters!$2:$2,0)-MATCH("character_id",[3]characters!$2:$2,0)+1),MATCH(AA$1,[3]characters!$2:$2,0)-MATCH("character_id",[3]characters!$2:$2,0)+1,FALSE),"")</f>
        <v/>
      </c>
      <c r="AB182" s="5" t="str">
        <f ca="1">IFERROR(VLOOKUP($Y182,OFFSET([3]characters!$A$1,0,0,COUNTA([3]characters!$A:$A),MATCH(AB$1,[3]characters!$2:$2,0)-MATCH("character_id",[3]characters!$2:$2,0)+1),MATCH(AB$1,[3]characters!$2:$2,0)-MATCH("character_id",[3]characters!$2:$2,0)+1,FALSE),"")</f>
        <v/>
      </c>
      <c r="AC182" s="8">
        <v>1</v>
      </c>
      <c r="AD182" s="8" t="str">
        <f t="shared" ca="1" si="115"/>
        <v/>
      </c>
      <c r="AE182" s="9">
        <v>30</v>
      </c>
      <c r="AF182" s="38">
        <v>0</v>
      </c>
      <c r="AG182" s="38">
        <v>0</v>
      </c>
      <c r="AH182" s="38">
        <v>0</v>
      </c>
      <c r="AI182" s="38">
        <v>0</v>
      </c>
      <c r="AJ182" s="38">
        <v>1</v>
      </c>
    </row>
    <row r="183" spans="1:36" ht="21" customHeight="1" x14ac:dyDescent="0.15">
      <c r="A183" s="21" t="e">
        <f t="shared" ca="1" si="118"/>
        <v>#N/A</v>
      </c>
      <c r="B183" s="33">
        <v>6</v>
      </c>
      <c r="C183" s="32">
        <v>2</v>
      </c>
      <c r="D183" s="2" t="str">
        <f t="shared" si="116"/>
        <v>6_2</v>
      </c>
      <c r="E183" s="5" t="str">
        <f ca="1">VLOOKUP($B183,OFFSET([1]quests!$A$1,0,0,COUNTA([1]quests!$A:$A),MATCH(E$1,[1]quests!$1:$1,0)-MATCH($B$1,[1]quests!$1:$1,0)+1),MATCH(E$1,[1]quests!$1:$1,0)-MATCH($B$1,[1]quests!$1:$1,0)+1,FALSE)</f>
        <v>6．ドリームパーク</v>
      </c>
      <c r="F183" s="5" t="str">
        <f ca="1">VLOOKUP($D183,OFFSET([1]stages!$A$1,0,0,COUNTA([1]stages!$A:$A),MATCH(F$1,[1]stages!$2:$2,0)-MATCH($D$1,[1]stages!$2:$2,0)+1),MATCH(F$1,[1]stages!$2:$2,0)-MATCH($D$1,[1]stages!$2:$2,0)+1,FALSE)</f>
        <v>6-2. 夢の国の洗礼</v>
      </c>
      <c r="G183" s="32">
        <v>3</v>
      </c>
      <c r="H183" s="20" t="str">
        <f t="shared" si="117"/>
        <v>6_2-3</v>
      </c>
      <c r="I183" s="31">
        <v>25</v>
      </c>
      <c r="J183" s="26" t="e">
        <f ca="1">VLOOKUP($I183,OFFSET([2]enemies!$A$1,0,0,COUNTA([2]enemies!$A:$A),MATCH(J$1,[2]enemies!$2:$2,0)-MATCH($I$1,[2]enemies!$2:$2,0)+1),MATCH(J$1,[2]enemies!$2:$2,0)-MATCH($I$1,[2]enemies!$2:$2,0)+1,FALSE)</f>
        <v>#N/A</v>
      </c>
      <c r="K183" s="29" t="e">
        <f ca="1">VLOOKUP($I183,OFFSET([2]enemies!$A$1,0,0,COUNTA([2]enemies!$A:$A),MATCH(K$1,[2]enemies!$2:$2,0)-MATCH($I$1,[2]enemies!$2:$2,0)+1),MATCH(K$1,[2]enemies!$2:$2,0)-MATCH($I$1,[2]enemies!$2:$2,0)+1,FALSE)</f>
        <v>#N/A</v>
      </c>
      <c r="L183" s="29" t="e">
        <f ca="1">VLOOKUP($I183,OFFSET([3]characters!$A$1,0,0,COUNTA([3]characters!$A:$A),MATCH(L$1,[3]characters!$2:$2,0)-MATCH($I$1,[3]characters!$2:$2,0)+1),MATCH(L$1,[3]characters!$2:$2,0)-MATCH($I$1,[3]characters!$2:$2,0)+1,FALSE)</f>
        <v>#N/A</v>
      </c>
      <c r="M183" s="28" t="e">
        <f ca="1">VLOOKUP($I183,OFFSET([3]characters!$A$1,0,0,COUNTA([3]characters!$A:$A),MATCH(M$1,[3]characters!$2:$2,0)-MATCH($I$1,[3]characters!$2:$2,0)+2),MATCH(M$1,[3]characters!$2:$2,0)-MATCH($I$1,[3]characters!$2:$2,0)+2,FALSE)</f>
        <v>#N/A</v>
      </c>
      <c r="N183" s="5" t="e">
        <f ca="1">VLOOKUP($I183,OFFSET([2]enemies!$A$1,0,0,COUNTA([2]enemies!$A:$A),MATCH(N$1,[2]enemies!$2:$2,0)-MATCH($I$1,[2]enemies!$2:$2,0)+1),MATCH(N$1,[2]enemies!$2:$2,0)-MATCH($I$1,[2]enemies!$2:$2,0)+1,FALSE)</f>
        <v>#N/A</v>
      </c>
      <c r="O183" s="6">
        <v>8</v>
      </c>
      <c r="P183" s="43">
        <v>1</v>
      </c>
      <c r="Q183" s="43">
        <v>1</v>
      </c>
      <c r="R183" s="6">
        <v>0</v>
      </c>
      <c r="S183" s="5" t="str">
        <f ca="1">VLOOKUP($T183,OFFSET([4]enemy_skill_sets!$B$1,0,0,COUNTA([4]enemy_skill_sets!$B:$B),MATCH(J$1,[4]enemy_skill_sets!$1:$1,0)-MATCH($T$1,[4]enemy_skill_sets!$1:$1,0)+2),MATCH(J$1,[4]enemy_skill_sets!$1:$1,0)-MATCH($T$1,[4]enemy_skill_sets!$1:$1,0)+2,FALSE)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3" s="5">
        <v>0</v>
      </c>
      <c r="U183" s="7">
        <v>0</v>
      </c>
      <c r="V183" s="7">
        <v>100</v>
      </c>
      <c r="W183" s="7">
        <v>0</v>
      </c>
      <c r="X183" s="26" t="e">
        <f ca="1">VLOOKUP($I183,OFFSET([2]enemies!$A$1,0,0,COUNTA([2]enemies!$A:$A),MATCH(X$1,[2]enemies!$2:$2,0)-MATCH($I$1,[2]enemies!$2:$2,0)+1),MATCH(X$1,[2]enemies!$2:$2,0)-MATCH($I$1,[2]enemies!$2:$2,0)+1,FALSE)</f>
        <v>#N/A</v>
      </c>
      <c r="Y183" s="31">
        <v>25</v>
      </c>
      <c r="Z183" s="5" t="str">
        <f ca="1">IFERROR(VLOOKUP($Y183,OFFSET([3]characters!$A$1,0,0,COUNTA([3]characters!$A:$A),MATCH(Z$1,[3]characters!$2:$2,0)-MATCH("character_id",[3]characters!$2:$2,0)+1),MATCH(Z$1,[3]characters!$2:$2,0)-MATCH("character_id",[3]characters!$2:$2,0)+1,FALSE),"")</f>
        <v/>
      </c>
      <c r="AA183" s="5" t="str">
        <f ca="1">IFERROR(VLOOKUP($Y183,OFFSET([3]characters!$A$1,0,0,COUNTA([3]characters!$A:$A),MATCH(AA$1,[3]characters!$2:$2,0)-MATCH("character_id",[3]characters!$2:$2,0)+1),MATCH(AA$1,[3]characters!$2:$2,0)-MATCH("character_id",[3]characters!$2:$2,0)+1,FALSE),"")</f>
        <v/>
      </c>
      <c r="AB183" s="5" t="str">
        <f ca="1">IFERROR(VLOOKUP($Y183,OFFSET([3]characters!$A$1,0,0,COUNTA([3]characters!$A:$A),MATCH(AB$1,[3]characters!$2:$2,0)-MATCH("character_id",[3]characters!$2:$2,0)+1),MATCH(AB$1,[3]characters!$2:$2,0)-MATCH("character_id",[3]characters!$2:$2,0)+1,FALSE),"")</f>
        <v/>
      </c>
      <c r="AC183" s="8">
        <v>1</v>
      </c>
      <c r="AD183" s="8" t="str">
        <f t="shared" ca="1" si="115"/>
        <v/>
      </c>
      <c r="AE183" s="9">
        <v>30</v>
      </c>
      <c r="AF183" s="38">
        <v>0</v>
      </c>
      <c r="AG183" s="38">
        <v>0</v>
      </c>
      <c r="AH183" s="38">
        <v>0</v>
      </c>
      <c r="AI183" s="38">
        <v>0</v>
      </c>
      <c r="AJ183" s="38">
        <v>1</v>
      </c>
    </row>
    <row r="184" spans="1:36" ht="21" customHeight="1" x14ac:dyDescent="0.15">
      <c r="A184" s="21" t="e">
        <f t="shared" ca="1" si="118"/>
        <v>#N/A</v>
      </c>
      <c r="B184" s="33">
        <v>6</v>
      </c>
      <c r="C184" s="32">
        <v>2</v>
      </c>
      <c r="D184" s="2" t="str">
        <f t="shared" si="116"/>
        <v>6_2</v>
      </c>
      <c r="E184" s="5" t="str">
        <f ca="1">VLOOKUP($B184,OFFSET([1]quests!$A$1,0,0,COUNTA([1]quests!$A:$A),MATCH(E$1,[1]quests!$1:$1,0)-MATCH($B$1,[1]quests!$1:$1,0)+1),MATCH(E$1,[1]quests!$1:$1,0)-MATCH($B$1,[1]quests!$1:$1,0)+1,FALSE)</f>
        <v>6．ドリームパーク</v>
      </c>
      <c r="F184" s="5" t="str">
        <f ca="1">VLOOKUP($D184,OFFSET([1]stages!$A$1,0,0,COUNTA([1]stages!$A:$A),MATCH(F$1,[1]stages!$2:$2,0)-MATCH($D$1,[1]stages!$2:$2,0)+1),MATCH(F$1,[1]stages!$2:$2,0)-MATCH($D$1,[1]stages!$2:$2,0)+1,FALSE)</f>
        <v>6-2. 夢の国の洗礼</v>
      </c>
      <c r="G184" s="32">
        <v>3</v>
      </c>
      <c r="H184" s="20" t="str">
        <f t="shared" si="117"/>
        <v>6_2-3</v>
      </c>
      <c r="I184" s="31">
        <v>27</v>
      </c>
      <c r="J184" s="26" t="e">
        <f ca="1">VLOOKUP($I184,OFFSET([2]enemies!$A$1,0,0,COUNTA([2]enemies!$A:$A),MATCH(J$1,[2]enemies!$2:$2,0)-MATCH($I$1,[2]enemies!$2:$2,0)+1),MATCH(J$1,[2]enemies!$2:$2,0)-MATCH($I$1,[2]enemies!$2:$2,0)+1,FALSE)</f>
        <v>#N/A</v>
      </c>
      <c r="K184" s="29" t="e">
        <f ca="1">VLOOKUP($I184,OFFSET([2]enemies!$A$1,0,0,COUNTA([2]enemies!$A:$A),MATCH(K$1,[2]enemies!$2:$2,0)-MATCH($I$1,[2]enemies!$2:$2,0)+1),MATCH(K$1,[2]enemies!$2:$2,0)-MATCH($I$1,[2]enemies!$2:$2,0)+1,FALSE)</f>
        <v>#N/A</v>
      </c>
      <c r="L184" s="29" t="e">
        <f ca="1">VLOOKUP($I184,OFFSET([3]characters!$A$1,0,0,COUNTA([3]characters!$A:$A),MATCH(L$1,[3]characters!$2:$2,0)-MATCH($I$1,[3]characters!$2:$2,0)+1),MATCH(L$1,[3]characters!$2:$2,0)-MATCH($I$1,[3]characters!$2:$2,0)+1,FALSE)</f>
        <v>#N/A</v>
      </c>
      <c r="M184" s="28" t="e">
        <f ca="1">VLOOKUP($I184,OFFSET([3]characters!$A$1,0,0,COUNTA([3]characters!$A:$A),MATCH(M$1,[3]characters!$2:$2,0)-MATCH($I$1,[3]characters!$2:$2,0)+2),MATCH(M$1,[3]characters!$2:$2,0)-MATCH($I$1,[3]characters!$2:$2,0)+2,FALSE)</f>
        <v>#N/A</v>
      </c>
      <c r="N184" s="5" t="e">
        <f ca="1">VLOOKUP($I184,OFFSET([2]enemies!$A$1,0,0,COUNTA([2]enemies!$A:$A),MATCH(N$1,[2]enemies!$2:$2,0)-MATCH($I$1,[2]enemies!$2:$2,0)+1),MATCH(N$1,[2]enemies!$2:$2,0)-MATCH($I$1,[2]enemies!$2:$2,0)+1,FALSE)</f>
        <v>#N/A</v>
      </c>
      <c r="O184" s="6">
        <v>8</v>
      </c>
      <c r="P184" s="43">
        <v>1</v>
      </c>
      <c r="Q184" s="43">
        <v>1</v>
      </c>
      <c r="R184" s="6">
        <v>0</v>
      </c>
      <c r="S184" s="5" t="str">
        <f ca="1">VLOOKUP($T184,OFFSET([4]enemy_skill_sets!$B$1,0,0,COUNTA([4]enemy_skill_sets!$B:$B),MATCH(J$1,[4]enemy_skill_sets!$1:$1,0)-MATCH($T$1,[4]enemy_skill_sets!$1:$1,0)+2),MATCH(J$1,[4]enemy_skill_sets!$1:$1,0)-MATCH($T$1,[4]enemy_skill_sets!$1:$1,0)+2,FALSE)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4" s="5">
        <v>0</v>
      </c>
      <c r="U184" s="7">
        <v>0</v>
      </c>
      <c r="V184" s="7">
        <v>100</v>
      </c>
      <c r="W184" s="7">
        <v>0</v>
      </c>
      <c r="X184" s="26" t="e">
        <f ca="1">VLOOKUP($I184,OFFSET([2]enemies!$A$1,0,0,COUNTA([2]enemies!$A:$A),MATCH(X$1,[2]enemies!$2:$2,0)-MATCH($I$1,[2]enemies!$2:$2,0)+1),MATCH(X$1,[2]enemies!$2:$2,0)-MATCH($I$1,[2]enemies!$2:$2,0)+1,FALSE)</f>
        <v>#N/A</v>
      </c>
      <c r="Y184" s="31">
        <v>27</v>
      </c>
      <c r="Z184" s="5" t="str">
        <f ca="1">IFERROR(VLOOKUP($Y184,OFFSET([3]characters!$A$1,0,0,COUNTA([3]characters!$A:$A),MATCH(Z$1,[3]characters!$2:$2,0)-MATCH("character_id",[3]characters!$2:$2,0)+1),MATCH(Z$1,[3]characters!$2:$2,0)-MATCH("character_id",[3]characters!$2:$2,0)+1,FALSE),"")</f>
        <v/>
      </c>
      <c r="AA184" s="5" t="str">
        <f ca="1">IFERROR(VLOOKUP($Y184,OFFSET([3]characters!$A$1,0,0,COUNTA([3]characters!$A:$A),MATCH(AA$1,[3]characters!$2:$2,0)-MATCH("character_id",[3]characters!$2:$2,0)+1),MATCH(AA$1,[3]characters!$2:$2,0)-MATCH("character_id",[3]characters!$2:$2,0)+1,FALSE),"")</f>
        <v/>
      </c>
      <c r="AB184" s="5" t="str">
        <f ca="1">IFERROR(VLOOKUP($Y184,OFFSET([3]characters!$A$1,0,0,COUNTA([3]characters!$A:$A),MATCH(AB$1,[3]characters!$2:$2,0)-MATCH("character_id",[3]characters!$2:$2,0)+1),MATCH(AB$1,[3]characters!$2:$2,0)-MATCH("character_id",[3]characters!$2:$2,0)+1,FALSE),"")</f>
        <v/>
      </c>
      <c r="AC184" s="8">
        <v>1</v>
      </c>
      <c r="AD184" s="8" t="str">
        <f t="shared" ca="1" si="115"/>
        <v/>
      </c>
      <c r="AE184" s="9">
        <v>30</v>
      </c>
      <c r="AF184" s="38">
        <v>0</v>
      </c>
      <c r="AG184" s="38">
        <v>0</v>
      </c>
      <c r="AH184" s="38">
        <v>0</v>
      </c>
      <c r="AI184" s="38">
        <v>0</v>
      </c>
      <c r="AJ184" s="38">
        <v>1</v>
      </c>
    </row>
    <row r="185" spans="1:36" ht="21" customHeight="1" x14ac:dyDescent="0.15">
      <c r="A185" s="21" t="e">
        <f t="shared" ca="1" si="118"/>
        <v>#N/A</v>
      </c>
      <c r="B185" s="33">
        <v>6</v>
      </c>
      <c r="C185" s="32">
        <v>2</v>
      </c>
      <c r="D185" s="2" t="str">
        <f t="shared" si="116"/>
        <v>6_2</v>
      </c>
      <c r="E185" s="5" t="str">
        <f ca="1">VLOOKUP($B185,OFFSET([1]quests!$A$1,0,0,COUNTA([1]quests!$A:$A),MATCH(E$1,[1]quests!$1:$1,0)-MATCH($B$1,[1]quests!$1:$1,0)+1),MATCH(E$1,[1]quests!$1:$1,0)-MATCH($B$1,[1]quests!$1:$1,0)+1,FALSE)</f>
        <v>6．ドリームパーク</v>
      </c>
      <c r="F185" s="5" t="str">
        <f ca="1">VLOOKUP($D185,OFFSET([1]stages!$A$1,0,0,COUNTA([1]stages!$A:$A),MATCH(F$1,[1]stages!$2:$2,0)-MATCH($D$1,[1]stages!$2:$2,0)+1),MATCH(F$1,[1]stages!$2:$2,0)-MATCH($D$1,[1]stages!$2:$2,0)+1,FALSE)</f>
        <v>6-2. 夢の国の洗礼</v>
      </c>
      <c r="G185" s="32">
        <v>3</v>
      </c>
      <c r="H185" s="20" t="str">
        <f t="shared" si="117"/>
        <v>6_2-3</v>
      </c>
      <c r="I185" s="31">
        <v>109</v>
      </c>
      <c r="J185" s="26" t="e">
        <f ca="1">VLOOKUP($I185,OFFSET([2]enemies!$A$1,0,0,COUNTA([2]enemies!$A:$A),MATCH(J$1,[2]enemies!$2:$2,0)-MATCH($I$1,[2]enemies!$2:$2,0)+1),MATCH(J$1,[2]enemies!$2:$2,0)-MATCH($I$1,[2]enemies!$2:$2,0)+1,FALSE)</f>
        <v>#N/A</v>
      </c>
      <c r="K185" s="29" t="e">
        <f ca="1">VLOOKUP($I185,OFFSET([2]enemies!$A$1,0,0,COUNTA([2]enemies!$A:$A),MATCH(K$1,[2]enemies!$2:$2,0)-MATCH($I$1,[2]enemies!$2:$2,0)+1),MATCH(K$1,[2]enemies!$2:$2,0)-MATCH($I$1,[2]enemies!$2:$2,0)+1,FALSE)</f>
        <v>#N/A</v>
      </c>
      <c r="L185" s="29" t="e">
        <f ca="1">VLOOKUP($I185,OFFSET([3]characters!$A$1,0,0,COUNTA([3]characters!$A:$A),MATCH(L$1,[3]characters!$2:$2,0)-MATCH($I$1,[3]characters!$2:$2,0)+1),MATCH(L$1,[3]characters!$2:$2,0)-MATCH($I$1,[3]characters!$2:$2,0)+1,FALSE)</f>
        <v>#N/A</v>
      </c>
      <c r="M185" s="28" t="e">
        <f ca="1">VLOOKUP($I185,OFFSET([3]characters!$A$1,0,0,COUNTA([3]characters!$A:$A),MATCH(M$1,[3]characters!$2:$2,0)-MATCH($I$1,[3]characters!$2:$2,0)+2),MATCH(M$1,[3]characters!$2:$2,0)-MATCH($I$1,[3]characters!$2:$2,0)+2,FALSE)</f>
        <v>#N/A</v>
      </c>
      <c r="N185" s="5" t="e">
        <f ca="1">VLOOKUP($I185,OFFSET([2]enemies!$A$1,0,0,COUNTA([2]enemies!$A:$A),MATCH(N$1,[2]enemies!$2:$2,0)-MATCH($I$1,[2]enemies!$2:$2,0)+1),MATCH(N$1,[2]enemies!$2:$2,0)-MATCH($I$1,[2]enemies!$2:$2,0)+1,FALSE)</f>
        <v>#N/A</v>
      </c>
      <c r="O185" s="6">
        <v>8</v>
      </c>
      <c r="P185" s="43">
        <v>1</v>
      </c>
      <c r="Q185" s="43">
        <v>1</v>
      </c>
      <c r="R185" s="6">
        <v>0</v>
      </c>
      <c r="S185" s="5" t="str">
        <f ca="1">VLOOKUP($T185,OFFSET([4]enemy_skill_sets!$B$1,0,0,COUNTA([4]enemy_skill_sets!$B:$B),MATCH(J$1,[4]enemy_skill_sets!$1:$1,0)-MATCH($T$1,[4]enemy_skill_sets!$1:$1,0)+2),MATCH(J$1,[4]enemy_skill_sets!$1:$1,0)-MATCH($T$1,[4]enemy_skill_sets!$1:$1,0)+2,FALSE)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5" s="5">
        <v>0</v>
      </c>
      <c r="U185" s="7">
        <v>0</v>
      </c>
      <c r="V185" s="7">
        <v>50</v>
      </c>
      <c r="W185" s="7">
        <v>0</v>
      </c>
      <c r="X185" s="26" t="e">
        <f ca="1">VLOOKUP($I185,OFFSET([2]enemies!$A$1,0,0,COUNTA([2]enemies!$A:$A),MATCH(X$1,[2]enemies!$2:$2,0)-MATCH($I$1,[2]enemies!$2:$2,0)+1),MATCH(X$1,[2]enemies!$2:$2,0)-MATCH($I$1,[2]enemies!$2:$2,0)+1,FALSE)</f>
        <v>#N/A</v>
      </c>
      <c r="Y185" s="31">
        <v>109</v>
      </c>
      <c r="Z185" s="5" t="str">
        <f ca="1">IFERROR(VLOOKUP($Y185,OFFSET([3]characters!$A$1,0,0,COUNTA([3]characters!$A:$A),MATCH(Z$1,[3]characters!$2:$2,0)-MATCH("character_id",[3]characters!$2:$2,0)+1),MATCH(Z$1,[3]characters!$2:$2,0)-MATCH("character_id",[3]characters!$2:$2,0)+1,FALSE),"")</f>
        <v/>
      </c>
      <c r="AA185" s="5" t="str">
        <f ca="1">IFERROR(VLOOKUP($Y185,OFFSET([3]characters!$A$1,0,0,COUNTA([3]characters!$A:$A),MATCH(AA$1,[3]characters!$2:$2,0)-MATCH("character_id",[3]characters!$2:$2,0)+1),MATCH(AA$1,[3]characters!$2:$2,0)-MATCH("character_id",[3]characters!$2:$2,0)+1,FALSE),"")</f>
        <v/>
      </c>
      <c r="AB185" s="5" t="str">
        <f ca="1">IFERROR(VLOOKUP($Y185,OFFSET([3]characters!$A$1,0,0,COUNTA([3]characters!$A:$A),MATCH(AB$1,[3]characters!$2:$2,0)-MATCH("character_id",[3]characters!$2:$2,0)+1),MATCH(AB$1,[3]characters!$2:$2,0)-MATCH("character_id",[3]characters!$2:$2,0)+1,FALSE),"")</f>
        <v/>
      </c>
      <c r="AC185" s="8">
        <v>1</v>
      </c>
      <c r="AD185" s="8" t="str">
        <f t="shared" ca="1" si="115"/>
        <v/>
      </c>
      <c r="AE185" s="9">
        <v>20</v>
      </c>
      <c r="AF185" s="38">
        <v>0</v>
      </c>
      <c r="AG185" s="38">
        <v>0</v>
      </c>
      <c r="AH185" s="38">
        <v>0</v>
      </c>
      <c r="AI185" s="38">
        <v>0</v>
      </c>
      <c r="AJ185" s="38">
        <v>1</v>
      </c>
    </row>
    <row r="186" spans="1:36" ht="21" customHeight="1" x14ac:dyDescent="0.15">
      <c r="A186" s="21" t="e">
        <f t="shared" ca="1" si="118"/>
        <v>#N/A</v>
      </c>
      <c r="B186" s="33">
        <v>6</v>
      </c>
      <c r="C186" s="32">
        <v>2</v>
      </c>
      <c r="D186" s="2" t="str">
        <f t="shared" si="116"/>
        <v>6_2</v>
      </c>
      <c r="E186" s="5" t="str">
        <f ca="1">VLOOKUP($B186,OFFSET([1]quests!$A$1,0,0,COUNTA([1]quests!$A:$A),MATCH(E$1,[1]quests!$1:$1,0)-MATCH($B$1,[1]quests!$1:$1,0)+1),MATCH(E$1,[1]quests!$1:$1,0)-MATCH($B$1,[1]quests!$1:$1,0)+1,FALSE)</f>
        <v>6．ドリームパーク</v>
      </c>
      <c r="F186" s="5" t="str">
        <f ca="1">VLOOKUP($D186,OFFSET([1]stages!$A$1,0,0,COUNTA([1]stages!$A:$A),MATCH(F$1,[1]stages!$2:$2,0)-MATCH($D$1,[1]stages!$2:$2,0)+1),MATCH(F$1,[1]stages!$2:$2,0)-MATCH($D$1,[1]stages!$2:$2,0)+1,FALSE)</f>
        <v>6-2. 夢の国の洗礼</v>
      </c>
      <c r="G186" s="32">
        <v>3</v>
      </c>
      <c r="H186" s="20" t="str">
        <f t="shared" si="117"/>
        <v>6_2-3</v>
      </c>
      <c r="I186" s="31">
        <v>113</v>
      </c>
      <c r="J186" s="26" t="e">
        <f ca="1">VLOOKUP($I186,OFFSET([2]enemies!$A$1,0,0,COUNTA([2]enemies!$A:$A),MATCH(J$1,[2]enemies!$2:$2,0)-MATCH($I$1,[2]enemies!$2:$2,0)+1),MATCH(J$1,[2]enemies!$2:$2,0)-MATCH($I$1,[2]enemies!$2:$2,0)+1,FALSE)</f>
        <v>#N/A</v>
      </c>
      <c r="K186" s="29" t="e">
        <f ca="1">VLOOKUP($I186,OFFSET([2]enemies!$A$1,0,0,COUNTA([2]enemies!$A:$A),MATCH(K$1,[2]enemies!$2:$2,0)-MATCH($I$1,[2]enemies!$2:$2,0)+1),MATCH(K$1,[2]enemies!$2:$2,0)-MATCH($I$1,[2]enemies!$2:$2,0)+1,FALSE)</f>
        <v>#N/A</v>
      </c>
      <c r="L186" s="29" t="e">
        <f ca="1">VLOOKUP($I186,OFFSET([3]characters!$A$1,0,0,COUNTA([3]characters!$A:$A),MATCH(L$1,[3]characters!$2:$2,0)-MATCH($I$1,[3]characters!$2:$2,0)+1),MATCH(L$1,[3]characters!$2:$2,0)-MATCH($I$1,[3]characters!$2:$2,0)+1,FALSE)</f>
        <v>#N/A</v>
      </c>
      <c r="M186" s="28" t="e">
        <f ca="1">VLOOKUP($I186,OFFSET([3]characters!$A$1,0,0,COUNTA([3]characters!$A:$A),MATCH(M$1,[3]characters!$2:$2,0)-MATCH($I$1,[3]characters!$2:$2,0)+2),MATCH(M$1,[3]characters!$2:$2,0)-MATCH($I$1,[3]characters!$2:$2,0)+2,FALSE)</f>
        <v>#N/A</v>
      </c>
      <c r="N186" s="5" t="e">
        <f ca="1">VLOOKUP($I186,OFFSET([2]enemies!$A$1,0,0,COUNTA([2]enemies!$A:$A),MATCH(N$1,[2]enemies!$2:$2,0)-MATCH($I$1,[2]enemies!$2:$2,0)+1),MATCH(N$1,[2]enemies!$2:$2,0)-MATCH($I$1,[2]enemies!$2:$2,0)+1,FALSE)</f>
        <v>#N/A</v>
      </c>
      <c r="O186" s="6">
        <v>8</v>
      </c>
      <c r="P186" s="43">
        <v>1</v>
      </c>
      <c r="Q186" s="43">
        <v>1</v>
      </c>
      <c r="R186" s="6">
        <v>0</v>
      </c>
      <c r="S186" s="5" t="str">
        <f ca="1">VLOOKUP($T186,OFFSET([4]enemy_skill_sets!$B$1,0,0,COUNTA([4]enemy_skill_sets!$B:$B),MATCH(J$1,[4]enemy_skill_sets!$1:$1,0)-MATCH($T$1,[4]enemy_skill_sets!$1:$1,0)+2),MATCH(J$1,[4]enemy_skill_sets!$1:$1,0)-MATCH($T$1,[4]enemy_skill_sets!$1:$1,0)+2,FALSE)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6" s="5">
        <v>0</v>
      </c>
      <c r="U186" s="7">
        <v>0</v>
      </c>
      <c r="V186" s="7">
        <v>50</v>
      </c>
      <c r="W186" s="7">
        <v>0</v>
      </c>
      <c r="X186" s="26" t="e">
        <f ca="1">VLOOKUP($I186,OFFSET([2]enemies!$A$1,0,0,COUNTA([2]enemies!$A:$A),MATCH(X$1,[2]enemies!$2:$2,0)-MATCH($I$1,[2]enemies!$2:$2,0)+1),MATCH(X$1,[2]enemies!$2:$2,0)-MATCH($I$1,[2]enemies!$2:$2,0)+1,FALSE)</f>
        <v>#N/A</v>
      </c>
      <c r="Y186" s="31">
        <v>113</v>
      </c>
      <c r="Z186" s="5" t="str">
        <f ca="1">IFERROR(VLOOKUP($Y186,OFFSET([3]characters!$A$1,0,0,COUNTA([3]characters!$A:$A),MATCH(Z$1,[3]characters!$2:$2,0)-MATCH("character_id",[3]characters!$2:$2,0)+1),MATCH(Z$1,[3]characters!$2:$2,0)-MATCH("character_id",[3]characters!$2:$2,0)+1,FALSE),"")</f>
        <v/>
      </c>
      <c r="AA186" s="5" t="str">
        <f ca="1">IFERROR(VLOOKUP($Y186,OFFSET([3]characters!$A$1,0,0,COUNTA([3]characters!$A:$A),MATCH(AA$1,[3]characters!$2:$2,0)-MATCH("character_id",[3]characters!$2:$2,0)+1),MATCH(AA$1,[3]characters!$2:$2,0)-MATCH("character_id",[3]characters!$2:$2,0)+1,FALSE),"")</f>
        <v/>
      </c>
      <c r="AB186" s="5" t="str">
        <f ca="1">IFERROR(VLOOKUP($Y186,OFFSET([3]characters!$A$1,0,0,COUNTA([3]characters!$A:$A),MATCH(AB$1,[3]characters!$2:$2,0)-MATCH("character_id",[3]characters!$2:$2,0)+1),MATCH(AB$1,[3]characters!$2:$2,0)-MATCH("character_id",[3]characters!$2:$2,0)+1,FALSE),"")</f>
        <v/>
      </c>
      <c r="AC186" s="8">
        <v>1</v>
      </c>
      <c r="AD186" s="8" t="str">
        <f t="shared" ca="1" si="115"/>
        <v/>
      </c>
      <c r="AE186" s="9">
        <v>20</v>
      </c>
      <c r="AF186" s="38">
        <v>0</v>
      </c>
      <c r="AG186" s="38">
        <v>0</v>
      </c>
      <c r="AH186" s="38">
        <v>0</v>
      </c>
      <c r="AI186" s="38">
        <v>0</v>
      </c>
      <c r="AJ186" s="38">
        <v>1</v>
      </c>
    </row>
    <row r="187" spans="1:36" ht="21" customHeight="1" x14ac:dyDescent="0.15">
      <c r="A187" s="21" t="e">
        <f t="shared" ca="1" si="118"/>
        <v>#N/A</v>
      </c>
      <c r="B187" s="33">
        <v>6</v>
      </c>
      <c r="C187" s="32">
        <v>2</v>
      </c>
      <c r="D187" s="2" t="str">
        <f t="shared" si="116"/>
        <v>6_2</v>
      </c>
      <c r="E187" s="5" t="str">
        <f ca="1">VLOOKUP($B187,OFFSET([1]quests!$A$1,0,0,COUNTA([1]quests!$A:$A),MATCH(E$1,[1]quests!$1:$1,0)-MATCH($B$1,[1]quests!$1:$1,0)+1),MATCH(E$1,[1]quests!$1:$1,0)-MATCH($B$1,[1]quests!$1:$1,0)+1,FALSE)</f>
        <v>6．ドリームパーク</v>
      </c>
      <c r="F187" s="5" t="str">
        <f ca="1">VLOOKUP($D187,OFFSET([1]stages!$A$1,0,0,COUNTA([1]stages!$A:$A),MATCH(F$1,[1]stages!$2:$2,0)-MATCH($D$1,[1]stages!$2:$2,0)+1),MATCH(F$1,[1]stages!$2:$2,0)-MATCH($D$1,[1]stages!$2:$2,0)+1,FALSE)</f>
        <v>6-2. 夢の国の洗礼</v>
      </c>
      <c r="G187" s="32">
        <v>4</v>
      </c>
      <c r="H187" s="20" t="str">
        <f t="shared" si="117"/>
        <v>6_2-4</v>
      </c>
      <c r="I187" s="31">
        <v>47</v>
      </c>
      <c r="J187" s="26" t="e">
        <f ca="1">VLOOKUP($I187,OFFSET([2]enemies!$A$1,0,0,COUNTA([2]enemies!$A:$A),MATCH(J$1,[2]enemies!$2:$2,0)-MATCH($I$1,[2]enemies!$2:$2,0)+1),MATCH(J$1,[2]enemies!$2:$2,0)-MATCH($I$1,[2]enemies!$2:$2,0)+1,FALSE)</f>
        <v>#N/A</v>
      </c>
      <c r="K187" s="29" t="e">
        <f ca="1">VLOOKUP($I187,OFFSET([2]enemies!$A$1,0,0,COUNTA([2]enemies!$A:$A),MATCH(K$1,[2]enemies!$2:$2,0)-MATCH($I$1,[2]enemies!$2:$2,0)+1),MATCH(K$1,[2]enemies!$2:$2,0)-MATCH($I$1,[2]enemies!$2:$2,0)+1,FALSE)</f>
        <v>#N/A</v>
      </c>
      <c r="L187" s="29" t="e">
        <f ca="1">VLOOKUP($I187,OFFSET([3]characters!$A$1,0,0,COUNTA([3]characters!$A:$A),MATCH(L$1,[3]characters!$2:$2,0)-MATCH($I$1,[3]characters!$2:$2,0)+1),MATCH(L$1,[3]characters!$2:$2,0)-MATCH($I$1,[3]characters!$2:$2,0)+1,FALSE)</f>
        <v>#N/A</v>
      </c>
      <c r="M187" s="28" t="e">
        <f ca="1">VLOOKUP($I187,OFFSET([3]characters!$A$1,0,0,COUNTA([3]characters!$A:$A),MATCH(M$1,[3]characters!$2:$2,0)-MATCH($I$1,[3]characters!$2:$2,0)+2),MATCH(M$1,[3]characters!$2:$2,0)-MATCH($I$1,[3]characters!$2:$2,0)+2,FALSE)</f>
        <v>#N/A</v>
      </c>
      <c r="N187" s="5" t="e">
        <f ca="1">VLOOKUP($I187,OFFSET([2]enemies!$A$1,0,0,COUNTA([2]enemies!$A:$A),MATCH(N$1,[2]enemies!$2:$2,0)-MATCH($I$1,[2]enemies!$2:$2,0)+1),MATCH(N$1,[2]enemies!$2:$2,0)-MATCH($I$1,[2]enemies!$2:$2,0)+1,FALSE)</f>
        <v>#N/A</v>
      </c>
      <c r="O187" s="6">
        <v>10</v>
      </c>
      <c r="P187" s="43">
        <v>1</v>
      </c>
      <c r="Q187" s="43">
        <v>1</v>
      </c>
      <c r="R187" s="6">
        <v>0</v>
      </c>
      <c r="S187" s="5" t="str">
        <f ca="1">VLOOKUP($T187,OFFSET([4]enemy_skill_sets!$B$1,0,0,COUNTA([4]enemy_skill_sets!$B:$B),MATCH(J$1,[4]enemy_skill_sets!$1:$1,0)-MATCH($T$1,[4]enemy_skill_sets!$1:$1,0)+2),MATCH(J$1,[4]enemy_skill_sets!$1:$1,0)-MATCH($T$1,[4]enemy_skill_sets!$1:$1,0)+2,FALSE)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7" s="5">
        <v>0</v>
      </c>
      <c r="U187" s="7">
        <v>1</v>
      </c>
      <c r="V187" s="7">
        <v>100</v>
      </c>
      <c r="W187" s="7">
        <v>1</v>
      </c>
      <c r="X187" s="26" t="e">
        <f ca="1">VLOOKUP($I187,OFFSET([2]enemies!$A$1,0,0,COUNTA([2]enemies!$A:$A),MATCH(X$1,[2]enemies!$2:$2,0)-MATCH($I$1,[2]enemies!$2:$2,0)+1),MATCH(X$1,[2]enemies!$2:$2,0)-MATCH($I$1,[2]enemies!$2:$2,0)+1,FALSE)</f>
        <v>#N/A</v>
      </c>
      <c r="Y187" s="31">
        <v>47</v>
      </c>
      <c r="Z187" s="5" t="str">
        <f ca="1">IFERROR(VLOOKUP($Y187,OFFSET([3]characters!$A$1,0,0,COUNTA([3]characters!$A:$A),MATCH(Z$1,[3]characters!$2:$2,0)-MATCH("character_id",[3]characters!$2:$2,0)+1),MATCH(Z$1,[3]characters!$2:$2,0)-MATCH("character_id",[3]characters!$2:$2,0)+1,FALSE),"")</f>
        <v/>
      </c>
      <c r="AA187" s="5" t="str">
        <f ca="1">IFERROR(VLOOKUP($Y187,OFFSET([3]characters!$A$1,0,0,COUNTA([3]characters!$A:$A),MATCH(AA$1,[3]characters!$2:$2,0)-MATCH("character_id",[3]characters!$2:$2,0)+1),MATCH(AA$1,[3]characters!$2:$2,0)-MATCH("character_id",[3]characters!$2:$2,0)+1,FALSE),"")</f>
        <v/>
      </c>
      <c r="AB187" s="5" t="str">
        <f ca="1">IFERROR(VLOOKUP($Y187,OFFSET([3]characters!$A$1,0,0,COUNTA([3]characters!$A:$A),MATCH(AB$1,[3]characters!$2:$2,0)-MATCH("character_id",[3]characters!$2:$2,0)+1),MATCH(AB$1,[3]characters!$2:$2,0)-MATCH("character_id",[3]characters!$2:$2,0)+1,FALSE),"")</f>
        <v/>
      </c>
      <c r="AC187" s="8">
        <v>1</v>
      </c>
      <c r="AD187" s="8" t="str">
        <f t="shared" ca="1" si="115"/>
        <v/>
      </c>
      <c r="AE187" s="9">
        <v>0</v>
      </c>
      <c r="AF187" s="38">
        <v>0</v>
      </c>
      <c r="AG187" s="38">
        <v>0</v>
      </c>
      <c r="AH187" s="38">
        <v>0</v>
      </c>
      <c r="AI187" s="38">
        <v>0</v>
      </c>
      <c r="AJ187" s="38">
        <v>1</v>
      </c>
    </row>
    <row r="188" spans="1:36" ht="21" customHeight="1" x14ac:dyDescent="0.15">
      <c r="A188" s="21" t="e">
        <f t="shared" ca="1" si="118"/>
        <v>#N/A</v>
      </c>
      <c r="B188" s="33">
        <v>6</v>
      </c>
      <c r="C188" s="32">
        <v>2</v>
      </c>
      <c r="D188" s="2" t="str">
        <f t="shared" si="116"/>
        <v>6_2</v>
      </c>
      <c r="E188" s="5" t="str">
        <f ca="1">VLOOKUP($B188,OFFSET([1]quests!$A$1,0,0,COUNTA([1]quests!$A:$A),MATCH(E$1,[1]quests!$1:$1,0)-MATCH($B$1,[1]quests!$1:$1,0)+1),MATCH(E$1,[1]quests!$1:$1,0)-MATCH($B$1,[1]quests!$1:$1,0)+1,FALSE)</f>
        <v>6．ドリームパーク</v>
      </c>
      <c r="F188" s="5" t="str">
        <f ca="1">VLOOKUP($D188,OFFSET([1]stages!$A$1,0,0,COUNTA([1]stages!$A:$A),MATCH(F$1,[1]stages!$2:$2,0)-MATCH($D$1,[1]stages!$2:$2,0)+1),MATCH(F$1,[1]stages!$2:$2,0)-MATCH($D$1,[1]stages!$2:$2,0)+1,FALSE)</f>
        <v>6-2. 夢の国の洗礼</v>
      </c>
      <c r="G188" s="32">
        <v>4</v>
      </c>
      <c r="H188" s="20" t="str">
        <f t="shared" si="117"/>
        <v>6_2-4</v>
      </c>
      <c r="I188" s="31">
        <v>45</v>
      </c>
      <c r="J188" s="26" t="e">
        <f ca="1">VLOOKUP($I188,OFFSET([2]enemies!$A$1,0,0,COUNTA([2]enemies!$A:$A),MATCH(J$1,[2]enemies!$2:$2,0)-MATCH($I$1,[2]enemies!$2:$2,0)+1),MATCH(J$1,[2]enemies!$2:$2,0)-MATCH($I$1,[2]enemies!$2:$2,0)+1,FALSE)</f>
        <v>#N/A</v>
      </c>
      <c r="K188" s="29" t="e">
        <f ca="1">VLOOKUP($I188,OFFSET([2]enemies!$A$1,0,0,COUNTA([2]enemies!$A:$A),MATCH(K$1,[2]enemies!$2:$2,0)-MATCH($I$1,[2]enemies!$2:$2,0)+1),MATCH(K$1,[2]enemies!$2:$2,0)-MATCH($I$1,[2]enemies!$2:$2,0)+1,FALSE)</f>
        <v>#N/A</v>
      </c>
      <c r="L188" s="29" t="e">
        <f ca="1">VLOOKUP($I188,OFFSET([3]characters!$A$1,0,0,COUNTA([3]characters!$A:$A),MATCH(L$1,[3]characters!$2:$2,0)-MATCH($I$1,[3]characters!$2:$2,0)+1),MATCH(L$1,[3]characters!$2:$2,0)-MATCH($I$1,[3]characters!$2:$2,0)+1,FALSE)</f>
        <v>#N/A</v>
      </c>
      <c r="M188" s="28" t="e">
        <f ca="1">VLOOKUP($I188,OFFSET([3]characters!$A$1,0,0,COUNTA([3]characters!$A:$A),MATCH(M$1,[3]characters!$2:$2,0)-MATCH($I$1,[3]characters!$2:$2,0)+2),MATCH(M$1,[3]characters!$2:$2,0)-MATCH($I$1,[3]characters!$2:$2,0)+2,FALSE)</f>
        <v>#N/A</v>
      </c>
      <c r="N188" s="5" t="e">
        <f ca="1">VLOOKUP($I188,OFFSET([2]enemies!$A$1,0,0,COUNTA([2]enemies!$A:$A),MATCH(N$1,[2]enemies!$2:$2,0)-MATCH($I$1,[2]enemies!$2:$2,0)+1),MATCH(N$1,[2]enemies!$2:$2,0)-MATCH($I$1,[2]enemies!$2:$2,0)+1,FALSE)</f>
        <v>#N/A</v>
      </c>
      <c r="O188" s="6">
        <v>12</v>
      </c>
      <c r="P188" s="43">
        <v>1</v>
      </c>
      <c r="Q188" s="43">
        <v>1</v>
      </c>
      <c r="R188" s="6">
        <v>0</v>
      </c>
      <c r="S188" s="5" t="str">
        <f ca="1">VLOOKUP($T188,OFFSET([4]enemy_skill_sets!$B$1,0,0,COUNTA([4]enemy_skill_sets!$B:$B),MATCH(J$1,[4]enemy_skill_sets!$1:$1,0)-MATCH($T$1,[4]enemy_skill_sets!$1:$1,0)+2),MATCH(J$1,[4]enemy_skill_sets!$1:$1,0)-MATCH($T$1,[4]enemy_skill_sets!$1:$1,0)+2,FALSE)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8" s="5">
        <v>0</v>
      </c>
      <c r="U188" s="7">
        <v>1</v>
      </c>
      <c r="V188" s="7">
        <v>100</v>
      </c>
      <c r="W188" s="7">
        <v>0</v>
      </c>
      <c r="X188" s="26" t="e">
        <f ca="1">VLOOKUP($I188,OFFSET([2]enemies!$A$1,0,0,COUNTA([2]enemies!$A:$A),MATCH(X$1,[2]enemies!$2:$2,0)-MATCH($I$1,[2]enemies!$2:$2,0)+1),MATCH(X$1,[2]enemies!$2:$2,0)-MATCH($I$1,[2]enemies!$2:$2,0)+1,FALSE)</f>
        <v>#N/A</v>
      </c>
      <c r="Y188" s="31">
        <v>45</v>
      </c>
      <c r="Z188" s="5" t="str">
        <f ca="1">IFERROR(VLOOKUP($Y188,OFFSET([3]characters!$A$1,0,0,COUNTA([3]characters!$A:$A),MATCH(Z$1,[3]characters!$2:$2,0)-MATCH("character_id",[3]characters!$2:$2,0)+1),MATCH(Z$1,[3]characters!$2:$2,0)-MATCH("character_id",[3]characters!$2:$2,0)+1,FALSE),"")</f>
        <v/>
      </c>
      <c r="AA188" s="5" t="str">
        <f ca="1">IFERROR(VLOOKUP($Y188,OFFSET([3]characters!$A$1,0,0,COUNTA([3]characters!$A:$A),MATCH(AA$1,[3]characters!$2:$2,0)-MATCH("character_id",[3]characters!$2:$2,0)+1),MATCH(AA$1,[3]characters!$2:$2,0)-MATCH("character_id",[3]characters!$2:$2,0)+1,FALSE),"")</f>
        <v/>
      </c>
      <c r="AB188" s="5" t="str">
        <f ca="1">IFERROR(VLOOKUP($Y188,OFFSET([3]characters!$A$1,0,0,COUNTA([3]characters!$A:$A),MATCH(AB$1,[3]characters!$2:$2,0)-MATCH("character_id",[3]characters!$2:$2,0)+1),MATCH(AB$1,[3]characters!$2:$2,0)-MATCH("character_id",[3]characters!$2:$2,0)+1,FALSE),"")</f>
        <v/>
      </c>
      <c r="AC188" s="8">
        <v>1</v>
      </c>
      <c r="AD188" s="8" t="str">
        <f t="shared" ca="1" si="115"/>
        <v/>
      </c>
      <c r="AE188" s="9">
        <v>0</v>
      </c>
      <c r="AF188" s="38">
        <v>0</v>
      </c>
      <c r="AG188" s="38">
        <v>0</v>
      </c>
      <c r="AH188" s="38">
        <v>0</v>
      </c>
      <c r="AI188" s="38">
        <v>0</v>
      </c>
      <c r="AJ188" s="38">
        <v>1</v>
      </c>
    </row>
    <row r="189" spans="1:36" ht="21" customHeight="1" x14ac:dyDescent="0.15">
      <c r="A189" s="21" t="e">
        <f t="shared" ca="1" si="118"/>
        <v>#N/A</v>
      </c>
      <c r="B189" s="33">
        <v>6</v>
      </c>
      <c r="C189" s="32">
        <v>3</v>
      </c>
      <c r="D189" s="2" t="str">
        <f t="shared" si="116"/>
        <v>6_3</v>
      </c>
      <c r="E189" s="5" t="str">
        <f ca="1">VLOOKUP($B189,OFFSET([1]quests!$A$1,0,0,COUNTA([1]quests!$A:$A),MATCH(E$1,[1]quests!$1:$1,0)-MATCH($B$1,[1]quests!$1:$1,0)+1),MATCH(E$1,[1]quests!$1:$1,0)-MATCH($B$1,[1]quests!$1:$1,0)+1,FALSE)</f>
        <v>6．ドリームパーク</v>
      </c>
      <c r="F189" s="5" t="str">
        <f ca="1">VLOOKUP($D189,OFFSET([1]stages!$A$1,0,0,COUNTA([1]stages!$A:$A),MATCH(F$1,[1]stages!$2:$2,0)-MATCH($D$1,[1]stages!$2:$2,0)+1),MATCH(F$1,[1]stages!$2:$2,0)-MATCH($D$1,[1]stages!$2:$2,0)+1,FALSE)</f>
        <v>6-3. 正体不明のきぐるみ</v>
      </c>
      <c r="G189" s="32">
        <v>1</v>
      </c>
      <c r="H189" s="20" t="str">
        <f t="shared" si="117"/>
        <v>6_3-1</v>
      </c>
      <c r="I189" s="31">
        <v>1</v>
      </c>
      <c r="J189" s="26" t="e">
        <f ca="1">VLOOKUP($I189,OFFSET([2]enemies!$A$1,0,0,COUNTA([2]enemies!$A:$A),MATCH(J$1,[2]enemies!$2:$2,0)-MATCH($I$1,[2]enemies!$2:$2,0)+1),MATCH(J$1,[2]enemies!$2:$2,0)-MATCH($I$1,[2]enemies!$2:$2,0)+1,FALSE)</f>
        <v>#N/A</v>
      </c>
      <c r="K189" s="29" t="e">
        <f ca="1">VLOOKUP($I189,OFFSET([2]enemies!$A$1,0,0,COUNTA([2]enemies!$A:$A),MATCH(K$1,[2]enemies!$2:$2,0)-MATCH($I$1,[2]enemies!$2:$2,0)+1),MATCH(K$1,[2]enemies!$2:$2,0)-MATCH($I$1,[2]enemies!$2:$2,0)+1,FALSE)</f>
        <v>#N/A</v>
      </c>
      <c r="L189" s="29" t="e">
        <f ca="1">VLOOKUP($I189,OFFSET([3]characters!$A$1,0,0,COUNTA([3]characters!$A:$A),MATCH(L$1,[3]characters!$2:$2,0)-MATCH($I$1,[3]characters!$2:$2,0)+1),MATCH(L$1,[3]characters!$2:$2,0)-MATCH($I$1,[3]characters!$2:$2,0)+1,FALSE)</f>
        <v>#N/A</v>
      </c>
      <c r="M189" s="28" t="e">
        <f ca="1">VLOOKUP($I189,OFFSET([3]characters!$A$1,0,0,COUNTA([3]characters!$A:$A),MATCH(M$1,[3]characters!$2:$2,0)-MATCH($I$1,[3]characters!$2:$2,0)+2),MATCH(M$1,[3]characters!$2:$2,0)-MATCH($I$1,[3]characters!$2:$2,0)+2,FALSE)</f>
        <v>#N/A</v>
      </c>
      <c r="N189" s="5" t="e">
        <f ca="1">VLOOKUP($I189,OFFSET([2]enemies!$A$1,0,0,COUNTA([2]enemies!$A:$A),MATCH(N$1,[2]enemies!$2:$2,0)-MATCH($I$1,[2]enemies!$2:$2,0)+1),MATCH(N$1,[2]enemies!$2:$2,0)-MATCH($I$1,[2]enemies!$2:$2,0)+1,FALSE)</f>
        <v>#N/A</v>
      </c>
      <c r="O189" s="6">
        <v>9</v>
      </c>
      <c r="P189" s="43">
        <v>1</v>
      </c>
      <c r="Q189" s="43">
        <v>1</v>
      </c>
      <c r="R189" s="6">
        <v>0</v>
      </c>
      <c r="S189" s="5" t="str">
        <f ca="1">VLOOKUP($T189,OFFSET([4]enemy_skill_sets!$B$1,0,0,COUNTA([4]enemy_skill_sets!$B:$B),MATCH(J$1,[4]enemy_skill_sets!$1:$1,0)-MATCH($T$1,[4]enemy_skill_sets!$1:$1,0)+2),MATCH(J$1,[4]enemy_skill_sets!$1:$1,0)-MATCH($T$1,[4]enemy_skill_sets!$1:$1,0)+2,FALSE)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9" s="5">
        <v>0</v>
      </c>
      <c r="U189" s="7">
        <v>0</v>
      </c>
      <c r="V189" s="7">
        <v>100</v>
      </c>
      <c r="W189" s="7">
        <v>0</v>
      </c>
      <c r="X189" s="26" t="e">
        <f ca="1">VLOOKUP($I189,OFFSET([2]enemies!$A$1,0,0,COUNTA([2]enemies!$A:$A),MATCH(X$1,[2]enemies!$2:$2,0)-MATCH($I$1,[2]enemies!$2:$2,0)+1),MATCH(X$1,[2]enemies!$2:$2,0)-MATCH($I$1,[2]enemies!$2:$2,0)+1,FALSE)</f>
        <v>#N/A</v>
      </c>
      <c r="Y189" s="31">
        <v>1</v>
      </c>
      <c r="Z189" s="5" t="str">
        <f ca="1">IFERROR(VLOOKUP($Y189,OFFSET([3]characters!$A$1,0,0,COUNTA([3]characters!$A:$A),MATCH(Z$1,[3]characters!$2:$2,0)-MATCH("character_id",[3]characters!$2:$2,0)+1),MATCH(Z$1,[3]characters!$2:$2,0)-MATCH("character_id",[3]characters!$2:$2,0)+1,FALSE),"")</f>
        <v/>
      </c>
      <c r="AA189" s="5" t="str">
        <f ca="1">IFERROR(VLOOKUP($Y189,OFFSET([3]characters!$A$1,0,0,COUNTA([3]characters!$A:$A),MATCH(AA$1,[3]characters!$2:$2,0)-MATCH("character_id",[3]characters!$2:$2,0)+1),MATCH(AA$1,[3]characters!$2:$2,0)-MATCH("character_id",[3]characters!$2:$2,0)+1,FALSE),"")</f>
        <v/>
      </c>
      <c r="AB189" s="5" t="str">
        <f ca="1">IFERROR(VLOOKUP($Y189,OFFSET([3]characters!$A$1,0,0,COUNTA([3]characters!$A:$A),MATCH(AB$1,[3]characters!$2:$2,0)-MATCH("character_id",[3]characters!$2:$2,0)+1),MATCH(AB$1,[3]characters!$2:$2,0)-MATCH("character_id",[3]characters!$2:$2,0)+1,FALSE),"")</f>
        <v/>
      </c>
      <c r="AC189" s="8">
        <v>4</v>
      </c>
      <c r="AD189" s="8" t="str">
        <f t="shared" ca="1" si="115"/>
        <v/>
      </c>
      <c r="AE189" s="9">
        <v>30</v>
      </c>
      <c r="AF189" s="38">
        <v>0</v>
      </c>
      <c r="AG189" s="38">
        <v>0</v>
      </c>
      <c r="AH189" s="38">
        <v>0</v>
      </c>
      <c r="AI189" s="38">
        <v>0</v>
      </c>
      <c r="AJ189" s="38">
        <v>1</v>
      </c>
    </row>
    <row r="190" spans="1:36" ht="21" customHeight="1" x14ac:dyDescent="0.15">
      <c r="A190" s="21" t="e">
        <f t="shared" ca="1" si="118"/>
        <v>#N/A</v>
      </c>
      <c r="B190" s="33">
        <v>6</v>
      </c>
      <c r="C190" s="32">
        <v>3</v>
      </c>
      <c r="D190" s="2" t="str">
        <f t="shared" si="116"/>
        <v>6_3</v>
      </c>
      <c r="E190" s="5" t="str">
        <f ca="1">VLOOKUP($B190,OFFSET([1]quests!$A$1,0,0,COUNTA([1]quests!$A:$A),MATCH(E$1,[1]quests!$1:$1,0)-MATCH($B$1,[1]quests!$1:$1,0)+1),MATCH(E$1,[1]quests!$1:$1,0)-MATCH($B$1,[1]quests!$1:$1,0)+1,FALSE)</f>
        <v>6．ドリームパーク</v>
      </c>
      <c r="F190" s="5" t="str">
        <f ca="1">VLOOKUP($D190,OFFSET([1]stages!$A$1,0,0,COUNTA([1]stages!$A:$A),MATCH(F$1,[1]stages!$2:$2,0)-MATCH($D$1,[1]stages!$2:$2,0)+1),MATCH(F$1,[1]stages!$2:$2,0)-MATCH($D$1,[1]stages!$2:$2,0)+1,FALSE)</f>
        <v>6-3. 正体不明のきぐるみ</v>
      </c>
      <c r="G190" s="32">
        <v>1</v>
      </c>
      <c r="H190" s="20" t="str">
        <f t="shared" si="117"/>
        <v>6_3-1</v>
      </c>
      <c r="I190" s="31">
        <v>3</v>
      </c>
      <c r="J190" s="26" t="e">
        <f ca="1">VLOOKUP($I190,OFFSET([2]enemies!$A$1,0,0,COUNTA([2]enemies!$A:$A),MATCH(J$1,[2]enemies!$2:$2,0)-MATCH($I$1,[2]enemies!$2:$2,0)+1),MATCH(J$1,[2]enemies!$2:$2,0)-MATCH($I$1,[2]enemies!$2:$2,0)+1,FALSE)</f>
        <v>#N/A</v>
      </c>
      <c r="K190" s="29" t="e">
        <f ca="1">VLOOKUP($I190,OFFSET([2]enemies!$A$1,0,0,COUNTA([2]enemies!$A:$A),MATCH(K$1,[2]enemies!$2:$2,0)-MATCH($I$1,[2]enemies!$2:$2,0)+1),MATCH(K$1,[2]enemies!$2:$2,0)-MATCH($I$1,[2]enemies!$2:$2,0)+1,FALSE)</f>
        <v>#N/A</v>
      </c>
      <c r="L190" s="29" t="e">
        <f ca="1">VLOOKUP($I190,OFFSET([3]characters!$A$1,0,0,COUNTA([3]characters!$A:$A),MATCH(L$1,[3]characters!$2:$2,0)-MATCH($I$1,[3]characters!$2:$2,0)+1),MATCH(L$1,[3]characters!$2:$2,0)-MATCH($I$1,[3]characters!$2:$2,0)+1,FALSE)</f>
        <v>#N/A</v>
      </c>
      <c r="M190" s="28" t="e">
        <f ca="1">VLOOKUP($I190,OFFSET([3]characters!$A$1,0,0,COUNTA([3]characters!$A:$A),MATCH(M$1,[3]characters!$2:$2,0)-MATCH($I$1,[3]characters!$2:$2,0)+2),MATCH(M$1,[3]characters!$2:$2,0)-MATCH($I$1,[3]characters!$2:$2,0)+2,FALSE)</f>
        <v>#N/A</v>
      </c>
      <c r="N190" s="5" t="e">
        <f ca="1">VLOOKUP($I190,OFFSET([2]enemies!$A$1,0,0,COUNTA([2]enemies!$A:$A),MATCH(N$1,[2]enemies!$2:$2,0)-MATCH($I$1,[2]enemies!$2:$2,0)+1),MATCH(N$1,[2]enemies!$2:$2,0)-MATCH($I$1,[2]enemies!$2:$2,0)+1,FALSE)</f>
        <v>#N/A</v>
      </c>
      <c r="O190" s="6">
        <v>9</v>
      </c>
      <c r="P190" s="43">
        <v>1</v>
      </c>
      <c r="Q190" s="43">
        <v>1</v>
      </c>
      <c r="R190" s="6">
        <v>0</v>
      </c>
      <c r="S190" s="5" t="str">
        <f ca="1">VLOOKUP($T190,OFFSET([4]enemy_skill_sets!$B$1,0,0,COUNTA([4]enemy_skill_sets!$B:$B),MATCH(J$1,[4]enemy_skill_sets!$1:$1,0)-MATCH($T$1,[4]enemy_skill_sets!$1:$1,0)+2),MATCH(J$1,[4]enemy_skill_sets!$1:$1,0)-MATCH($T$1,[4]enemy_skill_sets!$1:$1,0)+2,FALSE)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0" s="5">
        <v>0</v>
      </c>
      <c r="U190" s="7">
        <v>0</v>
      </c>
      <c r="V190" s="7">
        <v>100</v>
      </c>
      <c r="W190" s="7">
        <v>0</v>
      </c>
      <c r="X190" s="26" t="e">
        <f ca="1">VLOOKUP($I190,OFFSET([2]enemies!$A$1,0,0,COUNTA([2]enemies!$A:$A),MATCH(X$1,[2]enemies!$2:$2,0)-MATCH($I$1,[2]enemies!$2:$2,0)+1),MATCH(X$1,[2]enemies!$2:$2,0)-MATCH($I$1,[2]enemies!$2:$2,0)+1,FALSE)</f>
        <v>#N/A</v>
      </c>
      <c r="Y190" s="31">
        <v>3</v>
      </c>
      <c r="Z190" s="5" t="str">
        <f ca="1">IFERROR(VLOOKUP($Y190,OFFSET([3]characters!$A$1,0,0,COUNTA([3]characters!$A:$A),MATCH(Z$1,[3]characters!$2:$2,0)-MATCH("character_id",[3]characters!$2:$2,0)+1),MATCH(Z$1,[3]characters!$2:$2,0)-MATCH("character_id",[3]characters!$2:$2,0)+1,FALSE),"")</f>
        <v/>
      </c>
      <c r="AA190" s="5" t="str">
        <f ca="1">IFERROR(VLOOKUP($Y190,OFFSET([3]characters!$A$1,0,0,COUNTA([3]characters!$A:$A),MATCH(AA$1,[3]characters!$2:$2,0)-MATCH("character_id",[3]characters!$2:$2,0)+1),MATCH(AA$1,[3]characters!$2:$2,0)-MATCH("character_id",[3]characters!$2:$2,0)+1,FALSE),"")</f>
        <v/>
      </c>
      <c r="AB190" s="5" t="str">
        <f ca="1">IFERROR(VLOOKUP($Y190,OFFSET([3]characters!$A$1,0,0,COUNTA([3]characters!$A:$A),MATCH(AB$1,[3]characters!$2:$2,0)-MATCH("character_id",[3]characters!$2:$2,0)+1),MATCH(AB$1,[3]characters!$2:$2,0)-MATCH("character_id",[3]characters!$2:$2,0)+1,FALSE),"")</f>
        <v/>
      </c>
      <c r="AC190" s="8">
        <v>4</v>
      </c>
      <c r="AD190" s="8" t="str">
        <f t="shared" ca="1" si="115"/>
        <v/>
      </c>
      <c r="AE190" s="9">
        <v>30</v>
      </c>
      <c r="AF190" s="38">
        <v>0</v>
      </c>
      <c r="AG190" s="38">
        <v>0</v>
      </c>
      <c r="AH190" s="38">
        <v>0</v>
      </c>
      <c r="AI190" s="38">
        <v>0</v>
      </c>
      <c r="AJ190" s="38">
        <v>1</v>
      </c>
    </row>
    <row r="191" spans="1:36" ht="21" customHeight="1" x14ac:dyDescent="0.15">
      <c r="A191" s="21" t="e">
        <f t="shared" ca="1" si="118"/>
        <v>#N/A</v>
      </c>
      <c r="B191" s="33">
        <v>6</v>
      </c>
      <c r="C191" s="32">
        <v>3</v>
      </c>
      <c r="D191" s="2" t="str">
        <f t="shared" si="116"/>
        <v>6_3</v>
      </c>
      <c r="E191" s="5" t="str">
        <f ca="1">VLOOKUP($B191,OFFSET([1]quests!$A$1,0,0,COUNTA([1]quests!$A:$A),MATCH(E$1,[1]quests!$1:$1,0)-MATCH($B$1,[1]quests!$1:$1,0)+1),MATCH(E$1,[1]quests!$1:$1,0)-MATCH($B$1,[1]quests!$1:$1,0)+1,FALSE)</f>
        <v>6．ドリームパーク</v>
      </c>
      <c r="F191" s="5" t="str">
        <f ca="1">VLOOKUP($D191,OFFSET([1]stages!$A$1,0,0,COUNTA([1]stages!$A:$A),MATCH(F$1,[1]stages!$2:$2,0)-MATCH($D$1,[1]stages!$2:$2,0)+1),MATCH(F$1,[1]stages!$2:$2,0)-MATCH($D$1,[1]stages!$2:$2,0)+1,FALSE)</f>
        <v>6-3. 正体不明のきぐるみ</v>
      </c>
      <c r="G191" s="32">
        <v>1</v>
      </c>
      <c r="H191" s="20" t="str">
        <f t="shared" si="117"/>
        <v>6_3-1</v>
      </c>
      <c r="I191" s="31">
        <v>5</v>
      </c>
      <c r="J191" s="26" t="e">
        <f ca="1">VLOOKUP($I191,OFFSET([2]enemies!$A$1,0,0,COUNTA([2]enemies!$A:$A),MATCH(J$1,[2]enemies!$2:$2,0)-MATCH($I$1,[2]enemies!$2:$2,0)+1),MATCH(J$1,[2]enemies!$2:$2,0)-MATCH($I$1,[2]enemies!$2:$2,0)+1,FALSE)</f>
        <v>#N/A</v>
      </c>
      <c r="K191" s="29" t="e">
        <f ca="1">VLOOKUP($I191,OFFSET([2]enemies!$A$1,0,0,COUNTA([2]enemies!$A:$A),MATCH(K$1,[2]enemies!$2:$2,0)-MATCH($I$1,[2]enemies!$2:$2,0)+1),MATCH(K$1,[2]enemies!$2:$2,0)-MATCH($I$1,[2]enemies!$2:$2,0)+1,FALSE)</f>
        <v>#N/A</v>
      </c>
      <c r="L191" s="29" t="e">
        <f ca="1">VLOOKUP($I191,OFFSET([3]characters!$A$1,0,0,COUNTA([3]characters!$A:$A),MATCH(L$1,[3]characters!$2:$2,0)-MATCH($I$1,[3]characters!$2:$2,0)+1),MATCH(L$1,[3]characters!$2:$2,0)-MATCH($I$1,[3]characters!$2:$2,0)+1,FALSE)</f>
        <v>#N/A</v>
      </c>
      <c r="M191" s="28" t="e">
        <f ca="1">VLOOKUP($I191,OFFSET([3]characters!$A$1,0,0,COUNTA([3]characters!$A:$A),MATCH(M$1,[3]characters!$2:$2,0)-MATCH($I$1,[3]characters!$2:$2,0)+2),MATCH(M$1,[3]characters!$2:$2,0)-MATCH($I$1,[3]characters!$2:$2,0)+2,FALSE)</f>
        <v>#N/A</v>
      </c>
      <c r="N191" s="5" t="e">
        <f ca="1">VLOOKUP($I191,OFFSET([2]enemies!$A$1,0,0,COUNTA([2]enemies!$A:$A),MATCH(N$1,[2]enemies!$2:$2,0)-MATCH($I$1,[2]enemies!$2:$2,0)+1),MATCH(N$1,[2]enemies!$2:$2,0)-MATCH($I$1,[2]enemies!$2:$2,0)+1,FALSE)</f>
        <v>#N/A</v>
      </c>
      <c r="O191" s="6">
        <v>9</v>
      </c>
      <c r="P191" s="43">
        <v>1</v>
      </c>
      <c r="Q191" s="43">
        <v>1</v>
      </c>
      <c r="R191" s="6">
        <v>0</v>
      </c>
      <c r="S191" s="5" t="str">
        <f ca="1">VLOOKUP($T191,OFFSET([4]enemy_skill_sets!$B$1,0,0,COUNTA([4]enemy_skill_sets!$B:$B),MATCH(J$1,[4]enemy_skill_sets!$1:$1,0)-MATCH($T$1,[4]enemy_skill_sets!$1:$1,0)+2),MATCH(J$1,[4]enemy_skill_sets!$1:$1,0)-MATCH($T$1,[4]enemy_skill_sets!$1:$1,0)+2,FALSE)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1" s="5">
        <v>0</v>
      </c>
      <c r="U191" s="7">
        <v>0</v>
      </c>
      <c r="V191" s="7">
        <v>100</v>
      </c>
      <c r="W191" s="7">
        <v>0</v>
      </c>
      <c r="X191" s="26" t="e">
        <f ca="1">VLOOKUP($I191,OFFSET([2]enemies!$A$1,0,0,COUNTA([2]enemies!$A:$A),MATCH(X$1,[2]enemies!$2:$2,0)-MATCH($I$1,[2]enemies!$2:$2,0)+1),MATCH(X$1,[2]enemies!$2:$2,0)-MATCH($I$1,[2]enemies!$2:$2,0)+1,FALSE)</f>
        <v>#N/A</v>
      </c>
      <c r="Y191" s="31">
        <v>5</v>
      </c>
      <c r="Z191" s="5" t="str">
        <f ca="1">IFERROR(VLOOKUP($Y191,OFFSET([3]characters!$A$1,0,0,COUNTA([3]characters!$A:$A),MATCH(Z$1,[3]characters!$2:$2,0)-MATCH("character_id",[3]characters!$2:$2,0)+1),MATCH(Z$1,[3]characters!$2:$2,0)-MATCH("character_id",[3]characters!$2:$2,0)+1,FALSE),"")</f>
        <v/>
      </c>
      <c r="AA191" s="5" t="str">
        <f ca="1">IFERROR(VLOOKUP($Y191,OFFSET([3]characters!$A$1,0,0,COUNTA([3]characters!$A:$A),MATCH(AA$1,[3]characters!$2:$2,0)-MATCH("character_id",[3]characters!$2:$2,0)+1),MATCH(AA$1,[3]characters!$2:$2,0)-MATCH("character_id",[3]characters!$2:$2,0)+1,FALSE),"")</f>
        <v/>
      </c>
      <c r="AB191" s="5" t="str">
        <f ca="1">IFERROR(VLOOKUP($Y191,OFFSET([3]characters!$A$1,0,0,COUNTA([3]characters!$A:$A),MATCH(AB$1,[3]characters!$2:$2,0)-MATCH("character_id",[3]characters!$2:$2,0)+1),MATCH(AB$1,[3]characters!$2:$2,0)-MATCH("character_id",[3]characters!$2:$2,0)+1,FALSE),"")</f>
        <v/>
      </c>
      <c r="AC191" s="8">
        <v>4</v>
      </c>
      <c r="AD191" s="8" t="str">
        <f t="shared" ca="1" si="115"/>
        <v/>
      </c>
      <c r="AE191" s="9">
        <v>30</v>
      </c>
      <c r="AF191" s="38">
        <v>0</v>
      </c>
      <c r="AG191" s="38">
        <v>0</v>
      </c>
      <c r="AH191" s="38">
        <v>0</v>
      </c>
      <c r="AI191" s="38">
        <v>0</v>
      </c>
      <c r="AJ191" s="38">
        <v>1</v>
      </c>
    </row>
    <row r="192" spans="1:36" ht="21" customHeight="1" x14ac:dyDescent="0.15">
      <c r="A192" s="21" t="e">
        <f t="shared" ca="1" si="118"/>
        <v>#N/A</v>
      </c>
      <c r="B192" s="33">
        <v>6</v>
      </c>
      <c r="C192" s="32">
        <v>3</v>
      </c>
      <c r="D192" s="2" t="str">
        <f t="shared" si="116"/>
        <v>6_3</v>
      </c>
      <c r="E192" s="5" t="str">
        <f ca="1">VLOOKUP($B192,OFFSET([1]quests!$A$1,0,0,COUNTA([1]quests!$A:$A),MATCH(E$1,[1]quests!$1:$1,0)-MATCH($B$1,[1]quests!$1:$1,0)+1),MATCH(E$1,[1]quests!$1:$1,0)-MATCH($B$1,[1]quests!$1:$1,0)+1,FALSE)</f>
        <v>6．ドリームパーク</v>
      </c>
      <c r="F192" s="5" t="str">
        <f ca="1">VLOOKUP($D192,OFFSET([1]stages!$A$1,0,0,COUNTA([1]stages!$A:$A),MATCH(F$1,[1]stages!$2:$2,0)-MATCH($D$1,[1]stages!$2:$2,0)+1),MATCH(F$1,[1]stages!$2:$2,0)-MATCH($D$1,[1]stages!$2:$2,0)+1,FALSE)</f>
        <v>6-3. 正体不明のきぐるみ</v>
      </c>
      <c r="G192" s="32">
        <v>1</v>
      </c>
      <c r="H192" s="20" t="str">
        <f t="shared" si="117"/>
        <v>6_3-1</v>
      </c>
      <c r="I192" s="31">
        <v>7</v>
      </c>
      <c r="J192" s="26" t="e">
        <f ca="1">VLOOKUP($I192,OFFSET([2]enemies!$A$1,0,0,COUNTA([2]enemies!$A:$A),MATCH(J$1,[2]enemies!$2:$2,0)-MATCH($I$1,[2]enemies!$2:$2,0)+1),MATCH(J$1,[2]enemies!$2:$2,0)-MATCH($I$1,[2]enemies!$2:$2,0)+1,FALSE)</f>
        <v>#N/A</v>
      </c>
      <c r="K192" s="29" t="e">
        <f ca="1">VLOOKUP($I192,OFFSET([2]enemies!$A$1,0,0,COUNTA([2]enemies!$A:$A),MATCH(K$1,[2]enemies!$2:$2,0)-MATCH($I$1,[2]enemies!$2:$2,0)+1),MATCH(K$1,[2]enemies!$2:$2,0)-MATCH($I$1,[2]enemies!$2:$2,0)+1,FALSE)</f>
        <v>#N/A</v>
      </c>
      <c r="L192" s="29" t="e">
        <f ca="1">VLOOKUP($I192,OFFSET([3]characters!$A$1,0,0,COUNTA([3]characters!$A:$A),MATCH(L$1,[3]characters!$2:$2,0)-MATCH($I$1,[3]characters!$2:$2,0)+1),MATCH(L$1,[3]characters!$2:$2,0)-MATCH($I$1,[3]characters!$2:$2,0)+1,FALSE)</f>
        <v>#N/A</v>
      </c>
      <c r="M192" s="28" t="e">
        <f ca="1">VLOOKUP($I192,OFFSET([3]characters!$A$1,0,0,COUNTA([3]characters!$A:$A),MATCH(M$1,[3]characters!$2:$2,0)-MATCH($I$1,[3]characters!$2:$2,0)+2),MATCH(M$1,[3]characters!$2:$2,0)-MATCH($I$1,[3]characters!$2:$2,0)+2,FALSE)</f>
        <v>#N/A</v>
      </c>
      <c r="N192" s="5" t="e">
        <f ca="1">VLOOKUP($I192,OFFSET([2]enemies!$A$1,0,0,COUNTA([2]enemies!$A:$A),MATCH(N$1,[2]enemies!$2:$2,0)-MATCH($I$1,[2]enemies!$2:$2,0)+1),MATCH(N$1,[2]enemies!$2:$2,0)-MATCH($I$1,[2]enemies!$2:$2,0)+1,FALSE)</f>
        <v>#N/A</v>
      </c>
      <c r="O192" s="6">
        <v>9</v>
      </c>
      <c r="P192" s="43">
        <v>1</v>
      </c>
      <c r="Q192" s="43">
        <v>1</v>
      </c>
      <c r="R192" s="6">
        <v>0</v>
      </c>
      <c r="S192" s="5" t="str">
        <f ca="1">VLOOKUP($T192,OFFSET([4]enemy_skill_sets!$B$1,0,0,COUNTA([4]enemy_skill_sets!$B:$B),MATCH(J$1,[4]enemy_skill_sets!$1:$1,0)-MATCH($T$1,[4]enemy_skill_sets!$1:$1,0)+2),MATCH(J$1,[4]enemy_skill_sets!$1:$1,0)-MATCH($T$1,[4]enemy_skill_sets!$1:$1,0)+2,FALSE)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2" s="5">
        <v>0</v>
      </c>
      <c r="U192" s="7">
        <v>0</v>
      </c>
      <c r="V192" s="7">
        <v>100</v>
      </c>
      <c r="W192" s="7">
        <v>0</v>
      </c>
      <c r="X192" s="26" t="e">
        <f ca="1">VLOOKUP($I192,OFFSET([2]enemies!$A$1,0,0,COUNTA([2]enemies!$A:$A),MATCH(X$1,[2]enemies!$2:$2,0)-MATCH($I$1,[2]enemies!$2:$2,0)+1),MATCH(X$1,[2]enemies!$2:$2,0)-MATCH($I$1,[2]enemies!$2:$2,0)+1,FALSE)</f>
        <v>#N/A</v>
      </c>
      <c r="Y192" s="31">
        <v>7</v>
      </c>
      <c r="Z192" s="5" t="str">
        <f ca="1">IFERROR(VLOOKUP($Y192,OFFSET([3]characters!$A$1,0,0,COUNTA([3]characters!$A:$A),MATCH(Z$1,[3]characters!$2:$2,0)-MATCH("character_id",[3]characters!$2:$2,0)+1),MATCH(Z$1,[3]characters!$2:$2,0)-MATCH("character_id",[3]characters!$2:$2,0)+1,FALSE),"")</f>
        <v/>
      </c>
      <c r="AA192" s="5" t="str">
        <f ca="1">IFERROR(VLOOKUP($Y192,OFFSET([3]characters!$A$1,0,0,COUNTA([3]characters!$A:$A),MATCH(AA$1,[3]characters!$2:$2,0)-MATCH("character_id",[3]characters!$2:$2,0)+1),MATCH(AA$1,[3]characters!$2:$2,0)-MATCH("character_id",[3]characters!$2:$2,0)+1,FALSE),"")</f>
        <v/>
      </c>
      <c r="AB192" s="5" t="str">
        <f ca="1">IFERROR(VLOOKUP($Y192,OFFSET([3]characters!$A$1,0,0,COUNTA([3]characters!$A:$A),MATCH(AB$1,[3]characters!$2:$2,0)-MATCH("character_id",[3]characters!$2:$2,0)+1),MATCH(AB$1,[3]characters!$2:$2,0)-MATCH("character_id",[3]characters!$2:$2,0)+1,FALSE),"")</f>
        <v/>
      </c>
      <c r="AC192" s="8">
        <v>4</v>
      </c>
      <c r="AD192" s="8" t="str">
        <f t="shared" ca="1" si="115"/>
        <v/>
      </c>
      <c r="AE192" s="9">
        <v>30</v>
      </c>
      <c r="AF192" s="38">
        <v>0</v>
      </c>
      <c r="AG192" s="38">
        <v>0</v>
      </c>
      <c r="AH192" s="38">
        <v>0</v>
      </c>
      <c r="AI192" s="38">
        <v>0</v>
      </c>
      <c r="AJ192" s="38">
        <v>1</v>
      </c>
    </row>
    <row r="193" spans="1:36" ht="21" customHeight="1" x14ac:dyDescent="0.15">
      <c r="A193" s="21" t="e">
        <f t="shared" ca="1" si="118"/>
        <v>#N/A</v>
      </c>
      <c r="B193" s="33">
        <v>6</v>
      </c>
      <c r="C193" s="32">
        <v>3</v>
      </c>
      <c r="D193" s="2" t="str">
        <f t="shared" si="116"/>
        <v>6_3</v>
      </c>
      <c r="E193" s="5" t="str">
        <f ca="1">VLOOKUP($B193,OFFSET([1]quests!$A$1,0,0,COUNTA([1]quests!$A:$A),MATCH(E$1,[1]quests!$1:$1,0)-MATCH($B$1,[1]quests!$1:$1,0)+1),MATCH(E$1,[1]quests!$1:$1,0)-MATCH($B$1,[1]quests!$1:$1,0)+1,FALSE)</f>
        <v>6．ドリームパーク</v>
      </c>
      <c r="F193" s="5" t="str">
        <f ca="1">VLOOKUP($D193,OFFSET([1]stages!$A$1,0,0,COUNTA([1]stages!$A:$A),MATCH(F$1,[1]stages!$2:$2,0)-MATCH($D$1,[1]stages!$2:$2,0)+1),MATCH(F$1,[1]stages!$2:$2,0)-MATCH($D$1,[1]stages!$2:$2,0)+1,FALSE)</f>
        <v>6-3. 正体不明のきぐるみ</v>
      </c>
      <c r="G193" s="32">
        <v>2</v>
      </c>
      <c r="H193" s="20" t="str">
        <f t="shared" si="117"/>
        <v>6_3-2</v>
      </c>
      <c r="I193" s="31">
        <v>9</v>
      </c>
      <c r="J193" s="26" t="e">
        <f ca="1">VLOOKUP($I193,OFFSET([2]enemies!$A$1,0,0,COUNTA([2]enemies!$A:$A),MATCH(J$1,[2]enemies!$2:$2,0)-MATCH($I$1,[2]enemies!$2:$2,0)+1),MATCH(J$1,[2]enemies!$2:$2,0)-MATCH($I$1,[2]enemies!$2:$2,0)+1,FALSE)</f>
        <v>#N/A</v>
      </c>
      <c r="K193" s="29" t="e">
        <f ca="1">VLOOKUP($I193,OFFSET([2]enemies!$A$1,0,0,COUNTA([2]enemies!$A:$A),MATCH(K$1,[2]enemies!$2:$2,0)-MATCH($I$1,[2]enemies!$2:$2,0)+1),MATCH(K$1,[2]enemies!$2:$2,0)-MATCH($I$1,[2]enemies!$2:$2,0)+1,FALSE)</f>
        <v>#N/A</v>
      </c>
      <c r="L193" s="29" t="e">
        <f ca="1">VLOOKUP($I193,OFFSET([3]characters!$A$1,0,0,COUNTA([3]characters!$A:$A),MATCH(L$1,[3]characters!$2:$2,0)-MATCH($I$1,[3]characters!$2:$2,0)+1),MATCH(L$1,[3]characters!$2:$2,0)-MATCH($I$1,[3]characters!$2:$2,0)+1,FALSE)</f>
        <v>#N/A</v>
      </c>
      <c r="M193" s="28" t="e">
        <f ca="1">VLOOKUP($I193,OFFSET([3]characters!$A$1,0,0,COUNTA([3]characters!$A:$A),MATCH(M$1,[3]characters!$2:$2,0)-MATCH($I$1,[3]characters!$2:$2,0)+2),MATCH(M$1,[3]characters!$2:$2,0)-MATCH($I$1,[3]characters!$2:$2,0)+2,FALSE)</f>
        <v>#N/A</v>
      </c>
      <c r="N193" s="5" t="e">
        <f ca="1">VLOOKUP($I193,OFFSET([2]enemies!$A$1,0,0,COUNTA([2]enemies!$A:$A),MATCH(N$1,[2]enemies!$2:$2,0)-MATCH($I$1,[2]enemies!$2:$2,0)+1),MATCH(N$1,[2]enemies!$2:$2,0)-MATCH($I$1,[2]enemies!$2:$2,0)+1,FALSE)</f>
        <v>#N/A</v>
      </c>
      <c r="O193" s="6">
        <v>9</v>
      </c>
      <c r="P193" s="43">
        <v>1</v>
      </c>
      <c r="Q193" s="43">
        <v>1</v>
      </c>
      <c r="R193" s="6">
        <v>0</v>
      </c>
      <c r="S193" s="5" t="str">
        <f ca="1">VLOOKUP($T193,OFFSET([4]enemy_skill_sets!$B$1,0,0,COUNTA([4]enemy_skill_sets!$B:$B),MATCH(J$1,[4]enemy_skill_sets!$1:$1,0)-MATCH($T$1,[4]enemy_skill_sets!$1:$1,0)+2),MATCH(J$1,[4]enemy_skill_sets!$1:$1,0)-MATCH($T$1,[4]enemy_skill_sets!$1:$1,0)+2,FALSE)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3" s="5">
        <v>0</v>
      </c>
      <c r="U193" s="7">
        <v>0</v>
      </c>
      <c r="V193" s="7">
        <v>100</v>
      </c>
      <c r="W193" s="7">
        <v>0</v>
      </c>
      <c r="X193" s="26" t="e">
        <f ca="1">VLOOKUP($I193,OFFSET([2]enemies!$A$1,0,0,COUNTA([2]enemies!$A:$A),MATCH(X$1,[2]enemies!$2:$2,0)-MATCH($I$1,[2]enemies!$2:$2,0)+1),MATCH(X$1,[2]enemies!$2:$2,0)-MATCH($I$1,[2]enemies!$2:$2,0)+1,FALSE)</f>
        <v>#N/A</v>
      </c>
      <c r="Y193" s="31">
        <v>9</v>
      </c>
      <c r="Z193" s="5" t="str">
        <f ca="1">IFERROR(VLOOKUP($Y193,OFFSET([3]characters!$A$1,0,0,COUNTA([3]characters!$A:$A),MATCH(Z$1,[3]characters!$2:$2,0)-MATCH("character_id",[3]characters!$2:$2,0)+1),MATCH(Z$1,[3]characters!$2:$2,0)-MATCH("character_id",[3]characters!$2:$2,0)+1,FALSE),"")</f>
        <v/>
      </c>
      <c r="AA193" s="5" t="str">
        <f ca="1">IFERROR(VLOOKUP($Y193,OFFSET([3]characters!$A$1,0,0,COUNTA([3]characters!$A:$A),MATCH(AA$1,[3]characters!$2:$2,0)-MATCH("character_id",[3]characters!$2:$2,0)+1),MATCH(AA$1,[3]characters!$2:$2,0)-MATCH("character_id",[3]characters!$2:$2,0)+1,FALSE),"")</f>
        <v/>
      </c>
      <c r="AB193" s="5" t="str">
        <f ca="1">IFERROR(VLOOKUP($Y193,OFFSET([3]characters!$A$1,0,0,COUNTA([3]characters!$A:$A),MATCH(AB$1,[3]characters!$2:$2,0)-MATCH("character_id",[3]characters!$2:$2,0)+1),MATCH(AB$1,[3]characters!$2:$2,0)-MATCH("character_id",[3]characters!$2:$2,0)+1,FALSE),"")</f>
        <v/>
      </c>
      <c r="AC193" s="8">
        <v>2</v>
      </c>
      <c r="AD193" s="8" t="str">
        <f t="shared" ca="1" si="115"/>
        <v/>
      </c>
      <c r="AE193" s="9">
        <v>30</v>
      </c>
      <c r="AF193" s="38">
        <v>0</v>
      </c>
      <c r="AG193" s="38">
        <v>0</v>
      </c>
      <c r="AH193" s="38">
        <v>0</v>
      </c>
      <c r="AI193" s="38">
        <v>0</v>
      </c>
      <c r="AJ193" s="38">
        <v>1</v>
      </c>
    </row>
    <row r="194" spans="1:36" ht="21" customHeight="1" x14ac:dyDescent="0.15">
      <c r="A194" s="21" t="e">
        <f t="shared" ca="1" si="118"/>
        <v>#N/A</v>
      </c>
      <c r="B194" s="33">
        <v>6</v>
      </c>
      <c r="C194" s="32">
        <v>3</v>
      </c>
      <c r="D194" s="2" t="str">
        <f t="shared" si="116"/>
        <v>6_3</v>
      </c>
      <c r="E194" s="5" t="str">
        <f ca="1">VLOOKUP($B194,OFFSET([1]quests!$A$1,0,0,COUNTA([1]quests!$A:$A),MATCH(E$1,[1]quests!$1:$1,0)-MATCH($B$1,[1]quests!$1:$1,0)+1),MATCH(E$1,[1]quests!$1:$1,0)-MATCH($B$1,[1]quests!$1:$1,0)+1,FALSE)</f>
        <v>6．ドリームパーク</v>
      </c>
      <c r="F194" s="5" t="str">
        <f ca="1">VLOOKUP($D194,OFFSET([1]stages!$A$1,0,0,COUNTA([1]stages!$A:$A),MATCH(F$1,[1]stages!$2:$2,0)-MATCH($D$1,[1]stages!$2:$2,0)+1),MATCH(F$1,[1]stages!$2:$2,0)-MATCH($D$1,[1]stages!$2:$2,0)+1,FALSE)</f>
        <v>6-3. 正体不明のきぐるみ</v>
      </c>
      <c r="G194" s="32">
        <v>2</v>
      </c>
      <c r="H194" s="20" t="str">
        <f t="shared" si="117"/>
        <v>6_3-2</v>
      </c>
      <c r="I194" s="31">
        <v>11</v>
      </c>
      <c r="J194" s="26" t="e">
        <f ca="1">VLOOKUP($I194,OFFSET([2]enemies!$A$1,0,0,COUNTA([2]enemies!$A:$A),MATCH(J$1,[2]enemies!$2:$2,0)-MATCH($I$1,[2]enemies!$2:$2,0)+1),MATCH(J$1,[2]enemies!$2:$2,0)-MATCH($I$1,[2]enemies!$2:$2,0)+1,FALSE)</f>
        <v>#N/A</v>
      </c>
      <c r="K194" s="29" t="e">
        <f ca="1">VLOOKUP($I194,OFFSET([2]enemies!$A$1,0,0,COUNTA([2]enemies!$A:$A),MATCH(K$1,[2]enemies!$2:$2,0)-MATCH($I$1,[2]enemies!$2:$2,0)+1),MATCH(K$1,[2]enemies!$2:$2,0)-MATCH($I$1,[2]enemies!$2:$2,0)+1,FALSE)</f>
        <v>#N/A</v>
      </c>
      <c r="L194" s="29" t="e">
        <f ca="1">VLOOKUP($I194,OFFSET([3]characters!$A$1,0,0,COUNTA([3]characters!$A:$A),MATCH(L$1,[3]characters!$2:$2,0)-MATCH($I$1,[3]characters!$2:$2,0)+1),MATCH(L$1,[3]characters!$2:$2,0)-MATCH($I$1,[3]characters!$2:$2,0)+1,FALSE)</f>
        <v>#N/A</v>
      </c>
      <c r="M194" s="28" t="e">
        <f ca="1">VLOOKUP($I194,OFFSET([3]characters!$A$1,0,0,COUNTA([3]characters!$A:$A),MATCH(M$1,[3]characters!$2:$2,0)-MATCH($I$1,[3]characters!$2:$2,0)+2),MATCH(M$1,[3]characters!$2:$2,0)-MATCH($I$1,[3]characters!$2:$2,0)+2,FALSE)</f>
        <v>#N/A</v>
      </c>
      <c r="N194" s="5" t="e">
        <f ca="1">VLOOKUP($I194,OFFSET([2]enemies!$A$1,0,0,COUNTA([2]enemies!$A:$A),MATCH(N$1,[2]enemies!$2:$2,0)-MATCH($I$1,[2]enemies!$2:$2,0)+1),MATCH(N$1,[2]enemies!$2:$2,0)-MATCH($I$1,[2]enemies!$2:$2,0)+1,FALSE)</f>
        <v>#N/A</v>
      </c>
      <c r="O194" s="6">
        <v>9</v>
      </c>
      <c r="P194" s="43">
        <v>1</v>
      </c>
      <c r="Q194" s="43">
        <v>1</v>
      </c>
      <c r="R194" s="6">
        <v>0</v>
      </c>
      <c r="S194" s="5" t="str">
        <f ca="1">VLOOKUP($T194,OFFSET([4]enemy_skill_sets!$B$1,0,0,COUNTA([4]enemy_skill_sets!$B:$B),MATCH(J$1,[4]enemy_skill_sets!$1:$1,0)-MATCH($T$1,[4]enemy_skill_sets!$1:$1,0)+2),MATCH(J$1,[4]enemy_skill_sets!$1:$1,0)-MATCH($T$1,[4]enemy_skill_sets!$1:$1,0)+2,FALSE)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4" s="5">
        <v>0</v>
      </c>
      <c r="U194" s="7">
        <v>0</v>
      </c>
      <c r="V194" s="7">
        <v>100</v>
      </c>
      <c r="W194" s="7">
        <v>0</v>
      </c>
      <c r="X194" s="26" t="e">
        <f ca="1">VLOOKUP($I194,OFFSET([2]enemies!$A$1,0,0,COUNTA([2]enemies!$A:$A),MATCH(X$1,[2]enemies!$2:$2,0)-MATCH($I$1,[2]enemies!$2:$2,0)+1),MATCH(X$1,[2]enemies!$2:$2,0)-MATCH($I$1,[2]enemies!$2:$2,0)+1,FALSE)</f>
        <v>#N/A</v>
      </c>
      <c r="Y194" s="31">
        <v>11</v>
      </c>
      <c r="Z194" s="5" t="str">
        <f ca="1">IFERROR(VLOOKUP($Y194,OFFSET([3]characters!$A$1,0,0,COUNTA([3]characters!$A:$A),MATCH(Z$1,[3]characters!$2:$2,0)-MATCH("character_id",[3]characters!$2:$2,0)+1),MATCH(Z$1,[3]characters!$2:$2,0)-MATCH("character_id",[3]characters!$2:$2,0)+1,FALSE),"")</f>
        <v/>
      </c>
      <c r="AA194" s="5" t="str">
        <f ca="1">IFERROR(VLOOKUP($Y194,OFFSET([3]characters!$A$1,0,0,COUNTA([3]characters!$A:$A),MATCH(AA$1,[3]characters!$2:$2,0)-MATCH("character_id",[3]characters!$2:$2,0)+1),MATCH(AA$1,[3]characters!$2:$2,0)-MATCH("character_id",[3]characters!$2:$2,0)+1,FALSE),"")</f>
        <v/>
      </c>
      <c r="AB194" s="5" t="str">
        <f ca="1">IFERROR(VLOOKUP($Y194,OFFSET([3]characters!$A$1,0,0,COUNTA([3]characters!$A:$A),MATCH(AB$1,[3]characters!$2:$2,0)-MATCH("character_id",[3]characters!$2:$2,0)+1),MATCH(AB$1,[3]characters!$2:$2,0)-MATCH("character_id",[3]characters!$2:$2,0)+1,FALSE),"")</f>
        <v/>
      </c>
      <c r="AC194" s="8">
        <v>2</v>
      </c>
      <c r="AD194" s="8" t="str">
        <f t="shared" ca="1" si="115"/>
        <v/>
      </c>
      <c r="AE194" s="9">
        <v>30</v>
      </c>
      <c r="AF194" s="38">
        <v>0</v>
      </c>
      <c r="AG194" s="38">
        <v>0</v>
      </c>
      <c r="AH194" s="38">
        <v>0</v>
      </c>
      <c r="AI194" s="38">
        <v>0</v>
      </c>
      <c r="AJ194" s="38">
        <v>1</v>
      </c>
    </row>
    <row r="195" spans="1:36" ht="21" customHeight="1" x14ac:dyDescent="0.15">
      <c r="A195" s="21" t="e">
        <f t="shared" ca="1" si="118"/>
        <v>#N/A</v>
      </c>
      <c r="B195" s="33">
        <v>6</v>
      </c>
      <c r="C195" s="32">
        <v>3</v>
      </c>
      <c r="D195" s="2" t="str">
        <f t="shared" si="116"/>
        <v>6_3</v>
      </c>
      <c r="E195" s="5" t="str">
        <f ca="1">VLOOKUP($B195,OFFSET([1]quests!$A$1,0,0,COUNTA([1]quests!$A:$A),MATCH(E$1,[1]quests!$1:$1,0)-MATCH($B$1,[1]quests!$1:$1,0)+1),MATCH(E$1,[1]quests!$1:$1,0)-MATCH($B$1,[1]quests!$1:$1,0)+1,FALSE)</f>
        <v>6．ドリームパーク</v>
      </c>
      <c r="F195" s="5" t="str">
        <f ca="1">VLOOKUP($D195,OFFSET([1]stages!$A$1,0,0,COUNTA([1]stages!$A:$A),MATCH(F$1,[1]stages!$2:$2,0)-MATCH($D$1,[1]stages!$2:$2,0)+1),MATCH(F$1,[1]stages!$2:$2,0)-MATCH($D$1,[1]stages!$2:$2,0)+1,FALSE)</f>
        <v>6-3. 正体不明のきぐるみ</v>
      </c>
      <c r="G195" s="32">
        <v>2</v>
      </c>
      <c r="H195" s="20" t="str">
        <f t="shared" si="117"/>
        <v>6_3-2</v>
      </c>
      <c r="I195" s="31">
        <v>13</v>
      </c>
      <c r="J195" s="26" t="e">
        <f ca="1">VLOOKUP($I195,OFFSET([2]enemies!$A$1,0,0,COUNTA([2]enemies!$A:$A),MATCH(J$1,[2]enemies!$2:$2,0)-MATCH($I$1,[2]enemies!$2:$2,0)+1),MATCH(J$1,[2]enemies!$2:$2,0)-MATCH($I$1,[2]enemies!$2:$2,0)+1,FALSE)</f>
        <v>#N/A</v>
      </c>
      <c r="K195" s="29" t="e">
        <f ca="1">VLOOKUP($I195,OFFSET([2]enemies!$A$1,0,0,COUNTA([2]enemies!$A:$A),MATCH(K$1,[2]enemies!$2:$2,0)-MATCH($I$1,[2]enemies!$2:$2,0)+1),MATCH(K$1,[2]enemies!$2:$2,0)-MATCH($I$1,[2]enemies!$2:$2,0)+1,FALSE)</f>
        <v>#N/A</v>
      </c>
      <c r="L195" s="29" t="e">
        <f ca="1">VLOOKUP($I195,OFFSET([3]characters!$A$1,0,0,COUNTA([3]characters!$A:$A),MATCH(L$1,[3]characters!$2:$2,0)-MATCH($I$1,[3]characters!$2:$2,0)+1),MATCH(L$1,[3]characters!$2:$2,0)-MATCH($I$1,[3]characters!$2:$2,0)+1,FALSE)</f>
        <v>#N/A</v>
      </c>
      <c r="M195" s="28" t="e">
        <f ca="1">VLOOKUP($I195,OFFSET([3]characters!$A$1,0,0,COUNTA([3]characters!$A:$A),MATCH(M$1,[3]characters!$2:$2,0)-MATCH($I$1,[3]characters!$2:$2,0)+2),MATCH(M$1,[3]characters!$2:$2,0)-MATCH($I$1,[3]characters!$2:$2,0)+2,FALSE)</f>
        <v>#N/A</v>
      </c>
      <c r="N195" s="5" t="e">
        <f ca="1">VLOOKUP($I195,OFFSET([2]enemies!$A$1,0,0,COUNTA([2]enemies!$A:$A),MATCH(N$1,[2]enemies!$2:$2,0)-MATCH($I$1,[2]enemies!$2:$2,0)+1),MATCH(N$1,[2]enemies!$2:$2,0)-MATCH($I$1,[2]enemies!$2:$2,0)+1,FALSE)</f>
        <v>#N/A</v>
      </c>
      <c r="O195" s="6">
        <v>9</v>
      </c>
      <c r="P195" s="43">
        <v>1</v>
      </c>
      <c r="Q195" s="43">
        <v>1</v>
      </c>
      <c r="R195" s="6">
        <v>0</v>
      </c>
      <c r="S195" s="5" t="str">
        <f ca="1">VLOOKUP($T195,OFFSET([4]enemy_skill_sets!$B$1,0,0,COUNTA([4]enemy_skill_sets!$B:$B),MATCH(J$1,[4]enemy_skill_sets!$1:$1,0)-MATCH($T$1,[4]enemy_skill_sets!$1:$1,0)+2),MATCH(J$1,[4]enemy_skill_sets!$1:$1,0)-MATCH($T$1,[4]enemy_skill_sets!$1:$1,0)+2,FALSE)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5" s="5">
        <v>0</v>
      </c>
      <c r="U195" s="7">
        <v>0</v>
      </c>
      <c r="V195" s="7">
        <v>100</v>
      </c>
      <c r="W195" s="7">
        <v>0</v>
      </c>
      <c r="X195" s="26" t="e">
        <f ca="1">VLOOKUP($I195,OFFSET([2]enemies!$A$1,0,0,COUNTA([2]enemies!$A:$A),MATCH(X$1,[2]enemies!$2:$2,0)-MATCH($I$1,[2]enemies!$2:$2,0)+1),MATCH(X$1,[2]enemies!$2:$2,0)-MATCH($I$1,[2]enemies!$2:$2,0)+1,FALSE)</f>
        <v>#N/A</v>
      </c>
      <c r="Y195" s="31">
        <v>13</v>
      </c>
      <c r="Z195" s="5" t="str">
        <f ca="1">IFERROR(VLOOKUP($Y195,OFFSET([3]characters!$A$1,0,0,COUNTA([3]characters!$A:$A),MATCH(Z$1,[3]characters!$2:$2,0)-MATCH("character_id",[3]characters!$2:$2,0)+1),MATCH(Z$1,[3]characters!$2:$2,0)-MATCH("character_id",[3]characters!$2:$2,0)+1,FALSE),"")</f>
        <v/>
      </c>
      <c r="AA195" s="5" t="str">
        <f ca="1">IFERROR(VLOOKUP($Y195,OFFSET([3]characters!$A$1,0,0,COUNTA([3]characters!$A:$A),MATCH(AA$1,[3]characters!$2:$2,0)-MATCH("character_id",[3]characters!$2:$2,0)+1),MATCH(AA$1,[3]characters!$2:$2,0)-MATCH("character_id",[3]characters!$2:$2,0)+1,FALSE),"")</f>
        <v/>
      </c>
      <c r="AB195" s="5" t="str">
        <f ca="1">IFERROR(VLOOKUP($Y195,OFFSET([3]characters!$A$1,0,0,COUNTA([3]characters!$A:$A),MATCH(AB$1,[3]characters!$2:$2,0)-MATCH("character_id",[3]characters!$2:$2,0)+1),MATCH(AB$1,[3]characters!$2:$2,0)-MATCH("character_id",[3]characters!$2:$2,0)+1,FALSE),"")</f>
        <v/>
      </c>
      <c r="AC195" s="8">
        <v>2</v>
      </c>
      <c r="AD195" s="8" t="str">
        <f t="shared" ca="1" si="115"/>
        <v/>
      </c>
      <c r="AE195" s="9">
        <v>30</v>
      </c>
      <c r="AF195" s="38">
        <v>0</v>
      </c>
      <c r="AG195" s="38">
        <v>0</v>
      </c>
      <c r="AH195" s="38">
        <v>0</v>
      </c>
      <c r="AI195" s="38">
        <v>0</v>
      </c>
      <c r="AJ195" s="38">
        <v>1</v>
      </c>
    </row>
    <row r="196" spans="1:36" ht="21" customHeight="1" x14ac:dyDescent="0.15">
      <c r="A196" s="21" t="e">
        <f t="shared" ca="1" si="118"/>
        <v>#N/A</v>
      </c>
      <c r="B196" s="33">
        <v>6</v>
      </c>
      <c r="C196" s="32">
        <v>3</v>
      </c>
      <c r="D196" s="2" t="str">
        <f t="shared" si="116"/>
        <v>6_3</v>
      </c>
      <c r="E196" s="5" t="str">
        <f ca="1">VLOOKUP($B196,OFFSET([1]quests!$A$1,0,0,COUNTA([1]quests!$A:$A),MATCH(E$1,[1]quests!$1:$1,0)-MATCH($B$1,[1]quests!$1:$1,0)+1),MATCH(E$1,[1]quests!$1:$1,0)-MATCH($B$1,[1]quests!$1:$1,0)+1,FALSE)</f>
        <v>6．ドリームパーク</v>
      </c>
      <c r="F196" s="5" t="str">
        <f ca="1">VLOOKUP($D196,OFFSET([1]stages!$A$1,0,0,COUNTA([1]stages!$A:$A),MATCH(F$1,[1]stages!$2:$2,0)-MATCH($D$1,[1]stages!$2:$2,0)+1),MATCH(F$1,[1]stages!$2:$2,0)-MATCH($D$1,[1]stages!$2:$2,0)+1,FALSE)</f>
        <v>6-3. 正体不明のきぐるみ</v>
      </c>
      <c r="G196" s="32">
        <v>2</v>
      </c>
      <c r="H196" s="20" t="str">
        <f t="shared" si="117"/>
        <v>6_3-2</v>
      </c>
      <c r="I196" s="31">
        <v>15</v>
      </c>
      <c r="J196" s="26" t="e">
        <f ca="1">VLOOKUP($I196,OFFSET([2]enemies!$A$1,0,0,COUNTA([2]enemies!$A:$A),MATCH(J$1,[2]enemies!$2:$2,0)-MATCH($I$1,[2]enemies!$2:$2,0)+1),MATCH(J$1,[2]enemies!$2:$2,0)-MATCH($I$1,[2]enemies!$2:$2,0)+1,FALSE)</f>
        <v>#N/A</v>
      </c>
      <c r="K196" s="29" t="e">
        <f ca="1">VLOOKUP($I196,OFFSET([2]enemies!$A$1,0,0,COUNTA([2]enemies!$A:$A),MATCH(K$1,[2]enemies!$2:$2,0)-MATCH($I$1,[2]enemies!$2:$2,0)+1),MATCH(K$1,[2]enemies!$2:$2,0)-MATCH($I$1,[2]enemies!$2:$2,0)+1,FALSE)</f>
        <v>#N/A</v>
      </c>
      <c r="L196" s="29" t="e">
        <f ca="1">VLOOKUP($I196,OFFSET([3]characters!$A$1,0,0,COUNTA([3]characters!$A:$A),MATCH(L$1,[3]characters!$2:$2,0)-MATCH($I$1,[3]characters!$2:$2,0)+1),MATCH(L$1,[3]characters!$2:$2,0)-MATCH($I$1,[3]characters!$2:$2,0)+1,FALSE)</f>
        <v>#N/A</v>
      </c>
      <c r="M196" s="28" t="e">
        <f ca="1">VLOOKUP($I196,OFFSET([3]characters!$A$1,0,0,COUNTA([3]characters!$A:$A),MATCH(M$1,[3]characters!$2:$2,0)-MATCH($I$1,[3]characters!$2:$2,0)+2),MATCH(M$1,[3]characters!$2:$2,0)-MATCH($I$1,[3]characters!$2:$2,0)+2,FALSE)</f>
        <v>#N/A</v>
      </c>
      <c r="N196" s="5" t="e">
        <f ca="1">VLOOKUP($I196,OFFSET([2]enemies!$A$1,0,0,COUNTA([2]enemies!$A:$A),MATCH(N$1,[2]enemies!$2:$2,0)-MATCH($I$1,[2]enemies!$2:$2,0)+1),MATCH(N$1,[2]enemies!$2:$2,0)-MATCH($I$1,[2]enemies!$2:$2,0)+1,FALSE)</f>
        <v>#N/A</v>
      </c>
      <c r="O196" s="6">
        <v>9</v>
      </c>
      <c r="P196" s="43">
        <v>1</v>
      </c>
      <c r="Q196" s="43">
        <v>1</v>
      </c>
      <c r="R196" s="6">
        <v>0</v>
      </c>
      <c r="S196" s="5" t="str">
        <f ca="1">VLOOKUP($T196,OFFSET([4]enemy_skill_sets!$B$1,0,0,COUNTA([4]enemy_skill_sets!$B:$B),MATCH(J$1,[4]enemy_skill_sets!$1:$1,0)-MATCH($T$1,[4]enemy_skill_sets!$1:$1,0)+2),MATCH(J$1,[4]enemy_skill_sets!$1:$1,0)-MATCH($T$1,[4]enemy_skill_sets!$1:$1,0)+2,FALSE)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6" s="5">
        <v>0</v>
      </c>
      <c r="U196" s="7">
        <v>0</v>
      </c>
      <c r="V196" s="7">
        <v>100</v>
      </c>
      <c r="W196" s="7">
        <v>0</v>
      </c>
      <c r="X196" s="26" t="e">
        <f ca="1">VLOOKUP($I196,OFFSET([2]enemies!$A$1,0,0,COUNTA([2]enemies!$A:$A),MATCH(X$1,[2]enemies!$2:$2,0)-MATCH($I$1,[2]enemies!$2:$2,0)+1),MATCH(X$1,[2]enemies!$2:$2,0)-MATCH($I$1,[2]enemies!$2:$2,0)+1,FALSE)</f>
        <v>#N/A</v>
      </c>
      <c r="Y196" s="31">
        <v>15</v>
      </c>
      <c r="Z196" s="5" t="str">
        <f ca="1">IFERROR(VLOOKUP($Y196,OFFSET([3]characters!$A$1,0,0,COUNTA([3]characters!$A:$A),MATCH(Z$1,[3]characters!$2:$2,0)-MATCH("character_id",[3]characters!$2:$2,0)+1),MATCH(Z$1,[3]characters!$2:$2,0)-MATCH("character_id",[3]characters!$2:$2,0)+1,FALSE),"")</f>
        <v/>
      </c>
      <c r="AA196" s="5" t="str">
        <f ca="1">IFERROR(VLOOKUP($Y196,OFFSET([3]characters!$A$1,0,0,COUNTA([3]characters!$A:$A),MATCH(AA$1,[3]characters!$2:$2,0)-MATCH("character_id",[3]characters!$2:$2,0)+1),MATCH(AA$1,[3]characters!$2:$2,0)-MATCH("character_id",[3]characters!$2:$2,0)+1,FALSE),"")</f>
        <v/>
      </c>
      <c r="AB196" s="5" t="str">
        <f ca="1">IFERROR(VLOOKUP($Y196,OFFSET([3]characters!$A$1,0,0,COUNTA([3]characters!$A:$A),MATCH(AB$1,[3]characters!$2:$2,0)-MATCH("character_id",[3]characters!$2:$2,0)+1),MATCH(AB$1,[3]characters!$2:$2,0)-MATCH("character_id",[3]characters!$2:$2,0)+1,FALSE),"")</f>
        <v/>
      </c>
      <c r="AC196" s="8">
        <v>2</v>
      </c>
      <c r="AD196" s="8" t="str">
        <f t="shared" ca="1" si="115"/>
        <v/>
      </c>
      <c r="AE196" s="9">
        <v>30</v>
      </c>
      <c r="AF196" s="38">
        <v>0</v>
      </c>
      <c r="AG196" s="38">
        <v>0</v>
      </c>
      <c r="AH196" s="38">
        <v>0</v>
      </c>
      <c r="AI196" s="38">
        <v>0</v>
      </c>
      <c r="AJ196" s="38">
        <v>1</v>
      </c>
    </row>
    <row r="197" spans="1:36" ht="21" customHeight="1" x14ac:dyDescent="0.15">
      <c r="A197" s="21" t="e">
        <f t="shared" ca="1" si="118"/>
        <v>#N/A</v>
      </c>
      <c r="B197" s="33">
        <v>6</v>
      </c>
      <c r="C197" s="32">
        <v>3</v>
      </c>
      <c r="D197" s="2" t="str">
        <f t="shared" si="116"/>
        <v>6_3</v>
      </c>
      <c r="E197" s="5" t="str">
        <f ca="1">VLOOKUP($B197,OFFSET([1]quests!$A$1,0,0,COUNTA([1]quests!$A:$A),MATCH(E$1,[1]quests!$1:$1,0)-MATCH($B$1,[1]quests!$1:$1,0)+1),MATCH(E$1,[1]quests!$1:$1,0)-MATCH($B$1,[1]quests!$1:$1,0)+1,FALSE)</f>
        <v>6．ドリームパーク</v>
      </c>
      <c r="F197" s="5" t="str">
        <f ca="1">VLOOKUP($D197,OFFSET([1]stages!$A$1,0,0,COUNTA([1]stages!$A:$A),MATCH(F$1,[1]stages!$2:$2,0)-MATCH($D$1,[1]stages!$2:$2,0)+1),MATCH(F$1,[1]stages!$2:$2,0)-MATCH($D$1,[1]stages!$2:$2,0)+1,FALSE)</f>
        <v>6-3. 正体不明のきぐるみ</v>
      </c>
      <c r="G197" s="32">
        <v>2</v>
      </c>
      <c r="H197" s="20" t="str">
        <f t="shared" si="117"/>
        <v>6_3-2</v>
      </c>
      <c r="I197" s="31">
        <v>17</v>
      </c>
      <c r="J197" s="26" t="e">
        <f ca="1">VLOOKUP($I197,OFFSET([2]enemies!$A$1,0,0,COUNTA([2]enemies!$A:$A),MATCH(J$1,[2]enemies!$2:$2,0)-MATCH($I$1,[2]enemies!$2:$2,0)+1),MATCH(J$1,[2]enemies!$2:$2,0)-MATCH($I$1,[2]enemies!$2:$2,0)+1,FALSE)</f>
        <v>#N/A</v>
      </c>
      <c r="K197" s="29" t="e">
        <f ca="1">VLOOKUP($I197,OFFSET([2]enemies!$A$1,0,0,COUNTA([2]enemies!$A:$A),MATCH(K$1,[2]enemies!$2:$2,0)-MATCH($I$1,[2]enemies!$2:$2,0)+1),MATCH(K$1,[2]enemies!$2:$2,0)-MATCH($I$1,[2]enemies!$2:$2,0)+1,FALSE)</f>
        <v>#N/A</v>
      </c>
      <c r="L197" s="29" t="e">
        <f ca="1">VLOOKUP($I197,OFFSET([3]characters!$A$1,0,0,COUNTA([3]characters!$A:$A),MATCH(L$1,[3]characters!$2:$2,0)-MATCH($I$1,[3]characters!$2:$2,0)+1),MATCH(L$1,[3]characters!$2:$2,0)-MATCH($I$1,[3]characters!$2:$2,0)+1,FALSE)</f>
        <v>#N/A</v>
      </c>
      <c r="M197" s="28" t="e">
        <f ca="1">VLOOKUP($I197,OFFSET([3]characters!$A$1,0,0,COUNTA([3]characters!$A:$A),MATCH(M$1,[3]characters!$2:$2,0)-MATCH($I$1,[3]characters!$2:$2,0)+2),MATCH(M$1,[3]characters!$2:$2,0)-MATCH($I$1,[3]characters!$2:$2,0)+2,FALSE)</f>
        <v>#N/A</v>
      </c>
      <c r="N197" s="5" t="e">
        <f ca="1">VLOOKUP($I197,OFFSET([2]enemies!$A$1,0,0,COUNTA([2]enemies!$A:$A),MATCH(N$1,[2]enemies!$2:$2,0)-MATCH($I$1,[2]enemies!$2:$2,0)+1),MATCH(N$1,[2]enemies!$2:$2,0)-MATCH($I$1,[2]enemies!$2:$2,0)+1,FALSE)</f>
        <v>#N/A</v>
      </c>
      <c r="O197" s="6">
        <v>9</v>
      </c>
      <c r="P197" s="43">
        <v>1</v>
      </c>
      <c r="Q197" s="43">
        <v>1</v>
      </c>
      <c r="R197" s="6">
        <v>0</v>
      </c>
      <c r="S197" s="5" t="str">
        <f ca="1">VLOOKUP($T197,OFFSET([4]enemy_skill_sets!$B$1,0,0,COUNTA([4]enemy_skill_sets!$B:$B),MATCH(J$1,[4]enemy_skill_sets!$1:$1,0)-MATCH($T$1,[4]enemy_skill_sets!$1:$1,0)+2),MATCH(J$1,[4]enemy_skill_sets!$1:$1,0)-MATCH($T$1,[4]enemy_skill_sets!$1:$1,0)+2,FALSE)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7" s="5">
        <v>0</v>
      </c>
      <c r="U197" s="7">
        <v>0</v>
      </c>
      <c r="V197" s="7">
        <v>100</v>
      </c>
      <c r="W197" s="7">
        <v>0</v>
      </c>
      <c r="X197" s="26" t="e">
        <f ca="1">VLOOKUP($I197,OFFSET([2]enemies!$A$1,0,0,COUNTA([2]enemies!$A:$A),MATCH(X$1,[2]enemies!$2:$2,0)-MATCH($I$1,[2]enemies!$2:$2,0)+1),MATCH(X$1,[2]enemies!$2:$2,0)-MATCH($I$1,[2]enemies!$2:$2,0)+1,FALSE)</f>
        <v>#N/A</v>
      </c>
      <c r="Y197" s="31">
        <v>17</v>
      </c>
      <c r="Z197" s="5" t="str">
        <f ca="1">IFERROR(VLOOKUP($Y197,OFFSET([3]characters!$A$1,0,0,COUNTA([3]characters!$A:$A),MATCH(Z$1,[3]characters!$2:$2,0)-MATCH("character_id",[3]characters!$2:$2,0)+1),MATCH(Z$1,[3]characters!$2:$2,0)-MATCH("character_id",[3]characters!$2:$2,0)+1,FALSE),"")</f>
        <v/>
      </c>
      <c r="AA197" s="5" t="str">
        <f ca="1">IFERROR(VLOOKUP($Y197,OFFSET([3]characters!$A$1,0,0,COUNTA([3]characters!$A:$A),MATCH(AA$1,[3]characters!$2:$2,0)-MATCH("character_id",[3]characters!$2:$2,0)+1),MATCH(AA$1,[3]characters!$2:$2,0)-MATCH("character_id",[3]characters!$2:$2,0)+1,FALSE),"")</f>
        <v/>
      </c>
      <c r="AB197" s="5" t="str">
        <f ca="1">IFERROR(VLOOKUP($Y197,OFFSET([3]characters!$A$1,0,0,COUNTA([3]characters!$A:$A),MATCH(AB$1,[3]characters!$2:$2,0)-MATCH("character_id",[3]characters!$2:$2,0)+1),MATCH(AB$1,[3]characters!$2:$2,0)-MATCH("character_id",[3]characters!$2:$2,0)+1,FALSE),"")</f>
        <v/>
      </c>
      <c r="AC197" s="8">
        <v>2</v>
      </c>
      <c r="AD197" s="8" t="str">
        <f t="shared" ca="1" si="115"/>
        <v/>
      </c>
      <c r="AE197" s="9">
        <v>30</v>
      </c>
      <c r="AF197" s="38">
        <v>0</v>
      </c>
      <c r="AG197" s="38">
        <v>0</v>
      </c>
      <c r="AH197" s="38">
        <v>0</v>
      </c>
      <c r="AI197" s="38">
        <v>0</v>
      </c>
      <c r="AJ197" s="38">
        <v>1</v>
      </c>
    </row>
    <row r="198" spans="1:36" ht="21" customHeight="1" x14ac:dyDescent="0.15">
      <c r="A198" s="21" t="e">
        <f t="shared" ca="1" si="118"/>
        <v>#N/A</v>
      </c>
      <c r="B198" s="33">
        <v>6</v>
      </c>
      <c r="C198" s="32">
        <v>3</v>
      </c>
      <c r="D198" s="2" t="str">
        <f t="shared" si="116"/>
        <v>6_3</v>
      </c>
      <c r="E198" s="5" t="str">
        <f ca="1">VLOOKUP($B198,OFFSET([1]quests!$A$1,0,0,COUNTA([1]quests!$A:$A),MATCH(E$1,[1]quests!$1:$1,0)-MATCH($B$1,[1]quests!$1:$1,0)+1),MATCH(E$1,[1]quests!$1:$1,0)-MATCH($B$1,[1]quests!$1:$1,0)+1,FALSE)</f>
        <v>6．ドリームパーク</v>
      </c>
      <c r="F198" s="5" t="str">
        <f ca="1">VLOOKUP($D198,OFFSET([1]stages!$A$1,0,0,COUNTA([1]stages!$A:$A),MATCH(F$1,[1]stages!$2:$2,0)-MATCH($D$1,[1]stages!$2:$2,0)+1),MATCH(F$1,[1]stages!$2:$2,0)-MATCH($D$1,[1]stages!$2:$2,0)+1,FALSE)</f>
        <v>6-3. 正体不明のきぐるみ</v>
      </c>
      <c r="G198" s="32">
        <v>2</v>
      </c>
      <c r="H198" s="20" t="str">
        <f t="shared" si="117"/>
        <v>6_3-2</v>
      </c>
      <c r="I198" s="31">
        <v>19</v>
      </c>
      <c r="J198" s="26" t="e">
        <f ca="1">VLOOKUP($I198,OFFSET([2]enemies!$A$1,0,0,COUNTA([2]enemies!$A:$A),MATCH(J$1,[2]enemies!$2:$2,0)-MATCH($I$1,[2]enemies!$2:$2,0)+1),MATCH(J$1,[2]enemies!$2:$2,0)-MATCH($I$1,[2]enemies!$2:$2,0)+1,FALSE)</f>
        <v>#N/A</v>
      </c>
      <c r="K198" s="29" t="e">
        <f ca="1">VLOOKUP($I198,OFFSET([2]enemies!$A$1,0,0,COUNTA([2]enemies!$A:$A),MATCH(K$1,[2]enemies!$2:$2,0)-MATCH($I$1,[2]enemies!$2:$2,0)+1),MATCH(K$1,[2]enemies!$2:$2,0)-MATCH($I$1,[2]enemies!$2:$2,0)+1,FALSE)</f>
        <v>#N/A</v>
      </c>
      <c r="L198" s="29" t="e">
        <f ca="1">VLOOKUP($I198,OFFSET([3]characters!$A$1,0,0,COUNTA([3]characters!$A:$A),MATCH(L$1,[3]characters!$2:$2,0)-MATCH($I$1,[3]characters!$2:$2,0)+1),MATCH(L$1,[3]characters!$2:$2,0)-MATCH($I$1,[3]characters!$2:$2,0)+1,FALSE)</f>
        <v>#N/A</v>
      </c>
      <c r="M198" s="28" t="e">
        <f ca="1">VLOOKUP($I198,OFFSET([3]characters!$A$1,0,0,COUNTA([3]characters!$A:$A),MATCH(M$1,[3]characters!$2:$2,0)-MATCH($I$1,[3]characters!$2:$2,0)+2),MATCH(M$1,[3]characters!$2:$2,0)-MATCH($I$1,[3]characters!$2:$2,0)+2,FALSE)</f>
        <v>#N/A</v>
      </c>
      <c r="N198" s="5" t="e">
        <f ca="1">VLOOKUP($I198,OFFSET([2]enemies!$A$1,0,0,COUNTA([2]enemies!$A:$A),MATCH(N$1,[2]enemies!$2:$2,0)-MATCH($I$1,[2]enemies!$2:$2,0)+1),MATCH(N$1,[2]enemies!$2:$2,0)-MATCH($I$1,[2]enemies!$2:$2,0)+1,FALSE)</f>
        <v>#N/A</v>
      </c>
      <c r="O198" s="6">
        <v>9</v>
      </c>
      <c r="P198" s="43">
        <v>1</v>
      </c>
      <c r="Q198" s="43">
        <v>1</v>
      </c>
      <c r="R198" s="6">
        <v>0</v>
      </c>
      <c r="S198" s="5" t="str">
        <f ca="1">VLOOKUP($T198,OFFSET([4]enemy_skill_sets!$B$1,0,0,COUNTA([4]enemy_skill_sets!$B:$B),MATCH(J$1,[4]enemy_skill_sets!$1:$1,0)-MATCH($T$1,[4]enemy_skill_sets!$1:$1,0)+2),MATCH(J$1,[4]enemy_skill_sets!$1:$1,0)-MATCH($T$1,[4]enemy_skill_sets!$1:$1,0)+2,FALSE)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8" s="5">
        <v>0</v>
      </c>
      <c r="U198" s="7">
        <v>0</v>
      </c>
      <c r="V198" s="7">
        <v>100</v>
      </c>
      <c r="W198" s="7">
        <v>0</v>
      </c>
      <c r="X198" s="26" t="e">
        <f ca="1">VLOOKUP($I198,OFFSET([2]enemies!$A$1,0,0,COUNTA([2]enemies!$A:$A),MATCH(X$1,[2]enemies!$2:$2,0)-MATCH($I$1,[2]enemies!$2:$2,0)+1),MATCH(X$1,[2]enemies!$2:$2,0)-MATCH($I$1,[2]enemies!$2:$2,0)+1,FALSE)</f>
        <v>#N/A</v>
      </c>
      <c r="Y198" s="31">
        <v>19</v>
      </c>
      <c r="Z198" s="5" t="str">
        <f ca="1">IFERROR(VLOOKUP($Y198,OFFSET([3]characters!$A$1,0,0,COUNTA([3]characters!$A:$A),MATCH(Z$1,[3]characters!$2:$2,0)-MATCH("character_id",[3]characters!$2:$2,0)+1),MATCH(Z$1,[3]characters!$2:$2,0)-MATCH("character_id",[3]characters!$2:$2,0)+1,FALSE),"")</f>
        <v/>
      </c>
      <c r="AA198" s="5" t="str">
        <f ca="1">IFERROR(VLOOKUP($Y198,OFFSET([3]characters!$A$1,0,0,COUNTA([3]characters!$A:$A),MATCH(AA$1,[3]characters!$2:$2,0)-MATCH("character_id",[3]characters!$2:$2,0)+1),MATCH(AA$1,[3]characters!$2:$2,0)-MATCH("character_id",[3]characters!$2:$2,0)+1,FALSE),"")</f>
        <v/>
      </c>
      <c r="AB198" s="5" t="str">
        <f ca="1">IFERROR(VLOOKUP($Y198,OFFSET([3]characters!$A$1,0,0,COUNTA([3]characters!$A:$A),MATCH(AB$1,[3]characters!$2:$2,0)-MATCH("character_id",[3]characters!$2:$2,0)+1),MATCH(AB$1,[3]characters!$2:$2,0)-MATCH("character_id",[3]characters!$2:$2,0)+1,FALSE),"")</f>
        <v/>
      </c>
      <c r="AC198" s="8">
        <v>2</v>
      </c>
      <c r="AD198" s="8" t="str">
        <f t="shared" ref="AD198:AD245" ca="1" si="119">AA198</f>
        <v/>
      </c>
      <c r="AE198" s="9">
        <v>30</v>
      </c>
      <c r="AF198" s="38">
        <v>0</v>
      </c>
      <c r="AG198" s="38">
        <v>0</v>
      </c>
      <c r="AH198" s="38">
        <v>0</v>
      </c>
      <c r="AI198" s="38">
        <v>0</v>
      </c>
      <c r="AJ198" s="38">
        <v>1</v>
      </c>
    </row>
    <row r="199" spans="1:36" ht="21" customHeight="1" x14ac:dyDescent="0.15">
      <c r="A199" s="21" t="e">
        <f t="shared" ca="1" si="118"/>
        <v>#N/A</v>
      </c>
      <c r="B199" s="33">
        <v>6</v>
      </c>
      <c r="C199" s="32">
        <v>3</v>
      </c>
      <c r="D199" s="2" t="str">
        <f t="shared" si="116"/>
        <v>6_3</v>
      </c>
      <c r="E199" s="5" t="str">
        <f ca="1">VLOOKUP($B199,OFFSET([1]quests!$A$1,0,0,COUNTA([1]quests!$A:$A),MATCH(E$1,[1]quests!$1:$1,0)-MATCH($B$1,[1]quests!$1:$1,0)+1),MATCH(E$1,[1]quests!$1:$1,0)-MATCH($B$1,[1]quests!$1:$1,0)+1,FALSE)</f>
        <v>6．ドリームパーク</v>
      </c>
      <c r="F199" s="5" t="str">
        <f ca="1">VLOOKUP($D199,OFFSET([1]stages!$A$1,0,0,COUNTA([1]stages!$A:$A),MATCH(F$1,[1]stages!$2:$2,0)-MATCH($D$1,[1]stages!$2:$2,0)+1),MATCH(F$1,[1]stages!$2:$2,0)-MATCH($D$1,[1]stages!$2:$2,0)+1,FALSE)</f>
        <v>6-3. 正体不明のきぐるみ</v>
      </c>
      <c r="G199" s="32">
        <v>2</v>
      </c>
      <c r="H199" s="20" t="str">
        <f t="shared" si="117"/>
        <v>6_3-2</v>
      </c>
      <c r="I199" s="31">
        <v>101</v>
      </c>
      <c r="J199" s="26" t="e">
        <f ca="1">VLOOKUP($I199,OFFSET([2]enemies!$A$1,0,0,COUNTA([2]enemies!$A:$A),MATCH(J$1,[2]enemies!$2:$2,0)-MATCH($I$1,[2]enemies!$2:$2,0)+1),MATCH(J$1,[2]enemies!$2:$2,0)-MATCH($I$1,[2]enemies!$2:$2,0)+1,FALSE)</f>
        <v>#N/A</v>
      </c>
      <c r="K199" s="29" t="e">
        <f ca="1">VLOOKUP($I199,OFFSET([2]enemies!$A$1,0,0,COUNTA([2]enemies!$A:$A),MATCH(K$1,[2]enemies!$2:$2,0)-MATCH($I$1,[2]enemies!$2:$2,0)+1),MATCH(K$1,[2]enemies!$2:$2,0)-MATCH($I$1,[2]enemies!$2:$2,0)+1,FALSE)</f>
        <v>#N/A</v>
      </c>
      <c r="L199" s="29" t="e">
        <f ca="1">VLOOKUP($I199,OFFSET([3]characters!$A$1,0,0,COUNTA([3]characters!$A:$A),MATCH(L$1,[3]characters!$2:$2,0)-MATCH($I$1,[3]characters!$2:$2,0)+1),MATCH(L$1,[3]characters!$2:$2,0)-MATCH($I$1,[3]characters!$2:$2,0)+1,FALSE)</f>
        <v>#N/A</v>
      </c>
      <c r="M199" s="28" t="e">
        <f ca="1">VLOOKUP($I199,OFFSET([3]characters!$A$1,0,0,COUNTA([3]characters!$A:$A),MATCH(M$1,[3]characters!$2:$2,0)-MATCH($I$1,[3]characters!$2:$2,0)+2),MATCH(M$1,[3]characters!$2:$2,0)-MATCH($I$1,[3]characters!$2:$2,0)+2,FALSE)</f>
        <v>#N/A</v>
      </c>
      <c r="N199" s="5" t="e">
        <f ca="1">VLOOKUP($I199,OFFSET([2]enemies!$A$1,0,0,COUNTA([2]enemies!$A:$A),MATCH(N$1,[2]enemies!$2:$2,0)-MATCH($I$1,[2]enemies!$2:$2,0)+1),MATCH(N$1,[2]enemies!$2:$2,0)-MATCH($I$1,[2]enemies!$2:$2,0)+1,FALSE)</f>
        <v>#N/A</v>
      </c>
      <c r="O199" s="6">
        <v>9</v>
      </c>
      <c r="P199" s="43">
        <v>1</v>
      </c>
      <c r="Q199" s="43">
        <v>1</v>
      </c>
      <c r="R199" s="6">
        <v>0</v>
      </c>
      <c r="S199" s="5" t="str">
        <f ca="1">VLOOKUP($T199,OFFSET([4]enemy_skill_sets!$B$1,0,0,COUNTA([4]enemy_skill_sets!$B:$B),MATCH(J$1,[4]enemy_skill_sets!$1:$1,0)-MATCH($T$1,[4]enemy_skill_sets!$1:$1,0)+2),MATCH(J$1,[4]enemy_skill_sets!$1:$1,0)-MATCH($T$1,[4]enemy_skill_sets!$1:$1,0)+2,FALSE)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9" s="5">
        <v>0</v>
      </c>
      <c r="U199" s="7">
        <v>0</v>
      </c>
      <c r="V199" s="7">
        <v>50</v>
      </c>
      <c r="W199" s="7">
        <v>0</v>
      </c>
      <c r="X199" s="26" t="e">
        <f ca="1">VLOOKUP($I199,OFFSET([2]enemies!$A$1,0,0,COUNTA([2]enemies!$A:$A),MATCH(X$1,[2]enemies!$2:$2,0)-MATCH($I$1,[2]enemies!$2:$2,0)+1),MATCH(X$1,[2]enemies!$2:$2,0)-MATCH($I$1,[2]enemies!$2:$2,0)+1,FALSE)</f>
        <v>#N/A</v>
      </c>
      <c r="Y199" s="31">
        <v>101</v>
      </c>
      <c r="Z199" s="5" t="str">
        <f ca="1">IFERROR(VLOOKUP($Y199,OFFSET([3]characters!$A$1,0,0,COUNTA([3]characters!$A:$A),MATCH(Z$1,[3]characters!$2:$2,0)-MATCH("character_id",[3]characters!$2:$2,0)+1),MATCH(Z$1,[3]characters!$2:$2,0)-MATCH("character_id",[3]characters!$2:$2,0)+1,FALSE),"")</f>
        <v/>
      </c>
      <c r="AA199" s="5" t="str">
        <f ca="1">IFERROR(VLOOKUP($Y199,OFFSET([3]characters!$A$1,0,0,COUNTA([3]characters!$A:$A),MATCH(AA$1,[3]characters!$2:$2,0)-MATCH("character_id",[3]characters!$2:$2,0)+1),MATCH(AA$1,[3]characters!$2:$2,0)-MATCH("character_id",[3]characters!$2:$2,0)+1,FALSE),"")</f>
        <v/>
      </c>
      <c r="AB199" s="5" t="str">
        <f ca="1">IFERROR(VLOOKUP($Y199,OFFSET([3]characters!$A$1,0,0,COUNTA([3]characters!$A:$A),MATCH(AB$1,[3]characters!$2:$2,0)-MATCH("character_id",[3]characters!$2:$2,0)+1),MATCH(AB$1,[3]characters!$2:$2,0)-MATCH("character_id",[3]characters!$2:$2,0)+1,FALSE),"")</f>
        <v/>
      </c>
      <c r="AC199" s="8">
        <v>1</v>
      </c>
      <c r="AD199" s="8" t="str">
        <f t="shared" ca="1" si="119"/>
        <v/>
      </c>
      <c r="AE199" s="9">
        <v>20</v>
      </c>
      <c r="AF199" s="38">
        <v>0</v>
      </c>
      <c r="AG199" s="38">
        <v>0</v>
      </c>
      <c r="AH199" s="38">
        <v>0</v>
      </c>
      <c r="AI199" s="38">
        <v>0</v>
      </c>
      <c r="AJ199" s="38">
        <v>1</v>
      </c>
    </row>
    <row r="200" spans="1:36" ht="21" customHeight="1" x14ac:dyDescent="0.15">
      <c r="A200" s="21" t="e">
        <f t="shared" ca="1" si="118"/>
        <v>#N/A</v>
      </c>
      <c r="B200" s="33">
        <v>6</v>
      </c>
      <c r="C200" s="32">
        <v>3</v>
      </c>
      <c r="D200" s="2" t="str">
        <f t="shared" si="116"/>
        <v>6_3</v>
      </c>
      <c r="E200" s="5" t="str">
        <f ca="1">VLOOKUP($B200,OFFSET([1]quests!$A$1,0,0,COUNTA([1]quests!$A:$A),MATCH(E$1,[1]quests!$1:$1,0)-MATCH($B$1,[1]quests!$1:$1,0)+1),MATCH(E$1,[1]quests!$1:$1,0)-MATCH($B$1,[1]quests!$1:$1,0)+1,FALSE)</f>
        <v>6．ドリームパーク</v>
      </c>
      <c r="F200" s="5" t="str">
        <f ca="1">VLOOKUP($D200,OFFSET([1]stages!$A$1,0,0,COUNTA([1]stages!$A:$A),MATCH(F$1,[1]stages!$2:$2,0)-MATCH($D$1,[1]stages!$2:$2,0)+1),MATCH(F$1,[1]stages!$2:$2,0)-MATCH($D$1,[1]stages!$2:$2,0)+1,FALSE)</f>
        <v>6-3. 正体不明のきぐるみ</v>
      </c>
      <c r="G200" s="32">
        <v>2</v>
      </c>
      <c r="H200" s="20" t="str">
        <f t="shared" si="117"/>
        <v>6_3-2</v>
      </c>
      <c r="I200" s="31">
        <v>105</v>
      </c>
      <c r="J200" s="26" t="e">
        <f ca="1">VLOOKUP($I200,OFFSET([2]enemies!$A$1,0,0,COUNTA([2]enemies!$A:$A),MATCH(J$1,[2]enemies!$2:$2,0)-MATCH($I$1,[2]enemies!$2:$2,0)+1),MATCH(J$1,[2]enemies!$2:$2,0)-MATCH($I$1,[2]enemies!$2:$2,0)+1,FALSE)</f>
        <v>#N/A</v>
      </c>
      <c r="K200" s="29" t="e">
        <f ca="1">VLOOKUP($I200,OFFSET([2]enemies!$A$1,0,0,COUNTA([2]enemies!$A:$A),MATCH(K$1,[2]enemies!$2:$2,0)-MATCH($I$1,[2]enemies!$2:$2,0)+1),MATCH(K$1,[2]enemies!$2:$2,0)-MATCH($I$1,[2]enemies!$2:$2,0)+1,FALSE)</f>
        <v>#N/A</v>
      </c>
      <c r="L200" s="29" t="e">
        <f ca="1">VLOOKUP($I200,OFFSET([3]characters!$A$1,0,0,COUNTA([3]characters!$A:$A),MATCH(L$1,[3]characters!$2:$2,0)-MATCH($I$1,[3]characters!$2:$2,0)+1),MATCH(L$1,[3]characters!$2:$2,0)-MATCH($I$1,[3]characters!$2:$2,0)+1,FALSE)</f>
        <v>#N/A</v>
      </c>
      <c r="M200" s="28" t="e">
        <f ca="1">VLOOKUP($I200,OFFSET([3]characters!$A$1,0,0,COUNTA([3]characters!$A:$A),MATCH(M$1,[3]characters!$2:$2,0)-MATCH($I$1,[3]characters!$2:$2,0)+2),MATCH(M$1,[3]characters!$2:$2,0)-MATCH($I$1,[3]characters!$2:$2,0)+2,FALSE)</f>
        <v>#N/A</v>
      </c>
      <c r="N200" s="5" t="e">
        <f ca="1">VLOOKUP($I200,OFFSET([2]enemies!$A$1,0,0,COUNTA([2]enemies!$A:$A),MATCH(N$1,[2]enemies!$2:$2,0)-MATCH($I$1,[2]enemies!$2:$2,0)+1),MATCH(N$1,[2]enemies!$2:$2,0)-MATCH($I$1,[2]enemies!$2:$2,0)+1,FALSE)</f>
        <v>#N/A</v>
      </c>
      <c r="O200" s="6">
        <v>9</v>
      </c>
      <c r="P200" s="43">
        <v>1</v>
      </c>
      <c r="Q200" s="43">
        <v>1</v>
      </c>
      <c r="R200" s="6">
        <v>0</v>
      </c>
      <c r="S200" s="5" t="str">
        <f ca="1">VLOOKUP($T200,OFFSET([4]enemy_skill_sets!$B$1,0,0,COUNTA([4]enemy_skill_sets!$B:$B),MATCH(J$1,[4]enemy_skill_sets!$1:$1,0)-MATCH($T$1,[4]enemy_skill_sets!$1:$1,0)+2),MATCH(J$1,[4]enemy_skill_sets!$1:$1,0)-MATCH($T$1,[4]enemy_skill_sets!$1:$1,0)+2,FALSE)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0" s="5">
        <v>0</v>
      </c>
      <c r="U200" s="7">
        <v>0</v>
      </c>
      <c r="V200" s="7">
        <v>50</v>
      </c>
      <c r="W200" s="7">
        <v>0</v>
      </c>
      <c r="X200" s="26" t="e">
        <f ca="1">VLOOKUP($I200,OFFSET([2]enemies!$A$1,0,0,COUNTA([2]enemies!$A:$A),MATCH(X$1,[2]enemies!$2:$2,0)-MATCH($I$1,[2]enemies!$2:$2,0)+1),MATCH(X$1,[2]enemies!$2:$2,0)-MATCH($I$1,[2]enemies!$2:$2,0)+1,FALSE)</f>
        <v>#N/A</v>
      </c>
      <c r="Y200" s="31">
        <v>105</v>
      </c>
      <c r="Z200" s="5" t="str">
        <f ca="1">IFERROR(VLOOKUP($Y200,OFFSET([3]characters!$A$1,0,0,COUNTA([3]characters!$A:$A),MATCH(Z$1,[3]characters!$2:$2,0)-MATCH("character_id",[3]characters!$2:$2,0)+1),MATCH(Z$1,[3]characters!$2:$2,0)-MATCH("character_id",[3]characters!$2:$2,0)+1,FALSE),"")</f>
        <v/>
      </c>
      <c r="AA200" s="5" t="str">
        <f ca="1">IFERROR(VLOOKUP($Y200,OFFSET([3]characters!$A$1,0,0,COUNTA([3]characters!$A:$A),MATCH(AA$1,[3]characters!$2:$2,0)-MATCH("character_id",[3]characters!$2:$2,0)+1),MATCH(AA$1,[3]characters!$2:$2,0)-MATCH("character_id",[3]characters!$2:$2,0)+1,FALSE),"")</f>
        <v/>
      </c>
      <c r="AB200" s="5" t="str">
        <f ca="1">IFERROR(VLOOKUP($Y200,OFFSET([3]characters!$A$1,0,0,COUNTA([3]characters!$A:$A),MATCH(AB$1,[3]characters!$2:$2,0)-MATCH("character_id",[3]characters!$2:$2,0)+1),MATCH(AB$1,[3]characters!$2:$2,0)-MATCH("character_id",[3]characters!$2:$2,0)+1,FALSE),"")</f>
        <v/>
      </c>
      <c r="AC200" s="8">
        <v>1</v>
      </c>
      <c r="AD200" s="8" t="str">
        <f t="shared" ca="1" si="119"/>
        <v/>
      </c>
      <c r="AE200" s="9">
        <v>20</v>
      </c>
      <c r="AF200" s="38">
        <v>0</v>
      </c>
      <c r="AG200" s="38">
        <v>0</v>
      </c>
      <c r="AH200" s="38">
        <v>0</v>
      </c>
      <c r="AI200" s="38">
        <v>0</v>
      </c>
      <c r="AJ200" s="38">
        <v>1</v>
      </c>
    </row>
    <row r="201" spans="1:36" ht="21" customHeight="1" x14ac:dyDescent="0.15">
      <c r="A201" s="21" t="e">
        <f t="shared" ca="1" si="118"/>
        <v>#N/A</v>
      </c>
      <c r="B201" s="33">
        <v>6</v>
      </c>
      <c r="C201" s="32">
        <v>3</v>
      </c>
      <c r="D201" s="2" t="str">
        <f t="shared" si="116"/>
        <v>6_3</v>
      </c>
      <c r="E201" s="5" t="str">
        <f ca="1">VLOOKUP($B201,OFFSET([1]quests!$A$1,0,0,COUNTA([1]quests!$A:$A),MATCH(E$1,[1]quests!$1:$1,0)-MATCH($B$1,[1]quests!$1:$1,0)+1),MATCH(E$1,[1]quests!$1:$1,0)-MATCH($B$1,[1]quests!$1:$1,0)+1,FALSE)</f>
        <v>6．ドリームパーク</v>
      </c>
      <c r="F201" s="5" t="str">
        <f ca="1">VLOOKUP($D201,OFFSET([1]stages!$A$1,0,0,COUNTA([1]stages!$A:$A),MATCH(F$1,[1]stages!$2:$2,0)-MATCH($D$1,[1]stages!$2:$2,0)+1),MATCH(F$1,[1]stages!$2:$2,0)-MATCH($D$1,[1]stages!$2:$2,0)+1,FALSE)</f>
        <v>6-3. 正体不明のきぐるみ</v>
      </c>
      <c r="G201" s="32">
        <v>3</v>
      </c>
      <c r="H201" s="20" t="str">
        <f t="shared" si="117"/>
        <v>6_3-3</v>
      </c>
      <c r="I201" s="31">
        <v>15</v>
      </c>
      <c r="J201" s="26" t="e">
        <f ca="1">VLOOKUP($I201,OFFSET([2]enemies!$A$1,0,0,COUNTA([2]enemies!$A:$A),MATCH(J$1,[2]enemies!$2:$2,0)-MATCH($I$1,[2]enemies!$2:$2,0)+1),MATCH(J$1,[2]enemies!$2:$2,0)-MATCH($I$1,[2]enemies!$2:$2,0)+1,FALSE)</f>
        <v>#N/A</v>
      </c>
      <c r="K201" s="29" t="e">
        <f ca="1">VLOOKUP($I201,OFFSET([2]enemies!$A$1,0,0,COUNTA([2]enemies!$A:$A),MATCH(K$1,[2]enemies!$2:$2,0)-MATCH($I$1,[2]enemies!$2:$2,0)+1),MATCH(K$1,[2]enemies!$2:$2,0)-MATCH($I$1,[2]enemies!$2:$2,0)+1,FALSE)</f>
        <v>#N/A</v>
      </c>
      <c r="L201" s="29" t="e">
        <f ca="1">VLOOKUP($I201,OFFSET([3]characters!$A$1,0,0,COUNTA([3]characters!$A:$A),MATCH(L$1,[3]characters!$2:$2,0)-MATCH($I$1,[3]characters!$2:$2,0)+1),MATCH(L$1,[3]characters!$2:$2,0)-MATCH($I$1,[3]characters!$2:$2,0)+1,FALSE)</f>
        <v>#N/A</v>
      </c>
      <c r="M201" s="28" t="e">
        <f ca="1">VLOOKUP($I201,OFFSET([3]characters!$A$1,0,0,COUNTA([3]characters!$A:$A),MATCH(M$1,[3]characters!$2:$2,0)-MATCH($I$1,[3]characters!$2:$2,0)+2),MATCH(M$1,[3]characters!$2:$2,0)-MATCH($I$1,[3]characters!$2:$2,0)+2,FALSE)</f>
        <v>#N/A</v>
      </c>
      <c r="N201" s="5" t="e">
        <f ca="1">VLOOKUP($I201,OFFSET([2]enemies!$A$1,0,0,COUNTA([2]enemies!$A:$A),MATCH(N$1,[2]enemies!$2:$2,0)-MATCH($I$1,[2]enemies!$2:$2,0)+1),MATCH(N$1,[2]enemies!$2:$2,0)-MATCH($I$1,[2]enemies!$2:$2,0)+1,FALSE)</f>
        <v>#N/A</v>
      </c>
      <c r="O201" s="6">
        <v>10</v>
      </c>
      <c r="P201" s="43">
        <v>1</v>
      </c>
      <c r="Q201" s="43">
        <v>1</v>
      </c>
      <c r="R201" s="6">
        <v>0</v>
      </c>
      <c r="S201" s="5" t="str">
        <f ca="1">VLOOKUP($T201,OFFSET([4]enemy_skill_sets!$B$1,0,0,COUNTA([4]enemy_skill_sets!$B:$B),MATCH(J$1,[4]enemy_skill_sets!$1:$1,0)-MATCH($T$1,[4]enemy_skill_sets!$1:$1,0)+2),MATCH(J$1,[4]enemy_skill_sets!$1:$1,0)-MATCH($T$1,[4]enemy_skill_sets!$1:$1,0)+2,FALSE)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1" s="5">
        <v>0</v>
      </c>
      <c r="U201" s="7">
        <v>0</v>
      </c>
      <c r="V201" s="7">
        <v>100</v>
      </c>
      <c r="W201" s="7">
        <v>0</v>
      </c>
      <c r="X201" s="26" t="e">
        <f ca="1">VLOOKUP($I201,OFFSET([2]enemies!$A$1,0,0,COUNTA([2]enemies!$A:$A),MATCH(X$1,[2]enemies!$2:$2,0)-MATCH($I$1,[2]enemies!$2:$2,0)+1),MATCH(X$1,[2]enemies!$2:$2,0)-MATCH($I$1,[2]enemies!$2:$2,0)+1,FALSE)</f>
        <v>#N/A</v>
      </c>
      <c r="Y201" s="31">
        <v>15</v>
      </c>
      <c r="Z201" s="5" t="str">
        <f ca="1">IFERROR(VLOOKUP($Y201,OFFSET([3]characters!$A$1,0,0,COUNTA([3]characters!$A:$A),MATCH(Z$1,[3]characters!$2:$2,0)-MATCH("character_id",[3]characters!$2:$2,0)+1),MATCH(Z$1,[3]characters!$2:$2,0)-MATCH("character_id",[3]characters!$2:$2,0)+1,FALSE),"")</f>
        <v/>
      </c>
      <c r="AA201" s="5" t="str">
        <f ca="1">IFERROR(VLOOKUP($Y201,OFFSET([3]characters!$A$1,0,0,COUNTA([3]characters!$A:$A),MATCH(AA$1,[3]characters!$2:$2,0)-MATCH("character_id",[3]characters!$2:$2,0)+1),MATCH(AA$1,[3]characters!$2:$2,0)-MATCH("character_id",[3]characters!$2:$2,0)+1,FALSE),"")</f>
        <v/>
      </c>
      <c r="AB201" s="5" t="str">
        <f ca="1">IFERROR(VLOOKUP($Y201,OFFSET([3]characters!$A$1,0,0,COUNTA([3]characters!$A:$A),MATCH(AB$1,[3]characters!$2:$2,0)-MATCH("character_id",[3]characters!$2:$2,0)+1),MATCH(AB$1,[3]characters!$2:$2,0)-MATCH("character_id",[3]characters!$2:$2,0)+1,FALSE),"")</f>
        <v/>
      </c>
      <c r="AC201" s="8">
        <v>2</v>
      </c>
      <c r="AD201" s="8" t="str">
        <f t="shared" ca="1" si="119"/>
        <v/>
      </c>
      <c r="AE201" s="9">
        <v>30</v>
      </c>
      <c r="AF201" s="38">
        <v>0</v>
      </c>
      <c r="AG201" s="38">
        <v>0</v>
      </c>
      <c r="AH201" s="38">
        <v>0</v>
      </c>
      <c r="AI201" s="38">
        <v>0</v>
      </c>
      <c r="AJ201" s="38">
        <v>1</v>
      </c>
    </row>
    <row r="202" spans="1:36" ht="21" customHeight="1" x14ac:dyDescent="0.15">
      <c r="A202" s="21" t="e">
        <f t="shared" ca="1" si="118"/>
        <v>#N/A</v>
      </c>
      <c r="B202" s="33">
        <v>6</v>
      </c>
      <c r="C202" s="32">
        <v>3</v>
      </c>
      <c r="D202" s="2" t="str">
        <f t="shared" si="116"/>
        <v>6_3</v>
      </c>
      <c r="E202" s="5" t="str">
        <f ca="1">VLOOKUP($B202,OFFSET([1]quests!$A$1,0,0,COUNTA([1]quests!$A:$A),MATCH(E$1,[1]quests!$1:$1,0)-MATCH($B$1,[1]quests!$1:$1,0)+1),MATCH(E$1,[1]quests!$1:$1,0)-MATCH($B$1,[1]quests!$1:$1,0)+1,FALSE)</f>
        <v>6．ドリームパーク</v>
      </c>
      <c r="F202" s="5" t="str">
        <f ca="1">VLOOKUP($D202,OFFSET([1]stages!$A$1,0,0,COUNTA([1]stages!$A:$A),MATCH(F$1,[1]stages!$2:$2,0)-MATCH($D$1,[1]stages!$2:$2,0)+1),MATCH(F$1,[1]stages!$2:$2,0)-MATCH($D$1,[1]stages!$2:$2,0)+1,FALSE)</f>
        <v>6-3. 正体不明のきぐるみ</v>
      </c>
      <c r="G202" s="32">
        <v>3</v>
      </c>
      <c r="H202" s="20" t="str">
        <f t="shared" si="117"/>
        <v>6_3-3</v>
      </c>
      <c r="I202" s="31">
        <v>17</v>
      </c>
      <c r="J202" s="26" t="e">
        <f ca="1">VLOOKUP($I202,OFFSET([2]enemies!$A$1,0,0,COUNTA([2]enemies!$A:$A),MATCH(J$1,[2]enemies!$2:$2,0)-MATCH($I$1,[2]enemies!$2:$2,0)+1),MATCH(J$1,[2]enemies!$2:$2,0)-MATCH($I$1,[2]enemies!$2:$2,0)+1,FALSE)</f>
        <v>#N/A</v>
      </c>
      <c r="K202" s="29" t="e">
        <f ca="1">VLOOKUP($I202,OFFSET([2]enemies!$A$1,0,0,COUNTA([2]enemies!$A:$A),MATCH(K$1,[2]enemies!$2:$2,0)-MATCH($I$1,[2]enemies!$2:$2,0)+1),MATCH(K$1,[2]enemies!$2:$2,0)-MATCH($I$1,[2]enemies!$2:$2,0)+1,FALSE)</f>
        <v>#N/A</v>
      </c>
      <c r="L202" s="29" t="e">
        <f ca="1">VLOOKUP($I202,OFFSET([3]characters!$A$1,0,0,COUNTA([3]characters!$A:$A),MATCH(L$1,[3]characters!$2:$2,0)-MATCH($I$1,[3]characters!$2:$2,0)+1),MATCH(L$1,[3]characters!$2:$2,0)-MATCH($I$1,[3]characters!$2:$2,0)+1,FALSE)</f>
        <v>#N/A</v>
      </c>
      <c r="M202" s="28" t="e">
        <f ca="1">VLOOKUP($I202,OFFSET([3]characters!$A$1,0,0,COUNTA([3]characters!$A:$A),MATCH(M$1,[3]characters!$2:$2,0)-MATCH($I$1,[3]characters!$2:$2,0)+2),MATCH(M$1,[3]characters!$2:$2,0)-MATCH($I$1,[3]characters!$2:$2,0)+2,FALSE)</f>
        <v>#N/A</v>
      </c>
      <c r="N202" s="5" t="e">
        <f ca="1">VLOOKUP($I202,OFFSET([2]enemies!$A$1,0,0,COUNTA([2]enemies!$A:$A),MATCH(N$1,[2]enemies!$2:$2,0)-MATCH($I$1,[2]enemies!$2:$2,0)+1),MATCH(N$1,[2]enemies!$2:$2,0)-MATCH($I$1,[2]enemies!$2:$2,0)+1,FALSE)</f>
        <v>#N/A</v>
      </c>
      <c r="O202" s="6">
        <v>10</v>
      </c>
      <c r="P202" s="43">
        <v>1</v>
      </c>
      <c r="Q202" s="43">
        <v>1</v>
      </c>
      <c r="R202" s="6">
        <v>0</v>
      </c>
      <c r="S202" s="5" t="str">
        <f ca="1">VLOOKUP($T202,OFFSET([4]enemy_skill_sets!$B$1,0,0,COUNTA([4]enemy_skill_sets!$B:$B),MATCH(J$1,[4]enemy_skill_sets!$1:$1,0)-MATCH($T$1,[4]enemy_skill_sets!$1:$1,0)+2),MATCH(J$1,[4]enemy_skill_sets!$1:$1,0)-MATCH($T$1,[4]enemy_skill_sets!$1:$1,0)+2,FALSE)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2" s="5">
        <v>0</v>
      </c>
      <c r="U202" s="7">
        <v>0</v>
      </c>
      <c r="V202" s="7">
        <v>100</v>
      </c>
      <c r="W202" s="7">
        <v>0</v>
      </c>
      <c r="X202" s="26" t="e">
        <f ca="1">VLOOKUP($I202,OFFSET([2]enemies!$A$1,0,0,COUNTA([2]enemies!$A:$A),MATCH(X$1,[2]enemies!$2:$2,0)-MATCH($I$1,[2]enemies!$2:$2,0)+1),MATCH(X$1,[2]enemies!$2:$2,0)-MATCH($I$1,[2]enemies!$2:$2,0)+1,FALSE)</f>
        <v>#N/A</v>
      </c>
      <c r="Y202" s="31">
        <v>17</v>
      </c>
      <c r="Z202" s="5" t="str">
        <f ca="1">IFERROR(VLOOKUP($Y202,OFFSET([3]characters!$A$1,0,0,COUNTA([3]characters!$A:$A),MATCH(Z$1,[3]characters!$2:$2,0)-MATCH("character_id",[3]characters!$2:$2,0)+1),MATCH(Z$1,[3]characters!$2:$2,0)-MATCH("character_id",[3]characters!$2:$2,0)+1,FALSE),"")</f>
        <v/>
      </c>
      <c r="AA202" s="5" t="str">
        <f ca="1">IFERROR(VLOOKUP($Y202,OFFSET([3]characters!$A$1,0,0,COUNTA([3]characters!$A:$A),MATCH(AA$1,[3]characters!$2:$2,0)-MATCH("character_id",[3]characters!$2:$2,0)+1),MATCH(AA$1,[3]characters!$2:$2,0)-MATCH("character_id",[3]characters!$2:$2,0)+1,FALSE),"")</f>
        <v/>
      </c>
      <c r="AB202" s="5" t="str">
        <f ca="1">IFERROR(VLOOKUP($Y202,OFFSET([3]characters!$A$1,0,0,COUNTA([3]characters!$A:$A),MATCH(AB$1,[3]characters!$2:$2,0)-MATCH("character_id",[3]characters!$2:$2,0)+1),MATCH(AB$1,[3]characters!$2:$2,0)-MATCH("character_id",[3]characters!$2:$2,0)+1,FALSE),"")</f>
        <v/>
      </c>
      <c r="AC202" s="8">
        <v>2</v>
      </c>
      <c r="AD202" s="8" t="str">
        <f t="shared" ca="1" si="119"/>
        <v/>
      </c>
      <c r="AE202" s="9">
        <v>30</v>
      </c>
      <c r="AF202" s="38">
        <v>0</v>
      </c>
      <c r="AG202" s="38">
        <v>0</v>
      </c>
      <c r="AH202" s="38">
        <v>0</v>
      </c>
      <c r="AI202" s="38">
        <v>0</v>
      </c>
      <c r="AJ202" s="38">
        <v>1</v>
      </c>
    </row>
    <row r="203" spans="1:36" ht="21" customHeight="1" x14ac:dyDescent="0.15">
      <c r="A203" s="21" t="e">
        <f t="shared" ca="1" si="118"/>
        <v>#N/A</v>
      </c>
      <c r="B203" s="33">
        <v>6</v>
      </c>
      <c r="C203" s="32">
        <v>3</v>
      </c>
      <c r="D203" s="2" t="str">
        <f t="shared" si="116"/>
        <v>6_3</v>
      </c>
      <c r="E203" s="5" t="str">
        <f ca="1">VLOOKUP($B203,OFFSET([1]quests!$A$1,0,0,COUNTA([1]quests!$A:$A),MATCH(E$1,[1]quests!$1:$1,0)-MATCH($B$1,[1]quests!$1:$1,0)+1),MATCH(E$1,[1]quests!$1:$1,0)-MATCH($B$1,[1]quests!$1:$1,0)+1,FALSE)</f>
        <v>6．ドリームパーク</v>
      </c>
      <c r="F203" s="5" t="str">
        <f ca="1">VLOOKUP($D203,OFFSET([1]stages!$A$1,0,0,COUNTA([1]stages!$A:$A),MATCH(F$1,[1]stages!$2:$2,0)-MATCH($D$1,[1]stages!$2:$2,0)+1),MATCH(F$1,[1]stages!$2:$2,0)-MATCH($D$1,[1]stages!$2:$2,0)+1,FALSE)</f>
        <v>6-3. 正体不明のきぐるみ</v>
      </c>
      <c r="G203" s="32">
        <v>3</v>
      </c>
      <c r="H203" s="20" t="str">
        <f t="shared" si="117"/>
        <v>6_3-3</v>
      </c>
      <c r="I203" s="31">
        <v>19</v>
      </c>
      <c r="J203" s="26" t="e">
        <f ca="1">VLOOKUP($I203,OFFSET([2]enemies!$A$1,0,0,COUNTA([2]enemies!$A:$A),MATCH(J$1,[2]enemies!$2:$2,0)-MATCH($I$1,[2]enemies!$2:$2,0)+1),MATCH(J$1,[2]enemies!$2:$2,0)-MATCH($I$1,[2]enemies!$2:$2,0)+1,FALSE)</f>
        <v>#N/A</v>
      </c>
      <c r="K203" s="29" t="e">
        <f ca="1">VLOOKUP($I203,OFFSET([2]enemies!$A$1,0,0,COUNTA([2]enemies!$A:$A),MATCH(K$1,[2]enemies!$2:$2,0)-MATCH($I$1,[2]enemies!$2:$2,0)+1),MATCH(K$1,[2]enemies!$2:$2,0)-MATCH($I$1,[2]enemies!$2:$2,0)+1,FALSE)</f>
        <v>#N/A</v>
      </c>
      <c r="L203" s="29" t="e">
        <f ca="1">VLOOKUP($I203,OFFSET([3]characters!$A$1,0,0,COUNTA([3]characters!$A:$A),MATCH(L$1,[3]characters!$2:$2,0)-MATCH($I$1,[3]characters!$2:$2,0)+1),MATCH(L$1,[3]characters!$2:$2,0)-MATCH($I$1,[3]characters!$2:$2,0)+1,FALSE)</f>
        <v>#N/A</v>
      </c>
      <c r="M203" s="28" t="e">
        <f ca="1">VLOOKUP($I203,OFFSET([3]characters!$A$1,0,0,COUNTA([3]characters!$A:$A),MATCH(M$1,[3]characters!$2:$2,0)-MATCH($I$1,[3]characters!$2:$2,0)+2),MATCH(M$1,[3]characters!$2:$2,0)-MATCH($I$1,[3]characters!$2:$2,0)+2,FALSE)</f>
        <v>#N/A</v>
      </c>
      <c r="N203" s="5" t="e">
        <f ca="1">VLOOKUP($I203,OFFSET([2]enemies!$A$1,0,0,COUNTA([2]enemies!$A:$A),MATCH(N$1,[2]enemies!$2:$2,0)-MATCH($I$1,[2]enemies!$2:$2,0)+1),MATCH(N$1,[2]enemies!$2:$2,0)-MATCH($I$1,[2]enemies!$2:$2,0)+1,FALSE)</f>
        <v>#N/A</v>
      </c>
      <c r="O203" s="6">
        <v>10</v>
      </c>
      <c r="P203" s="43">
        <v>1</v>
      </c>
      <c r="Q203" s="43">
        <v>1</v>
      </c>
      <c r="R203" s="6">
        <v>0</v>
      </c>
      <c r="S203" s="5" t="str">
        <f ca="1">VLOOKUP($T203,OFFSET([4]enemy_skill_sets!$B$1,0,0,COUNTA([4]enemy_skill_sets!$B:$B),MATCH(J$1,[4]enemy_skill_sets!$1:$1,0)-MATCH($T$1,[4]enemy_skill_sets!$1:$1,0)+2),MATCH(J$1,[4]enemy_skill_sets!$1:$1,0)-MATCH($T$1,[4]enemy_skill_sets!$1:$1,0)+2,FALSE)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3" s="5">
        <v>0</v>
      </c>
      <c r="U203" s="7">
        <v>0</v>
      </c>
      <c r="V203" s="7">
        <v>100</v>
      </c>
      <c r="W203" s="7">
        <v>0</v>
      </c>
      <c r="X203" s="26" t="e">
        <f ca="1">VLOOKUP($I203,OFFSET([2]enemies!$A$1,0,0,COUNTA([2]enemies!$A:$A),MATCH(X$1,[2]enemies!$2:$2,0)-MATCH($I$1,[2]enemies!$2:$2,0)+1),MATCH(X$1,[2]enemies!$2:$2,0)-MATCH($I$1,[2]enemies!$2:$2,0)+1,FALSE)</f>
        <v>#N/A</v>
      </c>
      <c r="Y203" s="31">
        <v>19</v>
      </c>
      <c r="Z203" s="5" t="str">
        <f ca="1">IFERROR(VLOOKUP($Y203,OFFSET([3]characters!$A$1,0,0,COUNTA([3]characters!$A:$A),MATCH(Z$1,[3]characters!$2:$2,0)-MATCH("character_id",[3]characters!$2:$2,0)+1),MATCH(Z$1,[3]characters!$2:$2,0)-MATCH("character_id",[3]characters!$2:$2,0)+1,FALSE),"")</f>
        <v/>
      </c>
      <c r="AA203" s="5" t="str">
        <f ca="1">IFERROR(VLOOKUP($Y203,OFFSET([3]characters!$A$1,0,0,COUNTA([3]characters!$A:$A),MATCH(AA$1,[3]characters!$2:$2,0)-MATCH("character_id",[3]characters!$2:$2,0)+1),MATCH(AA$1,[3]characters!$2:$2,0)-MATCH("character_id",[3]characters!$2:$2,0)+1,FALSE),"")</f>
        <v/>
      </c>
      <c r="AB203" s="5" t="str">
        <f ca="1">IFERROR(VLOOKUP($Y203,OFFSET([3]characters!$A$1,0,0,COUNTA([3]characters!$A:$A),MATCH(AB$1,[3]characters!$2:$2,0)-MATCH("character_id",[3]characters!$2:$2,0)+1),MATCH(AB$1,[3]characters!$2:$2,0)-MATCH("character_id",[3]characters!$2:$2,0)+1,FALSE),"")</f>
        <v/>
      </c>
      <c r="AC203" s="8">
        <v>2</v>
      </c>
      <c r="AD203" s="8" t="str">
        <f t="shared" ca="1" si="119"/>
        <v/>
      </c>
      <c r="AE203" s="9">
        <v>30</v>
      </c>
      <c r="AF203" s="38">
        <v>0</v>
      </c>
      <c r="AG203" s="38">
        <v>0</v>
      </c>
      <c r="AH203" s="38">
        <v>0</v>
      </c>
      <c r="AI203" s="38">
        <v>0</v>
      </c>
      <c r="AJ203" s="38">
        <v>1</v>
      </c>
    </row>
    <row r="204" spans="1:36" ht="21" customHeight="1" x14ac:dyDescent="0.15">
      <c r="A204" s="21" t="e">
        <f t="shared" ca="1" si="118"/>
        <v>#N/A</v>
      </c>
      <c r="B204" s="33">
        <v>6</v>
      </c>
      <c r="C204" s="32">
        <v>3</v>
      </c>
      <c r="D204" s="2" t="str">
        <f t="shared" si="116"/>
        <v>6_3</v>
      </c>
      <c r="E204" s="5" t="str">
        <f ca="1">VLOOKUP($B204,OFFSET([1]quests!$A$1,0,0,COUNTA([1]quests!$A:$A),MATCH(E$1,[1]quests!$1:$1,0)-MATCH($B$1,[1]quests!$1:$1,0)+1),MATCH(E$1,[1]quests!$1:$1,0)-MATCH($B$1,[1]quests!$1:$1,0)+1,FALSE)</f>
        <v>6．ドリームパーク</v>
      </c>
      <c r="F204" s="5" t="str">
        <f ca="1">VLOOKUP($D204,OFFSET([1]stages!$A$1,0,0,COUNTA([1]stages!$A:$A),MATCH(F$1,[1]stages!$2:$2,0)-MATCH($D$1,[1]stages!$2:$2,0)+1),MATCH(F$1,[1]stages!$2:$2,0)-MATCH($D$1,[1]stages!$2:$2,0)+1,FALSE)</f>
        <v>6-3. 正体不明のきぐるみ</v>
      </c>
      <c r="G204" s="32">
        <v>3</v>
      </c>
      <c r="H204" s="20" t="str">
        <f t="shared" si="117"/>
        <v>6_3-3</v>
      </c>
      <c r="I204" s="31">
        <v>23</v>
      </c>
      <c r="J204" s="26" t="e">
        <f ca="1">VLOOKUP($I204,OFFSET([2]enemies!$A$1,0,0,COUNTA([2]enemies!$A:$A),MATCH(J$1,[2]enemies!$2:$2,0)-MATCH($I$1,[2]enemies!$2:$2,0)+1),MATCH(J$1,[2]enemies!$2:$2,0)-MATCH($I$1,[2]enemies!$2:$2,0)+1,FALSE)</f>
        <v>#N/A</v>
      </c>
      <c r="K204" s="29" t="e">
        <f ca="1">VLOOKUP($I204,OFFSET([2]enemies!$A$1,0,0,COUNTA([2]enemies!$A:$A),MATCH(K$1,[2]enemies!$2:$2,0)-MATCH($I$1,[2]enemies!$2:$2,0)+1),MATCH(K$1,[2]enemies!$2:$2,0)-MATCH($I$1,[2]enemies!$2:$2,0)+1,FALSE)</f>
        <v>#N/A</v>
      </c>
      <c r="L204" s="29" t="e">
        <f ca="1">VLOOKUP($I204,OFFSET([3]characters!$A$1,0,0,COUNTA([3]characters!$A:$A),MATCH(L$1,[3]characters!$2:$2,0)-MATCH($I$1,[3]characters!$2:$2,0)+1),MATCH(L$1,[3]characters!$2:$2,0)-MATCH($I$1,[3]characters!$2:$2,0)+1,FALSE)</f>
        <v>#N/A</v>
      </c>
      <c r="M204" s="28" t="e">
        <f ca="1">VLOOKUP($I204,OFFSET([3]characters!$A$1,0,0,COUNTA([3]characters!$A:$A),MATCH(M$1,[3]characters!$2:$2,0)-MATCH($I$1,[3]characters!$2:$2,0)+2),MATCH(M$1,[3]characters!$2:$2,0)-MATCH($I$1,[3]characters!$2:$2,0)+2,FALSE)</f>
        <v>#N/A</v>
      </c>
      <c r="N204" s="5" t="e">
        <f ca="1">VLOOKUP($I204,OFFSET([2]enemies!$A$1,0,0,COUNTA([2]enemies!$A:$A),MATCH(N$1,[2]enemies!$2:$2,0)-MATCH($I$1,[2]enemies!$2:$2,0)+1),MATCH(N$1,[2]enemies!$2:$2,0)-MATCH($I$1,[2]enemies!$2:$2,0)+1,FALSE)</f>
        <v>#N/A</v>
      </c>
      <c r="O204" s="6">
        <v>10</v>
      </c>
      <c r="P204" s="43">
        <v>1</v>
      </c>
      <c r="Q204" s="43">
        <v>1</v>
      </c>
      <c r="R204" s="6">
        <v>0</v>
      </c>
      <c r="S204" s="5" t="str">
        <f ca="1">VLOOKUP($T204,OFFSET([4]enemy_skill_sets!$B$1,0,0,COUNTA([4]enemy_skill_sets!$B:$B),MATCH(J$1,[4]enemy_skill_sets!$1:$1,0)-MATCH($T$1,[4]enemy_skill_sets!$1:$1,0)+2),MATCH(J$1,[4]enemy_skill_sets!$1:$1,0)-MATCH($T$1,[4]enemy_skill_sets!$1:$1,0)+2,FALSE)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4" s="5">
        <v>0</v>
      </c>
      <c r="U204" s="7">
        <v>0</v>
      </c>
      <c r="V204" s="7">
        <v>100</v>
      </c>
      <c r="W204" s="7">
        <v>0</v>
      </c>
      <c r="X204" s="26" t="e">
        <f ca="1">VLOOKUP($I204,OFFSET([2]enemies!$A$1,0,0,COUNTA([2]enemies!$A:$A),MATCH(X$1,[2]enemies!$2:$2,0)-MATCH($I$1,[2]enemies!$2:$2,0)+1),MATCH(X$1,[2]enemies!$2:$2,0)-MATCH($I$1,[2]enemies!$2:$2,0)+1,FALSE)</f>
        <v>#N/A</v>
      </c>
      <c r="Y204" s="31">
        <v>23</v>
      </c>
      <c r="Z204" s="5" t="str">
        <f ca="1">IFERROR(VLOOKUP($Y204,OFFSET([3]characters!$A$1,0,0,COUNTA([3]characters!$A:$A),MATCH(Z$1,[3]characters!$2:$2,0)-MATCH("character_id",[3]characters!$2:$2,0)+1),MATCH(Z$1,[3]characters!$2:$2,0)-MATCH("character_id",[3]characters!$2:$2,0)+1,FALSE),"")</f>
        <v/>
      </c>
      <c r="AA204" s="5" t="str">
        <f ca="1">IFERROR(VLOOKUP($Y204,OFFSET([3]characters!$A$1,0,0,COUNTA([3]characters!$A:$A),MATCH(AA$1,[3]characters!$2:$2,0)-MATCH("character_id",[3]characters!$2:$2,0)+1),MATCH(AA$1,[3]characters!$2:$2,0)-MATCH("character_id",[3]characters!$2:$2,0)+1,FALSE),"")</f>
        <v/>
      </c>
      <c r="AB204" s="5" t="str">
        <f ca="1">IFERROR(VLOOKUP($Y204,OFFSET([3]characters!$A$1,0,0,COUNTA([3]characters!$A:$A),MATCH(AB$1,[3]characters!$2:$2,0)-MATCH("character_id",[3]characters!$2:$2,0)+1),MATCH(AB$1,[3]characters!$2:$2,0)-MATCH("character_id",[3]characters!$2:$2,0)+1,FALSE),"")</f>
        <v/>
      </c>
      <c r="AC204" s="8">
        <v>1</v>
      </c>
      <c r="AD204" s="8" t="str">
        <f t="shared" ca="1" si="119"/>
        <v/>
      </c>
      <c r="AE204" s="9">
        <v>30</v>
      </c>
      <c r="AF204" s="38">
        <v>0</v>
      </c>
      <c r="AG204" s="38">
        <v>0</v>
      </c>
      <c r="AH204" s="38">
        <v>0</v>
      </c>
      <c r="AI204" s="38">
        <v>0</v>
      </c>
      <c r="AJ204" s="38">
        <v>1</v>
      </c>
    </row>
    <row r="205" spans="1:36" ht="21" customHeight="1" x14ac:dyDescent="0.15">
      <c r="A205" s="21" t="e">
        <f t="shared" ca="1" si="118"/>
        <v>#N/A</v>
      </c>
      <c r="B205" s="33">
        <v>6</v>
      </c>
      <c r="C205" s="32">
        <v>3</v>
      </c>
      <c r="D205" s="2" t="str">
        <f t="shared" si="116"/>
        <v>6_3</v>
      </c>
      <c r="E205" s="5" t="str">
        <f ca="1">VLOOKUP($B205,OFFSET([1]quests!$A$1,0,0,COUNTA([1]quests!$A:$A),MATCH(E$1,[1]quests!$1:$1,0)-MATCH($B$1,[1]quests!$1:$1,0)+1),MATCH(E$1,[1]quests!$1:$1,0)-MATCH($B$1,[1]quests!$1:$1,0)+1,FALSE)</f>
        <v>6．ドリームパーク</v>
      </c>
      <c r="F205" s="5" t="str">
        <f ca="1">VLOOKUP($D205,OFFSET([1]stages!$A$1,0,0,COUNTA([1]stages!$A:$A),MATCH(F$1,[1]stages!$2:$2,0)-MATCH($D$1,[1]stages!$2:$2,0)+1),MATCH(F$1,[1]stages!$2:$2,0)-MATCH($D$1,[1]stages!$2:$2,0)+1,FALSE)</f>
        <v>6-3. 正体不明のきぐるみ</v>
      </c>
      <c r="G205" s="32">
        <v>3</v>
      </c>
      <c r="H205" s="20" t="str">
        <f t="shared" si="117"/>
        <v>6_3-3</v>
      </c>
      <c r="I205" s="31">
        <v>25</v>
      </c>
      <c r="J205" s="26" t="e">
        <f ca="1">VLOOKUP($I205,OFFSET([2]enemies!$A$1,0,0,COUNTA([2]enemies!$A:$A),MATCH(J$1,[2]enemies!$2:$2,0)-MATCH($I$1,[2]enemies!$2:$2,0)+1),MATCH(J$1,[2]enemies!$2:$2,0)-MATCH($I$1,[2]enemies!$2:$2,0)+1,FALSE)</f>
        <v>#N/A</v>
      </c>
      <c r="K205" s="29" t="e">
        <f ca="1">VLOOKUP($I205,OFFSET([2]enemies!$A$1,0,0,COUNTA([2]enemies!$A:$A),MATCH(K$1,[2]enemies!$2:$2,0)-MATCH($I$1,[2]enemies!$2:$2,0)+1),MATCH(K$1,[2]enemies!$2:$2,0)-MATCH($I$1,[2]enemies!$2:$2,0)+1,FALSE)</f>
        <v>#N/A</v>
      </c>
      <c r="L205" s="29" t="e">
        <f ca="1">VLOOKUP($I205,OFFSET([3]characters!$A$1,0,0,COUNTA([3]characters!$A:$A),MATCH(L$1,[3]characters!$2:$2,0)-MATCH($I$1,[3]characters!$2:$2,0)+1),MATCH(L$1,[3]characters!$2:$2,0)-MATCH($I$1,[3]characters!$2:$2,0)+1,FALSE)</f>
        <v>#N/A</v>
      </c>
      <c r="M205" s="28" t="e">
        <f ca="1">VLOOKUP($I205,OFFSET([3]characters!$A$1,0,0,COUNTA([3]characters!$A:$A),MATCH(M$1,[3]characters!$2:$2,0)-MATCH($I$1,[3]characters!$2:$2,0)+2),MATCH(M$1,[3]characters!$2:$2,0)-MATCH($I$1,[3]characters!$2:$2,0)+2,FALSE)</f>
        <v>#N/A</v>
      </c>
      <c r="N205" s="5" t="e">
        <f ca="1">VLOOKUP($I205,OFFSET([2]enemies!$A$1,0,0,COUNTA([2]enemies!$A:$A),MATCH(N$1,[2]enemies!$2:$2,0)-MATCH($I$1,[2]enemies!$2:$2,0)+1),MATCH(N$1,[2]enemies!$2:$2,0)-MATCH($I$1,[2]enemies!$2:$2,0)+1,FALSE)</f>
        <v>#N/A</v>
      </c>
      <c r="O205" s="6">
        <v>10</v>
      </c>
      <c r="P205" s="43">
        <v>1</v>
      </c>
      <c r="Q205" s="43">
        <v>1</v>
      </c>
      <c r="R205" s="6">
        <v>0</v>
      </c>
      <c r="S205" s="5" t="str">
        <f ca="1">VLOOKUP($T205,OFFSET([4]enemy_skill_sets!$B$1,0,0,COUNTA([4]enemy_skill_sets!$B:$B),MATCH(J$1,[4]enemy_skill_sets!$1:$1,0)-MATCH($T$1,[4]enemy_skill_sets!$1:$1,0)+2),MATCH(J$1,[4]enemy_skill_sets!$1:$1,0)-MATCH($T$1,[4]enemy_skill_sets!$1:$1,0)+2,FALSE)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5" s="5">
        <v>0</v>
      </c>
      <c r="U205" s="7">
        <v>0</v>
      </c>
      <c r="V205" s="7">
        <v>100</v>
      </c>
      <c r="W205" s="7">
        <v>0</v>
      </c>
      <c r="X205" s="26" t="e">
        <f ca="1">VLOOKUP($I205,OFFSET([2]enemies!$A$1,0,0,COUNTA([2]enemies!$A:$A),MATCH(X$1,[2]enemies!$2:$2,0)-MATCH($I$1,[2]enemies!$2:$2,0)+1),MATCH(X$1,[2]enemies!$2:$2,0)-MATCH($I$1,[2]enemies!$2:$2,0)+1,FALSE)</f>
        <v>#N/A</v>
      </c>
      <c r="Y205" s="31">
        <v>25</v>
      </c>
      <c r="Z205" s="5" t="str">
        <f ca="1">IFERROR(VLOOKUP($Y205,OFFSET([3]characters!$A$1,0,0,COUNTA([3]characters!$A:$A),MATCH(Z$1,[3]characters!$2:$2,0)-MATCH("character_id",[3]characters!$2:$2,0)+1),MATCH(Z$1,[3]characters!$2:$2,0)-MATCH("character_id",[3]characters!$2:$2,0)+1,FALSE),"")</f>
        <v/>
      </c>
      <c r="AA205" s="5" t="str">
        <f ca="1">IFERROR(VLOOKUP($Y205,OFFSET([3]characters!$A$1,0,0,COUNTA([3]characters!$A:$A),MATCH(AA$1,[3]characters!$2:$2,0)-MATCH("character_id",[3]characters!$2:$2,0)+1),MATCH(AA$1,[3]characters!$2:$2,0)-MATCH("character_id",[3]characters!$2:$2,0)+1,FALSE),"")</f>
        <v/>
      </c>
      <c r="AB205" s="5" t="str">
        <f ca="1">IFERROR(VLOOKUP($Y205,OFFSET([3]characters!$A$1,0,0,COUNTA([3]characters!$A:$A),MATCH(AB$1,[3]characters!$2:$2,0)-MATCH("character_id",[3]characters!$2:$2,0)+1),MATCH(AB$1,[3]characters!$2:$2,0)-MATCH("character_id",[3]characters!$2:$2,0)+1,FALSE),"")</f>
        <v/>
      </c>
      <c r="AC205" s="8">
        <v>1</v>
      </c>
      <c r="AD205" s="8" t="str">
        <f t="shared" ca="1" si="119"/>
        <v/>
      </c>
      <c r="AE205" s="9">
        <v>30</v>
      </c>
      <c r="AF205" s="38">
        <v>0</v>
      </c>
      <c r="AG205" s="38">
        <v>0</v>
      </c>
      <c r="AH205" s="38">
        <v>0</v>
      </c>
      <c r="AI205" s="38">
        <v>0</v>
      </c>
      <c r="AJ205" s="38">
        <v>1</v>
      </c>
    </row>
    <row r="206" spans="1:36" ht="21" customHeight="1" x14ac:dyDescent="0.15">
      <c r="A206" s="21" t="e">
        <f t="shared" ref="A206:A207" ca="1" si="120">B206&amp;"_"&amp;C206&amp;"-"&amp;G206&amp;"/"&amp;I206&amp;"&lt;lv"&amp;O206&amp;"&gt;s"&amp;X206</f>
        <v>#N/A</v>
      </c>
      <c r="B206" s="33">
        <v>6</v>
      </c>
      <c r="C206" s="32">
        <v>3</v>
      </c>
      <c r="D206" s="2" t="str">
        <f t="shared" ref="D206:D207" si="121">B206&amp;"_"&amp;C206</f>
        <v>6_3</v>
      </c>
      <c r="E206" s="5" t="str">
        <f ca="1">VLOOKUP($B206,OFFSET([1]quests!$A$1,0,0,COUNTA([1]quests!$A:$A),MATCH(E$1,[1]quests!$1:$1,0)-MATCH($B$1,[1]quests!$1:$1,0)+1),MATCH(E$1,[1]quests!$1:$1,0)-MATCH($B$1,[1]quests!$1:$1,0)+1,FALSE)</f>
        <v>6．ドリームパーク</v>
      </c>
      <c r="F206" s="5" t="str">
        <f ca="1">VLOOKUP($D206,OFFSET([1]stages!$A$1,0,0,COUNTA([1]stages!$A:$A),MATCH(F$1,[1]stages!$2:$2,0)-MATCH($D$1,[1]stages!$2:$2,0)+1),MATCH(F$1,[1]stages!$2:$2,0)-MATCH($D$1,[1]stages!$2:$2,0)+1,FALSE)</f>
        <v>6-3. 正体不明のきぐるみ</v>
      </c>
      <c r="G206" s="32">
        <v>3</v>
      </c>
      <c r="H206" s="20" t="str">
        <f t="shared" ref="H206:H207" si="122">B206&amp;"_"&amp;C206&amp;"-"&amp;G206</f>
        <v>6_3-3</v>
      </c>
      <c r="I206" s="31">
        <v>101</v>
      </c>
      <c r="J206" s="26" t="e">
        <f ca="1">VLOOKUP($I206,OFFSET([2]enemies!$A$1,0,0,COUNTA([2]enemies!$A:$A),MATCH(J$1,[2]enemies!$2:$2,0)-MATCH($I$1,[2]enemies!$2:$2,0)+1),MATCH(J$1,[2]enemies!$2:$2,0)-MATCH($I$1,[2]enemies!$2:$2,0)+1,FALSE)</f>
        <v>#N/A</v>
      </c>
      <c r="K206" s="29" t="e">
        <f ca="1">VLOOKUP($I206,OFFSET([2]enemies!$A$1,0,0,COUNTA([2]enemies!$A:$A),MATCH(K$1,[2]enemies!$2:$2,0)-MATCH($I$1,[2]enemies!$2:$2,0)+1),MATCH(K$1,[2]enemies!$2:$2,0)-MATCH($I$1,[2]enemies!$2:$2,0)+1,FALSE)</f>
        <v>#N/A</v>
      </c>
      <c r="L206" s="29" t="e">
        <f ca="1">VLOOKUP($I206,OFFSET([3]characters!$A$1,0,0,COUNTA([3]characters!$A:$A),MATCH(L$1,[3]characters!$2:$2,0)-MATCH($I$1,[3]characters!$2:$2,0)+1),MATCH(L$1,[3]characters!$2:$2,0)-MATCH($I$1,[3]characters!$2:$2,0)+1,FALSE)</f>
        <v>#N/A</v>
      </c>
      <c r="M206" s="28" t="e">
        <f ca="1">VLOOKUP($I206,OFFSET([3]characters!$A$1,0,0,COUNTA([3]characters!$A:$A),MATCH(M$1,[3]characters!$2:$2,0)-MATCH($I$1,[3]characters!$2:$2,0)+2),MATCH(M$1,[3]characters!$2:$2,0)-MATCH($I$1,[3]characters!$2:$2,0)+2,FALSE)</f>
        <v>#N/A</v>
      </c>
      <c r="N206" s="5" t="e">
        <f ca="1">VLOOKUP($I206,OFFSET([2]enemies!$A$1,0,0,COUNTA([2]enemies!$A:$A),MATCH(N$1,[2]enemies!$2:$2,0)-MATCH($I$1,[2]enemies!$2:$2,0)+1),MATCH(N$1,[2]enemies!$2:$2,0)-MATCH($I$1,[2]enemies!$2:$2,0)+1,FALSE)</f>
        <v>#N/A</v>
      </c>
      <c r="O206" s="6">
        <v>10</v>
      </c>
      <c r="P206" s="43">
        <v>1</v>
      </c>
      <c r="Q206" s="43">
        <v>1</v>
      </c>
      <c r="R206" s="6">
        <v>0</v>
      </c>
      <c r="S206" s="5" t="str">
        <f ca="1">VLOOKUP($T206,OFFSET([4]enemy_skill_sets!$B$1,0,0,COUNTA([4]enemy_skill_sets!$B:$B),MATCH(J$1,[4]enemy_skill_sets!$1:$1,0)-MATCH($T$1,[4]enemy_skill_sets!$1:$1,0)+2),MATCH(J$1,[4]enemy_skill_sets!$1:$1,0)-MATCH($T$1,[4]enemy_skill_sets!$1:$1,0)+2,FALSE)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6" s="5">
        <v>0</v>
      </c>
      <c r="U206" s="7">
        <v>0</v>
      </c>
      <c r="V206" s="7">
        <v>50</v>
      </c>
      <c r="W206" s="7">
        <v>0</v>
      </c>
      <c r="X206" s="26" t="e">
        <f ca="1">VLOOKUP($I206,OFFSET([2]enemies!$A$1,0,0,COUNTA([2]enemies!$A:$A),MATCH(X$1,[2]enemies!$2:$2,0)-MATCH($I$1,[2]enemies!$2:$2,0)+1),MATCH(X$1,[2]enemies!$2:$2,0)-MATCH($I$1,[2]enemies!$2:$2,0)+1,FALSE)</f>
        <v>#N/A</v>
      </c>
      <c r="Y206" s="31">
        <v>101</v>
      </c>
      <c r="Z206" s="5" t="str">
        <f ca="1">IFERROR(VLOOKUP($Y206,OFFSET([3]characters!$A$1,0,0,COUNTA([3]characters!$A:$A),MATCH(Z$1,[3]characters!$2:$2,0)-MATCH("character_id",[3]characters!$2:$2,0)+1),MATCH(Z$1,[3]characters!$2:$2,0)-MATCH("character_id",[3]characters!$2:$2,0)+1,FALSE),"")</f>
        <v/>
      </c>
      <c r="AA206" s="5" t="str">
        <f ca="1">IFERROR(VLOOKUP($Y206,OFFSET([3]characters!$A$1,0,0,COUNTA([3]characters!$A:$A),MATCH(AA$1,[3]characters!$2:$2,0)-MATCH("character_id",[3]characters!$2:$2,0)+1),MATCH(AA$1,[3]characters!$2:$2,0)-MATCH("character_id",[3]characters!$2:$2,0)+1,FALSE),"")</f>
        <v/>
      </c>
      <c r="AB206" s="5" t="str">
        <f ca="1">IFERROR(VLOOKUP($Y206,OFFSET([3]characters!$A$1,0,0,COUNTA([3]characters!$A:$A),MATCH(AB$1,[3]characters!$2:$2,0)-MATCH("character_id",[3]characters!$2:$2,0)+1),MATCH(AB$1,[3]characters!$2:$2,0)-MATCH("character_id",[3]characters!$2:$2,0)+1,FALSE),"")</f>
        <v/>
      </c>
      <c r="AC206" s="8">
        <v>1</v>
      </c>
      <c r="AD206" s="8" t="str">
        <f t="shared" ref="AD206:AD207" ca="1" si="123">AA206</f>
        <v/>
      </c>
      <c r="AE206" s="9">
        <v>20</v>
      </c>
      <c r="AF206" s="38">
        <v>0</v>
      </c>
      <c r="AG206" s="38">
        <v>0</v>
      </c>
      <c r="AH206" s="38">
        <v>0</v>
      </c>
      <c r="AI206" s="38">
        <v>0</v>
      </c>
      <c r="AJ206" s="38">
        <v>1</v>
      </c>
    </row>
    <row r="207" spans="1:36" ht="21" customHeight="1" x14ac:dyDescent="0.15">
      <c r="A207" s="21" t="e">
        <f t="shared" ca="1" si="120"/>
        <v>#N/A</v>
      </c>
      <c r="B207" s="33">
        <v>6</v>
      </c>
      <c r="C207" s="32">
        <v>3</v>
      </c>
      <c r="D207" s="2" t="str">
        <f t="shared" si="121"/>
        <v>6_3</v>
      </c>
      <c r="E207" s="5" t="str">
        <f ca="1">VLOOKUP($B207,OFFSET([1]quests!$A$1,0,0,COUNTA([1]quests!$A:$A),MATCH(E$1,[1]quests!$1:$1,0)-MATCH($B$1,[1]quests!$1:$1,0)+1),MATCH(E$1,[1]quests!$1:$1,0)-MATCH($B$1,[1]quests!$1:$1,0)+1,FALSE)</f>
        <v>6．ドリームパーク</v>
      </c>
      <c r="F207" s="5" t="str">
        <f ca="1">VLOOKUP($D207,OFFSET([1]stages!$A$1,0,0,COUNTA([1]stages!$A:$A),MATCH(F$1,[1]stages!$2:$2,0)-MATCH($D$1,[1]stages!$2:$2,0)+1),MATCH(F$1,[1]stages!$2:$2,0)-MATCH($D$1,[1]stages!$2:$2,0)+1,FALSE)</f>
        <v>6-3. 正体不明のきぐるみ</v>
      </c>
      <c r="G207" s="32">
        <v>3</v>
      </c>
      <c r="H207" s="20" t="str">
        <f t="shared" si="122"/>
        <v>6_3-3</v>
      </c>
      <c r="I207" s="31">
        <v>105</v>
      </c>
      <c r="J207" s="26" t="e">
        <f ca="1">VLOOKUP($I207,OFFSET([2]enemies!$A$1,0,0,COUNTA([2]enemies!$A:$A),MATCH(J$1,[2]enemies!$2:$2,0)-MATCH($I$1,[2]enemies!$2:$2,0)+1),MATCH(J$1,[2]enemies!$2:$2,0)-MATCH($I$1,[2]enemies!$2:$2,0)+1,FALSE)</f>
        <v>#N/A</v>
      </c>
      <c r="K207" s="29" t="e">
        <f ca="1">VLOOKUP($I207,OFFSET([2]enemies!$A$1,0,0,COUNTA([2]enemies!$A:$A),MATCH(K$1,[2]enemies!$2:$2,0)-MATCH($I$1,[2]enemies!$2:$2,0)+1),MATCH(K$1,[2]enemies!$2:$2,0)-MATCH($I$1,[2]enemies!$2:$2,0)+1,FALSE)</f>
        <v>#N/A</v>
      </c>
      <c r="L207" s="29" t="e">
        <f ca="1">VLOOKUP($I207,OFFSET([3]characters!$A$1,0,0,COUNTA([3]characters!$A:$A),MATCH(L$1,[3]characters!$2:$2,0)-MATCH($I$1,[3]characters!$2:$2,0)+1),MATCH(L$1,[3]characters!$2:$2,0)-MATCH($I$1,[3]characters!$2:$2,0)+1,FALSE)</f>
        <v>#N/A</v>
      </c>
      <c r="M207" s="28" t="e">
        <f ca="1">VLOOKUP($I207,OFFSET([3]characters!$A$1,0,0,COUNTA([3]characters!$A:$A),MATCH(M$1,[3]characters!$2:$2,0)-MATCH($I$1,[3]characters!$2:$2,0)+2),MATCH(M$1,[3]characters!$2:$2,0)-MATCH($I$1,[3]characters!$2:$2,0)+2,FALSE)</f>
        <v>#N/A</v>
      </c>
      <c r="N207" s="5" t="e">
        <f ca="1">VLOOKUP($I207,OFFSET([2]enemies!$A$1,0,0,COUNTA([2]enemies!$A:$A),MATCH(N$1,[2]enemies!$2:$2,0)-MATCH($I$1,[2]enemies!$2:$2,0)+1),MATCH(N$1,[2]enemies!$2:$2,0)-MATCH($I$1,[2]enemies!$2:$2,0)+1,FALSE)</f>
        <v>#N/A</v>
      </c>
      <c r="O207" s="6">
        <v>10</v>
      </c>
      <c r="P207" s="43">
        <v>1</v>
      </c>
      <c r="Q207" s="43">
        <v>1</v>
      </c>
      <c r="R207" s="6">
        <v>0</v>
      </c>
      <c r="S207" s="5" t="str">
        <f ca="1">VLOOKUP($T207,OFFSET([4]enemy_skill_sets!$B$1,0,0,COUNTA([4]enemy_skill_sets!$B:$B),MATCH(J$1,[4]enemy_skill_sets!$1:$1,0)-MATCH($T$1,[4]enemy_skill_sets!$1:$1,0)+2),MATCH(J$1,[4]enemy_skill_sets!$1:$1,0)-MATCH($T$1,[4]enemy_skill_sets!$1:$1,0)+2,FALSE)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7" s="5">
        <v>0</v>
      </c>
      <c r="U207" s="7">
        <v>0</v>
      </c>
      <c r="V207" s="7">
        <v>50</v>
      </c>
      <c r="W207" s="7">
        <v>0</v>
      </c>
      <c r="X207" s="26" t="e">
        <f ca="1">VLOOKUP($I207,OFFSET([2]enemies!$A$1,0,0,COUNTA([2]enemies!$A:$A),MATCH(X$1,[2]enemies!$2:$2,0)-MATCH($I$1,[2]enemies!$2:$2,0)+1),MATCH(X$1,[2]enemies!$2:$2,0)-MATCH($I$1,[2]enemies!$2:$2,0)+1,FALSE)</f>
        <v>#N/A</v>
      </c>
      <c r="Y207" s="31">
        <v>105</v>
      </c>
      <c r="Z207" s="5" t="str">
        <f ca="1">IFERROR(VLOOKUP($Y207,OFFSET([3]characters!$A$1,0,0,COUNTA([3]characters!$A:$A),MATCH(Z$1,[3]characters!$2:$2,0)-MATCH("character_id",[3]characters!$2:$2,0)+1),MATCH(Z$1,[3]characters!$2:$2,0)-MATCH("character_id",[3]characters!$2:$2,0)+1,FALSE),"")</f>
        <v/>
      </c>
      <c r="AA207" s="5" t="str">
        <f ca="1">IFERROR(VLOOKUP($Y207,OFFSET([3]characters!$A$1,0,0,COUNTA([3]characters!$A:$A),MATCH(AA$1,[3]characters!$2:$2,0)-MATCH("character_id",[3]characters!$2:$2,0)+1),MATCH(AA$1,[3]characters!$2:$2,0)-MATCH("character_id",[3]characters!$2:$2,0)+1,FALSE),"")</f>
        <v/>
      </c>
      <c r="AB207" s="5" t="str">
        <f ca="1">IFERROR(VLOOKUP($Y207,OFFSET([3]characters!$A$1,0,0,COUNTA([3]characters!$A:$A),MATCH(AB$1,[3]characters!$2:$2,0)-MATCH("character_id",[3]characters!$2:$2,0)+1),MATCH(AB$1,[3]characters!$2:$2,0)-MATCH("character_id",[3]characters!$2:$2,0)+1,FALSE),"")</f>
        <v/>
      </c>
      <c r="AC207" s="8">
        <v>1</v>
      </c>
      <c r="AD207" s="8" t="str">
        <f t="shared" ca="1" si="123"/>
        <v/>
      </c>
      <c r="AE207" s="9">
        <v>20</v>
      </c>
      <c r="AF207" s="38">
        <v>0</v>
      </c>
      <c r="AG207" s="38">
        <v>0</v>
      </c>
      <c r="AH207" s="38">
        <v>0</v>
      </c>
      <c r="AI207" s="38">
        <v>0</v>
      </c>
      <c r="AJ207" s="38">
        <v>1</v>
      </c>
    </row>
    <row r="208" spans="1:36" ht="21" customHeight="1" x14ac:dyDescent="0.15">
      <c r="A208" s="21" t="e">
        <f t="shared" ca="1" si="118"/>
        <v>#N/A</v>
      </c>
      <c r="B208" s="33">
        <v>6</v>
      </c>
      <c r="C208" s="32">
        <v>3</v>
      </c>
      <c r="D208" s="2" t="str">
        <f t="shared" si="116"/>
        <v>6_3</v>
      </c>
      <c r="E208" s="5" t="str">
        <f ca="1">VLOOKUP($B208,OFFSET([1]quests!$A$1,0,0,COUNTA([1]quests!$A:$A),MATCH(E$1,[1]quests!$1:$1,0)-MATCH($B$1,[1]quests!$1:$1,0)+1),MATCH(E$1,[1]quests!$1:$1,0)-MATCH($B$1,[1]quests!$1:$1,0)+1,FALSE)</f>
        <v>6．ドリームパーク</v>
      </c>
      <c r="F208" s="5" t="str">
        <f ca="1">VLOOKUP($D208,OFFSET([1]stages!$A$1,0,0,COUNTA([1]stages!$A:$A),MATCH(F$1,[1]stages!$2:$2,0)-MATCH($D$1,[1]stages!$2:$2,0)+1),MATCH(F$1,[1]stages!$2:$2,0)-MATCH($D$1,[1]stages!$2:$2,0)+1,FALSE)</f>
        <v>6-3. 正体不明のきぐるみ</v>
      </c>
      <c r="G208" s="32">
        <v>3</v>
      </c>
      <c r="H208" s="20" t="str">
        <f t="shared" si="117"/>
        <v>6_3-3</v>
      </c>
      <c r="I208" s="31">
        <v>109</v>
      </c>
      <c r="J208" s="26" t="e">
        <f ca="1">VLOOKUP($I208,OFFSET([2]enemies!$A$1,0,0,COUNTA([2]enemies!$A:$A),MATCH(J$1,[2]enemies!$2:$2,0)-MATCH($I$1,[2]enemies!$2:$2,0)+1),MATCH(J$1,[2]enemies!$2:$2,0)-MATCH($I$1,[2]enemies!$2:$2,0)+1,FALSE)</f>
        <v>#N/A</v>
      </c>
      <c r="K208" s="29" t="e">
        <f ca="1">VLOOKUP($I208,OFFSET([2]enemies!$A$1,0,0,COUNTA([2]enemies!$A:$A),MATCH(K$1,[2]enemies!$2:$2,0)-MATCH($I$1,[2]enemies!$2:$2,0)+1),MATCH(K$1,[2]enemies!$2:$2,0)-MATCH($I$1,[2]enemies!$2:$2,0)+1,FALSE)</f>
        <v>#N/A</v>
      </c>
      <c r="L208" s="29" t="e">
        <f ca="1">VLOOKUP($I208,OFFSET([3]characters!$A$1,0,0,COUNTA([3]characters!$A:$A),MATCH(L$1,[3]characters!$2:$2,0)-MATCH($I$1,[3]characters!$2:$2,0)+1),MATCH(L$1,[3]characters!$2:$2,0)-MATCH($I$1,[3]characters!$2:$2,0)+1,FALSE)</f>
        <v>#N/A</v>
      </c>
      <c r="M208" s="28" t="e">
        <f ca="1">VLOOKUP($I208,OFFSET([3]characters!$A$1,0,0,COUNTA([3]characters!$A:$A),MATCH(M$1,[3]characters!$2:$2,0)-MATCH($I$1,[3]characters!$2:$2,0)+2),MATCH(M$1,[3]characters!$2:$2,0)-MATCH($I$1,[3]characters!$2:$2,0)+2,FALSE)</f>
        <v>#N/A</v>
      </c>
      <c r="N208" s="5" t="e">
        <f ca="1">VLOOKUP($I208,OFFSET([2]enemies!$A$1,0,0,COUNTA([2]enemies!$A:$A),MATCH(N$1,[2]enemies!$2:$2,0)-MATCH($I$1,[2]enemies!$2:$2,0)+1),MATCH(N$1,[2]enemies!$2:$2,0)-MATCH($I$1,[2]enemies!$2:$2,0)+1,FALSE)</f>
        <v>#N/A</v>
      </c>
      <c r="O208" s="6">
        <v>10</v>
      </c>
      <c r="P208" s="43">
        <v>1</v>
      </c>
      <c r="Q208" s="43">
        <v>1</v>
      </c>
      <c r="R208" s="6">
        <v>0</v>
      </c>
      <c r="S208" s="5" t="str">
        <f ca="1">VLOOKUP($T208,OFFSET([4]enemy_skill_sets!$B$1,0,0,COUNTA([4]enemy_skill_sets!$B:$B),MATCH(J$1,[4]enemy_skill_sets!$1:$1,0)-MATCH($T$1,[4]enemy_skill_sets!$1:$1,0)+2),MATCH(J$1,[4]enemy_skill_sets!$1:$1,0)-MATCH($T$1,[4]enemy_skill_sets!$1:$1,0)+2,FALSE)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8" s="5">
        <v>0</v>
      </c>
      <c r="U208" s="7">
        <v>0</v>
      </c>
      <c r="V208" s="7">
        <v>30</v>
      </c>
      <c r="W208" s="7">
        <v>0</v>
      </c>
      <c r="X208" s="26" t="e">
        <f ca="1">VLOOKUP($I208,OFFSET([2]enemies!$A$1,0,0,COUNTA([2]enemies!$A:$A),MATCH(X$1,[2]enemies!$2:$2,0)-MATCH($I$1,[2]enemies!$2:$2,0)+1),MATCH(X$1,[2]enemies!$2:$2,0)-MATCH($I$1,[2]enemies!$2:$2,0)+1,FALSE)</f>
        <v>#N/A</v>
      </c>
      <c r="Y208" s="31">
        <v>109</v>
      </c>
      <c r="Z208" s="5" t="str">
        <f ca="1">IFERROR(VLOOKUP($Y208,OFFSET([3]characters!$A$1,0,0,COUNTA([3]characters!$A:$A),MATCH(Z$1,[3]characters!$2:$2,0)-MATCH("character_id",[3]characters!$2:$2,0)+1),MATCH(Z$1,[3]characters!$2:$2,0)-MATCH("character_id",[3]characters!$2:$2,0)+1,FALSE),"")</f>
        <v/>
      </c>
      <c r="AA208" s="5" t="str">
        <f ca="1">IFERROR(VLOOKUP($Y208,OFFSET([3]characters!$A$1,0,0,COUNTA([3]characters!$A:$A),MATCH(AA$1,[3]characters!$2:$2,0)-MATCH("character_id",[3]characters!$2:$2,0)+1),MATCH(AA$1,[3]characters!$2:$2,0)-MATCH("character_id",[3]characters!$2:$2,0)+1,FALSE),"")</f>
        <v/>
      </c>
      <c r="AB208" s="5" t="str">
        <f ca="1">IFERROR(VLOOKUP($Y208,OFFSET([3]characters!$A$1,0,0,COUNTA([3]characters!$A:$A),MATCH(AB$1,[3]characters!$2:$2,0)-MATCH("character_id",[3]characters!$2:$2,0)+1),MATCH(AB$1,[3]characters!$2:$2,0)-MATCH("character_id",[3]characters!$2:$2,0)+1,FALSE),"")</f>
        <v/>
      </c>
      <c r="AC208" s="8">
        <v>1</v>
      </c>
      <c r="AD208" s="8" t="str">
        <f t="shared" ca="1" si="119"/>
        <v/>
      </c>
      <c r="AE208" s="9">
        <v>20</v>
      </c>
      <c r="AF208" s="38">
        <v>0</v>
      </c>
      <c r="AG208" s="38">
        <v>0</v>
      </c>
      <c r="AH208" s="38">
        <v>0</v>
      </c>
      <c r="AI208" s="38">
        <v>0</v>
      </c>
      <c r="AJ208" s="38">
        <v>1</v>
      </c>
    </row>
    <row r="209" spans="1:36" ht="21" customHeight="1" x14ac:dyDescent="0.15">
      <c r="A209" s="21" t="e">
        <f t="shared" ca="1" si="118"/>
        <v>#N/A</v>
      </c>
      <c r="B209" s="33">
        <v>6</v>
      </c>
      <c r="C209" s="32">
        <v>3</v>
      </c>
      <c r="D209" s="2" t="str">
        <f t="shared" si="116"/>
        <v>6_3</v>
      </c>
      <c r="E209" s="5" t="str">
        <f ca="1">VLOOKUP($B209,OFFSET([1]quests!$A$1,0,0,COUNTA([1]quests!$A:$A),MATCH(E$1,[1]quests!$1:$1,0)-MATCH($B$1,[1]quests!$1:$1,0)+1),MATCH(E$1,[1]quests!$1:$1,0)-MATCH($B$1,[1]quests!$1:$1,0)+1,FALSE)</f>
        <v>6．ドリームパーク</v>
      </c>
      <c r="F209" s="5" t="str">
        <f ca="1">VLOOKUP($D209,OFFSET([1]stages!$A$1,0,0,COUNTA([1]stages!$A:$A),MATCH(F$1,[1]stages!$2:$2,0)-MATCH($D$1,[1]stages!$2:$2,0)+1),MATCH(F$1,[1]stages!$2:$2,0)-MATCH($D$1,[1]stages!$2:$2,0)+1,FALSE)</f>
        <v>6-3. 正体不明のきぐるみ</v>
      </c>
      <c r="G209" s="32">
        <v>3</v>
      </c>
      <c r="H209" s="20" t="str">
        <f t="shared" si="117"/>
        <v>6_3-3</v>
      </c>
      <c r="I209" s="31">
        <v>113</v>
      </c>
      <c r="J209" s="26" t="e">
        <f ca="1">VLOOKUP($I209,OFFSET([2]enemies!$A$1,0,0,COUNTA([2]enemies!$A:$A),MATCH(J$1,[2]enemies!$2:$2,0)-MATCH($I$1,[2]enemies!$2:$2,0)+1),MATCH(J$1,[2]enemies!$2:$2,0)-MATCH($I$1,[2]enemies!$2:$2,0)+1,FALSE)</f>
        <v>#N/A</v>
      </c>
      <c r="K209" s="29" t="e">
        <f ca="1">VLOOKUP($I209,OFFSET([2]enemies!$A$1,0,0,COUNTA([2]enemies!$A:$A),MATCH(K$1,[2]enemies!$2:$2,0)-MATCH($I$1,[2]enemies!$2:$2,0)+1),MATCH(K$1,[2]enemies!$2:$2,0)-MATCH($I$1,[2]enemies!$2:$2,0)+1,FALSE)</f>
        <v>#N/A</v>
      </c>
      <c r="L209" s="29" t="e">
        <f ca="1">VLOOKUP($I209,OFFSET([3]characters!$A$1,0,0,COUNTA([3]characters!$A:$A),MATCH(L$1,[3]characters!$2:$2,0)-MATCH($I$1,[3]characters!$2:$2,0)+1),MATCH(L$1,[3]characters!$2:$2,0)-MATCH($I$1,[3]characters!$2:$2,0)+1,FALSE)</f>
        <v>#N/A</v>
      </c>
      <c r="M209" s="28" t="e">
        <f ca="1">VLOOKUP($I209,OFFSET([3]characters!$A$1,0,0,COUNTA([3]characters!$A:$A),MATCH(M$1,[3]characters!$2:$2,0)-MATCH($I$1,[3]characters!$2:$2,0)+2),MATCH(M$1,[3]characters!$2:$2,0)-MATCH($I$1,[3]characters!$2:$2,0)+2,FALSE)</f>
        <v>#N/A</v>
      </c>
      <c r="N209" s="5" t="e">
        <f ca="1">VLOOKUP($I209,OFFSET([2]enemies!$A$1,0,0,COUNTA([2]enemies!$A:$A),MATCH(N$1,[2]enemies!$2:$2,0)-MATCH($I$1,[2]enemies!$2:$2,0)+1),MATCH(N$1,[2]enemies!$2:$2,0)-MATCH($I$1,[2]enemies!$2:$2,0)+1,FALSE)</f>
        <v>#N/A</v>
      </c>
      <c r="O209" s="6">
        <v>10</v>
      </c>
      <c r="P209" s="43">
        <v>1</v>
      </c>
      <c r="Q209" s="43">
        <v>1</v>
      </c>
      <c r="R209" s="6">
        <v>0</v>
      </c>
      <c r="S209" s="5" t="str">
        <f ca="1">VLOOKUP($T209,OFFSET([4]enemy_skill_sets!$B$1,0,0,COUNTA([4]enemy_skill_sets!$B:$B),MATCH(J$1,[4]enemy_skill_sets!$1:$1,0)-MATCH($T$1,[4]enemy_skill_sets!$1:$1,0)+2),MATCH(J$1,[4]enemy_skill_sets!$1:$1,0)-MATCH($T$1,[4]enemy_skill_sets!$1:$1,0)+2,FALSE)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9" s="5">
        <v>0</v>
      </c>
      <c r="U209" s="7">
        <v>0</v>
      </c>
      <c r="V209" s="7">
        <v>30</v>
      </c>
      <c r="W209" s="7">
        <v>0</v>
      </c>
      <c r="X209" s="26" t="e">
        <f ca="1">VLOOKUP($I209,OFFSET([2]enemies!$A$1,0,0,COUNTA([2]enemies!$A:$A),MATCH(X$1,[2]enemies!$2:$2,0)-MATCH($I$1,[2]enemies!$2:$2,0)+1),MATCH(X$1,[2]enemies!$2:$2,0)-MATCH($I$1,[2]enemies!$2:$2,0)+1,FALSE)</f>
        <v>#N/A</v>
      </c>
      <c r="Y209" s="31">
        <v>113</v>
      </c>
      <c r="Z209" s="5" t="str">
        <f ca="1">IFERROR(VLOOKUP($Y209,OFFSET([3]characters!$A$1,0,0,COUNTA([3]characters!$A:$A),MATCH(Z$1,[3]characters!$2:$2,0)-MATCH("character_id",[3]characters!$2:$2,0)+1),MATCH(Z$1,[3]characters!$2:$2,0)-MATCH("character_id",[3]characters!$2:$2,0)+1,FALSE),"")</f>
        <v/>
      </c>
      <c r="AA209" s="5" t="str">
        <f ca="1">IFERROR(VLOOKUP($Y209,OFFSET([3]characters!$A$1,0,0,COUNTA([3]characters!$A:$A),MATCH(AA$1,[3]characters!$2:$2,0)-MATCH("character_id",[3]characters!$2:$2,0)+1),MATCH(AA$1,[3]characters!$2:$2,0)-MATCH("character_id",[3]characters!$2:$2,0)+1,FALSE),"")</f>
        <v/>
      </c>
      <c r="AB209" s="5" t="str">
        <f ca="1">IFERROR(VLOOKUP($Y209,OFFSET([3]characters!$A$1,0,0,COUNTA([3]characters!$A:$A),MATCH(AB$1,[3]characters!$2:$2,0)-MATCH("character_id",[3]characters!$2:$2,0)+1),MATCH(AB$1,[3]characters!$2:$2,0)-MATCH("character_id",[3]characters!$2:$2,0)+1,FALSE),"")</f>
        <v/>
      </c>
      <c r="AC209" s="8">
        <v>1</v>
      </c>
      <c r="AD209" s="8" t="str">
        <f t="shared" ca="1" si="119"/>
        <v/>
      </c>
      <c r="AE209" s="9">
        <v>20</v>
      </c>
      <c r="AF209" s="38">
        <v>0</v>
      </c>
      <c r="AG209" s="38">
        <v>0</v>
      </c>
      <c r="AH209" s="38">
        <v>0</v>
      </c>
      <c r="AI209" s="38">
        <v>0</v>
      </c>
      <c r="AJ209" s="38">
        <v>1</v>
      </c>
    </row>
    <row r="210" spans="1:36" ht="21" customHeight="1" x14ac:dyDescent="0.15">
      <c r="A210" s="21" t="e">
        <f t="shared" ca="1" si="118"/>
        <v>#N/A</v>
      </c>
      <c r="B210" s="33">
        <v>6</v>
      </c>
      <c r="C210" s="32">
        <v>3</v>
      </c>
      <c r="D210" s="2" t="str">
        <f t="shared" si="116"/>
        <v>6_3</v>
      </c>
      <c r="E210" s="5" t="str">
        <f ca="1">VLOOKUP($B210,OFFSET([1]quests!$A$1,0,0,COUNTA([1]quests!$A:$A),MATCH(E$1,[1]quests!$1:$1,0)-MATCH($B$1,[1]quests!$1:$1,0)+1),MATCH(E$1,[1]quests!$1:$1,0)-MATCH($B$1,[1]quests!$1:$1,0)+1,FALSE)</f>
        <v>6．ドリームパーク</v>
      </c>
      <c r="F210" s="5" t="str">
        <f ca="1">VLOOKUP($D210,OFFSET([1]stages!$A$1,0,0,COUNTA([1]stages!$A:$A),MATCH(F$1,[1]stages!$2:$2,0)-MATCH($D$1,[1]stages!$2:$2,0)+1),MATCH(F$1,[1]stages!$2:$2,0)-MATCH($D$1,[1]stages!$2:$2,0)+1,FALSE)</f>
        <v>6-3. 正体不明のきぐるみ</v>
      </c>
      <c r="G210" s="32">
        <v>4</v>
      </c>
      <c r="H210" s="20" t="str">
        <f t="shared" si="117"/>
        <v>6_3-4</v>
      </c>
      <c r="I210" s="31">
        <v>41</v>
      </c>
      <c r="J210" s="26" t="e">
        <f ca="1">VLOOKUP($I210,OFFSET([2]enemies!$A$1,0,0,COUNTA([2]enemies!$A:$A),MATCH(J$1,[2]enemies!$2:$2,0)-MATCH($I$1,[2]enemies!$2:$2,0)+1),MATCH(J$1,[2]enemies!$2:$2,0)-MATCH($I$1,[2]enemies!$2:$2,0)+1,FALSE)</f>
        <v>#N/A</v>
      </c>
      <c r="K210" s="29" t="e">
        <f ca="1">VLOOKUP($I210,OFFSET([2]enemies!$A$1,0,0,COUNTA([2]enemies!$A:$A),MATCH(K$1,[2]enemies!$2:$2,0)-MATCH($I$1,[2]enemies!$2:$2,0)+1),MATCH(K$1,[2]enemies!$2:$2,0)-MATCH($I$1,[2]enemies!$2:$2,0)+1,FALSE)</f>
        <v>#N/A</v>
      </c>
      <c r="L210" s="29" t="e">
        <f ca="1">VLOOKUP($I210,OFFSET([3]characters!$A$1,0,0,COUNTA([3]characters!$A:$A),MATCH(L$1,[3]characters!$2:$2,0)-MATCH($I$1,[3]characters!$2:$2,0)+1),MATCH(L$1,[3]characters!$2:$2,0)-MATCH($I$1,[3]characters!$2:$2,0)+1,FALSE)</f>
        <v>#N/A</v>
      </c>
      <c r="M210" s="28" t="e">
        <f ca="1">VLOOKUP($I210,OFFSET([3]characters!$A$1,0,0,COUNTA([3]characters!$A:$A),MATCH(M$1,[3]characters!$2:$2,0)-MATCH($I$1,[3]characters!$2:$2,0)+2),MATCH(M$1,[3]characters!$2:$2,0)-MATCH($I$1,[3]characters!$2:$2,0)+2,FALSE)</f>
        <v>#N/A</v>
      </c>
      <c r="N210" s="5" t="e">
        <f ca="1">VLOOKUP($I210,OFFSET([2]enemies!$A$1,0,0,COUNTA([2]enemies!$A:$A),MATCH(N$1,[2]enemies!$2:$2,0)-MATCH($I$1,[2]enemies!$2:$2,0)+1),MATCH(N$1,[2]enemies!$2:$2,0)-MATCH($I$1,[2]enemies!$2:$2,0)+1,FALSE)</f>
        <v>#N/A</v>
      </c>
      <c r="O210" s="6">
        <v>13</v>
      </c>
      <c r="P210" s="43">
        <v>1</v>
      </c>
      <c r="Q210" s="43">
        <v>1</v>
      </c>
      <c r="R210" s="6">
        <v>0</v>
      </c>
      <c r="S210" s="5" t="str">
        <f ca="1">VLOOKUP($T210,OFFSET([4]enemy_skill_sets!$B$1,0,0,COUNTA([4]enemy_skill_sets!$B:$B),MATCH(J$1,[4]enemy_skill_sets!$1:$1,0)-MATCH($T$1,[4]enemy_skill_sets!$1:$1,0)+2),MATCH(J$1,[4]enemy_skill_sets!$1:$1,0)-MATCH($T$1,[4]enemy_skill_sets!$1:$1,0)+2,FALSE)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0" s="5">
        <v>0</v>
      </c>
      <c r="U210" s="7">
        <v>1</v>
      </c>
      <c r="V210" s="7">
        <v>100</v>
      </c>
      <c r="W210" s="7">
        <v>1</v>
      </c>
      <c r="X210" s="26" t="e">
        <f ca="1">VLOOKUP($I210,OFFSET([2]enemies!$A$1,0,0,COUNTA([2]enemies!$A:$A),MATCH(X$1,[2]enemies!$2:$2,0)-MATCH($I$1,[2]enemies!$2:$2,0)+1),MATCH(X$1,[2]enemies!$2:$2,0)-MATCH($I$1,[2]enemies!$2:$2,0)+1,FALSE)</f>
        <v>#N/A</v>
      </c>
      <c r="Y210" s="31">
        <v>41</v>
      </c>
      <c r="Z210" s="5" t="str">
        <f ca="1">IFERROR(VLOOKUP($Y210,OFFSET([3]characters!$A$1,0,0,COUNTA([3]characters!$A:$A),MATCH(Z$1,[3]characters!$2:$2,0)-MATCH("character_id",[3]characters!$2:$2,0)+1),MATCH(Z$1,[3]characters!$2:$2,0)-MATCH("character_id",[3]characters!$2:$2,0)+1,FALSE),"")</f>
        <v/>
      </c>
      <c r="AA210" s="5" t="str">
        <f ca="1">IFERROR(VLOOKUP($Y210,OFFSET([3]characters!$A$1,0,0,COUNTA([3]characters!$A:$A),MATCH(AA$1,[3]characters!$2:$2,0)-MATCH("character_id",[3]characters!$2:$2,0)+1),MATCH(AA$1,[3]characters!$2:$2,0)-MATCH("character_id",[3]characters!$2:$2,0)+1,FALSE),"")</f>
        <v/>
      </c>
      <c r="AB210" s="5" t="str">
        <f ca="1">IFERROR(VLOOKUP($Y210,OFFSET([3]characters!$A$1,0,0,COUNTA([3]characters!$A:$A),MATCH(AB$1,[3]characters!$2:$2,0)-MATCH("character_id",[3]characters!$2:$2,0)+1),MATCH(AB$1,[3]characters!$2:$2,0)-MATCH("character_id",[3]characters!$2:$2,0)+1,FALSE),"")</f>
        <v/>
      </c>
      <c r="AC210" s="8">
        <v>1</v>
      </c>
      <c r="AD210" s="8" t="str">
        <f t="shared" ca="1" si="119"/>
        <v/>
      </c>
      <c r="AE210" s="9">
        <v>0</v>
      </c>
      <c r="AF210" s="38">
        <v>0</v>
      </c>
      <c r="AG210" s="38">
        <v>0</v>
      </c>
      <c r="AH210" s="38">
        <v>0</v>
      </c>
      <c r="AI210" s="38">
        <v>0</v>
      </c>
      <c r="AJ210" s="38">
        <v>1</v>
      </c>
    </row>
    <row r="211" spans="1:36" ht="21" customHeight="1" x14ac:dyDescent="0.15">
      <c r="A211" s="21" t="e">
        <f t="shared" ca="1" si="118"/>
        <v>#N/A</v>
      </c>
      <c r="B211" s="33">
        <v>6</v>
      </c>
      <c r="C211" s="32">
        <v>3</v>
      </c>
      <c r="D211" s="2" t="str">
        <f t="shared" si="116"/>
        <v>6_3</v>
      </c>
      <c r="E211" s="5" t="str">
        <f ca="1">VLOOKUP($B211,OFFSET([1]quests!$A$1,0,0,COUNTA([1]quests!$A:$A),MATCH(E$1,[1]quests!$1:$1,0)-MATCH($B$1,[1]quests!$1:$1,0)+1),MATCH(E$1,[1]quests!$1:$1,0)-MATCH($B$1,[1]quests!$1:$1,0)+1,FALSE)</f>
        <v>6．ドリームパーク</v>
      </c>
      <c r="F211" s="5" t="str">
        <f ca="1">VLOOKUP($D211,OFFSET([1]stages!$A$1,0,0,COUNTA([1]stages!$A:$A),MATCH(F$1,[1]stages!$2:$2,0)-MATCH($D$1,[1]stages!$2:$2,0)+1),MATCH(F$1,[1]stages!$2:$2,0)-MATCH($D$1,[1]stages!$2:$2,0)+1,FALSE)</f>
        <v>6-3. 正体不明のきぐるみ</v>
      </c>
      <c r="G211" s="32">
        <v>4</v>
      </c>
      <c r="H211" s="20" t="str">
        <f t="shared" si="117"/>
        <v>6_3-4</v>
      </c>
      <c r="I211" s="31">
        <v>43</v>
      </c>
      <c r="J211" s="26" t="e">
        <f ca="1">VLOOKUP($I211,OFFSET([2]enemies!$A$1,0,0,COUNTA([2]enemies!$A:$A),MATCH(J$1,[2]enemies!$2:$2,0)-MATCH($I$1,[2]enemies!$2:$2,0)+1),MATCH(J$1,[2]enemies!$2:$2,0)-MATCH($I$1,[2]enemies!$2:$2,0)+1,FALSE)</f>
        <v>#N/A</v>
      </c>
      <c r="K211" s="29" t="e">
        <f ca="1">VLOOKUP($I211,OFFSET([2]enemies!$A$1,0,0,COUNTA([2]enemies!$A:$A),MATCH(K$1,[2]enemies!$2:$2,0)-MATCH($I$1,[2]enemies!$2:$2,0)+1),MATCH(K$1,[2]enemies!$2:$2,0)-MATCH($I$1,[2]enemies!$2:$2,0)+1,FALSE)</f>
        <v>#N/A</v>
      </c>
      <c r="L211" s="29" t="e">
        <f ca="1">VLOOKUP($I211,OFFSET([3]characters!$A$1,0,0,COUNTA([3]characters!$A:$A),MATCH(L$1,[3]characters!$2:$2,0)-MATCH($I$1,[3]characters!$2:$2,0)+1),MATCH(L$1,[3]characters!$2:$2,0)-MATCH($I$1,[3]characters!$2:$2,0)+1,FALSE)</f>
        <v>#N/A</v>
      </c>
      <c r="M211" s="28" t="e">
        <f ca="1">VLOOKUP($I211,OFFSET([3]characters!$A$1,0,0,COUNTA([3]characters!$A:$A),MATCH(M$1,[3]characters!$2:$2,0)-MATCH($I$1,[3]characters!$2:$2,0)+2),MATCH(M$1,[3]characters!$2:$2,0)-MATCH($I$1,[3]characters!$2:$2,0)+2,FALSE)</f>
        <v>#N/A</v>
      </c>
      <c r="N211" s="5" t="e">
        <f ca="1">VLOOKUP($I211,OFFSET([2]enemies!$A$1,0,0,COUNTA([2]enemies!$A:$A),MATCH(N$1,[2]enemies!$2:$2,0)-MATCH($I$1,[2]enemies!$2:$2,0)+1),MATCH(N$1,[2]enemies!$2:$2,0)-MATCH($I$1,[2]enemies!$2:$2,0)+1,FALSE)</f>
        <v>#N/A</v>
      </c>
      <c r="O211" s="6">
        <v>13</v>
      </c>
      <c r="P211" s="43">
        <v>1</v>
      </c>
      <c r="Q211" s="43">
        <v>1</v>
      </c>
      <c r="R211" s="6">
        <v>0</v>
      </c>
      <c r="S211" s="5" t="str">
        <f ca="1">VLOOKUP($T211,OFFSET([4]enemy_skill_sets!$B$1,0,0,COUNTA([4]enemy_skill_sets!$B:$B),MATCH(J$1,[4]enemy_skill_sets!$1:$1,0)-MATCH($T$1,[4]enemy_skill_sets!$1:$1,0)+2),MATCH(J$1,[4]enemy_skill_sets!$1:$1,0)-MATCH($T$1,[4]enemy_skill_sets!$1:$1,0)+2,FALSE)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1" s="5">
        <v>0</v>
      </c>
      <c r="U211" s="7">
        <v>1</v>
      </c>
      <c r="V211" s="7">
        <v>100</v>
      </c>
      <c r="W211" s="7">
        <v>0</v>
      </c>
      <c r="X211" s="26" t="e">
        <f ca="1">VLOOKUP($I211,OFFSET([2]enemies!$A$1,0,0,COUNTA([2]enemies!$A:$A),MATCH(X$1,[2]enemies!$2:$2,0)-MATCH($I$1,[2]enemies!$2:$2,0)+1),MATCH(X$1,[2]enemies!$2:$2,0)-MATCH($I$1,[2]enemies!$2:$2,0)+1,FALSE)</f>
        <v>#N/A</v>
      </c>
      <c r="Y211" s="31">
        <v>43</v>
      </c>
      <c r="Z211" s="5" t="str">
        <f ca="1">IFERROR(VLOOKUP($Y211,OFFSET([3]characters!$A$1,0,0,COUNTA([3]characters!$A:$A),MATCH(Z$1,[3]characters!$2:$2,0)-MATCH("character_id",[3]characters!$2:$2,0)+1),MATCH(Z$1,[3]characters!$2:$2,0)-MATCH("character_id",[3]characters!$2:$2,0)+1,FALSE),"")</f>
        <v/>
      </c>
      <c r="AA211" s="5" t="str">
        <f ca="1">IFERROR(VLOOKUP($Y211,OFFSET([3]characters!$A$1,0,0,COUNTA([3]characters!$A:$A),MATCH(AA$1,[3]characters!$2:$2,0)-MATCH("character_id",[3]characters!$2:$2,0)+1),MATCH(AA$1,[3]characters!$2:$2,0)-MATCH("character_id",[3]characters!$2:$2,0)+1,FALSE),"")</f>
        <v/>
      </c>
      <c r="AB211" s="5" t="str">
        <f ca="1">IFERROR(VLOOKUP($Y211,OFFSET([3]characters!$A$1,0,0,COUNTA([3]characters!$A:$A),MATCH(AB$1,[3]characters!$2:$2,0)-MATCH("character_id",[3]characters!$2:$2,0)+1),MATCH(AB$1,[3]characters!$2:$2,0)-MATCH("character_id",[3]characters!$2:$2,0)+1,FALSE),"")</f>
        <v/>
      </c>
      <c r="AC211" s="8">
        <v>1</v>
      </c>
      <c r="AD211" s="8" t="str">
        <f t="shared" ca="1" si="119"/>
        <v/>
      </c>
      <c r="AE211" s="9">
        <v>0</v>
      </c>
      <c r="AF211" s="38">
        <v>0</v>
      </c>
      <c r="AG211" s="38">
        <v>0</v>
      </c>
      <c r="AH211" s="38">
        <v>0</v>
      </c>
      <c r="AI211" s="38">
        <v>0</v>
      </c>
      <c r="AJ211" s="38">
        <v>1</v>
      </c>
    </row>
    <row r="212" spans="1:36" ht="21" customHeight="1" x14ac:dyDescent="0.15">
      <c r="A212" s="21" t="e">
        <f t="shared" ca="1" si="118"/>
        <v>#N/A</v>
      </c>
      <c r="B212" s="33">
        <v>6</v>
      </c>
      <c r="C212" s="32">
        <v>4</v>
      </c>
      <c r="D212" s="2" t="str">
        <f t="shared" si="116"/>
        <v>6_4</v>
      </c>
      <c r="E212" s="5" t="str">
        <f ca="1">VLOOKUP($B212,OFFSET([1]quests!$A$1,0,0,COUNTA([1]quests!$A:$A),MATCH(E$1,[1]quests!$1:$1,0)-MATCH($B$1,[1]quests!$1:$1,0)+1),MATCH(E$1,[1]quests!$1:$1,0)-MATCH($B$1,[1]quests!$1:$1,0)+1,FALSE)</f>
        <v>6．ドリームパーク</v>
      </c>
      <c r="F212" s="5" t="str">
        <f ca="1">VLOOKUP($D212,OFFSET([1]stages!$A$1,0,0,COUNTA([1]stages!$A:$A),MATCH(F$1,[1]stages!$2:$2,0)-MATCH($D$1,[1]stages!$2:$2,0)+1),MATCH(F$1,[1]stages!$2:$2,0)-MATCH($D$1,[1]stages!$2:$2,0)+1,FALSE)</f>
        <v>6-4. 悪夢へのスイッチ</v>
      </c>
      <c r="G212" s="32">
        <v>1</v>
      </c>
      <c r="H212" s="20" t="str">
        <f t="shared" si="117"/>
        <v>6_4-1</v>
      </c>
      <c r="I212" s="31">
        <v>1</v>
      </c>
      <c r="J212" s="26" t="e">
        <f ca="1">VLOOKUP($I212,OFFSET([2]enemies!$A$1,0,0,COUNTA([2]enemies!$A:$A),MATCH(J$1,[2]enemies!$2:$2,0)-MATCH($I$1,[2]enemies!$2:$2,0)+1),MATCH(J$1,[2]enemies!$2:$2,0)-MATCH($I$1,[2]enemies!$2:$2,0)+1,FALSE)</f>
        <v>#N/A</v>
      </c>
      <c r="K212" s="29" t="e">
        <f ca="1">VLOOKUP($I212,OFFSET([2]enemies!$A$1,0,0,COUNTA([2]enemies!$A:$A),MATCH(K$1,[2]enemies!$2:$2,0)-MATCH($I$1,[2]enemies!$2:$2,0)+1),MATCH(K$1,[2]enemies!$2:$2,0)-MATCH($I$1,[2]enemies!$2:$2,0)+1,FALSE)</f>
        <v>#N/A</v>
      </c>
      <c r="L212" s="29" t="e">
        <f ca="1">VLOOKUP($I212,OFFSET([3]characters!$A$1,0,0,COUNTA([3]characters!$A:$A),MATCH(L$1,[3]characters!$2:$2,0)-MATCH($I$1,[3]characters!$2:$2,0)+1),MATCH(L$1,[3]characters!$2:$2,0)-MATCH($I$1,[3]characters!$2:$2,0)+1,FALSE)</f>
        <v>#N/A</v>
      </c>
      <c r="M212" s="28" t="e">
        <f ca="1">VLOOKUP($I212,OFFSET([3]characters!$A$1,0,0,COUNTA([3]characters!$A:$A),MATCH(M$1,[3]characters!$2:$2,0)-MATCH($I$1,[3]characters!$2:$2,0)+2),MATCH(M$1,[3]characters!$2:$2,0)-MATCH($I$1,[3]characters!$2:$2,0)+2,FALSE)</f>
        <v>#N/A</v>
      </c>
      <c r="N212" s="5" t="e">
        <f ca="1">VLOOKUP($I212,OFFSET([2]enemies!$A$1,0,0,COUNTA([2]enemies!$A:$A),MATCH(N$1,[2]enemies!$2:$2,0)-MATCH($I$1,[2]enemies!$2:$2,0)+1),MATCH(N$1,[2]enemies!$2:$2,0)-MATCH($I$1,[2]enemies!$2:$2,0)+1,FALSE)</f>
        <v>#N/A</v>
      </c>
      <c r="O212" s="6">
        <v>10</v>
      </c>
      <c r="P212" s="43">
        <v>1</v>
      </c>
      <c r="Q212" s="43">
        <v>1</v>
      </c>
      <c r="R212" s="6">
        <v>0</v>
      </c>
      <c r="S212" s="5" t="str">
        <f ca="1">VLOOKUP($T212,OFFSET([4]enemy_skill_sets!$B$1,0,0,COUNTA([4]enemy_skill_sets!$B:$B),MATCH(J$1,[4]enemy_skill_sets!$1:$1,0)-MATCH($T$1,[4]enemy_skill_sets!$1:$1,0)+2),MATCH(J$1,[4]enemy_skill_sets!$1:$1,0)-MATCH($T$1,[4]enemy_skill_sets!$1:$1,0)+2,FALSE)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2" s="5">
        <v>0</v>
      </c>
      <c r="U212" s="7">
        <v>0</v>
      </c>
      <c r="V212" s="7">
        <v>100</v>
      </c>
      <c r="W212" s="7">
        <v>0</v>
      </c>
      <c r="X212" s="26" t="e">
        <f ca="1">VLOOKUP($I212,OFFSET([2]enemies!$A$1,0,0,COUNTA([2]enemies!$A:$A),MATCH(X$1,[2]enemies!$2:$2,0)-MATCH($I$1,[2]enemies!$2:$2,0)+1),MATCH(X$1,[2]enemies!$2:$2,0)-MATCH($I$1,[2]enemies!$2:$2,0)+1,FALSE)</f>
        <v>#N/A</v>
      </c>
      <c r="Y212" s="31">
        <v>1</v>
      </c>
      <c r="Z212" s="5" t="str">
        <f ca="1">IFERROR(VLOOKUP($Y212,OFFSET([3]characters!$A$1,0,0,COUNTA([3]characters!$A:$A),MATCH(Z$1,[3]characters!$2:$2,0)-MATCH("character_id",[3]characters!$2:$2,0)+1),MATCH(Z$1,[3]characters!$2:$2,0)-MATCH("character_id",[3]characters!$2:$2,0)+1,FALSE),"")</f>
        <v/>
      </c>
      <c r="AA212" s="5" t="str">
        <f ca="1">IFERROR(VLOOKUP($Y212,OFFSET([3]characters!$A$1,0,0,COUNTA([3]characters!$A:$A),MATCH(AA$1,[3]characters!$2:$2,0)-MATCH("character_id",[3]characters!$2:$2,0)+1),MATCH(AA$1,[3]characters!$2:$2,0)-MATCH("character_id",[3]characters!$2:$2,0)+1,FALSE),"")</f>
        <v/>
      </c>
      <c r="AB212" s="5" t="str">
        <f ca="1">IFERROR(VLOOKUP($Y212,OFFSET([3]characters!$A$1,0,0,COUNTA([3]characters!$A:$A),MATCH(AB$1,[3]characters!$2:$2,0)-MATCH("character_id",[3]characters!$2:$2,0)+1),MATCH(AB$1,[3]characters!$2:$2,0)-MATCH("character_id",[3]characters!$2:$2,0)+1,FALSE),"")</f>
        <v/>
      </c>
      <c r="AC212" s="8">
        <v>4</v>
      </c>
      <c r="AD212" s="8" t="str">
        <f t="shared" ca="1" si="119"/>
        <v/>
      </c>
      <c r="AE212" s="9">
        <v>30</v>
      </c>
      <c r="AF212" s="38">
        <v>0</v>
      </c>
      <c r="AG212" s="38">
        <v>0</v>
      </c>
      <c r="AH212" s="38">
        <v>0</v>
      </c>
      <c r="AI212" s="38">
        <v>0</v>
      </c>
      <c r="AJ212" s="38">
        <v>1</v>
      </c>
    </row>
    <row r="213" spans="1:36" ht="21" customHeight="1" x14ac:dyDescent="0.15">
      <c r="A213" s="21" t="e">
        <f t="shared" ca="1" si="118"/>
        <v>#N/A</v>
      </c>
      <c r="B213" s="33">
        <v>6</v>
      </c>
      <c r="C213" s="32">
        <v>4</v>
      </c>
      <c r="D213" s="2" t="str">
        <f t="shared" si="116"/>
        <v>6_4</v>
      </c>
      <c r="E213" s="5" t="str">
        <f ca="1">VLOOKUP($B213,OFFSET([1]quests!$A$1,0,0,COUNTA([1]quests!$A:$A),MATCH(E$1,[1]quests!$1:$1,0)-MATCH($B$1,[1]quests!$1:$1,0)+1),MATCH(E$1,[1]quests!$1:$1,0)-MATCH($B$1,[1]quests!$1:$1,0)+1,FALSE)</f>
        <v>6．ドリームパーク</v>
      </c>
      <c r="F213" s="5" t="str">
        <f ca="1">VLOOKUP($D213,OFFSET([1]stages!$A$1,0,0,COUNTA([1]stages!$A:$A),MATCH(F$1,[1]stages!$2:$2,0)-MATCH($D$1,[1]stages!$2:$2,0)+1),MATCH(F$1,[1]stages!$2:$2,0)-MATCH($D$1,[1]stages!$2:$2,0)+1,FALSE)</f>
        <v>6-4. 悪夢へのスイッチ</v>
      </c>
      <c r="G213" s="32">
        <v>1</v>
      </c>
      <c r="H213" s="20" t="str">
        <f t="shared" si="117"/>
        <v>6_4-1</v>
      </c>
      <c r="I213" s="31">
        <v>3</v>
      </c>
      <c r="J213" s="26" t="e">
        <f ca="1">VLOOKUP($I213,OFFSET([2]enemies!$A$1,0,0,COUNTA([2]enemies!$A:$A),MATCH(J$1,[2]enemies!$2:$2,0)-MATCH($I$1,[2]enemies!$2:$2,0)+1),MATCH(J$1,[2]enemies!$2:$2,0)-MATCH($I$1,[2]enemies!$2:$2,0)+1,FALSE)</f>
        <v>#N/A</v>
      </c>
      <c r="K213" s="29" t="e">
        <f ca="1">VLOOKUP($I213,OFFSET([2]enemies!$A$1,0,0,COUNTA([2]enemies!$A:$A),MATCH(K$1,[2]enemies!$2:$2,0)-MATCH($I$1,[2]enemies!$2:$2,0)+1),MATCH(K$1,[2]enemies!$2:$2,0)-MATCH($I$1,[2]enemies!$2:$2,0)+1,FALSE)</f>
        <v>#N/A</v>
      </c>
      <c r="L213" s="29" t="e">
        <f ca="1">VLOOKUP($I213,OFFSET([3]characters!$A$1,0,0,COUNTA([3]characters!$A:$A),MATCH(L$1,[3]characters!$2:$2,0)-MATCH($I$1,[3]characters!$2:$2,0)+1),MATCH(L$1,[3]characters!$2:$2,0)-MATCH($I$1,[3]characters!$2:$2,0)+1,FALSE)</f>
        <v>#N/A</v>
      </c>
      <c r="M213" s="28" t="e">
        <f ca="1">VLOOKUP($I213,OFFSET([3]characters!$A$1,0,0,COUNTA([3]characters!$A:$A),MATCH(M$1,[3]characters!$2:$2,0)-MATCH($I$1,[3]characters!$2:$2,0)+2),MATCH(M$1,[3]characters!$2:$2,0)-MATCH($I$1,[3]characters!$2:$2,0)+2,FALSE)</f>
        <v>#N/A</v>
      </c>
      <c r="N213" s="5" t="e">
        <f ca="1">VLOOKUP($I213,OFFSET([2]enemies!$A$1,0,0,COUNTA([2]enemies!$A:$A),MATCH(N$1,[2]enemies!$2:$2,0)-MATCH($I$1,[2]enemies!$2:$2,0)+1),MATCH(N$1,[2]enemies!$2:$2,0)-MATCH($I$1,[2]enemies!$2:$2,0)+1,FALSE)</f>
        <v>#N/A</v>
      </c>
      <c r="O213" s="6">
        <v>10</v>
      </c>
      <c r="P213" s="43">
        <v>1</v>
      </c>
      <c r="Q213" s="43">
        <v>1</v>
      </c>
      <c r="R213" s="6">
        <v>0</v>
      </c>
      <c r="S213" s="5" t="str">
        <f ca="1">VLOOKUP($T213,OFFSET([4]enemy_skill_sets!$B$1,0,0,COUNTA([4]enemy_skill_sets!$B:$B),MATCH(J$1,[4]enemy_skill_sets!$1:$1,0)-MATCH($T$1,[4]enemy_skill_sets!$1:$1,0)+2),MATCH(J$1,[4]enemy_skill_sets!$1:$1,0)-MATCH($T$1,[4]enemy_skill_sets!$1:$1,0)+2,FALSE)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3" s="5">
        <v>0</v>
      </c>
      <c r="U213" s="7">
        <v>0</v>
      </c>
      <c r="V213" s="7">
        <v>100</v>
      </c>
      <c r="W213" s="7">
        <v>0</v>
      </c>
      <c r="X213" s="26" t="e">
        <f ca="1">VLOOKUP($I213,OFFSET([2]enemies!$A$1,0,0,COUNTA([2]enemies!$A:$A),MATCH(X$1,[2]enemies!$2:$2,0)-MATCH($I$1,[2]enemies!$2:$2,0)+1),MATCH(X$1,[2]enemies!$2:$2,0)-MATCH($I$1,[2]enemies!$2:$2,0)+1,FALSE)</f>
        <v>#N/A</v>
      </c>
      <c r="Y213" s="31">
        <v>3</v>
      </c>
      <c r="Z213" s="5" t="str">
        <f ca="1">IFERROR(VLOOKUP($Y213,OFFSET([3]characters!$A$1,0,0,COUNTA([3]characters!$A:$A),MATCH(Z$1,[3]characters!$2:$2,0)-MATCH("character_id",[3]characters!$2:$2,0)+1),MATCH(Z$1,[3]characters!$2:$2,0)-MATCH("character_id",[3]characters!$2:$2,0)+1,FALSE),"")</f>
        <v/>
      </c>
      <c r="AA213" s="5" t="str">
        <f ca="1">IFERROR(VLOOKUP($Y213,OFFSET([3]characters!$A$1,0,0,COUNTA([3]characters!$A:$A),MATCH(AA$1,[3]characters!$2:$2,0)-MATCH("character_id",[3]characters!$2:$2,0)+1),MATCH(AA$1,[3]characters!$2:$2,0)-MATCH("character_id",[3]characters!$2:$2,0)+1,FALSE),"")</f>
        <v/>
      </c>
      <c r="AB213" s="5" t="str">
        <f ca="1">IFERROR(VLOOKUP($Y213,OFFSET([3]characters!$A$1,0,0,COUNTA([3]characters!$A:$A),MATCH(AB$1,[3]characters!$2:$2,0)-MATCH("character_id",[3]characters!$2:$2,0)+1),MATCH(AB$1,[3]characters!$2:$2,0)-MATCH("character_id",[3]characters!$2:$2,0)+1,FALSE),"")</f>
        <v/>
      </c>
      <c r="AC213" s="8">
        <v>4</v>
      </c>
      <c r="AD213" s="8" t="str">
        <f t="shared" ca="1" si="119"/>
        <v/>
      </c>
      <c r="AE213" s="9">
        <v>30</v>
      </c>
      <c r="AF213" s="38">
        <v>0</v>
      </c>
      <c r="AG213" s="38">
        <v>0</v>
      </c>
      <c r="AH213" s="38">
        <v>0</v>
      </c>
      <c r="AI213" s="38">
        <v>0</v>
      </c>
      <c r="AJ213" s="38">
        <v>1</v>
      </c>
    </row>
    <row r="214" spans="1:36" ht="21" customHeight="1" x14ac:dyDescent="0.15">
      <c r="A214" s="21" t="e">
        <f t="shared" ca="1" si="118"/>
        <v>#N/A</v>
      </c>
      <c r="B214" s="33">
        <v>6</v>
      </c>
      <c r="C214" s="32">
        <v>4</v>
      </c>
      <c r="D214" s="2" t="str">
        <f t="shared" si="116"/>
        <v>6_4</v>
      </c>
      <c r="E214" s="5" t="str">
        <f ca="1">VLOOKUP($B214,OFFSET([1]quests!$A$1,0,0,COUNTA([1]quests!$A:$A),MATCH(E$1,[1]quests!$1:$1,0)-MATCH($B$1,[1]quests!$1:$1,0)+1),MATCH(E$1,[1]quests!$1:$1,0)-MATCH($B$1,[1]quests!$1:$1,0)+1,FALSE)</f>
        <v>6．ドリームパーク</v>
      </c>
      <c r="F214" s="5" t="str">
        <f ca="1">VLOOKUP($D214,OFFSET([1]stages!$A$1,0,0,COUNTA([1]stages!$A:$A),MATCH(F$1,[1]stages!$2:$2,0)-MATCH($D$1,[1]stages!$2:$2,0)+1),MATCH(F$1,[1]stages!$2:$2,0)-MATCH($D$1,[1]stages!$2:$2,0)+1,FALSE)</f>
        <v>6-4. 悪夢へのスイッチ</v>
      </c>
      <c r="G214" s="32">
        <v>1</v>
      </c>
      <c r="H214" s="20" t="str">
        <f t="shared" si="117"/>
        <v>6_4-1</v>
      </c>
      <c r="I214" s="31">
        <v>5</v>
      </c>
      <c r="J214" s="26" t="e">
        <f ca="1">VLOOKUP($I214,OFFSET([2]enemies!$A$1,0,0,COUNTA([2]enemies!$A:$A),MATCH(J$1,[2]enemies!$2:$2,0)-MATCH($I$1,[2]enemies!$2:$2,0)+1),MATCH(J$1,[2]enemies!$2:$2,0)-MATCH($I$1,[2]enemies!$2:$2,0)+1,FALSE)</f>
        <v>#N/A</v>
      </c>
      <c r="K214" s="29" t="e">
        <f ca="1">VLOOKUP($I214,OFFSET([2]enemies!$A$1,0,0,COUNTA([2]enemies!$A:$A),MATCH(K$1,[2]enemies!$2:$2,0)-MATCH($I$1,[2]enemies!$2:$2,0)+1),MATCH(K$1,[2]enemies!$2:$2,0)-MATCH($I$1,[2]enemies!$2:$2,0)+1,FALSE)</f>
        <v>#N/A</v>
      </c>
      <c r="L214" s="29" t="e">
        <f ca="1">VLOOKUP($I214,OFFSET([3]characters!$A$1,0,0,COUNTA([3]characters!$A:$A),MATCH(L$1,[3]characters!$2:$2,0)-MATCH($I$1,[3]characters!$2:$2,0)+1),MATCH(L$1,[3]characters!$2:$2,0)-MATCH($I$1,[3]characters!$2:$2,0)+1,FALSE)</f>
        <v>#N/A</v>
      </c>
      <c r="M214" s="28" t="e">
        <f ca="1">VLOOKUP($I214,OFFSET([3]characters!$A$1,0,0,COUNTA([3]characters!$A:$A),MATCH(M$1,[3]characters!$2:$2,0)-MATCH($I$1,[3]characters!$2:$2,0)+2),MATCH(M$1,[3]characters!$2:$2,0)-MATCH($I$1,[3]characters!$2:$2,0)+2,FALSE)</f>
        <v>#N/A</v>
      </c>
      <c r="N214" s="5" t="e">
        <f ca="1">VLOOKUP($I214,OFFSET([2]enemies!$A$1,0,0,COUNTA([2]enemies!$A:$A),MATCH(N$1,[2]enemies!$2:$2,0)-MATCH($I$1,[2]enemies!$2:$2,0)+1),MATCH(N$1,[2]enemies!$2:$2,0)-MATCH($I$1,[2]enemies!$2:$2,0)+1,FALSE)</f>
        <v>#N/A</v>
      </c>
      <c r="O214" s="6">
        <v>10</v>
      </c>
      <c r="P214" s="43">
        <v>1</v>
      </c>
      <c r="Q214" s="43">
        <v>1</v>
      </c>
      <c r="R214" s="6">
        <v>0</v>
      </c>
      <c r="S214" s="5" t="str">
        <f ca="1">VLOOKUP($T214,OFFSET([4]enemy_skill_sets!$B$1,0,0,COUNTA([4]enemy_skill_sets!$B:$B),MATCH(J$1,[4]enemy_skill_sets!$1:$1,0)-MATCH($T$1,[4]enemy_skill_sets!$1:$1,0)+2),MATCH(J$1,[4]enemy_skill_sets!$1:$1,0)-MATCH($T$1,[4]enemy_skill_sets!$1:$1,0)+2,FALSE)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4" s="5">
        <v>0</v>
      </c>
      <c r="U214" s="7">
        <v>0</v>
      </c>
      <c r="V214" s="7">
        <v>100</v>
      </c>
      <c r="W214" s="7">
        <v>0</v>
      </c>
      <c r="X214" s="26" t="e">
        <f ca="1">VLOOKUP($I214,OFFSET([2]enemies!$A$1,0,0,COUNTA([2]enemies!$A:$A),MATCH(X$1,[2]enemies!$2:$2,0)-MATCH($I$1,[2]enemies!$2:$2,0)+1),MATCH(X$1,[2]enemies!$2:$2,0)-MATCH($I$1,[2]enemies!$2:$2,0)+1,FALSE)</f>
        <v>#N/A</v>
      </c>
      <c r="Y214" s="31">
        <v>5</v>
      </c>
      <c r="Z214" s="5" t="str">
        <f ca="1">IFERROR(VLOOKUP($Y214,OFFSET([3]characters!$A$1,0,0,COUNTA([3]characters!$A:$A),MATCH(Z$1,[3]characters!$2:$2,0)-MATCH("character_id",[3]characters!$2:$2,0)+1),MATCH(Z$1,[3]characters!$2:$2,0)-MATCH("character_id",[3]characters!$2:$2,0)+1,FALSE),"")</f>
        <v/>
      </c>
      <c r="AA214" s="5" t="str">
        <f ca="1">IFERROR(VLOOKUP($Y214,OFFSET([3]characters!$A$1,0,0,COUNTA([3]characters!$A:$A),MATCH(AA$1,[3]characters!$2:$2,0)-MATCH("character_id",[3]characters!$2:$2,0)+1),MATCH(AA$1,[3]characters!$2:$2,0)-MATCH("character_id",[3]characters!$2:$2,0)+1,FALSE),"")</f>
        <v/>
      </c>
      <c r="AB214" s="5" t="str">
        <f ca="1">IFERROR(VLOOKUP($Y214,OFFSET([3]characters!$A$1,0,0,COUNTA([3]characters!$A:$A),MATCH(AB$1,[3]characters!$2:$2,0)-MATCH("character_id",[3]characters!$2:$2,0)+1),MATCH(AB$1,[3]characters!$2:$2,0)-MATCH("character_id",[3]characters!$2:$2,0)+1,FALSE),"")</f>
        <v/>
      </c>
      <c r="AC214" s="8">
        <v>4</v>
      </c>
      <c r="AD214" s="8" t="str">
        <f t="shared" ca="1" si="119"/>
        <v/>
      </c>
      <c r="AE214" s="9">
        <v>30</v>
      </c>
      <c r="AF214" s="38">
        <v>0</v>
      </c>
      <c r="AG214" s="38">
        <v>0</v>
      </c>
      <c r="AH214" s="38">
        <v>0</v>
      </c>
      <c r="AI214" s="38">
        <v>0</v>
      </c>
      <c r="AJ214" s="38">
        <v>1</v>
      </c>
    </row>
    <row r="215" spans="1:36" ht="21" customHeight="1" x14ac:dyDescent="0.15">
      <c r="A215" s="21" t="e">
        <f t="shared" ca="1" si="118"/>
        <v>#N/A</v>
      </c>
      <c r="B215" s="33">
        <v>6</v>
      </c>
      <c r="C215" s="32">
        <v>4</v>
      </c>
      <c r="D215" s="2" t="str">
        <f t="shared" si="116"/>
        <v>6_4</v>
      </c>
      <c r="E215" s="5" t="str">
        <f ca="1">VLOOKUP($B215,OFFSET([1]quests!$A$1,0,0,COUNTA([1]quests!$A:$A),MATCH(E$1,[1]quests!$1:$1,0)-MATCH($B$1,[1]quests!$1:$1,0)+1),MATCH(E$1,[1]quests!$1:$1,0)-MATCH($B$1,[1]quests!$1:$1,0)+1,FALSE)</f>
        <v>6．ドリームパーク</v>
      </c>
      <c r="F215" s="5" t="str">
        <f ca="1">VLOOKUP($D215,OFFSET([1]stages!$A$1,0,0,COUNTA([1]stages!$A:$A),MATCH(F$1,[1]stages!$2:$2,0)-MATCH($D$1,[1]stages!$2:$2,0)+1),MATCH(F$1,[1]stages!$2:$2,0)-MATCH($D$1,[1]stages!$2:$2,0)+1,FALSE)</f>
        <v>6-4. 悪夢へのスイッチ</v>
      </c>
      <c r="G215" s="32">
        <v>1</v>
      </c>
      <c r="H215" s="20" t="str">
        <f t="shared" si="117"/>
        <v>6_4-1</v>
      </c>
      <c r="I215" s="31">
        <v>7</v>
      </c>
      <c r="J215" s="26" t="e">
        <f ca="1">VLOOKUP($I215,OFFSET([2]enemies!$A$1,0,0,COUNTA([2]enemies!$A:$A),MATCH(J$1,[2]enemies!$2:$2,0)-MATCH($I$1,[2]enemies!$2:$2,0)+1),MATCH(J$1,[2]enemies!$2:$2,0)-MATCH($I$1,[2]enemies!$2:$2,0)+1,FALSE)</f>
        <v>#N/A</v>
      </c>
      <c r="K215" s="29" t="e">
        <f ca="1">VLOOKUP($I215,OFFSET([2]enemies!$A$1,0,0,COUNTA([2]enemies!$A:$A),MATCH(K$1,[2]enemies!$2:$2,0)-MATCH($I$1,[2]enemies!$2:$2,0)+1),MATCH(K$1,[2]enemies!$2:$2,0)-MATCH($I$1,[2]enemies!$2:$2,0)+1,FALSE)</f>
        <v>#N/A</v>
      </c>
      <c r="L215" s="29" t="e">
        <f ca="1">VLOOKUP($I215,OFFSET([3]characters!$A$1,0,0,COUNTA([3]characters!$A:$A),MATCH(L$1,[3]characters!$2:$2,0)-MATCH($I$1,[3]characters!$2:$2,0)+1),MATCH(L$1,[3]characters!$2:$2,0)-MATCH($I$1,[3]characters!$2:$2,0)+1,FALSE)</f>
        <v>#N/A</v>
      </c>
      <c r="M215" s="28" t="e">
        <f ca="1">VLOOKUP($I215,OFFSET([3]characters!$A$1,0,0,COUNTA([3]characters!$A:$A),MATCH(M$1,[3]characters!$2:$2,0)-MATCH($I$1,[3]characters!$2:$2,0)+2),MATCH(M$1,[3]characters!$2:$2,0)-MATCH($I$1,[3]characters!$2:$2,0)+2,FALSE)</f>
        <v>#N/A</v>
      </c>
      <c r="N215" s="5" t="e">
        <f ca="1">VLOOKUP($I215,OFFSET([2]enemies!$A$1,0,0,COUNTA([2]enemies!$A:$A),MATCH(N$1,[2]enemies!$2:$2,0)-MATCH($I$1,[2]enemies!$2:$2,0)+1),MATCH(N$1,[2]enemies!$2:$2,0)-MATCH($I$1,[2]enemies!$2:$2,0)+1,FALSE)</f>
        <v>#N/A</v>
      </c>
      <c r="O215" s="6">
        <v>10</v>
      </c>
      <c r="P215" s="43">
        <v>1</v>
      </c>
      <c r="Q215" s="43">
        <v>1</v>
      </c>
      <c r="R215" s="6">
        <v>0</v>
      </c>
      <c r="S215" s="5" t="str">
        <f ca="1">VLOOKUP($T215,OFFSET([4]enemy_skill_sets!$B$1,0,0,COUNTA([4]enemy_skill_sets!$B:$B),MATCH(J$1,[4]enemy_skill_sets!$1:$1,0)-MATCH($T$1,[4]enemy_skill_sets!$1:$1,0)+2),MATCH(J$1,[4]enemy_skill_sets!$1:$1,0)-MATCH($T$1,[4]enemy_skill_sets!$1:$1,0)+2,FALSE)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5" s="5">
        <v>0</v>
      </c>
      <c r="U215" s="7">
        <v>0</v>
      </c>
      <c r="V215" s="7">
        <v>100</v>
      </c>
      <c r="W215" s="7">
        <v>0</v>
      </c>
      <c r="X215" s="26" t="e">
        <f ca="1">VLOOKUP($I215,OFFSET([2]enemies!$A$1,0,0,COUNTA([2]enemies!$A:$A),MATCH(X$1,[2]enemies!$2:$2,0)-MATCH($I$1,[2]enemies!$2:$2,0)+1),MATCH(X$1,[2]enemies!$2:$2,0)-MATCH($I$1,[2]enemies!$2:$2,0)+1,FALSE)</f>
        <v>#N/A</v>
      </c>
      <c r="Y215" s="31">
        <v>7</v>
      </c>
      <c r="Z215" s="5" t="str">
        <f ca="1">IFERROR(VLOOKUP($Y215,OFFSET([3]characters!$A$1,0,0,COUNTA([3]characters!$A:$A),MATCH(Z$1,[3]characters!$2:$2,0)-MATCH("character_id",[3]characters!$2:$2,0)+1),MATCH(Z$1,[3]characters!$2:$2,0)-MATCH("character_id",[3]characters!$2:$2,0)+1,FALSE),"")</f>
        <v/>
      </c>
      <c r="AA215" s="5" t="str">
        <f ca="1">IFERROR(VLOOKUP($Y215,OFFSET([3]characters!$A$1,0,0,COUNTA([3]characters!$A:$A),MATCH(AA$1,[3]characters!$2:$2,0)-MATCH("character_id",[3]characters!$2:$2,0)+1),MATCH(AA$1,[3]characters!$2:$2,0)-MATCH("character_id",[3]characters!$2:$2,0)+1,FALSE),"")</f>
        <v/>
      </c>
      <c r="AB215" s="5" t="str">
        <f ca="1">IFERROR(VLOOKUP($Y215,OFFSET([3]characters!$A$1,0,0,COUNTA([3]characters!$A:$A),MATCH(AB$1,[3]characters!$2:$2,0)-MATCH("character_id",[3]characters!$2:$2,0)+1),MATCH(AB$1,[3]characters!$2:$2,0)-MATCH("character_id",[3]characters!$2:$2,0)+1,FALSE),"")</f>
        <v/>
      </c>
      <c r="AC215" s="8">
        <v>4</v>
      </c>
      <c r="AD215" s="8" t="str">
        <f t="shared" ca="1" si="119"/>
        <v/>
      </c>
      <c r="AE215" s="9">
        <v>30</v>
      </c>
      <c r="AF215" s="38">
        <v>0</v>
      </c>
      <c r="AG215" s="38">
        <v>0</v>
      </c>
      <c r="AH215" s="38">
        <v>0</v>
      </c>
      <c r="AI215" s="38">
        <v>0</v>
      </c>
      <c r="AJ215" s="38">
        <v>1</v>
      </c>
    </row>
    <row r="216" spans="1:36" ht="21" customHeight="1" x14ac:dyDescent="0.15">
      <c r="A216" s="21" t="e">
        <f t="shared" ca="1" si="118"/>
        <v>#N/A</v>
      </c>
      <c r="B216" s="33">
        <v>6</v>
      </c>
      <c r="C216" s="32">
        <v>4</v>
      </c>
      <c r="D216" s="2" t="str">
        <f t="shared" si="116"/>
        <v>6_4</v>
      </c>
      <c r="E216" s="5" t="str">
        <f ca="1">VLOOKUP($B216,OFFSET([1]quests!$A$1,0,0,COUNTA([1]quests!$A:$A),MATCH(E$1,[1]quests!$1:$1,0)-MATCH($B$1,[1]quests!$1:$1,0)+1),MATCH(E$1,[1]quests!$1:$1,0)-MATCH($B$1,[1]quests!$1:$1,0)+1,FALSE)</f>
        <v>6．ドリームパーク</v>
      </c>
      <c r="F216" s="5" t="str">
        <f ca="1">VLOOKUP($D216,OFFSET([1]stages!$A$1,0,0,COUNTA([1]stages!$A:$A),MATCH(F$1,[1]stages!$2:$2,0)-MATCH($D$1,[1]stages!$2:$2,0)+1),MATCH(F$1,[1]stages!$2:$2,0)-MATCH($D$1,[1]stages!$2:$2,0)+1,FALSE)</f>
        <v>6-4. 悪夢へのスイッチ</v>
      </c>
      <c r="G216" s="32">
        <v>2</v>
      </c>
      <c r="H216" s="20" t="str">
        <f t="shared" si="117"/>
        <v>6_4-2</v>
      </c>
      <c r="I216" s="31">
        <v>9</v>
      </c>
      <c r="J216" s="26" t="e">
        <f ca="1">VLOOKUP($I216,OFFSET([2]enemies!$A$1,0,0,COUNTA([2]enemies!$A:$A),MATCH(J$1,[2]enemies!$2:$2,0)-MATCH($I$1,[2]enemies!$2:$2,0)+1),MATCH(J$1,[2]enemies!$2:$2,0)-MATCH($I$1,[2]enemies!$2:$2,0)+1,FALSE)</f>
        <v>#N/A</v>
      </c>
      <c r="K216" s="29" t="e">
        <f ca="1">VLOOKUP($I216,OFFSET([2]enemies!$A$1,0,0,COUNTA([2]enemies!$A:$A),MATCH(K$1,[2]enemies!$2:$2,0)-MATCH($I$1,[2]enemies!$2:$2,0)+1),MATCH(K$1,[2]enemies!$2:$2,0)-MATCH($I$1,[2]enemies!$2:$2,0)+1,FALSE)</f>
        <v>#N/A</v>
      </c>
      <c r="L216" s="29" t="e">
        <f ca="1">VLOOKUP($I216,OFFSET([3]characters!$A$1,0,0,COUNTA([3]characters!$A:$A),MATCH(L$1,[3]characters!$2:$2,0)-MATCH($I$1,[3]characters!$2:$2,0)+1),MATCH(L$1,[3]characters!$2:$2,0)-MATCH($I$1,[3]characters!$2:$2,0)+1,FALSE)</f>
        <v>#N/A</v>
      </c>
      <c r="M216" s="28" t="e">
        <f ca="1">VLOOKUP($I216,OFFSET([3]characters!$A$1,0,0,COUNTA([3]characters!$A:$A),MATCH(M$1,[3]characters!$2:$2,0)-MATCH($I$1,[3]characters!$2:$2,0)+2),MATCH(M$1,[3]characters!$2:$2,0)-MATCH($I$1,[3]characters!$2:$2,0)+2,FALSE)</f>
        <v>#N/A</v>
      </c>
      <c r="N216" s="5" t="e">
        <f ca="1">VLOOKUP($I216,OFFSET([2]enemies!$A$1,0,0,COUNTA([2]enemies!$A:$A),MATCH(N$1,[2]enemies!$2:$2,0)-MATCH($I$1,[2]enemies!$2:$2,0)+1),MATCH(N$1,[2]enemies!$2:$2,0)-MATCH($I$1,[2]enemies!$2:$2,0)+1,FALSE)</f>
        <v>#N/A</v>
      </c>
      <c r="O216" s="6">
        <v>10</v>
      </c>
      <c r="P216" s="43">
        <v>1</v>
      </c>
      <c r="Q216" s="43">
        <v>1</v>
      </c>
      <c r="R216" s="6">
        <v>0</v>
      </c>
      <c r="S216" s="5" t="str">
        <f ca="1">VLOOKUP($T216,OFFSET([4]enemy_skill_sets!$B$1,0,0,COUNTA([4]enemy_skill_sets!$B:$B),MATCH(J$1,[4]enemy_skill_sets!$1:$1,0)-MATCH($T$1,[4]enemy_skill_sets!$1:$1,0)+2),MATCH(J$1,[4]enemy_skill_sets!$1:$1,0)-MATCH($T$1,[4]enemy_skill_sets!$1:$1,0)+2,FALSE)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6" s="5">
        <v>0</v>
      </c>
      <c r="U216" s="7">
        <v>0</v>
      </c>
      <c r="V216" s="7">
        <v>100</v>
      </c>
      <c r="W216" s="7">
        <v>0</v>
      </c>
      <c r="X216" s="26" t="e">
        <f ca="1">VLOOKUP($I216,OFFSET([2]enemies!$A$1,0,0,COUNTA([2]enemies!$A:$A),MATCH(X$1,[2]enemies!$2:$2,0)-MATCH($I$1,[2]enemies!$2:$2,0)+1),MATCH(X$1,[2]enemies!$2:$2,0)-MATCH($I$1,[2]enemies!$2:$2,0)+1,FALSE)</f>
        <v>#N/A</v>
      </c>
      <c r="Y216" s="31">
        <v>9</v>
      </c>
      <c r="Z216" s="5" t="str">
        <f ca="1">IFERROR(VLOOKUP($Y216,OFFSET([3]characters!$A$1,0,0,COUNTA([3]characters!$A:$A),MATCH(Z$1,[3]characters!$2:$2,0)-MATCH("character_id",[3]characters!$2:$2,0)+1),MATCH(Z$1,[3]characters!$2:$2,0)-MATCH("character_id",[3]characters!$2:$2,0)+1,FALSE),"")</f>
        <v/>
      </c>
      <c r="AA216" s="5" t="str">
        <f ca="1">IFERROR(VLOOKUP($Y216,OFFSET([3]characters!$A$1,0,0,COUNTA([3]characters!$A:$A),MATCH(AA$1,[3]characters!$2:$2,0)-MATCH("character_id",[3]characters!$2:$2,0)+1),MATCH(AA$1,[3]characters!$2:$2,0)-MATCH("character_id",[3]characters!$2:$2,0)+1,FALSE),"")</f>
        <v/>
      </c>
      <c r="AB216" s="5" t="str">
        <f ca="1">IFERROR(VLOOKUP($Y216,OFFSET([3]characters!$A$1,0,0,COUNTA([3]characters!$A:$A),MATCH(AB$1,[3]characters!$2:$2,0)-MATCH("character_id",[3]characters!$2:$2,0)+1),MATCH(AB$1,[3]characters!$2:$2,0)-MATCH("character_id",[3]characters!$2:$2,0)+1,FALSE),"")</f>
        <v/>
      </c>
      <c r="AC216" s="8">
        <v>2</v>
      </c>
      <c r="AD216" s="8" t="str">
        <f t="shared" ca="1" si="119"/>
        <v/>
      </c>
      <c r="AE216" s="9">
        <v>30</v>
      </c>
      <c r="AF216" s="38">
        <v>0</v>
      </c>
      <c r="AG216" s="38">
        <v>0</v>
      </c>
      <c r="AH216" s="38">
        <v>0</v>
      </c>
      <c r="AI216" s="38">
        <v>0</v>
      </c>
      <c r="AJ216" s="38">
        <v>1</v>
      </c>
    </row>
    <row r="217" spans="1:36" ht="21" customHeight="1" x14ac:dyDescent="0.15">
      <c r="A217" s="21" t="e">
        <f t="shared" ca="1" si="118"/>
        <v>#N/A</v>
      </c>
      <c r="B217" s="33">
        <v>6</v>
      </c>
      <c r="C217" s="32">
        <v>4</v>
      </c>
      <c r="D217" s="2" t="str">
        <f t="shared" si="116"/>
        <v>6_4</v>
      </c>
      <c r="E217" s="5" t="str">
        <f ca="1">VLOOKUP($B217,OFFSET([1]quests!$A$1,0,0,COUNTA([1]quests!$A:$A),MATCH(E$1,[1]quests!$1:$1,0)-MATCH($B$1,[1]quests!$1:$1,0)+1),MATCH(E$1,[1]quests!$1:$1,0)-MATCH($B$1,[1]quests!$1:$1,0)+1,FALSE)</f>
        <v>6．ドリームパーク</v>
      </c>
      <c r="F217" s="5" t="str">
        <f ca="1">VLOOKUP($D217,OFFSET([1]stages!$A$1,0,0,COUNTA([1]stages!$A:$A),MATCH(F$1,[1]stages!$2:$2,0)-MATCH($D$1,[1]stages!$2:$2,0)+1),MATCH(F$1,[1]stages!$2:$2,0)-MATCH($D$1,[1]stages!$2:$2,0)+1,FALSE)</f>
        <v>6-4. 悪夢へのスイッチ</v>
      </c>
      <c r="G217" s="32">
        <v>2</v>
      </c>
      <c r="H217" s="20" t="str">
        <f t="shared" si="117"/>
        <v>6_4-2</v>
      </c>
      <c r="I217" s="31">
        <v>11</v>
      </c>
      <c r="J217" s="26" t="e">
        <f ca="1">VLOOKUP($I217,OFFSET([2]enemies!$A$1,0,0,COUNTA([2]enemies!$A:$A),MATCH(J$1,[2]enemies!$2:$2,0)-MATCH($I$1,[2]enemies!$2:$2,0)+1),MATCH(J$1,[2]enemies!$2:$2,0)-MATCH($I$1,[2]enemies!$2:$2,0)+1,FALSE)</f>
        <v>#N/A</v>
      </c>
      <c r="K217" s="29" t="e">
        <f ca="1">VLOOKUP($I217,OFFSET([2]enemies!$A$1,0,0,COUNTA([2]enemies!$A:$A),MATCH(K$1,[2]enemies!$2:$2,0)-MATCH($I$1,[2]enemies!$2:$2,0)+1),MATCH(K$1,[2]enemies!$2:$2,0)-MATCH($I$1,[2]enemies!$2:$2,0)+1,FALSE)</f>
        <v>#N/A</v>
      </c>
      <c r="L217" s="29" t="e">
        <f ca="1">VLOOKUP($I217,OFFSET([3]characters!$A$1,0,0,COUNTA([3]characters!$A:$A),MATCH(L$1,[3]characters!$2:$2,0)-MATCH($I$1,[3]characters!$2:$2,0)+1),MATCH(L$1,[3]characters!$2:$2,0)-MATCH($I$1,[3]characters!$2:$2,0)+1,FALSE)</f>
        <v>#N/A</v>
      </c>
      <c r="M217" s="28" t="e">
        <f ca="1">VLOOKUP($I217,OFFSET([3]characters!$A$1,0,0,COUNTA([3]characters!$A:$A),MATCH(M$1,[3]characters!$2:$2,0)-MATCH($I$1,[3]characters!$2:$2,0)+2),MATCH(M$1,[3]characters!$2:$2,0)-MATCH($I$1,[3]characters!$2:$2,0)+2,FALSE)</f>
        <v>#N/A</v>
      </c>
      <c r="N217" s="5" t="e">
        <f ca="1">VLOOKUP($I217,OFFSET([2]enemies!$A$1,0,0,COUNTA([2]enemies!$A:$A),MATCH(N$1,[2]enemies!$2:$2,0)-MATCH($I$1,[2]enemies!$2:$2,0)+1),MATCH(N$1,[2]enemies!$2:$2,0)-MATCH($I$1,[2]enemies!$2:$2,0)+1,FALSE)</f>
        <v>#N/A</v>
      </c>
      <c r="O217" s="6">
        <v>10</v>
      </c>
      <c r="P217" s="43">
        <v>1</v>
      </c>
      <c r="Q217" s="43">
        <v>1</v>
      </c>
      <c r="R217" s="6">
        <v>0</v>
      </c>
      <c r="S217" s="5" t="str">
        <f ca="1">VLOOKUP($T217,OFFSET([4]enemy_skill_sets!$B$1,0,0,COUNTA([4]enemy_skill_sets!$B:$B),MATCH(J$1,[4]enemy_skill_sets!$1:$1,0)-MATCH($T$1,[4]enemy_skill_sets!$1:$1,0)+2),MATCH(J$1,[4]enemy_skill_sets!$1:$1,0)-MATCH($T$1,[4]enemy_skill_sets!$1:$1,0)+2,FALSE)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7" s="5">
        <v>0</v>
      </c>
      <c r="U217" s="7">
        <v>0</v>
      </c>
      <c r="V217" s="7">
        <v>100</v>
      </c>
      <c r="W217" s="7">
        <v>0</v>
      </c>
      <c r="X217" s="26" t="e">
        <f ca="1">VLOOKUP($I217,OFFSET([2]enemies!$A$1,0,0,COUNTA([2]enemies!$A:$A),MATCH(X$1,[2]enemies!$2:$2,0)-MATCH($I$1,[2]enemies!$2:$2,0)+1),MATCH(X$1,[2]enemies!$2:$2,0)-MATCH($I$1,[2]enemies!$2:$2,0)+1,FALSE)</f>
        <v>#N/A</v>
      </c>
      <c r="Y217" s="31">
        <v>11</v>
      </c>
      <c r="Z217" s="5" t="str">
        <f ca="1">IFERROR(VLOOKUP($Y217,OFFSET([3]characters!$A$1,0,0,COUNTA([3]characters!$A:$A),MATCH(Z$1,[3]characters!$2:$2,0)-MATCH("character_id",[3]characters!$2:$2,0)+1),MATCH(Z$1,[3]characters!$2:$2,0)-MATCH("character_id",[3]characters!$2:$2,0)+1,FALSE),"")</f>
        <v/>
      </c>
      <c r="AA217" s="5" t="str">
        <f ca="1">IFERROR(VLOOKUP($Y217,OFFSET([3]characters!$A$1,0,0,COUNTA([3]characters!$A:$A),MATCH(AA$1,[3]characters!$2:$2,0)-MATCH("character_id",[3]characters!$2:$2,0)+1),MATCH(AA$1,[3]characters!$2:$2,0)-MATCH("character_id",[3]characters!$2:$2,0)+1,FALSE),"")</f>
        <v/>
      </c>
      <c r="AB217" s="5" t="str">
        <f ca="1">IFERROR(VLOOKUP($Y217,OFFSET([3]characters!$A$1,0,0,COUNTA([3]characters!$A:$A),MATCH(AB$1,[3]characters!$2:$2,0)-MATCH("character_id",[3]characters!$2:$2,0)+1),MATCH(AB$1,[3]characters!$2:$2,0)-MATCH("character_id",[3]characters!$2:$2,0)+1,FALSE),"")</f>
        <v/>
      </c>
      <c r="AC217" s="8">
        <v>2</v>
      </c>
      <c r="AD217" s="8" t="str">
        <f t="shared" ca="1" si="119"/>
        <v/>
      </c>
      <c r="AE217" s="9">
        <v>30</v>
      </c>
      <c r="AF217" s="38">
        <v>0</v>
      </c>
      <c r="AG217" s="38">
        <v>0</v>
      </c>
      <c r="AH217" s="38">
        <v>0</v>
      </c>
      <c r="AI217" s="38">
        <v>0</v>
      </c>
      <c r="AJ217" s="38">
        <v>1</v>
      </c>
    </row>
    <row r="218" spans="1:36" ht="21" customHeight="1" x14ac:dyDescent="0.15">
      <c r="A218" s="21" t="e">
        <f t="shared" ca="1" si="118"/>
        <v>#N/A</v>
      </c>
      <c r="B218" s="33">
        <v>6</v>
      </c>
      <c r="C218" s="32">
        <v>4</v>
      </c>
      <c r="D218" s="2" t="str">
        <f t="shared" si="116"/>
        <v>6_4</v>
      </c>
      <c r="E218" s="5" t="str">
        <f ca="1">VLOOKUP($B218,OFFSET([1]quests!$A$1,0,0,COUNTA([1]quests!$A:$A),MATCH(E$1,[1]quests!$1:$1,0)-MATCH($B$1,[1]quests!$1:$1,0)+1),MATCH(E$1,[1]quests!$1:$1,0)-MATCH($B$1,[1]quests!$1:$1,0)+1,FALSE)</f>
        <v>6．ドリームパーク</v>
      </c>
      <c r="F218" s="5" t="str">
        <f ca="1">VLOOKUP($D218,OFFSET([1]stages!$A$1,0,0,COUNTA([1]stages!$A:$A),MATCH(F$1,[1]stages!$2:$2,0)-MATCH($D$1,[1]stages!$2:$2,0)+1),MATCH(F$1,[1]stages!$2:$2,0)-MATCH($D$1,[1]stages!$2:$2,0)+1,FALSE)</f>
        <v>6-4. 悪夢へのスイッチ</v>
      </c>
      <c r="G218" s="32">
        <v>2</v>
      </c>
      <c r="H218" s="20" t="str">
        <f t="shared" si="117"/>
        <v>6_4-2</v>
      </c>
      <c r="I218" s="31">
        <v>13</v>
      </c>
      <c r="J218" s="26" t="e">
        <f ca="1">VLOOKUP($I218,OFFSET([2]enemies!$A$1,0,0,COUNTA([2]enemies!$A:$A),MATCH(J$1,[2]enemies!$2:$2,0)-MATCH($I$1,[2]enemies!$2:$2,0)+1),MATCH(J$1,[2]enemies!$2:$2,0)-MATCH($I$1,[2]enemies!$2:$2,0)+1,FALSE)</f>
        <v>#N/A</v>
      </c>
      <c r="K218" s="29" t="e">
        <f ca="1">VLOOKUP($I218,OFFSET([2]enemies!$A$1,0,0,COUNTA([2]enemies!$A:$A),MATCH(K$1,[2]enemies!$2:$2,0)-MATCH($I$1,[2]enemies!$2:$2,0)+1),MATCH(K$1,[2]enemies!$2:$2,0)-MATCH($I$1,[2]enemies!$2:$2,0)+1,FALSE)</f>
        <v>#N/A</v>
      </c>
      <c r="L218" s="29" t="e">
        <f ca="1">VLOOKUP($I218,OFFSET([3]characters!$A$1,0,0,COUNTA([3]characters!$A:$A),MATCH(L$1,[3]characters!$2:$2,0)-MATCH($I$1,[3]characters!$2:$2,0)+1),MATCH(L$1,[3]characters!$2:$2,0)-MATCH($I$1,[3]characters!$2:$2,0)+1,FALSE)</f>
        <v>#N/A</v>
      </c>
      <c r="M218" s="28" t="e">
        <f ca="1">VLOOKUP($I218,OFFSET([3]characters!$A$1,0,0,COUNTA([3]characters!$A:$A),MATCH(M$1,[3]characters!$2:$2,0)-MATCH($I$1,[3]characters!$2:$2,0)+2),MATCH(M$1,[3]characters!$2:$2,0)-MATCH($I$1,[3]characters!$2:$2,0)+2,FALSE)</f>
        <v>#N/A</v>
      </c>
      <c r="N218" s="5" t="e">
        <f ca="1">VLOOKUP($I218,OFFSET([2]enemies!$A$1,0,0,COUNTA([2]enemies!$A:$A),MATCH(N$1,[2]enemies!$2:$2,0)-MATCH($I$1,[2]enemies!$2:$2,0)+1),MATCH(N$1,[2]enemies!$2:$2,0)-MATCH($I$1,[2]enemies!$2:$2,0)+1,FALSE)</f>
        <v>#N/A</v>
      </c>
      <c r="O218" s="6">
        <v>10</v>
      </c>
      <c r="P218" s="43">
        <v>1</v>
      </c>
      <c r="Q218" s="43">
        <v>1</v>
      </c>
      <c r="R218" s="6">
        <v>0</v>
      </c>
      <c r="S218" s="5" t="str">
        <f ca="1">VLOOKUP($T218,OFFSET([4]enemy_skill_sets!$B$1,0,0,COUNTA([4]enemy_skill_sets!$B:$B),MATCH(J$1,[4]enemy_skill_sets!$1:$1,0)-MATCH($T$1,[4]enemy_skill_sets!$1:$1,0)+2),MATCH(J$1,[4]enemy_skill_sets!$1:$1,0)-MATCH($T$1,[4]enemy_skill_sets!$1:$1,0)+2,FALSE)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8" s="5">
        <v>0</v>
      </c>
      <c r="U218" s="7">
        <v>0</v>
      </c>
      <c r="V218" s="7">
        <v>100</v>
      </c>
      <c r="W218" s="7">
        <v>0</v>
      </c>
      <c r="X218" s="26" t="e">
        <f ca="1">VLOOKUP($I218,OFFSET([2]enemies!$A$1,0,0,COUNTA([2]enemies!$A:$A),MATCH(X$1,[2]enemies!$2:$2,0)-MATCH($I$1,[2]enemies!$2:$2,0)+1),MATCH(X$1,[2]enemies!$2:$2,0)-MATCH($I$1,[2]enemies!$2:$2,0)+1,FALSE)</f>
        <v>#N/A</v>
      </c>
      <c r="Y218" s="31">
        <v>13</v>
      </c>
      <c r="Z218" s="5" t="str">
        <f ca="1">IFERROR(VLOOKUP($Y218,OFFSET([3]characters!$A$1,0,0,COUNTA([3]characters!$A:$A),MATCH(Z$1,[3]characters!$2:$2,0)-MATCH("character_id",[3]characters!$2:$2,0)+1),MATCH(Z$1,[3]characters!$2:$2,0)-MATCH("character_id",[3]characters!$2:$2,0)+1,FALSE),"")</f>
        <v/>
      </c>
      <c r="AA218" s="5" t="str">
        <f ca="1">IFERROR(VLOOKUP($Y218,OFFSET([3]characters!$A$1,0,0,COUNTA([3]characters!$A:$A),MATCH(AA$1,[3]characters!$2:$2,0)-MATCH("character_id",[3]characters!$2:$2,0)+1),MATCH(AA$1,[3]characters!$2:$2,0)-MATCH("character_id",[3]characters!$2:$2,0)+1,FALSE),"")</f>
        <v/>
      </c>
      <c r="AB218" s="5" t="str">
        <f ca="1">IFERROR(VLOOKUP($Y218,OFFSET([3]characters!$A$1,0,0,COUNTA([3]characters!$A:$A),MATCH(AB$1,[3]characters!$2:$2,0)-MATCH("character_id",[3]characters!$2:$2,0)+1),MATCH(AB$1,[3]characters!$2:$2,0)-MATCH("character_id",[3]characters!$2:$2,0)+1,FALSE),"")</f>
        <v/>
      </c>
      <c r="AC218" s="8">
        <v>2</v>
      </c>
      <c r="AD218" s="8" t="str">
        <f t="shared" ca="1" si="119"/>
        <v/>
      </c>
      <c r="AE218" s="9">
        <v>30</v>
      </c>
      <c r="AF218" s="38">
        <v>0</v>
      </c>
      <c r="AG218" s="38">
        <v>0</v>
      </c>
      <c r="AH218" s="38">
        <v>0</v>
      </c>
      <c r="AI218" s="38">
        <v>0</v>
      </c>
      <c r="AJ218" s="38">
        <v>1</v>
      </c>
    </row>
    <row r="219" spans="1:36" ht="21" customHeight="1" x14ac:dyDescent="0.15">
      <c r="A219" s="21" t="e">
        <f t="shared" ca="1" si="118"/>
        <v>#N/A</v>
      </c>
      <c r="B219" s="33">
        <v>6</v>
      </c>
      <c r="C219" s="32">
        <v>4</v>
      </c>
      <c r="D219" s="2" t="str">
        <f t="shared" si="116"/>
        <v>6_4</v>
      </c>
      <c r="E219" s="5" t="str">
        <f ca="1">VLOOKUP($B219,OFFSET([1]quests!$A$1,0,0,COUNTA([1]quests!$A:$A),MATCH(E$1,[1]quests!$1:$1,0)-MATCH($B$1,[1]quests!$1:$1,0)+1),MATCH(E$1,[1]quests!$1:$1,0)-MATCH($B$1,[1]quests!$1:$1,0)+1,FALSE)</f>
        <v>6．ドリームパーク</v>
      </c>
      <c r="F219" s="5" t="str">
        <f ca="1">VLOOKUP($D219,OFFSET([1]stages!$A$1,0,0,COUNTA([1]stages!$A:$A),MATCH(F$1,[1]stages!$2:$2,0)-MATCH($D$1,[1]stages!$2:$2,0)+1),MATCH(F$1,[1]stages!$2:$2,0)-MATCH($D$1,[1]stages!$2:$2,0)+1,FALSE)</f>
        <v>6-4. 悪夢へのスイッチ</v>
      </c>
      <c r="G219" s="32">
        <v>2</v>
      </c>
      <c r="H219" s="20" t="str">
        <f t="shared" si="117"/>
        <v>6_4-2</v>
      </c>
      <c r="I219" s="31">
        <v>15</v>
      </c>
      <c r="J219" s="26" t="e">
        <f ca="1">VLOOKUP($I219,OFFSET([2]enemies!$A$1,0,0,COUNTA([2]enemies!$A:$A),MATCH(J$1,[2]enemies!$2:$2,0)-MATCH($I$1,[2]enemies!$2:$2,0)+1),MATCH(J$1,[2]enemies!$2:$2,0)-MATCH($I$1,[2]enemies!$2:$2,0)+1,FALSE)</f>
        <v>#N/A</v>
      </c>
      <c r="K219" s="29" t="e">
        <f ca="1">VLOOKUP($I219,OFFSET([2]enemies!$A$1,0,0,COUNTA([2]enemies!$A:$A),MATCH(K$1,[2]enemies!$2:$2,0)-MATCH($I$1,[2]enemies!$2:$2,0)+1),MATCH(K$1,[2]enemies!$2:$2,0)-MATCH($I$1,[2]enemies!$2:$2,0)+1,FALSE)</f>
        <v>#N/A</v>
      </c>
      <c r="L219" s="29" t="e">
        <f ca="1">VLOOKUP($I219,OFFSET([3]characters!$A$1,0,0,COUNTA([3]characters!$A:$A),MATCH(L$1,[3]characters!$2:$2,0)-MATCH($I$1,[3]characters!$2:$2,0)+1),MATCH(L$1,[3]characters!$2:$2,0)-MATCH($I$1,[3]characters!$2:$2,0)+1,FALSE)</f>
        <v>#N/A</v>
      </c>
      <c r="M219" s="28" t="e">
        <f ca="1">VLOOKUP($I219,OFFSET([3]characters!$A$1,0,0,COUNTA([3]characters!$A:$A),MATCH(M$1,[3]characters!$2:$2,0)-MATCH($I$1,[3]characters!$2:$2,0)+2),MATCH(M$1,[3]characters!$2:$2,0)-MATCH($I$1,[3]characters!$2:$2,0)+2,FALSE)</f>
        <v>#N/A</v>
      </c>
      <c r="N219" s="5" t="e">
        <f ca="1">VLOOKUP($I219,OFFSET([2]enemies!$A$1,0,0,COUNTA([2]enemies!$A:$A),MATCH(N$1,[2]enemies!$2:$2,0)-MATCH($I$1,[2]enemies!$2:$2,0)+1),MATCH(N$1,[2]enemies!$2:$2,0)-MATCH($I$1,[2]enemies!$2:$2,0)+1,FALSE)</f>
        <v>#N/A</v>
      </c>
      <c r="O219" s="6">
        <v>10</v>
      </c>
      <c r="P219" s="43">
        <v>1</v>
      </c>
      <c r="Q219" s="43">
        <v>1</v>
      </c>
      <c r="R219" s="6">
        <v>0</v>
      </c>
      <c r="S219" s="5" t="str">
        <f ca="1">VLOOKUP($T219,OFFSET([4]enemy_skill_sets!$B$1,0,0,COUNTA([4]enemy_skill_sets!$B:$B),MATCH(J$1,[4]enemy_skill_sets!$1:$1,0)-MATCH($T$1,[4]enemy_skill_sets!$1:$1,0)+2),MATCH(J$1,[4]enemy_skill_sets!$1:$1,0)-MATCH($T$1,[4]enemy_skill_sets!$1:$1,0)+2,FALSE)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9" s="5">
        <v>0</v>
      </c>
      <c r="U219" s="7">
        <v>0</v>
      </c>
      <c r="V219" s="7">
        <v>100</v>
      </c>
      <c r="W219" s="7">
        <v>0</v>
      </c>
      <c r="X219" s="26" t="e">
        <f ca="1">VLOOKUP($I219,OFFSET([2]enemies!$A$1,0,0,COUNTA([2]enemies!$A:$A),MATCH(X$1,[2]enemies!$2:$2,0)-MATCH($I$1,[2]enemies!$2:$2,0)+1),MATCH(X$1,[2]enemies!$2:$2,0)-MATCH($I$1,[2]enemies!$2:$2,0)+1,FALSE)</f>
        <v>#N/A</v>
      </c>
      <c r="Y219" s="31">
        <v>15</v>
      </c>
      <c r="Z219" s="5" t="str">
        <f ca="1">IFERROR(VLOOKUP($Y219,OFFSET([3]characters!$A$1,0,0,COUNTA([3]characters!$A:$A),MATCH(Z$1,[3]characters!$2:$2,0)-MATCH("character_id",[3]characters!$2:$2,0)+1),MATCH(Z$1,[3]characters!$2:$2,0)-MATCH("character_id",[3]characters!$2:$2,0)+1,FALSE),"")</f>
        <v/>
      </c>
      <c r="AA219" s="5" t="str">
        <f ca="1">IFERROR(VLOOKUP($Y219,OFFSET([3]characters!$A$1,0,0,COUNTA([3]characters!$A:$A),MATCH(AA$1,[3]characters!$2:$2,0)-MATCH("character_id",[3]characters!$2:$2,0)+1),MATCH(AA$1,[3]characters!$2:$2,0)-MATCH("character_id",[3]characters!$2:$2,0)+1,FALSE),"")</f>
        <v/>
      </c>
      <c r="AB219" s="5" t="str">
        <f ca="1">IFERROR(VLOOKUP($Y219,OFFSET([3]characters!$A$1,0,0,COUNTA([3]characters!$A:$A),MATCH(AB$1,[3]characters!$2:$2,0)-MATCH("character_id",[3]characters!$2:$2,0)+1),MATCH(AB$1,[3]characters!$2:$2,0)-MATCH("character_id",[3]characters!$2:$2,0)+1,FALSE),"")</f>
        <v/>
      </c>
      <c r="AC219" s="8">
        <v>2</v>
      </c>
      <c r="AD219" s="8" t="str">
        <f t="shared" ca="1" si="119"/>
        <v/>
      </c>
      <c r="AE219" s="9">
        <v>30</v>
      </c>
      <c r="AF219" s="38">
        <v>0</v>
      </c>
      <c r="AG219" s="38">
        <v>0</v>
      </c>
      <c r="AH219" s="38">
        <v>0</v>
      </c>
      <c r="AI219" s="38">
        <v>0</v>
      </c>
      <c r="AJ219" s="38">
        <v>1</v>
      </c>
    </row>
    <row r="220" spans="1:36" ht="21" customHeight="1" x14ac:dyDescent="0.15">
      <c r="A220" s="21" t="e">
        <f t="shared" ca="1" si="118"/>
        <v>#N/A</v>
      </c>
      <c r="B220" s="33">
        <v>6</v>
      </c>
      <c r="C220" s="32">
        <v>4</v>
      </c>
      <c r="D220" s="2" t="str">
        <f t="shared" si="116"/>
        <v>6_4</v>
      </c>
      <c r="E220" s="5" t="str">
        <f ca="1">VLOOKUP($B220,OFFSET([1]quests!$A$1,0,0,COUNTA([1]quests!$A:$A),MATCH(E$1,[1]quests!$1:$1,0)-MATCH($B$1,[1]quests!$1:$1,0)+1),MATCH(E$1,[1]quests!$1:$1,0)-MATCH($B$1,[1]quests!$1:$1,0)+1,FALSE)</f>
        <v>6．ドリームパーク</v>
      </c>
      <c r="F220" s="5" t="str">
        <f ca="1">VLOOKUP($D220,OFFSET([1]stages!$A$1,0,0,COUNTA([1]stages!$A:$A),MATCH(F$1,[1]stages!$2:$2,0)-MATCH($D$1,[1]stages!$2:$2,0)+1),MATCH(F$1,[1]stages!$2:$2,0)-MATCH($D$1,[1]stages!$2:$2,0)+1,FALSE)</f>
        <v>6-4. 悪夢へのスイッチ</v>
      </c>
      <c r="G220" s="32">
        <v>2</v>
      </c>
      <c r="H220" s="20" t="str">
        <f t="shared" si="117"/>
        <v>6_4-2</v>
      </c>
      <c r="I220" s="31">
        <v>17</v>
      </c>
      <c r="J220" s="26" t="e">
        <f ca="1">VLOOKUP($I220,OFFSET([2]enemies!$A$1,0,0,COUNTA([2]enemies!$A:$A),MATCH(J$1,[2]enemies!$2:$2,0)-MATCH($I$1,[2]enemies!$2:$2,0)+1),MATCH(J$1,[2]enemies!$2:$2,0)-MATCH($I$1,[2]enemies!$2:$2,0)+1,FALSE)</f>
        <v>#N/A</v>
      </c>
      <c r="K220" s="29" t="e">
        <f ca="1">VLOOKUP($I220,OFFSET([2]enemies!$A$1,0,0,COUNTA([2]enemies!$A:$A),MATCH(K$1,[2]enemies!$2:$2,0)-MATCH($I$1,[2]enemies!$2:$2,0)+1),MATCH(K$1,[2]enemies!$2:$2,0)-MATCH($I$1,[2]enemies!$2:$2,0)+1,FALSE)</f>
        <v>#N/A</v>
      </c>
      <c r="L220" s="29" t="e">
        <f ca="1">VLOOKUP($I220,OFFSET([3]characters!$A$1,0,0,COUNTA([3]characters!$A:$A),MATCH(L$1,[3]characters!$2:$2,0)-MATCH($I$1,[3]characters!$2:$2,0)+1),MATCH(L$1,[3]characters!$2:$2,0)-MATCH($I$1,[3]characters!$2:$2,0)+1,FALSE)</f>
        <v>#N/A</v>
      </c>
      <c r="M220" s="28" t="e">
        <f ca="1">VLOOKUP($I220,OFFSET([3]characters!$A$1,0,0,COUNTA([3]characters!$A:$A),MATCH(M$1,[3]characters!$2:$2,0)-MATCH($I$1,[3]characters!$2:$2,0)+2),MATCH(M$1,[3]characters!$2:$2,0)-MATCH($I$1,[3]characters!$2:$2,0)+2,FALSE)</f>
        <v>#N/A</v>
      </c>
      <c r="N220" s="5" t="e">
        <f ca="1">VLOOKUP($I220,OFFSET([2]enemies!$A$1,0,0,COUNTA([2]enemies!$A:$A),MATCH(N$1,[2]enemies!$2:$2,0)-MATCH($I$1,[2]enemies!$2:$2,0)+1),MATCH(N$1,[2]enemies!$2:$2,0)-MATCH($I$1,[2]enemies!$2:$2,0)+1,FALSE)</f>
        <v>#N/A</v>
      </c>
      <c r="O220" s="6">
        <v>10</v>
      </c>
      <c r="P220" s="43">
        <v>1</v>
      </c>
      <c r="Q220" s="43">
        <v>1</v>
      </c>
      <c r="R220" s="6">
        <v>0</v>
      </c>
      <c r="S220" s="5" t="str">
        <f ca="1">VLOOKUP($T220,OFFSET([4]enemy_skill_sets!$B$1,0,0,COUNTA([4]enemy_skill_sets!$B:$B),MATCH(J$1,[4]enemy_skill_sets!$1:$1,0)-MATCH($T$1,[4]enemy_skill_sets!$1:$1,0)+2),MATCH(J$1,[4]enemy_skill_sets!$1:$1,0)-MATCH($T$1,[4]enemy_skill_sets!$1:$1,0)+2,FALSE)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0" s="5">
        <v>0</v>
      </c>
      <c r="U220" s="7">
        <v>0</v>
      </c>
      <c r="V220" s="7">
        <v>100</v>
      </c>
      <c r="W220" s="7">
        <v>0</v>
      </c>
      <c r="X220" s="26" t="e">
        <f ca="1">VLOOKUP($I220,OFFSET([2]enemies!$A$1,0,0,COUNTA([2]enemies!$A:$A),MATCH(X$1,[2]enemies!$2:$2,0)-MATCH($I$1,[2]enemies!$2:$2,0)+1),MATCH(X$1,[2]enemies!$2:$2,0)-MATCH($I$1,[2]enemies!$2:$2,0)+1,FALSE)</f>
        <v>#N/A</v>
      </c>
      <c r="Y220" s="31">
        <v>17</v>
      </c>
      <c r="Z220" s="5" t="str">
        <f ca="1">IFERROR(VLOOKUP($Y220,OFFSET([3]characters!$A$1,0,0,COUNTA([3]characters!$A:$A),MATCH(Z$1,[3]characters!$2:$2,0)-MATCH("character_id",[3]characters!$2:$2,0)+1),MATCH(Z$1,[3]characters!$2:$2,0)-MATCH("character_id",[3]characters!$2:$2,0)+1,FALSE),"")</f>
        <v/>
      </c>
      <c r="AA220" s="5" t="str">
        <f ca="1">IFERROR(VLOOKUP($Y220,OFFSET([3]characters!$A$1,0,0,COUNTA([3]characters!$A:$A),MATCH(AA$1,[3]characters!$2:$2,0)-MATCH("character_id",[3]characters!$2:$2,0)+1),MATCH(AA$1,[3]characters!$2:$2,0)-MATCH("character_id",[3]characters!$2:$2,0)+1,FALSE),"")</f>
        <v/>
      </c>
      <c r="AB220" s="5" t="str">
        <f ca="1">IFERROR(VLOOKUP($Y220,OFFSET([3]characters!$A$1,0,0,COUNTA([3]characters!$A:$A),MATCH(AB$1,[3]characters!$2:$2,0)-MATCH("character_id",[3]characters!$2:$2,0)+1),MATCH(AB$1,[3]characters!$2:$2,0)-MATCH("character_id",[3]characters!$2:$2,0)+1,FALSE),"")</f>
        <v/>
      </c>
      <c r="AC220" s="8">
        <v>2</v>
      </c>
      <c r="AD220" s="8" t="str">
        <f t="shared" ca="1" si="119"/>
        <v/>
      </c>
      <c r="AE220" s="9">
        <v>30</v>
      </c>
      <c r="AF220" s="38">
        <v>0</v>
      </c>
      <c r="AG220" s="38">
        <v>0</v>
      </c>
      <c r="AH220" s="38">
        <v>0</v>
      </c>
      <c r="AI220" s="38">
        <v>0</v>
      </c>
      <c r="AJ220" s="38">
        <v>1</v>
      </c>
    </row>
    <row r="221" spans="1:36" ht="21" customHeight="1" x14ac:dyDescent="0.15">
      <c r="A221" s="21" t="e">
        <f t="shared" ca="1" si="118"/>
        <v>#N/A</v>
      </c>
      <c r="B221" s="33">
        <v>6</v>
      </c>
      <c r="C221" s="32">
        <v>4</v>
      </c>
      <c r="D221" s="2" t="str">
        <f t="shared" si="116"/>
        <v>6_4</v>
      </c>
      <c r="E221" s="5" t="str">
        <f ca="1">VLOOKUP($B221,OFFSET([1]quests!$A$1,0,0,COUNTA([1]quests!$A:$A),MATCH(E$1,[1]quests!$1:$1,0)-MATCH($B$1,[1]quests!$1:$1,0)+1),MATCH(E$1,[1]quests!$1:$1,0)-MATCH($B$1,[1]quests!$1:$1,0)+1,FALSE)</f>
        <v>6．ドリームパーク</v>
      </c>
      <c r="F221" s="5" t="str">
        <f ca="1">VLOOKUP($D221,OFFSET([1]stages!$A$1,0,0,COUNTA([1]stages!$A:$A),MATCH(F$1,[1]stages!$2:$2,0)-MATCH($D$1,[1]stages!$2:$2,0)+1),MATCH(F$1,[1]stages!$2:$2,0)-MATCH($D$1,[1]stages!$2:$2,0)+1,FALSE)</f>
        <v>6-4. 悪夢へのスイッチ</v>
      </c>
      <c r="G221" s="32">
        <v>2</v>
      </c>
      <c r="H221" s="20" t="str">
        <f t="shared" si="117"/>
        <v>6_4-2</v>
      </c>
      <c r="I221" s="31">
        <v>19</v>
      </c>
      <c r="J221" s="26" t="e">
        <f ca="1">VLOOKUP($I221,OFFSET([2]enemies!$A$1,0,0,COUNTA([2]enemies!$A:$A),MATCH(J$1,[2]enemies!$2:$2,0)-MATCH($I$1,[2]enemies!$2:$2,0)+1),MATCH(J$1,[2]enemies!$2:$2,0)-MATCH($I$1,[2]enemies!$2:$2,0)+1,FALSE)</f>
        <v>#N/A</v>
      </c>
      <c r="K221" s="29" t="e">
        <f ca="1">VLOOKUP($I221,OFFSET([2]enemies!$A$1,0,0,COUNTA([2]enemies!$A:$A),MATCH(K$1,[2]enemies!$2:$2,0)-MATCH($I$1,[2]enemies!$2:$2,0)+1),MATCH(K$1,[2]enemies!$2:$2,0)-MATCH($I$1,[2]enemies!$2:$2,0)+1,FALSE)</f>
        <v>#N/A</v>
      </c>
      <c r="L221" s="29" t="e">
        <f ca="1">VLOOKUP($I221,OFFSET([3]characters!$A$1,0,0,COUNTA([3]characters!$A:$A),MATCH(L$1,[3]characters!$2:$2,0)-MATCH($I$1,[3]characters!$2:$2,0)+1),MATCH(L$1,[3]characters!$2:$2,0)-MATCH($I$1,[3]characters!$2:$2,0)+1,FALSE)</f>
        <v>#N/A</v>
      </c>
      <c r="M221" s="28" t="e">
        <f ca="1">VLOOKUP($I221,OFFSET([3]characters!$A$1,0,0,COUNTA([3]characters!$A:$A),MATCH(M$1,[3]characters!$2:$2,0)-MATCH($I$1,[3]characters!$2:$2,0)+2),MATCH(M$1,[3]characters!$2:$2,0)-MATCH($I$1,[3]characters!$2:$2,0)+2,FALSE)</f>
        <v>#N/A</v>
      </c>
      <c r="N221" s="5" t="e">
        <f ca="1">VLOOKUP($I221,OFFSET([2]enemies!$A$1,0,0,COUNTA([2]enemies!$A:$A),MATCH(N$1,[2]enemies!$2:$2,0)-MATCH($I$1,[2]enemies!$2:$2,0)+1),MATCH(N$1,[2]enemies!$2:$2,0)-MATCH($I$1,[2]enemies!$2:$2,0)+1,FALSE)</f>
        <v>#N/A</v>
      </c>
      <c r="O221" s="6">
        <v>10</v>
      </c>
      <c r="P221" s="43">
        <v>1</v>
      </c>
      <c r="Q221" s="43">
        <v>1</v>
      </c>
      <c r="R221" s="6">
        <v>0</v>
      </c>
      <c r="S221" s="5" t="str">
        <f ca="1">VLOOKUP($T221,OFFSET([4]enemy_skill_sets!$B$1,0,0,COUNTA([4]enemy_skill_sets!$B:$B),MATCH(J$1,[4]enemy_skill_sets!$1:$1,0)-MATCH($T$1,[4]enemy_skill_sets!$1:$1,0)+2),MATCH(J$1,[4]enemy_skill_sets!$1:$1,0)-MATCH($T$1,[4]enemy_skill_sets!$1:$1,0)+2,FALSE)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1" s="5">
        <v>0</v>
      </c>
      <c r="U221" s="7">
        <v>0</v>
      </c>
      <c r="V221" s="7">
        <v>100</v>
      </c>
      <c r="W221" s="7">
        <v>0</v>
      </c>
      <c r="X221" s="26" t="e">
        <f ca="1">VLOOKUP($I221,OFFSET([2]enemies!$A$1,0,0,COUNTA([2]enemies!$A:$A),MATCH(X$1,[2]enemies!$2:$2,0)-MATCH($I$1,[2]enemies!$2:$2,0)+1),MATCH(X$1,[2]enemies!$2:$2,0)-MATCH($I$1,[2]enemies!$2:$2,0)+1,FALSE)</f>
        <v>#N/A</v>
      </c>
      <c r="Y221" s="31">
        <v>19</v>
      </c>
      <c r="Z221" s="5" t="str">
        <f ca="1">IFERROR(VLOOKUP($Y221,OFFSET([3]characters!$A$1,0,0,COUNTA([3]characters!$A:$A),MATCH(Z$1,[3]characters!$2:$2,0)-MATCH("character_id",[3]characters!$2:$2,0)+1),MATCH(Z$1,[3]characters!$2:$2,0)-MATCH("character_id",[3]characters!$2:$2,0)+1,FALSE),"")</f>
        <v/>
      </c>
      <c r="AA221" s="5" t="str">
        <f ca="1">IFERROR(VLOOKUP($Y221,OFFSET([3]characters!$A$1,0,0,COUNTA([3]characters!$A:$A),MATCH(AA$1,[3]characters!$2:$2,0)-MATCH("character_id",[3]characters!$2:$2,0)+1),MATCH(AA$1,[3]characters!$2:$2,0)-MATCH("character_id",[3]characters!$2:$2,0)+1,FALSE),"")</f>
        <v/>
      </c>
      <c r="AB221" s="5" t="str">
        <f ca="1">IFERROR(VLOOKUP($Y221,OFFSET([3]characters!$A$1,0,0,COUNTA([3]characters!$A:$A),MATCH(AB$1,[3]characters!$2:$2,0)-MATCH("character_id",[3]characters!$2:$2,0)+1),MATCH(AB$1,[3]characters!$2:$2,0)-MATCH("character_id",[3]characters!$2:$2,0)+1,FALSE),"")</f>
        <v/>
      </c>
      <c r="AC221" s="8">
        <v>2</v>
      </c>
      <c r="AD221" s="8" t="str">
        <f t="shared" ca="1" si="119"/>
        <v/>
      </c>
      <c r="AE221" s="9">
        <v>30</v>
      </c>
      <c r="AF221" s="38">
        <v>0</v>
      </c>
      <c r="AG221" s="38">
        <v>0</v>
      </c>
      <c r="AH221" s="38">
        <v>0</v>
      </c>
      <c r="AI221" s="38">
        <v>0</v>
      </c>
      <c r="AJ221" s="38">
        <v>1</v>
      </c>
    </row>
    <row r="222" spans="1:36" ht="21" customHeight="1" x14ac:dyDescent="0.15">
      <c r="A222" s="21" t="e">
        <f t="shared" ca="1" si="118"/>
        <v>#N/A</v>
      </c>
      <c r="B222" s="33">
        <v>6</v>
      </c>
      <c r="C222" s="32">
        <v>4</v>
      </c>
      <c r="D222" s="2" t="str">
        <f t="shared" si="116"/>
        <v>6_4</v>
      </c>
      <c r="E222" s="5" t="str">
        <f ca="1">VLOOKUP($B222,OFFSET([1]quests!$A$1,0,0,COUNTA([1]quests!$A:$A),MATCH(E$1,[1]quests!$1:$1,0)-MATCH($B$1,[1]quests!$1:$1,0)+1),MATCH(E$1,[1]quests!$1:$1,0)-MATCH($B$1,[1]quests!$1:$1,0)+1,FALSE)</f>
        <v>6．ドリームパーク</v>
      </c>
      <c r="F222" s="5" t="str">
        <f ca="1">VLOOKUP($D222,OFFSET([1]stages!$A$1,0,0,COUNTA([1]stages!$A:$A),MATCH(F$1,[1]stages!$2:$2,0)-MATCH($D$1,[1]stages!$2:$2,0)+1),MATCH(F$1,[1]stages!$2:$2,0)-MATCH($D$1,[1]stages!$2:$2,0)+1,FALSE)</f>
        <v>6-4. 悪夢へのスイッチ</v>
      </c>
      <c r="G222" s="32">
        <v>2</v>
      </c>
      <c r="H222" s="20" t="str">
        <f t="shared" si="117"/>
        <v>6_4-2</v>
      </c>
      <c r="I222" s="31">
        <v>101</v>
      </c>
      <c r="J222" s="26" t="e">
        <f ca="1">VLOOKUP($I222,OFFSET([2]enemies!$A$1,0,0,COUNTA([2]enemies!$A:$A),MATCH(J$1,[2]enemies!$2:$2,0)-MATCH($I$1,[2]enemies!$2:$2,0)+1),MATCH(J$1,[2]enemies!$2:$2,0)-MATCH($I$1,[2]enemies!$2:$2,0)+1,FALSE)</f>
        <v>#N/A</v>
      </c>
      <c r="K222" s="29" t="e">
        <f ca="1">VLOOKUP($I222,OFFSET([2]enemies!$A$1,0,0,COUNTA([2]enemies!$A:$A),MATCH(K$1,[2]enemies!$2:$2,0)-MATCH($I$1,[2]enemies!$2:$2,0)+1),MATCH(K$1,[2]enemies!$2:$2,0)-MATCH($I$1,[2]enemies!$2:$2,0)+1,FALSE)</f>
        <v>#N/A</v>
      </c>
      <c r="L222" s="29" t="e">
        <f ca="1">VLOOKUP($I222,OFFSET([3]characters!$A$1,0,0,COUNTA([3]characters!$A:$A),MATCH(L$1,[3]characters!$2:$2,0)-MATCH($I$1,[3]characters!$2:$2,0)+1),MATCH(L$1,[3]characters!$2:$2,0)-MATCH($I$1,[3]characters!$2:$2,0)+1,FALSE)</f>
        <v>#N/A</v>
      </c>
      <c r="M222" s="28" t="e">
        <f ca="1">VLOOKUP($I222,OFFSET([3]characters!$A$1,0,0,COUNTA([3]characters!$A:$A),MATCH(M$1,[3]characters!$2:$2,0)-MATCH($I$1,[3]characters!$2:$2,0)+2),MATCH(M$1,[3]characters!$2:$2,0)-MATCH($I$1,[3]characters!$2:$2,0)+2,FALSE)</f>
        <v>#N/A</v>
      </c>
      <c r="N222" s="5" t="e">
        <f ca="1">VLOOKUP($I222,OFFSET([2]enemies!$A$1,0,0,COUNTA([2]enemies!$A:$A),MATCH(N$1,[2]enemies!$2:$2,0)-MATCH($I$1,[2]enemies!$2:$2,0)+1),MATCH(N$1,[2]enemies!$2:$2,0)-MATCH($I$1,[2]enemies!$2:$2,0)+1,FALSE)</f>
        <v>#N/A</v>
      </c>
      <c r="O222" s="6">
        <v>10</v>
      </c>
      <c r="P222" s="43">
        <v>1</v>
      </c>
      <c r="Q222" s="43">
        <v>1</v>
      </c>
      <c r="R222" s="6">
        <v>0</v>
      </c>
      <c r="S222" s="5" t="str">
        <f ca="1">VLOOKUP($T222,OFFSET([4]enemy_skill_sets!$B$1,0,0,COUNTA([4]enemy_skill_sets!$B:$B),MATCH(J$1,[4]enemy_skill_sets!$1:$1,0)-MATCH($T$1,[4]enemy_skill_sets!$1:$1,0)+2),MATCH(J$1,[4]enemy_skill_sets!$1:$1,0)-MATCH($T$1,[4]enemy_skill_sets!$1:$1,0)+2,FALSE)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2" s="5">
        <v>0</v>
      </c>
      <c r="U222" s="7">
        <v>0</v>
      </c>
      <c r="V222" s="7">
        <v>50</v>
      </c>
      <c r="W222" s="7">
        <v>0</v>
      </c>
      <c r="X222" s="26" t="e">
        <f ca="1">VLOOKUP($I222,OFFSET([2]enemies!$A$1,0,0,COUNTA([2]enemies!$A:$A),MATCH(X$1,[2]enemies!$2:$2,0)-MATCH($I$1,[2]enemies!$2:$2,0)+1),MATCH(X$1,[2]enemies!$2:$2,0)-MATCH($I$1,[2]enemies!$2:$2,0)+1,FALSE)</f>
        <v>#N/A</v>
      </c>
      <c r="Y222" s="31">
        <v>101</v>
      </c>
      <c r="Z222" s="5" t="str">
        <f ca="1">IFERROR(VLOOKUP($Y222,OFFSET([3]characters!$A$1,0,0,COUNTA([3]characters!$A:$A),MATCH(Z$1,[3]characters!$2:$2,0)-MATCH("character_id",[3]characters!$2:$2,0)+1),MATCH(Z$1,[3]characters!$2:$2,0)-MATCH("character_id",[3]characters!$2:$2,0)+1,FALSE),"")</f>
        <v/>
      </c>
      <c r="AA222" s="5" t="str">
        <f ca="1">IFERROR(VLOOKUP($Y222,OFFSET([3]characters!$A$1,0,0,COUNTA([3]characters!$A:$A),MATCH(AA$1,[3]characters!$2:$2,0)-MATCH("character_id",[3]characters!$2:$2,0)+1),MATCH(AA$1,[3]characters!$2:$2,0)-MATCH("character_id",[3]characters!$2:$2,0)+1,FALSE),"")</f>
        <v/>
      </c>
      <c r="AB222" s="5" t="str">
        <f ca="1">IFERROR(VLOOKUP($Y222,OFFSET([3]characters!$A$1,0,0,COUNTA([3]characters!$A:$A),MATCH(AB$1,[3]characters!$2:$2,0)-MATCH("character_id",[3]characters!$2:$2,0)+1),MATCH(AB$1,[3]characters!$2:$2,0)-MATCH("character_id",[3]characters!$2:$2,0)+1,FALSE),"")</f>
        <v/>
      </c>
      <c r="AC222" s="8">
        <v>1</v>
      </c>
      <c r="AD222" s="8" t="str">
        <f t="shared" ca="1" si="119"/>
        <v/>
      </c>
      <c r="AE222" s="9">
        <v>20</v>
      </c>
      <c r="AF222" s="38">
        <v>0</v>
      </c>
      <c r="AG222" s="38">
        <v>0</v>
      </c>
      <c r="AH222" s="38">
        <v>0</v>
      </c>
      <c r="AI222" s="38">
        <v>0</v>
      </c>
      <c r="AJ222" s="38">
        <v>1</v>
      </c>
    </row>
    <row r="223" spans="1:36" ht="21" customHeight="1" x14ac:dyDescent="0.15">
      <c r="A223" s="21" t="e">
        <f t="shared" ca="1" si="118"/>
        <v>#N/A</v>
      </c>
      <c r="B223" s="33">
        <v>6</v>
      </c>
      <c r="C223" s="32">
        <v>4</v>
      </c>
      <c r="D223" s="2" t="str">
        <f t="shared" si="116"/>
        <v>6_4</v>
      </c>
      <c r="E223" s="5" t="str">
        <f ca="1">VLOOKUP($B223,OFFSET([1]quests!$A$1,0,0,COUNTA([1]quests!$A:$A),MATCH(E$1,[1]quests!$1:$1,0)-MATCH($B$1,[1]quests!$1:$1,0)+1),MATCH(E$1,[1]quests!$1:$1,0)-MATCH($B$1,[1]quests!$1:$1,0)+1,FALSE)</f>
        <v>6．ドリームパーク</v>
      </c>
      <c r="F223" s="5" t="str">
        <f ca="1">VLOOKUP($D223,OFFSET([1]stages!$A$1,0,0,COUNTA([1]stages!$A:$A),MATCH(F$1,[1]stages!$2:$2,0)-MATCH($D$1,[1]stages!$2:$2,0)+1),MATCH(F$1,[1]stages!$2:$2,0)-MATCH($D$1,[1]stages!$2:$2,0)+1,FALSE)</f>
        <v>6-4. 悪夢へのスイッチ</v>
      </c>
      <c r="G223" s="32">
        <v>2</v>
      </c>
      <c r="H223" s="20" t="str">
        <f t="shared" si="117"/>
        <v>6_4-2</v>
      </c>
      <c r="I223" s="31">
        <v>105</v>
      </c>
      <c r="J223" s="26" t="e">
        <f ca="1">VLOOKUP($I223,OFFSET([2]enemies!$A$1,0,0,COUNTA([2]enemies!$A:$A),MATCH(J$1,[2]enemies!$2:$2,0)-MATCH($I$1,[2]enemies!$2:$2,0)+1),MATCH(J$1,[2]enemies!$2:$2,0)-MATCH($I$1,[2]enemies!$2:$2,0)+1,FALSE)</f>
        <v>#N/A</v>
      </c>
      <c r="K223" s="29" t="e">
        <f ca="1">VLOOKUP($I223,OFFSET([2]enemies!$A$1,0,0,COUNTA([2]enemies!$A:$A),MATCH(K$1,[2]enemies!$2:$2,0)-MATCH($I$1,[2]enemies!$2:$2,0)+1),MATCH(K$1,[2]enemies!$2:$2,0)-MATCH($I$1,[2]enemies!$2:$2,0)+1,FALSE)</f>
        <v>#N/A</v>
      </c>
      <c r="L223" s="29" t="e">
        <f ca="1">VLOOKUP($I223,OFFSET([3]characters!$A$1,0,0,COUNTA([3]characters!$A:$A),MATCH(L$1,[3]characters!$2:$2,0)-MATCH($I$1,[3]characters!$2:$2,0)+1),MATCH(L$1,[3]characters!$2:$2,0)-MATCH($I$1,[3]characters!$2:$2,0)+1,FALSE)</f>
        <v>#N/A</v>
      </c>
      <c r="M223" s="28" t="e">
        <f ca="1">VLOOKUP($I223,OFFSET([3]characters!$A$1,0,0,COUNTA([3]characters!$A:$A),MATCH(M$1,[3]characters!$2:$2,0)-MATCH($I$1,[3]characters!$2:$2,0)+2),MATCH(M$1,[3]characters!$2:$2,0)-MATCH($I$1,[3]characters!$2:$2,0)+2,FALSE)</f>
        <v>#N/A</v>
      </c>
      <c r="N223" s="5" t="e">
        <f ca="1">VLOOKUP($I223,OFFSET([2]enemies!$A$1,0,0,COUNTA([2]enemies!$A:$A),MATCH(N$1,[2]enemies!$2:$2,0)-MATCH($I$1,[2]enemies!$2:$2,0)+1),MATCH(N$1,[2]enemies!$2:$2,0)-MATCH($I$1,[2]enemies!$2:$2,0)+1,FALSE)</f>
        <v>#N/A</v>
      </c>
      <c r="O223" s="6">
        <v>10</v>
      </c>
      <c r="P223" s="43">
        <v>1</v>
      </c>
      <c r="Q223" s="43">
        <v>1</v>
      </c>
      <c r="R223" s="6">
        <v>0</v>
      </c>
      <c r="S223" s="5" t="str">
        <f ca="1">VLOOKUP($T223,OFFSET([4]enemy_skill_sets!$B$1,0,0,COUNTA([4]enemy_skill_sets!$B:$B),MATCH(J$1,[4]enemy_skill_sets!$1:$1,0)-MATCH($T$1,[4]enemy_skill_sets!$1:$1,0)+2),MATCH(J$1,[4]enemy_skill_sets!$1:$1,0)-MATCH($T$1,[4]enemy_skill_sets!$1:$1,0)+2,FALSE)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3" s="5">
        <v>0</v>
      </c>
      <c r="U223" s="7">
        <v>0</v>
      </c>
      <c r="V223" s="7">
        <v>50</v>
      </c>
      <c r="W223" s="7">
        <v>0</v>
      </c>
      <c r="X223" s="26" t="e">
        <f ca="1">VLOOKUP($I223,OFFSET([2]enemies!$A$1,0,0,COUNTA([2]enemies!$A:$A),MATCH(X$1,[2]enemies!$2:$2,0)-MATCH($I$1,[2]enemies!$2:$2,0)+1),MATCH(X$1,[2]enemies!$2:$2,0)-MATCH($I$1,[2]enemies!$2:$2,0)+1,FALSE)</f>
        <v>#N/A</v>
      </c>
      <c r="Y223" s="31">
        <v>105</v>
      </c>
      <c r="Z223" s="5" t="str">
        <f ca="1">IFERROR(VLOOKUP($Y223,OFFSET([3]characters!$A$1,0,0,COUNTA([3]characters!$A:$A),MATCH(Z$1,[3]characters!$2:$2,0)-MATCH("character_id",[3]characters!$2:$2,0)+1),MATCH(Z$1,[3]characters!$2:$2,0)-MATCH("character_id",[3]characters!$2:$2,0)+1,FALSE),"")</f>
        <v/>
      </c>
      <c r="AA223" s="5" t="str">
        <f ca="1">IFERROR(VLOOKUP($Y223,OFFSET([3]characters!$A$1,0,0,COUNTA([3]characters!$A:$A),MATCH(AA$1,[3]characters!$2:$2,0)-MATCH("character_id",[3]characters!$2:$2,0)+1),MATCH(AA$1,[3]characters!$2:$2,0)-MATCH("character_id",[3]characters!$2:$2,0)+1,FALSE),"")</f>
        <v/>
      </c>
      <c r="AB223" s="5" t="str">
        <f ca="1">IFERROR(VLOOKUP($Y223,OFFSET([3]characters!$A$1,0,0,COUNTA([3]characters!$A:$A),MATCH(AB$1,[3]characters!$2:$2,0)-MATCH("character_id",[3]characters!$2:$2,0)+1),MATCH(AB$1,[3]characters!$2:$2,0)-MATCH("character_id",[3]characters!$2:$2,0)+1,FALSE),"")</f>
        <v/>
      </c>
      <c r="AC223" s="8">
        <v>1</v>
      </c>
      <c r="AD223" s="8" t="str">
        <f t="shared" ca="1" si="119"/>
        <v/>
      </c>
      <c r="AE223" s="9">
        <v>20</v>
      </c>
      <c r="AF223" s="38">
        <v>0</v>
      </c>
      <c r="AG223" s="38">
        <v>0</v>
      </c>
      <c r="AH223" s="38">
        <v>0</v>
      </c>
      <c r="AI223" s="38">
        <v>0</v>
      </c>
      <c r="AJ223" s="38">
        <v>1</v>
      </c>
    </row>
    <row r="224" spans="1:36" ht="21" customHeight="1" x14ac:dyDescent="0.15">
      <c r="A224" s="21" t="e">
        <f t="shared" ca="1" si="118"/>
        <v>#N/A</v>
      </c>
      <c r="B224" s="33">
        <v>6</v>
      </c>
      <c r="C224" s="32">
        <v>4</v>
      </c>
      <c r="D224" s="2" t="str">
        <f t="shared" ref="D224:D259" si="124">B224&amp;"_"&amp;C224</f>
        <v>6_4</v>
      </c>
      <c r="E224" s="5" t="str">
        <f ca="1">VLOOKUP($B224,OFFSET([1]quests!$A$1,0,0,COUNTA([1]quests!$A:$A),MATCH(E$1,[1]quests!$1:$1,0)-MATCH($B$1,[1]quests!$1:$1,0)+1),MATCH(E$1,[1]quests!$1:$1,0)-MATCH($B$1,[1]quests!$1:$1,0)+1,FALSE)</f>
        <v>6．ドリームパーク</v>
      </c>
      <c r="F224" s="5" t="str">
        <f ca="1">VLOOKUP($D224,OFFSET([1]stages!$A$1,0,0,COUNTA([1]stages!$A:$A),MATCH(F$1,[1]stages!$2:$2,0)-MATCH($D$1,[1]stages!$2:$2,0)+1),MATCH(F$1,[1]stages!$2:$2,0)-MATCH($D$1,[1]stages!$2:$2,0)+1,FALSE)</f>
        <v>6-4. 悪夢へのスイッチ</v>
      </c>
      <c r="G224" s="32">
        <v>3</v>
      </c>
      <c r="H224" s="20" t="str">
        <f t="shared" ref="H224:H268" si="125">B224&amp;"_"&amp;C224&amp;"-"&amp;G224</f>
        <v>6_4-3</v>
      </c>
      <c r="I224" s="31">
        <v>15</v>
      </c>
      <c r="J224" s="26" t="e">
        <f ca="1">VLOOKUP($I224,OFFSET([2]enemies!$A$1,0,0,COUNTA([2]enemies!$A:$A),MATCH(J$1,[2]enemies!$2:$2,0)-MATCH($I$1,[2]enemies!$2:$2,0)+1),MATCH(J$1,[2]enemies!$2:$2,0)-MATCH($I$1,[2]enemies!$2:$2,0)+1,FALSE)</f>
        <v>#N/A</v>
      </c>
      <c r="K224" s="29" t="e">
        <f ca="1">VLOOKUP($I224,OFFSET([2]enemies!$A$1,0,0,COUNTA([2]enemies!$A:$A),MATCH(K$1,[2]enemies!$2:$2,0)-MATCH($I$1,[2]enemies!$2:$2,0)+1),MATCH(K$1,[2]enemies!$2:$2,0)-MATCH($I$1,[2]enemies!$2:$2,0)+1,FALSE)</f>
        <v>#N/A</v>
      </c>
      <c r="L224" s="29" t="e">
        <f ca="1">VLOOKUP($I224,OFFSET([3]characters!$A$1,0,0,COUNTA([3]characters!$A:$A),MATCH(L$1,[3]characters!$2:$2,0)-MATCH($I$1,[3]characters!$2:$2,0)+1),MATCH(L$1,[3]characters!$2:$2,0)-MATCH($I$1,[3]characters!$2:$2,0)+1,FALSE)</f>
        <v>#N/A</v>
      </c>
      <c r="M224" s="28" t="e">
        <f ca="1">VLOOKUP($I224,OFFSET([3]characters!$A$1,0,0,COUNTA([3]characters!$A:$A),MATCH(M$1,[3]characters!$2:$2,0)-MATCH($I$1,[3]characters!$2:$2,0)+2),MATCH(M$1,[3]characters!$2:$2,0)-MATCH($I$1,[3]characters!$2:$2,0)+2,FALSE)</f>
        <v>#N/A</v>
      </c>
      <c r="N224" s="5" t="e">
        <f ca="1">VLOOKUP($I224,OFFSET([2]enemies!$A$1,0,0,COUNTA([2]enemies!$A:$A),MATCH(N$1,[2]enemies!$2:$2,0)-MATCH($I$1,[2]enemies!$2:$2,0)+1),MATCH(N$1,[2]enemies!$2:$2,0)-MATCH($I$1,[2]enemies!$2:$2,0)+1,FALSE)</f>
        <v>#N/A</v>
      </c>
      <c r="O224" s="6">
        <v>10</v>
      </c>
      <c r="P224" s="43">
        <v>1</v>
      </c>
      <c r="Q224" s="43">
        <v>1</v>
      </c>
      <c r="R224" s="6">
        <v>0</v>
      </c>
      <c r="S224" s="5" t="str">
        <f ca="1">VLOOKUP($T224,OFFSET([4]enemy_skill_sets!$B$1,0,0,COUNTA([4]enemy_skill_sets!$B:$B),MATCH(J$1,[4]enemy_skill_sets!$1:$1,0)-MATCH($T$1,[4]enemy_skill_sets!$1:$1,0)+2),MATCH(J$1,[4]enemy_skill_sets!$1:$1,0)-MATCH($T$1,[4]enemy_skill_sets!$1:$1,0)+2,FALSE)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4" s="5">
        <v>0</v>
      </c>
      <c r="U224" s="7">
        <v>0</v>
      </c>
      <c r="V224" s="7">
        <v>100</v>
      </c>
      <c r="W224" s="7">
        <v>0</v>
      </c>
      <c r="X224" s="26" t="e">
        <f ca="1">VLOOKUP($I224,OFFSET([2]enemies!$A$1,0,0,COUNTA([2]enemies!$A:$A),MATCH(X$1,[2]enemies!$2:$2,0)-MATCH($I$1,[2]enemies!$2:$2,0)+1),MATCH(X$1,[2]enemies!$2:$2,0)-MATCH($I$1,[2]enemies!$2:$2,0)+1,FALSE)</f>
        <v>#N/A</v>
      </c>
      <c r="Y224" s="31">
        <v>15</v>
      </c>
      <c r="Z224" s="5" t="str">
        <f ca="1">IFERROR(VLOOKUP($Y224,OFFSET([3]characters!$A$1,0,0,COUNTA([3]characters!$A:$A),MATCH(Z$1,[3]characters!$2:$2,0)-MATCH("character_id",[3]characters!$2:$2,0)+1),MATCH(Z$1,[3]characters!$2:$2,0)-MATCH("character_id",[3]characters!$2:$2,0)+1,FALSE),"")</f>
        <v/>
      </c>
      <c r="AA224" s="5" t="str">
        <f ca="1">IFERROR(VLOOKUP($Y224,OFFSET([3]characters!$A$1,0,0,COUNTA([3]characters!$A:$A),MATCH(AA$1,[3]characters!$2:$2,0)-MATCH("character_id",[3]characters!$2:$2,0)+1),MATCH(AA$1,[3]characters!$2:$2,0)-MATCH("character_id",[3]characters!$2:$2,0)+1,FALSE),"")</f>
        <v/>
      </c>
      <c r="AB224" s="5" t="str">
        <f ca="1">IFERROR(VLOOKUP($Y224,OFFSET([3]characters!$A$1,0,0,COUNTA([3]characters!$A:$A),MATCH(AB$1,[3]characters!$2:$2,0)-MATCH("character_id",[3]characters!$2:$2,0)+1),MATCH(AB$1,[3]characters!$2:$2,0)-MATCH("character_id",[3]characters!$2:$2,0)+1,FALSE),"")</f>
        <v/>
      </c>
      <c r="AC224" s="8">
        <v>2</v>
      </c>
      <c r="AD224" s="8" t="str">
        <f t="shared" ca="1" si="119"/>
        <v/>
      </c>
      <c r="AE224" s="9">
        <v>30</v>
      </c>
      <c r="AF224" s="38">
        <v>0</v>
      </c>
      <c r="AG224" s="38">
        <v>0</v>
      </c>
      <c r="AH224" s="38">
        <v>0</v>
      </c>
      <c r="AI224" s="38">
        <v>0</v>
      </c>
      <c r="AJ224" s="38">
        <v>1</v>
      </c>
    </row>
    <row r="225" spans="1:36" ht="21" customHeight="1" x14ac:dyDescent="0.15">
      <c r="A225" s="21" t="e">
        <f t="shared" ca="1" si="118"/>
        <v>#N/A</v>
      </c>
      <c r="B225" s="33">
        <v>6</v>
      </c>
      <c r="C225" s="32">
        <v>4</v>
      </c>
      <c r="D225" s="2" t="str">
        <f t="shared" si="124"/>
        <v>6_4</v>
      </c>
      <c r="E225" s="5" t="str">
        <f ca="1">VLOOKUP($B225,OFFSET([1]quests!$A$1,0,0,COUNTA([1]quests!$A:$A),MATCH(E$1,[1]quests!$1:$1,0)-MATCH($B$1,[1]quests!$1:$1,0)+1),MATCH(E$1,[1]quests!$1:$1,0)-MATCH($B$1,[1]quests!$1:$1,0)+1,FALSE)</f>
        <v>6．ドリームパーク</v>
      </c>
      <c r="F225" s="5" t="str">
        <f ca="1">VLOOKUP($D225,OFFSET([1]stages!$A$1,0,0,COUNTA([1]stages!$A:$A),MATCH(F$1,[1]stages!$2:$2,0)-MATCH($D$1,[1]stages!$2:$2,0)+1),MATCH(F$1,[1]stages!$2:$2,0)-MATCH($D$1,[1]stages!$2:$2,0)+1,FALSE)</f>
        <v>6-4. 悪夢へのスイッチ</v>
      </c>
      <c r="G225" s="32">
        <v>3</v>
      </c>
      <c r="H225" s="20" t="str">
        <f t="shared" si="125"/>
        <v>6_4-3</v>
      </c>
      <c r="I225" s="31">
        <v>17</v>
      </c>
      <c r="J225" s="26" t="e">
        <f ca="1">VLOOKUP($I225,OFFSET([2]enemies!$A$1,0,0,COUNTA([2]enemies!$A:$A),MATCH(J$1,[2]enemies!$2:$2,0)-MATCH($I$1,[2]enemies!$2:$2,0)+1),MATCH(J$1,[2]enemies!$2:$2,0)-MATCH($I$1,[2]enemies!$2:$2,0)+1,FALSE)</f>
        <v>#N/A</v>
      </c>
      <c r="K225" s="29" t="e">
        <f ca="1">VLOOKUP($I225,OFFSET([2]enemies!$A$1,0,0,COUNTA([2]enemies!$A:$A),MATCH(K$1,[2]enemies!$2:$2,0)-MATCH($I$1,[2]enemies!$2:$2,0)+1),MATCH(K$1,[2]enemies!$2:$2,0)-MATCH($I$1,[2]enemies!$2:$2,0)+1,FALSE)</f>
        <v>#N/A</v>
      </c>
      <c r="L225" s="29" t="e">
        <f ca="1">VLOOKUP($I225,OFFSET([3]characters!$A$1,0,0,COUNTA([3]characters!$A:$A),MATCH(L$1,[3]characters!$2:$2,0)-MATCH($I$1,[3]characters!$2:$2,0)+1),MATCH(L$1,[3]characters!$2:$2,0)-MATCH($I$1,[3]characters!$2:$2,0)+1,FALSE)</f>
        <v>#N/A</v>
      </c>
      <c r="M225" s="28" t="e">
        <f ca="1">VLOOKUP($I225,OFFSET([3]characters!$A$1,0,0,COUNTA([3]characters!$A:$A),MATCH(M$1,[3]characters!$2:$2,0)-MATCH($I$1,[3]characters!$2:$2,0)+2),MATCH(M$1,[3]characters!$2:$2,0)-MATCH($I$1,[3]characters!$2:$2,0)+2,FALSE)</f>
        <v>#N/A</v>
      </c>
      <c r="N225" s="5" t="e">
        <f ca="1">VLOOKUP($I225,OFFSET([2]enemies!$A$1,0,0,COUNTA([2]enemies!$A:$A),MATCH(N$1,[2]enemies!$2:$2,0)-MATCH($I$1,[2]enemies!$2:$2,0)+1),MATCH(N$1,[2]enemies!$2:$2,0)-MATCH($I$1,[2]enemies!$2:$2,0)+1,FALSE)</f>
        <v>#N/A</v>
      </c>
      <c r="O225" s="6">
        <v>10</v>
      </c>
      <c r="P225" s="43">
        <v>1</v>
      </c>
      <c r="Q225" s="43">
        <v>1</v>
      </c>
      <c r="R225" s="6">
        <v>0</v>
      </c>
      <c r="S225" s="5" t="str">
        <f ca="1">VLOOKUP($T225,OFFSET([4]enemy_skill_sets!$B$1,0,0,COUNTA([4]enemy_skill_sets!$B:$B),MATCH(J$1,[4]enemy_skill_sets!$1:$1,0)-MATCH($T$1,[4]enemy_skill_sets!$1:$1,0)+2),MATCH(J$1,[4]enemy_skill_sets!$1:$1,0)-MATCH($T$1,[4]enemy_skill_sets!$1:$1,0)+2,FALSE)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5" s="5">
        <v>0</v>
      </c>
      <c r="U225" s="7">
        <v>0</v>
      </c>
      <c r="V225" s="7">
        <v>100</v>
      </c>
      <c r="W225" s="7">
        <v>0</v>
      </c>
      <c r="X225" s="26" t="e">
        <f ca="1">VLOOKUP($I225,OFFSET([2]enemies!$A$1,0,0,COUNTA([2]enemies!$A:$A),MATCH(X$1,[2]enemies!$2:$2,0)-MATCH($I$1,[2]enemies!$2:$2,0)+1),MATCH(X$1,[2]enemies!$2:$2,0)-MATCH($I$1,[2]enemies!$2:$2,0)+1,FALSE)</f>
        <v>#N/A</v>
      </c>
      <c r="Y225" s="31">
        <v>17</v>
      </c>
      <c r="Z225" s="5" t="str">
        <f ca="1">IFERROR(VLOOKUP($Y225,OFFSET([3]characters!$A$1,0,0,COUNTA([3]characters!$A:$A),MATCH(Z$1,[3]characters!$2:$2,0)-MATCH("character_id",[3]characters!$2:$2,0)+1),MATCH(Z$1,[3]characters!$2:$2,0)-MATCH("character_id",[3]characters!$2:$2,0)+1,FALSE),"")</f>
        <v/>
      </c>
      <c r="AA225" s="5" t="str">
        <f ca="1">IFERROR(VLOOKUP($Y225,OFFSET([3]characters!$A$1,0,0,COUNTA([3]characters!$A:$A),MATCH(AA$1,[3]characters!$2:$2,0)-MATCH("character_id",[3]characters!$2:$2,0)+1),MATCH(AA$1,[3]characters!$2:$2,0)-MATCH("character_id",[3]characters!$2:$2,0)+1,FALSE),"")</f>
        <v/>
      </c>
      <c r="AB225" s="5" t="str">
        <f ca="1">IFERROR(VLOOKUP($Y225,OFFSET([3]characters!$A$1,0,0,COUNTA([3]characters!$A:$A),MATCH(AB$1,[3]characters!$2:$2,0)-MATCH("character_id",[3]characters!$2:$2,0)+1),MATCH(AB$1,[3]characters!$2:$2,0)-MATCH("character_id",[3]characters!$2:$2,0)+1,FALSE),"")</f>
        <v/>
      </c>
      <c r="AC225" s="8">
        <v>2</v>
      </c>
      <c r="AD225" s="8" t="str">
        <f t="shared" ca="1" si="119"/>
        <v/>
      </c>
      <c r="AE225" s="9">
        <v>30</v>
      </c>
      <c r="AF225" s="38">
        <v>0</v>
      </c>
      <c r="AG225" s="38">
        <v>0</v>
      </c>
      <c r="AH225" s="38">
        <v>0</v>
      </c>
      <c r="AI225" s="38">
        <v>0</v>
      </c>
      <c r="AJ225" s="38">
        <v>1</v>
      </c>
    </row>
    <row r="226" spans="1:36" ht="21" customHeight="1" x14ac:dyDescent="0.15">
      <c r="A226" s="21" t="e">
        <f t="shared" ca="1" si="118"/>
        <v>#N/A</v>
      </c>
      <c r="B226" s="33">
        <v>6</v>
      </c>
      <c r="C226" s="32">
        <v>4</v>
      </c>
      <c r="D226" s="2" t="str">
        <f t="shared" si="124"/>
        <v>6_4</v>
      </c>
      <c r="E226" s="5" t="str">
        <f ca="1">VLOOKUP($B226,OFFSET([1]quests!$A$1,0,0,COUNTA([1]quests!$A:$A),MATCH(E$1,[1]quests!$1:$1,0)-MATCH($B$1,[1]quests!$1:$1,0)+1),MATCH(E$1,[1]quests!$1:$1,0)-MATCH($B$1,[1]quests!$1:$1,0)+1,FALSE)</f>
        <v>6．ドリームパーク</v>
      </c>
      <c r="F226" s="5" t="str">
        <f ca="1">VLOOKUP($D226,OFFSET([1]stages!$A$1,0,0,COUNTA([1]stages!$A:$A),MATCH(F$1,[1]stages!$2:$2,0)-MATCH($D$1,[1]stages!$2:$2,0)+1),MATCH(F$1,[1]stages!$2:$2,0)-MATCH($D$1,[1]stages!$2:$2,0)+1,FALSE)</f>
        <v>6-4. 悪夢へのスイッチ</v>
      </c>
      <c r="G226" s="32">
        <v>3</v>
      </c>
      <c r="H226" s="20" t="str">
        <f t="shared" si="125"/>
        <v>6_4-3</v>
      </c>
      <c r="I226" s="31">
        <v>19</v>
      </c>
      <c r="J226" s="26" t="e">
        <f ca="1">VLOOKUP($I226,OFFSET([2]enemies!$A$1,0,0,COUNTA([2]enemies!$A:$A),MATCH(J$1,[2]enemies!$2:$2,0)-MATCH($I$1,[2]enemies!$2:$2,0)+1),MATCH(J$1,[2]enemies!$2:$2,0)-MATCH($I$1,[2]enemies!$2:$2,0)+1,FALSE)</f>
        <v>#N/A</v>
      </c>
      <c r="K226" s="29" t="e">
        <f ca="1">VLOOKUP($I226,OFFSET([2]enemies!$A$1,0,0,COUNTA([2]enemies!$A:$A),MATCH(K$1,[2]enemies!$2:$2,0)-MATCH($I$1,[2]enemies!$2:$2,0)+1),MATCH(K$1,[2]enemies!$2:$2,0)-MATCH($I$1,[2]enemies!$2:$2,0)+1,FALSE)</f>
        <v>#N/A</v>
      </c>
      <c r="L226" s="29" t="e">
        <f ca="1">VLOOKUP($I226,OFFSET([3]characters!$A$1,0,0,COUNTA([3]characters!$A:$A),MATCH(L$1,[3]characters!$2:$2,0)-MATCH($I$1,[3]characters!$2:$2,0)+1),MATCH(L$1,[3]characters!$2:$2,0)-MATCH($I$1,[3]characters!$2:$2,0)+1,FALSE)</f>
        <v>#N/A</v>
      </c>
      <c r="M226" s="28" t="e">
        <f ca="1">VLOOKUP($I226,OFFSET([3]characters!$A$1,0,0,COUNTA([3]characters!$A:$A),MATCH(M$1,[3]characters!$2:$2,0)-MATCH($I$1,[3]characters!$2:$2,0)+2),MATCH(M$1,[3]characters!$2:$2,0)-MATCH($I$1,[3]characters!$2:$2,0)+2,FALSE)</f>
        <v>#N/A</v>
      </c>
      <c r="N226" s="5" t="e">
        <f ca="1">VLOOKUP($I226,OFFSET([2]enemies!$A$1,0,0,COUNTA([2]enemies!$A:$A),MATCH(N$1,[2]enemies!$2:$2,0)-MATCH($I$1,[2]enemies!$2:$2,0)+1),MATCH(N$1,[2]enemies!$2:$2,0)-MATCH($I$1,[2]enemies!$2:$2,0)+1,FALSE)</f>
        <v>#N/A</v>
      </c>
      <c r="O226" s="6">
        <v>10</v>
      </c>
      <c r="P226" s="43">
        <v>1</v>
      </c>
      <c r="Q226" s="43">
        <v>1</v>
      </c>
      <c r="R226" s="6">
        <v>0</v>
      </c>
      <c r="S226" s="5" t="str">
        <f ca="1">VLOOKUP($T226,OFFSET([4]enemy_skill_sets!$B$1,0,0,COUNTA([4]enemy_skill_sets!$B:$B),MATCH(J$1,[4]enemy_skill_sets!$1:$1,0)-MATCH($T$1,[4]enemy_skill_sets!$1:$1,0)+2),MATCH(J$1,[4]enemy_skill_sets!$1:$1,0)-MATCH($T$1,[4]enemy_skill_sets!$1:$1,0)+2,FALSE)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6" s="5">
        <v>0</v>
      </c>
      <c r="U226" s="7">
        <v>0</v>
      </c>
      <c r="V226" s="7">
        <v>100</v>
      </c>
      <c r="W226" s="7">
        <v>0</v>
      </c>
      <c r="X226" s="26" t="e">
        <f ca="1">VLOOKUP($I226,OFFSET([2]enemies!$A$1,0,0,COUNTA([2]enemies!$A:$A),MATCH(X$1,[2]enemies!$2:$2,0)-MATCH($I$1,[2]enemies!$2:$2,0)+1),MATCH(X$1,[2]enemies!$2:$2,0)-MATCH($I$1,[2]enemies!$2:$2,0)+1,FALSE)</f>
        <v>#N/A</v>
      </c>
      <c r="Y226" s="31">
        <v>19</v>
      </c>
      <c r="Z226" s="5" t="str">
        <f ca="1">IFERROR(VLOOKUP($Y226,OFFSET([3]characters!$A$1,0,0,COUNTA([3]characters!$A:$A),MATCH(Z$1,[3]characters!$2:$2,0)-MATCH("character_id",[3]characters!$2:$2,0)+1),MATCH(Z$1,[3]characters!$2:$2,0)-MATCH("character_id",[3]characters!$2:$2,0)+1,FALSE),"")</f>
        <v/>
      </c>
      <c r="AA226" s="5" t="str">
        <f ca="1">IFERROR(VLOOKUP($Y226,OFFSET([3]characters!$A$1,0,0,COUNTA([3]characters!$A:$A),MATCH(AA$1,[3]characters!$2:$2,0)-MATCH("character_id",[3]characters!$2:$2,0)+1),MATCH(AA$1,[3]characters!$2:$2,0)-MATCH("character_id",[3]characters!$2:$2,0)+1,FALSE),"")</f>
        <v/>
      </c>
      <c r="AB226" s="5" t="str">
        <f ca="1">IFERROR(VLOOKUP($Y226,OFFSET([3]characters!$A$1,0,0,COUNTA([3]characters!$A:$A),MATCH(AB$1,[3]characters!$2:$2,0)-MATCH("character_id",[3]characters!$2:$2,0)+1),MATCH(AB$1,[3]characters!$2:$2,0)-MATCH("character_id",[3]characters!$2:$2,0)+1,FALSE),"")</f>
        <v/>
      </c>
      <c r="AC226" s="8">
        <v>2</v>
      </c>
      <c r="AD226" s="8" t="str">
        <f t="shared" ca="1" si="119"/>
        <v/>
      </c>
      <c r="AE226" s="9">
        <v>30</v>
      </c>
      <c r="AF226" s="38">
        <v>0</v>
      </c>
      <c r="AG226" s="38">
        <v>0</v>
      </c>
      <c r="AH226" s="38">
        <v>0</v>
      </c>
      <c r="AI226" s="38">
        <v>0</v>
      </c>
      <c r="AJ226" s="38">
        <v>1</v>
      </c>
    </row>
    <row r="227" spans="1:36" ht="21" customHeight="1" x14ac:dyDescent="0.15">
      <c r="A227" s="21" t="e">
        <f t="shared" ca="1" si="118"/>
        <v>#N/A</v>
      </c>
      <c r="B227" s="33">
        <v>6</v>
      </c>
      <c r="C227" s="32">
        <v>4</v>
      </c>
      <c r="D227" s="2" t="str">
        <f t="shared" si="124"/>
        <v>6_4</v>
      </c>
      <c r="E227" s="5" t="str">
        <f ca="1">VLOOKUP($B227,OFFSET([1]quests!$A$1,0,0,COUNTA([1]quests!$A:$A),MATCH(E$1,[1]quests!$1:$1,0)-MATCH($B$1,[1]quests!$1:$1,0)+1),MATCH(E$1,[1]quests!$1:$1,0)-MATCH($B$1,[1]quests!$1:$1,0)+1,FALSE)</f>
        <v>6．ドリームパーク</v>
      </c>
      <c r="F227" s="5" t="str">
        <f ca="1">VLOOKUP($D227,OFFSET([1]stages!$A$1,0,0,COUNTA([1]stages!$A:$A),MATCH(F$1,[1]stages!$2:$2,0)-MATCH($D$1,[1]stages!$2:$2,0)+1),MATCH(F$1,[1]stages!$2:$2,0)-MATCH($D$1,[1]stages!$2:$2,0)+1,FALSE)</f>
        <v>6-4. 悪夢へのスイッチ</v>
      </c>
      <c r="G227" s="32">
        <v>3</v>
      </c>
      <c r="H227" s="20" t="str">
        <f t="shared" si="125"/>
        <v>6_4-3</v>
      </c>
      <c r="I227" s="31">
        <v>23</v>
      </c>
      <c r="J227" s="26" t="e">
        <f ca="1">VLOOKUP($I227,OFFSET([2]enemies!$A$1,0,0,COUNTA([2]enemies!$A:$A),MATCH(J$1,[2]enemies!$2:$2,0)-MATCH($I$1,[2]enemies!$2:$2,0)+1),MATCH(J$1,[2]enemies!$2:$2,0)-MATCH($I$1,[2]enemies!$2:$2,0)+1,FALSE)</f>
        <v>#N/A</v>
      </c>
      <c r="K227" s="29" t="e">
        <f ca="1">VLOOKUP($I227,OFFSET([2]enemies!$A$1,0,0,COUNTA([2]enemies!$A:$A),MATCH(K$1,[2]enemies!$2:$2,0)-MATCH($I$1,[2]enemies!$2:$2,0)+1),MATCH(K$1,[2]enemies!$2:$2,0)-MATCH($I$1,[2]enemies!$2:$2,0)+1,FALSE)</f>
        <v>#N/A</v>
      </c>
      <c r="L227" s="29" t="e">
        <f ca="1">VLOOKUP($I227,OFFSET([3]characters!$A$1,0,0,COUNTA([3]characters!$A:$A),MATCH(L$1,[3]characters!$2:$2,0)-MATCH($I$1,[3]characters!$2:$2,0)+1),MATCH(L$1,[3]characters!$2:$2,0)-MATCH($I$1,[3]characters!$2:$2,0)+1,FALSE)</f>
        <v>#N/A</v>
      </c>
      <c r="M227" s="28" t="e">
        <f ca="1">VLOOKUP($I227,OFFSET([3]characters!$A$1,0,0,COUNTA([3]characters!$A:$A),MATCH(M$1,[3]characters!$2:$2,0)-MATCH($I$1,[3]characters!$2:$2,0)+2),MATCH(M$1,[3]characters!$2:$2,0)-MATCH($I$1,[3]characters!$2:$2,0)+2,FALSE)</f>
        <v>#N/A</v>
      </c>
      <c r="N227" s="5" t="e">
        <f ca="1">VLOOKUP($I227,OFFSET([2]enemies!$A$1,0,0,COUNTA([2]enemies!$A:$A),MATCH(N$1,[2]enemies!$2:$2,0)-MATCH($I$1,[2]enemies!$2:$2,0)+1),MATCH(N$1,[2]enemies!$2:$2,0)-MATCH($I$1,[2]enemies!$2:$2,0)+1,FALSE)</f>
        <v>#N/A</v>
      </c>
      <c r="O227" s="6">
        <v>10</v>
      </c>
      <c r="P227" s="43">
        <v>1</v>
      </c>
      <c r="Q227" s="43">
        <v>1</v>
      </c>
      <c r="R227" s="6">
        <v>0</v>
      </c>
      <c r="S227" s="5" t="str">
        <f ca="1">VLOOKUP($T227,OFFSET([4]enemy_skill_sets!$B$1,0,0,COUNTA([4]enemy_skill_sets!$B:$B),MATCH(J$1,[4]enemy_skill_sets!$1:$1,0)-MATCH($T$1,[4]enemy_skill_sets!$1:$1,0)+2),MATCH(J$1,[4]enemy_skill_sets!$1:$1,0)-MATCH($T$1,[4]enemy_skill_sets!$1:$1,0)+2,FALSE)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7" s="5">
        <v>0</v>
      </c>
      <c r="U227" s="7">
        <v>0</v>
      </c>
      <c r="V227" s="7">
        <v>100</v>
      </c>
      <c r="W227" s="7">
        <v>0</v>
      </c>
      <c r="X227" s="26" t="e">
        <f ca="1">VLOOKUP($I227,OFFSET([2]enemies!$A$1,0,0,COUNTA([2]enemies!$A:$A),MATCH(X$1,[2]enemies!$2:$2,0)-MATCH($I$1,[2]enemies!$2:$2,0)+1),MATCH(X$1,[2]enemies!$2:$2,0)-MATCH($I$1,[2]enemies!$2:$2,0)+1,FALSE)</f>
        <v>#N/A</v>
      </c>
      <c r="Y227" s="31">
        <v>23</v>
      </c>
      <c r="Z227" s="5" t="str">
        <f ca="1">IFERROR(VLOOKUP($Y227,OFFSET([3]characters!$A$1,0,0,COUNTA([3]characters!$A:$A),MATCH(Z$1,[3]characters!$2:$2,0)-MATCH("character_id",[3]characters!$2:$2,0)+1),MATCH(Z$1,[3]characters!$2:$2,0)-MATCH("character_id",[3]characters!$2:$2,0)+1,FALSE),"")</f>
        <v/>
      </c>
      <c r="AA227" s="5" t="str">
        <f ca="1">IFERROR(VLOOKUP($Y227,OFFSET([3]characters!$A$1,0,0,COUNTA([3]characters!$A:$A),MATCH(AA$1,[3]characters!$2:$2,0)-MATCH("character_id",[3]characters!$2:$2,0)+1),MATCH(AA$1,[3]characters!$2:$2,0)-MATCH("character_id",[3]characters!$2:$2,0)+1,FALSE),"")</f>
        <v/>
      </c>
      <c r="AB227" s="5" t="str">
        <f ca="1">IFERROR(VLOOKUP($Y227,OFFSET([3]characters!$A$1,0,0,COUNTA([3]characters!$A:$A),MATCH(AB$1,[3]characters!$2:$2,0)-MATCH("character_id",[3]characters!$2:$2,0)+1),MATCH(AB$1,[3]characters!$2:$2,0)-MATCH("character_id",[3]characters!$2:$2,0)+1,FALSE),"")</f>
        <v/>
      </c>
      <c r="AC227" s="8">
        <v>1</v>
      </c>
      <c r="AD227" s="8" t="str">
        <f t="shared" ca="1" si="119"/>
        <v/>
      </c>
      <c r="AE227" s="9">
        <v>30</v>
      </c>
      <c r="AF227" s="38">
        <v>0</v>
      </c>
      <c r="AG227" s="38">
        <v>0</v>
      </c>
      <c r="AH227" s="38">
        <v>0</v>
      </c>
      <c r="AI227" s="38">
        <v>0</v>
      </c>
      <c r="AJ227" s="38">
        <v>1</v>
      </c>
    </row>
    <row r="228" spans="1:36" ht="21" customHeight="1" x14ac:dyDescent="0.15">
      <c r="A228" s="21" t="e">
        <f t="shared" ca="1" si="118"/>
        <v>#N/A</v>
      </c>
      <c r="B228" s="33">
        <v>6</v>
      </c>
      <c r="C228" s="32">
        <v>4</v>
      </c>
      <c r="D228" s="2" t="str">
        <f t="shared" si="124"/>
        <v>6_4</v>
      </c>
      <c r="E228" s="5" t="str">
        <f ca="1">VLOOKUP($B228,OFFSET([1]quests!$A$1,0,0,COUNTA([1]quests!$A:$A),MATCH(E$1,[1]quests!$1:$1,0)-MATCH($B$1,[1]quests!$1:$1,0)+1),MATCH(E$1,[1]quests!$1:$1,0)-MATCH($B$1,[1]quests!$1:$1,0)+1,FALSE)</f>
        <v>6．ドリームパーク</v>
      </c>
      <c r="F228" s="5" t="str">
        <f ca="1">VLOOKUP($D228,OFFSET([1]stages!$A$1,0,0,COUNTA([1]stages!$A:$A),MATCH(F$1,[1]stages!$2:$2,0)-MATCH($D$1,[1]stages!$2:$2,0)+1),MATCH(F$1,[1]stages!$2:$2,0)-MATCH($D$1,[1]stages!$2:$2,0)+1,FALSE)</f>
        <v>6-4. 悪夢へのスイッチ</v>
      </c>
      <c r="G228" s="32">
        <v>3</v>
      </c>
      <c r="H228" s="20" t="str">
        <f t="shared" si="125"/>
        <v>6_4-3</v>
      </c>
      <c r="I228" s="31">
        <v>25</v>
      </c>
      <c r="J228" s="26" t="e">
        <f ca="1">VLOOKUP($I228,OFFSET([2]enemies!$A$1,0,0,COUNTA([2]enemies!$A:$A),MATCH(J$1,[2]enemies!$2:$2,0)-MATCH($I$1,[2]enemies!$2:$2,0)+1),MATCH(J$1,[2]enemies!$2:$2,0)-MATCH($I$1,[2]enemies!$2:$2,0)+1,FALSE)</f>
        <v>#N/A</v>
      </c>
      <c r="K228" s="29" t="e">
        <f ca="1">VLOOKUP($I228,OFFSET([2]enemies!$A$1,0,0,COUNTA([2]enemies!$A:$A),MATCH(K$1,[2]enemies!$2:$2,0)-MATCH($I$1,[2]enemies!$2:$2,0)+1),MATCH(K$1,[2]enemies!$2:$2,0)-MATCH($I$1,[2]enemies!$2:$2,0)+1,FALSE)</f>
        <v>#N/A</v>
      </c>
      <c r="L228" s="29" t="e">
        <f ca="1">VLOOKUP($I228,OFFSET([3]characters!$A$1,0,0,COUNTA([3]characters!$A:$A),MATCH(L$1,[3]characters!$2:$2,0)-MATCH($I$1,[3]characters!$2:$2,0)+1),MATCH(L$1,[3]characters!$2:$2,0)-MATCH($I$1,[3]characters!$2:$2,0)+1,FALSE)</f>
        <v>#N/A</v>
      </c>
      <c r="M228" s="28" t="e">
        <f ca="1">VLOOKUP($I228,OFFSET([3]characters!$A$1,0,0,COUNTA([3]characters!$A:$A),MATCH(M$1,[3]characters!$2:$2,0)-MATCH($I$1,[3]characters!$2:$2,0)+2),MATCH(M$1,[3]characters!$2:$2,0)-MATCH($I$1,[3]characters!$2:$2,0)+2,FALSE)</f>
        <v>#N/A</v>
      </c>
      <c r="N228" s="5" t="e">
        <f ca="1">VLOOKUP($I228,OFFSET([2]enemies!$A$1,0,0,COUNTA([2]enemies!$A:$A),MATCH(N$1,[2]enemies!$2:$2,0)-MATCH($I$1,[2]enemies!$2:$2,0)+1),MATCH(N$1,[2]enemies!$2:$2,0)-MATCH($I$1,[2]enemies!$2:$2,0)+1,FALSE)</f>
        <v>#N/A</v>
      </c>
      <c r="O228" s="6">
        <v>10</v>
      </c>
      <c r="P228" s="43">
        <v>1</v>
      </c>
      <c r="Q228" s="43">
        <v>1</v>
      </c>
      <c r="R228" s="6">
        <v>0</v>
      </c>
      <c r="S228" s="5" t="str">
        <f ca="1">VLOOKUP($T228,OFFSET([4]enemy_skill_sets!$B$1,0,0,COUNTA([4]enemy_skill_sets!$B:$B),MATCH(J$1,[4]enemy_skill_sets!$1:$1,0)-MATCH($T$1,[4]enemy_skill_sets!$1:$1,0)+2),MATCH(J$1,[4]enemy_skill_sets!$1:$1,0)-MATCH($T$1,[4]enemy_skill_sets!$1:$1,0)+2,FALSE)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8" s="5">
        <v>0</v>
      </c>
      <c r="U228" s="7">
        <v>0</v>
      </c>
      <c r="V228" s="7">
        <v>100</v>
      </c>
      <c r="W228" s="7">
        <v>0</v>
      </c>
      <c r="X228" s="26" t="e">
        <f ca="1">VLOOKUP($I228,OFFSET([2]enemies!$A$1,0,0,COUNTA([2]enemies!$A:$A),MATCH(X$1,[2]enemies!$2:$2,0)-MATCH($I$1,[2]enemies!$2:$2,0)+1),MATCH(X$1,[2]enemies!$2:$2,0)-MATCH($I$1,[2]enemies!$2:$2,0)+1,FALSE)</f>
        <v>#N/A</v>
      </c>
      <c r="Y228" s="31">
        <v>25</v>
      </c>
      <c r="Z228" s="5" t="str">
        <f ca="1">IFERROR(VLOOKUP($Y228,OFFSET([3]characters!$A$1,0,0,COUNTA([3]characters!$A:$A),MATCH(Z$1,[3]characters!$2:$2,0)-MATCH("character_id",[3]characters!$2:$2,0)+1),MATCH(Z$1,[3]characters!$2:$2,0)-MATCH("character_id",[3]characters!$2:$2,0)+1,FALSE),"")</f>
        <v/>
      </c>
      <c r="AA228" s="5" t="str">
        <f ca="1">IFERROR(VLOOKUP($Y228,OFFSET([3]characters!$A$1,0,0,COUNTA([3]characters!$A:$A),MATCH(AA$1,[3]characters!$2:$2,0)-MATCH("character_id",[3]characters!$2:$2,0)+1),MATCH(AA$1,[3]characters!$2:$2,0)-MATCH("character_id",[3]characters!$2:$2,0)+1,FALSE),"")</f>
        <v/>
      </c>
      <c r="AB228" s="5" t="str">
        <f ca="1">IFERROR(VLOOKUP($Y228,OFFSET([3]characters!$A$1,0,0,COUNTA([3]characters!$A:$A),MATCH(AB$1,[3]characters!$2:$2,0)-MATCH("character_id",[3]characters!$2:$2,0)+1),MATCH(AB$1,[3]characters!$2:$2,0)-MATCH("character_id",[3]characters!$2:$2,0)+1,FALSE),"")</f>
        <v/>
      </c>
      <c r="AC228" s="8">
        <v>1</v>
      </c>
      <c r="AD228" s="8" t="str">
        <f t="shared" ca="1" si="119"/>
        <v/>
      </c>
      <c r="AE228" s="9">
        <v>30</v>
      </c>
      <c r="AF228" s="38">
        <v>0</v>
      </c>
      <c r="AG228" s="38">
        <v>0</v>
      </c>
      <c r="AH228" s="38">
        <v>0</v>
      </c>
      <c r="AI228" s="38">
        <v>0</v>
      </c>
      <c r="AJ228" s="38">
        <v>1</v>
      </c>
    </row>
    <row r="229" spans="1:36" ht="21" customHeight="1" x14ac:dyDescent="0.15">
      <c r="A229" s="21" t="e">
        <f t="shared" ref="A229:A230" ca="1" si="126">B229&amp;"_"&amp;C229&amp;"-"&amp;G229&amp;"/"&amp;I229&amp;"&lt;lv"&amp;O229&amp;"&gt;s"&amp;X229</f>
        <v>#N/A</v>
      </c>
      <c r="B229" s="33">
        <v>6</v>
      </c>
      <c r="C229" s="32">
        <v>4</v>
      </c>
      <c r="D229" s="2" t="str">
        <f t="shared" si="124"/>
        <v>6_4</v>
      </c>
      <c r="E229" s="5" t="str">
        <f ca="1">VLOOKUP($B229,OFFSET([1]quests!$A$1,0,0,COUNTA([1]quests!$A:$A),MATCH(E$1,[1]quests!$1:$1,0)-MATCH($B$1,[1]quests!$1:$1,0)+1),MATCH(E$1,[1]quests!$1:$1,0)-MATCH($B$1,[1]quests!$1:$1,0)+1,FALSE)</f>
        <v>6．ドリームパーク</v>
      </c>
      <c r="F229" s="5" t="str">
        <f ca="1">VLOOKUP($D229,OFFSET([1]stages!$A$1,0,0,COUNTA([1]stages!$A:$A),MATCH(F$1,[1]stages!$2:$2,0)-MATCH($D$1,[1]stages!$2:$2,0)+1),MATCH(F$1,[1]stages!$2:$2,0)-MATCH($D$1,[1]stages!$2:$2,0)+1,FALSE)</f>
        <v>6-4. 悪夢へのスイッチ</v>
      </c>
      <c r="G229" s="32">
        <v>3</v>
      </c>
      <c r="H229" s="20" t="str">
        <f t="shared" si="125"/>
        <v>6_4-3</v>
      </c>
      <c r="I229" s="31">
        <v>101</v>
      </c>
      <c r="J229" s="26" t="e">
        <f ca="1">VLOOKUP($I229,OFFSET([2]enemies!$A$1,0,0,COUNTA([2]enemies!$A:$A),MATCH(J$1,[2]enemies!$2:$2,0)-MATCH($I$1,[2]enemies!$2:$2,0)+1),MATCH(J$1,[2]enemies!$2:$2,0)-MATCH($I$1,[2]enemies!$2:$2,0)+1,FALSE)</f>
        <v>#N/A</v>
      </c>
      <c r="K229" s="29" t="e">
        <f ca="1">VLOOKUP($I229,OFFSET([2]enemies!$A$1,0,0,COUNTA([2]enemies!$A:$A),MATCH(K$1,[2]enemies!$2:$2,0)-MATCH($I$1,[2]enemies!$2:$2,0)+1),MATCH(K$1,[2]enemies!$2:$2,0)-MATCH($I$1,[2]enemies!$2:$2,0)+1,FALSE)</f>
        <v>#N/A</v>
      </c>
      <c r="L229" s="29" t="e">
        <f ca="1">VLOOKUP($I229,OFFSET([3]characters!$A$1,0,0,COUNTA([3]characters!$A:$A),MATCH(L$1,[3]characters!$2:$2,0)-MATCH($I$1,[3]characters!$2:$2,0)+1),MATCH(L$1,[3]characters!$2:$2,0)-MATCH($I$1,[3]characters!$2:$2,0)+1,FALSE)</f>
        <v>#N/A</v>
      </c>
      <c r="M229" s="28" t="e">
        <f ca="1">VLOOKUP($I229,OFFSET([3]characters!$A$1,0,0,COUNTA([3]characters!$A:$A),MATCH(M$1,[3]characters!$2:$2,0)-MATCH($I$1,[3]characters!$2:$2,0)+2),MATCH(M$1,[3]characters!$2:$2,0)-MATCH($I$1,[3]characters!$2:$2,0)+2,FALSE)</f>
        <v>#N/A</v>
      </c>
      <c r="N229" s="5" t="e">
        <f ca="1">VLOOKUP($I229,OFFSET([2]enemies!$A$1,0,0,COUNTA([2]enemies!$A:$A),MATCH(N$1,[2]enemies!$2:$2,0)-MATCH($I$1,[2]enemies!$2:$2,0)+1),MATCH(N$1,[2]enemies!$2:$2,0)-MATCH($I$1,[2]enemies!$2:$2,0)+1,FALSE)</f>
        <v>#N/A</v>
      </c>
      <c r="O229" s="6">
        <v>10</v>
      </c>
      <c r="P229" s="43">
        <v>1</v>
      </c>
      <c r="Q229" s="43">
        <v>1</v>
      </c>
      <c r="R229" s="6">
        <v>0</v>
      </c>
      <c r="S229" s="5" t="str">
        <f ca="1">VLOOKUP($T229,OFFSET([4]enemy_skill_sets!$B$1,0,0,COUNTA([4]enemy_skill_sets!$B:$B),MATCH(J$1,[4]enemy_skill_sets!$1:$1,0)-MATCH($T$1,[4]enemy_skill_sets!$1:$1,0)+2),MATCH(J$1,[4]enemy_skill_sets!$1:$1,0)-MATCH($T$1,[4]enemy_skill_sets!$1:$1,0)+2,FALSE)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9" s="5">
        <v>0</v>
      </c>
      <c r="U229" s="7">
        <v>0</v>
      </c>
      <c r="V229" s="7">
        <v>50</v>
      </c>
      <c r="W229" s="7">
        <v>0</v>
      </c>
      <c r="X229" s="26" t="e">
        <f ca="1">VLOOKUP($I229,OFFSET([2]enemies!$A$1,0,0,COUNTA([2]enemies!$A:$A),MATCH(X$1,[2]enemies!$2:$2,0)-MATCH($I$1,[2]enemies!$2:$2,0)+1),MATCH(X$1,[2]enemies!$2:$2,0)-MATCH($I$1,[2]enemies!$2:$2,0)+1,FALSE)</f>
        <v>#N/A</v>
      </c>
      <c r="Y229" s="31">
        <v>101</v>
      </c>
      <c r="Z229" s="5" t="str">
        <f ca="1">IFERROR(VLOOKUP($Y229,OFFSET([3]characters!$A$1,0,0,COUNTA([3]characters!$A:$A),MATCH(Z$1,[3]characters!$2:$2,0)-MATCH("character_id",[3]characters!$2:$2,0)+1),MATCH(Z$1,[3]characters!$2:$2,0)-MATCH("character_id",[3]characters!$2:$2,0)+1,FALSE),"")</f>
        <v/>
      </c>
      <c r="AA229" s="5" t="str">
        <f ca="1">IFERROR(VLOOKUP($Y229,OFFSET([3]characters!$A$1,0,0,COUNTA([3]characters!$A:$A),MATCH(AA$1,[3]characters!$2:$2,0)-MATCH("character_id",[3]characters!$2:$2,0)+1),MATCH(AA$1,[3]characters!$2:$2,0)-MATCH("character_id",[3]characters!$2:$2,0)+1,FALSE),"")</f>
        <v/>
      </c>
      <c r="AB229" s="5" t="str">
        <f ca="1">IFERROR(VLOOKUP($Y229,OFFSET([3]characters!$A$1,0,0,COUNTA([3]characters!$A:$A),MATCH(AB$1,[3]characters!$2:$2,0)-MATCH("character_id",[3]characters!$2:$2,0)+1),MATCH(AB$1,[3]characters!$2:$2,0)-MATCH("character_id",[3]characters!$2:$2,0)+1,FALSE),"")</f>
        <v/>
      </c>
      <c r="AC229" s="8">
        <v>1</v>
      </c>
      <c r="AD229" s="8" t="str">
        <f t="shared" ref="AD229:AD230" ca="1" si="127">AA229</f>
        <v/>
      </c>
      <c r="AE229" s="9">
        <v>20</v>
      </c>
      <c r="AF229" s="38">
        <v>0</v>
      </c>
      <c r="AG229" s="38">
        <v>0</v>
      </c>
      <c r="AH229" s="38">
        <v>0</v>
      </c>
      <c r="AI229" s="38">
        <v>0</v>
      </c>
      <c r="AJ229" s="38">
        <v>1</v>
      </c>
    </row>
    <row r="230" spans="1:36" ht="21" customHeight="1" x14ac:dyDescent="0.15">
      <c r="A230" s="21" t="e">
        <f t="shared" ca="1" si="126"/>
        <v>#N/A</v>
      </c>
      <c r="B230" s="33">
        <v>6</v>
      </c>
      <c r="C230" s="32">
        <v>4</v>
      </c>
      <c r="D230" s="2" t="str">
        <f t="shared" si="124"/>
        <v>6_4</v>
      </c>
      <c r="E230" s="5" t="str">
        <f ca="1">VLOOKUP($B230,OFFSET([1]quests!$A$1,0,0,COUNTA([1]quests!$A:$A),MATCH(E$1,[1]quests!$1:$1,0)-MATCH($B$1,[1]quests!$1:$1,0)+1),MATCH(E$1,[1]quests!$1:$1,0)-MATCH($B$1,[1]quests!$1:$1,0)+1,FALSE)</f>
        <v>6．ドリームパーク</v>
      </c>
      <c r="F230" s="5" t="str">
        <f ca="1">VLOOKUP($D230,OFFSET([1]stages!$A$1,0,0,COUNTA([1]stages!$A:$A),MATCH(F$1,[1]stages!$2:$2,0)-MATCH($D$1,[1]stages!$2:$2,0)+1),MATCH(F$1,[1]stages!$2:$2,0)-MATCH($D$1,[1]stages!$2:$2,0)+1,FALSE)</f>
        <v>6-4. 悪夢へのスイッチ</v>
      </c>
      <c r="G230" s="32">
        <v>3</v>
      </c>
      <c r="H230" s="20" t="str">
        <f t="shared" si="125"/>
        <v>6_4-3</v>
      </c>
      <c r="I230" s="31">
        <v>105</v>
      </c>
      <c r="J230" s="26" t="e">
        <f ca="1">VLOOKUP($I230,OFFSET([2]enemies!$A$1,0,0,COUNTA([2]enemies!$A:$A),MATCH(J$1,[2]enemies!$2:$2,0)-MATCH($I$1,[2]enemies!$2:$2,0)+1),MATCH(J$1,[2]enemies!$2:$2,0)-MATCH($I$1,[2]enemies!$2:$2,0)+1,FALSE)</f>
        <v>#N/A</v>
      </c>
      <c r="K230" s="29" t="e">
        <f ca="1">VLOOKUP($I230,OFFSET([2]enemies!$A$1,0,0,COUNTA([2]enemies!$A:$A),MATCH(K$1,[2]enemies!$2:$2,0)-MATCH($I$1,[2]enemies!$2:$2,0)+1),MATCH(K$1,[2]enemies!$2:$2,0)-MATCH($I$1,[2]enemies!$2:$2,0)+1,FALSE)</f>
        <v>#N/A</v>
      </c>
      <c r="L230" s="29" t="e">
        <f ca="1">VLOOKUP($I230,OFFSET([3]characters!$A$1,0,0,COUNTA([3]characters!$A:$A),MATCH(L$1,[3]characters!$2:$2,0)-MATCH($I$1,[3]characters!$2:$2,0)+1),MATCH(L$1,[3]characters!$2:$2,0)-MATCH($I$1,[3]characters!$2:$2,0)+1,FALSE)</f>
        <v>#N/A</v>
      </c>
      <c r="M230" s="28" t="e">
        <f ca="1">VLOOKUP($I230,OFFSET([3]characters!$A$1,0,0,COUNTA([3]characters!$A:$A),MATCH(M$1,[3]characters!$2:$2,0)-MATCH($I$1,[3]characters!$2:$2,0)+2),MATCH(M$1,[3]characters!$2:$2,0)-MATCH($I$1,[3]characters!$2:$2,0)+2,FALSE)</f>
        <v>#N/A</v>
      </c>
      <c r="N230" s="5" t="e">
        <f ca="1">VLOOKUP($I230,OFFSET([2]enemies!$A$1,0,0,COUNTA([2]enemies!$A:$A),MATCH(N$1,[2]enemies!$2:$2,0)-MATCH($I$1,[2]enemies!$2:$2,0)+1),MATCH(N$1,[2]enemies!$2:$2,0)-MATCH($I$1,[2]enemies!$2:$2,0)+1,FALSE)</f>
        <v>#N/A</v>
      </c>
      <c r="O230" s="6">
        <v>10</v>
      </c>
      <c r="P230" s="43">
        <v>1</v>
      </c>
      <c r="Q230" s="43">
        <v>1</v>
      </c>
      <c r="R230" s="6">
        <v>0</v>
      </c>
      <c r="S230" s="5" t="str">
        <f ca="1">VLOOKUP($T230,OFFSET([4]enemy_skill_sets!$B$1,0,0,COUNTA([4]enemy_skill_sets!$B:$B),MATCH(J$1,[4]enemy_skill_sets!$1:$1,0)-MATCH($T$1,[4]enemy_skill_sets!$1:$1,0)+2),MATCH(J$1,[4]enemy_skill_sets!$1:$1,0)-MATCH($T$1,[4]enemy_skill_sets!$1:$1,0)+2,FALSE)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0" s="5">
        <v>0</v>
      </c>
      <c r="U230" s="7">
        <v>0</v>
      </c>
      <c r="V230" s="7">
        <v>50</v>
      </c>
      <c r="W230" s="7">
        <v>0</v>
      </c>
      <c r="X230" s="26" t="e">
        <f ca="1">VLOOKUP($I230,OFFSET([2]enemies!$A$1,0,0,COUNTA([2]enemies!$A:$A),MATCH(X$1,[2]enemies!$2:$2,0)-MATCH($I$1,[2]enemies!$2:$2,0)+1),MATCH(X$1,[2]enemies!$2:$2,0)-MATCH($I$1,[2]enemies!$2:$2,0)+1,FALSE)</f>
        <v>#N/A</v>
      </c>
      <c r="Y230" s="31">
        <v>105</v>
      </c>
      <c r="Z230" s="5" t="str">
        <f ca="1">IFERROR(VLOOKUP($Y230,OFFSET([3]characters!$A$1,0,0,COUNTA([3]characters!$A:$A),MATCH(Z$1,[3]characters!$2:$2,0)-MATCH("character_id",[3]characters!$2:$2,0)+1),MATCH(Z$1,[3]characters!$2:$2,0)-MATCH("character_id",[3]characters!$2:$2,0)+1,FALSE),"")</f>
        <v/>
      </c>
      <c r="AA230" s="5" t="str">
        <f ca="1">IFERROR(VLOOKUP($Y230,OFFSET([3]characters!$A$1,0,0,COUNTA([3]characters!$A:$A),MATCH(AA$1,[3]characters!$2:$2,0)-MATCH("character_id",[3]characters!$2:$2,0)+1),MATCH(AA$1,[3]characters!$2:$2,0)-MATCH("character_id",[3]characters!$2:$2,0)+1,FALSE),"")</f>
        <v/>
      </c>
      <c r="AB230" s="5" t="str">
        <f ca="1">IFERROR(VLOOKUP($Y230,OFFSET([3]characters!$A$1,0,0,COUNTA([3]characters!$A:$A),MATCH(AB$1,[3]characters!$2:$2,0)-MATCH("character_id",[3]characters!$2:$2,0)+1),MATCH(AB$1,[3]characters!$2:$2,0)-MATCH("character_id",[3]characters!$2:$2,0)+1,FALSE),"")</f>
        <v/>
      </c>
      <c r="AC230" s="8">
        <v>1</v>
      </c>
      <c r="AD230" s="8" t="str">
        <f t="shared" ca="1" si="127"/>
        <v/>
      </c>
      <c r="AE230" s="9">
        <v>20</v>
      </c>
      <c r="AF230" s="38">
        <v>0</v>
      </c>
      <c r="AG230" s="38">
        <v>0</v>
      </c>
      <c r="AH230" s="38">
        <v>0</v>
      </c>
      <c r="AI230" s="38">
        <v>0</v>
      </c>
      <c r="AJ230" s="38">
        <v>1</v>
      </c>
    </row>
    <row r="231" spans="1:36" ht="21" customHeight="1" x14ac:dyDescent="0.15">
      <c r="A231" s="21" t="e">
        <f t="shared" ca="1" si="118"/>
        <v>#N/A</v>
      </c>
      <c r="B231" s="33">
        <v>6</v>
      </c>
      <c r="C231" s="32">
        <v>4</v>
      </c>
      <c r="D231" s="2" t="str">
        <f t="shared" si="124"/>
        <v>6_4</v>
      </c>
      <c r="E231" s="5" t="str">
        <f ca="1">VLOOKUP($B231,OFFSET([1]quests!$A$1,0,0,COUNTA([1]quests!$A:$A),MATCH(E$1,[1]quests!$1:$1,0)-MATCH($B$1,[1]quests!$1:$1,0)+1),MATCH(E$1,[1]quests!$1:$1,0)-MATCH($B$1,[1]quests!$1:$1,0)+1,FALSE)</f>
        <v>6．ドリームパーク</v>
      </c>
      <c r="F231" s="5" t="str">
        <f ca="1">VLOOKUP($D231,OFFSET([1]stages!$A$1,0,0,COUNTA([1]stages!$A:$A),MATCH(F$1,[1]stages!$2:$2,0)-MATCH($D$1,[1]stages!$2:$2,0)+1),MATCH(F$1,[1]stages!$2:$2,0)-MATCH($D$1,[1]stages!$2:$2,0)+1,FALSE)</f>
        <v>6-4. 悪夢へのスイッチ</v>
      </c>
      <c r="G231" s="32">
        <v>3</v>
      </c>
      <c r="H231" s="20" t="str">
        <f t="shared" si="125"/>
        <v>6_4-3</v>
      </c>
      <c r="I231" s="31">
        <v>109</v>
      </c>
      <c r="J231" s="26" t="e">
        <f ca="1">VLOOKUP($I231,OFFSET([2]enemies!$A$1,0,0,COUNTA([2]enemies!$A:$A),MATCH(J$1,[2]enemies!$2:$2,0)-MATCH($I$1,[2]enemies!$2:$2,0)+1),MATCH(J$1,[2]enemies!$2:$2,0)-MATCH($I$1,[2]enemies!$2:$2,0)+1,FALSE)</f>
        <v>#N/A</v>
      </c>
      <c r="K231" s="29" t="e">
        <f ca="1">VLOOKUP($I231,OFFSET([2]enemies!$A$1,0,0,COUNTA([2]enemies!$A:$A),MATCH(K$1,[2]enemies!$2:$2,0)-MATCH($I$1,[2]enemies!$2:$2,0)+1),MATCH(K$1,[2]enemies!$2:$2,0)-MATCH($I$1,[2]enemies!$2:$2,0)+1,FALSE)</f>
        <v>#N/A</v>
      </c>
      <c r="L231" s="29" t="e">
        <f ca="1">VLOOKUP($I231,OFFSET([3]characters!$A$1,0,0,COUNTA([3]characters!$A:$A),MATCH(L$1,[3]characters!$2:$2,0)-MATCH($I$1,[3]characters!$2:$2,0)+1),MATCH(L$1,[3]characters!$2:$2,0)-MATCH($I$1,[3]characters!$2:$2,0)+1,FALSE)</f>
        <v>#N/A</v>
      </c>
      <c r="M231" s="28" t="e">
        <f ca="1">VLOOKUP($I231,OFFSET([3]characters!$A$1,0,0,COUNTA([3]characters!$A:$A),MATCH(M$1,[3]characters!$2:$2,0)-MATCH($I$1,[3]characters!$2:$2,0)+2),MATCH(M$1,[3]characters!$2:$2,0)-MATCH($I$1,[3]characters!$2:$2,0)+2,FALSE)</f>
        <v>#N/A</v>
      </c>
      <c r="N231" s="5" t="e">
        <f ca="1">VLOOKUP($I231,OFFSET([2]enemies!$A$1,0,0,COUNTA([2]enemies!$A:$A),MATCH(N$1,[2]enemies!$2:$2,0)-MATCH($I$1,[2]enemies!$2:$2,0)+1),MATCH(N$1,[2]enemies!$2:$2,0)-MATCH($I$1,[2]enemies!$2:$2,0)+1,FALSE)</f>
        <v>#N/A</v>
      </c>
      <c r="O231" s="6">
        <v>10</v>
      </c>
      <c r="P231" s="43">
        <v>1</v>
      </c>
      <c r="Q231" s="43">
        <v>1</v>
      </c>
      <c r="R231" s="6">
        <v>0</v>
      </c>
      <c r="S231" s="5" t="str">
        <f ca="1">VLOOKUP($T231,OFFSET([4]enemy_skill_sets!$B$1,0,0,COUNTA([4]enemy_skill_sets!$B:$B),MATCH(J$1,[4]enemy_skill_sets!$1:$1,0)-MATCH($T$1,[4]enemy_skill_sets!$1:$1,0)+2),MATCH(J$1,[4]enemy_skill_sets!$1:$1,0)-MATCH($T$1,[4]enemy_skill_sets!$1:$1,0)+2,FALSE)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1" s="5">
        <v>0</v>
      </c>
      <c r="U231" s="7">
        <v>0</v>
      </c>
      <c r="V231" s="7">
        <v>30</v>
      </c>
      <c r="W231" s="7">
        <v>0</v>
      </c>
      <c r="X231" s="26" t="e">
        <f ca="1">VLOOKUP($I231,OFFSET([2]enemies!$A$1,0,0,COUNTA([2]enemies!$A:$A),MATCH(X$1,[2]enemies!$2:$2,0)-MATCH($I$1,[2]enemies!$2:$2,0)+1),MATCH(X$1,[2]enemies!$2:$2,0)-MATCH($I$1,[2]enemies!$2:$2,0)+1,FALSE)</f>
        <v>#N/A</v>
      </c>
      <c r="Y231" s="31">
        <v>109</v>
      </c>
      <c r="Z231" s="5" t="str">
        <f ca="1">IFERROR(VLOOKUP($Y231,OFFSET([3]characters!$A$1,0,0,COUNTA([3]characters!$A:$A),MATCH(Z$1,[3]characters!$2:$2,0)-MATCH("character_id",[3]characters!$2:$2,0)+1),MATCH(Z$1,[3]characters!$2:$2,0)-MATCH("character_id",[3]characters!$2:$2,0)+1,FALSE),"")</f>
        <v/>
      </c>
      <c r="AA231" s="5" t="str">
        <f ca="1">IFERROR(VLOOKUP($Y231,OFFSET([3]characters!$A$1,0,0,COUNTA([3]characters!$A:$A),MATCH(AA$1,[3]characters!$2:$2,0)-MATCH("character_id",[3]characters!$2:$2,0)+1),MATCH(AA$1,[3]characters!$2:$2,0)-MATCH("character_id",[3]characters!$2:$2,0)+1,FALSE),"")</f>
        <v/>
      </c>
      <c r="AB231" s="5" t="str">
        <f ca="1">IFERROR(VLOOKUP($Y231,OFFSET([3]characters!$A$1,0,0,COUNTA([3]characters!$A:$A),MATCH(AB$1,[3]characters!$2:$2,0)-MATCH("character_id",[3]characters!$2:$2,0)+1),MATCH(AB$1,[3]characters!$2:$2,0)-MATCH("character_id",[3]characters!$2:$2,0)+1,FALSE),"")</f>
        <v/>
      </c>
      <c r="AC231" s="8">
        <v>1</v>
      </c>
      <c r="AD231" s="8" t="str">
        <f t="shared" ca="1" si="119"/>
        <v/>
      </c>
      <c r="AE231" s="9">
        <v>20</v>
      </c>
      <c r="AF231" s="38">
        <v>0</v>
      </c>
      <c r="AG231" s="38">
        <v>0</v>
      </c>
      <c r="AH231" s="38">
        <v>0</v>
      </c>
      <c r="AI231" s="38">
        <v>0</v>
      </c>
      <c r="AJ231" s="38">
        <v>1</v>
      </c>
    </row>
    <row r="232" spans="1:36" ht="21" customHeight="1" x14ac:dyDescent="0.15">
      <c r="A232" s="21" t="e">
        <f t="shared" ca="1" si="118"/>
        <v>#N/A</v>
      </c>
      <c r="B232" s="33">
        <v>6</v>
      </c>
      <c r="C232" s="32">
        <v>4</v>
      </c>
      <c r="D232" s="2" t="str">
        <f t="shared" si="124"/>
        <v>6_4</v>
      </c>
      <c r="E232" s="5" t="str">
        <f ca="1">VLOOKUP($B232,OFFSET([1]quests!$A$1,0,0,COUNTA([1]quests!$A:$A),MATCH(E$1,[1]quests!$1:$1,0)-MATCH($B$1,[1]quests!$1:$1,0)+1),MATCH(E$1,[1]quests!$1:$1,0)-MATCH($B$1,[1]quests!$1:$1,0)+1,FALSE)</f>
        <v>6．ドリームパーク</v>
      </c>
      <c r="F232" s="5" t="str">
        <f ca="1">VLOOKUP($D232,OFFSET([1]stages!$A$1,0,0,COUNTA([1]stages!$A:$A),MATCH(F$1,[1]stages!$2:$2,0)-MATCH($D$1,[1]stages!$2:$2,0)+1),MATCH(F$1,[1]stages!$2:$2,0)-MATCH($D$1,[1]stages!$2:$2,0)+1,FALSE)</f>
        <v>6-4. 悪夢へのスイッチ</v>
      </c>
      <c r="G232" s="32">
        <v>3</v>
      </c>
      <c r="H232" s="20" t="str">
        <f t="shared" si="125"/>
        <v>6_4-3</v>
      </c>
      <c r="I232" s="31">
        <v>113</v>
      </c>
      <c r="J232" s="26" t="e">
        <f ca="1">VLOOKUP($I232,OFFSET([2]enemies!$A$1,0,0,COUNTA([2]enemies!$A:$A),MATCH(J$1,[2]enemies!$2:$2,0)-MATCH($I$1,[2]enemies!$2:$2,0)+1),MATCH(J$1,[2]enemies!$2:$2,0)-MATCH($I$1,[2]enemies!$2:$2,0)+1,FALSE)</f>
        <v>#N/A</v>
      </c>
      <c r="K232" s="29" t="e">
        <f ca="1">VLOOKUP($I232,OFFSET([2]enemies!$A$1,0,0,COUNTA([2]enemies!$A:$A),MATCH(K$1,[2]enemies!$2:$2,0)-MATCH($I$1,[2]enemies!$2:$2,0)+1),MATCH(K$1,[2]enemies!$2:$2,0)-MATCH($I$1,[2]enemies!$2:$2,0)+1,FALSE)</f>
        <v>#N/A</v>
      </c>
      <c r="L232" s="29" t="e">
        <f ca="1">VLOOKUP($I232,OFFSET([3]characters!$A$1,0,0,COUNTA([3]characters!$A:$A),MATCH(L$1,[3]characters!$2:$2,0)-MATCH($I$1,[3]characters!$2:$2,0)+1),MATCH(L$1,[3]characters!$2:$2,0)-MATCH($I$1,[3]characters!$2:$2,0)+1,FALSE)</f>
        <v>#N/A</v>
      </c>
      <c r="M232" s="28" t="e">
        <f ca="1">VLOOKUP($I232,OFFSET([3]characters!$A$1,0,0,COUNTA([3]characters!$A:$A),MATCH(M$1,[3]characters!$2:$2,0)-MATCH($I$1,[3]characters!$2:$2,0)+2),MATCH(M$1,[3]characters!$2:$2,0)-MATCH($I$1,[3]characters!$2:$2,0)+2,FALSE)</f>
        <v>#N/A</v>
      </c>
      <c r="N232" s="5" t="e">
        <f ca="1">VLOOKUP($I232,OFFSET([2]enemies!$A$1,0,0,COUNTA([2]enemies!$A:$A),MATCH(N$1,[2]enemies!$2:$2,0)-MATCH($I$1,[2]enemies!$2:$2,0)+1),MATCH(N$1,[2]enemies!$2:$2,0)-MATCH($I$1,[2]enemies!$2:$2,0)+1,FALSE)</f>
        <v>#N/A</v>
      </c>
      <c r="O232" s="6">
        <v>10</v>
      </c>
      <c r="P232" s="43">
        <v>1</v>
      </c>
      <c r="Q232" s="43">
        <v>1</v>
      </c>
      <c r="R232" s="6">
        <v>0</v>
      </c>
      <c r="S232" s="5" t="str">
        <f ca="1">VLOOKUP($T232,OFFSET([4]enemy_skill_sets!$B$1,0,0,COUNTA([4]enemy_skill_sets!$B:$B),MATCH(J$1,[4]enemy_skill_sets!$1:$1,0)-MATCH($T$1,[4]enemy_skill_sets!$1:$1,0)+2),MATCH(J$1,[4]enemy_skill_sets!$1:$1,0)-MATCH($T$1,[4]enemy_skill_sets!$1:$1,0)+2,FALSE)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2" s="5">
        <v>0</v>
      </c>
      <c r="U232" s="7">
        <v>0</v>
      </c>
      <c r="V232" s="7">
        <v>30</v>
      </c>
      <c r="W232" s="7">
        <v>0</v>
      </c>
      <c r="X232" s="26" t="e">
        <f ca="1">VLOOKUP($I232,OFFSET([2]enemies!$A$1,0,0,COUNTA([2]enemies!$A:$A),MATCH(X$1,[2]enemies!$2:$2,0)-MATCH($I$1,[2]enemies!$2:$2,0)+1),MATCH(X$1,[2]enemies!$2:$2,0)-MATCH($I$1,[2]enemies!$2:$2,0)+1,FALSE)</f>
        <v>#N/A</v>
      </c>
      <c r="Y232" s="31">
        <v>113</v>
      </c>
      <c r="Z232" s="5" t="str">
        <f ca="1">IFERROR(VLOOKUP($Y232,OFFSET([3]characters!$A$1,0,0,COUNTA([3]characters!$A:$A),MATCH(Z$1,[3]characters!$2:$2,0)-MATCH("character_id",[3]characters!$2:$2,0)+1),MATCH(Z$1,[3]characters!$2:$2,0)-MATCH("character_id",[3]characters!$2:$2,0)+1,FALSE),"")</f>
        <v/>
      </c>
      <c r="AA232" s="5" t="str">
        <f ca="1">IFERROR(VLOOKUP($Y232,OFFSET([3]characters!$A$1,0,0,COUNTA([3]characters!$A:$A),MATCH(AA$1,[3]characters!$2:$2,0)-MATCH("character_id",[3]characters!$2:$2,0)+1),MATCH(AA$1,[3]characters!$2:$2,0)-MATCH("character_id",[3]characters!$2:$2,0)+1,FALSE),"")</f>
        <v/>
      </c>
      <c r="AB232" s="5" t="str">
        <f ca="1">IFERROR(VLOOKUP($Y232,OFFSET([3]characters!$A$1,0,0,COUNTA([3]characters!$A:$A),MATCH(AB$1,[3]characters!$2:$2,0)-MATCH("character_id",[3]characters!$2:$2,0)+1),MATCH(AB$1,[3]characters!$2:$2,0)-MATCH("character_id",[3]characters!$2:$2,0)+1,FALSE),"")</f>
        <v/>
      </c>
      <c r="AC232" s="8">
        <v>1</v>
      </c>
      <c r="AD232" s="8" t="str">
        <f t="shared" ca="1" si="119"/>
        <v/>
      </c>
      <c r="AE232" s="9">
        <v>20</v>
      </c>
      <c r="AF232" s="38">
        <v>0</v>
      </c>
      <c r="AG232" s="38">
        <v>0</v>
      </c>
      <c r="AH232" s="38">
        <v>0</v>
      </c>
      <c r="AI232" s="38">
        <v>0</v>
      </c>
      <c r="AJ232" s="38">
        <v>1</v>
      </c>
    </row>
    <row r="233" spans="1:36" ht="21" customHeight="1" x14ac:dyDescent="0.15">
      <c r="A233" s="21" t="e">
        <f t="shared" ca="1" si="118"/>
        <v>#N/A</v>
      </c>
      <c r="B233" s="33">
        <v>6</v>
      </c>
      <c r="C233" s="32">
        <v>4</v>
      </c>
      <c r="D233" s="2" t="str">
        <f t="shared" si="124"/>
        <v>6_4</v>
      </c>
      <c r="E233" s="5" t="str">
        <f ca="1">VLOOKUP($B233,OFFSET([1]quests!$A$1,0,0,COUNTA([1]quests!$A:$A),MATCH(E$1,[1]quests!$1:$1,0)-MATCH($B$1,[1]quests!$1:$1,0)+1),MATCH(E$1,[1]quests!$1:$1,0)-MATCH($B$1,[1]quests!$1:$1,0)+1,FALSE)</f>
        <v>6．ドリームパーク</v>
      </c>
      <c r="F233" s="5" t="str">
        <f ca="1">VLOOKUP($D233,OFFSET([1]stages!$A$1,0,0,COUNTA([1]stages!$A:$A),MATCH(F$1,[1]stages!$2:$2,0)-MATCH($D$1,[1]stages!$2:$2,0)+1),MATCH(F$1,[1]stages!$2:$2,0)-MATCH($D$1,[1]stages!$2:$2,0)+1,FALSE)</f>
        <v>6-4. 悪夢へのスイッチ</v>
      </c>
      <c r="G233" s="32">
        <v>4</v>
      </c>
      <c r="H233" s="20" t="str">
        <f t="shared" si="125"/>
        <v>6_4-4</v>
      </c>
      <c r="I233" s="31">
        <v>52</v>
      </c>
      <c r="J233" s="26" t="e">
        <f ca="1">VLOOKUP($I233,OFFSET([2]enemies!$A$1,0,0,COUNTA([2]enemies!$A:$A),MATCH(J$1,[2]enemies!$2:$2,0)-MATCH($I$1,[2]enemies!$2:$2,0)+1),MATCH(J$1,[2]enemies!$2:$2,0)-MATCH($I$1,[2]enemies!$2:$2,0)+1,FALSE)</f>
        <v>#N/A</v>
      </c>
      <c r="K233" s="29" t="e">
        <f ca="1">VLOOKUP($I233,OFFSET([2]enemies!$A$1,0,0,COUNTA([2]enemies!$A:$A),MATCH(K$1,[2]enemies!$2:$2,0)-MATCH($I$1,[2]enemies!$2:$2,0)+1),MATCH(K$1,[2]enemies!$2:$2,0)-MATCH($I$1,[2]enemies!$2:$2,0)+1,FALSE)</f>
        <v>#N/A</v>
      </c>
      <c r="L233" s="29" t="e">
        <f ca="1">VLOOKUP($I233,OFFSET([3]characters!$A$1,0,0,COUNTA([3]characters!$A:$A),MATCH(L$1,[3]characters!$2:$2,0)-MATCH($I$1,[3]characters!$2:$2,0)+1),MATCH(L$1,[3]characters!$2:$2,0)-MATCH($I$1,[3]characters!$2:$2,0)+1,FALSE)</f>
        <v>#N/A</v>
      </c>
      <c r="M233" s="28" t="e">
        <f ca="1">VLOOKUP($I233,OFFSET([3]characters!$A$1,0,0,COUNTA([3]characters!$A:$A),MATCH(M$1,[3]characters!$2:$2,0)-MATCH($I$1,[3]characters!$2:$2,0)+2),MATCH(M$1,[3]characters!$2:$2,0)-MATCH($I$1,[3]characters!$2:$2,0)+2,FALSE)</f>
        <v>#N/A</v>
      </c>
      <c r="N233" s="5" t="e">
        <f ca="1">VLOOKUP($I233,OFFSET([2]enemies!$A$1,0,0,COUNTA([2]enemies!$A:$A),MATCH(N$1,[2]enemies!$2:$2,0)-MATCH($I$1,[2]enemies!$2:$2,0)+1),MATCH(N$1,[2]enemies!$2:$2,0)-MATCH($I$1,[2]enemies!$2:$2,0)+1,FALSE)</f>
        <v>#N/A</v>
      </c>
      <c r="O233" s="6">
        <v>15</v>
      </c>
      <c r="P233" s="43">
        <v>1</v>
      </c>
      <c r="Q233" s="43">
        <v>1</v>
      </c>
      <c r="R233" s="6">
        <v>0</v>
      </c>
      <c r="S233" s="5" t="str">
        <f ca="1">VLOOKUP($T233,OFFSET([4]enemy_skill_sets!$B$1,0,0,COUNTA([4]enemy_skill_sets!$B:$B),MATCH(J$1,[4]enemy_skill_sets!$1:$1,0)-MATCH($T$1,[4]enemy_skill_sets!$1:$1,0)+2),MATCH(J$1,[4]enemy_skill_sets!$1:$1,0)-MATCH($T$1,[4]enemy_skill_sets!$1:$1,0)+2,FALSE)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33" s="5">
        <v>51</v>
      </c>
      <c r="U233" s="7">
        <v>1</v>
      </c>
      <c r="V233" s="7">
        <v>100</v>
      </c>
      <c r="W233" s="7">
        <v>1</v>
      </c>
      <c r="X233" s="26" t="e">
        <f ca="1">VLOOKUP($I233,OFFSET([2]enemies!$A$1,0,0,COUNTA([2]enemies!$A:$A),MATCH(X$1,[2]enemies!$2:$2,0)-MATCH($I$1,[2]enemies!$2:$2,0)+1),MATCH(X$1,[2]enemies!$2:$2,0)-MATCH($I$1,[2]enemies!$2:$2,0)+1,FALSE)</f>
        <v>#N/A</v>
      </c>
      <c r="Y233" s="31">
        <v>51</v>
      </c>
      <c r="Z233" s="5" t="str">
        <f ca="1">IFERROR(VLOOKUP($Y233,OFFSET([3]characters!$A$1,0,0,COUNTA([3]characters!$A:$A),MATCH(Z$1,[3]characters!$2:$2,0)-MATCH("character_id",[3]characters!$2:$2,0)+1),MATCH(Z$1,[3]characters!$2:$2,0)-MATCH("character_id",[3]characters!$2:$2,0)+1,FALSE),"")</f>
        <v/>
      </c>
      <c r="AA233" s="5" t="str">
        <f ca="1">IFERROR(VLOOKUP($Y233,OFFSET([3]characters!$A$1,0,0,COUNTA([3]characters!$A:$A),MATCH(AA$1,[3]characters!$2:$2,0)-MATCH("character_id",[3]characters!$2:$2,0)+1),MATCH(AA$1,[3]characters!$2:$2,0)-MATCH("character_id",[3]characters!$2:$2,0)+1,FALSE),"")</f>
        <v/>
      </c>
      <c r="AB233" s="5" t="str">
        <f ca="1">IFERROR(VLOOKUP($Y233,OFFSET([3]characters!$A$1,0,0,COUNTA([3]characters!$A:$A),MATCH(AB$1,[3]characters!$2:$2,0)-MATCH("character_id",[3]characters!$2:$2,0)+1),MATCH(AB$1,[3]characters!$2:$2,0)-MATCH("character_id",[3]characters!$2:$2,0)+1,FALSE),"")</f>
        <v/>
      </c>
      <c r="AC233" s="8">
        <v>1</v>
      </c>
      <c r="AD233" s="8" t="str">
        <f t="shared" ca="1" si="119"/>
        <v/>
      </c>
      <c r="AE233" s="9">
        <v>0</v>
      </c>
      <c r="AF233" s="38">
        <v>0</v>
      </c>
      <c r="AG233" s="38">
        <v>0</v>
      </c>
      <c r="AH233" s="38">
        <v>0</v>
      </c>
      <c r="AI233" s="38">
        <v>0</v>
      </c>
      <c r="AJ233" s="38">
        <v>1</v>
      </c>
    </row>
    <row r="234" spans="1:36" ht="21" customHeight="1" x14ac:dyDescent="0.15">
      <c r="A234" s="21" t="e">
        <f t="shared" ref="A234:A271" ca="1" si="128">B234&amp;"_"&amp;C234&amp;"-"&amp;G234&amp;"/"&amp;I234&amp;"&lt;lv"&amp;O234&amp;"&gt;s"&amp;X234</f>
        <v>#N/A</v>
      </c>
      <c r="B234" s="33">
        <v>6</v>
      </c>
      <c r="C234" s="32">
        <v>5</v>
      </c>
      <c r="D234" s="2" t="str">
        <f t="shared" si="124"/>
        <v>6_5</v>
      </c>
      <c r="E234" s="5" t="str">
        <f ca="1">VLOOKUP($B234,OFFSET([1]quests!$A$1,0,0,COUNTA([1]quests!$A:$A),MATCH(E$1,[1]quests!$1:$1,0)-MATCH($B$1,[1]quests!$1:$1,0)+1),MATCH(E$1,[1]quests!$1:$1,0)-MATCH($B$1,[1]quests!$1:$1,0)+1,FALSE)</f>
        <v>6．ドリームパーク</v>
      </c>
      <c r="F234" s="5" t="str">
        <f ca="1">VLOOKUP($D234,OFFSET([1]stages!$A$1,0,0,COUNTA([1]stages!$A:$A),MATCH(F$1,[1]stages!$2:$2,0)-MATCH($D$1,[1]stages!$2:$2,0)+1),MATCH(F$1,[1]stages!$2:$2,0)-MATCH($D$1,[1]stages!$2:$2,0)+1,FALSE)</f>
        <v>6-5. 来園者の末路</v>
      </c>
      <c r="G234" s="32">
        <v>1</v>
      </c>
      <c r="H234" s="20" t="str">
        <f t="shared" si="125"/>
        <v>6_5-1</v>
      </c>
      <c r="I234" s="31">
        <v>1</v>
      </c>
      <c r="J234" s="26" t="e">
        <f ca="1">VLOOKUP($I234,OFFSET([2]enemies!$A$1,0,0,COUNTA([2]enemies!$A:$A),MATCH(J$1,[2]enemies!$2:$2,0)-MATCH($I$1,[2]enemies!$2:$2,0)+1),MATCH(J$1,[2]enemies!$2:$2,0)-MATCH($I$1,[2]enemies!$2:$2,0)+1,FALSE)</f>
        <v>#N/A</v>
      </c>
      <c r="K234" s="29" t="e">
        <f ca="1">VLOOKUP($I234,OFFSET([2]enemies!$A$1,0,0,COUNTA([2]enemies!$A:$A),MATCH(K$1,[2]enemies!$2:$2,0)-MATCH($I$1,[2]enemies!$2:$2,0)+1),MATCH(K$1,[2]enemies!$2:$2,0)-MATCH($I$1,[2]enemies!$2:$2,0)+1,FALSE)</f>
        <v>#N/A</v>
      </c>
      <c r="L234" s="29" t="e">
        <f ca="1">VLOOKUP($I234,OFFSET([3]characters!$A$1,0,0,COUNTA([3]characters!$A:$A),MATCH(L$1,[3]characters!$2:$2,0)-MATCH($I$1,[3]characters!$2:$2,0)+1),MATCH(L$1,[3]characters!$2:$2,0)-MATCH($I$1,[3]characters!$2:$2,0)+1,FALSE)</f>
        <v>#N/A</v>
      </c>
      <c r="M234" s="28" t="e">
        <f ca="1">VLOOKUP($I234,OFFSET([3]characters!$A$1,0,0,COUNTA([3]characters!$A:$A),MATCH(M$1,[3]characters!$2:$2,0)-MATCH($I$1,[3]characters!$2:$2,0)+2),MATCH(M$1,[3]characters!$2:$2,0)-MATCH($I$1,[3]characters!$2:$2,0)+2,FALSE)</f>
        <v>#N/A</v>
      </c>
      <c r="N234" s="5" t="e">
        <f ca="1">VLOOKUP($I234,OFFSET([2]enemies!$A$1,0,0,COUNTA([2]enemies!$A:$A),MATCH(N$1,[2]enemies!$2:$2,0)-MATCH($I$1,[2]enemies!$2:$2,0)+1),MATCH(N$1,[2]enemies!$2:$2,0)-MATCH($I$1,[2]enemies!$2:$2,0)+1,FALSE)</f>
        <v>#N/A</v>
      </c>
      <c r="O234" s="6">
        <v>11</v>
      </c>
      <c r="P234" s="43">
        <v>1</v>
      </c>
      <c r="Q234" s="43">
        <v>1</v>
      </c>
      <c r="R234" s="6">
        <v>0</v>
      </c>
      <c r="S234" s="5" t="str">
        <f ca="1">VLOOKUP($T234,OFFSET([4]enemy_skill_sets!$B$1,0,0,COUNTA([4]enemy_skill_sets!$B:$B),MATCH(J$1,[4]enemy_skill_sets!$1:$1,0)-MATCH($T$1,[4]enemy_skill_sets!$1:$1,0)+2),MATCH(J$1,[4]enemy_skill_sets!$1:$1,0)-MATCH($T$1,[4]enemy_skill_sets!$1:$1,0)+2,FALSE)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4" s="5">
        <v>0</v>
      </c>
      <c r="U234" s="7">
        <v>0</v>
      </c>
      <c r="V234" s="7">
        <v>100</v>
      </c>
      <c r="W234" s="7">
        <v>0</v>
      </c>
      <c r="X234" s="26" t="e">
        <f ca="1">VLOOKUP($I234,OFFSET([2]enemies!$A$1,0,0,COUNTA([2]enemies!$A:$A),MATCH(X$1,[2]enemies!$2:$2,0)-MATCH($I$1,[2]enemies!$2:$2,0)+1),MATCH(X$1,[2]enemies!$2:$2,0)-MATCH($I$1,[2]enemies!$2:$2,0)+1,FALSE)</f>
        <v>#N/A</v>
      </c>
      <c r="Y234" s="31">
        <v>1</v>
      </c>
      <c r="Z234" s="5" t="str">
        <f ca="1">IFERROR(VLOOKUP($Y234,OFFSET([3]characters!$A$1,0,0,COUNTA([3]characters!$A:$A),MATCH(Z$1,[3]characters!$2:$2,0)-MATCH("character_id",[3]characters!$2:$2,0)+1),MATCH(Z$1,[3]characters!$2:$2,0)-MATCH("character_id",[3]characters!$2:$2,0)+1,FALSE),"")</f>
        <v/>
      </c>
      <c r="AA234" s="5" t="str">
        <f ca="1">IFERROR(VLOOKUP($Y234,OFFSET([3]characters!$A$1,0,0,COUNTA([3]characters!$A:$A),MATCH(AA$1,[3]characters!$2:$2,0)-MATCH("character_id",[3]characters!$2:$2,0)+1),MATCH(AA$1,[3]characters!$2:$2,0)-MATCH("character_id",[3]characters!$2:$2,0)+1,FALSE),"")</f>
        <v/>
      </c>
      <c r="AB234" s="5" t="str">
        <f ca="1">IFERROR(VLOOKUP($Y234,OFFSET([3]characters!$A$1,0,0,COUNTA([3]characters!$A:$A),MATCH(AB$1,[3]characters!$2:$2,0)-MATCH("character_id",[3]characters!$2:$2,0)+1),MATCH(AB$1,[3]characters!$2:$2,0)-MATCH("character_id",[3]characters!$2:$2,0)+1,FALSE),"")</f>
        <v/>
      </c>
      <c r="AC234" s="8">
        <v>5</v>
      </c>
      <c r="AD234" s="8" t="str">
        <f t="shared" ca="1" si="119"/>
        <v/>
      </c>
      <c r="AE234" s="9">
        <v>30</v>
      </c>
      <c r="AF234" s="38">
        <v>0</v>
      </c>
      <c r="AG234" s="38">
        <v>0</v>
      </c>
      <c r="AH234" s="38">
        <v>0</v>
      </c>
      <c r="AI234" s="38">
        <v>0</v>
      </c>
      <c r="AJ234" s="38">
        <v>1</v>
      </c>
    </row>
    <row r="235" spans="1:36" ht="21" customHeight="1" x14ac:dyDescent="0.15">
      <c r="A235" s="21" t="e">
        <f t="shared" ca="1" si="128"/>
        <v>#N/A</v>
      </c>
      <c r="B235" s="33">
        <v>6</v>
      </c>
      <c r="C235" s="32">
        <v>5</v>
      </c>
      <c r="D235" s="2" t="str">
        <f t="shared" si="124"/>
        <v>6_5</v>
      </c>
      <c r="E235" s="5" t="str">
        <f ca="1">VLOOKUP($B235,OFFSET([1]quests!$A$1,0,0,COUNTA([1]quests!$A:$A),MATCH(E$1,[1]quests!$1:$1,0)-MATCH($B$1,[1]quests!$1:$1,0)+1),MATCH(E$1,[1]quests!$1:$1,0)-MATCH($B$1,[1]quests!$1:$1,0)+1,FALSE)</f>
        <v>6．ドリームパーク</v>
      </c>
      <c r="F235" s="5" t="str">
        <f ca="1">VLOOKUP($D235,OFFSET([1]stages!$A$1,0,0,COUNTA([1]stages!$A:$A),MATCH(F$1,[1]stages!$2:$2,0)-MATCH($D$1,[1]stages!$2:$2,0)+1),MATCH(F$1,[1]stages!$2:$2,0)-MATCH($D$1,[1]stages!$2:$2,0)+1,FALSE)</f>
        <v>6-5. 来園者の末路</v>
      </c>
      <c r="G235" s="32">
        <v>1</v>
      </c>
      <c r="H235" s="20" t="str">
        <f t="shared" si="125"/>
        <v>6_5-1</v>
      </c>
      <c r="I235" s="31">
        <v>3</v>
      </c>
      <c r="J235" s="26" t="e">
        <f ca="1">VLOOKUP($I235,OFFSET([2]enemies!$A$1,0,0,COUNTA([2]enemies!$A:$A),MATCH(J$1,[2]enemies!$2:$2,0)-MATCH($I$1,[2]enemies!$2:$2,0)+1),MATCH(J$1,[2]enemies!$2:$2,0)-MATCH($I$1,[2]enemies!$2:$2,0)+1,FALSE)</f>
        <v>#N/A</v>
      </c>
      <c r="K235" s="29" t="e">
        <f ca="1">VLOOKUP($I235,OFFSET([2]enemies!$A$1,0,0,COUNTA([2]enemies!$A:$A),MATCH(K$1,[2]enemies!$2:$2,0)-MATCH($I$1,[2]enemies!$2:$2,0)+1),MATCH(K$1,[2]enemies!$2:$2,0)-MATCH($I$1,[2]enemies!$2:$2,0)+1,FALSE)</f>
        <v>#N/A</v>
      </c>
      <c r="L235" s="29" t="e">
        <f ca="1">VLOOKUP($I235,OFFSET([3]characters!$A$1,0,0,COUNTA([3]characters!$A:$A),MATCH(L$1,[3]characters!$2:$2,0)-MATCH($I$1,[3]characters!$2:$2,0)+1),MATCH(L$1,[3]characters!$2:$2,0)-MATCH($I$1,[3]characters!$2:$2,0)+1,FALSE)</f>
        <v>#N/A</v>
      </c>
      <c r="M235" s="28" t="e">
        <f ca="1">VLOOKUP($I235,OFFSET([3]characters!$A$1,0,0,COUNTA([3]characters!$A:$A),MATCH(M$1,[3]characters!$2:$2,0)-MATCH($I$1,[3]characters!$2:$2,0)+2),MATCH(M$1,[3]characters!$2:$2,0)-MATCH($I$1,[3]characters!$2:$2,0)+2,FALSE)</f>
        <v>#N/A</v>
      </c>
      <c r="N235" s="5" t="e">
        <f ca="1">VLOOKUP($I235,OFFSET([2]enemies!$A$1,0,0,COUNTA([2]enemies!$A:$A),MATCH(N$1,[2]enemies!$2:$2,0)-MATCH($I$1,[2]enemies!$2:$2,0)+1),MATCH(N$1,[2]enemies!$2:$2,0)-MATCH($I$1,[2]enemies!$2:$2,0)+1,FALSE)</f>
        <v>#N/A</v>
      </c>
      <c r="O235" s="6">
        <v>11</v>
      </c>
      <c r="P235" s="43">
        <v>1</v>
      </c>
      <c r="Q235" s="43">
        <v>1</v>
      </c>
      <c r="R235" s="6">
        <v>0</v>
      </c>
      <c r="S235" s="5" t="str">
        <f ca="1">VLOOKUP($T235,OFFSET([4]enemy_skill_sets!$B$1,0,0,COUNTA([4]enemy_skill_sets!$B:$B),MATCH(J$1,[4]enemy_skill_sets!$1:$1,0)-MATCH($T$1,[4]enemy_skill_sets!$1:$1,0)+2),MATCH(J$1,[4]enemy_skill_sets!$1:$1,0)-MATCH($T$1,[4]enemy_skill_sets!$1:$1,0)+2,FALSE)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5" s="5">
        <v>0</v>
      </c>
      <c r="U235" s="7">
        <v>0</v>
      </c>
      <c r="V235" s="7">
        <v>100</v>
      </c>
      <c r="W235" s="7">
        <v>0</v>
      </c>
      <c r="X235" s="26" t="e">
        <f ca="1">VLOOKUP($I235,OFFSET([2]enemies!$A$1,0,0,COUNTA([2]enemies!$A:$A),MATCH(X$1,[2]enemies!$2:$2,0)-MATCH($I$1,[2]enemies!$2:$2,0)+1),MATCH(X$1,[2]enemies!$2:$2,0)-MATCH($I$1,[2]enemies!$2:$2,0)+1,FALSE)</f>
        <v>#N/A</v>
      </c>
      <c r="Y235" s="31">
        <v>3</v>
      </c>
      <c r="Z235" s="5" t="str">
        <f ca="1">IFERROR(VLOOKUP($Y235,OFFSET([3]characters!$A$1,0,0,COUNTA([3]characters!$A:$A),MATCH(Z$1,[3]characters!$2:$2,0)-MATCH("character_id",[3]characters!$2:$2,0)+1),MATCH(Z$1,[3]characters!$2:$2,0)-MATCH("character_id",[3]characters!$2:$2,0)+1,FALSE),"")</f>
        <v/>
      </c>
      <c r="AA235" s="5" t="str">
        <f ca="1">IFERROR(VLOOKUP($Y235,OFFSET([3]characters!$A$1,0,0,COUNTA([3]characters!$A:$A),MATCH(AA$1,[3]characters!$2:$2,0)-MATCH("character_id",[3]characters!$2:$2,0)+1),MATCH(AA$1,[3]characters!$2:$2,0)-MATCH("character_id",[3]characters!$2:$2,0)+1,FALSE),"")</f>
        <v/>
      </c>
      <c r="AB235" s="5" t="str">
        <f ca="1">IFERROR(VLOOKUP($Y235,OFFSET([3]characters!$A$1,0,0,COUNTA([3]characters!$A:$A),MATCH(AB$1,[3]characters!$2:$2,0)-MATCH("character_id",[3]characters!$2:$2,0)+1),MATCH(AB$1,[3]characters!$2:$2,0)-MATCH("character_id",[3]characters!$2:$2,0)+1,FALSE),"")</f>
        <v/>
      </c>
      <c r="AC235" s="8">
        <v>5</v>
      </c>
      <c r="AD235" s="8" t="str">
        <f t="shared" ca="1" si="119"/>
        <v/>
      </c>
      <c r="AE235" s="9">
        <v>30</v>
      </c>
      <c r="AF235" s="38">
        <v>0</v>
      </c>
      <c r="AG235" s="38">
        <v>0</v>
      </c>
      <c r="AH235" s="38">
        <v>0</v>
      </c>
      <c r="AI235" s="38">
        <v>0</v>
      </c>
      <c r="AJ235" s="38">
        <v>1</v>
      </c>
    </row>
    <row r="236" spans="1:36" ht="21" customHeight="1" x14ac:dyDescent="0.15">
      <c r="A236" s="21" t="e">
        <f t="shared" ca="1" si="128"/>
        <v>#N/A</v>
      </c>
      <c r="B236" s="33">
        <v>6</v>
      </c>
      <c r="C236" s="32">
        <v>5</v>
      </c>
      <c r="D236" s="2" t="str">
        <f t="shared" si="124"/>
        <v>6_5</v>
      </c>
      <c r="E236" s="5" t="str">
        <f ca="1">VLOOKUP($B236,OFFSET([1]quests!$A$1,0,0,COUNTA([1]quests!$A:$A),MATCH(E$1,[1]quests!$1:$1,0)-MATCH($B$1,[1]quests!$1:$1,0)+1),MATCH(E$1,[1]quests!$1:$1,0)-MATCH($B$1,[1]quests!$1:$1,0)+1,FALSE)</f>
        <v>6．ドリームパーク</v>
      </c>
      <c r="F236" s="5" t="str">
        <f ca="1">VLOOKUP($D236,OFFSET([1]stages!$A$1,0,0,COUNTA([1]stages!$A:$A),MATCH(F$1,[1]stages!$2:$2,0)-MATCH($D$1,[1]stages!$2:$2,0)+1),MATCH(F$1,[1]stages!$2:$2,0)-MATCH($D$1,[1]stages!$2:$2,0)+1,FALSE)</f>
        <v>6-5. 来園者の末路</v>
      </c>
      <c r="G236" s="32">
        <v>1</v>
      </c>
      <c r="H236" s="20" t="str">
        <f t="shared" si="125"/>
        <v>6_5-1</v>
      </c>
      <c r="I236" s="31">
        <v>5</v>
      </c>
      <c r="J236" s="26" t="e">
        <f ca="1">VLOOKUP($I236,OFFSET([2]enemies!$A$1,0,0,COUNTA([2]enemies!$A:$A),MATCH(J$1,[2]enemies!$2:$2,0)-MATCH($I$1,[2]enemies!$2:$2,0)+1),MATCH(J$1,[2]enemies!$2:$2,0)-MATCH($I$1,[2]enemies!$2:$2,0)+1,FALSE)</f>
        <v>#N/A</v>
      </c>
      <c r="K236" s="29" t="e">
        <f ca="1">VLOOKUP($I236,OFFSET([2]enemies!$A$1,0,0,COUNTA([2]enemies!$A:$A),MATCH(K$1,[2]enemies!$2:$2,0)-MATCH($I$1,[2]enemies!$2:$2,0)+1),MATCH(K$1,[2]enemies!$2:$2,0)-MATCH($I$1,[2]enemies!$2:$2,0)+1,FALSE)</f>
        <v>#N/A</v>
      </c>
      <c r="L236" s="29" t="e">
        <f ca="1">VLOOKUP($I236,OFFSET([3]characters!$A$1,0,0,COUNTA([3]characters!$A:$A),MATCH(L$1,[3]characters!$2:$2,0)-MATCH($I$1,[3]characters!$2:$2,0)+1),MATCH(L$1,[3]characters!$2:$2,0)-MATCH($I$1,[3]characters!$2:$2,0)+1,FALSE)</f>
        <v>#N/A</v>
      </c>
      <c r="M236" s="28" t="e">
        <f ca="1">VLOOKUP($I236,OFFSET([3]characters!$A$1,0,0,COUNTA([3]characters!$A:$A),MATCH(M$1,[3]characters!$2:$2,0)-MATCH($I$1,[3]characters!$2:$2,0)+2),MATCH(M$1,[3]characters!$2:$2,0)-MATCH($I$1,[3]characters!$2:$2,0)+2,FALSE)</f>
        <v>#N/A</v>
      </c>
      <c r="N236" s="5" t="e">
        <f ca="1">VLOOKUP($I236,OFFSET([2]enemies!$A$1,0,0,COUNTA([2]enemies!$A:$A),MATCH(N$1,[2]enemies!$2:$2,0)-MATCH($I$1,[2]enemies!$2:$2,0)+1),MATCH(N$1,[2]enemies!$2:$2,0)-MATCH($I$1,[2]enemies!$2:$2,0)+1,FALSE)</f>
        <v>#N/A</v>
      </c>
      <c r="O236" s="6">
        <v>11</v>
      </c>
      <c r="P236" s="43">
        <v>1</v>
      </c>
      <c r="Q236" s="43">
        <v>1</v>
      </c>
      <c r="R236" s="6">
        <v>0</v>
      </c>
      <c r="S236" s="5" t="str">
        <f ca="1">VLOOKUP($T236,OFFSET([4]enemy_skill_sets!$B$1,0,0,COUNTA([4]enemy_skill_sets!$B:$B),MATCH(J$1,[4]enemy_skill_sets!$1:$1,0)-MATCH($T$1,[4]enemy_skill_sets!$1:$1,0)+2),MATCH(J$1,[4]enemy_skill_sets!$1:$1,0)-MATCH($T$1,[4]enemy_skill_sets!$1:$1,0)+2,FALSE)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6" s="5">
        <v>0</v>
      </c>
      <c r="U236" s="7">
        <v>0</v>
      </c>
      <c r="V236" s="7">
        <v>100</v>
      </c>
      <c r="W236" s="7">
        <v>0</v>
      </c>
      <c r="X236" s="26" t="e">
        <f ca="1">VLOOKUP($I236,OFFSET([2]enemies!$A$1,0,0,COUNTA([2]enemies!$A:$A),MATCH(X$1,[2]enemies!$2:$2,0)-MATCH($I$1,[2]enemies!$2:$2,0)+1),MATCH(X$1,[2]enemies!$2:$2,0)-MATCH($I$1,[2]enemies!$2:$2,0)+1,FALSE)</f>
        <v>#N/A</v>
      </c>
      <c r="Y236" s="31">
        <v>5</v>
      </c>
      <c r="Z236" s="5" t="str">
        <f ca="1">IFERROR(VLOOKUP($Y236,OFFSET([3]characters!$A$1,0,0,COUNTA([3]characters!$A:$A),MATCH(Z$1,[3]characters!$2:$2,0)-MATCH("character_id",[3]characters!$2:$2,0)+1),MATCH(Z$1,[3]characters!$2:$2,0)-MATCH("character_id",[3]characters!$2:$2,0)+1,FALSE),"")</f>
        <v/>
      </c>
      <c r="AA236" s="5" t="str">
        <f ca="1">IFERROR(VLOOKUP($Y236,OFFSET([3]characters!$A$1,0,0,COUNTA([3]characters!$A:$A),MATCH(AA$1,[3]characters!$2:$2,0)-MATCH("character_id",[3]characters!$2:$2,0)+1),MATCH(AA$1,[3]characters!$2:$2,0)-MATCH("character_id",[3]characters!$2:$2,0)+1,FALSE),"")</f>
        <v/>
      </c>
      <c r="AB236" s="5" t="str">
        <f ca="1">IFERROR(VLOOKUP($Y236,OFFSET([3]characters!$A$1,0,0,COUNTA([3]characters!$A:$A),MATCH(AB$1,[3]characters!$2:$2,0)-MATCH("character_id",[3]characters!$2:$2,0)+1),MATCH(AB$1,[3]characters!$2:$2,0)-MATCH("character_id",[3]characters!$2:$2,0)+1,FALSE),"")</f>
        <v/>
      </c>
      <c r="AC236" s="8">
        <v>5</v>
      </c>
      <c r="AD236" s="8" t="str">
        <f t="shared" ca="1" si="119"/>
        <v/>
      </c>
      <c r="AE236" s="9">
        <v>30</v>
      </c>
      <c r="AF236" s="38">
        <v>0</v>
      </c>
      <c r="AG236" s="38">
        <v>0</v>
      </c>
      <c r="AH236" s="38">
        <v>0</v>
      </c>
      <c r="AI236" s="38">
        <v>0</v>
      </c>
      <c r="AJ236" s="38">
        <v>1</v>
      </c>
    </row>
    <row r="237" spans="1:36" ht="21" customHeight="1" x14ac:dyDescent="0.15">
      <c r="A237" s="21" t="e">
        <f t="shared" ca="1" si="128"/>
        <v>#N/A</v>
      </c>
      <c r="B237" s="33">
        <v>6</v>
      </c>
      <c r="C237" s="32">
        <v>5</v>
      </c>
      <c r="D237" s="2" t="str">
        <f t="shared" si="124"/>
        <v>6_5</v>
      </c>
      <c r="E237" s="5" t="str">
        <f ca="1">VLOOKUP($B237,OFFSET([1]quests!$A$1,0,0,COUNTA([1]quests!$A:$A),MATCH(E$1,[1]quests!$1:$1,0)-MATCH($B$1,[1]quests!$1:$1,0)+1),MATCH(E$1,[1]quests!$1:$1,0)-MATCH($B$1,[1]quests!$1:$1,0)+1,FALSE)</f>
        <v>6．ドリームパーク</v>
      </c>
      <c r="F237" s="5" t="str">
        <f ca="1">VLOOKUP($D237,OFFSET([1]stages!$A$1,0,0,COUNTA([1]stages!$A:$A),MATCH(F$1,[1]stages!$2:$2,0)-MATCH($D$1,[1]stages!$2:$2,0)+1),MATCH(F$1,[1]stages!$2:$2,0)-MATCH($D$1,[1]stages!$2:$2,0)+1,FALSE)</f>
        <v>6-5. 来園者の末路</v>
      </c>
      <c r="G237" s="32">
        <v>1</v>
      </c>
      <c r="H237" s="20" t="str">
        <f t="shared" si="125"/>
        <v>6_5-1</v>
      </c>
      <c r="I237" s="31">
        <v>7</v>
      </c>
      <c r="J237" s="26" t="e">
        <f ca="1">VLOOKUP($I237,OFFSET([2]enemies!$A$1,0,0,COUNTA([2]enemies!$A:$A),MATCH(J$1,[2]enemies!$2:$2,0)-MATCH($I$1,[2]enemies!$2:$2,0)+1),MATCH(J$1,[2]enemies!$2:$2,0)-MATCH($I$1,[2]enemies!$2:$2,0)+1,FALSE)</f>
        <v>#N/A</v>
      </c>
      <c r="K237" s="29" t="e">
        <f ca="1">VLOOKUP($I237,OFFSET([2]enemies!$A$1,0,0,COUNTA([2]enemies!$A:$A),MATCH(K$1,[2]enemies!$2:$2,0)-MATCH($I$1,[2]enemies!$2:$2,0)+1),MATCH(K$1,[2]enemies!$2:$2,0)-MATCH($I$1,[2]enemies!$2:$2,0)+1,FALSE)</f>
        <v>#N/A</v>
      </c>
      <c r="L237" s="29" t="e">
        <f ca="1">VLOOKUP($I237,OFFSET([3]characters!$A$1,0,0,COUNTA([3]characters!$A:$A),MATCH(L$1,[3]characters!$2:$2,0)-MATCH($I$1,[3]characters!$2:$2,0)+1),MATCH(L$1,[3]characters!$2:$2,0)-MATCH($I$1,[3]characters!$2:$2,0)+1,FALSE)</f>
        <v>#N/A</v>
      </c>
      <c r="M237" s="28" t="e">
        <f ca="1">VLOOKUP($I237,OFFSET([3]characters!$A$1,0,0,COUNTA([3]characters!$A:$A),MATCH(M$1,[3]characters!$2:$2,0)-MATCH($I$1,[3]characters!$2:$2,0)+2),MATCH(M$1,[3]characters!$2:$2,0)-MATCH($I$1,[3]characters!$2:$2,0)+2,FALSE)</f>
        <v>#N/A</v>
      </c>
      <c r="N237" s="5" t="e">
        <f ca="1">VLOOKUP($I237,OFFSET([2]enemies!$A$1,0,0,COUNTA([2]enemies!$A:$A),MATCH(N$1,[2]enemies!$2:$2,0)-MATCH($I$1,[2]enemies!$2:$2,0)+1),MATCH(N$1,[2]enemies!$2:$2,0)-MATCH($I$1,[2]enemies!$2:$2,0)+1,FALSE)</f>
        <v>#N/A</v>
      </c>
      <c r="O237" s="6">
        <v>11</v>
      </c>
      <c r="P237" s="43">
        <v>1</v>
      </c>
      <c r="Q237" s="43">
        <v>1</v>
      </c>
      <c r="R237" s="6">
        <v>0</v>
      </c>
      <c r="S237" s="5" t="str">
        <f ca="1">VLOOKUP($T237,OFFSET([4]enemy_skill_sets!$B$1,0,0,COUNTA([4]enemy_skill_sets!$B:$B),MATCH(J$1,[4]enemy_skill_sets!$1:$1,0)-MATCH($T$1,[4]enemy_skill_sets!$1:$1,0)+2),MATCH(J$1,[4]enemy_skill_sets!$1:$1,0)-MATCH($T$1,[4]enemy_skill_sets!$1:$1,0)+2,FALSE)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7" s="5">
        <v>0</v>
      </c>
      <c r="U237" s="7">
        <v>0</v>
      </c>
      <c r="V237" s="7">
        <v>100</v>
      </c>
      <c r="W237" s="7">
        <v>0</v>
      </c>
      <c r="X237" s="26" t="e">
        <f ca="1">VLOOKUP($I237,OFFSET([2]enemies!$A$1,0,0,COUNTA([2]enemies!$A:$A),MATCH(X$1,[2]enemies!$2:$2,0)-MATCH($I$1,[2]enemies!$2:$2,0)+1),MATCH(X$1,[2]enemies!$2:$2,0)-MATCH($I$1,[2]enemies!$2:$2,0)+1,FALSE)</f>
        <v>#N/A</v>
      </c>
      <c r="Y237" s="31">
        <v>7</v>
      </c>
      <c r="Z237" s="5" t="str">
        <f ca="1">IFERROR(VLOOKUP($Y237,OFFSET([3]characters!$A$1,0,0,COUNTA([3]characters!$A:$A),MATCH(Z$1,[3]characters!$2:$2,0)-MATCH("character_id",[3]characters!$2:$2,0)+1),MATCH(Z$1,[3]characters!$2:$2,0)-MATCH("character_id",[3]characters!$2:$2,0)+1,FALSE),"")</f>
        <v/>
      </c>
      <c r="AA237" s="5" t="str">
        <f ca="1">IFERROR(VLOOKUP($Y237,OFFSET([3]characters!$A$1,0,0,COUNTA([3]characters!$A:$A),MATCH(AA$1,[3]characters!$2:$2,0)-MATCH("character_id",[3]characters!$2:$2,0)+1),MATCH(AA$1,[3]characters!$2:$2,0)-MATCH("character_id",[3]characters!$2:$2,0)+1,FALSE),"")</f>
        <v/>
      </c>
      <c r="AB237" s="5" t="str">
        <f ca="1">IFERROR(VLOOKUP($Y237,OFFSET([3]characters!$A$1,0,0,COUNTA([3]characters!$A:$A),MATCH(AB$1,[3]characters!$2:$2,0)-MATCH("character_id",[3]characters!$2:$2,0)+1),MATCH(AB$1,[3]characters!$2:$2,0)-MATCH("character_id",[3]characters!$2:$2,0)+1,FALSE),"")</f>
        <v/>
      </c>
      <c r="AC237" s="8">
        <v>5</v>
      </c>
      <c r="AD237" s="8" t="str">
        <f t="shared" ca="1" si="119"/>
        <v/>
      </c>
      <c r="AE237" s="9">
        <v>30</v>
      </c>
      <c r="AF237" s="38">
        <v>0</v>
      </c>
      <c r="AG237" s="38">
        <v>0</v>
      </c>
      <c r="AH237" s="38">
        <v>0</v>
      </c>
      <c r="AI237" s="38">
        <v>0</v>
      </c>
      <c r="AJ237" s="38">
        <v>1</v>
      </c>
    </row>
    <row r="238" spans="1:36" ht="21" customHeight="1" x14ac:dyDescent="0.15">
      <c r="A238" s="21" t="e">
        <f t="shared" ca="1" si="128"/>
        <v>#N/A</v>
      </c>
      <c r="B238" s="33">
        <v>6</v>
      </c>
      <c r="C238" s="32">
        <v>5</v>
      </c>
      <c r="D238" s="2" t="str">
        <f t="shared" si="124"/>
        <v>6_5</v>
      </c>
      <c r="E238" s="5" t="str">
        <f ca="1">VLOOKUP($B238,OFFSET([1]quests!$A$1,0,0,COUNTA([1]quests!$A:$A),MATCH(E$1,[1]quests!$1:$1,0)-MATCH($B$1,[1]quests!$1:$1,0)+1),MATCH(E$1,[1]quests!$1:$1,0)-MATCH($B$1,[1]quests!$1:$1,0)+1,FALSE)</f>
        <v>6．ドリームパーク</v>
      </c>
      <c r="F238" s="5" t="str">
        <f ca="1">VLOOKUP($D238,OFFSET([1]stages!$A$1,0,0,COUNTA([1]stages!$A:$A),MATCH(F$1,[1]stages!$2:$2,0)-MATCH($D$1,[1]stages!$2:$2,0)+1),MATCH(F$1,[1]stages!$2:$2,0)-MATCH($D$1,[1]stages!$2:$2,0)+1,FALSE)</f>
        <v>6-5. 来園者の末路</v>
      </c>
      <c r="G238" s="32">
        <v>2</v>
      </c>
      <c r="H238" s="20" t="str">
        <f t="shared" si="125"/>
        <v>6_5-2</v>
      </c>
      <c r="I238" s="31">
        <v>9</v>
      </c>
      <c r="J238" s="26" t="e">
        <f ca="1">VLOOKUP($I238,OFFSET([2]enemies!$A$1,0,0,COUNTA([2]enemies!$A:$A),MATCH(J$1,[2]enemies!$2:$2,0)-MATCH($I$1,[2]enemies!$2:$2,0)+1),MATCH(J$1,[2]enemies!$2:$2,0)-MATCH($I$1,[2]enemies!$2:$2,0)+1,FALSE)</f>
        <v>#N/A</v>
      </c>
      <c r="K238" s="29" t="e">
        <f ca="1">VLOOKUP($I238,OFFSET([2]enemies!$A$1,0,0,COUNTA([2]enemies!$A:$A),MATCH(K$1,[2]enemies!$2:$2,0)-MATCH($I$1,[2]enemies!$2:$2,0)+1),MATCH(K$1,[2]enemies!$2:$2,0)-MATCH($I$1,[2]enemies!$2:$2,0)+1,FALSE)</f>
        <v>#N/A</v>
      </c>
      <c r="L238" s="29" t="e">
        <f ca="1">VLOOKUP($I238,OFFSET([3]characters!$A$1,0,0,COUNTA([3]characters!$A:$A),MATCH(L$1,[3]characters!$2:$2,0)-MATCH($I$1,[3]characters!$2:$2,0)+1),MATCH(L$1,[3]characters!$2:$2,0)-MATCH($I$1,[3]characters!$2:$2,0)+1,FALSE)</f>
        <v>#N/A</v>
      </c>
      <c r="M238" s="28" t="e">
        <f ca="1">VLOOKUP($I238,OFFSET([3]characters!$A$1,0,0,COUNTA([3]characters!$A:$A),MATCH(M$1,[3]characters!$2:$2,0)-MATCH($I$1,[3]characters!$2:$2,0)+2),MATCH(M$1,[3]characters!$2:$2,0)-MATCH($I$1,[3]characters!$2:$2,0)+2,FALSE)</f>
        <v>#N/A</v>
      </c>
      <c r="N238" s="5" t="e">
        <f ca="1">VLOOKUP($I238,OFFSET([2]enemies!$A$1,0,0,COUNTA([2]enemies!$A:$A),MATCH(N$1,[2]enemies!$2:$2,0)-MATCH($I$1,[2]enemies!$2:$2,0)+1),MATCH(N$1,[2]enemies!$2:$2,0)-MATCH($I$1,[2]enemies!$2:$2,0)+1,FALSE)</f>
        <v>#N/A</v>
      </c>
      <c r="O238" s="6">
        <v>11</v>
      </c>
      <c r="P238" s="43">
        <v>1</v>
      </c>
      <c r="Q238" s="43">
        <v>1</v>
      </c>
      <c r="R238" s="6">
        <v>0</v>
      </c>
      <c r="S238" s="5" t="str">
        <f ca="1">VLOOKUP($T238,OFFSET([4]enemy_skill_sets!$B$1,0,0,COUNTA([4]enemy_skill_sets!$B:$B),MATCH(J$1,[4]enemy_skill_sets!$1:$1,0)-MATCH($T$1,[4]enemy_skill_sets!$1:$1,0)+2),MATCH(J$1,[4]enemy_skill_sets!$1:$1,0)-MATCH($T$1,[4]enemy_skill_sets!$1:$1,0)+2,FALSE)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8" s="5">
        <v>0</v>
      </c>
      <c r="U238" s="7">
        <v>0</v>
      </c>
      <c r="V238" s="7">
        <v>100</v>
      </c>
      <c r="W238" s="7">
        <v>0</v>
      </c>
      <c r="X238" s="26" t="e">
        <f ca="1">VLOOKUP($I238,OFFSET([2]enemies!$A$1,0,0,COUNTA([2]enemies!$A:$A),MATCH(X$1,[2]enemies!$2:$2,0)-MATCH($I$1,[2]enemies!$2:$2,0)+1),MATCH(X$1,[2]enemies!$2:$2,0)-MATCH($I$1,[2]enemies!$2:$2,0)+1,FALSE)</f>
        <v>#N/A</v>
      </c>
      <c r="Y238" s="31">
        <v>9</v>
      </c>
      <c r="Z238" s="5" t="str">
        <f ca="1">IFERROR(VLOOKUP($Y238,OFFSET([3]characters!$A$1,0,0,COUNTA([3]characters!$A:$A),MATCH(Z$1,[3]characters!$2:$2,0)-MATCH("character_id",[3]characters!$2:$2,0)+1),MATCH(Z$1,[3]characters!$2:$2,0)-MATCH("character_id",[3]characters!$2:$2,0)+1,FALSE),"")</f>
        <v/>
      </c>
      <c r="AA238" s="5" t="str">
        <f ca="1">IFERROR(VLOOKUP($Y238,OFFSET([3]characters!$A$1,0,0,COUNTA([3]characters!$A:$A),MATCH(AA$1,[3]characters!$2:$2,0)-MATCH("character_id",[3]characters!$2:$2,0)+1),MATCH(AA$1,[3]characters!$2:$2,0)-MATCH("character_id",[3]characters!$2:$2,0)+1,FALSE),"")</f>
        <v/>
      </c>
      <c r="AB238" s="5" t="str">
        <f ca="1">IFERROR(VLOOKUP($Y238,OFFSET([3]characters!$A$1,0,0,COUNTA([3]characters!$A:$A),MATCH(AB$1,[3]characters!$2:$2,0)-MATCH("character_id",[3]characters!$2:$2,0)+1),MATCH(AB$1,[3]characters!$2:$2,0)-MATCH("character_id",[3]characters!$2:$2,0)+1,FALSE),"")</f>
        <v/>
      </c>
      <c r="AC238" s="8">
        <v>2</v>
      </c>
      <c r="AD238" s="8" t="str">
        <f t="shared" ca="1" si="119"/>
        <v/>
      </c>
      <c r="AE238" s="9">
        <v>30</v>
      </c>
      <c r="AF238" s="38">
        <v>0</v>
      </c>
      <c r="AG238" s="38">
        <v>0</v>
      </c>
      <c r="AH238" s="38">
        <v>0</v>
      </c>
      <c r="AI238" s="38">
        <v>0</v>
      </c>
      <c r="AJ238" s="38">
        <v>1</v>
      </c>
    </row>
    <row r="239" spans="1:36" ht="21" customHeight="1" x14ac:dyDescent="0.15">
      <c r="A239" s="21" t="e">
        <f t="shared" ca="1" si="128"/>
        <v>#N/A</v>
      </c>
      <c r="B239" s="33">
        <v>6</v>
      </c>
      <c r="C239" s="32">
        <v>5</v>
      </c>
      <c r="D239" s="2" t="str">
        <f t="shared" si="124"/>
        <v>6_5</v>
      </c>
      <c r="E239" s="5" t="str">
        <f ca="1">VLOOKUP($B239,OFFSET([1]quests!$A$1,0,0,COUNTA([1]quests!$A:$A),MATCH(E$1,[1]quests!$1:$1,0)-MATCH($B$1,[1]quests!$1:$1,0)+1),MATCH(E$1,[1]quests!$1:$1,0)-MATCH($B$1,[1]quests!$1:$1,0)+1,FALSE)</f>
        <v>6．ドリームパーク</v>
      </c>
      <c r="F239" s="5" t="str">
        <f ca="1">VLOOKUP($D239,OFFSET([1]stages!$A$1,0,0,COUNTA([1]stages!$A:$A),MATCH(F$1,[1]stages!$2:$2,0)-MATCH($D$1,[1]stages!$2:$2,0)+1),MATCH(F$1,[1]stages!$2:$2,0)-MATCH($D$1,[1]stages!$2:$2,0)+1,FALSE)</f>
        <v>6-5. 来園者の末路</v>
      </c>
      <c r="G239" s="32">
        <v>2</v>
      </c>
      <c r="H239" s="20" t="str">
        <f t="shared" si="125"/>
        <v>6_5-2</v>
      </c>
      <c r="I239" s="31">
        <v>11</v>
      </c>
      <c r="J239" s="26" t="e">
        <f ca="1">VLOOKUP($I239,OFFSET([2]enemies!$A$1,0,0,COUNTA([2]enemies!$A:$A),MATCH(J$1,[2]enemies!$2:$2,0)-MATCH($I$1,[2]enemies!$2:$2,0)+1),MATCH(J$1,[2]enemies!$2:$2,0)-MATCH($I$1,[2]enemies!$2:$2,0)+1,FALSE)</f>
        <v>#N/A</v>
      </c>
      <c r="K239" s="29" t="e">
        <f ca="1">VLOOKUP($I239,OFFSET([2]enemies!$A$1,0,0,COUNTA([2]enemies!$A:$A),MATCH(K$1,[2]enemies!$2:$2,0)-MATCH($I$1,[2]enemies!$2:$2,0)+1),MATCH(K$1,[2]enemies!$2:$2,0)-MATCH($I$1,[2]enemies!$2:$2,0)+1,FALSE)</f>
        <v>#N/A</v>
      </c>
      <c r="L239" s="29" t="e">
        <f ca="1">VLOOKUP($I239,OFFSET([3]characters!$A$1,0,0,COUNTA([3]characters!$A:$A),MATCH(L$1,[3]characters!$2:$2,0)-MATCH($I$1,[3]characters!$2:$2,0)+1),MATCH(L$1,[3]characters!$2:$2,0)-MATCH($I$1,[3]characters!$2:$2,0)+1,FALSE)</f>
        <v>#N/A</v>
      </c>
      <c r="M239" s="28" t="e">
        <f ca="1">VLOOKUP($I239,OFFSET([3]characters!$A$1,0,0,COUNTA([3]characters!$A:$A),MATCH(M$1,[3]characters!$2:$2,0)-MATCH($I$1,[3]characters!$2:$2,0)+2),MATCH(M$1,[3]characters!$2:$2,0)-MATCH($I$1,[3]characters!$2:$2,0)+2,FALSE)</f>
        <v>#N/A</v>
      </c>
      <c r="N239" s="5" t="e">
        <f ca="1">VLOOKUP($I239,OFFSET([2]enemies!$A$1,0,0,COUNTA([2]enemies!$A:$A),MATCH(N$1,[2]enemies!$2:$2,0)-MATCH($I$1,[2]enemies!$2:$2,0)+1),MATCH(N$1,[2]enemies!$2:$2,0)-MATCH($I$1,[2]enemies!$2:$2,0)+1,FALSE)</f>
        <v>#N/A</v>
      </c>
      <c r="O239" s="6">
        <v>11</v>
      </c>
      <c r="P239" s="43">
        <v>1</v>
      </c>
      <c r="Q239" s="43">
        <v>1</v>
      </c>
      <c r="R239" s="6">
        <v>0</v>
      </c>
      <c r="S239" s="5" t="str">
        <f ca="1">VLOOKUP($T239,OFFSET([4]enemy_skill_sets!$B$1,0,0,COUNTA([4]enemy_skill_sets!$B:$B),MATCH(J$1,[4]enemy_skill_sets!$1:$1,0)-MATCH($T$1,[4]enemy_skill_sets!$1:$1,0)+2),MATCH(J$1,[4]enemy_skill_sets!$1:$1,0)-MATCH($T$1,[4]enemy_skill_sets!$1:$1,0)+2,FALSE)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9" s="5">
        <v>0</v>
      </c>
      <c r="U239" s="7">
        <v>0</v>
      </c>
      <c r="V239" s="7">
        <v>100</v>
      </c>
      <c r="W239" s="7">
        <v>0</v>
      </c>
      <c r="X239" s="26" t="e">
        <f ca="1">VLOOKUP($I239,OFFSET([2]enemies!$A$1,0,0,COUNTA([2]enemies!$A:$A),MATCH(X$1,[2]enemies!$2:$2,0)-MATCH($I$1,[2]enemies!$2:$2,0)+1),MATCH(X$1,[2]enemies!$2:$2,0)-MATCH($I$1,[2]enemies!$2:$2,0)+1,FALSE)</f>
        <v>#N/A</v>
      </c>
      <c r="Y239" s="31">
        <v>11</v>
      </c>
      <c r="Z239" s="5" t="str">
        <f ca="1">IFERROR(VLOOKUP($Y239,OFFSET([3]characters!$A$1,0,0,COUNTA([3]characters!$A:$A),MATCH(Z$1,[3]characters!$2:$2,0)-MATCH("character_id",[3]characters!$2:$2,0)+1),MATCH(Z$1,[3]characters!$2:$2,0)-MATCH("character_id",[3]characters!$2:$2,0)+1,FALSE),"")</f>
        <v/>
      </c>
      <c r="AA239" s="5" t="str">
        <f ca="1">IFERROR(VLOOKUP($Y239,OFFSET([3]characters!$A$1,0,0,COUNTA([3]characters!$A:$A),MATCH(AA$1,[3]characters!$2:$2,0)-MATCH("character_id",[3]characters!$2:$2,0)+1),MATCH(AA$1,[3]characters!$2:$2,0)-MATCH("character_id",[3]characters!$2:$2,0)+1,FALSE),"")</f>
        <v/>
      </c>
      <c r="AB239" s="5" t="str">
        <f ca="1">IFERROR(VLOOKUP($Y239,OFFSET([3]characters!$A$1,0,0,COUNTA([3]characters!$A:$A),MATCH(AB$1,[3]characters!$2:$2,0)-MATCH("character_id",[3]characters!$2:$2,0)+1),MATCH(AB$1,[3]characters!$2:$2,0)-MATCH("character_id",[3]characters!$2:$2,0)+1,FALSE),"")</f>
        <v/>
      </c>
      <c r="AC239" s="8">
        <v>2</v>
      </c>
      <c r="AD239" s="8" t="str">
        <f t="shared" ca="1" si="119"/>
        <v/>
      </c>
      <c r="AE239" s="9">
        <v>30</v>
      </c>
      <c r="AF239" s="38">
        <v>0</v>
      </c>
      <c r="AG239" s="38">
        <v>0</v>
      </c>
      <c r="AH239" s="38">
        <v>0</v>
      </c>
      <c r="AI239" s="38">
        <v>0</v>
      </c>
      <c r="AJ239" s="38">
        <v>1</v>
      </c>
    </row>
    <row r="240" spans="1:36" ht="21" customHeight="1" x14ac:dyDescent="0.15">
      <c r="A240" s="21" t="e">
        <f t="shared" ca="1" si="128"/>
        <v>#N/A</v>
      </c>
      <c r="B240" s="33">
        <v>6</v>
      </c>
      <c r="C240" s="32">
        <v>5</v>
      </c>
      <c r="D240" s="2" t="str">
        <f t="shared" si="124"/>
        <v>6_5</v>
      </c>
      <c r="E240" s="5" t="str">
        <f ca="1">VLOOKUP($B240,OFFSET([1]quests!$A$1,0,0,COUNTA([1]quests!$A:$A),MATCH(E$1,[1]quests!$1:$1,0)-MATCH($B$1,[1]quests!$1:$1,0)+1),MATCH(E$1,[1]quests!$1:$1,0)-MATCH($B$1,[1]quests!$1:$1,0)+1,FALSE)</f>
        <v>6．ドリームパーク</v>
      </c>
      <c r="F240" s="5" t="str">
        <f ca="1">VLOOKUP($D240,OFFSET([1]stages!$A$1,0,0,COUNTA([1]stages!$A:$A),MATCH(F$1,[1]stages!$2:$2,0)-MATCH($D$1,[1]stages!$2:$2,0)+1),MATCH(F$1,[1]stages!$2:$2,0)-MATCH($D$1,[1]stages!$2:$2,0)+1,FALSE)</f>
        <v>6-5. 来園者の末路</v>
      </c>
      <c r="G240" s="32">
        <v>2</v>
      </c>
      <c r="H240" s="20" t="str">
        <f t="shared" si="125"/>
        <v>6_5-2</v>
      </c>
      <c r="I240" s="31">
        <v>13</v>
      </c>
      <c r="J240" s="26" t="e">
        <f ca="1">VLOOKUP($I240,OFFSET([2]enemies!$A$1,0,0,COUNTA([2]enemies!$A:$A),MATCH(J$1,[2]enemies!$2:$2,0)-MATCH($I$1,[2]enemies!$2:$2,0)+1),MATCH(J$1,[2]enemies!$2:$2,0)-MATCH($I$1,[2]enemies!$2:$2,0)+1,FALSE)</f>
        <v>#N/A</v>
      </c>
      <c r="K240" s="29" t="e">
        <f ca="1">VLOOKUP($I240,OFFSET([2]enemies!$A$1,0,0,COUNTA([2]enemies!$A:$A),MATCH(K$1,[2]enemies!$2:$2,0)-MATCH($I$1,[2]enemies!$2:$2,0)+1),MATCH(K$1,[2]enemies!$2:$2,0)-MATCH($I$1,[2]enemies!$2:$2,0)+1,FALSE)</f>
        <v>#N/A</v>
      </c>
      <c r="L240" s="29" t="e">
        <f ca="1">VLOOKUP($I240,OFFSET([3]characters!$A$1,0,0,COUNTA([3]characters!$A:$A),MATCH(L$1,[3]characters!$2:$2,0)-MATCH($I$1,[3]characters!$2:$2,0)+1),MATCH(L$1,[3]characters!$2:$2,0)-MATCH($I$1,[3]characters!$2:$2,0)+1,FALSE)</f>
        <v>#N/A</v>
      </c>
      <c r="M240" s="28" t="e">
        <f ca="1">VLOOKUP($I240,OFFSET([3]characters!$A$1,0,0,COUNTA([3]characters!$A:$A),MATCH(M$1,[3]characters!$2:$2,0)-MATCH($I$1,[3]characters!$2:$2,0)+2),MATCH(M$1,[3]characters!$2:$2,0)-MATCH($I$1,[3]characters!$2:$2,0)+2,FALSE)</f>
        <v>#N/A</v>
      </c>
      <c r="N240" s="5" t="e">
        <f ca="1">VLOOKUP($I240,OFFSET([2]enemies!$A$1,0,0,COUNTA([2]enemies!$A:$A),MATCH(N$1,[2]enemies!$2:$2,0)-MATCH($I$1,[2]enemies!$2:$2,0)+1),MATCH(N$1,[2]enemies!$2:$2,0)-MATCH($I$1,[2]enemies!$2:$2,0)+1,FALSE)</f>
        <v>#N/A</v>
      </c>
      <c r="O240" s="6">
        <v>11</v>
      </c>
      <c r="P240" s="43">
        <v>1</v>
      </c>
      <c r="Q240" s="43">
        <v>1</v>
      </c>
      <c r="R240" s="6">
        <v>0</v>
      </c>
      <c r="S240" s="5" t="str">
        <f ca="1">VLOOKUP($T240,OFFSET([4]enemy_skill_sets!$B$1,0,0,COUNTA([4]enemy_skill_sets!$B:$B),MATCH(J$1,[4]enemy_skill_sets!$1:$1,0)-MATCH($T$1,[4]enemy_skill_sets!$1:$1,0)+2),MATCH(J$1,[4]enemy_skill_sets!$1:$1,0)-MATCH($T$1,[4]enemy_skill_sets!$1:$1,0)+2,FALSE)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0" s="5">
        <v>0</v>
      </c>
      <c r="U240" s="7">
        <v>0</v>
      </c>
      <c r="V240" s="7">
        <v>100</v>
      </c>
      <c r="W240" s="7">
        <v>0</v>
      </c>
      <c r="X240" s="26" t="e">
        <f ca="1">VLOOKUP($I240,OFFSET([2]enemies!$A$1,0,0,COUNTA([2]enemies!$A:$A),MATCH(X$1,[2]enemies!$2:$2,0)-MATCH($I$1,[2]enemies!$2:$2,0)+1),MATCH(X$1,[2]enemies!$2:$2,0)-MATCH($I$1,[2]enemies!$2:$2,0)+1,FALSE)</f>
        <v>#N/A</v>
      </c>
      <c r="Y240" s="31">
        <v>13</v>
      </c>
      <c r="Z240" s="5" t="str">
        <f ca="1">IFERROR(VLOOKUP($Y240,OFFSET([3]characters!$A$1,0,0,COUNTA([3]characters!$A:$A),MATCH(Z$1,[3]characters!$2:$2,0)-MATCH("character_id",[3]characters!$2:$2,0)+1),MATCH(Z$1,[3]characters!$2:$2,0)-MATCH("character_id",[3]characters!$2:$2,0)+1,FALSE),"")</f>
        <v/>
      </c>
      <c r="AA240" s="5" t="str">
        <f ca="1">IFERROR(VLOOKUP($Y240,OFFSET([3]characters!$A$1,0,0,COUNTA([3]characters!$A:$A),MATCH(AA$1,[3]characters!$2:$2,0)-MATCH("character_id",[3]characters!$2:$2,0)+1),MATCH(AA$1,[3]characters!$2:$2,0)-MATCH("character_id",[3]characters!$2:$2,0)+1,FALSE),"")</f>
        <v/>
      </c>
      <c r="AB240" s="5" t="str">
        <f ca="1">IFERROR(VLOOKUP($Y240,OFFSET([3]characters!$A$1,0,0,COUNTA([3]characters!$A:$A),MATCH(AB$1,[3]characters!$2:$2,0)-MATCH("character_id",[3]characters!$2:$2,0)+1),MATCH(AB$1,[3]characters!$2:$2,0)-MATCH("character_id",[3]characters!$2:$2,0)+1,FALSE),"")</f>
        <v/>
      </c>
      <c r="AC240" s="8">
        <v>2</v>
      </c>
      <c r="AD240" s="8" t="str">
        <f t="shared" ca="1" si="119"/>
        <v/>
      </c>
      <c r="AE240" s="9">
        <v>30</v>
      </c>
      <c r="AF240" s="38">
        <v>0</v>
      </c>
      <c r="AG240" s="38">
        <v>0</v>
      </c>
      <c r="AH240" s="38">
        <v>0</v>
      </c>
      <c r="AI240" s="38">
        <v>0</v>
      </c>
      <c r="AJ240" s="38">
        <v>1</v>
      </c>
    </row>
    <row r="241" spans="1:36" ht="21" customHeight="1" x14ac:dyDescent="0.15">
      <c r="A241" s="21" t="e">
        <f t="shared" ca="1" si="128"/>
        <v>#N/A</v>
      </c>
      <c r="B241" s="33">
        <v>6</v>
      </c>
      <c r="C241" s="32">
        <v>5</v>
      </c>
      <c r="D241" s="2" t="str">
        <f t="shared" si="124"/>
        <v>6_5</v>
      </c>
      <c r="E241" s="5" t="str">
        <f ca="1">VLOOKUP($B241,OFFSET([1]quests!$A$1,0,0,COUNTA([1]quests!$A:$A),MATCH(E$1,[1]quests!$1:$1,0)-MATCH($B$1,[1]quests!$1:$1,0)+1),MATCH(E$1,[1]quests!$1:$1,0)-MATCH($B$1,[1]quests!$1:$1,0)+1,FALSE)</f>
        <v>6．ドリームパーク</v>
      </c>
      <c r="F241" s="5" t="str">
        <f ca="1">VLOOKUP($D241,OFFSET([1]stages!$A$1,0,0,COUNTA([1]stages!$A:$A),MATCH(F$1,[1]stages!$2:$2,0)-MATCH($D$1,[1]stages!$2:$2,0)+1),MATCH(F$1,[1]stages!$2:$2,0)-MATCH($D$1,[1]stages!$2:$2,0)+1,FALSE)</f>
        <v>6-5. 来園者の末路</v>
      </c>
      <c r="G241" s="32">
        <v>2</v>
      </c>
      <c r="H241" s="20" t="str">
        <f t="shared" si="125"/>
        <v>6_5-2</v>
      </c>
      <c r="I241" s="31">
        <v>15</v>
      </c>
      <c r="J241" s="26" t="e">
        <f ca="1">VLOOKUP($I241,OFFSET([2]enemies!$A$1,0,0,COUNTA([2]enemies!$A:$A),MATCH(J$1,[2]enemies!$2:$2,0)-MATCH($I$1,[2]enemies!$2:$2,0)+1),MATCH(J$1,[2]enemies!$2:$2,0)-MATCH($I$1,[2]enemies!$2:$2,0)+1,FALSE)</f>
        <v>#N/A</v>
      </c>
      <c r="K241" s="29" t="e">
        <f ca="1">VLOOKUP($I241,OFFSET([2]enemies!$A$1,0,0,COUNTA([2]enemies!$A:$A),MATCH(K$1,[2]enemies!$2:$2,0)-MATCH($I$1,[2]enemies!$2:$2,0)+1),MATCH(K$1,[2]enemies!$2:$2,0)-MATCH($I$1,[2]enemies!$2:$2,0)+1,FALSE)</f>
        <v>#N/A</v>
      </c>
      <c r="L241" s="29" t="e">
        <f ca="1">VLOOKUP($I241,OFFSET([3]characters!$A$1,0,0,COUNTA([3]characters!$A:$A),MATCH(L$1,[3]characters!$2:$2,0)-MATCH($I$1,[3]characters!$2:$2,0)+1),MATCH(L$1,[3]characters!$2:$2,0)-MATCH($I$1,[3]characters!$2:$2,0)+1,FALSE)</f>
        <v>#N/A</v>
      </c>
      <c r="M241" s="28" t="e">
        <f ca="1">VLOOKUP($I241,OFFSET([3]characters!$A$1,0,0,COUNTA([3]characters!$A:$A),MATCH(M$1,[3]characters!$2:$2,0)-MATCH($I$1,[3]characters!$2:$2,0)+2),MATCH(M$1,[3]characters!$2:$2,0)-MATCH($I$1,[3]characters!$2:$2,0)+2,FALSE)</f>
        <v>#N/A</v>
      </c>
      <c r="N241" s="5" t="e">
        <f ca="1">VLOOKUP($I241,OFFSET([2]enemies!$A$1,0,0,COUNTA([2]enemies!$A:$A),MATCH(N$1,[2]enemies!$2:$2,0)-MATCH($I$1,[2]enemies!$2:$2,0)+1),MATCH(N$1,[2]enemies!$2:$2,0)-MATCH($I$1,[2]enemies!$2:$2,0)+1,FALSE)</f>
        <v>#N/A</v>
      </c>
      <c r="O241" s="6">
        <v>11</v>
      </c>
      <c r="P241" s="43">
        <v>1</v>
      </c>
      <c r="Q241" s="43">
        <v>1</v>
      </c>
      <c r="R241" s="6">
        <v>0</v>
      </c>
      <c r="S241" s="5" t="str">
        <f ca="1">VLOOKUP($T241,OFFSET([4]enemy_skill_sets!$B$1,0,0,COUNTA([4]enemy_skill_sets!$B:$B),MATCH(J$1,[4]enemy_skill_sets!$1:$1,0)-MATCH($T$1,[4]enemy_skill_sets!$1:$1,0)+2),MATCH(J$1,[4]enemy_skill_sets!$1:$1,0)-MATCH($T$1,[4]enemy_skill_sets!$1:$1,0)+2,FALSE)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1" s="5">
        <v>0</v>
      </c>
      <c r="U241" s="7">
        <v>0</v>
      </c>
      <c r="V241" s="7">
        <v>100</v>
      </c>
      <c r="W241" s="7">
        <v>0</v>
      </c>
      <c r="X241" s="26" t="e">
        <f ca="1">VLOOKUP($I241,OFFSET([2]enemies!$A$1,0,0,COUNTA([2]enemies!$A:$A),MATCH(X$1,[2]enemies!$2:$2,0)-MATCH($I$1,[2]enemies!$2:$2,0)+1),MATCH(X$1,[2]enemies!$2:$2,0)-MATCH($I$1,[2]enemies!$2:$2,0)+1,FALSE)</f>
        <v>#N/A</v>
      </c>
      <c r="Y241" s="31">
        <v>15</v>
      </c>
      <c r="Z241" s="5" t="str">
        <f ca="1">IFERROR(VLOOKUP($Y241,OFFSET([3]characters!$A$1,0,0,COUNTA([3]characters!$A:$A),MATCH(Z$1,[3]characters!$2:$2,0)-MATCH("character_id",[3]characters!$2:$2,0)+1),MATCH(Z$1,[3]characters!$2:$2,0)-MATCH("character_id",[3]characters!$2:$2,0)+1,FALSE),"")</f>
        <v/>
      </c>
      <c r="AA241" s="5" t="str">
        <f ca="1">IFERROR(VLOOKUP($Y241,OFFSET([3]characters!$A$1,0,0,COUNTA([3]characters!$A:$A),MATCH(AA$1,[3]characters!$2:$2,0)-MATCH("character_id",[3]characters!$2:$2,0)+1),MATCH(AA$1,[3]characters!$2:$2,0)-MATCH("character_id",[3]characters!$2:$2,0)+1,FALSE),"")</f>
        <v/>
      </c>
      <c r="AB241" s="5" t="str">
        <f ca="1">IFERROR(VLOOKUP($Y241,OFFSET([3]characters!$A$1,0,0,COUNTA([3]characters!$A:$A),MATCH(AB$1,[3]characters!$2:$2,0)-MATCH("character_id",[3]characters!$2:$2,0)+1),MATCH(AB$1,[3]characters!$2:$2,0)-MATCH("character_id",[3]characters!$2:$2,0)+1,FALSE),"")</f>
        <v/>
      </c>
      <c r="AC241" s="8">
        <v>2</v>
      </c>
      <c r="AD241" s="8" t="str">
        <f t="shared" ca="1" si="119"/>
        <v/>
      </c>
      <c r="AE241" s="9">
        <v>30</v>
      </c>
      <c r="AF241" s="38">
        <v>0</v>
      </c>
      <c r="AG241" s="38">
        <v>0</v>
      </c>
      <c r="AH241" s="38">
        <v>0</v>
      </c>
      <c r="AI241" s="38">
        <v>0</v>
      </c>
      <c r="AJ241" s="38">
        <v>1</v>
      </c>
    </row>
    <row r="242" spans="1:36" ht="21" customHeight="1" x14ac:dyDescent="0.15">
      <c r="A242" s="21" t="e">
        <f t="shared" ca="1" si="128"/>
        <v>#N/A</v>
      </c>
      <c r="B242" s="33">
        <v>6</v>
      </c>
      <c r="C242" s="32">
        <v>5</v>
      </c>
      <c r="D242" s="2" t="str">
        <f t="shared" si="124"/>
        <v>6_5</v>
      </c>
      <c r="E242" s="5" t="str">
        <f ca="1">VLOOKUP($B242,OFFSET([1]quests!$A$1,0,0,COUNTA([1]quests!$A:$A),MATCH(E$1,[1]quests!$1:$1,0)-MATCH($B$1,[1]quests!$1:$1,0)+1),MATCH(E$1,[1]quests!$1:$1,0)-MATCH($B$1,[1]quests!$1:$1,0)+1,FALSE)</f>
        <v>6．ドリームパーク</v>
      </c>
      <c r="F242" s="5" t="str">
        <f ca="1">VLOOKUP($D242,OFFSET([1]stages!$A$1,0,0,COUNTA([1]stages!$A:$A),MATCH(F$1,[1]stages!$2:$2,0)-MATCH($D$1,[1]stages!$2:$2,0)+1),MATCH(F$1,[1]stages!$2:$2,0)-MATCH($D$1,[1]stages!$2:$2,0)+1,FALSE)</f>
        <v>6-5. 来園者の末路</v>
      </c>
      <c r="G242" s="32">
        <v>2</v>
      </c>
      <c r="H242" s="20" t="str">
        <f t="shared" si="125"/>
        <v>6_5-2</v>
      </c>
      <c r="I242" s="31">
        <v>17</v>
      </c>
      <c r="J242" s="26" t="e">
        <f ca="1">VLOOKUP($I242,OFFSET([2]enemies!$A$1,0,0,COUNTA([2]enemies!$A:$A),MATCH(J$1,[2]enemies!$2:$2,0)-MATCH($I$1,[2]enemies!$2:$2,0)+1),MATCH(J$1,[2]enemies!$2:$2,0)-MATCH($I$1,[2]enemies!$2:$2,0)+1,FALSE)</f>
        <v>#N/A</v>
      </c>
      <c r="K242" s="29" t="e">
        <f ca="1">VLOOKUP($I242,OFFSET([2]enemies!$A$1,0,0,COUNTA([2]enemies!$A:$A),MATCH(K$1,[2]enemies!$2:$2,0)-MATCH($I$1,[2]enemies!$2:$2,0)+1),MATCH(K$1,[2]enemies!$2:$2,0)-MATCH($I$1,[2]enemies!$2:$2,0)+1,FALSE)</f>
        <v>#N/A</v>
      </c>
      <c r="L242" s="29" t="e">
        <f ca="1">VLOOKUP($I242,OFFSET([3]characters!$A$1,0,0,COUNTA([3]characters!$A:$A),MATCH(L$1,[3]characters!$2:$2,0)-MATCH($I$1,[3]characters!$2:$2,0)+1),MATCH(L$1,[3]characters!$2:$2,0)-MATCH($I$1,[3]characters!$2:$2,0)+1,FALSE)</f>
        <v>#N/A</v>
      </c>
      <c r="M242" s="28" t="e">
        <f ca="1">VLOOKUP($I242,OFFSET([3]characters!$A$1,0,0,COUNTA([3]characters!$A:$A),MATCH(M$1,[3]characters!$2:$2,0)-MATCH($I$1,[3]characters!$2:$2,0)+2),MATCH(M$1,[3]characters!$2:$2,0)-MATCH($I$1,[3]characters!$2:$2,0)+2,FALSE)</f>
        <v>#N/A</v>
      </c>
      <c r="N242" s="5" t="e">
        <f ca="1">VLOOKUP($I242,OFFSET([2]enemies!$A$1,0,0,COUNTA([2]enemies!$A:$A),MATCH(N$1,[2]enemies!$2:$2,0)-MATCH($I$1,[2]enemies!$2:$2,0)+1),MATCH(N$1,[2]enemies!$2:$2,0)-MATCH($I$1,[2]enemies!$2:$2,0)+1,FALSE)</f>
        <v>#N/A</v>
      </c>
      <c r="O242" s="6">
        <v>11</v>
      </c>
      <c r="P242" s="43">
        <v>1</v>
      </c>
      <c r="Q242" s="43">
        <v>1</v>
      </c>
      <c r="R242" s="6">
        <v>0</v>
      </c>
      <c r="S242" s="5" t="str">
        <f ca="1">VLOOKUP($T242,OFFSET([4]enemy_skill_sets!$B$1,0,0,COUNTA([4]enemy_skill_sets!$B:$B),MATCH(J$1,[4]enemy_skill_sets!$1:$1,0)-MATCH($T$1,[4]enemy_skill_sets!$1:$1,0)+2),MATCH(J$1,[4]enemy_skill_sets!$1:$1,0)-MATCH($T$1,[4]enemy_skill_sets!$1:$1,0)+2,FALSE)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2" s="5">
        <v>0</v>
      </c>
      <c r="U242" s="7">
        <v>0</v>
      </c>
      <c r="V242" s="7">
        <v>100</v>
      </c>
      <c r="W242" s="7">
        <v>0</v>
      </c>
      <c r="X242" s="26" t="e">
        <f ca="1">VLOOKUP($I242,OFFSET([2]enemies!$A$1,0,0,COUNTA([2]enemies!$A:$A),MATCH(X$1,[2]enemies!$2:$2,0)-MATCH($I$1,[2]enemies!$2:$2,0)+1),MATCH(X$1,[2]enemies!$2:$2,0)-MATCH($I$1,[2]enemies!$2:$2,0)+1,FALSE)</f>
        <v>#N/A</v>
      </c>
      <c r="Y242" s="31">
        <v>17</v>
      </c>
      <c r="Z242" s="5" t="str">
        <f ca="1">IFERROR(VLOOKUP($Y242,OFFSET([3]characters!$A$1,0,0,COUNTA([3]characters!$A:$A),MATCH(Z$1,[3]characters!$2:$2,0)-MATCH("character_id",[3]characters!$2:$2,0)+1),MATCH(Z$1,[3]characters!$2:$2,0)-MATCH("character_id",[3]characters!$2:$2,0)+1,FALSE),"")</f>
        <v/>
      </c>
      <c r="AA242" s="5" t="str">
        <f ca="1">IFERROR(VLOOKUP($Y242,OFFSET([3]characters!$A$1,0,0,COUNTA([3]characters!$A:$A),MATCH(AA$1,[3]characters!$2:$2,0)-MATCH("character_id",[3]characters!$2:$2,0)+1),MATCH(AA$1,[3]characters!$2:$2,0)-MATCH("character_id",[3]characters!$2:$2,0)+1,FALSE),"")</f>
        <v/>
      </c>
      <c r="AB242" s="5" t="str">
        <f ca="1">IFERROR(VLOOKUP($Y242,OFFSET([3]characters!$A$1,0,0,COUNTA([3]characters!$A:$A),MATCH(AB$1,[3]characters!$2:$2,0)-MATCH("character_id",[3]characters!$2:$2,0)+1),MATCH(AB$1,[3]characters!$2:$2,0)-MATCH("character_id",[3]characters!$2:$2,0)+1,FALSE),"")</f>
        <v/>
      </c>
      <c r="AC242" s="8">
        <v>2</v>
      </c>
      <c r="AD242" s="8" t="str">
        <f t="shared" ca="1" si="119"/>
        <v/>
      </c>
      <c r="AE242" s="9">
        <v>30</v>
      </c>
      <c r="AF242" s="38">
        <v>0</v>
      </c>
      <c r="AG242" s="38">
        <v>0</v>
      </c>
      <c r="AH242" s="38">
        <v>0</v>
      </c>
      <c r="AI242" s="38">
        <v>0</v>
      </c>
      <c r="AJ242" s="38">
        <v>1</v>
      </c>
    </row>
    <row r="243" spans="1:36" ht="21" customHeight="1" x14ac:dyDescent="0.15">
      <c r="A243" s="21" t="e">
        <f t="shared" ca="1" si="128"/>
        <v>#N/A</v>
      </c>
      <c r="B243" s="33">
        <v>6</v>
      </c>
      <c r="C243" s="32">
        <v>5</v>
      </c>
      <c r="D243" s="2" t="str">
        <f t="shared" si="124"/>
        <v>6_5</v>
      </c>
      <c r="E243" s="5" t="str">
        <f ca="1">VLOOKUP($B243,OFFSET([1]quests!$A$1,0,0,COUNTA([1]quests!$A:$A),MATCH(E$1,[1]quests!$1:$1,0)-MATCH($B$1,[1]quests!$1:$1,0)+1),MATCH(E$1,[1]quests!$1:$1,0)-MATCH($B$1,[1]quests!$1:$1,0)+1,FALSE)</f>
        <v>6．ドリームパーク</v>
      </c>
      <c r="F243" s="5" t="str">
        <f ca="1">VLOOKUP($D243,OFFSET([1]stages!$A$1,0,0,COUNTA([1]stages!$A:$A),MATCH(F$1,[1]stages!$2:$2,0)-MATCH($D$1,[1]stages!$2:$2,0)+1),MATCH(F$1,[1]stages!$2:$2,0)-MATCH($D$1,[1]stages!$2:$2,0)+1,FALSE)</f>
        <v>6-5. 来園者の末路</v>
      </c>
      <c r="G243" s="32">
        <v>2</v>
      </c>
      <c r="H243" s="20" t="str">
        <f t="shared" si="125"/>
        <v>6_5-2</v>
      </c>
      <c r="I243" s="31">
        <v>19</v>
      </c>
      <c r="J243" s="26" t="e">
        <f ca="1">VLOOKUP($I243,OFFSET([2]enemies!$A$1,0,0,COUNTA([2]enemies!$A:$A),MATCH(J$1,[2]enemies!$2:$2,0)-MATCH($I$1,[2]enemies!$2:$2,0)+1),MATCH(J$1,[2]enemies!$2:$2,0)-MATCH($I$1,[2]enemies!$2:$2,0)+1,FALSE)</f>
        <v>#N/A</v>
      </c>
      <c r="K243" s="29" t="e">
        <f ca="1">VLOOKUP($I243,OFFSET([2]enemies!$A$1,0,0,COUNTA([2]enemies!$A:$A),MATCH(K$1,[2]enemies!$2:$2,0)-MATCH($I$1,[2]enemies!$2:$2,0)+1),MATCH(K$1,[2]enemies!$2:$2,0)-MATCH($I$1,[2]enemies!$2:$2,0)+1,FALSE)</f>
        <v>#N/A</v>
      </c>
      <c r="L243" s="29" t="e">
        <f ca="1">VLOOKUP($I243,OFFSET([3]characters!$A$1,0,0,COUNTA([3]characters!$A:$A),MATCH(L$1,[3]characters!$2:$2,0)-MATCH($I$1,[3]characters!$2:$2,0)+1),MATCH(L$1,[3]characters!$2:$2,0)-MATCH($I$1,[3]characters!$2:$2,0)+1,FALSE)</f>
        <v>#N/A</v>
      </c>
      <c r="M243" s="28" t="e">
        <f ca="1">VLOOKUP($I243,OFFSET([3]characters!$A$1,0,0,COUNTA([3]characters!$A:$A),MATCH(M$1,[3]characters!$2:$2,0)-MATCH($I$1,[3]characters!$2:$2,0)+2),MATCH(M$1,[3]characters!$2:$2,0)-MATCH($I$1,[3]characters!$2:$2,0)+2,FALSE)</f>
        <v>#N/A</v>
      </c>
      <c r="N243" s="5" t="e">
        <f ca="1">VLOOKUP($I243,OFFSET([2]enemies!$A$1,0,0,COUNTA([2]enemies!$A:$A),MATCH(N$1,[2]enemies!$2:$2,0)-MATCH($I$1,[2]enemies!$2:$2,0)+1),MATCH(N$1,[2]enemies!$2:$2,0)-MATCH($I$1,[2]enemies!$2:$2,0)+1,FALSE)</f>
        <v>#N/A</v>
      </c>
      <c r="O243" s="6">
        <v>11</v>
      </c>
      <c r="P243" s="43">
        <v>1</v>
      </c>
      <c r="Q243" s="43">
        <v>1</v>
      </c>
      <c r="R243" s="6">
        <v>0</v>
      </c>
      <c r="S243" s="5" t="str">
        <f ca="1">VLOOKUP($T243,OFFSET([4]enemy_skill_sets!$B$1,0,0,COUNTA([4]enemy_skill_sets!$B:$B),MATCH(J$1,[4]enemy_skill_sets!$1:$1,0)-MATCH($T$1,[4]enemy_skill_sets!$1:$1,0)+2),MATCH(J$1,[4]enemy_skill_sets!$1:$1,0)-MATCH($T$1,[4]enemy_skill_sets!$1:$1,0)+2,FALSE)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3" s="5">
        <v>0</v>
      </c>
      <c r="U243" s="7">
        <v>0</v>
      </c>
      <c r="V243" s="7">
        <v>100</v>
      </c>
      <c r="W243" s="7">
        <v>0</v>
      </c>
      <c r="X243" s="26" t="e">
        <f ca="1">VLOOKUP($I243,OFFSET([2]enemies!$A$1,0,0,COUNTA([2]enemies!$A:$A),MATCH(X$1,[2]enemies!$2:$2,0)-MATCH($I$1,[2]enemies!$2:$2,0)+1),MATCH(X$1,[2]enemies!$2:$2,0)-MATCH($I$1,[2]enemies!$2:$2,0)+1,FALSE)</f>
        <v>#N/A</v>
      </c>
      <c r="Y243" s="31">
        <v>19</v>
      </c>
      <c r="Z243" s="5" t="str">
        <f ca="1">IFERROR(VLOOKUP($Y243,OFFSET([3]characters!$A$1,0,0,COUNTA([3]characters!$A:$A),MATCH(Z$1,[3]characters!$2:$2,0)-MATCH("character_id",[3]characters!$2:$2,0)+1),MATCH(Z$1,[3]characters!$2:$2,0)-MATCH("character_id",[3]characters!$2:$2,0)+1,FALSE),"")</f>
        <v/>
      </c>
      <c r="AA243" s="5" t="str">
        <f ca="1">IFERROR(VLOOKUP($Y243,OFFSET([3]characters!$A$1,0,0,COUNTA([3]characters!$A:$A),MATCH(AA$1,[3]characters!$2:$2,0)-MATCH("character_id",[3]characters!$2:$2,0)+1),MATCH(AA$1,[3]characters!$2:$2,0)-MATCH("character_id",[3]characters!$2:$2,0)+1,FALSE),"")</f>
        <v/>
      </c>
      <c r="AB243" s="5" t="str">
        <f ca="1">IFERROR(VLOOKUP($Y243,OFFSET([3]characters!$A$1,0,0,COUNTA([3]characters!$A:$A),MATCH(AB$1,[3]characters!$2:$2,0)-MATCH("character_id",[3]characters!$2:$2,0)+1),MATCH(AB$1,[3]characters!$2:$2,0)-MATCH("character_id",[3]characters!$2:$2,0)+1,FALSE),"")</f>
        <v/>
      </c>
      <c r="AC243" s="8">
        <v>2</v>
      </c>
      <c r="AD243" s="8" t="str">
        <f t="shared" ca="1" si="119"/>
        <v/>
      </c>
      <c r="AE243" s="9">
        <v>30</v>
      </c>
      <c r="AF243" s="38">
        <v>0</v>
      </c>
      <c r="AG243" s="38">
        <v>0</v>
      </c>
      <c r="AH243" s="38">
        <v>0</v>
      </c>
      <c r="AI243" s="38">
        <v>0</v>
      </c>
      <c r="AJ243" s="38">
        <v>1</v>
      </c>
    </row>
    <row r="244" spans="1:36" ht="21" customHeight="1" x14ac:dyDescent="0.15">
      <c r="A244" s="21" t="e">
        <f t="shared" ca="1" si="128"/>
        <v>#N/A</v>
      </c>
      <c r="B244" s="33">
        <v>6</v>
      </c>
      <c r="C244" s="32">
        <v>5</v>
      </c>
      <c r="D244" s="2" t="str">
        <f t="shared" si="124"/>
        <v>6_5</v>
      </c>
      <c r="E244" s="5" t="str">
        <f ca="1">VLOOKUP($B244,OFFSET([1]quests!$A$1,0,0,COUNTA([1]quests!$A:$A),MATCH(E$1,[1]quests!$1:$1,0)-MATCH($B$1,[1]quests!$1:$1,0)+1),MATCH(E$1,[1]quests!$1:$1,0)-MATCH($B$1,[1]quests!$1:$1,0)+1,FALSE)</f>
        <v>6．ドリームパーク</v>
      </c>
      <c r="F244" s="5" t="str">
        <f ca="1">VLOOKUP($D244,OFFSET([1]stages!$A$1,0,0,COUNTA([1]stages!$A:$A),MATCH(F$1,[1]stages!$2:$2,0)-MATCH($D$1,[1]stages!$2:$2,0)+1),MATCH(F$1,[1]stages!$2:$2,0)-MATCH($D$1,[1]stages!$2:$2,0)+1,FALSE)</f>
        <v>6-5. 来園者の末路</v>
      </c>
      <c r="G244" s="32">
        <v>2</v>
      </c>
      <c r="H244" s="20" t="str">
        <f t="shared" si="125"/>
        <v>6_5-2</v>
      </c>
      <c r="I244" s="31">
        <v>101</v>
      </c>
      <c r="J244" s="26" t="e">
        <f ca="1">VLOOKUP($I244,OFFSET([2]enemies!$A$1,0,0,COUNTA([2]enemies!$A:$A),MATCH(J$1,[2]enemies!$2:$2,0)-MATCH($I$1,[2]enemies!$2:$2,0)+1),MATCH(J$1,[2]enemies!$2:$2,0)-MATCH($I$1,[2]enemies!$2:$2,0)+1,FALSE)</f>
        <v>#N/A</v>
      </c>
      <c r="K244" s="29" t="e">
        <f ca="1">VLOOKUP($I244,OFFSET([2]enemies!$A$1,0,0,COUNTA([2]enemies!$A:$A),MATCH(K$1,[2]enemies!$2:$2,0)-MATCH($I$1,[2]enemies!$2:$2,0)+1),MATCH(K$1,[2]enemies!$2:$2,0)-MATCH($I$1,[2]enemies!$2:$2,0)+1,FALSE)</f>
        <v>#N/A</v>
      </c>
      <c r="L244" s="29" t="e">
        <f ca="1">VLOOKUP($I244,OFFSET([3]characters!$A$1,0,0,COUNTA([3]characters!$A:$A),MATCH(L$1,[3]characters!$2:$2,0)-MATCH($I$1,[3]characters!$2:$2,0)+1),MATCH(L$1,[3]characters!$2:$2,0)-MATCH($I$1,[3]characters!$2:$2,0)+1,FALSE)</f>
        <v>#N/A</v>
      </c>
      <c r="M244" s="28" t="e">
        <f ca="1">VLOOKUP($I244,OFFSET([3]characters!$A$1,0,0,COUNTA([3]characters!$A:$A),MATCH(M$1,[3]characters!$2:$2,0)-MATCH($I$1,[3]characters!$2:$2,0)+2),MATCH(M$1,[3]characters!$2:$2,0)-MATCH($I$1,[3]characters!$2:$2,0)+2,FALSE)</f>
        <v>#N/A</v>
      </c>
      <c r="N244" s="5" t="e">
        <f ca="1">VLOOKUP($I244,OFFSET([2]enemies!$A$1,0,0,COUNTA([2]enemies!$A:$A),MATCH(N$1,[2]enemies!$2:$2,0)-MATCH($I$1,[2]enemies!$2:$2,0)+1),MATCH(N$1,[2]enemies!$2:$2,0)-MATCH($I$1,[2]enemies!$2:$2,0)+1,FALSE)</f>
        <v>#N/A</v>
      </c>
      <c r="O244" s="6">
        <v>11</v>
      </c>
      <c r="P244" s="43">
        <v>1</v>
      </c>
      <c r="Q244" s="43">
        <v>1</v>
      </c>
      <c r="R244" s="6">
        <v>0</v>
      </c>
      <c r="S244" s="5" t="str">
        <f ca="1">VLOOKUP($T244,OFFSET([4]enemy_skill_sets!$B$1,0,0,COUNTA([4]enemy_skill_sets!$B:$B),MATCH(J$1,[4]enemy_skill_sets!$1:$1,0)-MATCH($T$1,[4]enemy_skill_sets!$1:$1,0)+2),MATCH(J$1,[4]enemy_skill_sets!$1:$1,0)-MATCH($T$1,[4]enemy_skill_sets!$1:$1,0)+2,FALSE)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4" s="5">
        <v>0</v>
      </c>
      <c r="U244" s="7">
        <v>0</v>
      </c>
      <c r="V244" s="7">
        <v>50</v>
      </c>
      <c r="W244" s="7">
        <v>0</v>
      </c>
      <c r="X244" s="26" t="e">
        <f ca="1">VLOOKUP($I244,OFFSET([2]enemies!$A$1,0,0,COUNTA([2]enemies!$A:$A),MATCH(X$1,[2]enemies!$2:$2,0)-MATCH($I$1,[2]enemies!$2:$2,0)+1),MATCH(X$1,[2]enemies!$2:$2,0)-MATCH($I$1,[2]enemies!$2:$2,0)+1,FALSE)</f>
        <v>#N/A</v>
      </c>
      <c r="Y244" s="31">
        <v>101</v>
      </c>
      <c r="Z244" s="5" t="str">
        <f ca="1">IFERROR(VLOOKUP($Y244,OFFSET([3]characters!$A$1,0,0,COUNTA([3]characters!$A:$A),MATCH(Z$1,[3]characters!$2:$2,0)-MATCH("character_id",[3]characters!$2:$2,0)+1),MATCH(Z$1,[3]characters!$2:$2,0)-MATCH("character_id",[3]characters!$2:$2,0)+1,FALSE),"")</f>
        <v/>
      </c>
      <c r="AA244" s="5" t="str">
        <f ca="1">IFERROR(VLOOKUP($Y244,OFFSET([3]characters!$A$1,0,0,COUNTA([3]characters!$A:$A),MATCH(AA$1,[3]characters!$2:$2,0)-MATCH("character_id",[3]characters!$2:$2,0)+1),MATCH(AA$1,[3]characters!$2:$2,0)-MATCH("character_id",[3]characters!$2:$2,0)+1,FALSE),"")</f>
        <v/>
      </c>
      <c r="AB244" s="5" t="str">
        <f ca="1">IFERROR(VLOOKUP($Y244,OFFSET([3]characters!$A$1,0,0,COUNTA([3]characters!$A:$A),MATCH(AB$1,[3]characters!$2:$2,0)-MATCH("character_id",[3]characters!$2:$2,0)+1),MATCH(AB$1,[3]characters!$2:$2,0)-MATCH("character_id",[3]characters!$2:$2,0)+1,FALSE),"")</f>
        <v/>
      </c>
      <c r="AC244" s="8">
        <v>1</v>
      </c>
      <c r="AD244" s="8" t="str">
        <f t="shared" ca="1" si="119"/>
        <v/>
      </c>
      <c r="AE244" s="9">
        <v>20</v>
      </c>
      <c r="AF244" s="38">
        <v>0</v>
      </c>
      <c r="AG244" s="38">
        <v>0</v>
      </c>
      <c r="AH244" s="38">
        <v>0</v>
      </c>
      <c r="AI244" s="38">
        <v>0</v>
      </c>
      <c r="AJ244" s="38">
        <v>1</v>
      </c>
    </row>
    <row r="245" spans="1:36" ht="21" customHeight="1" x14ac:dyDescent="0.15">
      <c r="A245" s="21" t="e">
        <f t="shared" ca="1" si="128"/>
        <v>#N/A</v>
      </c>
      <c r="B245" s="33">
        <v>6</v>
      </c>
      <c r="C245" s="32">
        <v>5</v>
      </c>
      <c r="D245" s="2" t="str">
        <f t="shared" si="124"/>
        <v>6_5</v>
      </c>
      <c r="E245" s="5" t="str">
        <f ca="1">VLOOKUP($B245,OFFSET([1]quests!$A$1,0,0,COUNTA([1]quests!$A:$A),MATCH(E$1,[1]quests!$1:$1,0)-MATCH($B$1,[1]quests!$1:$1,0)+1),MATCH(E$1,[1]quests!$1:$1,0)-MATCH($B$1,[1]quests!$1:$1,0)+1,FALSE)</f>
        <v>6．ドリームパーク</v>
      </c>
      <c r="F245" s="5" t="str">
        <f ca="1">VLOOKUP($D245,OFFSET([1]stages!$A$1,0,0,COUNTA([1]stages!$A:$A),MATCH(F$1,[1]stages!$2:$2,0)-MATCH($D$1,[1]stages!$2:$2,0)+1),MATCH(F$1,[1]stages!$2:$2,0)-MATCH($D$1,[1]stages!$2:$2,0)+1,FALSE)</f>
        <v>6-5. 来園者の末路</v>
      </c>
      <c r="G245" s="32">
        <v>2</v>
      </c>
      <c r="H245" s="20" t="str">
        <f t="shared" si="125"/>
        <v>6_5-2</v>
      </c>
      <c r="I245" s="31">
        <v>105</v>
      </c>
      <c r="J245" s="26" t="e">
        <f ca="1">VLOOKUP($I245,OFFSET([2]enemies!$A$1,0,0,COUNTA([2]enemies!$A:$A),MATCH(J$1,[2]enemies!$2:$2,0)-MATCH($I$1,[2]enemies!$2:$2,0)+1),MATCH(J$1,[2]enemies!$2:$2,0)-MATCH($I$1,[2]enemies!$2:$2,0)+1,FALSE)</f>
        <v>#N/A</v>
      </c>
      <c r="K245" s="29" t="e">
        <f ca="1">VLOOKUP($I245,OFFSET([2]enemies!$A$1,0,0,COUNTA([2]enemies!$A:$A),MATCH(K$1,[2]enemies!$2:$2,0)-MATCH($I$1,[2]enemies!$2:$2,0)+1),MATCH(K$1,[2]enemies!$2:$2,0)-MATCH($I$1,[2]enemies!$2:$2,0)+1,FALSE)</f>
        <v>#N/A</v>
      </c>
      <c r="L245" s="29" t="e">
        <f ca="1">VLOOKUP($I245,OFFSET([3]characters!$A$1,0,0,COUNTA([3]characters!$A:$A),MATCH(L$1,[3]characters!$2:$2,0)-MATCH($I$1,[3]characters!$2:$2,0)+1),MATCH(L$1,[3]characters!$2:$2,0)-MATCH($I$1,[3]characters!$2:$2,0)+1,FALSE)</f>
        <v>#N/A</v>
      </c>
      <c r="M245" s="28" t="e">
        <f ca="1">VLOOKUP($I245,OFFSET([3]characters!$A$1,0,0,COUNTA([3]characters!$A:$A),MATCH(M$1,[3]characters!$2:$2,0)-MATCH($I$1,[3]characters!$2:$2,0)+2),MATCH(M$1,[3]characters!$2:$2,0)-MATCH($I$1,[3]characters!$2:$2,0)+2,FALSE)</f>
        <v>#N/A</v>
      </c>
      <c r="N245" s="5" t="e">
        <f ca="1">VLOOKUP($I245,OFFSET([2]enemies!$A$1,0,0,COUNTA([2]enemies!$A:$A),MATCH(N$1,[2]enemies!$2:$2,0)-MATCH($I$1,[2]enemies!$2:$2,0)+1),MATCH(N$1,[2]enemies!$2:$2,0)-MATCH($I$1,[2]enemies!$2:$2,0)+1,FALSE)</f>
        <v>#N/A</v>
      </c>
      <c r="O245" s="6">
        <v>11</v>
      </c>
      <c r="P245" s="43">
        <v>1</v>
      </c>
      <c r="Q245" s="43">
        <v>1</v>
      </c>
      <c r="R245" s="6">
        <v>0</v>
      </c>
      <c r="S245" s="5" t="str">
        <f ca="1">VLOOKUP($T245,OFFSET([4]enemy_skill_sets!$B$1,0,0,COUNTA([4]enemy_skill_sets!$B:$B),MATCH(J$1,[4]enemy_skill_sets!$1:$1,0)-MATCH($T$1,[4]enemy_skill_sets!$1:$1,0)+2),MATCH(J$1,[4]enemy_skill_sets!$1:$1,0)-MATCH($T$1,[4]enemy_skill_sets!$1:$1,0)+2,FALSE)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5" s="5">
        <v>0</v>
      </c>
      <c r="U245" s="7">
        <v>0</v>
      </c>
      <c r="V245" s="7">
        <v>50</v>
      </c>
      <c r="W245" s="7">
        <v>0</v>
      </c>
      <c r="X245" s="26" t="e">
        <f ca="1">VLOOKUP($I245,OFFSET([2]enemies!$A$1,0,0,COUNTA([2]enemies!$A:$A),MATCH(X$1,[2]enemies!$2:$2,0)-MATCH($I$1,[2]enemies!$2:$2,0)+1),MATCH(X$1,[2]enemies!$2:$2,0)-MATCH($I$1,[2]enemies!$2:$2,0)+1,FALSE)</f>
        <v>#N/A</v>
      </c>
      <c r="Y245" s="31">
        <v>105</v>
      </c>
      <c r="Z245" s="5" t="str">
        <f ca="1">IFERROR(VLOOKUP($Y245,OFFSET([3]characters!$A$1,0,0,COUNTA([3]characters!$A:$A),MATCH(Z$1,[3]characters!$2:$2,0)-MATCH("character_id",[3]characters!$2:$2,0)+1),MATCH(Z$1,[3]characters!$2:$2,0)-MATCH("character_id",[3]characters!$2:$2,0)+1,FALSE),"")</f>
        <v/>
      </c>
      <c r="AA245" s="5" t="str">
        <f ca="1">IFERROR(VLOOKUP($Y245,OFFSET([3]characters!$A$1,0,0,COUNTA([3]characters!$A:$A),MATCH(AA$1,[3]characters!$2:$2,0)-MATCH("character_id",[3]characters!$2:$2,0)+1),MATCH(AA$1,[3]characters!$2:$2,0)-MATCH("character_id",[3]characters!$2:$2,0)+1,FALSE),"")</f>
        <v/>
      </c>
      <c r="AB245" s="5" t="str">
        <f ca="1">IFERROR(VLOOKUP($Y245,OFFSET([3]characters!$A$1,0,0,COUNTA([3]characters!$A:$A),MATCH(AB$1,[3]characters!$2:$2,0)-MATCH("character_id",[3]characters!$2:$2,0)+1),MATCH(AB$1,[3]characters!$2:$2,0)-MATCH("character_id",[3]characters!$2:$2,0)+1,FALSE),"")</f>
        <v/>
      </c>
      <c r="AC245" s="8">
        <v>1</v>
      </c>
      <c r="AD245" s="8" t="str">
        <f t="shared" ca="1" si="119"/>
        <v/>
      </c>
      <c r="AE245" s="9">
        <v>20</v>
      </c>
      <c r="AF245" s="38">
        <v>0</v>
      </c>
      <c r="AG245" s="38">
        <v>0</v>
      </c>
      <c r="AH245" s="38">
        <v>0</v>
      </c>
      <c r="AI245" s="38">
        <v>0</v>
      </c>
      <c r="AJ245" s="38">
        <v>1</v>
      </c>
    </row>
    <row r="246" spans="1:36" ht="21" customHeight="1" x14ac:dyDescent="0.15">
      <c r="A246" s="21" t="e">
        <f t="shared" ca="1" si="128"/>
        <v>#N/A</v>
      </c>
      <c r="B246" s="33">
        <v>6</v>
      </c>
      <c r="C246" s="32">
        <v>5</v>
      </c>
      <c r="D246" s="2" t="str">
        <f t="shared" si="124"/>
        <v>6_5</v>
      </c>
      <c r="E246" s="5" t="str">
        <f ca="1">VLOOKUP($B246,OFFSET([1]quests!$A$1,0,0,COUNTA([1]quests!$A:$A),MATCH(E$1,[1]quests!$1:$1,0)-MATCH($B$1,[1]quests!$1:$1,0)+1),MATCH(E$1,[1]quests!$1:$1,0)-MATCH($B$1,[1]quests!$1:$1,0)+1,FALSE)</f>
        <v>6．ドリームパーク</v>
      </c>
      <c r="F246" s="5" t="str">
        <f ca="1">VLOOKUP($D246,OFFSET([1]stages!$A$1,0,0,COUNTA([1]stages!$A:$A),MATCH(F$1,[1]stages!$2:$2,0)-MATCH($D$1,[1]stages!$2:$2,0)+1),MATCH(F$1,[1]stages!$2:$2,0)-MATCH($D$1,[1]stages!$2:$2,0)+1,FALSE)</f>
        <v>6-5. 来園者の末路</v>
      </c>
      <c r="G246" s="32">
        <v>3</v>
      </c>
      <c r="H246" s="20" t="str">
        <f t="shared" si="125"/>
        <v>6_5-3</v>
      </c>
      <c r="I246" s="31">
        <v>15</v>
      </c>
      <c r="J246" s="26" t="e">
        <f ca="1">VLOOKUP($I246,OFFSET([2]enemies!$A$1,0,0,COUNTA([2]enemies!$A:$A),MATCH(J$1,[2]enemies!$2:$2,0)-MATCH($I$1,[2]enemies!$2:$2,0)+1),MATCH(J$1,[2]enemies!$2:$2,0)-MATCH($I$1,[2]enemies!$2:$2,0)+1,FALSE)</f>
        <v>#N/A</v>
      </c>
      <c r="K246" s="29" t="e">
        <f ca="1">VLOOKUP($I246,OFFSET([2]enemies!$A$1,0,0,COUNTA([2]enemies!$A:$A),MATCH(K$1,[2]enemies!$2:$2,0)-MATCH($I$1,[2]enemies!$2:$2,0)+1),MATCH(K$1,[2]enemies!$2:$2,0)-MATCH($I$1,[2]enemies!$2:$2,0)+1,FALSE)</f>
        <v>#N/A</v>
      </c>
      <c r="L246" s="29" t="e">
        <f ca="1">VLOOKUP($I246,OFFSET([3]characters!$A$1,0,0,COUNTA([3]characters!$A:$A),MATCH(L$1,[3]characters!$2:$2,0)-MATCH($I$1,[3]characters!$2:$2,0)+1),MATCH(L$1,[3]characters!$2:$2,0)-MATCH($I$1,[3]characters!$2:$2,0)+1,FALSE)</f>
        <v>#N/A</v>
      </c>
      <c r="M246" s="28" t="e">
        <f ca="1">VLOOKUP($I246,OFFSET([3]characters!$A$1,0,0,COUNTA([3]characters!$A:$A),MATCH(M$1,[3]characters!$2:$2,0)-MATCH($I$1,[3]characters!$2:$2,0)+2),MATCH(M$1,[3]characters!$2:$2,0)-MATCH($I$1,[3]characters!$2:$2,0)+2,FALSE)</f>
        <v>#N/A</v>
      </c>
      <c r="N246" s="5" t="e">
        <f ca="1">VLOOKUP($I246,OFFSET([2]enemies!$A$1,0,0,COUNTA([2]enemies!$A:$A),MATCH(N$1,[2]enemies!$2:$2,0)-MATCH($I$1,[2]enemies!$2:$2,0)+1),MATCH(N$1,[2]enemies!$2:$2,0)-MATCH($I$1,[2]enemies!$2:$2,0)+1,FALSE)</f>
        <v>#N/A</v>
      </c>
      <c r="O246" s="6">
        <v>11</v>
      </c>
      <c r="P246" s="43">
        <v>1</v>
      </c>
      <c r="Q246" s="43">
        <v>1</v>
      </c>
      <c r="R246" s="6">
        <v>0</v>
      </c>
      <c r="S246" s="5" t="str">
        <f ca="1">VLOOKUP($T246,OFFSET([4]enemy_skill_sets!$B$1,0,0,COUNTA([4]enemy_skill_sets!$B:$B),MATCH(J$1,[4]enemy_skill_sets!$1:$1,0)-MATCH($T$1,[4]enemy_skill_sets!$1:$1,0)+2),MATCH(J$1,[4]enemy_skill_sets!$1:$1,0)-MATCH($T$1,[4]enemy_skill_sets!$1:$1,0)+2,FALSE)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6" s="5">
        <v>0</v>
      </c>
      <c r="U246" s="7">
        <v>0</v>
      </c>
      <c r="V246" s="7">
        <v>100</v>
      </c>
      <c r="W246" s="7">
        <v>0</v>
      </c>
      <c r="X246" s="26" t="e">
        <f ca="1">VLOOKUP($I246,OFFSET([2]enemies!$A$1,0,0,COUNTA([2]enemies!$A:$A),MATCH(X$1,[2]enemies!$2:$2,0)-MATCH($I$1,[2]enemies!$2:$2,0)+1),MATCH(X$1,[2]enemies!$2:$2,0)-MATCH($I$1,[2]enemies!$2:$2,0)+1,FALSE)</f>
        <v>#N/A</v>
      </c>
      <c r="Y246" s="31">
        <v>15</v>
      </c>
      <c r="Z246" s="5" t="str">
        <f ca="1">IFERROR(VLOOKUP($Y246,OFFSET([3]characters!$A$1,0,0,COUNTA([3]characters!$A:$A),MATCH(Z$1,[3]characters!$2:$2,0)-MATCH("character_id",[3]characters!$2:$2,0)+1),MATCH(Z$1,[3]characters!$2:$2,0)-MATCH("character_id",[3]characters!$2:$2,0)+1,FALSE),"")</f>
        <v/>
      </c>
      <c r="AA246" s="5" t="str">
        <f ca="1">IFERROR(VLOOKUP($Y246,OFFSET([3]characters!$A$1,0,0,COUNTA([3]characters!$A:$A),MATCH(AA$1,[3]characters!$2:$2,0)-MATCH("character_id",[3]characters!$2:$2,0)+1),MATCH(AA$1,[3]characters!$2:$2,0)-MATCH("character_id",[3]characters!$2:$2,0)+1,FALSE),"")</f>
        <v/>
      </c>
      <c r="AB246" s="5" t="str">
        <f ca="1">IFERROR(VLOOKUP($Y246,OFFSET([3]characters!$A$1,0,0,COUNTA([3]characters!$A:$A),MATCH(AB$1,[3]characters!$2:$2,0)-MATCH("character_id",[3]characters!$2:$2,0)+1),MATCH(AB$1,[3]characters!$2:$2,0)-MATCH("character_id",[3]characters!$2:$2,0)+1,FALSE),"")</f>
        <v/>
      </c>
      <c r="AC246" s="8">
        <v>2</v>
      </c>
      <c r="AD246" s="8" t="str">
        <f t="shared" ref="AD246:AD271" ca="1" si="129">AA246</f>
        <v/>
      </c>
      <c r="AE246" s="9">
        <v>30</v>
      </c>
      <c r="AF246" s="38">
        <v>0</v>
      </c>
      <c r="AG246" s="38">
        <v>0</v>
      </c>
      <c r="AH246" s="38">
        <v>0</v>
      </c>
      <c r="AI246" s="38">
        <v>0</v>
      </c>
      <c r="AJ246" s="38">
        <v>1</v>
      </c>
    </row>
    <row r="247" spans="1:36" ht="21" customHeight="1" x14ac:dyDescent="0.15">
      <c r="A247" s="21" t="e">
        <f t="shared" ca="1" si="128"/>
        <v>#N/A</v>
      </c>
      <c r="B247" s="33">
        <v>6</v>
      </c>
      <c r="C247" s="32">
        <v>5</v>
      </c>
      <c r="D247" s="2" t="str">
        <f t="shared" si="124"/>
        <v>6_5</v>
      </c>
      <c r="E247" s="5" t="str">
        <f ca="1">VLOOKUP($B247,OFFSET([1]quests!$A$1,0,0,COUNTA([1]quests!$A:$A),MATCH(E$1,[1]quests!$1:$1,0)-MATCH($B$1,[1]quests!$1:$1,0)+1),MATCH(E$1,[1]quests!$1:$1,0)-MATCH($B$1,[1]quests!$1:$1,0)+1,FALSE)</f>
        <v>6．ドリームパーク</v>
      </c>
      <c r="F247" s="5" t="str">
        <f ca="1">VLOOKUP($D247,OFFSET([1]stages!$A$1,0,0,COUNTA([1]stages!$A:$A),MATCH(F$1,[1]stages!$2:$2,0)-MATCH($D$1,[1]stages!$2:$2,0)+1),MATCH(F$1,[1]stages!$2:$2,0)-MATCH($D$1,[1]stages!$2:$2,0)+1,FALSE)</f>
        <v>6-5. 来園者の末路</v>
      </c>
      <c r="G247" s="32">
        <v>3</v>
      </c>
      <c r="H247" s="20" t="str">
        <f t="shared" si="125"/>
        <v>6_5-3</v>
      </c>
      <c r="I247" s="31">
        <v>17</v>
      </c>
      <c r="J247" s="26" t="e">
        <f ca="1">VLOOKUP($I247,OFFSET([2]enemies!$A$1,0,0,COUNTA([2]enemies!$A:$A),MATCH(J$1,[2]enemies!$2:$2,0)-MATCH($I$1,[2]enemies!$2:$2,0)+1),MATCH(J$1,[2]enemies!$2:$2,0)-MATCH($I$1,[2]enemies!$2:$2,0)+1,FALSE)</f>
        <v>#N/A</v>
      </c>
      <c r="K247" s="29" t="e">
        <f ca="1">VLOOKUP($I247,OFFSET([2]enemies!$A$1,0,0,COUNTA([2]enemies!$A:$A),MATCH(K$1,[2]enemies!$2:$2,0)-MATCH($I$1,[2]enemies!$2:$2,0)+1),MATCH(K$1,[2]enemies!$2:$2,0)-MATCH($I$1,[2]enemies!$2:$2,0)+1,FALSE)</f>
        <v>#N/A</v>
      </c>
      <c r="L247" s="29" t="e">
        <f ca="1">VLOOKUP($I247,OFFSET([3]characters!$A$1,0,0,COUNTA([3]characters!$A:$A),MATCH(L$1,[3]characters!$2:$2,0)-MATCH($I$1,[3]characters!$2:$2,0)+1),MATCH(L$1,[3]characters!$2:$2,0)-MATCH($I$1,[3]characters!$2:$2,0)+1,FALSE)</f>
        <v>#N/A</v>
      </c>
      <c r="M247" s="28" t="e">
        <f ca="1">VLOOKUP($I247,OFFSET([3]characters!$A$1,0,0,COUNTA([3]characters!$A:$A),MATCH(M$1,[3]characters!$2:$2,0)-MATCH($I$1,[3]characters!$2:$2,0)+2),MATCH(M$1,[3]characters!$2:$2,0)-MATCH($I$1,[3]characters!$2:$2,0)+2,FALSE)</f>
        <v>#N/A</v>
      </c>
      <c r="N247" s="5" t="e">
        <f ca="1">VLOOKUP($I247,OFFSET([2]enemies!$A$1,0,0,COUNTA([2]enemies!$A:$A),MATCH(N$1,[2]enemies!$2:$2,0)-MATCH($I$1,[2]enemies!$2:$2,0)+1),MATCH(N$1,[2]enemies!$2:$2,0)-MATCH($I$1,[2]enemies!$2:$2,0)+1,FALSE)</f>
        <v>#N/A</v>
      </c>
      <c r="O247" s="6">
        <v>11</v>
      </c>
      <c r="P247" s="43">
        <v>1</v>
      </c>
      <c r="Q247" s="43">
        <v>1</v>
      </c>
      <c r="R247" s="6">
        <v>0</v>
      </c>
      <c r="S247" s="5" t="str">
        <f ca="1">VLOOKUP($T247,OFFSET([4]enemy_skill_sets!$B$1,0,0,COUNTA([4]enemy_skill_sets!$B:$B),MATCH(J$1,[4]enemy_skill_sets!$1:$1,0)-MATCH($T$1,[4]enemy_skill_sets!$1:$1,0)+2),MATCH(J$1,[4]enemy_skill_sets!$1:$1,0)-MATCH($T$1,[4]enemy_skill_sets!$1:$1,0)+2,FALSE)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7" s="5">
        <v>0</v>
      </c>
      <c r="U247" s="7">
        <v>0</v>
      </c>
      <c r="V247" s="7">
        <v>100</v>
      </c>
      <c r="W247" s="7">
        <v>0</v>
      </c>
      <c r="X247" s="26" t="e">
        <f ca="1">VLOOKUP($I247,OFFSET([2]enemies!$A$1,0,0,COUNTA([2]enemies!$A:$A),MATCH(X$1,[2]enemies!$2:$2,0)-MATCH($I$1,[2]enemies!$2:$2,0)+1),MATCH(X$1,[2]enemies!$2:$2,0)-MATCH($I$1,[2]enemies!$2:$2,0)+1,FALSE)</f>
        <v>#N/A</v>
      </c>
      <c r="Y247" s="31">
        <v>17</v>
      </c>
      <c r="Z247" s="5" t="str">
        <f ca="1">IFERROR(VLOOKUP($Y247,OFFSET([3]characters!$A$1,0,0,COUNTA([3]characters!$A:$A),MATCH(Z$1,[3]characters!$2:$2,0)-MATCH("character_id",[3]characters!$2:$2,0)+1),MATCH(Z$1,[3]characters!$2:$2,0)-MATCH("character_id",[3]characters!$2:$2,0)+1,FALSE),"")</f>
        <v/>
      </c>
      <c r="AA247" s="5" t="str">
        <f ca="1">IFERROR(VLOOKUP($Y247,OFFSET([3]characters!$A$1,0,0,COUNTA([3]characters!$A:$A),MATCH(AA$1,[3]characters!$2:$2,0)-MATCH("character_id",[3]characters!$2:$2,0)+1),MATCH(AA$1,[3]characters!$2:$2,0)-MATCH("character_id",[3]characters!$2:$2,0)+1,FALSE),"")</f>
        <v/>
      </c>
      <c r="AB247" s="5" t="str">
        <f ca="1">IFERROR(VLOOKUP($Y247,OFFSET([3]characters!$A$1,0,0,COUNTA([3]characters!$A:$A),MATCH(AB$1,[3]characters!$2:$2,0)-MATCH("character_id",[3]characters!$2:$2,0)+1),MATCH(AB$1,[3]characters!$2:$2,0)-MATCH("character_id",[3]characters!$2:$2,0)+1,FALSE),"")</f>
        <v/>
      </c>
      <c r="AC247" s="8">
        <v>2</v>
      </c>
      <c r="AD247" s="8" t="str">
        <f t="shared" ca="1" si="129"/>
        <v/>
      </c>
      <c r="AE247" s="9">
        <v>30</v>
      </c>
      <c r="AF247" s="38">
        <v>0</v>
      </c>
      <c r="AG247" s="38">
        <v>0</v>
      </c>
      <c r="AH247" s="38">
        <v>0</v>
      </c>
      <c r="AI247" s="38">
        <v>0</v>
      </c>
      <c r="AJ247" s="38">
        <v>1</v>
      </c>
    </row>
    <row r="248" spans="1:36" ht="21" customHeight="1" x14ac:dyDescent="0.15">
      <c r="A248" s="21" t="e">
        <f t="shared" ca="1" si="128"/>
        <v>#N/A</v>
      </c>
      <c r="B248" s="33">
        <v>6</v>
      </c>
      <c r="C248" s="32">
        <v>5</v>
      </c>
      <c r="D248" s="2" t="str">
        <f t="shared" si="124"/>
        <v>6_5</v>
      </c>
      <c r="E248" s="5" t="str">
        <f ca="1">VLOOKUP($B248,OFFSET([1]quests!$A$1,0,0,COUNTA([1]quests!$A:$A),MATCH(E$1,[1]quests!$1:$1,0)-MATCH($B$1,[1]quests!$1:$1,0)+1),MATCH(E$1,[1]quests!$1:$1,0)-MATCH($B$1,[1]quests!$1:$1,0)+1,FALSE)</f>
        <v>6．ドリームパーク</v>
      </c>
      <c r="F248" s="5" t="str">
        <f ca="1">VLOOKUP($D248,OFFSET([1]stages!$A$1,0,0,COUNTA([1]stages!$A:$A),MATCH(F$1,[1]stages!$2:$2,0)-MATCH($D$1,[1]stages!$2:$2,0)+1),MATCH(F$1,[1]stages!$2:$2,0)-MATCH($D$1,[1]stages!$2:$2,0)+1,FALSE)</f>
        <v>6-5. 来園者の末路</v>
      </c>
      <c r="G248" s="32">
        <v>3</v>
      </c>
      <c r="H248" s="20" t="str">
        <f t="shared" si="125"/>
        <v>6_5-3</v>
      </c>
      <c r="I248" s="31">
        <v>19</v>
      </c>
      <c r="J248" s="26" t="e">
        <f ca="1">VLOOKUP($I248,OFFSET([2]enemies!$A$1,0,0,COUNTA([2]enemies!$A:$A),MATCH(J$1,[2]enemies!$2:$2,0)-MATCH($I$1,[2]enemies!$2:$2,0)+1),MATCH(J$1,[2]enemies!$2:$2,0)-MATCH($I$1,[2]enemies!$2:$2,0)+1,FALSE)</f>
        <v>#N/A</v>
      </c>
      <c r="K248" s="29" t="e">
        <f ca="1">VLOOKUP($I248,OFFSET([2]enemies!$A$1,0,0,COUNTA([2]enemies!$A:$A),MATCH(K$1,[2]enemies!$2:$2,0)-MATCH($I$1,[2]enemies!$2:$2,0)+1),MATCH(K$1,[2]enemies!$2:$2,0)-MATCH($I$1,[2]enemies!$2:$2,0)+1,FALSE)</f>
        <v>#N/A</v>
      </c>
      <c r="L248" s="29" t="e">
        <f ca="1">VLOOKUP($I248,OFFSET([3]characters!$A$1,0,0,COUNTA([3]characters!$A:$A),MATCH(L$1,[3]characters!$2:$2,0)-MATCH($I$1,[3]characters!$2:$2,0)+1),MATCH(L$1,[3]characters!$2:$2,0)-MATCH($I$1,[3]characters!$2:$2,0)+1,FALSE)</f>
        <v>#N/A</v>
      </c>
      <c r="M248" s="28" t="e">
        <f ca="1">VLOOKUP($I248,OFFSET([3]characters!$A$1,0,0,COUNTA([3]characters!$A:$A),MATCH(M$1,[3]characters!$2:$2,0)-MATCH($I$1,[3]characters!$2:$2,0)+2),MATCH(M$1,[3]characters!$2:$2,0)-MATCH($I$1,[3]characters!$2:$2,0)+2,FALSE)</f>
        <v>#N/A</v>
      </c>
      <c r="N248" s="5" t="e">
        <f ca="1">VLOOKUP($I248,OFFSET([2]enemies!$A$1,0,0,COUNTA([2]enemies!$A:$A),MATCH(N$1,[2]enemies!$2:$2,0)-MATCH($I$1,[2]enemies!$2:$2,0)+1),MATCH(N$1,[2]enemies!$2:$2,0)-MATCH($I$1,[2]enemies!$2:$2,0)+1,FALSE)</f>
        <v>#N/A</v>
      </c>
      <c r="O248" s="6">
        <v>11</v>
      </c>
      <c r="P248" s="43">
        <v>1</v>
      </c>
      <c r="Q248" s="43">
        <v>1</v>
      </c>
      <c r="R248" s="6">
        <v>0</v>
      </c>
      <c r="S248" s="5" t="str">
        <f ca="1">VLOOKUP($T248,OFFSET([4]enemy_skill_sets!$B$1,0,0,COUNTA([4]enemy_skill_sets!$B:$B),MATCH(J$1,[4]enemy_skill_sets!$1:$1,0)-MATCH($T$1,[4]enemy_skill_sets!$1:$1,0)+2),MATCH(J$1,[4]enemy_skill_sets!$1:$1,0)-MATCH($T$1,[4]enemy_skill_sets!$1:$1,0)+2,FALSE)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8" s="5">
        <v>0</v>
      </c>
      <c r="U248" s="7">
        <v>0</v>
      </c>
      <c r="V248" s="7">
        <v>100</v>
      </c>
      <c r="W248" s="7">
        <v>0</v>
      </c>
      <c r="X248" s="26" t="e">
        <f ca="1">VLOOKUP($I248,OFFSET([2]enemies!$A$1,0,0,COUNTA([2]enemies!$A:$A),MATCH(X$1,[2]enemies!$2:$2,0)-MATCH($I$1,[2]enemies!$2:$2,0)+1),MATCH(X$1,[2]enemies!$2:$2,0)-MATCH($I$1,[2]enemies!$2:$2,0)+1,FALSE)</f>
        <v>#N/A</v>
      </c>
      <c r="Y248" s="31">
        <v>19</v>
      </c>
      <c r="Z248" s="5" t="str">
        <f ca="1">IFERROR(VLOOKUP($Y248,OFFSET([3]characters!$A$1,0,0,COUNTA([3]characters!$A:$A),MATCH(Z$1,[3]characters!$2:$2,0)-MATCH("character_id",[3]characters!$2:$2,0)+1),MATCH(Z$1,[3]characters!$2:$2,0)-MATCH("character_id",[3]characters!$2:$2,0)+1,FALSE),"")</f>
        <v/>
      </c>
      <c r="AA248" s="5" t="str">
        <f ca="1">IFERROR(VLOOKUP($Y248,OFFSET([3]characters!$A$1,0,0,COUNTA([3]characters!$A:$A),MATCH(AA$1,[3]characters!$2:$2,0)-MATCH("character_id",[3]characters!$2:$2,0)+1),MATCH(AA$1,[3]characters!$2:$2,0)-MATCH("character_id",[3]characters!$2:$2,0)+1,FALSE),"")</f>
        <v/>
      </c>
      <c r="AB248" s="5" t="str">
        <f ca="1">IFERROR(VLOOKUP($Y248,OFFSET([3]characters!$A$1,0,0,COUNTA([3]characters!$A:$A),MATCH(AB$1,[3]characters!$2:$2,0)-MATCH("character_id",[3]characters!$2:$2,0)+1),MATCH(AB$1,[3]characters!$2:$2,0)-MATCH("character_id",[3]characters!$2:$2,0)+1,FALSE),"")</f>
        <v/>
      </c>
      <c r="AC248" s="8">
        <v>2</v>
      </c>
      <c r="AD248" s="8" t="str">
        <f t="shared" ca="1" si="129"/>
        <v/>
      </c>
      <c r="AE248" s="9">
        <v>30</v>
      </c>
      <c r="AF248" s="38">
        <v>0</v>
      </c>
      <c r="AG248" s="38">
        <v>0</v>
      </c>
      <c r="AH248" s="38">
        <v>0</v>
      </c>
      <c r="AI248" s="38">
        <v>0</v>
      </c>
      <c r="AJ248" s="38">
        <v>1</v>
      </c>
    </row>
    <row r="249" spans="1:36" ht="21" customHeight="1" x14ac:dyDescent="0.15">
      <c r="A249" s="21" t="e">
        <f t="shared" ca="1" si="128"/>
        <v>#N/A</v>
      </c>
      <c r="B249" s="33">
        <v>6</v>
      </c>
      <c r="C249" s="32">
        <v>5</v>
      </c>
      <c r="D249" s="2" t="str">
        <f t="shared" si="124"/>
        <v>6_5</v>
      </c>
      <c r="E249" s="5" t="str">
        <f ca="1">VLOOKUP($B249,OFFSET([1]quests!$A$1,0,0,COUNTA([1]quests!$A:$A),MATCH(E$1,[1]quests!$1:$1,0)-MATCH($B$1,[1]quests!$1:$1,0)+1),MATCH(E$1,[1]quests!$1:$1,0)-MATCH($B$1,[1]quests!$1:$1,0)+1,FALSE)</f>
        <v>6．ドリームパーク</v>
      </c>
      <c r="F249" s="5" t="str">
        <f ca="1">VLOOKUP($D249,OFFSET([1]stages!$A$1,0,0,COUNTA([1]stages!$A:$A),MATCH(F$1,[1]stages!$2:$2,0)-MATCH($D$1,[1]stages!$2:$2,0)+1),MATCH(F$1,[1]stages!$2:$2,0)-MATCH($D$1,[1]stages!$2:$2,0)+1,FALSE)</f>
        <v>6-5. 来園者の末路</v>
      </c>
      <c r="G249" s="32">
        <v>3</v>
      </c>
      <c r="H249" s="20" t="str">
        <f t="shared" si="125"/>
        <v>6_5-3</v>
      </c>
      <c r="I249" s="31">
        <v>23</v>
      </c>
      <c r="J249" s="26" t="e">
        <f ca="1">VLOOKUP($I249,OFFSET([2]enemies!$A$1,0,0,COUNTA([2]enemies!$A:$A),MATCH(J$1,[2]enemies!$2:$2,0)-MATCH($I$1,[2]enemies!$2:$2,0)+1),MATCH(J$1,[2]enemies!$2:$2,0)-MATCH($I$1,[2]enemies!$2:$2,0)+1,FALSE)</f>
        <v>#N/A</v>
      </c>
      <c r="K249" s="29" t="e">
        <f ca="1">VLOOKUP($I249,OFFSET([2]enemies!$A$1,0,0,COUNTA([2]enemies!$A:$A),MATCH(K$1,[2]enemies!$2:$2,0)-MATCH($I$1,[2]enemies!$2:$2,0)+1),MATCH(K$1,[2]enemies!$2:$2,0)-MATCH($I$1,[2]enemies!$2:$2,0)+1,FALSE)</f>
        <v>#N/A</v>
      </c>
      <c r="L249" s="29" t="e">
        <f ca="1">VLOOKUP($I249,OFFSET([3]characters!$A$1,0,0,COUNTA([3]characters!$A:$A),MATCH(L$1,[3]characters!$2:$2,0)-MATCH($I$1,[3]characters!$2:$2,0)+1),MATCH(L$1,[3]characters!$2:$2,0)-MATCH($I$1,[3]characters!$2:$2,0)+1,FALSE)</f>
        <v>#N/A</v>
      </c>
      <c r="M249" s="28" t="e">
        <f ca="1">VLOOKUP($I249,OFFSET([3]characters!$A$1,0,0,COUNTA([3]characters!$A:$A),MATCH(M$1,[3]characters!$2:$2,0)-MATCH($I$1,[3]characters!$2:$2,0)+2),MATCH(M$1,[3]characters!$2:$2,0)-MATCH($I$1,[3]characters!$2:$2,0)+2,FALSE)</f>
        <v>#N/A</v>
      </c>
      <c r="N249" s="5" t="e">
        <f ca="1">VLOOKUP($I249,OFFSET([2]enemies!$A$1,0,0,COUNTA([2]enemies!$A:$A),MATCH(N$1,[2]enemies!$2:$2,0)-MATCH($I$1,[2]enemies!$2:$2,0)+1),MATCH(N$1,[2]enemies!$2:$2,0)-MATCH($I$1,[2]enemies!$2:$2,0)+1,FALSE)</f>
        <v>#N/A</v>
      </c>
      <c r="O249" s="6">
        <v>11</v>
      </c>
      <c r="P249" s="43">
        <v>1</v>
      </c>
      <c r="Q249" s="43">
        <v>1</v>
      </c>
      <c r="R249" s="6">
        <v>0</v>
      </c>
      <c r="S249" s="5" t="str">
        <f ca="1">VLOOKUP($T249,OFFSET([4]enemy_skill_sets!$B$1,0,0,COUNTA([4]enemy_skill_sets!$B:$B),MATCH(J$1,[4]enemy_skill_sets!$1:$1,0)-MATCH($T$1,[4]enemy_skill_sets!$1:$1,0)+2),MATCH(J$1,[4]enemy_skill_sets!$1:$1,0)-MATCH($T$1,[4]enemy_skill_sets!$1:$1,0)+2,FALSE)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9" s="5">
        <v>0</v>
      </c>
      <c r="U249" s="7">
        <v>0</v>
      </c>
      <c r="V249" s="7">
        <v>100</v>
      </c>
      <c r="W249" s="7">
        <v>0</v>
      </c>
      <c r="X249" s="26" t="e">
        <f ca="1">VLOOKUP($I249,OFFSET([2]enemies!$A$1,0,0,COUNTA([2]enemies!$A:$A),MATCH(X$1,[2]enemies!$2:$2,0)-MATCH($I$1,[2]enemies!$2:$2,0)+1),MATCH(X$1,[2]enemies!$2:$2,0)-MATCH($I$1,[2]enemies!$2:$2,0)+1,FALSE)</f>
        <v>#N/A</v>
      </c>
      <c r="Y249" s="31">
        <v>23</v>
      </c>
      <c r="Z249" s="5" t="str">
        <f ca="1">IFERROR(VLOOKUP($Y249,OFFSET([3]characters!$A$1,0,0,COUNTA([3]characters!$A:$A),MATCH(Z$1,[3]characters!$2:$2,0)-MATCH("character_id",[3]characters!$2:$2,0)+1),MATCH(Z$1,[3]characters!$2:$2,0)-MATCH("character_id",[3]characters!$2:$2,0)+1,FALSE),"")</f>
        <v/>
      </c>
      <c r="AA249" s="5" t="str">
        <f ca="1">IFERROR(VLOOKUP($Y249,OFFSET([3]characters!$A$1,0,0,COUNTA([3]characters!$A:$A),MATCH(AA$1,[3]characters!$2:$2,0)-MATCH("character_id",[3]characters!$2:$2,0)+1),MATCH(AA$1,[3]characters!$2:$2,0)-MATCH("character_id",[3]characters!$2:$2,0)+1,FALSE),"")</f>
        <v/>
      </c>
      <c r="AB249" s="5" t="str">
        <f ca="1">IFERROR(VLOOKUP($Y249,OFFSET([3]characters!$A$1,0,0,COUNTA([3]characters!$A:$A),MATCH(AB$1,[3]characters!$2:$2,0)-MATCH("character_id",[3]characters!$2:$2,0)+1),MATCH(AB$1,[3]characters!$2:$2,0)-MATCH("character_id",[3]characters!$2:$2,0)+1,FALSE),"")</f>
        <v/>
      </c>
      <c r="AC249" s="8">
        <v>1</v>
      </c>
      <c r="AD249" s="8" t="str">
        <f t="shared" ca="1" si="129"/>
        <v/>
      </c>
      <c r="AE249" s="9">
        <v>30</v>
      </c>
      <c r="AF249" s="38">
        <v>0</v>
      </c>
      <c r="AG249" s="38">
        <v>0</v>
      </c>
      <c r="AH249" s="38">
        <v>0</v>
      </c>
      <c r="AI249" s="38">
        <v>0</v>
      </c>
      <c r="AJ249" s="38">
        <v>1</v>
      </c>
    </row>
    <row r="250" spans="1:36" ht="21" customHeight="1" x14ac:dyDescent="0.15">
      <c r="A250" s="21" t="e">
        <f t="shared" ca="1" si="128"/>
        <v>#N/A</v>
      </c>
      <c r="B250" s="33">
        <v>6</v>
      </c>
      <c r="C250" s="32">
        <v>5</v>
      </c>
      <c r="D250" s="2" t="str">
        <f t="shared" si="124"/>
        <v>6_5</v>
      </c>
      <c r="E250" s="5" t="str">
        <f ca="1">VLOOKUP($B250,OFFSET([1]quests!$A$1,0,0,COUNTA([1]quests!$A:$A),MATCH(E$1,[1]quests!$1:$1,0)-MATCH($B$1,[1]quests!$1:$1,0)+1),MATCH(E$1,[1]quests!$1:$1,0)-MATCH($B$1,[1]quests!$1:$1,0)+1,FALSE)</f>
        <v>6．ドリームパーク</v>
      </c>
      <c r="F250" s="5" t="str">
        <f ca="1">VLOOKUP($D250,OFFSET([1]stages!$A$1,0,0,COUNTA([1]stages!$A:$A),MATCH(F$1,[1]stages!$2:$2,0)-MATCH($D$1,[1]stages!$2:$2,0)+1),MATCH(F$1,[1]stages!$2:$2,0)-MATCH($D$1,[1]stages!$2:$2,0)+1,FALSE)</f>
        <v>6-5. 来園者の末路</v>
      </c>
      <c r="G250" s="32">
        <v>3</v>
      </c>
      <c r="H250" s="20" t="str">
        <f t="shared" si="125"/>
        <v>6_5-3</v>
      </c>
      <c r="I250" s="31">
        <v>25</v>
      </c>
      <c r="J250" s="26" t="e">
        <f ca="1">VLOOKUP($I250,OFFSET([2]enemies!$A$1,0,0,COUNTA([2]enemies!$A:$A),MATCH(J$1,[2]enemies!$2:$2,0)-MATCH($I$1,[2]enemies!$2:$2,0)+1),MATCH(J$1,[2]enemies!$2:$2,0)-MATCH($I$1,[2]enemies!$2:$2,0)+1,FALSE)</f>
        <v>#N/A</v>
      </c>
      <c r="K250" s="29" t="e">
        <f ca="1">VLOOKUP($I250,OFFSET([2]enemies!$A$1,0,0,COUNTA([2]enemies!$A:$A),MATCH(K$1,[2]enemies!$2:$2,0)-MATCH($I$1,[2]enemies!$2:$2,0)+1),MATCH(K$1,[2]enemies!$2:$2,0)-MATCH($I$1,[2]enemies!$2:$2,0)+1,FALSE)</f>
        <v>#N/A</v>
      </c>
      <c r="L250" s="29" t="e">
        <f ca="1">VLOOKUP($I250,OFFSET([3]characters!$A$1,0,0,COUNTA([3]characters!$A:$A),MATCH(L$1,[3]characters!$2:$2,0)-MATCH($I$1,[3]characters!$2:$2,0)+1),MATCH(L$1,[3]characters!$2:$2,0)-MATCH($I$1,[3]characters!$2:$2,0)+1,FALSE)</f>
        <v>#N/A</v>
      </c>
      <c r="M250" s="28" t="e">
        <f ca="1">VLOOKUP($I250,OFFSET([3]characters!$A$1,0,0,COUNTA([3]characters!$A:$A),MATCH(M$1,[3]characters!$2:$2,0)-MATCH($I$1,[3]characters!$2:$2,0)+2),MATCH(M$1,[3]characters!$2:$2,0)-MATCH($I$1,[3]characters!$2:$2,0)+2,FALSE)</f>
        <v>#N/A</v>
      </c>
      <c r="N250" s="5" t="e">
        <f ca="1">VLOOKUP($I250,OFFSET([2]enemies!$A$1,0,0,COUNTA([2]enemies!$A:$A),MATCH(N$1,[2]enemies!$2:$2,0)-MATCH($I$1,[2]enemies!$2:$2,0)+1),MATCH(N$1,[2]enemies!$2:$2,0)-MATCH($I$1,[2]enemies!$2:$2,0)+1,FALSE)</f>
        <v>#N/A</v>
      </c>
      <c r="O250" s="6">
        <v>11</v>
      </c>
      <c r="P250" s="43">
        <v>1</v>
      </c>
      <c r="Q250" s="43">
        <v>1</v>
      </c>
      <c r="R250" s="6">
        <v>0</v>
      </c>
      <c r="S250" s="5" t="str">
        <f ca="1">VLOOKUP($T250,OFFSET([4]enemy_skill_sets!$B$1,0,0,COUNTA([4]enemy_skill_sets!$B:$B),MATCH(J$1,[4]enemy_skill_sets!$1:$1,0)-MATCH($T$1,[4]enemy_skill_sets!$1:$1,0)+2),MATCH(J$1,[4]enemy_skill_sets!$1:$1,0)-MATCH($T$1,[4]enemy_skill_sets!$1:$1,0)+2,FALSE)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0" s="5">
        <v>0</v>
      </c>
      <c r="U250" s="7">
        <v>0</v>
      </c>
      <c r="V250" s="7">
        <v>100</v>
      </c>
      <c r="W250" s="7">
        <v>0</v>
      </c>
      <c r="X250" s="26" t="e">
        <f ca="1">VLOOKUP($I250,OFFSET([2]enemies!$A$1,0,0,COUNTA([2]enemies!$A:$A),MATCH(X$1,[2]enemies!$2:$2,0)-MATCH($I$1,[2]enemies!$2:$2,0)+1),MATCH(X$1,[2]enemies!$2:$2,0)-MATCH($I$1,[2]enemies!$2:$2,0)+1,FALSE)</f>
        <v>#N/A</v>
      </c>
      <c r="Y250" s="31">
        <v>25</v>
      </c>
      <c r="Z250" s="5" t="str">
        <f ca="1">IFERROR(VLOOKUP($Y250,OFFSET([3]characters!$A$1,0,0,COUNTA([3]characters!$A:$A),MATCH(Z$1,[3]characters!$2:$2,0)-MATCH("character_id",[3]characters!$2:$2,0)+1),MATCH(Z$1,[3]characters!$2:$2,0)-MATCH("character_id",[3]characters!$2:$2,0)+1,FALSE),"")</f>
        <v/>
      </c>
      <c r="AA250" s="5" t="str">
        <f ca="1">IFERROR(VLOOKUP($Y250,OFFSET([3]characters!$A$1,0,0,COUNTA([3]characters!$A:$A),MATCH(AA$1,[3]characters!$2:$2,0)-MATCH("character_id",[3]characters!$2:$2,0)+1),MATCH(AA$1,[3]characters!$2:$2,0)-MATCH("character_id",[3]characters!$2:$2,0)+1,FALSE),"")</f>
        <v/>
      </c>
      <c r="AB250" s="5" t="str">
        <f ca="1">IFERROR(VLOOKUP($Y250,OFFSET([3]characters!$A$1,0,0,COUNTA([3]characters!$A:$A),MATCH(AB$1,[3]characters!$2:$2,0)-MATCH("character_id",[3]characters!$2:$2,0)+1),MATCH(AB$1,[3]characters!$2:$2,0)-MATCH("character_id",[3]characters!$2:$2,0)+1,FALSE),"")</f>
        <v/>
      </c>
      <c r="AC250" s="8">
        <v>1</v>
      </c>
      <c r="AD250" s="8" t="str">
        <f t="shared" ca="1" si="129"/>
        <v/>
      </c>
      <c r="AE250" s="9">
        <v>30</v>
      </c>
      <c r="AF250" s="38">
        <v>0</v>
      </c>
      <c r="AG250" s="38">
        <v>0</v>
      </c>
      <c r="AH250" s="38">
        <v>0</v>
      </c>
      <c r="AI250" s="38">
        <v>0</v>
      </c>
      <c r="AJ250" s="38">
        <v>1</v>
      </c>
    </row>
    <row r="251" spans="1:36" ht="21" customHeight="1" x14ac:dyDescent="0.15">
      <c r="A251" s="21" t="e">
        <f t="shared" ca="1" si="128"/>
        <v>#N/A</v>
      </c>
      <c r="B251" s="33">
        <v>6</v>
      </c>
      <c r="C251" s="32">
        <v>5</v>
      </c>
      <c r="D251" s="2" t="str">
        <f t="shared" si="124"/>
        <v>6_5</v>
      </c>
      <c r="E251" s="5" t="str">
        <f ca="1">VLOOKUP($B251,OFFSET([1]quests!$A$1,0,0,COUNTA([1]quests!$A:$A),MATCH(E$1,[1]quests!$1:$1,0)-MATCH($B$1,[1]quests!$1:$1,0)+1),MATCH(E$1,[1]quests!$1:$1,0)-MATCH($B$1,[1]quests!$1:$1,0)+1,FALSE)</f>
        <v>6．ドリームパーク</v>
      </c>
      <c r="F251" s="5" t="str">
        <f ca="1">VLOOKUP($D251,OFFSET([1]stages!$A$1,0,0,COUNTA([1]stages!$A:$A),MATCH(F$1,[1]stages!$2:$2,0)-MATCH($D$1,[1]stages!$2:$2,0)+1),MATCH(F$1,[1]stages!$2:$2,0)-MATCH($D$1,[1]stages!$2:$2,0)+1,FALSE)</f>
        <v>6-5. 来園者の末路</v>
      </c>
      <c r="G251" s="32">
        <v>3</v>
      </c>
      <c r="H251" s="20" t="str">
        <f t="shared" si="125"/>
        <v>6_5-3</v>
      </c>
      <c r="I251" s="31">
        <v>109</v>
      </c>
      <c r="J251" s="26" t="e">
        <f ca="1">VLOOKUP($I251,OFFSET([2]enemies!$A$1,0,0,COUNTA([2]enemies!$A:$A),MATCH(J$1,[2]enemies!$2:$2,0)-MATCH($I$1,[2]enemies!$2:$2,0)+1),MATCH(J$1,[2]enemies!$2:$2,0)-MATCH($I$1,[2]enemies!$2:$2,0)+1,FALSE)</f>
        <v>#N/A</v>
      </c>
      <c r="K251" s="29" t="e">
        <f ca="1">VLOOKUP($I251,OFFSET([2]enemies!$A$1,0,0,COUNTA([2]enemies!$A:$A),MATCH(K$1,[2]enemies!$2:$2,0)-MATCH($I$1,[2]enemies!$2:$2,0)+1),MATCH(K$1,[2]enemies!$2:$2,0)-MATCH($I$1,[2]enemies!$2:$2,0)+1,FALSE)</f>
        <v>#N/A</v>
      </c>
      <c r="L251" s="29" t="e">
        <f ca="1">VLOOKUP($I251,OFFSET([3]characters!$A$1,0,0,COUNTA([3]characters!$A:$A),MATCH(L$1,[3]characters!$2:$2,0)-MATCH($I$1,[3]characters!$2:$2,0)+1),MATCH(L$1,[3]characters!$2:$2,0)-MATCH($I$1,[3]characters!$2:$2,0)+1,FALSE)</f>
        <v>#N/A</v>
      </c>
      <c r="M251" s="28" t="e">
        <f ca="1">VLOOKUP($I251,OFFSET([3]characters!$A$1,0,0,COUNTA([3]characters!$A:$A),MATCH(M$1,[3]characters!$2:$2,0)-MATCH($I$1,[3]characters!$2:$2,0)+2),MATCH(M$1,[3]characters!$2:$2,0)-MATCH($I$1,[3]characters!$2:$2,0)+2,FALSE)</f>
        <v>#N/A</v>
      </c>
      <c r="N251" s="5" t="e">
        <f ca="1">VLOOKUP($I251,OFFSET([2]enemies!$A$1,0,0,COUNTA([2]enemies!$A:$A),MATCH(N$1,[2]enemies!$2:$2,0)-MATCH($I$1,[2]enemies!$2:$2,0)+1),MATCH(N$1,[2]enemies!$2:$2,0)-MATCH($I$1,[2]enemies!$2:$2,0)+1,FALSE)</f>
        <v>#N/A</v>
      </c>
      <c r="O251" s="6">
        <v>11</v>
      </c>
      <c r="P251" s="43">
        <v>1</v>
      </c>
      <c r="Q251" s="43">
        <v>1</v>
      </c>
      <c r="R251" s="6">
        <v>0</v>
      </c>
      <c r="S251" s="5" t="str">
        <f ca="1">VLOOKUP($T251,OFFSET([4]enemy_skill_sets!$B$1,0,0,COUNTA([4]enemy_skill_sets!$B:$B),MATCH(J$1,[4]enemy_skill_sets!$1:$1,0)-MATCH($T$1,[4]enemy_skill_sets!$1:$1,0)+2),MATCH(J$1,[4]enemy_skill_sets!$1:$1,0)-MATCH($T$1,[4]enemy_skill_sets!$1:$1,0)+2,FALSE)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1" s="5">
        <v>0</v>
      </c>
      <c r="U251" s="7">
        <v>0</v>
      </c>
      <c r="V251" s="7">
        <v>50</v>
      </c>
      <c r="W251" s="7">
        <v>0</v>
      </c>
      <c r="X251" s="26" t="e">
        <f ca="1">VLOOKUP($I251,OFFSET([2]enemies!$A$1,0,0,COUNTA([2]enemies!$A:$A),MATCH(X$1,[2]enemies!$2:$2,0)-MATCH($I$1,[2]enemies!$2:$2,0)+1),MATCH(X$1,[2]enemies!$2:$2,0)-MATCH($I$1,[2]enemies!$2:$2,0)+1,FALSE)</f>
        <v>#N/A</v>
      </c>
      <c r="Y251" s="31">
        <v>109</v>
      </c>
      <c r="Z251" s="5" t="str">
        <f ca="1">IFERROR(VLOOKUP($Y251,OFFSET([3]characters!$A$1,0,0,COUNTA([3]characters!$A:$A),MATCH(Z$1,[3]characters!$2:$2,0)-MATCH("character_id",[3]characters!$2:$2,0)+1),MATCH(Z$1,[3]characters!$2:$2,0)-MATCH("character_id",[3]characters!$2:$2,0)+1,FALSE),"")</f>
        <v/>
      </c>
      <c r="AA251" s="5" t="str">
        <f ca="1">IFERROR(VLOOKUP($Y251,OFFSET([3]characters!$A$1,0,0,COUNTA([3]characters!$A:$A),MATCH(AA$1,[3]characters!$2:$2,0)-MATCH("character_id",[3]characters!$2:$2,0)+1),MATCH(AA$1,[3]characters!$2:$2,0)-MATCH("character_id",[3]characters!$2:$2,0)+1,FALSE),"")</f>
        <v/>
      </c>
      <c r="AB251" s="5" t="str">
        <f ca="1">IFERROR(VLOOKUP($Y251,OFFSET([3]characters!$A$1,0,0,COUNTA([3]characters!$A:$A),MATCH(AB$1,[3]characters!$2:$2,0)-MATCH("character_id",[3]characters!$2:$2,0)+1),MATCH(AB$1,[3]characters!$2:$2,0)-MATCH("character_id",[3]characters!$2:$2,0)+1,FALSE),"")</f>
        <v/>
      </c>
      <c r="AC251" s="8">
        <v>1</v>
      </c>
      <c r="AD251" s="8" t="str">
        <f t="shared" ca="1" si="129"/>
        <v/>
      </c>
      <c r="AE251" s="9">
        <v>20</v>
      </c>
      <c r="AF251" s="38">
        <v>0</v>
      </c>
      <c r="AG251" s="38">
        <v>0</v>
      </c>
      <c r="AH251" s="38">
        <v>0</v>
      </c>
      <c r="AI251" s="38">
        <v>0</v>
      </c>
      <c r="AJ251" s="38">
        <v>1</v>
      </c>
    </row>
    <row r="252" spans="1:36" ht="21" customHeight="1" x14ac:dyDescent="0.15">
      <c r="A252" s="21" t="e">
        <f t="shared" ca="1" si="128"/>
        <v>#N/A</v>
      </c>
      <c r="B252" s="33">
        <v>6</v>
      </c>
      <c r="C252" s="32">
        <v>5</v>
      </c>
      <c r="D252" s="2" t="str">
        <f t="shared" si="124"/>
        <v>6_5</v>
      </c>
      <c r="E252" s="5" t="str">
        <f ca="1">VLOOKUP($B252,OFFSET([1]quests!$A$1,0,0,COUNTA([1]quests!$A:$A),MATCH(E$1,[1]quests!$1:$1,0)-MATCH($B$1,[1]quests!$1:$1,0)+1),MATCH(E$1,[1]quests!$1:$1,0)-MATCH($B$1,[1]quests!$1:$1,0)+1,FALSE)</f>
        <v>6．ドリームパーク</v>
      </c>
      <c r="F252" s="5" t="str">
        <f ca="1">VLOOKUP($D252,OFFSET([1]stages!$A$1,0,0,COUNTA([1]stages!$A:$A),MATCH(F$1,[1]stages!$2:$2,0)-MATCH($D$1,[1]stages!$2:$2,0)+1),MATCH(F$1,[1]stages!$2:$2,0)-MATCH($D$1,[1]stages!$2:$2,0)+1,FALSE)</f>
        <v>6-5. 来園者の末路</v>
      </c>
      <c r="G252" s="32">
        <v>3</v>
      </c>
      <c r="H252" s="20" t="str">
        <f t="shared" si="125"/>
        <v>6_5-3</v>
      </c>
      <c r="I252" s="31">
        <v>113</v>
      </c>
      <c r="J252" s="26" t="e">
        <f ca="1">VLOOKUP($I252,OFFSET([2]enemies!$A$1,0,0,COUNTA([2]enemies!$A:$A),MATCH(J$1,[2]enemies!$2:$2,0)-MATCH($I$1,[2]enemies!$2:$2,0)+1),MATCH(J$1,[2]enemies!$2:$2,0)-MATCH($I$1,[2]enemies!$2:$2,0)+1,FALSE)</f>
        <v>#N/A</v>
      </c>
      <c r="K252" s="29" t="e">
        <f ca="1">VLOOKUP($I252,OFFSET([2]enemies!$A$1,0,0,COUNTA([2]enemies!$A:$A),MATCH(K$1,[2]enemies!$2:$2,0)-MATCH($I$1,[2]enemies!$2:$2,0)+1),MATCH(K$1,[2]enemies!$2:$2,0)-MATCH($I$1,[2]enemies!$2:$2,0)+1,FALSE)</f>
        <v>#N/A</v>
      </c>
      <c r="L252" s="29" t="e">
        <f ca="1">VLOOKUP($I252,OFFSET([3]characters!$A$1,0,0,COUNTA([3]characters!$A:$A),MATCH(L$1,[3]characters!$2:$2,0)-MATCH($I$1,[3]characters!$2:$2,0)+1),MATCH(L$1,[3]characters!$2:$2,0)-MATCH($I$1,[3]characters!$2:$2,0)+1,FALSE)</f>
        <v>#N/A</v>
      </c>
      <c r="M252" s="28" t="e">
        <f ca="1">VLOOKUP($I252,OFFSET([3]characters!$A$1,0,0,COUNTA([3]characters!$A:$A),MATCH(M$1,[3]characters!$2:$2,0)-MATCH($I$1,[3]characters!$2:$2,0)+2),MATCH(M$1,[3]characters!$2:$2,0)-MATCH($I$1,[3]characters!$2:$2,0)+2,FALSE)</f>
        <v>#N/A</v>
      </c>
      <c r="N252" s="5" t="e">
        <f ca="1">VLOOKUP($I252,OFFSET([2]enemies!$A$1,0,0,COUNTA([2]enemies!$A:$A),MATCH(N$1,[2]enemies!$2:$2,0)-MATCH($I$1,[2]enemies!$2:$2,0)+1),MATCH(N$1,[2]enemies!$2:$2,0)-MATCH($I$1,[2]enemies!$2:$2,0)+1,FALSE)</f>
        <v>#N/A</v>
      </c>
      <c r="O252" s="6">
        <v>11</v>
      </c>
      <c r="P252" s="43">
        <v>1</v>
      </c>
      <c r="Q252" s="43">
        <v>1</v>
      </c>
      <c r="R252" s="6">
        <v>0</v>
      </c>
      <c r="S252" s="5" t="str">
        <f ca="1">VLOOKUP($T252,OFFSET([4]enemy_skill_sets!$B$1,0,0,COUNTA([4]enemy_skill_sets!$B:$B),MATCH(J$1,[4]enemy_skill_sets!$1:$1,0)-MATCH($T$1,[4]enemy_skill_sets!$1:$1,0)+2),MATCH(J$1,[4]enemy_skill_sets!$1:$1,0)-MATCH($T$1,[4]enemy_skill_sets!$1:$1,0)+2,FALSE)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2" s="5">
        <v>0</v>
      </c>
      <c r="U252" s="7">
        <v>0</v>
      </c>
      <c r="V252" s="7">
        <v>50</v>
      </c>
      <c r="W252" s="7">
        <v>0</v>
      </c>
      <c r="X252" s="26" t="e">
        <f ca="1">VLOOKUP($I252,OFFSET([2]enemies!$A$1,0,0,COUNTA([2]enemies!$A:$A),MATCH(X$1,[2]enemies!$2:$2,0)-MATCH($I$1,[2]enemies!$2:$2,0)+1),MATCH(X$1,[2]enemies!$2:$2,0)-MATCH($I$1,[2]enemies!$2:$2,0)+1,FALSE)</f>
        <v>#N/A</v>
      </c>
      <c r="Y252" s="31">
        <v>113</v>
      </c>
      <c r="Z252" s="5" t="str">
        <f ca="1">IFERROR(VLOOKUP($Y252,OFFSET([3]characters!$A$1,0,0,COUNTA([3]characters!$A:$A),MATCH(Z$1,[3]characters!$2:$2,0)-MATCH("character_id",[3]characters!$2:$2,0)+1),MATCH(Z$1,[3]characters!$2:$2,0)-MATCH("character_id",[3]characters!$2:$2,0)+1,FALSE),"")</f>
        <v/>
      </c>
      <c r="AA252" s="5" t="str">
        <f ca="1">IFERROR(VLOOKUP($Y252,OFFSET([3]characters!$A$1,0,0,COUNTA([3]characters!$A:$A),MATCH(AA$1,[3]characters!$2:$2,0)-MATCH("character_id",[3]characters!$2:$2,0)+1),MATCH(AA$1,[3]characters!$2:$2,0)-MATCH("character_id",[3]characters!$2:$2,0)+1,FALSE),"")</f>
        <v/>
      </c>
      <c r="AB252" s="5" t="str">
        <f ca="1">IFERROR(VLOOKUP($Y252,OFFSET([3]characters!$A$1,0,0,COUNTA([3]characters!$A:$A),MATCH(AB$1,[3]characters!$2:$2,0)-MATCH("character_id",[3]characters!$2:$2,0)+1),MATCH(AB$1,[3]characters!$2:$2,0)-MATCH("character_id",[3]characters!$2:$2,0)+1,FALSE),"")</f>
        <v/>
      </c>
      <c r="AC252" s="8">
        <v>1</v>
      </c>
      <c r="AD252" s="8" t="str">
        <f t="shared" ca="1" si="129"/>
        <v/>
      </c>
      <c r="AE252" s="9">
        <v>20</v>
      </c>
      <c r="AF252" s="38">
        <v>0</v>
      </c>
      <c r="AG252" s="38">
        <v>0</v>
      </c>
      <c r="AH252" s="38">
        <v>0</v>
      </c>
      <c r="AI252" s="38">
        <v>0</v>
      </c>
      <c r="AJ252" s="38">
        <v>1</v>
      </c>
    </row>
    <row r="253" spans="1:36" ht="21" customHeight="1" x14ac:dyDescent="0.15">
      <c r="A253" s="21" t="e">
        <f t="shared" ca="1" si="128"/>
        <v>#N/A</v>
      </c>
      <c r="B253" s="33">
        <v>6</v>
      </c>
      <c r="C253" s="32">
        <v>5</v>
      </c>
      <c r="D253" s="2" t="str">
        <f t="shared" si="124"/>
        <v>6_5</v>
      </c>
      <c r="E253" s="5" t="str">
        <f ca="1">VLOOKUP($B253,OFFSET([1]quests!$A$1,0,0,COUNTA([1]quests!$A:$A),MATCH(E$1,[1]quests!$1:$1,0)-MATCH($B$1,[1]quests!$1:$1,0)+1),MATCH(E$1,[1]quests!$1:$1,0)-MATCH($B$1,[1]quests!$1:$1,0)+1,FALSE)</f>
        <v>6．ドリームパーク</v>
      </c>
      <c r="F253" s="5" t="str">
        <f ca="1">VLOOKUP($D253,OFFSET([1]stages!$A$1,0,0,COUNTA([1]stages!$A:$A),MATCH(F$1,[1]stages!$2:$2,0)-MATCH($D$1,[1]stages!$2:$2,0)+1),MATCH(F$1,[1]stages!$2:$2,0)-MATCH($D$1,[1]stages!$2:$2,0)+1,FALSE)</f>
        <v>6-5. 来園者の末路</v>
      </c>
      <c r="G253" s="32">
        <v>4</v>
      </c>
      <c r="H253" s="20" t="str">
        <f t="shared" si="125"/>
        <v>6_5-4</v>
      </c>
      <c r="I253" s="31">
        <v>9</v>
      </c>
      <c r="J253" s="26" t="e">
        <f ca="1">VLOOKUP($I253,OFFSET([2]enemies!$A$1,0,0,COUNTA([2]enemies!$A:$A),MATCH(J$1,[2]enemies!$2:$2,0)-MATCH($I$1,[2]enemies!$2:$2,0)+1),MATCH(J$1,[2]enemies!$2:$2,0)-MATCH($I$1,[2]enemies!$2:$2,0)+1,FALSE)</f>
        <v>#N/A</v>
      </c>
      <c r="K253" s="29" t="e">
        <f ca="1">VLOOKUP($I253,OFFSET([2]enemies!$A$1,0,0,COUNTA([2]enemies!$A:$A),MATCH(K$1,[2]enemies!$2:$2,0)-MATCH($I$1,[2]enemies!$2:$2,0)+1),MATCH(K$1,[2]enemies!$2:$2,0)-MATCH($I$1,[2]enemies!$2:$2,0)+1,FALSE)</f>
        <v>#N/A</v>
      </c>
      <c r="L253" s="29" t="e">
        <f ca="1">VLOOKUP($I253,OFFSET([3]characters!$A$1,0,0,COUNTA([3]characters!$A:$A),MATCH(L$1,[3]characters!$2:$2,0)-MATCH($I$1,[3]characters!$2:$2,0)+1),MATCH(L$1,[3]characters!$2:$2,0)-MATCH($I$1,[3]characters!$2:$2,0)+1,FALSE)</f>
        <v>#N/A</v>
      </c>
      <c r="M253" s="28" t="e">
        <f ca="1">VLOOKUP($I253,OFFSET([3]characters!$A$1,0,0,COUNTA([3]characters!$A:$A),MATCH(M$1,[3]characters!$2:$2,0)-MATCH($I$1,[3]characters!$2:$2,0)+2),MATCH(M$1,[3]characters!$2:$2,0)-MATCH($I$1,[3]characters!$2:$2,0)+2,FALSE)</f>
        <v>#N/A</v>
      </c>
      <c r="N253" s="5" t="e">
        <f ca="1">VLOOKUP($I253,OFFSET([2]enemies!$A$1,0,0,COUNTA([2]enemies!$A:$A),MATCH(N$1,[2]enemies!$2:$2,0)-MATCH($I$1,[2]enemies!$2:$2,0)+1),MATCH(N$1,[2]enemies!$2:$2,0)-MATCH($I$1,[2]enemies!$2:$2,0)+1,FALSE)</f>
        <v>#N/A</v>
      </c>
      <c r="O253" s="6">
        <v>11</v>
      </c>
      <c r="P253" s="43">
        <v>1</v>
      </c>
      <c r="Q253" s="43">
        <v>1</v>
      </c>
      <c r="R253" s="6">
        <v>0</v>
      </c>
      <c r="S253" s="5" t="str">
        <f ca="1">VLOOKUP($T253,OFFSET([4]enemy_skill_sets!$B$1,0,0,COUNTA([4]enemy_skill_sets!$B:$B),MATCH(J$1,[4]enemy_skill_sets!$1:$1,0)-MATCH($T$1,[4]enemy_skill_sets!$1:$1,0)+2),MATCH(J$1,[4]enemy_skill_sets!$1:$1,0)-MATCH($T$1,[4]enemy_skill_sets!$1:$1,0)+2,FALSE)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3" s="5">
        <v>0</v>
      </c>
      <c r="U253" s="7">
        <v>0</v>
      </c>
      <c r="V253" s="7">
        <v>100</v>
      </c>
      <c r="W253" s="7">
        <v>0</v>
      </c>
      <c r="X253" s="26" t="e">
        <f ca="1">VLOOKUP($I253,OFFSET([2]enemies!$A$1,0,0,COUNTA([2]enemies!$A:$A),MATCH(X$1,[2]enemies!$2:$2,0)-MATCH($I$1,[2]enemies!$2:$2,0)+1),MATCH(X$1,[2]enemies!$2:$2,0)-MATCH($I$1,[2]enemies!$2:$2,0)+1,FALSE)</f>
        <v>#N/A</v>
      </c>
      <c r="Y253" s="31">
        <v>9</v>
      </c>
      <c r="Z253" s="5" t="str">
        <f ca="1">IFERROR(VLOOKUP($Y253,OFFSET([3]characters!$A$1,0,0,COUNTA([3]characters!$A:$A),MATCH(Z$1,[3]characters!$2:$2,0)-MATCH("character_id",[3]characters!$2:$2,0)+1),MATCH(Z$1,[3]characters!$2:$2,0)-MATCH("character_id",[3]characters!$2:$2,0)+1,FALSE),"")</f>
        <v/>
      </c>
      <c r="AA253" s="5" t="str">
        <f ca="1">IFERROR(VLOOKUP($Y253,OFFSET([3]characters!$A$1,0,0,COUNTA([3]characters!$A:$A),MATCH(AA$1,[3]characters!$2:$2,0)-MATCH("character_id",[3]characters!$2:$2,0)+1),MATCH(AA$1,[3]characters!$2:$2,0)-MATCH("character_id",[3]characters!$2:$2,0)+1,FALSE),"")</f>
        <v/>
      </c>
      <c r="AB253" s="5" t="str">
        <f ca="1">IFERROR(VLOOKUP($Y253,OFFSET([3]characters!$A$1,0,0,COUNTA([3]characters!$A:$A),MATCH(AB$1,[3]characters!$2:$2,0)-MATCH("character_id",[3]characters!$2:$2,0)+1),MATCH(AB$1,[3]characters!$2:$2,0)-MATCH("character_id",[3]characters!$2:$2,0)+1,FALSE),"")</f>
        <v/>
      </c>
      <c r="AC253" s="8">
        <v>2</v>
      </c>
      <c r="AD253" s="8" t="str">
        <f t="shared" ca="1" si="129"/>
        <v/>
      </c>
      <c r="AE253" s="9">
        <v>30</v>
      </c>
      <c r="AF253" s="38">
        <v>0</v>
      </c>
      <c r="AG253" s="38">
        <v>0</v>
      </c>
      <c r="AH253" s="38">
        <v>0</v>
      </c>
      <c r="AI253" s="38">
        <v>0</v>
      </c>
      <c r="AJ253" s="38">
        <v>1</v>
      </c>
    </row>
    <row r="254" spans="1:36" ht="21" customHeight="1" x14ac:dyDescent="0.15">
      <c r="A254" s="21" t="e">
        <f t="shared" ca="1" si="128"/>
        <v>#N/A</v>
      </c>
      <c r="B254" s="33">
        <v>6</v>
      </c>
      <c r="C254" s="32">
        <v>5</v>
      </c>
      <c r="D254" s="2" t="str">
        <f t="shared" si="124"/>
        <v>6_5</v>
      </c>
      <c r="E254" s="5" t="str">
        <f ca="1">VLOOKUP($B254,OFFSET([1]quests!$A$1,0,0,COUNTA([1]quests!$A:$A),MATCH(E$1,[1]quests!$1:$1,0)-MATCH($B$1,[1]quests!$1:$1,0)+1),MATCH(E$1,[1]quests!$1:$1,0)-MATCH($B$1,[1]quests!$1:$1,0)+1,FALSE)</f>
        <v>6．ドリームパーク</v>
      </c>
      <c r="F254" s="5" t="str">
        <f ca="1">VLOOKUP($D254,OFFSET([1]stages!$A$1,0,0,COUNTA([1]stages!$A:$A),MATCH(F$1,[1]stages!$2:$2,0)-MATCH($D$1,[1]stages!$2:$2,0)+1),MATCH(F$1,[1]stages!$2:$2,0)-MATCH($D$1,[1]stages!$2:$2,0)+1,FALSE)</f>
        <v>6-5. 来園者の末路</v>
      </c>
      <c r="G254" s="32">
        <v>4</v>
      </c>
      <c r="H254" s="20" t="str">
        <f t="shared" si="125"/>
        <v>6_5-4</v>
      </c>
      <c r="I254" s="31">
        <v>17</v>
      </c>
      <c r="J254" s="26" t="e">
        <f ca="1">VLOOKUP($I254,OFFSET([2]enemies!$A$1,0,0,COUNTA([2]enemies!$A:$A),MATCH(J$1,[2]enemies!$2:$2,0)-MATCH($I$1,[2]enemies!$2:$2,0)+1),MATCH(J$1,[2]enemies!$2:$2,0)-MATCH($I$1,[2]enemies!$2:$2,0)+1,FALSE)</f>
        <v>#N/A</v>
      </c>
      <c r="K254" s="29" t="e">
        <f ca="1">VLOOKUP($I254,OFFSET([2]enemies!$A$1,0,0,COUNTA([2]enemies!$A:$A),MATCH(K$1,[2]enemies!$2:$2,0)-MATCH($I$1,[2]enemies!$2:$2,0)+1),MATCH(K$1,[2]enemies!$2:$2,0)-MATCH($I$1,[2]enemies!$2:$2,0)+1,FALSE)</f>
        <v>#N/A</v>
      </c>
      <c r="L254" s="29" t="e">
        <f ca="1">VLOOKUP($I254,OFFSET([3]characters!$A$1,0,0,COUNTA([3]characters!$A:$A),MATCH(L$1,[3]characters!$2:$2,0)-MATCH($I$1,[3]characters!$2:$2,0)+1),MATCH(L$1,[3]characters!$2:$2,0)-MATCH($I$1,[3]characters!$2:$2,0)+1,FALSE)</f>
        <v>#N/A</v>
      </c>
      <c r="M254" s="28" t="e">
        <f ca="1">VLOOKUP($I254,OFFSET([3]characters!$A$1,0,0,COUNTA([3]characters!$A:$A),MATCH(M$1,[3]characters!$2:$2,0)-MATCH($I$1,[3]characters!$2:$2,0)+2),MATCH(M$1,[3]characters!$2:$2,0)-MATCH($I$1,[3]characters!$2:$2,0)+2,FALSE)</f>
        <v>#N/A</v>
      </c>
      <c r="N254" s="5" t="e">
        <f ca="1">VLOOKUP($I254,OFFSET([2]enemies!$A$1,0,0,COUNTA([2]enemies!$A:$A),MATCH(N$1,[2]enemies!$2:$2,0)-MATCH($I$1,[2]enemies!$2:$2,0)+1),MATCH(N$1,[2]enemies!$2:$2,0)-MATCH($I$1,[2]enemies!$2:$2,0)+1,FALSE)</f>
        <v>#N/A</v>
      </c>
      <c r="O254" s="6">
        <v>11</v>
      </c>
      <c r="P254" s="43">
        <v>1</v>
      </c>
      <c r="Q254" s="43">
        <v>1</v>
      </c>
      <c r="R254" s="6">
        <v>0</v>
      </c>
      <c r="S254" s="5" t="str">
        <f ca="1">VLOOKUP($T254,OFFSET([4]enemy_skill_sets!$B$1,0,0,COUNTA([4]enemy_skill_sets!$B:$B),MATCH(J$1,[4]enemy_skill_sets!$1:$1,0)-MATCH($T$1,[4]enemy_skill_sets!$1:$1,0)+2),MATCH(J$1,[4]enemy_skill_sets!$1:$1,0)-MATCH($T$1,[4]enemy_skill_sets!$1:$1,0)+2,FALSE)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4" s="5">
        <v>0</v>
      </c>
      <c r="U254" s="7">
        <v>0</v>
      </c>
      <c r="V254" s="7">
        <v>100</v>
      </c>
      <c r="W254" s="7">
        <v>0</v>
      </c>
      <c r="X254" s="26" t="e">
        <f ca="1">VLOOKUP($I254,OFFSET([2]enemies!$A$1,0,0,COUNTA([2]enemies!$A:$A),MATCH(X$1,[2]enemies!$2:$2,0)-MATCH($I$1,[2]enemies!$2:$2,0)+1),MATCH(X$1,[2]enemies!$2:$2,0)-MATCH($I$1,[2]enemies!$2:$2,0)+1,FALSE)</f>
        <v>#N/A</v>
      </c>
      <c r="Y254" s="31">
        <v>17</v>
      </c>
      <c r="Z254" s="5" t="str">
        <f ca="1">IFERROR(VLOOKUP($Y254,OFFSET([3]characters!$A$1,0,0,COUNTA([3]characters!$A:$A),MATCH(Z$1,[3]characters!$2:$2,0)-MATCH("character_id",[3]characters!$2:$2,0)+1),MATCH(Z$1,[3]characters!$2:$2,0)-MATCH("character_id",[3]characters!$2:$2,0)+1,FALSE),"")</f>
        <v/>
      </c>
      <c r="AA254" s="5" t="str">
        <f ca="1">IFERROR(VLOOKUP($Y254,OFFSET([3]characters!$A$1,0,0,COUNTA([3]characters!$A:$A),MATCH(AA$1,[3]characters!$2:$2,0)-MATCH("character_id",[3]characters!$2:$2,0)+1),MATCH(AA$1,[3]characters!$2:$2,0)-MATCH("character_id",[3]characters!$2:$2,0)+1,FALSE),"")</f>
        <v/>
      </c>
      <c r="AB254" s="5" t="str">
        <f ca="1">IFERROR(VLOOKUP($Y254,OFFSET([3]characters!$A$1,0,0,COUNTA([3]characters!$A:$A),MATCH(AB$1,[3]characters!$2:$2,0)-MATCH("character_id",[3]characters!$2:$2,0)+1),MATCH(AB$1,[3]characters!$2:$2,0)-MATCH("character_id",[3]characters!$2:$2,0)+1,FALSE),"")</f>
        <v/>
      </c>
      <c r="AC254" s="8">
        <v>2</v>
      </c>
      <c r="AD254" s="8" t="str">
        <f t="shared" ca="1" si="129"/>
        <v/>
      </c>
      <c r="AE254" s="9">
        <v>30</v>
      </c>
      <c r="AF254" s="38">
        <v>0</v>
      </c>
      <c r="AG254" s="38">
        <v>0</v>
      </c>
      <c r="AH254" s="38">
        <v>0</v>
      </c>
      <c r="AI254" s="38">
        <v>0</v>
      </c>
      <c r="AJ254" s="38">
        <v>1</v>
      </c>
    </row>
    <row r="255" spans="1:36" ht="21" customHeight="1" x14ac:dyDescent="0.15">
      <c r="A255" s="21" t="e">
        <f t="shared" ca="1" si="128"/>
        <v>#N/A</v>
      </c>
      <c r="B255" s="33">
        <v>6</v>
      </c>
      <c r="C255" s="32">
        <v>5</v>
      </c>
      <c r="D255" s="2" t="str">
        <f t="shared" si="124"/>
        <v>6_5</v>
      </c>
      <c r="E255" s="5" t="str">
        <f ca="1">VLOOKUP($B255,OFFSET([1]quests!$A$1,0,0,COUNTA([1]quests!$A:$A),MATCH(E$1,[1]quests!$1:$1,0)-MATCH($B$1,[1]quests!$1:$1,0)+1),MATCH(E$1,[1]quests!$1:$1,0)-MATCH($B$1,[1]quests!$1:$1,0)+1,FALSE)</f>
        <v>6．ドリームパーク</v>
      </c>
      <c r="F255" s="5" t="str">
        <f ca="1">VLOOKUP($D255,OFFSET([1]stages!$A$1,0,0,COUNTA([1]stages!$A:$A),MATCH(F$1,[1]stages!$2:$2,0)-MATCH($D$1,[1]stages!$2:$2,0)+1),MATCH(F$1,[1]stages!$2:$2,0)-MATCH($D$1,[1]stages!$2:$2,0)+1,FALSE)</f>
        <v>6-5. 来園者の末路</v>
      </c>
      <c r="G255" s="32">
        <v>4</v>
      </c>
      <c r="H255" s="20" t="str">
        <f t="shared" si="125"/>
        <v>6_5-4</v>
      </c>
      <c r="I255" s="31">
        <v>19</v>
      </c>
      <c r="J255" s="26" t="e">
        <f ca="1">VLOOKUP($I255,OFFSET([2]enemies!$A$1,0,0,COUNTA([2]enemies!$A:$A),MATCH(J$1,[2]enemies!$2:$2,0)-MATCH($I$1,[2]enemies!$2:$2,0)+1),MATCH(J$1,[2]enemies!$2:$2,0)-MATCH($I$1,[2]enemies!$2:$2,0)+1,FALSE)</f>
        <v>#N/A</v>
      </c>
      <c r="K255" s="29" t="e">
        <f ca="1">VLOOKUP($I255,OFFSET([2]enemies!$A$1,0,0,COUNTA([2]enemies!$A:$A),MATCH(K$1,[2]enemies!$2:$2,0)-MATCH($I$1,[2]enemies!$2:$2,0)+1),MATCH(K$1,[2]enemies!$2:$2,0)-MATCH($I$1,[2]enemies!$2:$2,0)+1,FALSE)</f>
        <v>#N/A</v>
      </c>
      <c r="L255" s="29" t="e">
        <f ca="1">VLOOKUP($I255,OFFSET([3]characters!$A$1,0,0,COUNTA([3]characters!$A:$A),MATCH(L$1,[3]characters!$2:$2,0)-MATCH($I$1,[3]characters!$2:$2,0)+1),MATCH(L$1,[3]characters!$2:$2,0)-MATCH($I$1,[3]characters!$2:$2,0)+1,FALSE)</f>
        <v>#N/A</v>
      </c>
      <c r="M255" s="28" t="e">
        <f ca="1">VLOOKUP($I255,OFFSET([3]characters!$A$1,0,0,COUNTA([3]characters!$A:$A),MATCH(M$1,[3]characters!$2:$2,0)-MATCH($I$1,[3]characters!$2:$2,0)+2),MATCH(M$1,[3]characters!$2:$2,0)-MATCH($I$1,[3]characters!$2:$2,0)+2,FALSE)</f>
        <v>#N/A</v>
      </c>
      <c r="N255" s="5" t="e">
        <f ca="1">VLOOKUP($I255,OFFSET([2]enemies!$A$1,0,0,COUNTA([2]enemies!$A:$A),MATCH(N$1,[2]enemies!$2:$2,0)-MATCH($I$1,[2]enemies!$2:$2,0)+1),MATCH(N$1,[2]enemies!$2:$2,0)-MATCH($I$1,[2]enemies!$2:$2,0)+1,FALSE)</f>
        <v>#N/A</v>
      </c>
      <c r="O255" s="6">
        <v>11</v>
      </c>
      <c r="P255" s="43">
        <v>1</v>
      </c>
      <c r="Q255" s="43">
        <v>1</v>
      </c>
      <c r="R255" s="6">
        <v>0</v>
      </c>
      <c r="S255" s="5" t="str">
        <f ca="1">VLOOKUP($T255,OFFSET([4]enemy_skill_sets!$B$1,0,0,COUNTA([4]enemy_skill_sets!$B:$B),MATCH(J$1,[4]enemy_skill_sets!$1:$1,0)-MATCH($T$1,[4]enemy_skill_sets!$1:$1,0)+2),MATCH(J$1,[4]enemy_skill_sets!$1:$1,0)-MATCH($T$1,[4]enemy_skill_sets!$1:$1,0)+2,FALSE)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5" s="5">
        <v>0</v>
      </c>
      <c r="U255" s="7">
        <v>0</v>
      </c>
      <c r="V255" s="7">
        <v>100</v>
      </c>
      <c r="W255" s="7">
        <v>0</v>
      </c>
      <c r="X255" s="26" t="e">
        <f ca="1">VLOOKUP($I255,OFFSET([2]enemies!$A$1,0,0,COUNTA([2]enemies!$A:$A),MATCH(X$1,[2]enemies!$2:$2,0)-MATCH($I$1,[2]enemies!$2:$2,0)+1),MATCH(X$1,[2]enemies!$2:$2,0)-MATCH($I$1,[2]enemies!$2:$2,0)+1,FALSE)</f>
        <v>#N/A</v>
      </c>
      <c r="Y255" s="31">
        <v>19</v>
      </c>
      <c r="Z255" s="5" t="str">
        <f ca="1">IFERROR(VLOOKUP($Y255,OFFSET([3]characters!$A$1,0,0,COUNTA([3]characters!$A:$A),MATCH(Z$1,[3]characters!$2:$2,0)-MATCH("character_id",[3]characters!$2:$2,0)+1),MATCH(Z$1,[3]characters!$2:$2,0)-MATCH("character_id",[3]characters!$2:$2,0)+1,FALSE),"")</f>
        <v/>
      </c>
      <c r="AA255" s="5" t="str">
        <f ca="1">IFERROR(VLOOKUP($Y255,OFFSET([3]characters!$A$1,0,0,COUNTA([3]characters!$A:$A),MATCH(AA$1,[3]characters!$2:$2,0)-MATCH("character_id",[3]characters!$2:$2,0)+1),MATCH(AA$1,[3]characters!$2:$2,0)-MATCH("character_id",[3]characters!$2:$2,0)+1,FALSE),"")</f>
        <v/>
      </c>
      <c r="AB255" s="5" t="str">
        <f ca="1">IFERROR(VLOOKUP($Y255,OFFSET([3]characters!$A$1,0,0,COUNTA([3]characters!$A:$A),MATCH(AB$1,[3]characters!$2:$2,0)-MATCH("character_id",[3]characters!$2:$2,0)+1),MATCH(AB$1,[3]characters!$2:$2,0)-MATCH("character_id",[3]characters!$2:$2,0)+1,FALSE),"")</f>
        <v/>
      </c>
      <c r="AC255" s="8">
        <v>2</v>
      </c>
      <c r="AD255" s="8" t="str">
        <f t="shared" ca="1" si="129"/>
        <v/>
      </c>
      <c r="AE255" s="9">
        <v>30</v>
      </c>
      <c r="AF255" s="38">
        <v>0</v>
      </c>
      <c r="AG255" s="38">
        <v>0</v>
      </c>
      <c r="AH255" s="38">
        <v>0</v>
      </c>
      <c r="AI255" s="38">
        <v>0</v>
      </c>
      <c r="AJ255" s="38">
        <v>1</v>
      </c>
    </row>
    <row r="256" spans="1:36" ht="21" customHeight="1" x14ac:dyDescent="0.15">
      <c r="A256" s="21" t="e">
        <f t="shared" ca="1" si="128"/>
        <v>#N/A</v>
      </c>
      <c r="B256" s="33">
        <v>6</v>
      </c>
      <c r="C256" s="32">
        <v>5</v>
      </c>
      <c r="D256" s="2" t="str">
        <f t="shared" si="124"/>
        <v>6_5</v>
      </c>
      <c r="E256" s="5" t="str">
        <f ca="1">VLOOKUP($B256,OFFSET([1]quests!$A$1,0,0,COUNTA([1]quests!$A:$A),MATCH(E$1,[1]quests!$1:$1,0)-MATCH($B$1,[1]quests!$1:$1,0)+1),MATCH(E$1,[1]quests!$1:$1,0)-MATCH($B$1,[1]quests!$1:$1,0)+1,FALSE)</f>
        <v>6．ドリームパーク</v>
      </c>
      <c r="F256" s="5" t="str">
        <f ca="1">VLOOKUP($D256,OFFSET([1]stages!$A$1,0,0,COUNTA([1]stages!$A:$A),MATCH(F$1,[1]stages!$2:$2,0)-MATCH($D$1,[1]stages!$2:$2,0)+1),MATCH(F$1,[1]stages!$2:$2,0)-MATCH($D$1,[1]stages!$2:$2,0)+1,FALSE)</f>
        <v>6-5. 来園者の末路</v>
      </c>
      <c r="G256" s="32">
        <v>4</v>
      </c>
      <c r="H256" s="20" t="str">
        <f t="shared" si="125"/>
        <v>6_5-4</v>
      </c>
      <c r="I256" s="31">
        <v>23</v>
      </c>
      <c r="J256" s="26" t="e">
        <f ca="1">VLOOKUP($I256,OFFSET([2]enemies!$A$1,0,0,COUNTA([2]enemies!$A:$A),MATCH(J$1,[2]enemies!$2:$2,0)-MATCH($I$1,[2]enemies!$2:$2,0)+1),MATCH(J$1,[2]enemies!$2:$2,0)-MATCH($I$1,[2]enemies!$2:$2,0)+1,FALSE)</f>
        <v>#N/A</v>
      </c>
      <c r="K256" s="29" t="e">
        <f ca="1">VLOOKUP($I256,OFFSET([2]enemies!$A$1,0,0,COUNTA([2]enemies!$A:$A),MATCH(K$1,[2]enemies!$2:$2,0)-MATCH($I$1,[2]enemies!$2:$2,0)+1),MATCH(K$1,[2]enemies!$2:$2,0)-MATCH($I$1,[2]enemies!$2:$2,0)+1,FALSE)</f>
        <v>#N/A</v>
      </c>
      <c r="L256" s="29" t="e">
        <f ca="1">VLOOKUP($I256,OFFSET([3]characters!$A$1,0,0,COUNTA([3]characters!$A:$A),MATCH(L$1,[3]characters!$2:$2,0)-MATCH($I$1,[3]characters!$2:$2,0)+1),MATCH(L$1,[3]characters!$2:$2,0)-MATCH($I$1,[3]characters!$2:$2,0)+1,FALSE)</f>
        <v>#N/A</v>
      </c>
      <c r="M256" s="28" t="e">
        <f ca="1">VLOOKUP($I256,OFFSET([3]characters!$A$1,0,0,COUNTA([3]characters!$A:$A),MATCH(M$1,[3]characters!$2:$2,0)-MATCH($I$1,[3]characters!$2:$2,0)+2),MATCH(M$1,[3]characters!$2:$2,0)-MATCH($I$1,[3]characters!$2:$2,0)+2,FALSE)</f>
        <v>#N/A</v>
      </c>
      <c r="N256" s="5" t="e">
        <f ca="1">VLOOKUP($I256,OFFSET([2]enemies!$A$1,0,0,COUNTA([2]enemies!$A:$A),MATCH(N$1,[2]enemies!$2:$2,0)-MATCH($I$1,[2]enemies!$2:$2,0)+1),MATCH(N$1,[2]enemies!$2:$2,0)-MATCH($I$1,[2]enemies!$2:$2,0)+1,FALSE)</f>
        <v>#N/A</v>
      </c>
      <c r="O256" s="6">
        <v>11</v>
      </c>
      <c r="P256" s="43">
        <v>1</v>
      </c>
      <c r="Q256" s="43">
        <v>1</v>
      </c>
      <c r="R256" s="6">
        <v>0</v>
      </c>
      <c r="S256" s="5" t="str">
        <f ca="1">VLOOKUP($T256,OFFSET([4]enemy_skill_sets!$B$1,0,0,COUNTA([4]enemy_skill_sets!$B:$B),MATCH(J$1,[4]enemy_skill_sets!$1:$1,0)-MATCH($T$1,[4]enemy_skill_sets!$1:$1,0)+2),MATCH(J$1,[4]enemy_skill_sets!$1:$1,0)-MATCH($T$1,[4]enemy_skill_sets!$1:$1,0)+2,FALSE)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6" s="5">
        <v>0</v>
      </c>
      <c r="U256" s="7">
        <v>0</v>
      </c>
      <c r="V256" s="7">
        <v>100</v>
      </c>
      <c r="W256" s="7">
        <v>0</v>
      </c>
      <c r="X256" s="26" t="e">
        <f ca="1">VLOOKUP($I256,OFFSET([2]enemies!$A$1,0,0,COUNTA([2]enemies!$A:$A),MATCH(X$1,[2]enemies!$2:$2,0)-MATCH($I$1,[2]enemies!$2:$2,0)+1),MATCH(X$1,[2]enemies!$2:$2,0)-MATCH($I$1,[2]enemies!$2:$2,0)+1,FALSE)</f>
        <v>#N/A</v>
      </c>
      <c r="Y256" s="31">
        <v>23</v>
      </c>
      <c r="Z256" s="5" t="str">
        <f ca="1">IFERROR(VLOOKUP($Y256,OFFSET([3]characters!$A$1,0,0,COUNTA([3]characters!$A:$A),MATCH(Z$1,[3]characters!$2:$2,0)-MATCH("character_id",[3]characters!$2:$2,0)+1),MATCH(Z$1,[3]characters!$2:$2,0)-MATCH("character_id",[3]characters!$2:$2,0)+1,FALSE),"")</f>
        <v/>
      </c>
      <c r="AA256" s="5" t="str">
        <f ca="1">IFERROR(VLOOKUP($Y256,OFFSET([3]characters!$A$1,0,0,COUNTA([3]characters!$A:$A),MATCH(AA$1,[3]characters!$2:$2,0)-MATCH("character_id",[3]characters!$2:$2,0)+1),MATCH(AA$1,[3]characters!$2:$2,0)-MATCH("character_id",[3]characters!$2:$2,0)+1,FALSE),"")</f>
        <v/>
      </c>
      <c r="AB256" s="5" t="str">
        <f ca="1">IFERROR(VLOOKUP($Y256,OFFSET([3]characters!$A$1,0,0,COUNTA([3]characters!$A:$A),MATCH(AB$1,[3]characters!$2:$2,0)-MATCH("character_id",[3]characters!$2:$2,0)+1),MATCH(AB$1,[3]characters!$2:$2,0)-MATCH("character_id",[3]characters!$2:$2,0)+1,FALSE),"")</f>
        <v/>
      </c>
      <c r="AC256" s="8">
        <v>1</v>
      </c>
      <c r="AD256" s="8" t="str">
        <f t="shared" ca="1" si="129"/>
        <v/>
      </c>
      <c r="AE256" s="9">
        <v>30</v>
      </c>
      <c r="AF256" s="38">
        <v>0</v>
      </c>
      <c r="AG256" s="38">
        <v>0</v>
      </c>
      <c r="AH256" s="38">
        <v>0</v>
      </c>
      <c r="AI256" s="38">
        <v>0</v>
      </c>
      <c r="AJ256" s="38">
        <v>1</v>
      </c>
    </row>
    <row r="257" spans="1:36" ht="21" customHeight="1" x14ac:dyDescent="0.15">
      <c r="A257" s="21" t="e">
        <f t="shared" ca="1" si="128"/>
        <v>#N/A</v>
      </c>
      <c r="B257" s="33">
        <v>6</v>
      </c>
      <c r="C257" s="32">
        <v>5</v>
      </c>
      <c r="D257" s="2" t="str">
        <f t="shared" si="124"/>
        <v>6_5</v>
      </c>
      <c r="E257" s="5" t="str">
        <f ca="1">VLOOKUP($B257,OFFSET([1]quests!$A$1,0,0,COUNTA([1]quests!$A:$A),MATCH(E$1,[1]quests!$1:$1,0)-MATCH($B$1,[1]quests!$1:$1,0)+1),MATCH(E$1,[1]quests!$1:$1,0)-MATCH($B$1,[1]quests!$1:$1,0)+1,FALSE)</f>
        <v>6．ドリームパーク</v>
      </c>
      <c r="F257" s="5" t="str">
        <f ca="1">VLOOKUP($D257,OFFSET([1]stages!$A$1,0,0,COUNTA([1]stages!$A:$A),MATCH(F$1,[1]stages!$2:$2,0)-MATCH($D$1,[1]stages!$2:$2,0)+1),MATCH(F$1,[1]stages!$2:$2,0)-MATCH($D$1,[1]stages!$2:$2,0)+1,FALSE)</f>
        <v>6-5. 来園者の末路</v>
      </c>
      <c r="G257" s="32">
        <v>4</v>
      </c>
      <c r="H257" s="20" t="str">
        <f t="shared" si="125"/>
        <v>6_5-4</v>
      </c>
      <c r="I257" s="31">
        <v>25</v>
      </c>
      <c r="J257" s="26" t="e">
        <f ca="1">VLOOKUP($I257,OFFSET([2]enemies!$A$1,0,0,COUNTA([2]enemies!$A:$A),MATCH(J$1,[2]enemies!$2:$2,0)-MATCH($I$1,[2]enemies!$2:$2,0)+1),MATCH(J$1,[2]enemies!$2:$2,0)-MATCH($I$1,[2]enemies!$2:$2,0)+1,FALSE)</f>
        <v>#N/A</v>
      </c>
      <c r="K257" s="29" t="e">
        <f ca="1">VLOOKUP($I257,OFFSET([2]enemies!$A$1,0,0,COUNTA([2]enemies!$A:$A),MATCH(K$1,[2]enemies!$2:$2,0)-MATCH($I$1,[2]enemies!$2:$2,0)+1),MATCH(K$1,[2]enemies!$2:$2,0)-MATCH($I$1,[2]enemies!$2:$2,0)+1,FALSE)</f>
        <v>#N/A</v>
      </c>
      <c r="L257" s="29" t="e">
        <f ca="1">VLOOKUP($I257,OFFSET([3]characters!$A$1,0,0,COUNTA([3]characters!$A:$A),MATCH(L$1,[3]characters!$2:$2,0)-MATCH($I$1,[3]characters!$2:$2,0)+1),MATCH(L$1,[3]characters!$2:$2,0)-MATCH($I$1,[3]characters!$2:$2,0)+1,FALSE)</f>
        <v>#N/A</v>
      </c>
      <c r="M257" s="28" t="e">
        <f ca="1">VLOOKUP($I257,OFFSET([3]characters!$A$1,0,0,COUNTA([3]characters!$A:$A),MATCH(M$1,[3]characters!$2:$2,0)-MATCH($I$1,[3]characters!$2:$2,0)+2),MATCH(M$1,[3]characters!$2:$2,0)-MATCH($I$1,[3]characters!$2:$2,0)+2,FALSE)</f>
        <v>#N/A</v>
      </c>
      <c r="N257" s="5" t="e">
        <f ca="1">VLOOKUP($I257,OFFSET([2]enemies!$A$1,0,0,COUNTA([2]enemies!$A:$A),MATCH(N$1,[2]enemies!$2:$2,0)-MATCH($I$1,[2]enemies!$2:$2,0)+1),MATCH(N$1,[2]enemies!$2:$2,0)-MATCH($I$1,[2]enemies!$2:$2,0)+1,FALSE)</f>
        <v>#N/A</v>
      </c>
      <c r="O257" s="6">
        <v>11</v>
      </c>
      <c r="P257" s="43">
        <v>1</v>
      </c>
      <c r="Q257" s="43">
        <v>1</v>
      </c>
      <c r="R257" s="6">
        <v>0</v>
      </c>
      <c r="S257" s="5" t="str">
        <f ca="1">VLOOKUP($T257,OFFSET([4]enemy_skill_sets!$B$1,0,0,COUNTA([4]enemy_skill_sets!$B:$B),MATCH(J$1,[4]enemy_skill_sets!$1:$1,0)-MATCH($T$1,[4]enemy_skill_sets!$1:$1,0)+2),MATCH(J$1,[4]enemy_skill_sets!$1:$1,0)-MATCH($T$1,[4]enemy_skill_sets!$1:$1,0)+2,FALSE)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7" s="5">
        <v>0</v>
      </c>
      <c r="U257" s="7">
        <v>0</v>
      </c>
      <c r="V257" s="7">
        <v>100</v>
      </c>
      <c r="W257" s="7">
        <v>0</v>
      </c>
      <c r="X257" s="26" t="e">
        <f ca="1">VLOOKUP($I257,OFFSET([2]enemies!$A$1,0,0,COUNTA([2]enemies!$A:$A),MATCH(X$1,[2]enemies!$2:$2,0)-MATCH($I$1,[2]enemies!$2:$2,0)+1),MATCH(X$1,[2]enemies!$2:$2,0)-MATCH($I$1,[2]enemies!$2:$2,0)+1,FALSE)</f>
        <v>#N/A</v>
      </c>
      <c r="Y257" s="31">
        <v>25</v>
      </c>
      <c r="Z257" s="5" t="str">
        <f ca="1">IFERROR(VLOOKUP($Y257,OFFSET([3]characters!$A$1,0,0,COUNTA([3]characters!$A:$A),MATCH(Z$1,[3]characters!$2:$2,0)-MATCH("character_id",[3]characters!$2:$2,0)+1),MATCH(Z$1,[3]characters!$2:$2,0)-MATCH("character_id",[3]characters!$2:$2,0)+1,FALSE),"")</f>
        <v/>
      </c>
      <c r="AA257" s="5" t="str">
        <f ca="1">IFERROR(VLOOKUP($Y257,OFFSET([3]characters!$A$1,0,0,COUNTA([3]characters!$A:$A),MATCH(AA$1,[3]characters!$2:$2,0)-MATCH("character_id",[3]characters!$2:$2,0)+1),MATCH(AA$1,[3]characters!$2:$2,0)-MATCH("character_id",[3]characters!$2:$2,0)+1,FALSE),"")</f>
        <v/>
      </c>
      <c r="AB257" s="5" t="str">
        <f ca="1">IFERROR(VLOOKUP($Y257,OFFSET([3]characters!$A$1,0,0,COUNTA([3]characters!$A:$A),MATCH(AB$1,[3]characters!$2:$2,0)-MATCH("character_id",[3]characters!$2:$2,0)+1),MATCH(AB$1,[3]characters!$2:$2,0)-MATCH("character_id",[3]characters!$2:$2,0)+1,FALSE),"")</f>
        <v/>
      </c>
      <c r="AC257" s="8">
        <v>1</v>
      </c>
      <c r="AD257" s="8" t="str">
        <f t="shared" ca="1" si="129"/>
        <v/>
      </c>
      <c r="AE257" s="9">
        <v>30</v>
      </c>
      <c r="AF257" s="38">
        <v>0</v>
      </c>
      <c r="AG257" s="38">
        <v>0</v>
      </c>
      <c r="AH257" s="38">
        <v>0</v>
      </c>
      <c r="AI257" s="38">
        <v>0</v>
      </c>
      <c r="AJ257" s="38">
        <v>1</v>
      </c>
    </row>
    <row r="258" spans="1:36" ht="21" customHeight="1" x14ac:dyDescent="0.15">
      <c r="A258" s="21" t="e">
        <f t="shared" ca="1" si="128"/>
        <v>#N/A</v>
      </c>
      <c r="B258" s="33">
        <v>6</v>
      </c>
      <c r="C258" s="32">
        <v>5</v>
      </c>
      <c r="D258" s="2" t="str">
        <f t="shared" si="124"/>
        <v>6_5</v>
      </c>
      <c r="E258" s="5" t="str">
        <f ca="1">VLOOKUP($B258,OFFSET([1]quests!$A$1,0,0,COUNTA([1]quests!$A:$A),MATCH(E$1,[1]quests!$1:$1,0)-MATCH($B$1,[1]quests!$1:$1,0)+1),MATCH(E$1,[1]quests!$1:$1,0)-MATCH($B$1,[1]quests!$1:$1,0)+1,FALSE)</f>
        <v>6．ドリームパーク</v>
      </c>
      <c r="F258" s="5" t="str">
        <f ca="1">VLOOKUP($D258,OFFSET([1]stages!$A$1,0,0,COUNTA([1]stages!$A:$A),MATCH(F$1,[1]stages!$2:$2,0)-MATCH($D$1,[1]stages!$2:$2,0)+1),MATCH(F$1,[1]stages!$2:$2,0)-MATCH($D$1,[1]stages!$2:$2,0)+1,FALSE)</f>
        <v>6-5. 来園者の末路</v>
      </c>
      <c r="G258" s="32">
        <v>4</v>
      </c>
      <c r="H258" s="20" t="str">
        <f t="shared" si="125"/>
        <v>6_5-4</v>
      </c>
      <c r="I258" s="31">
        <v>101</v>
      </c>
      <c r="J258" s="26" t="e">
        <f ca="1">VLOOKUP($I258,OFFSET([2]enemies!$A$1,0,0,COUNTA([2]enemies!$A:$A),MATCH(J$1,[2]enemies!$2:$2,0)-MATCH($I$1,[2]enemies!$2:$2,0)+1),MATCH(J$1,[2]enemies!$2:$2,0)-MATCH($I$1,[2]enemies!$2:$2,0)+1,FALSE)</f>
        <v>#N/A</v>
      </c>
      <c r="K258" s="29" t="e">
        <f ca="1">VLOOKUP($I258,OFFSET([2]enemies!$A$1,0,0,COUNTA([2]enemies!$A:$A),MATCH(K$1,[2]enemies!$2:$2,0)-MATCH($I$1,[2]enemies!$2:$2,0)+1),MATCH(K$1,[2]enemies!$2:$2,0)-MATCH($I$1,[2]enemies!$2:$2,0)+1,FALSE)</f>
        <v>#N/A</v>
      </c>
      <c r="L258" s="29" t="e">
        <f ca="1">VLOOKUP($I258,OFFSET([3]characters!$A$1,0,0,COUNTA([3]characters!$A:$A),MATCH(L$1,[3]characters!$2:$2,0)-MATCH($I$1,[3]characters!$2:$2,0)+1),MATCH(L$1,[3]characters!$2:$2,0)-MATCH($I$1,[3]characters!$2:$2,0)+1,FALSE)</f>
        <v>#N/A</v>
      </c>
      <c r="M258" s="28" t="e">
        <f ca="1">VLOOKUP($I258,OFFSET([3]characters!$A$1,0,0,COUNTA([3]characters!$A:$A),MATCH(M$1,[3]characters!$2:$2,0)-MATCH($I$1,[3]characters!$2:$2,0)+2),MATCH(M$1,[3]characters!$2:$2,0)-MATCH($I$1,[3]characters!$2:$2,0)+2,FALSE)</f>
        <v>#N/A</v>
      </c>
      <c r="N258" s="5" t="e">
        <f ca="1">VLOOKUP($I258,OFFSET([2]enemies!$A$1,0,0,COUNTA([2]enemies!$A:$A),MATCH(N$1,[2]enemies!$2:$2,0)-MATCH($I$1,[2]enemies!$2:$2,0)+1),MATCH(N$1,[2]enemies!$2:$2,0)-MATCH($I$1,[2]enemies!$2:$2,0)+1,FALSE)</f>
        <v>#N/A</v>
      </c>
      <c r="O258" s="6">
        <v>11</v>
      </c>
      <c r="P258" s="43">
        <v>1</v>
      </c>
      <c r="Q258" s="43">
        <v>1</v>
      </c>
      <c r="R258" s="6">
        <v>0</v>
      </c>
      <c r="S258" s="5" t="str">
        <f ca="1">VLOOKUP($T258,OFFSET([4]enemy_skill_sets!$B$1,0,0,COUNTA([4]enemy_skill_sets!$B:$B),MATCH(J$1,[4]enemy_skill_sets!$1:$1,0)-MATCH($T$1,[4]enemy_skill_sets!$1:$1,0)+2),MATCH(J$1,[4]enemy_skill_sets!$1:$1,0)-MATCH($T$1,[4]enemy_skill_sets!$1:$1,0)+2,FALSE)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8" s="5">
        <v>0</v>
      </c>
      <c r="U258" s="7">
        <v>0</v>
      </c>
      <c r="V258" s="7">
        <v>50</v>
      </c>
      <c r="W258" s="7">
        <v>0</v>
      </c>
      <c r="X258" s="26" t="e">
        <f ca="1">VLOOKUP($I258,OFFSET([2]enemies!$A$1,0,0,COUNTA([2]enemies!$A:$A),MATCH(X$1,[2]enemies!$2:$2,0)-MATCH($I$1,[2]enemies!$2:$2,0)+1),MATCH(X$1,[2]enemies!$2:$2,0)-MATCH($I$1,[2]enemies!$2:$2,0)+1,FALSE)</f>
        <v>#N/A</v>
      </c>
      <c r="Y258" s="31">
        <v>101</v>
      </c>
      <c r="Z258" s="5" t="str">
        <f ca="1">IFERROR(VLOOKUP($Y258,OFFSET([3]characters!$A$1,0,0,COUNTA([3]characters!$A:$A),MATCH(Z$1,[3]characters!$2:$2,0)-MATCH("character_id",[3]characters!$2:$2,0)+1),MATCH(Z$1,[3]characters!$2:$2,0)-MATCH("character_id",[3]characters!$2:$2,0)+1,FALSE),"")</f>
        <v/>
      </c>
      <c r="AA258" s="5" t="str">
        <f ca="1">IFERROR(VLOOKUP($Y258,OFFSET([3]characters!$A$1,0,0,COUNTA([3]characters!$A:$A),MATCH(AA$1,[3]characters!$2:$2,0)-MATCH("character_id",[3]characters!$2:$2,0)+1),MATCH(AA$1,[3]characters!$2:$2,0)-MATCH("character_id",[3]characters!$2:$2,0)+1,FALSE),"")</f>
        <v/>
      </c>
      <c r="AB258" s="5" t="str">
        <f ca="1">IFERROR(VLOOKUP($Y258,OFFSET([3]characters!$A$1,0,0,COUNTA([3]characters!$A:$A),MATCH(AB$1,[3]characters!$2:$2,0)-MATCH("character_id",[3]characters!$2:$2,0)+1),MATCH(AB$1,[3]characters!$2:$2,0)-MATCH("character_id",[3]characters!$2:$2,0)+1,FALSE),"")</f>
        <v/>
      </c>
      <c r="AC258" s="8">
        <v>1</v>
      </c>
      <c r="AD258" s="8" t="str">
        <f t="shared" ca="1" si="129"/>
        <v/>
      </c>
      <c r="AE258" s="9">
        <v>20</v>
      </c>
      <c r="AF258" s="38">
        <v>0</v>
      </c>
      <c r="AG258" s="38">
        <v>0</v>
      </c>
      <c r="AH258" s="38">
        <v>0</v>
      </c>
      <c r="AI258" s="38">
        <v>0</v>
      </c>
      <c r="AJ258" s="38">
        <v>1</v>
      </c>
    </row>
    <row r="259" spans="1:36" ht="21" customHeight="1" x14ac:dyDescent="0.15">
      <c r="A259" s="21" t="e">
        <f t="shared" ca="1" si="128"/>
        <v>#N/A</v>
      </c>
      <c r="B259" s="33">
        <v>6</v>
      </c>
      <c r="C259" s="32">
        <v>5</v>
      </c>
      <c r="D259" s="2" t="str">
        <f t="shared" si="124"/>
        <v>6_5</v>
      </c>
      <c r="E259" s="5" t="str">
        <f ca="1">VLOOKUP($B259,OFFSET([1]quests!$A$1,0,0,COUNTA([1]quests!$A:$A),MATCH(E$1,[1]quests!$1:$1,0)-MATCH($B$1,[1]quests!$1:$1,0)+1),MATCH(E$1,[1]quests!$1:$1,0)-MATCH($B$1,[1]quests!$1:$1,0)+1,FALSE)</f>
        <v>6．ドリームパーク</v>
      </c>
      <c r="F259" s="5" t="str">
        <f ca="1">VLOOKUP($D259,OFFSET([1]stages!$A$1,0,0,COUNTA([1]stages!$A:$A),MATCH(F$1,[1]stages!$2:$2,0)-MATCH($D$1,[1]stages!$2:$2,0)+1),MATCH(F$1,[1]stages!$2:$2,0)-MATCH($D$1,[1]stages!$2:$2,0)+1,FALSE)</f>
        <v>6-5. 来園者の末路</v>
      </c>
      <c r="G259" s="32">
        <v>4</v>
      </c>
      <c r="H259" s="20" t="str">
        <f t="shared" si="125"/>
        <v>6_5-4</v>
      </c>
      <c r="I259" s="31">
        <v>105</v>
      </c>
      <c r="J259" s="26" t="e">
        <f ca="1">VLOOKUP($I259,OFFSET([2]enemies!$A$1,0,0,COUNTA([2]enemies!$A:$A),MATCH(J$1,[2]enemies!$2:$2,0)-MATCH($I$1,[2]enemies!$2:$2,0)+1),MATCH(J$1,[2]enemies!$2:$2,0)-MATCH($I$1,[2]enemies!$2:$2,0)+1,FALSE)</f>
        <v>#N/A</v>
      </c>
      <c r="K259" s="29" t="e">
        <f ca="1">VLOOKUP($I259,OFFSET([2]enemies!$A$1,0,0,COUNTA([2]enemies!$A:$A),MATCH(K$1,[2]enemies!$2:$2,0)-MATCH($I$1,[2]enemies!$2:$2,0)+1),MATCH(K$1,[2]enemies!$2:$2,0)-MATCH($I$1,[2]enemies!$2:$2,0)+1,FALSE)</f>
        <v>#N/A</v>
      </c>
      <c r="L259" s="29" t="e">
        <f ca="1">VLOOKUP($I259,OFFSET([3]characters!$A$1,0,0,COUNTA([3]characters!$A:$A),MATCH(L$1,[3]characters!$2:$2,0)-MATCH($I$1,[3]characters!$2:$2,0)+1),MATCH(L$1,[3]characters!$2:$2,0)-MATCH($I$1,[3]characters!$2:$2,0)+1,FALSE)</f>
        <v>#N/A</v>
      </c>
      <c r="M259" s="28" t="e">
        <f ca="1">VLOOKUP($I259,OFFSET([3]characters!$A$1,0,0,COUNTA([3]characters!$A:$A),MATCH(M$1,[3]characters!$2:$2,0)-MATCH($I$1,[3]characters!$2:$2,0)+2),MATCH(M$1,[3]characters!$2:$2,0)-MATCH($I$1,[3]characters!$2:$2,0)+2,FALSE)</f>
        <v>#N/A</v>
      </c>
      <c r="N259" s="5" t="e">
        <f ca="1">VLOOKUP($I259,OFFSET([2]enemies!$A$1,0,0,COUNTA([2]enemies!$A:$A),MATCH(N$1,[2]enemies!$2:$2,0)-MATCH($I$1,[2]enemies!$2:$2,0)+1),MATCH(N$1,[2]enemies!$2:$2,0)-MATCH($I$1,[2]enemies!$2:$2,0)+1,FALSE)</f>
        <v>#N/A</v>
      </c>
      <c r="O259" s="6">
        <v>11</v>
      </c>
      <c r="P259" s="43">
        <v>1</v>
      </c>
      <c r="Q259" s="43">
        <v>1</v>
      </c>
      <c r="R259" s="6">
        <v>0</v>
      </c>
      <c r="S259" s="5" t="str">
        <f ca="1">VLOOKUP($T259,OFFSET([4]enemy_skill_sets!$B$1,0,0,COUNTA([4]enemy_skill_sets!$B:$B),MATCH(J$1,[4]enemy_skill_sets!$1:$1,0)-MATCH($T$1,[4]enemy_skill_sets!$1:$1,0)+2),MATCH(J$1,[4]enemy_skill_sets!$1:$1,0)-MATCH($T$1,[4]enemy_skill_sets!$1:$1,0)+2,FALSE)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9" s="5">
        <v>0</v>
      </c>
      <c r="U259" s="7">
        <v>0</v>
      </c>
      <c r="V259" s="7">
        <v>50</v>
      </c>
      <c r="W259" s="7">
        <v>0</v>
      </c>
      <c r="X259" s="26" t="e">
        <f ca="1">VLOOKUP($I259,OFFSET([2]enemies!$A$1,0,0,COUNTA([2]enemies!$A:$A),MATCH(X$1,[2]enemies!$2:$2,0)-MATCH($I$1,[2]enemies!$2:$2,0)+1),MATCH(X$1,[2]enemies!$2:$2,0)-MATCH($I$1,[2]enemies!$2:$2,0)+1,FALSE)</f>
        <v>#N/A</v>
      </c>
      <c r="Y259" s="31">
        <v>105</v>
      </c>
      <c r="Z259" s="5" t="str">
        <f ca="1">IFERROR(VLOOKUP($Y259,OFFSET([3]characters!$A$1,0,0,COUNTA([3]characters!$A:$A),MATCH(Z$1,[3]characters!$2:$2,0)-MATCH("character_id",[3]characters!$2:$2,0)+1),MATCH(Z$1,[3]characters!$2:$2,0)-MATCH("character_id",[3]characters!$2:$2,0)+1,FALSE),"")</f>
        <v/>
      </c>
      <c r="AA259" s="5" t="str">
        <f ca="1">IFERROR(VLOOKUP($Y259,OFFSET([3]characters!$A$1,0,0,COUNTA([3]characters!$A:$A),MATCH(AA$1,[3]characters!$2:$2,0)-MATCH("character_id",[3]characters!$2:$2,0)+1),MATCH(AA$1,[3]characters!$2:$2,0)-MATCH("character_id",[3]characters!$2:$2,0)+1,FALSE),"")</f>
        <v/>
      </c>
      <c r="AB259" s="5" t="str">
        <f ca="1">IFERROR(VLOOKUP($Y259,OFFSET([3]characters!$A$1,0,0,COUNTA([3]characters!$A:$A),MATCH(AB$1,[3]characters!$2:$2,0)-MATCH("character_id",[3]characters!$2:$2,0)+1),MATCH(AB$1,[3]characters!$2:$2,0)-MATCH("character_id",[3]characters!$2:$2,0)+1,FALSE),"")</f>
        <v/>
      </c>
      <c r="AC259" s="8">
        <v>1</v>
      </c>
      <c r="AD259" s="8" t="str">
        <f t="shared" ca="1" si="129"/>
        <v/>
      </c>
      <c r="AE259" s="9">
        <v>20</v>
      </c>
      <c r="AF259" s="38">
        <v>0</v>
      </c>
      <c r="AG259" s="38">
        <v>0</v>
      </c>
      <c r="AH259" s="38">
        <v>0</v>
      </c>
      <c r="AI259" s="38">
        <v>0</v>
      </c>
      <c r="AJ259" s="38">
        <v>1</v>
      </c>
    </row>
    <row r="260" spans="1:36" ht="21" customHeight="1" x14ac:dyDescent="0.15">
      <c r="A260" s="21" t="e">
        <f t="shared" ca="1" si="128"/>
        <v>#N/A</v>
      </c>
      <c r="B260" s="33">
        <v>6</v>
      </c>
      <c r="C260" s="32">
        <v>5</v>
      </c>
      <c r="D260" s="2" t="str">
        <f t="shared" ref="D260:D261" si="130">B260&amp;"_"&amp;C260</f>
        <v>6_5</v>
      </c>
      <c r="E260" s="5" t="str">
        <f ca="1">VLOOKUP($B260,OFFSET([1]quests!$A$1,0,0,COUNTA([1]quests!$A:$A),MATCH(E$1,[1]quests!$1:$1,0)-MATCH($B$1,[1]quests!$1:$1,0)+1),MATCH(E$1,[1]quests!$1:$1,0)-MATCH($B$1,[1]quests!$1:$1,0)+1,FALSE)</f>
        <v>6．ドリームパーク</v>
      </c>
      <c r="F260" s="5" t="str">
        <f ca="1">VLOOKUP($D260,OFFSET([1]stages!$A$1,0,0,COUNTA([1]stages!$A:$A),MATCH(F$1,[1]stages!$2:$2,0)-MATCH($D$1,[1]stages!$2:$2,0)+1),MATCH(F$1,[1]stages!$2:$2,0)-MATCH($D$1,[1]stages!$2:$2,0)+1,FALSE)</f>
        <v>6-5. 来園者の末路</v>
      </c>
      <c r="G260" s="32">
        <v>4</v>
      </c>
      <c r="H260" s="20" t="str">
        <f t="shared" si="125"/>
        <v>6_5-4</v>
      </c>
      <c r="I260" s="31">
        <v>109</v>
      </c>
      <c r="J260" s="26" t="e">
        <f ca="1">VLOOKUP($I260,OFFSET([2]enemies!$A$1,0,0,COUNTA([2]enemies!$A:$A),MATCH(J$1,[2]enemies!$2:$2,0)-MATCH($I$1,[2]enemies!$2:$2,0)+1),MATCH(J$1,[2]enemies!$2:$2,0)-MATCH($I$1,[2]enemies!$2:$2,0)+1,FALSE)</f>
        <v>#N/A</v>
      </c>
      <c r="K260" s="29" t="e">
        <f ca="1">VLOOKUP($I260,OFFSET([2]enemies!$A$1,0,0,COUNTA([2]enemies!$A:$A),MATCH(K$1,[2]enemies!$2:$2,0)-MATCH($I$1,[2]enemies!$2:$2,0)+1),MATCH(K$1,[2]enemies!$2:$2,0)-MATCH($I$1,[2]enemies!$2:$2,0)+1,FALSE)</f>
        <v>#N/A</v>
      </c>
      <c r="L260" s="29" t="e">
        <f ca="1">VLOOKUP($I260,OFFSET([3]characters!$A$1,0,0,COUNTA([3]characters!$A:$A),MATCH(L$1,[3]characters!$2:$2,0)-MATCH($I$1,[3]characters!$2:$2,0)+1),MATCH(L$1,[3]characters!$2:$2,0)-MATCH($I$1,[3]characters!$2:$2,0)+1,FALSE)</f>
        <v>#N/A</v>
      </c>
      <c r="M260" s="28" t="e">
        <f ca="1">VLOOKUP($I260,OFFSET([3]characters!$A$1,0,0,COUNTA([3]characters!$A:$A),MATCH(M$1,[3]characters!$2:$2,0)-MATCH($I$1,[3]characters!$2:$2,0)+2),MATCH(M$1,[3]characters!$2:$2,0)-MATCH($I$1,[3]characters!$2:$2,0)+2,FALSE)</f>
        <v>#N/A</v>
      </c>
      <c r="N260" s="5" t="e">
        <f ca="1">VLOOKUP($I260,OFFSET([2]enemies!$A$1,0,0,COUNTA([2]enemies!$A:$A),MATCH(N$1,[2]enemies!$2:$2,0)-MATCH($I$1,[2]enemies!$2:$2,0)+1),MATCH(N$1,[2]enemies!$2:$2,0)-MATCH($I$1,[2]enemies!$2:$2,0)+1,FALSE)</f>
        <v>#N/A</v>
      </c>
      <c r="O260" s="6">
        <v>11</v>
      </c>
      <c r="P260" s="43">
        <v>1</v>
      </c>
      <c r="Q260" s="43">
        <v>1</v>
      </c>
      <c r="R260" s="6">
        <v>0</v>
      </c>
      <c r="S260" s="5" t="str">
        <f ca="1">VLOOKUP($T260,OFFSET([4]enemy_skill_sets!$B$1,0,0,COUNTA([4]enemy_skill_sets!$B:$B),MATCH(J$1,[4]enemy_skill_sets!$1:$1,0)-MATCH($T$1,[4]enemy_skill_sets!$1:$1,0)+2),MATCH(J$1,[4]enemy_skill_sets!$1:$1,0)-MATCH($T$1,[4]enemy_skill_sets!$1:$1,0)+2,FALSE)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0" s="5">
        <v>0</v>
      </c>
      <c r="U260" s="7">
        <v>0</v>
      </c>
      <c r="V260" s="7">
        <v>30</v>
      </c>
      <c r="W260" s="7">
        <v>0</v>
      </c>
      <c r="X260" s="26" t="e">
        <f ca="1">VLOOKUP($I260,OFFSET([2]enemies!$A$1,0,0,COUNTA([2]enemies!$A:$A),MATCH(X$1,[2]enemies!$2:$2,0)-MATCH($I$1,[2]enemies!$2:$2,0)+1),MATCH(X$1,[2]enemies!$2:$2,0)-MATCH($I$1,[2]enemies!$2:$2,0)+1,FALSE)</f>
        <v>#N/A</v>
      </c>
      <c r="Y260" s="31">
        <v>109</v>
      </c>
      <c r="Z260" s="5" t="str">
        <f ca="1">IFERROR(VLOOKUP($Y260,OFFSET([3]characters!$A$1,0,0,COUNTA([3]characters!$A:$A),MATCH(Z$1,[3]characters!$2:$2,0)-MATCH("character_id",[3]characters!$2:$2,0)+1),MATCH(Z$1,[3]characters!$2:$2,0)-MATCH("character_id",[3]characters!$2:$2,0)+1,FALSE),"")</f>
        <v/>
      </c>
      <c r="AA260" s="5" t="str">
        <f ca="1">IFERROR(VLOOKUP($Y260,OFFSET([3]characters!$A$1,0,0,COUNTA([3]characters!$A:$A),MATCH(AA$1,[3]characters!$2:$2,0)-MATCH("character_id",[3]characters!$2:$2,0)+1),MATCH(AA$1,[3]characters!$2:$2,0)-MATCH("character_id",[3]characters!$2:$2,0)+1,FALSE),"")</f>
        <v/>
      </c>
      <c r="AB260" s="5" t="str">
        <f ca="1">IFERROR(VLOOKUP($Y260,OFFSET([3]characters!$A$1,0,0,COUNTA([3]characters!$A:$A),MATCH(AB$1,[3]characters!$2:$2,0)-MATCH("character_id",[3]characters!$2:$2,0)+1),MATCH(AB$1,[3]characters!$2:$2,0)-MATCH("character_id",[3]characters!$2:$2,0)+1,FALSE),"")</f>
        <v/>
      </c>
      <c r="AC260" s="8">
        <v>1</v>
      </c>
      <c r="AD260" s="8" t="str">
        <f t="shared" ca="1" si="129"/>
        <v/>
      </c>
      <c r="AE260" s="9">
        <v>20</v>
      </c>
      <c r="AF260" s="38">
        <v>0</v>
      </c>
      <c r="AG260" s="38">
        <v>0</v>
      </c>
      <c r="AH260" s="38">
        <v>0</v>
      </c>
      <c r="AI260" s="38">
        <v>0</v>
      </c>
      <c r="AJ260" s="38">
        <v>1</v>
      </c>
    </row>
    <row r="261" spans="1:36" ht="21" customHeight="1" x14ac:dyDescent="0.15">
      <c r="A261" s="21" t="e">
        <f t="shared" ca="1" si="128"/>
        <v>#N/A</v>
      </c>
      <c r="B261" s="33">
        <v>6</v>
      </c>
      <c r="C261" s="32">
        <v>5</v>
      </c>
      <c r="D261" s="2" t="str">
        <f t="shared" si="130"/>
        <v>6_5</v>
      </c>
      <c r="E261" s="5" t="str">
        <f ca="1">VLOOKUP($B261,OFFSET([1]quests!$A$1,0,0,COUNTA([1]quests!$A:$A),MATCH(E$1,[1]quests!$1:$1,0)-MATCH($B$1,[1]quests!$1:$1,0)+1),MATCH(E$1,[1]quests!$1:$1,0)-MATCH($B$1,[1]quests!$1:$1,0)+1,FALSE)</f>
        <v>6．ドリームパーク</v>
      </c>
      <c r="F261" s="5" t="str">
        <f ca="1">VLOOKUP($D261,OFFSET([1]stages!$A$1,0,0,COUNTA([1]stages!$A:$A),MATCH(F$1,[1]stages!$2:$2,0)-MATCH($D$1,[1]stages!$2:$2,0)+1),MATCH(F$1,[1]stages!$2:$2,0)-MATCH($D$1,[1]stages!$2:$2,0)+1,FALSE)</f>
        <v>6-5. 来園者の末路</v>
      </c>
      <c r="G261" s="32">
        <v>4</v>
      </c>
      <c r="H261" s="20" t="str">
        <f t="shared" si="125"/>
        <v>6_5-4</v>
      </c>
      <c r="I261" s="31">
        <v>113</v>
      </c>
      <c r="J261" s="26" t="e">
        <f ca="1">VLOOKUP($I261,OFFSET([2]enemies!$A$1,0,0,COUNTA([2]enemies!$A:$A),MATCH(J$1,[2]enemies!$2:$2,0)-MATCH($I$1,[2]enemies!$2:$2,0)+1),MATCH(J$1,[2]enemies!$2:$2,0)-MATCH($I$1,[2]enemies!$2:$2,0)+1,FALSE)</f>
        <v>#N/A</v>
      </c>
      <c r="K261" s="29" t="e">
        <f ca="1">VLOOKUP($I261,OFFSET([2]enemies!$A$1,0,0,COUNTA([2]enemies!$A:$A),MATCH(K$1,[2]enemies!$2:$2,0)-MATCH($I$1,[2]enemies!$2:$2,0)+1),MATCH(K$1,[2]enemies!$2:$2,0)-MATCH($I$1,[2]enemies!$2:$2,0)+1,FALSE)</f>
        <v>#N/A</v>
      </c>
      <c r="L261" s="29" t="e">
        <f ca="1">VLOOKUP($I261,OFFSET([3]characters!$A$1,0,0,COUNTA([3]characters!$A:$A),MATCH(L$1,[3]characters!$2:$2,0)-MATCH($I$1,[3]characters!$2:$2,0)+1),MATCH(L$1,[3]characters!$2:$2,0)-MATCH($I$1,[3]characters!$2:$2,0)+1,FALSE)</f>
        <v>#N/A</v>
      </c>
      <c r="M261" s="28" t="e">
        <f ca="1">VLOOKUP($I261,OFFSET([3]characters!$A$1,0,0,COUNTA([3]characters!$A:$A),MATCH(M$1,[3]characters!$2:$2,0)-MATCH($I$1,[3]characters!$2:$2,0)+2),MATCH(M$1,[3]characters!$2:$2,0)-MATCH($I$1,[3]characters!$2:$2,0)+2,FALSE)</f>
        <v>#N/A</v>
      </c>
      <c r="N261" s="5" t="e">
        <f ca="1">VLOOKUP($I261,OFFSET([2]enemies!$A$1,0,0,COUNTA([2]enemies!$A:$A),MATCH(N$1,[2]enemies!$2:$2,0)-MATCH($I$1,[2]enemies!$2:$2,0)+1),MATCH(N$1,[2]enemies!$2:$2,0)-MATCH($I$1,[2]enemies!$2:$2,0)+1,FALSE)</f>
        <v>#N/A</v>
      </c>
      <c r="O261" s="6">
        <v>11</v>
      </c>
      <c r="P261" s="43">
        <v>1</v>
      </c>
      <c r="Q261" s="43">
        <v>1</v>
      </c>
      <c r="R261" s="6">
        <v>0</v>
      </c>
      <c r="S261" s="5" t="str">
        <f ca="1">VLOOKUP($T261,OFFSET([4]enemy_skill_sets!$B$1,0,0,COUNTA([4]enemy_skill_sets!$B:$B),MATCH(J$1,[4]enemy_skill_sets!$1:$1,0)-MATCH($T$1,[4]enemy_skill_sets!$1:$1,0)+2),MATCH(J$1,[4]enemy_skill_sets!$1:$1,0)-MATCH($T$1,[4]enemy_skill_sets!$1:$1,0)+2,FALSE)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1" s="5">
        <v>0</v>
      </c>
      <c r="U261" s="7">
        <v>0</v>
      </c>
      <c r="V261" s="7">
        <v>30</v>
      </c>
      <c r="W261" s="7">
        <v>0</v>
      </c>
      <c r="X261" s="26" t="e">
        <f ca="1">VLOOKUP($I261,OFFSET([2]enemies!$A$1,0,0,COUNTA([2]enemies!$A:$A),MATCH(X$1,[2]enemies!$2:$2,0)-MATCH($I$1,[2]enemies!$2:$2,0)+1),MATCH(X$1,[2]enemies!$2:$2,0)-MATCH($I$1,[2]enemies!$2:$2,0)+1,FALSE)</f>
        <v>#N/A</v>
      </c>
      <c r="Y261" s="31">
        <v>113</v>
      </c>
      <c r="Z261" s="5" t="str">
        <f ca="1">IFERROR(VLOOKUP($Y261,OFFSET([3]characters!$A$1,0,0,COUNTA([3]characters!$A:$A),MATCH(Z$1,[3]characters!$2:$2,0)-MATCH("character_id",[3]characters!$2:$2,0)+1),MATCH(Z$1,[3]characters!$2:$2,0)-MATCH("character_id",[3]characters!$2:$2,0)+1,FALSE),"")</f>
        <v/>
      </c>
      <c r="AA261" s="5" t="str">
        <f ca="1">IFERROR(VLOOKUP($Y261,OFFSET([3]characters!$A$1,0,0,COUNTA([3]characters!$A:$A),MATCH(AA$1,[3]characters!$2:$2,0)-MATCH("character_id",[3]characters!$2:$2,0)+1),MATCH(AA$1,[3]characters!$2:$2,0)-MATCH("character_id",[3]characters!$2:$2,0)+1,FALSE),"")</f>
        <v/>
      </c>
      <c r="AB261" s="5" t="str">
        <f ca="1">IFERROR(VLOOKUP($Y261,OFFSET([3]characters!$A$1,0,0,COUNTA([3]characters!$A:$A),MATCH(AB$1,[3]characters!$2:$2,0)-MATCH("character_id",[3]characters!$2:$2,0)+1),MATCH(AB$1,[3]characters!$2:$2,0)-MATCH("character_id",[3]characters!$2:$2,0)+1,FALSE),"")</f>
        <v/>
      </c>
      <c r="AC261" s="8">
        <v>1</v>
      </c>
      <c r="AD261" s="8" t="str">
        <f t="shared" ca="1" si="129"/>
        <v/>
      </c>
      <c r="AE261" s="9">
        <v>20</v>
      </c>
      <c r="AF261" s="38">
        <v>0</v>
      </c>
      <c r="AG261" s="38">
        <v>0</v>
      </c>
      <c r="AH261" s="38">
        <v>0</v>
      </c>
      <c r="AI261" s="38">
        <v>0</v>
      </c>
      <c r="AJ261" s="38">
        <v>1</v>
      </c>
    </row>
    <row r="262" spans="1:36" ht="21" customHeight="1" x14ac:dyDescent="0.15">
      <c r="A262" s="21" t="e">
        <f t="shared" ca="1" si="128"/>
        <v>#N/A</v>
      </c>
      <c r="B262" s="33">
        <v>6</v>
      </c>
      <c r="C262" s="36">
        <v>5</v>
      </c>
      <c r="D262" s="2" t="str">
        <f t="shared" ref="D262" si="131">B262&amp;"_"&amp;C262</f>
        <v>6_5</v>
      </c>
      <c r="E262" s="5" t="str">
        <f ca="1">VLOOKUP($B262,OFFSET([1]quests!$A$1,0,0,COUNTA([1]quests!$A:$A),MATCH(E$1,[1]quests!$1:$1,0)-MATCH($B$1,[1]quests!$1:$1,0)+1),MATCH(E$1,[1]quests!$1:$1,0)-MATCH($B$1,[1]quests!$1:$1,0)+1,FALSE)</f>
        <v>6．ドリームパーク</v>
      </c>
      <c r="F262" s="5" t="str">
        <f ca="1">VLOOKUP($D262,OFFSET([1]stages!$A$1,0,0,COUNTA([1]stages!$A:$A),MATCH(F$1,[1]stages!$2:$2,0)-MATCH($D$1,[1]stages!$2:$2,0)+1),MATCH(F$1,[1]stages!$2:$2,0)-MATCH($D$1,[1]stages!$2:$2,0)+1,FALSE)</f>
        <v>6-5. 来園者の末路</v>
      </c>
      <c r="G262" s="35">
        <v>5</v>
      </c>
      <c r="H262" s="20" t="str">
        <f t="shared" si="125"/>
        <v>6_5-5</v>
      </c>
      <c r="I262" s="31">
        <v>187</v>
      </c>
      <c r="J262" s="26" t="e">
        <f ca="1">VLOOKUP($I262,OFFSET([2]enemies!$A$1,0,0,COUNTA([2]enemies!$A:$A),MATCH(J$1,[2]enemies!$2:$2,0)-MATCH($I$1,[2]enemies!$2:$2,0)+1),MATCH(J$1,[2]enemies!$2:$2,0)-MATCH($I$1,[2]enemies!$2:$2,0)+1,FALSE)</f>
        <v>#N/A</v>
      </c>
      <c r="K262" s="29" t="e">
        <f ca="1">VLOOKUP($I262,OFFSET([2]enemies!$A$1,0,0,COUNTA([2]enemies!$A:$A),MATCH(K$1,[2]enemies!$2:$2,0)-MATCH($I$1,[2]enemies!$2:$2,0)+1),MATCH(K$1,[2]enemies!$2:$2,0)-MATCH($I$1,[2]enemies!$2:$2,0)+1,FALSE)</f>
        <v>#N/A</v>
      </c>
      <c r="L262" s="29" t="e">
        <f ca="1">VLOOKUP($I262,OFFSET([3]characters!$A$1,0,0,COUNTA([3]characters!$A:$A),MATCH(L$1,[3]characters!$2:$2,0)-MATCH($I$1,[3]characters!$2:$2,0)+1),MATCH(L$1,[3]characters!$2:$2,0)-MATCH($I$1,[3]characters!$2:$2,0)+1,FALSE)</f>
        <v>#N/A</v>
      </c>
      <c r="M262" s="28" t="e">
        <f ca="1">VLOOKUP($I262,OFFSET([3]characters!$A$1,0,0,COUNTA([3]characters!$A:$A),MATCH(M$1,[3]characters!$2:$2,0)-MATCH($I$1,[3]characters!$2:$2,0)+2),MATCH(M$1,[3]characters!$2:$2,0)-MATCH($I$1,[3]characters!$2:$2,0)+2,FALSE)</f>
        <v>#N/A</v>
      </c>
      <c r="N262" s="5" t="e">
        <f ca="1">VLOOKUP($I262,OFFSET([2]enemies!$A$1,0,0,COUNTA([2]enemies!$A:$A),MATCH(N$1,[2]enemies!$2:$2,0)-MATCH($I$1,[2]enemies!$2:$2,0)+1),MATCH(N$1,[2]enemies!$2:$2,0)-MATCH($I$1,[2]enemies!$2:$2,0)+1,FALSE)</f>
        <v>#N/A</v>
      </c>
      <c r="O262" s="6">
        <v>15</v>
      </c>
      <c r="P262" s="43">
        <v>1</v>
      </c>
      <c r="Q262" s="43">
        <v>1</v>
      </c>
      <c r="R262" s="6">
        <v>0</v>
      </c>
      <c r="S262" s="5" t="str">
        <f ca="1">VLOOKUP($T262,OFFSET([4]enemy_skill_sets!$B$1,0,0,COUNTA([4]enemy_skill_sets!$B:$B),MATCH(J$1,[4]enemy_skill_sets!$1:$1,0)-MATCH($T$1,[4]enemy_skill_sets!$1:$1,0)+2),MATCH(J$1,[4]enemy_skill_sets!$1:$1,0)-MATCH($T$1,[4]enemy_skill_sets!$1:$1,0)+2,FALSE)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262" s="5">
        <v>187</v>
      </c>
      <c r="U262" s="7">
        <v>1</v>
      </c>
      <c r="V262" s="7">
        <v>100</v>
      </c>
      <c r="W262" s="7">
        <v>1</v>
      </c>
      <c r="X262" s="26" t="e">
        <f ca="1">VLOOKUP($I262,OFFSET([2]enemies!$A$1,0,0,COUNTA([2]enemies!$A:$A),MATCH(X$1,[2]enemies!$2:$2,0)-MATCH($I$1,[2]enemies!$2:$2,0)+1),MATCH(X$1,[2]enemies!$2:$2,0)-MATCH($I$1,[2]enemies!$2:$2,0)+1,FALSE)</f>
        <v>#N/A</v>
      </c>
      <c r="Y262" s="31">
        <v>187</v>
      </c>
      <c r="Z262" s="5" t="str">
        <f ca="1">IFERROR(VLOOKUP($Y262,OFFSET([3]characters!$A$1,0,0,COUNTA([3]characters!$A:$A),MATCH(Z$1,[3]characters!$2:$2,0)-MATCH("character_id",[3]characters!$2:$2,0)+1),MATCH(Z$1,[3]characters!$2:$2,0)-MATCH("character_id",[3]characters!$2:$2,0)+1,FALSE),"")</f>
        <v/>
      </c>
      <c r="AA262" s="5" t="str">
        <f ca="1">IFERROR(VLOOKUP($Y262,OFFSET([3]characters!$A$1,0,0,COUNTA([3]characters!$A:$A),MATCH(AA$1,[3]characters!$2:$2,0)-MATCH("character_id",[3]characters!$2:$2,0)+1),MATCH(AA$1,[3]characters!$2:$2,0)-MATCH("character_id",[3]characters!$2:$2,0)+1,FALSE),"")</f>
        <v/>
      </c>
      <c r="AB262" s="5" t="str">
        <f ca="1">IFERROR(VLOOKUP($Y262,OFFSET([3]characters!$A$1,0,0,COUNTA([3]characters!$A:$A),MATCH(AB$1,[3]characters!$2:$2,0)-MATCH("character_id",[3]characters!$2:$2,0)+1),MATCH(AB$1,[3]characters!$2:$2,0)-MATCH("character_id",[3]characters!$2:$2,0)+1,FALSE),"")</f>
        <v/>
      </c>
      <c r="AC262" s="8">
        <v>1</v>
      </c>
      <c r="AD262" s="8" t="str">
        <f t="shared" ca="1" si="129"/>
        <v/>
      </c>
      <c r="AE262" s="9">
        <v>0</v>
      </c>
      <c r="AF262" s="38">
        <v>0</v>
      </c>
      <c r="AG262" s="38">
        <v>0</v>
      </c>
      <c r="AH262" s="38">
        <v>0</v>
      </c>
      <c r="AI262" s="38">
        <v>0</v>
      </c>
      <c r="AJ262" s="38">
        <v>1</v>
      </c>
    </row>
    <row r="263" spans="1:36" ht="21" customHeight="1" x14ac:dyDescent="0.15">
      <c r="A263" s="21" t="e">
        <f t="shared" ca="1" si="128"/>
        <v>#N/A</v>
      </c>
      <c r="B263" s="33">
        <v>6</v>
      </c>
      <c r="C263" s="36">
        <v>6</v>
      </c>
      <c r="D263" s="2" t="str">
        <f t="shared" ref="D263" si="132">B263&amp;"_"&amp;C263</f>
        <v>6_6</v>
      </c>
      <c r="E263" s="5" t="str">
        <f ca="1">VLOOKUP($B263,OFFSET([1]quests!$A$1,0,0,COUNTA([1]quests!$A:$A),MATCH(E$1,[1]quests!$1:$1,0)-MATCH($B$1,[1]quests!$1:$1,0)+1),MATCH(E$1,[1]quests!$1:$1,0)-MATCH($B$1,[1]quests!$1:$1,0)+1,FALSE)</f>
        <v>6．ドリームパーク</v>
      </c>
      <c r="F263" s="5" t="str">
        <f ca="1">VLOOKUP($D263,OFFSET([1]stages!$A$1,0,0,COUNTA([1]stages!$A:$A),MATCH(F$1,[1]stages!$2:$2,0)-MATCH($D$1,[1]stages!$2:$2,0)+1),MATCH(F$1,[1]stages!$2:$2,0)-MATCH($D$1,[1]stages!$2:$2,0)+1,FALSE)</f>
        <v>6-6. 【1回のみ】ボーナスステージ</v>
      </c>
      <c r="G263" s="32">
        <v>1</v>
      </c>
      <c r="H263" s="20" t="str">
        <f t="shared" si="125"/>
        <v>6_6-1</v>
      </c>
      <c r="I263" s="31">
        <v>121</v>
      </c>
      <c r="J263" s="26" t="e">
        <f ca="1">VLOOKUP($I263,OFFSET([2]enemies!$A$1,0,0,COUNTA([2]enemies!$A:$A),MATCH(J$1,[2]enemies!$2:$2,0)-MATCH($I$1,[2]enemies!$2:$2,0)+1),MATCH(J$1,[2]enemies!$2:$2,0)-MATCH($I$1,[2]enemies!$2:$2,0)+1,FALSE)</f>
        <v>#N/A</v>
      </c>
      <c r="K263" s="29" t="e">
        <f ca="1">VLOOKUP($I263,OFFSET([2]enemies!$A$1,0,0,COUNTA([2]enemies!$A:$A),MATCH(K$1,[2]enemies!$2:$2,0)-MATCH($I$1,[2]enemies!$2:$2,0)+1),MATCH(K$1,[2]enemies!$2:$2,0)-MATCH($I$1,[2]enemies!$2:$2,0)+1,FALSE)</f>
        <v>#N/A</v>
      </c>
      <c r="L263" s="29" t="e">
        <f ca="1">VLOOKUP($I263,OFFSET([3]characters!$A$1,0,0,COUNTA([3]characters!$A:$A),MATCH(L$1,[3]characters!$2:$2,0)-MATCH($I$1,[3]characters!$2:$2,0)+1),MATCH(L$1,[3]characters!$2:$2,0)-MATCH($I$1,[3]characters!$2:$2,0)+1,FALSE)</f>
        <v>#N/A</v>
      </c>
      <c r="M263" s="28" t="e">
        <f ca="1">VLOOKUP($I263,OFFSET([3]characters!$A$1,0,0,COUNTA([3]characters!$A:$A),MATCH(M$1,[3]characters!$2:$2,0)-MATCH($I$1,[3]characters!$2:$2,0)+2),MATCH(M$1,[3]characters!$2:$2,0)-MATCH($I$1,[3]characters!$2:$2,0)+2,FALSE)</f>
        <v>#N/A</v>
      </c>
      <c r="N263" s="5" t="e">
        <f ca="1">VLOOKUP($I263,OFFSET([2]enemies!$A$1,0,0,COUNTA([2]enemies!$A:$A),MATCH(N$1,[2]enemies!$2:$2,0)-MATCH($I$1,[2]enemies!$2:$2,0)+1),MATCH(N$1,[2]enemies!$2:$2,0)-MATCH($I$1,[2]enemies!$2:$2,0)+1,FALSE)</f>
        <v>#N/A</v>
      </c>
      <c r="O263" s="6">
        <v>1</v>
      </c>
      <c r="P263" s="43">
        <v>1</v>
      </c>
      <c r="Q263" s="43">
        <v>1</v>
      </c>
      <c r="R263" s="6">
        <v>0</v>
      </c>
      <c r="S263" s="5" t="str">
        <f ca="1">VLOOKUP($T263,OFFSET([4]enemy_skill_sets!$B$1,0,0,COUNTA([4]enemy_skill_sets!$B:$B),MATCH(J$1,[4]enemy_skill_sets!$1:$1,0)-MATCH($T$1,[4]enemy_skill_sets!$1:$1,0)+2),MATCH(J$1,[4]enemy_skill_sets!$1:$1,0)-MATCH($T$1,[4]enemy_skill_sets!$1:$1,0)+2,FALSE)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3" s="5">
        <v>0</v>
      </c>
      <c r="U263" s="7">
        <v>0</v>
      </c>
      <c r="V263" s="7">
        <v>100</v>
      </c>
      <c r="W263" s="7">
        <v>0</v>
      </c>
      <c r="X263" s="26" t="e">
        <f ca="1">VLOOKUP($I263,OFFSET([2]enemies!$A$1,0,0,COUNTA([2]enemies!$A:$A),MATCH(X$1,[2]enemies!$2:$2,0)-MATCH($I$1,[2]enemies!$2:$2,0)+1),MATCH(X$1,[2]enemies!$2:$2,0)-MATCH($I$1,[2]enemies!$2:$2,0)+1,FALSE)</f>
        <v>#N/A</v>
      </c>
      <c r="Y263" s="31">
        <v>121</v>
      </c>
      <c r="Z263" s="5" t="str">
        <f ca="1">IFERROR(VLOOKUP($Y263,OFFSET([3]characters!$A$1,0,0,COUNTA([3]characters!$A:$A),MATCH(Z$1,[3]characters!$2:$2,0)-MATCH("character_id",[3]characters!$2:$2,0)+1),MATCH(Z$1,[3]characters!$2:$2,0)-MATCH("character_id",[3]characters!$2:$2,0)+1,FALSE),"")</f>
        <v/>
      </c>
      <c r="AA263" s="5" t="str">
        <f ca="1">IFERROR(VLOOKUP($Y263,OFFSET([3]characters!$A$1,0,0,COUNTA([3]characters!$A:$A),MATCH(AA$1,[3]characters!$2:$2,0)-MATCH("character_id",[3]characters!$2:$2,0)+1),MATCH(AA$1,[3]characters!$2:$2,0)-MATCH("character_id",[3]characters!$2:$2,0)+1,FALSE),"")</f>
        <v/>
      </c>
      <c r="AB263" s="5" t="str">
        <f ca="1">IFERROR(VLOOKUP($Y263,OFFSET([3]characters!$A$1,0,0,COUNTA([3]characters!$A:$A),MATCH(AB$1,[3]characters!$2:$2,0)-MATCH("character_id",[3]characters!$2:$2,0)+1),MATCH(AB$1,[3]characters!$2:$2,0)-MATCH("character_id",[3]characters!$2:$2,0)+1,FALSE),"")</f>
        <v/>
      </c>
      <c r="AC263" s="8">
        <v>1</v>
      </c>
      <c r="AD263" s="8" t="str">
        <f t="shared" ca="1" si="129"/>
        <v/>
      </c>
      <c r="AE263" s="9">
        <v>100</v>
      </c>
      <c r="AF263" s="38">
        <v>0</v>
      </c>
      <c r="AG263" s="38">
        <v>0</v>
      </c>
      <c r="AH263" s="38">
        <v>0</v>
      </c>
      <c r="AI263" s="38">
        <v>0</v>
      </c>
      <c r="AJ263" s="38">
        <v>1</v>
      </c>
    </row>
    <row r="264" spans="1:36" ht="21" customHeight="1" x14ac:dyDescent="0.15">
      <c r="A264" s="21" t="e">
        <f t="shared" ca="1" si="128"/>
        <v>#N/A</v>
      </c>
      <c r="B264" s="33">
        <v>6</v>
      </c>
      <c r="C264" s="36">
        <v>6</v>
      </c>
      <c r="D264" s="2" t="str">
        <f t="shared" ref="D264:D265" si="133">B264&amp;"_"&amp;C264</f>
        <v>6_6</v>
      </c>
      <c r="E264" s="5" t="str">
        <f ca="1">VLOOKUP($B264,OFFSET([1]quests!$A$1,0,0,COUNTA([1]quests!$A:$A),MATCH(E$1,[1]quests!$1:$1,0)-MATCH($B$1,[1]quests!$1:$1,0)+1),MATCH(E$1,[1]quests!$1:$1,0)-MATCH($B$1,[1]quests!$1:$1,0)+1,FALSE)</f>
        <v>6．ドリームパーク</v>
      </c>
      <c r="F264" s="5" t="str">
        <f ca="1">VLOOKUP($D264,OFFSET([1]stages!$A$1,0,0,COUNTA([1]stages!$A:$A),MATCH(F$1,[1]stages!$2:$2,0)-MATCH($D$1,[1]stages!$2:$2,0)+1),MATCH(F$1,[1]stages!$2:$2,0)-MATCH($D$1,[1]stages!$2:$2,0)+1,FALSE)</f>
        <v>6-6. 【1回のみ】ボーナスステージ</v>
      </c>
      <c r="G264" s="32">
        <v>1</v>
      </c>
      <c r="H264" s="20" t="str">
        <f t="shared" si="125"/>
        <v>6_6-1</v>
      </c>
      <c r="I264" s="31">
        <v>122</v>
      </c>
      <c r="J264" s="26" t="e">
        <f ca="1">VLOOKUP($I264,OFFSET([2]enemies!$A$1,0,0,COUNTA([2]enemies!$A:$A),MATCH(J$1,[2]enemies!$2:$2,0)-MATCH($I$1,[2]enemies!$2:$2,0)+1),MATCH(J$1,[2]enemies!$2:$2,0)-MATCH($I$1,[2]enemies!$2:$2,0)+1,FALSE)</f>
        <v>#N/A</v>
      </c>
      <c r="K264" s="29" t="e">
        <f ca="1">VLOOKUP($I264,OFFSET([2]enemies!$A$1,0,0,COUNTA([2]enemies!$A:$A),MATCH(K$1,[2]enemies!$2:$2,0)-MATCH($I$1,[2]enemies!$2:$2,0)+1),MATCH(K$1,[2]enemies!$2:$2,0)-MATCH($I$1,[2]enemies!$2:$2,0)+1,FALSE)</f>
        <v>#N/A</v>
      </c>
      <c r="L264" s="29" t="e">
        <f ca="1">VLOOKUP($I264,OFFSET([3]characters!$A$1,0,0,COUNTA([3]characters!$A:$A),MATCH(L$1,[3]characters!$2:$2,0)-MATCH($I$1,[3]characters!$2:$2,0)+1),MATCH(L$1,[3]characters!$2:$2,0)-MATCH($I$1,[3]characters!$2:$2,0)+1,FALSE)</f>
        <v>#N/A</v>
      </c>
      <c r="M264" s="28" t="e">
        <f ca="1">VLOOKUP($I264,OFFSET([3]characters!$A$1,0,0,COUNTA([3]characters!$A:$A),MATCH(M$1,[3]characters!$2:$2,0)-MATCH($I$1,[3]characters!$2:$2,0)+2),MATCH(M$1,[3]characters!$2:$2,0)-MATCH($I$1,[3]characters!$2:$2,0)+2,FALSE)</f>
        <v>#N/A</v>
      </c>
      <c r="N264" s="5" t="e">
        <f ca="1">VLOOKUP($I264,OFFSET([2]enemies!$A$1,0,0,COUNTA([2]enemies!$A:$A),MATCH(N$1,[2]enemies!$2:$2,0)-MATCH($I$1,[2]enemies!$2:$2,0)+1),MATCH(N$1,[2]enemies!$2:$2,0)-MATCH($I$1,[2]enemies!$2:$2,0)+1,FALSE)</f>
        <v>#N/A</v>
      </c>
      <c r="O264" s="6">
        <v>1</v>
      </c>
      <c r="P264" s="43">
        <v>1</v>
      </c>
      <c r="Q264" s="43">
        <v>1</v>
      </c>
      <c r="R264" s="6">
        <v>0</v>
      </c>
      <c r="S264" s="5" t="str">
        <f ca="1">VLOOKUP($T264,OFFSET([4]enemy_skill_sets!$B$1,0,0,COUNTA([4]enemy_skill_sets!$B:$B),MATCH(J$1,[4]enemy_skill_sets!$1:$1,0)-MATCH($T$1,[4]enemy_skill_sets!$1:$1,0)+2),MATCH(J$1,[4]enemy_skill_sets!$1:$1,0)-MATCH($T$1,[4]enemy_skill_sets!$1:$1,0)+2,FALSE)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4" s="5">
        <v>0</v>
      </c>
      <c r="U264" s="7">
        <v>0</v>
      </c>
      <c r="V264" s="7">
        <v>100</v>
      </c>
      <c r="W264" s="7">
        <v>0</v>
      </c>
      <c r="X264" s="26" t="e">
        <f ca="1">VLOOKUP($I264,OFFSET([2]enemies!$A$1,0,0,COUNTA([2]enemies!$A:$A),MATCH(X$1,[2]enemies!$2:$2,0)-MATCH($I$1,[2]enemies!$2:$2,0)+1),MATCH(X$1,[2]enemies!$2:$2,0)-MATCH($I$1,[2]enemies!$2:$2,0)+1,FALSE)</f>
        <v>#N/A</v>
      </c>
      <c r="Y264" s="31">
        <v>122</v>
      </c>
      <c r="Z264" s="5" t="str">
        <f ca="1">IFERROR(VLOOKUP($Y264,OFFSET([3]characters!$A$1,0,0,COUNTA([3]characters!$A:$A),MATCH(Z$1,[3]characters!$2:$2,0)-MATCH("character_id",[3]characters!$2:$2,0)+1),MATCH(Z$1,[3]characters!$2:$2,0)-MATCH("character_id",[3]characters!$2:$2,0)+1,FALSE),"")</f>
        <v/>
      </c>
      <c r="AA264" s="5" t="str">
        <f ca="1">IFERROR(VLOOKUP($Y264,OFFSET([3]characters!$A$1,0,0,COUNTA([3]characters!$A:$A),MATCH(AA$1,[3]characters!$2:$2,0)-MATCH("character_id",[3]characters!$2:$2,0)+1),MATCH(AA$1,[3]characters!$2:$2,0)-MATCH("character_id",[3]characters!$2:$2,0)+1,FALSE),"")</f>
        <v/>
      </c>
      <c r="AB264" s="5" t="str">
        <f ca="1">IFERROR(VLOOKUP($Y264,OFFSET([3]characters!$A$1,0,0,COUNTA([3]characters!$A:$A),MATCH(AB$1,[3]characters!$2:$2,0)-MATCH("character_id",[3]characters!$2:$2,0)+1),MATCH(AB$1,[3]characters!$2:$2,0)-MATCH("character_id",[3]characters!$2:$2,0)+1,FALSE),"")</f>
        <v/>
      </c>
      <c r="AC264" s="8">
        <v>1</v>
      </c>
      <c r="AD264" s="8" t="str">
        <f t="shared" ca="1" si="129"/>
        <v/>
      </c>
      <c r="AE264" s="9">
        <v>100</v>
      </c>
      <c r="AF264" s="38">
        <v>0</v>
      </c>
      <c r="AG264" s="38">
        <v>0</v>
      </c>
      <c r="AH264" s="38">
        <v>0</v>
      </c>
      <c r="AI264" s="38">
        <v>0</v>
      </c>
      <c r="AJ264" s="38">
        <v>1</v>
      </c>
    </row>
    <row r="265" spans="1:36" ht="21" customHeight="1" x14ac:dyDescent="0.15">
      <c r="A265" s="21" t="e">
        <f t="shared" ca="1" si="128"/>
        <v>#N/A</v>
      </c>
      <c r="B265" s="33">
        <v>6</v>
      </c>
      <c r="C265" s="36">
        <v>6</v>
      </c>
      <c r="D265" s="2" t="str">
        <f t="shared" si="133"/>
        <v>6_6</v>
      </c>
      <c r="E265" s="5" t="str">
        <f ca="1">VLOOKUP($B265,OFFSET([1]quests!$A$1,0,0,COUNTA([1]quests!$A:$A),MATCH(E$1,[1]quests!$1:$1,0)-MATCH($B$1,[1]quests!$1:$1,0)+1),MATCH(E$1,[1]quests!$1:$1,0)-MATCH($B$1,[1]quests!$1:$1,0)+1,FALSE)</f>
        <v>6．ドリームパーク</v>
      </c>
      <c r="F265" s="5" t="str">
        <f ca="1">VLOOKUP($D265,OFFSET([1]stages!$A$1,0,0,COUNTA([1]stages!$A:$A),MATCH(F$1,[1]stages!$2:$2,0)-MATCH($D$1,[1]stages!$2:$2,0)+1),MATCH(F$1,[1]stages!$2:$2,0)-MATCH($D$1,[1]stages!$2:$2,0)+1,FALSE)</f>
        <v>6-6. 【1回のみ】ボーナスステージ</v>
      </c>
      <c r="G265" s="32">
        <v>1</v>
      </c>
      <c r="H265" s="20" t="str">
        <f t="shared" si="125"/>
        <v>6_6-1</v>
      </c>
      <c r="I265" s="31">
        <v>123</v>
      </c>
      <c r="J265" s="26" t="e">
        <f ca="1">VLOOKUP($I265,OFFSET([2]enemies!$A$1,0,0,COUNTA([2]enemies!$A:$A),MATCH(J$1,[2]enemies!$2:$2,0)-MATCH($I$1,[2]enemies!$2:$2,0)+1),MATCH(J$1,[2]enemies!$2:$2,0)-MATCH($I$1,[2]enemies!$2:$2,0)+1,FALSE)</f>
        <v>#N/A</v>
      </c>
      <c r="K265" s="29" t="e">
        <f ca="1">VLOOKUP($I265,OFFSET([2]enemies!$A$1,0,0,COUNTA([2]enemies!$A:$A),MATCH(K$1,[2]enemies!$2:$2,0)-MATCH($I$1,[2]enemies!$2:$2,0)+1),MATCH(K$1,[2]enemies!$2:$2,0)-MATCH($I$1,[2]enemies!$2:$2,0)+1,FALSE)</f>
        <v>#N/A</v>
      </c>
      <c r="L265" s="29" t="e">
        <f ca="1">VLOOKUP($I265,OFFSET([3]characters!$A$1,0,0,COUNTA([3]characters!$A:$A),MATCH(L$1,[3]characters!$2:$2,0)-MATCH($I$1,[3]characters!$2:$2,0)+1),MATCH(L$1,[3]characters!$2:$2,0)-MATCH($I$1,[3]characters!$2:$2,0)+1,FALSE)</f>
        <v>#N/A</v>
      </c>
      <c r="M265" s="28" t="e">
        <f ca="1">VLOOKUP($I265,OFFSET([3]characters!$A$1,0,0,COUNTA([3]characters!$A:$A),MATCH(M$1,[3]characters!$2:$2,0)-MATCH($I$1,[3]characters!$2:$2,0)+2),MATCH(M$1,[3]characters!$2:$2,0)-MATCH($I$1,[3]characters!$2:$2,0)+2,FALSE)</f>
        <v>#N/A</v>
      </c>
      <c r="N265" s="5" t="e">
        <f ca="1">VLOOKUP($I265,OFFSET([2]enemies!$A$1,0,0,COUNTA([2]enemies!$A:$A),MATCH(N$1,[2]enemies!$2:$2,0)-MATCH($I$1,[2]enemies!$2:$2,0)+1),MATCH(N$1,[2]enemies!$2:$2,0)-MATCH($I$1,[2]enemies!$2:$2,0)+1,FALSE)</f>
        <v>#N/A</v>
      </c>
      <c r="O265" s="6">
        <v>1</v>
      </c>
      <c r="P265" s="43">
        <v>1</v>
      </c>
      <c r="Q265" s="43">
        <v>1</v>
      </c>
      <c r="R265" s="6">
        <v>0</v>
      </c>
      <c r="S265" s="5" t="str">
        <f ca="1">VLOOKUP($T265,OFFSET([4]enemy_skill_sets!$B$1,0,0,COUNTA([4]enemy_skill_sets!$B:$B),MATCH(J$1,[4]enemy_skill_sets!$1:$1,0)-MATCH($T$1,[4]enemy_skill_sets!$1:$1,0)+2),MATCH(J$1,[4]enemy_skill_sets!$1:$1,0)-MATCH($T$1,[4]enemy_skill_sets!$1:$1,0)+2,FALSE)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5" s="5">
        <v>0</v>
      </c>
      <c r="U265" s="7">
        <v>0</v>
      </c>
      <c r="V265" s="7">
        <v>100</v>
      </c>
      <c r="W265" s="7">
        <v>0</v>
      </c>
      <c r="X265" s="26" t="e">
        <f ca="1">VLOOKUP($I265,OFFSET([2]enemies!$A$1,0,0,COUNTA([2]enemies!$A:$A),MATCH(X$1,[2]enemies!$2:$2,0)-MATCH($I$1,[2]enemies!$2:$2,0)+1),MATCH(X$1,[2]enemies!$2:$2,0)-MATCH($I$1,[2]enemies!$2:$2,0)+1,FALSE)</f>
        <v>#N/A</v>
      </c>
      <c r="Y265" s="31">
        <v>123</v>
      </c>
      <c r="Z265" s="5" t="str">
        <f ca="1">IFERROR(VLOOKUP($Y265,OFFSET([3]characters!$A$1,0,0,COUNTA([3]characters!$A:$A),MATCH(Z$1,[3]characters!$2:$2,0)-MATCH("character_id",[3]characters!$2:$2,0)+1),MATCH(Z$1,[3]characters!$2:$2,0)-MATCH("character_id",[3]characters!$2:$2,0)+1,FALSE),"")</f>
        <v/>
      </c>
      <c r="AA265" s="5" t="str">
        <f ca="1">IFERROR(VLOOKUP($Y265,OFFSET([3]characters!$A$1,0,0,COUNTA([3]characters!$A:$A),MATCH(AA$1,[3]characters!$2:$2,0)-MATCH("character_id",[3]characters!$2:$2,0)+1),MATCH(AA$1,[3]characters!$2:$2,0)-MATCH("character_id",[3]characters!$2:$2,0)+1,FALSE),"")</f>
        <v/>
      </c>
      <c r="AB265" s="5" t="str">
        <f ca="1">IFERROR(VLOOKUP($Y265,OFFSET([3]characters!$A$1,0,0,COUNTA([3]characters!$A:$A),MATCH(AB$1,[3]characters!$2:$2,0)-MATCH("character_id",[3]characters!$2:$2,0)+1),MATCH(AB$1,[3]characters!$2:$2,0)-MATCH("character_id",[3]characters!$2:$2,0)+1,FALSE),"")</f>
        <v/>
      </c>
      <c r="AC265" s="8">
        <v>1</v>
      </c>
      <c r="AD265" s="8" t="str">
        <f t="shared" ca="1" si="129"/>
        <v/>
      </c>
      <c r="AE265" s="9">
        <v>100</v>
      </c>
      <c r="AF265" s="38">
        <v>0</v>
      </c>
      <c r="AG265" s="38">
        <v>0</v>
      </c>
      <c r="AH265" s="38">
        <v>0</v>
      </c>
      <c r="AI265" s="38">
        <v>0</v>
      </c>
      <c r="AJ265" s="38">
        <v>1</v>
      </c>
    </row>
    <row r="266" spans="1:36" ht="21" customHeight="1" x14ac:dyDescent="0.15">
      <c r="A266" s="21" t="e">
        <f t="shared" ca="1" si="128"/>
        <v>#N/A</v>
      </c>
      <c r="B266" s="33">
        <v>6</v>
      </c>
      <c r="C266" s="36">
        <v>6</v>
      </c>
      <c r="D266" s="2" t="str">
        <f t="shared" ref="D266:D268" si="134">B266&amp;"_"&amp;C266</f>
        <v>6_6</v>
      </c>
      <c r="E266" s="5" t="str">
        <f ca="1">VLOOKUP($B266,OFFSET([1]quests!$A$1,0,0,COUNTA([1]quests!$A:$A),MATCH(E$1,[1]quests!$1:$1,0)-MATCH($B$1,[1]quests!$1:$1,0)+1),MATCH(E$1,[1]quests!$1:$1,0)-MATCH($B$1,[1]quests!$1:$1,0)+1,FALSE)</f>
        <v>6．ドリームパーク</v>
      </c>
      <c r="F266" s="5" t="str">
        <f ca="1">VLOOKUP($D266,OFFSET([1]stages!$A$1,0,0,COUNTA([1]stages!$A:$A),MATCH(F$1,[1]stages!$2:$2,0)-MATCH($D$1,[1]stages!$2:$2,0)+1),MATCH(F$1,[1]stages!$2:$2,0)-MATCH($D$1,[1]stages!$2:$2,0)+1,FALSE)</f>
        <v>6-6. 【1回のみ】ボーナスステージ</v>
      </c>
      <c r="G266" s="35">
        <v>2</v>
      </c>
      <c r="H266" s="20" t="str">
        <f t="shared" si="125"/>
        <v>6_6-2</v>
      </c>
      <c r="I266" s="31">
        <v>121</v>
      </c>
      <c r="J266" s="26" t="e">
        <f ca="1">VLOOKUP($I266,OFFSET([2]enemies!$A$1,0,0,COUNTA([2]enemies!$A:$A),MATCH(J$1,[2]enemies!$2:$2,0)-MATCH($I$1,[2]enemies!$2:$2,0)+1),MATCH(J$1,[2]enemies!$2:$2,0)-MATCH($I$1,[2]enemies!$2:$2,0)+1,FALSE)</f>
        <v>#N/A</v>
      </c>
      <c r="K266" s="29" t="e">
        <f ca="1">VLOOKUP($I266,OFFSET([2]enemies!$A$1,0,0,COUNTA([2]enemies!$A:$A),MATCH(K$1,[2]enemies!$2:$2,0)-MATCH($I$1,[2]enemies!$2:$2,0)+1),MATCH(K$1,[2]enemies!$2:$2,0)-MATCH($I$1,[2]enemies!$2:$2,0)+1,FALSE)</f>
        <v>#N/A</v>
      </c>
      <c r="L266" s="29" t="e">
        <f ca="1">VLOOKUP($I266,OFFSET([3]characters!$A$1,0,0,COUNTA([3]characters!$A:$A),MATCH(L$1,[3]characters!$2:$2,0)-MATCH($I$1,[3]characters!$2:$2,0)+1),MATCH(L$1,[3]characters!$2:$2,0)-MATCH($I$1,[3]characters!$2:$2,0)+1,FALSE)</f>
        <v>#N/A</v>
      </c>
      <c r="M266" s="28" t="e">
        <f ca="1">VLOOKUP($I266,OFFSET([3]characters!$A$1,0,0,COUNTA([3]characters!$A:$A),MATCH(M$1,[3]characters!$2:$2,0)-MATCH($I$1,[3]characters!$2:$2,0)+2),MATCH(M$1,[3]characters!$2:$2,0)-MATCH($I$1,[3]characters!$2:$2,0)+2,FALSE)</f>
        <v>#N/A</v>
      </c>
      <c r="N266" s="5" t="e">
        <f ca="1">VLOOKUP($I266,OFFSET([2]enemies!$A$1,0,0,COUNTA([2]enemies!$A:$A),MATCH(N$1,[2]enemies!$2:$2,0)-MATCH($I$1,[2]enemies!$2:$2,0)+1),MATCH(N$1,[2]enemies!$2:$2,0)-MATCH($I$1,[2]enemies!$2:$2,0)+1,FALSE)</f>
        <v>#N/A</v>
      </c>
      <c r="O266" s="6">
        <v>1</v>
      </c>
      <c r="P266" s="43">
        <v>1</v>
      </c>
      <c r="Q266" s="43">
        <v>1</v>
      </c>
      <c r="R266" s="6">
        <v>0</v>
      </c>
      <c r="S266" s="5" t="str">
        <f ca="1">VLOOKUP($T266,OFFSET([4]enemy_skill_sets!$B$1,0,0,COUNTA([4]enemy_skill_sets!$B:$B),MATCH(J$1,[4]enemy_skill_sets!$1:$1,0)-MATCH($T$1,[4]enemy_skill_sets!$1:$1,0)+2),MATCH(J$1,[4]enemy_skill_sets!$1:$1,0)-MATCH($T$1,[4]enemy_skill_sets!$1:$1,0)+2,FALSE)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6" s="5">
        <v>0</v>
      </c>
      <c r="U266" s="7">
        <v>0</v>
      </c>
      <c r="V266" s="7">
        <v>100</v>
      </c>
      <c r="W266" s="7">
        <v>0</v>
      </c>
      <c r="X266" s="26" t="e">
        <f ca="1">VLOOKUP($I266,OFFSET([2]enemies!$A$1,0,0,COUNTA([2]enemies!$A:$A),MATCH(X$1,[2]enemies!$2:$2,0)-MATCH($I$1,[2]enemies!$2:$2,0)+1),MATCH(X$1,[2]enemies!$2:$2,0)-MATCH($I$1,[2]enemies!$2:$2,0)+1,FALSE)</f>
        <v>#N/A</v>
      </c>
      <c r="Y266" s="31">
        <v>121</v>
      </c>
      <c r="Z266" s="5" t="str">
        <f ca="1">IFERROR(VLOOKUP($Y266,OFFSET([3]characters!$A$1,0,0,COUNTA([3]characters!$A:$A),MATCH(Z$1,[3]characters!$2:$2,0)-MATCH("character_id",[3]characters!$2:$2,0)+1),MATCH(Z$1,[3]characters!$2:$2,0)-MATCH("character_id",[3]characters!$2:$2,0)+1,FALSE),"")</f>
        <v/>
      </c>
      <c r="AA266" s="5" t="str">
        <f ca="1">IFERROR(VLOOKUP($Y266,OFFSET([3]characters!$A$1,0,0,COUNTA([3]characters!$A:$A),MATCH(AA$1,[3]characters!$2:$2,0)-MATCH("character_id",[3]characters!$2:$2,0)+1),MATCH(AA$1,[3]characters!$2:$2,0)-MATCH("character_id",[3]characters!$2:$2,0)+1,FALSE),"")</f>
        <v/>
      </c>
      <c r="AB266" s="5" t="str">
        <f ca="1">IFERROR(VLOOKUP($Y266,OFFSET([3]characters!$A$1,0,0,COUNTA([3]characters!$A:$A),MATCH(AB$1,[3]characters!$2:$2,0)-MATCH("character_id",[3]characters!$2:$2,0)+1),MATCH(AB$1,[3]characters!$2:$2,0)-MATCH("character_id",[3]characters!$2:$2,0)+1,FALSE),"")</f>
        <v/>
      </c>
      <c r="AC266" s="8">
        <v>1</v>
      </c>
      <c r="AD266" s="8" t="str">
        <f t="shared" ca="1" si="129"/>
        <v/>
      </c>
      <c r="AE266" s="9">
        <v>100</v>
      </c>
      <c r="AF266" s="38">
        <v>0</v>
      </c>
      <c r="AG266" s="38">
        <v>0</v>
      </c>
      <c r="AH266" s="38">
        <v>0</v>
      </c>
      <c r="AI266" s="38">
        <v>0</v>
      </c>
      <c r="AJ266" s="38">
        <v>1</v>
      </c>
    </row>
    <row r="267" spans="1:36" ht="21" customHeight="1" x14ac:dyDescent="0.15">
      <c r="A267" s="21" t="e">
        <f t="shared" ca="1" si="128"/>
        <v>#N/A</v>
      </c>
      <c r="B267" s="33">
        <v>6</v>
      </c>
      <c r="C267" s="36">
        <v>6</v>
      </c>
      <c r="D267" s="2" t="str">
        <f t="shared" si="134"/>
        <v>6_6</v>
      </c>
      <c r="E267" s="5" t="str">
        <f ca="1">VLOOKUP($B267,OFFSET([1]quests!$A$1,0,0,COUNTA([1]quests!$A:$A),MATCH(E$1,[1]quests!$1:$1,0)-MATCH($B$1,[1]quests!$1:$1,0)+1),MATCH(E$1,[1]quests!$1:$1,0)-MATCH($B$1,[1]quests!$1:$1,0)+1,FALSE)</f>
        <v>6．ドリームパーク</v>
      </c>
      <c r="F267" s="5" t="str">
        <f ca="1">VLOOKUP($D267,OFFSET([1]stages!$A$1,0,0,COUNTA([1]stages!$A:$A),MATCH(F$1,[1]stages!$2:$2,0)-MATCH($D$1,[1]stages!$2:$2,0)+1),MATCH(F$1,[1]stages!$2:$2,0)-MATCH($D$1,[1]stages!$2:$2,0)+1,FALSE)</f>
        <v>6-6. 【1回のみ】ボーナスステージ</v>
      </c>
      <c r="G267" s="35">
        <v>2</v>
      </c>
      <c r="H267" s="20" t="str">
        <f t="shared" si="125"/>
        <v>6_6-2</v>
      </c>
      <c r="I267" s="31">
        <v>122</v>
      </c>
      <c r="J267" s="26" t="e">
        <f ca="1">VLOOKUP($I267,OFFSET([2]enemies!$A$1,0,0,COUNTA([2]enemies!$A:$A),MATCH(J$1,[2]enemies!$2:$2,0)-MATCH($I$1,[2]enemies!$2:$2,0)+1),MATCH(J$1,[2]enemies!$2:$2,0)-MATCH($I$1,[2]enemies!$2:$2,0)+1,FALSE)</f>
        <v>#N/A</v>
      </c>
      <c r="K267" s="29" t="e">
        <f ca="1">VLOOKUP($I267,OFFSET([2]enemies!$A$1,0,0,COUNTA([2]enemies!$A:$A),MATCH(K$1,[2]enemies!$2:$2,0)-MATCH($I$1,[2]enemies!$2:$2,0)+1),MATCH(K$1,[2]enemies!$2:$2,0)-MATCH($I$1,[2]enemies!$2:$2,0)+1,FALSE)</f>
        <v>#N/A</v>
      </c>
      <c r="L267" s="29" t="e">
        <f ca="1">VLOOKUP($I267,OFFSET([3]characters!$A$1,0,0,COUNTA([3]characters!$A:$A),MATCH(L$1,[3]characters!$2:$2,0)-MATCH($I$1,[3]characters!$2:$2,0)+1),MATCH(L$1,[3]characters!$2:$2,0)-MATCH($I$1,[3]characters!$2:$2,0)+1,FALSE)</f>
        <v>#N/A</v>
      </c>
      <c r="M267" s="28" t="e">
        <f ca="1">VLOOKUP($I267,OFFSET([3]characters!$A$1,0,0,COUNTA([3]characters!$A:$A),MATCH(M$1,[3]characters!$2:$2,0)-MATCH($I$1,[3]characters!$2:$2,0)+2),MATCH(M$1,[3]characters!$2:$2,0)-MATCH($I$1,[3]characters!$2:$2,0)+2,FALSE)</f>
        <v>#N/A</v>
      </c>
      <c r="N267" s="5" t="e">
        <f ca="1">VLOOKUP($I267,OFFSET([2]enemies!$A$1,0,0,COUNTA([2]enemies!$A:$A),MATCH(N$1,[2]enemies!$2:$2,0)-MATCH($I$1,[2]enemies!$2:$2,0)+1),MATCH(N$1,[2]enemies!$2:$2,0)-MATCH($I$1,[2]enemies!$2:$2,0)+1,FALSE)</f>
        <v>#N/A</v>
      </c>
      <c r="O267" s="6">
        <v>1</v>
      </c>
      <c r="P267" s="43">
        <v>1</v>
      </c>
      <c r="Q267" s="43">
        <v>1</v>
      </c>
      <c r="R267" s="6">
        <v>0</v>
      </c>
      <c r="S267" s="5" t="str">
        <f ca="1">VLOOKUP($T267,OFFSET([4]enemy_skill_sets!$B$1,0,0,COUNTA([4]enemy_skill_sets!$B:$B),MATCH(J$1,[4]enemy_skill_sets!$1:$1,0)-MATCH($T$1,[4]enemy_skill_sets!$1:$1,0)+2),MATCH(J$1,[4]enemy_skill_sets!$1:$1,0)-MATCH($T$1,[4]enemy_skill_sets!$1:$1,0)+2,FALSE)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7" s="5">
        <v>0</v>
      </c>
      <c r="U267" s="7">
        <v>0</v>
      </c>
      <c r="V267" s="7">
        <v>100</v>
      </c>
      <c r="W267" s="7">
        <v>0</v>
      </c>
      <c r="X267" s="26" t="e">
        <f ca="1">VLOOKUP($I267,OFFSET([2]enemies!$A$1,0,0,COUNTA([2]enemies!$A:$A),MATCH(X$1,[2]enemies!$2:$2,0)-MATCH($I$1,[2]enemies!$2:$2,0)+1),MATCH(X$1,[2]enemies!$2:$2,0)-MATCH($I$1,[2]enemies!$2:$2,0)+1,FALSE)</f>
        <v>#N/A</v>
      </c>
      <c r="Y267" s="31">
        <v>122</v>
      </c>
      <c r="Z267" s="5" t="str">
        <f ca="1">IFERROR(VLOOKUP($Y267,OFFSET([3]characters!$A$1,0,0,COUNTA([3]characters!$A:$A),MATCH(Z$1,[3]characters!$2:$2,0)-MATCH("character_id",[3]characters!$2:$2,0)+1),MATCH(Z$1,[3]characters!$2:$2,0)-MATCH("character_id",[3]characters!$2:$2,0)+1,FALSE),"")</f>
        <v/>
      </c>
      <c r="AA267" s="5" t="str">
        <f ca="1">IFERROR(VLOOKUP($Y267,OFFSET([3]characters!$A$1,0,0,COUNTA([3]characters!$A:$A),MATCH(AA$1,[3]characters!$2:$2,0)-MATCH("character_id",[3]characters!$2:$2,0)+1),MATCH(AA$1,[3]characters!$2:$2,0)-MATCH("character_id",[3]characters!$2:$2,0)+1,FALSE),"")</f>
        <v/>
      </c>
      <c r="AB267" s="5" t="str">
        <f ca="1">IFERROR(VLOOKUP($Y267,OFFSET([3]characters!$A$1,0,0,COUNTA([3]characters!$A:$A),MATCH(AB$1,[3]characters!$2:$2,0)-MATCH("character_id",[3]characters!$2:$2,0)+1),MATCH(AB$1,[3]characters!$2:$2,0)-MATCH("character_id",[3]characters!$2:$2,0)+1,FALSE),"")</f>
        <v/>
      </c>
      <c r="AC267" s="8">
        <v>1</v>
      </c>
      <c r="AD267" s="8" t="str">
        <f t="shared" ca="1" si="129"/>
        <v/>
      </c>
      <c r="AE267" s="9">
        <v>100</v>
      </c>
      <c r="AF267" s="38">
        <v>0</v>
      </c>
      <c r="AG267" s="38">
        <v>0</v>
      </c>
      <c r="AH267" s="38">
        <v>0</v>
      </c>
      <c r="AI267" s="38">
        <v>0</v>
      </c>
      <c r="AJ267" s="38">
        <v>1</v>
      </c>
    </row>
    <row r="268" spans="1:36" ht="21" customHeight="1" x14ac:dyDescent="0.15">
      <c r="A268" s="21" t="e">
        <f t="shared" ca="1" si="128"/>
        <v>#N/A</v>
      </c>
      <c r="B268" s="33">
        <v>6</v>
      </c>
      <c r="C268" s="36">
        <v>6</v>
      </c>
      <c r="D268" s="2" t="str">
        <f t="shared" si="134"/>
        <v>6_6</v>
      </c>
      <c r="E268" s="5" t="str">
        <f ca="1">VLOOKUP($B268,OFFSET([1]quests!$A$1,0,0,COUNTA([1]quests!$A:$A),MATCH(E$1,[1]quests!$1:$1,0)-MATCH($B$1,[1]quests!$1:$1,0)+1),MATCH(E$1,[1]quests!$1:$1,0)-MATCH($B$1,[1]quests!$1:$1,0)+1,FALSE)</f>
        <v>6．ドリームパーク</v>
      </c>
      <c r="F268" s="5" t="str">
        <f ca="1">VLOOKUP($D268,OFFSET([1]stages!$A$1,0,0,COUNTA([1]stages!$A:$A),MATCH(F$1,[1]stages!$2:$2,0)-MATCH($D$1,[1]stages!$2:$2,0)+1),MATCH(F$1,[1]stages!$2:$2,0)-MATCH($D$1,[1]stages!$2:$2,0)+1,FALSE)</f>
        <v>6-6. 【1回のみ】ボーナスステージ</v>
      </c>
      <c r="G268" s="35">
        <v>2</v>
      </c>
      <c r="H268" s="20" t="str">
        <f t="shared" si="125"/>
        <v>6_6-2</v>
      </c>
      <c r="I268" s="31">
        <v>123</v>
      </c>
      <c r="J268" s="26" t="e">
        <f ca="1">VLOOKUP($I268,OFFSET([2]enemies!$A$1,0,0,COUNTA([2]enemies!$A:$A),MATCH(J$1,[2]enemies!$2:$2,0)-MATCH($I$1,[2]enemies!$2:$2,0)+1),MATCH(J$1,[2]enemies!$2:$2,0)-MATCH($I$1,[2]enemies!$2:$2,0)+1,FALSE)</f>
        <v>#N/A</v>
      </c>
      <c r="K268" s="29" t="e">
        <f ca="1">VLOOKUP($I268,OFFSET([2]enemies!$A$1,0,0,COUNTA([2]enemies!$A:$A),MATCH(K$1,[2]enemies!$2:$2,0)-MATCH($I$1,[2]enemies!$2:$2,0)+1),MATCH(K$1,[2]enemies!$2:$2,0)-MATCH($I$1,[2]enemies!$2:$2,0)+1,FALSE)</f>
        <v>#N/A</v>
      </c>
      <c r="L268" s="29" t="e">
        <f ca="1">VLOOKUP($I268,OFFSET([3]characters!$A$1,0,0,COUNTA([3]characters!$A:$A),MATCH(L$1,[3]characters!$2:$2,0)-MATCH($I$1,[3]characters!$2:$2,0)+1),MATCH(L$1,[3]characters!$2:$2,0)-MATCH($I$1,[3]characters!$2:$2,0)+1,FALSE)</f>
        <v>#N/A</v>
      </c>
      <c r="M268" s="28" t="e">
        <f ca="1">VLOOKUP($I268,OFFSET([3]characters!$A$1,0,0,COUNTA([3]characters!$A:$A),MATCH(M$1,[3]characters!$2:$2,0)-MATCH($I$1,[3]characters!$2:$2,0)+2),MATCH(M$1,[3]characters!$2:$2,0)-MATCH($I$1,[3]characters!$2:$2,0)+2,FALSE)</f>
        <v>#N/A</v>
      </c>
      <c r="N268" s="5" t="e">
        <f ca="1">VLOOKUP($I268,OFFSET([2]enemies!$A$1,0,0,COUNTA([2]enemies!$A:$A),MATCH(N$1,[2]enemies!$2:$2,0)-MATCH($I$1,[2]enemies!$2:$2,0)+1),MATCH(N$1,[2]enemies!$2:$2,0)-MATCH($I$1,[2]enemies!$2:$2,0)+1,FALSE)</f>
        <v>#N/A</v>
      </c>
      <c r="O268" s="6">
        <v>1</v>
      </c>
      <c r="P268" s="43">
        <v>1</v>
      </c>
      <c r="Q268" s="43">
        <v>1</v>
      </c>
      <c r="R268" s="6">
        <v>0</v>
      </c>
      <c r="S268" s="5" t="str">
        <f ca="1">VLOOKUP($T268,OFFSET([4]enemy_skill_sets!$B$1,0,0,COUNTA([4]enemy_skill_sets!$B:$B),MATCH(J$1,[4]enemy_skill_sets!$1:$1,0)-MATCH($T$1,[4]enemy_skill_sets!$1:$1,0)+2),MATCH(J$1,[4]enemy_skill_sets!$1:$1,0)-MATCH($T$1,[4]enemy_skill_sets!$1:$1,0)+2,FALSE)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8" s="5">
        <v>0</v>
      </c>
      <c r="U268" s="7">
        <v>0</v>
      </c>
      <c r="V268" s="7">
        <v>100</v>
      </c>
      <c r="W268" s="7">
        <v>0</v>
      </c>
      <c r="X268" s="26" t="e">
        <f ca="1">VLOOKUP($I268,OFFSET([2]enemies!$A$1,0,0,COUNTA([2]enemies!$A:$A),MATCH(X$1,[2]enemies!$2:$2,0)-MATCH($I$1,[2]enemies!$2:$2,0)+1),MATCH(X$1,[2]enemies!$2:$2,0)-MATCH($I$1,[2]enemies!$2:$2,0)+1,FALSE)</f>
        <v>#N/A</v>
      </c>
      <c r="Y268" s="31">
        <v>123</v>
      </c>
      <c r="Z268" s="5" t="str">
        <f ca="1">IFERROR(VLOOKUP($Y268,OFFSET([3]characters!$A$1,0,0,COUNTA([3]characters!$A:$A),MATCH(Z$1,[3]characters!$2:$2,0)-MATCH("character_id",[3]characters!$2:$2,0)+1),MATCH(Z$1,[3]characters!$2:$2,0)-MATCH("character_id",[3]characters!$2:$2,0)+1,FALSE),"")</f>
        <v/>
      </c>
      <c r="AA268" s="5" t="str">
        <f ca="1">IFERROR(VLOOKUP($Y268,OFFSET([3]characters!$A$1,0,0,COUNTA([3]characters!$A:$A),MATCH(AA$1,[3]characters!$2:$2,0)-MATCH("character_id",[3]characters!$2:$2,0)+1),MATCH(AA$1,[3]characters!$2:$2,0)-MATCH("character_id",[3]characters!$2:$2,0)+1,FALSE),"")</f>
        <v/>
      </c>
      <c r="AB268" s="5" t="str">
        <f ca="1">IFERROR(VLOOKUP($Y268,OFFSET([3]characters!$A$1,0,0,COUNTA([3]characters!$A:$A),MATCH(AB$1,[3]characters!$2:$2,0)-MATCH("character_id",[3]characters!$2:$2,0)+1),MATCH(AB$1,[3]characters!$2:$2,0)-MATCH("character_id",[3]characters!$2:$2,0)+1,FALSE),"")</f>
        <v/>
      </c>
      <c r="AC268" s="8">
        <v>1</v>
      </c>
      <c r="AD268" s="8" t="str">
        <f t="shared" ca="1" si="129"/>
        <v/>
      </c>
      <c r="AE268" s="9">
        <v>100</v>
      </c>
      <c r="AF268" s="38">
        <v>0</v>
      </c>
      <c r="AG268" s="38">
        <v>0</v>
      </c>
      <c r="AH268" s="38">
        <v>0</v>
      </c>
      <c r="AI268" s="38">
        <v>0</v>
      </c>
      <c r="AJ268" s="38">
        <v>1</v>
      </c>
    </row>
    <row r="269" spans="1:36" ht="21" customHeight="1" x14ac:dyDescent="0.15">
      <c r="A269" s="21" t="e">
        <f t="shared" ca="1" si="128"/>
        <v>#N/A</v>
      </c>
      <c r="B269" s="33">
        <v>6</v>
      </c>
      <c r="C269" s="36">
        <v>6</v>
      </c>
      <c r="D269" s="2" t="str">
        <f t="shared" ref="D269:D271" si="135">B269&amp;"_"&amp;C269</f>
        <v>6_6</v>
      </c>
      <c r="E269" s="5" t="str">
        <f ca="1">VLOOKUP($B269,OFFSET([1]quests!$A$1,0,0,COUNTA([1]quests!$A:$A),MATCH(E$1,[1]quests!$1:$1,0)-MATCH($B$1,[1]quests!$1:$1,0)+1),MATCH(E$1,[1]quests!$1:$1,0)-MATCH($B$1,[1]quests!$1:$1,0)+1,FALSE)</f>
        <v>6．ドリームパーク</v>
      </c>
      <c r="F269" s="5" t="str">
        <f ca="1">VLOOKUP($D269,OFFSET([1]stages!$A$1,0,0,COUNTA([1]stages!$A:$A),MATCH(F$1,[1]stages!$2:$2,0)-MATCH($D$1,[1]stages!$2:$2,0)+1),MATCH(F$1,[1]stages!$2:$2,0)-MATCH($D$1,[1]stages!$2:$2,0)+1,FALSE)</f>
        <v>6-6. 【1回のみ】ボーナスステージ</v>
      </c>
      <c r="G269" s="35">
        <v>3</v>
      </c>
      <c r="H269" s="20" t="str">
        <f t="shared" ref="H269:H271" si="136">B269&amp;"_"&amp;C269&amp;"-"&amp;G269</f>
        <v>6_6-3</v>
      </c>
      <c r="I269" s="31">
        <v>121</v>
      </c>
      <c r="J269" s="26" t="e">
        <f ca="1">VLOOKUP($I269,OFFSET([2]enemies!$A$1,0,0,COUNTA([2]enemies!$A:$A),MATCH(J$1,[2]enemies!$2:$2,0)-MATCH($I$1,[2]enemies!$2:$2,0)+1),MATCH(J$1,[2]enemies!$2:$2,0)-MATCH($I$1,[2]enemies!$2:$2,0)+1,FALSE)</f>
        <v>#N/A</v>
      </c>
      <c r="K269" s="29" t="e">
        <f ca="1">VLOOKUP($I269,OFFSET([2]enemies!$A$1,0,0,COUNTA([2]enemies!$A:$A),MATCH(K$1,[2]enemies!$2:$2,0)-MATCH($I$1,[2]enemies!$2:$2,0)+1),MATCH(K$1,[2]enemies!$2:$2,0)-MATCH($I$1,[2]enemies!$2:$2,0)+1,FALSE)</f>
        <v>#N/A</v>
      </c>
      <c r="L269" s="29" t="e">
        <f ca="1">VLOOKUP($I269,OFFSET([3]characters!$A$1,0,0,COUNTA([3]characters!$A:$A),MATCH(L$1,[3]characters!$2:$2,0)-MATCH($I$1,[3]characters!$2:$2,0)+1),MATCH(L$1,[3]characters!$2:$2,0)-MATCH($I$1,[3]characters!$2:$2,0)+1,FALSE)</f>
        <v>#N/A</v>
      </c>
      <c r="M269" s="28" t="e">
        <f ca="1">VLOOKUP($I269,OFFSET([3]characters!$A$1,0,0,COUNTA([3]characters!$A:$A),MATCH(M$1,[3]characters!$2:$2,0)-MATCH($I$1,[3]characters!$2:$2,0)+2),MATCH(M$1,[3]characters!$2:$2,0)-MATCH($I$1,[3]characters!$2:$2,0)+2,FALSE)</f>
        <v>#N/A</v>
      </c>
      <c r="N269" s="5" t="e">
        <f ca="1">VLOOKUP($I269,OFFSET([2]enemies!$A$1,0,0,COUNTA([2]enemies!$A:$A),MATCH(N$1,[2]enemies!$2:$2,0)-MATCH($I$1,[2]enemies!$2:$2,0)+1),MATCH(N$1,[2]enemies!$2:$2,0)-MATCH($I$1,[2]enemies!$2:$2,0)+1,FALSE)</f>
        <v>#N/A</v>
      </c>
      <c r="O269" s="6">
        <v>1</v>
      </c>
      <c r="P269" s="43">
        <v>1</v>
      </c>
      <c r="Q269" s="43">
        <v>1</v>
      </c>
      <c r="R269" s="6">
        <v>0</v>
      </c>
      <c r="S269" s="5" t="str">
        <f ca="1">VLOOKUP($T269,OFFSET([4]enemy_skill_sets!$B$1,0,0,COUNTA([4]enemy_skill_sets!$B:$B),MATCH(J$1,[4]enemy_skill_sets!$1:$1,0)-MATCH($T$1,[4]enemy_skill_sets!$1:$1,0)+2),MATCH(J$1,[4]enemy_skill_sets!$1:$1,0)-MATCH($T$1,[4]enemy_skill_sets!$1:$1,0)+2,FALSE)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9" s="5">
        <v>0</v>
      </c>
      <c r="U269" s="7">
        <v>0</v>
      </c>
      <c r="V269" s="7">
        <v>100</v>
      </c>
      <c r="W269" s="7">
        <v>0</v>
      </c>
      <c r="X269" s="26" t="e">
        <f ca="1">VLOOKUP($I269,OFFSET([2]enemies!$A$1,0,0,COUNTA([2]enemies!$A:$A),MATCH(X$1,[2]enemies!$2:$2,0)-MATCH($I$1,[2]enemies!$2:$2,0)+1),MATCH(X$1,[2]enemies!$2:$2,0)-MATCH($I$1,[2]enemies!$2:$2,0)+1,FALSE)</f>
        <v>#N/A</v>
      </c>
      <c r="Y269" s="31">
        <v>121</v>
      </c>
      <c r="Z269" s="5" t="str">
        <f ca="1">IFERROR(VLOOKUP($Y269,OFFSET([3]characters!$A$1,0,0,COUNTA([3]characters!$A:$A),MATCH(Z$1,[3]characters!$2:$2,0)-MATCH("character_id",[3]characters!$2:$2,0)+1),MATCH(Z$1,[3]characters!$2:$2,0)-MATCH("character_id",[3]characters!$2:$2,0)+1,FALSE),"")</f>
        <v/>
      </c>
      <c r="AA269" s="5" t="str">
        <f ca="1">IFERROR(VLOOKUP($Y269,OFFSET([3]characters!$A$1,0,0,COUNTA([3]characters!$A:$A),MATCH(AA$1,[3]characters!$2:$2,0)-MATCH("character_id",[3]characters!$2:$2,0)+1),MATCH(AA$1,[3]characters!$2:$2,0)-MATCH("character_id",[3]characters!$2:$2,0)+1,FALSE),"")</f>
        <v/>
      </c>
      <c r="AB269" s="5" t="str">
        <f ca="1">IFERROR(VLOOKUP($Y269,OFFSET([3]characters!$A$1,0,0,COUNTA([3]characters!$A:$A),MATCH(AB$1,[3]characters!$2:$2,0)-MATCH("character_id",[3]characters!$2:$2,0)+1),MATCH(AB$1,[3]characters!$2:$2,0)-MATCH("character_id",[3]characters!$2:$2,0)+1,FALSE),"")</f>
        <v/>
      </c>
      <c r="AC269" s="8">
        <v>1</v>
      </c>
      <c r="AD269" s="8" t="str">
        <f t="shared" ca="1" si="129"/>
        <v/>
      </c>
      <c r="AE269" s="9">
        <v>100</v>
      </c>
      <c r="AF269" s="38">
        <v>0</v>
      </c>
      <c r="AG269" s="38">
        <v>0</v>
      </c>
      <c r="AH269" s="38">
        <v>0</v>
      </c>
      <c r="AI269" s="38">
        <v>0</v>
      </c>
      <c r="AJ269" s="38">
        <v>1</v>
      </c>
    </row>
    <row r="270" spans="1:36" ht="21" customHeight="1" x14ac:dyDescent="0.15">
      <c r="A270" s="21" t="e">
        <f t="shared" ca="1" si="128"/>
        <v>#N/A</v>
      </c>
      <c r="B270" s="33">
        <v>6</v>
      </c>
      <c r="C270" s="36">
        <v>6</v>
      </c>
      <c r="D270" s="2" t="str">
        <f t="shared" si="135"/>
        <v>6_6</v>
      </c>
      <c r="E270" s="5" t="str">
        <f ca="1">VLOOKUP($B270,OFFSET([1]quests!$A$1,0,0,COUNTA([1]quests!$A:$A),MATCH(E$1,[1]quests!$1:$1,0)-MATCH($B$1,[1]quests!$1:$1,0)+1),MATCH(E$1,[1]quests!$1:$1,0)-MATCH($B$1,[1]quests!$1:$1,0)+1,FALSE)</f>
        <v>6．ドリームパーク</v>
      </c>
      <c r="F270" s="5" t="str">
        <f ca="1">VLOOKUP($D270,OFFSET([1]stages!$A$1,0,0,COUNTA([1]stages!$A:$A),MATCH(F$1,[1]stages!$2:$2,0)-MATCH($D$1,[1]stages!$2:$2,0)+1),MATCH(F$1,[1]stages!$2:$2,0)-MATCH($D$1,[1]stages!$2:$2,0)+1,FALSE)</f>
        <v>6-6. 【1回のみ】ボーナスステージ</v>
      </c>
      <c r="G270" s="35">
        <v>3</v>
      </c>
      <c r="H270" s="20" t="str">
        <f t="shared" si="136"/>
        <v>6_6-3</v>
      </c>
      <c r="I270" s="31">
        <v>122</v>
      </c>
      <c r="J270" s="26" t="e">
        <f ca="1">VLOOKUP($I270,OFFSET([2]enemies!$A$1,0,0,COUNTA([2]enemies!$A:$A),MATCH(J$1,[2]enemies!$2:$2,0)-MATCH($I$1,[2]enemies!$2:$2,0)+1),MATCH(J$1,[2]enemies!$2:$2,0)-MATCH($I$1,[2]enemies!$2:$2,0)+1,FALSE)</f>
        <v>#N/A</v>
      </c>
      <c r="K270" s="29" t="e">
        <f ca="1">VLOOKUP($I270,OFFSET([2]enemies!$A$1,0,0,COUNTA([2]enemies!$A:$A),MATCH(K$1,[2]enemies!$2:$2,0)-MATCH($I$1,[2]enemies!$2:$2,0)+1),MATCH(K$1,[2]enemies!$2:$2,0)-MATCH($I$1,[2]enemies!$2:$2,0)+1,FALSE)</f>
        <v>#N/A</v>
      </c>
      <c r="L270" s="29" t="e">
        <f ca="1">VLOOKUP($I270,OFFSET([3]characters!$A$1,0,0,COUNTA([3]characters!$A:$A),MATCH(L$1,[3]characters!$2:$2,0)-MATCH($I$1,[3]characters!$2:$2,0)+1),MATCH(L$1,[3]characters!$2:$2,0)-MATCH($I$1,[3]characters!$2:$2,0)+1,FALSE)</f>
        <v>#N/A</v>
      </c>
      <c r="M270" s="28" t="e">
        <f ca="1">VLOOKUP($I270,OFFSET([3]characters!$A$1,0,0,COUNTA([3]characters!$A:$A),MATCH(M$1,[3]characters!$2:$2,0)-MATCH($I$1,[3]characters!$2:$2,0)+2),MATCH(M$1,[3]characters!$2:$2,0)-MATCH($I$1,[3]characters!$2:$2,0)+2,FALSE)</f>
        <v>#N/A</v>
      </c>
      <c r="N270" s="5" t="e">
        <f ca="1">VLOOKUP($I270,OFFSET([2]enemies!$A$1,0,0,COUNTA([2]enemies!$A:$A),MATCH(N$1,[2]enemies!$2:$2,0)-MATCH($I$1,[2]enemies!$2:$2,0)+1),MATCH(N$1,[2]enemies!$2:$2,0)-MATCH($I$1,[2]enemies!$2:$2,0)+1,FALSE)</f>
        <v>#N/A</v>
      </c>
      <c r="O270" s="6">
        <v>1</v>
      </c>
      <c r="P270" s="43">
        <v>1</v>
      </c>
      <c r="Q270" s="43">
        <v>1</v>
      </c>
      <c r="R270" s="6">
        <v>0</v>
      </c>
      <c r="S270" s="5" t="str">
        <f ca="1">VLOOKUP($T270,OFFSET([4]enemy_skill_sets!$B$1,0,0,COUNTA([4]enemy_skill_sets!$B:$B),MATCH(J$1,[4]enemy_skill_sets!$1:$1,0)-MATCH($T$1,[4]enemy_skill_sets!$1:$1,0)+2),MATCH(J$1,[4]enemy_skill_sets!$1:$1,0)-MATCH($T$1,[4]enemy_skill_sets!$1:$1,0)+2,FALSE)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0" s="5">
        <v>0</v>
      </c>
      <c r="U270" s="7">
        <v>0</v>
      </c>
      <c r="V270" s="7">
        <v>100</v>
      </c>
      <c r="W270" s="7">
        <v>0</v>
      </c>
      <c r="X270" s="26" t="e">
        <f ca="1">VLOOKUP($I270,OFFSET([2]enemies!$A$1,0,0,COUNTA([2]enemies!$A:$A),MATCH(X$1,[2]enemies!$2:$2,0)-MATCH($I$1,[2]enemies!$2:$2,0)+1),MATCH(X$1,[2]enemies!$2:$2,0)-MATCH($I$1,[2]enemies!$2:$2,0)+1,FALSE)</f>
        <v>#N/A</v>
      </c>
      <c r="Y270" s="31">
        <v>122</v>
      </c>
      <c r="Z270" s="5" t="str">
        <f ca="1">IFERROR(VLOOKUP($Y270,OFFSET([3]characters!$A$1,0,0,COUNTA([3]characters!$A:$A),MATCH(Z$1,[3]characters!$2:$2,0)-MATCH("character_id",[3]characters!$2:$2,0)+1),MATCH(Z$1,[3]characters!$2:$2,0)-MATCH("character_id",[3]characters!$2:$2,0)+1,FALSE),"")</f>
        <v/>
      </c>
      <c r="AA270" s="5" t="str">
        <f ca="1">IFERROR(VLOOKUP($Y270,OFFSET([3]characters!$A$1,0,0,COUNTA([3]characters!$A:$A),MATCH(AA$1,[3]characters!$2:$2,0)-MATCH("character_id",[3]characters!$2:$2,0)+1),MATCH(AA$1,[3]characters!$2:$2,0)-MATCH("character_id",[3]characters!$2:$2,0)+1,FALSE),"")</f>
        <v/>
      </c>
      <c r="AB270" s="5" t="str">
        <f ca="1">IFERROR(VLOOKUP($Y270,OFFSET([3]characters!$A$1,0,0,COUNTA([3]characters!$A:$A),MATCH(AB$1,[3]characters!$2:$2,0)-MATCH("character_id",[3]characters!$2:$2,0)+1),MATCH(AB$1,[3]characters!$2:$2,0)-MATCH("character_id",[3]characters!$2:$2,0)+1,FALSE),"")</f>
        <v/>
      </c>
      <c r="AC270" s="8">
        <v>1</v>
      </c>
      <c r="AD270" s="8" t="str">
        <f t="shared" ca="1" si="129"/>
        <v/>
      </c>
      <c r="AE270" s="9">
        <v>100</v>
      </c>
      <c r="AF270" s="38">
        <v>0</v>
      </c>
      <c r="AG270" s="38">
        <v>0</v>
      </c>
      <c r="AH270" s="38">
        <v>0</v>
      </c>
      <c r="AI270" s="38">
        <v>0</v>
      </c>
      <c r="AJ270" s="38">
        <v>1</v>
      </c>
    </row>
    <row r="271" spans="1:36" ht="21" customHeight="1" x14ac:dyDescent="0.15">
      <c r="A271" s="21" t="e">
        <f t="shared" ca="1" si="128"/>
        <v>#N/A</v>
      </c>
      <c r="B271" s="33">
        <v>6</v>
      </c>
      <c r="C271" s="36">
        <v>6</v>
      </c>
      <c r="D271" s="2" t="str">
        <f t="shared" si="135"/>
        <v>6_6</v>
      </c>
      <c r="E271" s="5" t="str">
        <f ca="1">VLOOKUP($B271,OFFSET([1]quests!$A$1,0,0,COUNTA([1]quests!$A:$A),MATCH(E$1,[1]quests!$1:$1,0)-MATCH($B$1,[1]quests!$1:$1,0)+1),MATCH(E$1,[1]quests!$1:$1,0)-MATCH($B$1,[1]quests!$1:$1,0)+1,FALSE)</f>
        <v>6．ドリームパーク</v>
      </c>
      <c r="F271" s="5" t="str">
        <f ca="1">VLOOKUP($D271,OFFSET([1]stages!$A$1,0,0,COUNTA([1]stages!$A:$A),MATCH(F$1,[1]stages!$2:$2,0)-MATCH($D$1,[1]stages!$2:$2,0)+1),MATCH(F$1,[1]stages!$2:$2,0)-MATCH($D$1,[1]stages!$2:$2,0)+1,FALSE)</f>
        <v>6-6. 【1回のみ】ボーナスステージ</v>
      </c>
      <c r="G271" s="35">
        <v>3</v>
      </c>
      <c r="H271" s="20" t="str">
        <f t="shared" si="136"/>
        <v>6_6-3</v>
      </c>
      <c r="I271" s="31">
        <v>123</v>
      </c>
      <c r="J271" s="26" t="e">
        <f ca="1">VLOOKUP($I271,OFFSET([2]enemies!$A$1,0,0,COUNTA([2]enemies!$A:$A),MATCH(J$1,[2]enemies!$2:$2,0)-MATCH($I$1,[2]enemies!$2:$2,0)+1),MATCH(J$1,[2]enemies!$2:$2,0)-MATCH($I$1,[2]enemies!$2:$2,0)+1,FALSE)</f>
        <v>#N/A</v>
      </c>
      <c r="K271" s="29" t="e">
        <f ca="1">VLOOKUP($I271,OFFSET([2]enemies!$A$1,0,0,COUNTA([2]enemies!$A:$A),MATCH(K$1,[2]enemies!$2:$2,0)-MATCH($I$1,[2]enemies!$2:$2,0)+1),MATCH(K$1,[2]enemies!$2:$2,0)-MATCH($I$1,[2]enemies!$2:$2,0)+1,FALSE)</f>
        <v>#N/A</v>
      </c>
      <c r="L271" s="29" t="e">
        <f ca="1">VLOOKUP($I271,OFFSET([3]characters!$A$1,0,0,COUNTA([3]characters!$A:$A),MATCH(L$1,[3]characters!$2:$2,0)-MATCH($I$1,[3]characters!$2:$2,0)+1),MATCH(L$1,[3]characters!$2:$2,0)-MATCH($I$1,[3]characters!$2:$2,0)+1,FALSE)</f>
        <v>#N/A</v>
      </c>
      <c r="M271" s="28" t="e">
        <f ca="1">VLOOKUP($I271,OFFSET([3]characters!$A$1,0,0,COUNTA([3]characters!$A:$A),MATCH(M$1,[3]characters!$2:$2,0)-MATCH($I$1,[3]characters!$2:$2,0)+2),MATCH(M$1,[3]characters!$2:$2,0)-MATCH($I$1,[3]characters!$2:$2,0)+2,FALSE)</f>
        <v>#N/A</v>
      </c>
      <c r="N271" s="5" t="e">
        <f ca="1">VLOOKUP($I271,OFFSET([2]enemies!$A$1,0,0,COUNTA([2]enemies!$A:$A),MATCH(N$1,[2]enemies!$2:$2,0)-MATCH($I$1,[2]enemies!$2:$2,0)+1),MATCH(N$1,[2]enemies!$2:$2,0)-MATCH($I$1,[2]enemies!$2:$2,0)+1,FALSE)</f>
        <v>#N/A</v>
      </c>
      <c r="O271" s="6">
        <v>1</v>
      </c>
      <c r="P271" s="43">
        <v>1</v>
      </c>
      <c r="Q271" s="43">
        <v>1</v>
      </c>
      <c r="R271" s="6">
        <v>0</v>
      </c>
      <c r="S271" s="5" t="str">
        <f ca="1">VLOOKUP($T271,OFFSET([4]enemy_skill_sets!$B$1,0,0,COUNTA([4]enemy_skill_sets!$B:$B),MATCH(J$1,[4]enemy_skill_sets!$1:$1,0)-MATCH($T$1,[4]enemy_skill_sets!$1:$1,0)+2),MATCH(J$1,[4]enemy_skill_sets!$1:$1,0)-MATCH($T$1,[4]enemy_skill_sets!$1:$1,0)+2,FALSE)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1" s="5">
        <v>0</v>
      </c>
      <c r="U271" s="7">
        <v>0</v>
      </c>
      <c r="V271" s="7">
        <v>100</v>
      </c>
      <c r="W271" s="7">
        <v>0</v>
      </c>
      <c r="X271" s="26" t="e">
        <f ca="1">VLOOKUP($I271,OFFSET([2]enemies!$A$1,0,0,COUNTA([2]enemies!$A:$A),MATCH(X$1,[2]enemies!$2:$2,0)-MATCH($I$1,[2]enemies!$2:$2,0)+1),MATCH(X$1,[2]enemies!$2:$2,0)-MATCH($I$1,[2]enemies!$2:$2,0)+1,FALSE)</f>
        <v>#N/A</v>
      </c>
      <c r="Y271" s="31">
        <v>123</v>
      </c>
      <c r="Z271" s="5" t="str">
        <f ca="1">IFERROR(VLOOKUP($Y271,OFFSET([3]characters!$A$1,0,0,COUNTA([3]characters!$A:$A),MATCH(Z$1,[3]characters!$2:$2,0)-MATCH("character_id",[3]characters!$2:$2,0)+1),MATCH(Z$1,[3]characters!$2:$2,0)-MATCH("character_id",[3]characters!$2:$2,0)+1,FALSE),"")</f>
        <v/>
      </c>
      <c r="AA271" s="5" t="str">
        <f ca="1">IFERROR(VLOOKUP($Y271,OFFSET([3]characters!$A$1,0,0,COUNTA([3]characters!$A:$A),MATCH(AA$1,[3]characters!$2:$2,0)-MATCH("character_id",[3]characters!$2:$2,0)+1),MATCH(AA$1,[3]characters!$2:$2,0)-MATCH("character_id",[3]characters!$2:$2,0)+1,FALSE),"")</f>
        <v/>
      </c>
      <c r="AB271" s="5" t="str">
        <f ca="1">IFERROR(VLOOKUP($Y271,OFFSET([3]characters!$A$1,0,0,COUNTA([3]characters!$A:$A),MATCH(AB$1,[3]characters!$2:$2,0)-MATCH("character_id",[3]characters!$2:$2,0)+1),MATCH(AB$1,[3]characters!$2:$2,0)-MATCH("character_id",[3]characters!$2:$2,0)+1,FALSE),"")</f>
        <v/>
      </c>
      <c r="AC271" s="8">
        <v>1</v>
      </c>
      <c r="AD271" s="8" t="str">
        <f t="shared" ca="1" si="129"/>
        <v/>
      </c>
      <c r="AE271" s="9">
        <v>100</v>
      </c>
      <c r="AF271" s="38">
        <v>0</v>
      </c>
      <c r="AG271" s="38">
        <v>0</v>
      </c>
      <c r="AH271" s="38">
        <v>0</v>
      </c>
      <c r="AI271" s="38">
        <v>0</v>
      </c>
      <c r="AJ271" s="38">
        <v>1</v>
      </c>
    </row>
    <row r="272" spans="1:36" ht="21" customHeight="1" x14ac:dyDescent="0.15">
      <c r="A272" s="21" t="e">
        <f t="shared" ref="A272:A274" ca="1" si="137">B272&amp;"_"&amp;C272&amp;"-"&amp;G272&amp;"/"&amp;I272&amp;"&lt;lv"&amp;O272&amp;"&gt;s"&amp;X272</f>
        <v>#N/A</v>
      </c>
      <c r="B272" s="33">
        <v>6</v>
      </c>
      <c r="C272" s="36">
        <v>6</v>
      </c>
      <c r="D272" s="2" t="str">
        <f t="shared" ref="D272:D274" si="138">B272&amp;"_"&amp;C272</f>
        <v>6_6</v>
      </c>
      <c r="E272" s="5" t="str">
        <f ca="1">VLOOKUP($B272,OFFSET([1]quests!$A$1,0,0,COUNTA([1]quests!$A:$A),MATCH(E$1,[1]quests!$1:$1,0)-MATCH($B$1,[1]quests!$1:$1,0)+1),MATCH(E$1,[1]quests!$1:$1,0)-MATCH($B$1,[1]quests!$1:$1,0)+1,FALSE)</f>
        <v>6．ドリームパーク</v>
      </c>
      <c r="F272" s="5" t="str">
        <f ca="1">VLOOKUP($D272,OFFSET([1]stages!$A$1,0,0,COUNTA([1]stages!$A:$A),MATCH(F$1,[1]stages!$2:$2,0)-MATCH($D$1,[1]stages!$2:$2,0)+1),MATCH(F$1,[1]stages!$2:$2,0)-MATCH($D$1,[1]stages!$2:$2,0)+1,FALSE)</f>
        <v>6-6. 【1回のみ】ボーナスステージ</v>
      </c>
      <c r="G272" s="35">
        <v>4</v>
      </c>
      <c r="H272" s="20" t="str">
        <f t="shared" ref="H272:H274" si="139">B272&amp;"_"&amp;C272&amp;"-"&amp;G272</f>
        <v>6_6-4</v>
      </c>
      <c r="I272" s="31">
        <v>121</v>
      </c>
      <c r="J272" s="26" t="e">
        <f ca="1">VLOOKUP($I272,OFFSET([2]enemies!$A$1,0,0,COUNTA([2]enemies!$A:$A),MATCH(J$1,[2]enemies!$2:$2,0)-MATCH($I$1,[2]enemies!$2:$2,0)+1),MATCH(J$1,[2]enemies!$2:$2,0)-MATCH($I$1,[2]enemies!$2:$2,0)+1,FALSE)</f>
        <v>#N/A</v>
      </c>
      <c r="K272" s="29" t="e">
        <f ca="1">VLOOKUP($I272,OFFSET([2]enemies!$A$1,0,0,COUNTA([2]enemies!$A:$A),MATCH(K$1,[2]enemies!$2:$2,0)-MATCH($I$1,[2]enemies!$2:$2,0)+1),MATCH(K$1,[2]enemies!$2:$2,0)-MATCH($I$1,[2]enemies!$2:$2,0)+1,FALSE)</f>
        <v>#N/A</v>
      </c>
      <c r="L272" s="29" t="e">
        <f ca="1">VLOOKUP($I272,OFFSET([3]characters!$A$1,0,0,COUNTA([3]characters!$A:$A),MATCH(L$1,[3]characters!$2:$2,0)-MATCH($I$1,[3]characters!$2:$2,0)+1),MATCH(L$1,[3]characters!$2:$2,0)-MATCH($I$1,[3]characters!$2:$2,0)+1,FALSE)</f>
        <v>#N/A</v>
      </c>
      <c r="M272" s="28" t="e">
        <f ca="1">VLOOKUP($I272,OFFSET([3]characters!$A$1,0,0,COUNTA([3]characters!$A:$A),MATCH(M$1,[3]characters!$2:$2,0)-MATCH($I$1,[3]characters!$2:$2,0)+2),MATCH(M$1,[3]characters!$2:$2,0)-MATCH($I$1,[3]characters!$2:$2,0)+2,FALSE)</f>
        <v>#N/A</v>
      </c>
      <c r="N272" s="5" t="e">
        <f ca="1">VLOOKUP($I272,OFFSET([2]enemies!$A$1,0,0,COUNTA([2]enemies!$A:$A),MATCH(N$1,[2]enemies!$2:$2,0)-MATCH($I$1,[2]enemies!$2:$2,0)+1),MATCH(N$1,[2]enemies!$2:$2,0)-MATCH($I$1,[2]enemies!$2:$2,0)+1,FALSE)</f>
        <v>#N/A</v>
      </c>
      <c r="O272" s="6">
        <v>1</v>
      </c>
      <c r="P272" s="43">
        <v>1</v>
      </c>
      <c r="Q272" s="43">
        <v>1</v>
      </c>
      <c r="R272" s="6">
        <v>0</v>
      </c>
      <c r="S272" s="5" t="str">
        <f ca="1">VLOOKUP($T272,OFFSET([4]enemy_skill_sets!$B$1,0,0,COUNTA([4]enemy_skill_sets!$B:$B),MATCH(J$1,[4]enemy_skill_sets!$1:$1,0)-MATCH($T$1,[4]enemy_skill_sets!$1:$1,0)+2),MATCH(J$1,[4]enemy_skill_sets!$1:$1,0)-MATCH($T$1,[4]enemy_skill_sets!$1:$1,0)+2,FALSE)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2" s="5">
        <v>0</v>
      </c>
      <c r="U272" s="7">
        <v>0</v>
      </c>
      <c r="V272" s="7">
        <v>100</v>
      </c>
      <c r="W272" s="7">
        <v>0</v>
      </c>
      <c r="X272" s="26" t="e">
        <f ca="1">VLOOKUP($I272,OFFSET([2]enemies!$A$1,0,0,COUNTA([2]enemies!$A:$A),MATCH(X$1,[2]enemies!$2:$2,0)-MATCH($I$1,[2]enemies!$2:$2,0)+1),MATCH(X$1,[2]enemies!$2:$2,0)-MATCH($I$1,[2]enemies!$2:$2,0)+1,FALSE)</f>
        <v>#N/A</v>
      </c>
      <c r="Y272" s="31">
        <v>121</v>
      </c>
      <c r="Z272" s="5" t="str">
        <f ca="1">IFERROR(VLOOKUP($Y272,OFFSET([3]characters!$A$1,0,0,COUNTA([3]characters!$A:$A),MATCH(Z$1,[3]characters!$2:$2,0)-MATCH("character_id",[3]characters!$2:$2,0)+1),MATCH(Z$1,[3]characters!$2:$2,0)-MATCH("character_id",[3]characters!$2:$2,0)+1,FALSE),"")</f>
        <v/>
      </c>
      <c r="AA272" s="5" t="str">
        <f ca="1">IFERROR(VLOOKUP($Y272,OFFSET([3]characters!$A$1,0,0,COUNTA([3]characters!$A:$A),MATCH(AA$1,[3]characters!$2:$2,0)-MATCH("character_id",[3]characters!$2:$2,0)+1),MATCH(AA$1,[3]characters!$2:$2,0)-MATCH("character_id",[3]characters!$2:$2,0)+1,FALSE),"")</f>
        <v/>
      </c>
      <c r="AB272" s="5" t="str">
        <f ca="1">IFERROR(VLOOKUP($Y272,OFFSET([3]characters!$A$1,0,0,COUNTA([3]characters!$A:$A),MATCH(AB$1,[3]characters!$2:$2,0)-MATCH("character_id",[3]characters!$2:$2,0)+1),MATCH(AB$1,[3]characters!$2:$2,0)-MATCH("character_id",[3]characters!$2:$2,0)+1,FALSE),"")</f>
        <v/>
      </c>
      <c r="AC272" s="8">
        <v>1</v>
      </c>
      <c r="AD272" s="8" t="str">
        <f t="shared" ref="AD272:AD274" ca="1" si="140">AA272</f>
        <v/>
      </c>
      <c r="AE272" s="9">
        <v>100</v>
      </c>
      <c r="AF272" s="38">
        <v>0</v>
      </c>
      <c r="AG272" s="38">
        <v>0</v>
      </c>
      <c r="AH272" s="38">
        <v>0</v>
      </c>
      <c r="AI272" s="38">
        <v>0</v>
      </c>
      <c r="AJ272" s="38">
        <v>1</v>
      </c>
    </row>
    <row r="273" spans="1:36" ht="21" customHeight="1" x14ac:dyDescent="0.15">
      <c r="A273" s="21" t="e">
        <f t="shared" ca="1" si="137"/>
        <v>#N/A</v>
      </c>
      <c r="B273" s="33">
        <v>6</v>
      </c>
      <c r="C273" s="36">
        <v>6</v>
      </c>
      <c r="D273" s="2" t="str">
        <f t="shared" si="138"/>
        <v>6_6</v>
      </c>
      <c r="E273" s="5" t="str">
        <f ca="1">VLOOKUP($B273,OFFSET([1]quests!$A$1,0,0,COUNTA([1]quests!$A:$A),MATCH(E$1,[1]quests!$1:$1,0)-MATCH($B$1,[1]quests!$1:$1,0)+1),MATCH(E$1,[1]quests!$1:$1,0)-MATCH($B$1,[1]quests!$1:$1,0)+1,FALSE)</f>
        <v>6．ドリームパーク</v>
      </c>
      <c r="F273" s="5" t="str">
        <f ca="1">VLOOKUP($D273,OFFSET([1]stages!$A$1,0,0,COUNTA([1]stages!$A:$A),MATCH(F$1,[1]stages!$2:$2,0)-MATCH($D$1,[1]stages!$2:$2,0)+1),MATCH(F$1,[1]stages!$2:$2,0)-MATCH($D$1,[1]stages!$2:$2,0)+1,FALSE)</f>
        <v>6-6. 【1回のみ】ボーナスステージ</v>
      </c>
      <c r="G273" s="35">
        <v>4</v>
      </c>
      <c r="H273" s="20" t="str">
        <f t="shared" si="139"/>
        <v>6_6-4</v>
      </c>
      <c r="I273" s="31">
        <v>122</v>
      </c>
      <c r="J273" s="26" t="e">
        <f ca="1">VLOOKUP($I273,OFFSET([2]enemies!$A$1,0,0,COUNTA([2]enemies!$A:$A),MATCH(J$1,[2]enemies!$2:$2,0)-MATCH($I$1,[2]enemies!$2:$2,0)+1),MATCH(J$1,[2]enemies!$2:$2,0)-MATCH($I$1,[2]enemies!$2:$2,0)+1,FALSE)</f>
        <v>#N/A</v>
      </c>
      <c r="K273" s="29" t="e">
        <f ca="1">VLOOKUP($I273,OFFSET([2]enemies!$A$1,0,0,COUNTA([2]enemies!$A:$A),MATCH(K$1,[2]enemies!$2:$2,0)-MATCH($I$1,[2]enemies!$2:$2,0)+1),MATCH(K$1,[2]enemies!$2:$2,0)-MATCH($I$1,[2]enemies!$2:$2,0)+1,FALSE)</f>
        <v>#N/A</v>
      </c>
      <c r="L273" s="29" t="e">
        <f ca="1">VLOOKUP($I273,OFFSET([3]characters!$A$1,0,0,COUNTA([3]characters!$A:$A),MATCH(L$1,[3]characters!$2:$2,0)-MATCH($I$1,[3]characters!$2:$2,0)+1),MATCH(L$1,[3]characters!$2:$2,0)-MATCH($I$1,[3]characters!$2:$2,0)+1,FALSE)</f>
        <v>#N/A</v>
      </c>
      <c r="M273" s="28" t="e">
        <f ca="1">VLOOKUP($I273,OFFSET([3]characters!$A$1,0,0,COUNTA([3]characters!$A:$A),MATCH(M$1,[3]characters!$2:$2,0)-MATCH($I$1,[3]characters!$2:$2,0)+2),MATCH(M$1,[3]characters!$2:$2,0)-MATCH($I$1,[3]characters!$2:$2,0)+2,FALSE)</f>
        <v>#N/A</v>
      </c>
      <c r="N273" s="5" t="e">
        <f ca="1">VLOOKUP($I273,OFFSET([2]enemies!$A$1,0,0,COUNTA([2]enemies!$A:$A),MATCH(N$1,[2]enemies!$2:$2,0)-MATCH($I$1,[2]enemies!$2:$2,0)+1),MATCH(N$1,[2]enemies!$2:$2,0)-MATCH($I$1,[2]enemies!$2:$2,0)+1,FALSE)</f>
        <v>#N/A</v>
      </c>
      <c r="O273" s="6">
        <v>1</v>
      </c>
      <c r="P273" s="43">
        <v>1</v>
      </c>
      <c r="Q273" s="43">
        <v>1</v>
      </c>
      <c r="R273" s="6">
        <v>0</v>
      </c>
      <c r="S273" s="5" t="str">
        <f ca="1">VLOOKUP($T273,OFFSET([4]enemy_skill_sets!$B$1,0,0,COUNTA([4]enemy_skill_sets!$B:$B),MATCH(J$1,[4]enemy_skill_sets!$1:$1,0)-MATCH($T$1,[4]enemy_skill_sets!$1:$1,0)+2),MATCH(J$1,[4]enemy_skill_sets!$1:$1,0)-MATCH($T$1,[4]enemy_skill_sets!$1:$1,0)+2,FALSE)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3" s="5">
        <v>0</v>
      </c>
      <c r="U273" s="7">
        <v>0</v>
      </c>
      <c r="V273" s="7">
        <v>100</v>
      </c>
      <c r="W273" s="7">
        <v>0</v>
      </c>
      <c r="X273" s="26" t="e">
        <f ca="1">VLOOKUP($I273,OFFSET([2]enemies!$A$1,0,0,COUNTA([2]enemies!$A:$A),MATCH(X$1,[2]enemies!$2:$2,0)-MATCH($I$1,[2]enemies!$2:$2,0)+1),MATCH(X$1,[2]enemies!$2:$2,0)-MATCH($I$1,[2]enemies!$2:$2,0)+1,FALSE)</f>
        <v>#N/A</v>
      </c>
      <c r="Y273" s="31">
        <v>122</v>
      </c>
      <c r="Z273" s="5" t="str">
        <f ca="1">IFERROR(VLOOKUP($Y273,OFFSET([3]characters!$A$1,0,0,COUNTA([3]characters!$A:$A),MATCH(Z$1,[3]characters!$2:$2,0)-MATCH("character_id",[3]characters!$2:$2,0)+1),MATCH(Z$1,[3]characters!$2:$2,0)-MATCH("character_id",[3]characters!$2:$2,0)+1,FALSE),"")</f>
        <v/>
      </c>
      <c r="AA273" s="5" t="str">
        <f ca="1">IFERROR(VLOOKUP($Y273,OFFSET([3]characters!$A$1,0,0,COUNTA([3]characters!$A:$A),MATCH(AA$1,[3]characters!$2:$2,0)-MATCH("character_id",[3]characters!$2:$2,0)+1),MATCH(AA$1,[3]characters!$2:$2,0)-MATCH("character_id",[3]characters!$2:$2,0)+1,FALSE),"")</f>
        <v/>
      </c>
      <c r="AB273" s="5" t="str">
        <f ca="1">IFERROR(VLOOKUP($Y273,OFFSET([3]characters!$A$1,0,0,COUNTA([3]characters!$A:$A),MATCH(AB$1,[3]characters!$2:$2,0)-MATCH("character_id",[3]characters!$2:$2,0)+1),MATCH(AB$1,[3]characters!$2:$2,0)-MATCH("character_id",[3]characters!$2:$2,0)+1,FALSE),"")</f>
        <v/>
      </c>
      <c r="AC273" s="8">
        <v>1</v>
      </c>
      <c r="AD273" s="8" t="str">
        <f t="shared" ca="1" si="140"/>
        <v/>
      </c>
      <c r="AE273" s="9">
        <v>100</v>
      </c>
      <c r="AF273" s="38">
        <v>0</v>
      </c>
      <c r="AG273" s="38">
        <v>0</v>
      </c>
      <c r="AH273" s="38">
        <v>0</v>
      </c>
      <c r="AI273" s="38">
        <v>0</v>
      </c>
      <c r="AJ273" s="38">
        <v>1</v>
      </c>
    </row>
    <row r="274" spans="1:36" ht="21" customHeight="1" x14ac:dyDescent="0.15">
      <c r="A274" s="21" t="e">
        <f t="shared" ca="1" si="137"/>
        <v>#N/A</v>
      </c>
      <c r="B274" s="33">
        <v>6</v>
      </c>
      <c r="C274" s="36">
        <v>6</v>
      </c>
      <c r="D274" s="2" t="str">
        <f t="shared" si="138"/>
        <v>6_6</v>
      </c>
      <c r="E274" s="5" t="str">
        <f ca="1">VLOOKUP($B274,OFFSET([1]quests!$A$1,0,0,COUNTA([1]quests!$A:$A),MATCH(E$1,[1]quests!$1:$1,0)-MATCH($B$1,[1]quests!$1:$1,0)+1),MATCH(E$1,[1]quests!$1:$1,0)-MATCH($B$1,[1]quests!$1:$1,0)+1,FALSE)</f>
        <v>6．ドリームパーク</v>
      </c>
      <c r="F274" s="5" t="str">
        <f ca="1">VLOOKUP($D274,OFFSET([1]stages!$A$1,0,0,COUNTA([1]stages!$A:$A),MATCH(F$1,[1]stages!$2:$2,0)-MATCH($D$1,[1]stages!$2:$2,0)+1),MATCH(F$1,[1]stages!$2:$2,0)-MATCH($D$1,[1]stages!$2:$2,0)+1,FALSE)</f>
        <v>6-6. 【1回のみ】ボーナスステージ</v>
      </c>
      <c r="G274" s="35">
        <v>4</v>
      </c>
      <c r="H274" s="20" t="str">
        <f t="shared" si="139"/>
        <v>6_6-4</v>
      </c>
      <c r="I274" s="31">
        <v>123</v>
      </c>
      <c r="J274" s="26" t="e">
        <f ca="1">VLOOKUP($I274,OFFSET([2]enemies!$A$1,0,0,COUNTA([2]enemies!$A:$A),MATCH(J$1,[2]enemies!$2:$2,0)-MATCH($I$1,[2]enemies!$2:$2,0)+1),MATCH(J$1,[2]enemies!$2:$2,0)-MATCH($I$1,[2]enemies!$2:$2,0)+1,FALSE)</f>
        <v>#N/A</v>
      </c>
      <c r="K274" s="29" t="e">
        <f ca="1">VLOOKUP($I274,OFFSET([2]enemies!$A$1,0,0,COUNTA([2]enemies!$A:$A),MATCH(K$1,[2]enemies!$2:$2,0)-MATCH($I$1,[2]enemies!$2:$2,0)+1),MATCH(K$1,[2]enemies!$2:$2,0)-MATCH($I$1,[2]enemies!$2:$2,0)+1,FALSE)</f>
        <v>#N/A</v>
      </c>
      <c r="L274" s="29" t="e">
        <f ca="1">VLOOKUP($I274,OFFSET([3]characters!$A$1,0,0,COUNTA([3]characters!$A:$A),MATCH(L$1,[3]characters!$2:$2,0)-MATCH($I$1,[3]characters!$2:$2,0)+1),MATCH(L$1,[3]characters!$2:$2,0)-MATCH($I$1,[3]characters!$2:$2,0)+1,FALSE)</f>
        <v>#N/A</v>
      </c>
      <c r="M274" s="28" t="e">
        <f ca="1">VLOOKUP($I274,OFFSET([3]characters!$A$1,0,0,COUNTA([3]characters!$A:$A),MATCH(M$1,[3]characters!$2:$2,0)-MATCH($I$1,[3]characters!$2:$2,0)+2),MATCH(M$1,[3]characters!$2:$2,0)-MATCH($I$1,[3]characters!$2:$2,0)+2,FALSE)</f>
        <v>#N/A</v>
      </c>
      <c r="N274" s="5" t="e">
        <f ca="1">VLOOKUP($I274,OFFSET([2]enemies!$A$1,0,0,COUNTA([2]enemies!$A:$A),MATCH(N$1,[2]enemies!$2:$2,0)-MATCH($I$1,[2]enemies!$2:$2,0)+1),MATCH(N$1,[2]enemies!$2:$2,0)-MATCH($I$1,[2]enemies!$2:$2,0)+1,FALSE)</f>
        <v>#N/A</v>
      </c>
      <c r="O274" s="6">
        <v>1</v>
      </c>
      <c r="P274" s="43">
        <v>1</v>
      </c>
      <c r="Q274" s="43">
        <v>1</v>
      </c>
      <c r="R274" s="6">
        <v>0</v>
      </c>
      <c r="S274" s="5" t="str">
        <f ca="1">VLOOKUP($T274,OFFSET([4]enemy_skill_sets!$B$1,0,0,COUNTA([4]enemy_skill_sets!$B:$B),MATCH(J$1,[4]enemy_skill_sets!$1:$1,0)-MATCH($T$1,[4]enemy_skill_sets!$1:$1,0)+2),MATCH(J$1,[4]enemy_skill_sets!$1:$1,0)-MATCH($T$1,[4]enemy_skill_sets!$1:$1,0)+2,FALSE)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4" s="5">
        <v>0</v>
      </c>
      <c r="U274" s="7">
        <v>0</v>
      </c>
      <c r="V274" s="7">
        <v>100</v>
      </c>
      <c r="W274" s="7">
        <v>0</v>
      </c>
      <c r="X274" s="26" t="e">
        <f ca="1">VLOOKUP($I274,OFFSET([2]enemies!$A$1,0,0,COUNTA([2]enemies!$A:$A),MATCH(X$1,[2]enemies!$2:$2,0)-MATCH($I$1,[2]enemies!$2:$2,0)+1),MATCH(X$1,[2]enemies!$2:$2,0)-MATCH($I$1,[2]enemies!$2:$2,0)+1,FALSE)</f>
        <v>#N/A</v>
      </c>
      <c r="Y274" s="31">
        <v>123</v>
      </c>
      <c r="Z274" s="5" t="str">
        <f ca="1">IFERROR(VLOOKUP($Y274,OFFSET([3]characters!$A$1,0,0,COUNTA([3]characters!$A:$A),MATCH(Z$1,[3]characters!$2:$2,0)-MATCH("character_id",[3]characters!$2:$2,0)+1),MATCH(Z$1,[3]characters!$2:$2,0)-MATCH("character_id",[3]characters!$2:$2,0)+1,FALSE),"")</f>
        <v/>
      </c>
      <c r="AA274" s="5" t="str">
        <f ca="1">IFERROR(VLOOKUP($Y274,OFFSET([3]characters!$A$1,0,0,COUNTA([3]characters!$A:$A),MATCH(AA$1,[3]characters!$2:$2,0)-MATCH("character_id",[3]characters!$2:$2,0)+1),MATCH(AA$1,[3]characters!$2:$2,0)-MATCH("character_id",[3]characters!$2:$2,0)+1,FALSE),"")</f>
        <v/>
      </c>
      <c r="AB274" s="5" t="str">
        <f ca="1">IFERROR(VLOOKUP($Y274,OFFSET([3]characters!$A$1,0,0,COUNTA([3]characters!$A:$A),MATCH(AB$1,[3]characters!$2:$2,0)-MATCH("character_id",[3]characters!$2:$2,0)+1),MATCH(AB$1,[3]characters!$2:$2,0)-MATCH("character_id",[3]characters!$2:$2,0)+1,FALSE),"")</f>
        <v/>
      </c>
      <c r="AC274" s="8">
        <v>1</v>
      </c>
      <c r="AD274" s="8" t="str">
        <f t="shared" ca="1" si="140"/>
        <v/>
      </c>
      <c r="AE274" s="9">
        <v>100</v>
      </c>
      <c r="AF274" s="38">
        <v>0</v>
      </c>
      <c r="AG274" s="38">
        <v>0</v>
      </c>
      <c r="AH274" s="38">
        <v>0</v>
      </c>
      <c r="AI274" s="38">
        <v>0</v>
      </c>
      <c r="AJ274" s="38">
        <v>1</v>
      </c>
    </row>
    <row r="275" spans="1:36" ht="21" customHeight="1" x14ac:dyDescent="0.15">
      <c r="A275" s="21" t="e">
        <f t="shared" ref="A275" ca="1" si="141">B275&amp;"_"&amp;C275&amp;"-"&amp;G275&amp;"/"&amp;I275&amp;"&lt;lv"&amp;O275&amp;"&gt;s"&amp;X275</f>
        <v>#N/A</v>
      </c>
      <c r="B275" s="33">
        <v>6</v>
      </c>
      <c r="C275" s="36">
        <v>6</v>
      </c>
      <c r="D275" s="2" t="str">
        <f t="shared" ref="D275" si="142">B275&amp;"_"&amp;C275</f>
        <v>6_6</v>
      </c>
      <c r="E275" s="5" t="str">
        <f ca="1">VLOOKUP($B275,OFFSET([1]quests!$A$1,0,0,COUNTA([1]quests!$A:$A),MATCH(E$1,[1]quests!$1:$1,0)-MATCH($B$1,[1]quests!$1:$1,0)+1),MATCH(E$1,[1]quests!$1:$1,0)-MATCH($B$1,[1]quests!$1:$1,0)+1,FALSE)</f>
        <v>6．ドリームパーク</v>
      </c>
      <c r="F275" s="5" t="str">
        <f ca="1">VLOOKUP($D275,OFFSET([1]stages!$A$1,0,0,COUNTA([1]stages!$A:$A),MATCH(F$1,[1]stages!$2:$2,0)-MATCH($D$1,[1]stages!$2:$2,0)+1),MATCH(F$1,[1]stages!$2:$2,0)-MATCH($D$1,[1]stages!$2:$2,0)+1,FALSE)</f>
        <v>6-6. 【1回のみ】ボーナスステージ</v>
      </c>
      <c r="G275" s="35">
        <v>5</v>
      </c>
      <c r="H275" s="20" t="str">
        <f t="shared" ref="H275" si="143">B275&amp;"_"&amp;C275&amp;"-"&amp;G275</f>
        <v>6_6-5</v>
      </c>
      <c r="I275" s="31">
        <v>125</v>
      </c>
      <c r="J275" s="26" t="e">
        <f ca="1">VLOOKUP($I275,OFFSET([2]enemies!$A$1,0,0,COUNTA([2]enemies!$A:$A),MATCH(J$1,[2]enemies!$2:$2,0)-MATCH($I$1,[2]enemies!$2:$2,0)+1),MATCH(J$1,[2]enemies!$2:$2,0)-MATCH($I$1,[2]enemies!$2:$2,0)+1,FALSE)</f>
        <v>#N/A</v>
      </c>
      <c r="K275" s="29" t="e">
        <f ca="1">VLOOKUP($I275,OFFSET([2]enemies!$A$1,0,0,COUNTA([2]enemies!$A:$A),MATCH(K$1,[2]enemies!$2:$2,0)-MATCH($I$1,[2]enemies!$2:$2,0)+1),MATCH(K$1,[2]enemies!$2:$2,0)-MATCH($I$1,[2]enemies!$2:$2,0)+1,FALSE)</f>
        <v>#N/A</v>
      </c>
      <c r="L275" s="29" t="e">
        <f ca="1">VLOOKUP($I275,OFFSET([3]characters!$A$1,0,0,COUNTA([3]characters!$A:$A),MATCH(L$1,[3]characters!$2:$2,0)-MATCH($I$1,[3]characters!$2:$2,0)+1),MATCH(L$1,[3]characters!$2:$2,0)-MATCH($I$1,[3]characters!$2:$2,0)+1,FALSE)</f>
        <v>#N/A</v>
      </c>
      <c r="M275" s="28" t="e">
        <f ca="1">VLOOKUP($I275,OFFSET([3]characters!$A$1,0,0,COUNTA([3]characters!$A:$A),MATCH(M$1,[3]characters!$2:$2,0)-MATCH($I$1,[3]characters!$2:$2,0)+2),MATCH(M$1,[3]characters!$2:$2,0)-MATCH($I$1,[3]characters!$2:$2,0)+2,FALSE)</f>
        <v>#N/A</v>
      </c>
      <c r="N275" s="5" t="e">
        <f ca="1">VLOOKUP($I275,OFFSET([2]enemies!$A$1,0,0,COUNTA([2]enemies!$A:$A),MATCH(N$1,[2]enemies!$2:$2,0)-MATCH($I$1,[2]enemies!$2:$2,0)+1),MATCH(N$1,[2]enemies!$2:$2,0)-MATCH($I$1,[2]enemies!$2:$2,0)+1,FALSE)</f>
        <v>#N/A</v>
      </c>
      <c r="O275" s="6">
        <v>1</v>
      </c>
      <c r="P275" s="43">
        <v>1</v>
      </c>
      <c r="Q275" s="43">
        <v>1</v>
      </c>
      <c r="R275" s="6">
        <v>0</v>
      </c>
      <c r="S275" s="5" t="str">
        <f ca="1">VLOOKUP($T275,OFFSET([4]enemy_skill_sets!$B$1,0,0,COUNTA([4]enemy_skill_sets!$B:$B),MATCH(J$1,[4]enemy_skill_sets!$1:$1,0)-MATCH($T$1,[4]enemy_skill_sets!$1:$1,0)+2),MATCH(J$1,[4]enemy_skill_sets!$1:$1,0)-MATCH($T$1,[4]enemy_skill_sets!$1:$1,0)+2,FALSE)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5" s="5">
        <v>0</v>
      </c>
      <c r="U275" s="7">
        <v>1</v>
      </c>
      <c r="V275" s="7">
        <v>100</v>
      </c>
      <c r="W275" s="7">
        <v>1</v>
      </c>
      <c r="X275" s="26" t="e">
        <f ca="1">VLOOKUP($I275,OFFSET([2]enemies!$A$1,0,0,COUNTA([2]enemies!$A:$A),MATCH(X$1,[2]enemies!$2:$2,0)-MATCH($I$1,[2]enemies!$2:$2,0)+1),MATCH(X$1,[2]enemies!$2:$2,0)-MATCH($I$1,[2]enemies!$2:$2,0)+1,FALSE)</f>
        <v>#N/A</v>
      </c>
      <c r="Y275" s="31">
        <v>125</v>
      </c>
      <c r="Z275" s="5" t="str">
        <f ca="1">IFERROR(VLOOKUP($Y275,OFFSET([3]characters!$A$1,0,0,COUNTA([3]characters!$A:$A),MATCH(Z$1,[3]characters!$2:$2,0)-MATCH("character_id",[3]characters!$2:$2,0)+1),MATCH(Z$1,[3]characters!$2:$2,0)-MATCH("character_id",[3]characters!$2:$2,0)+1,FALSE),"")</f>
        <v/>
      </c>
      <c r="AA275" s="5" t="str">
        <f ca="1">IFERROR(VLOOKUP($Y275,OFFSET([3]characters!$A$1,0,0,COUNTA([3]characters!$A:$A),MATCH(AA$1,[3]characters!$2:$2,0)-MATCH("character_id",[3]characters!$2:$2,0)+1),MATCH(AA$1,[3]characters!$2:$2,0)-MATCH("character_id",[3]characters!$2:$2,0)+1,FALSE),"")</f>
        <v/>
      </c>
      <c r="AB275" s="5" t="str">
        <f ca="1">IFERROR(VLOOKUP($Y275,OFFSET([3]characters!$A$1,0,0,COUNTA([3]characters!$A:$A),MATCH(AB$1,[3]characters!$2:$2,0)-MATCH("character_id",[3]characters!$2:$2,0)+1),MATCH(AB$1,[3]characters!$2:$2,0)-MATCH("character_id",[3]characters!$2:$2,0)+1,FALSE),"")</f>
        <v/>
      </c>
      <c r="AC275" s="8">
        <v>1</v>
      </c>
      <c r="AD275" s="8" t="str">
        <f t="shared" ref="AD275" ca="1" si="144">AA275</f>
        <v/>
      </c>
      <c r="AE275" s="9">
        <v>100</v>
      </c>
      <c r="AF275" s="38">
        <v>0</v>
      </c>
      <c r="AG275" s="38">
        <v>0</v>
      </c>
      <c r="AH275" s="38">
        <v>0</v>
      </c>
      <c r="AI275" s="38">
        <v>0</v>
      </c>
      <c r="AJ275" s="38">
        <v>1</v>
      </c>
    </row>
    <row r="276" spans="1:36" ht="21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6" ht="21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6" ht="21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6" ht="21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6" ht="21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6" ht="21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6" ht="21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6" ht="21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6" ht="21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6" ht="21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6" ht="21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6" ht="21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6" ht="21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 ht="21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 ht="21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 ht="21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 ht="21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 ht="21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 ht="21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 ht="21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 ht="21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 ht="21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 ht="21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</sheetData>
  <sheetProtection selectLockedCells="1" selectUnlockedCells="1"/>
  <autoFilter ref="B1:AE275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9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ColWidth="13" defaultRowHeight="15" x14ac:dyDescent="0.15"/>
  <cols>
    <col min="1" max="1" width="10.1640625" style="23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floors_DL1</v>
      </c>
    </row>
    <row r="2" spans="1:6" s="18" customFormat="1" x14ac:dyDescent="0.15">
      <c r="A2" s="23" t="s">
        <v>32</v>
      </c>
      <c r="B2" s="18" t="s">
        <v>0</v>
      </c>
      <c r="C2" s="18" t="s">
        <v>1</v>
      </c>
      <c r="D2" s="18" t="s">
        <v>13</v>
      </c>
      <c r="E2" s="18" t="s">
        <v>14</v>
      </c>
      <c r="F2" s="18" t="s">
        <v>15</v>
      </c>
    </row>
    <row r="3" spans="1:6" x14ac:dyDescent="0.15">
      <c r="A3" s="24" t="str">
        <f t="shared" ref="A3:A66" si="0">INDIRECT(ADDRESS(ROW()+$A$1,COLUMN(),1,TRUE,$C$1))</f>
        <v>2_1-1</v>
      </c>
      <c r="B3" s="19">
        <f t="shared" ref="B3:F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</v>
      </c>
      <c r="C3" s="19">
        <f t="shared" si="1"/>
        <v>1</v>
      </c>
      <c r="D3" s="19">
        <f t="shared" si="1"/>
        <v>1</v>
      </c>
      <c r="E3" s="19">
        <f t="shared" si="1"/>
        <v>15</v>
      </c>
      <c r="F3" s="19">
        <f t="shared" si="1"/>
        <v>45</v>
      </c>
    </row>
    <row r="4" spans="1:6" x14ac:dyDescent="0.15">
      <c r="A4" s="24" t="str">
        <f t="shared" si="0"/>
        <v>2_1-2</v>
      </c>
      <c r="B4" s="19">
        <f t="shared" si="1"/>
        <v>2</v>
      </c>
      <c r="C4" s="19">
        <f t="shared" si="1"/>
        <v>1</v>
      </c>
      <c r="D4" s="19">
        <f t="shared" si="1"/>
        <v>2</v>
      </c>
      <c r="E4" s="19">
        <f t="shared" si="1"/>
        <v>45</v>
      </c>
      <c r="F4" s="19">
        <f t="shared" si="1"/>
        <v>45</v>
      </c>
    </row>
    <row r="5" spans="1:6" x14ac:dyDescent="0.15">
      <c r="A5" s="24" t="str">
        <f t="shared" si="0"/>
        <v>2_1-3</v>
      </c>
      <c r="B5" s="19">
        <f t="shared" si="1"/>
        <v>2</v>
      </c>
      <c r="C5" s="19">
        <f t="shared" si="1"/>
        <v>1</v>
      </c>
      <c r="D5" s="19">
        <f t="shared" si="1"/>
        <v>3</v>
      </c>
      <c r="E5" s="19">
        <f t="shared" si="1"/>
        <v>45</v>
      </c>
      <c r="F5" s="19">
        <f t="shared" si="1"/>
        <v>45</v>
      </c>
    </row>
    <row r="6" spans="1:6" x14ac:dyDescent="0.15">
      <c r="A6" s="24" t="str">
        <f t="shared" si="0"/>
        <v>2_2-1</v>
      </c>
      <c r="B6" s="19">
        <f t="shared" si="1"/>
        <v>2</v>
      </c>
      <c r="C6" s="19">
        <f t="shared" si="1"/>
        <v>2</v>
      </c>
      <c r="D6" s="19">
        <f t="shared" si="1"/>
        <v>1</v>
      </c>
      <c r="E6" s="19">
        <f t="shared" si="1"/>
        <v>30</v>
      </c>
      <c r="F6" s="19">
        <f t="shared" si="1"/>
        <v>45</v>
      </c>
    </row>
    <row r="7" spans="1:6" x14ac:dyDescent="0.15">
      <c r="A7" s="24" t="str">
        <f t="shared" si="0"/>
        <v>2_2-2</v>
      </c>
      <c r="B7" s="19">
        <f t="shared" si="1"/>
        <v>2</v>
      </c>
      <c r="C7" s="19">
        <f t="shared" si="1"/>
        <v>2</v>
      </c>
      <c r="D7" s="19">
        <f t="shared" si="1"/>
        <v>2</v>
      </c>
      <c r="E7" s="19">
        <f t="shared" si="1"/>
        <v>45</v>
      </c>
      <c r="F7" s="19">
        <f t="shared" si="1"/>
        <v>45</v>
      </c>
    </row>
    <row r="8" spans="1:6" x14ac:dyDescent="0.15">
      <c r="A8" s="24" t="str">
        <f t="shared" si="0"/>
        <v>2_2-3</v>
      </c>
      <c r="B8" s="19">
        <f t="shared" si="1"/>
        <v>2</v>
      </c>
      <c r="C8" s="19">
        <f t="shared" si="1"/>
        <v>2</v>
      </c>
      <c r="D8" s="19">
        <f t="shared" si="1"/>
        <v>3</v>
      </c>
      <c r="E8" s="19">
        <f t="shared" si="1"/>
        <v>45</v>
      </c>
      <c r="F8" s="19">
        <f t="shared" si="1"/>
        <v>45</v>
      </c>
    </row>
    <row r="9" spans="1:6" x14ac:dyDescent="0.15">
      <c r="A9" s="24" t="str">
        <f t="shared" si="0"/>
        <v>2_3-1</v>
      </c>
      <c r="B9" s="19">
        <f t="shared" si="1"/>
        <v>2</v>
      </c>
      <c r="C9" s="19">
        <f t="shared" si="1"/>
        <v>3</v>
      </c>
      <c r="D9" s="19">
        <f t="shared" si="1"/>
        <v>1</v>
      </c>
      <c r="E9" s="19">
        <f t="shared" si="1"/>
        <v>45</v>
      </c>
      <c r="F9" s="19">
        <f t="shared" si="1"/>
        <v>45</v>
      </c>
    </row>
    <row r="10" spans="1:6" x14ac:dyDescent="0.15">
      <c r="A10" s="24" t="str">
        <f t="shared" si="0"/>
        <v>2_3-2</v>
      </c>
      <c r="B10" s="19">
        <f t="shared" si="1"/>
        <v>2</v>
      </c>
      <c r="C10" s="19">
        <f t="shared" si="1"/>
        <v>3</v>
      </c>
      <c r="D10" s="19">
        <f t="shared" si="1"/>
        <v>2</v>
      </c>
      <c r="E10" s="19">
        <f t="shared" si="1"/>
        <v>45</v>
      </c>
      <c r="F10" s="19">
        <f t="shared" si="1"/>
        <v>45</v>
      </c>
    </row>
    <row r="11" spans="1:6" x14ac:dyDescent="0.15">
      <c r="A11" s="24" t="str">
        <f t="shared" si="0"/>
        <v>2_3-3</v>
      </c>
      <c r="B11" s="19">
        <f t="shared" si="1"/>
        <v>2</v>
      </c>
      <c r="C11" s="19">
        <f t="shared" si="1"/>
        <v>3</v>
      </c>
      <c r="D11" s="19">
        <f t="shared" si="1"/>
        <v>3</v>
      </c>
      <c r="E11" s="19">
        <f t="shared" si="1"/>
        <v>45</v>
      </c>
      <c r="F11" s="19">
        <f t="shared" si="1"/>
        <v>45</v>
      </c>
    </row>
    <row r="12" spans="1:6" x14ac:dyDescent="0.15">
      <c r="A12" s="24" t="str">
        <f t="shared" si="0"/>
        <v>2_3-4</v>
      </c>
      <c r="B12" s="19">
        <f t="shared" si="1"/>
        <v>2</v>
      </c>
      <c r="C12" s="19">
        <f t="shared" si="1"/>
        <v>3</v>
      </c>
      <c r="D12" s="19">
        <f t="shared" si="1"/>
        <v>4</v>
      </c>
      <c r="E12" s="19">
        <f t="shared" si="1"/>
        <v>25</v>
      </c>
      <c r="F12" s="19">
        <f t="shared" si="1"/>
        <v>25</v>
      </c>
    </row>
    <row r="13" spans="1:6" x14ac:dyDescent="0.15">
      <c r="A13" s="24" t="str">
        <f t="shared" si="0"/>
        <v>2_4-1</v>
      </c>
      <c r="B13" s="19">
        <f t="shared" si="1"/>
        <v>2</v>
      </c>
      <c r="C13" s="19">
        <f t="shared" si="1"/>
        <v>4</v>
      </c>
      <c r="D13" s="19">
        <f t="shared" si="1"/>
        <v>1</v>
      </c>
      <c r="E13" s="19">
        <f t="shared" si="1"/>
        <v>45</v>
      </c>
      <c r="F13" s="19">
        <f t="shared" si="1"/>
        <v>45</v>
      </c>
    </row>
    <row r="14" spans="1:6" x14ac:dyDescent="0.15">
      <c r="A14" s="24" t="str">
        <f t="shared" si="0"/>
        <v>2_4-2</v>
      </c>
      <c r="B14" s="19">
        <f t="shared" si="1"/>
        <v>2</v>
      </c>
      <c r="C14" s="19">
        <f t="shared" si="1"/>
        <v>4</v>
      </c>
      <c r="D14" s="19">
        <f t="shared" si="1"/>
        <v>2</v>
      </c>
      <c r="E14" s="19">
        <f t="shared" si="1"/>
        <v>45</v>
      </c>
      <c r="F14" s="19">
        <f t="shared" si="1"/>
        <v>45</v>
      </c>
    </row>
    <row r="15" spans="1:6" x14ac:dyDescent="0.15">
      <c r="A15" s="24" t="str">
        <f t="shared" si="0"/>
        <v>2_4-3</v>
      </c>
      <c r="B15" s="19">
        <f t="shared" si="1"/>
        <v>2</v>
      </c>
      <c r="C15" s="19">
        <f t="shared" si="1"/>
        <v>4</v>
      </c>
      <c r="D15" s="19">
        <f t="shared" si="1"/>
        <v>3</v>
      </c>
      <c r="E15" s="19">
        <f t="shared" si="1"/>
        <v>45</v>
      </c>
      <c r="F15" s="19">
        <f t="shared" si="1"/>
        <v>45</v>
      </c>
    </row>
    <row r="16" spans="1:6" x14ac:dyDescent="0.15">
      <c r="A16" s="24" t="str">
        <f t="shared" si="0"/>
        <v>3_1-1</v>
      </c>
      <c r="B16" s="19">
        <f t="shared" si="1"/>
        <v>3</v>
      </c>
      <c r="C16" s="19">
        <f t="shared" si="1"/>
        <v>1</v>
      </c>
      <c r="D16" s="19">
        <f t="shared" si="1"/>
        <v>1</v>
      </c>
      <c r="E16" s="19">
        <f t="shared" si="1"/>
        <v>15</v>
      </c>
      <c r="F16" s="19">
        <f t="shared" si="1"/>
        <v>45</v>
      </c>
    </row>
    <row r="17" spans="1:6" x14ac:dyDescent="0.15">
      <c r="A17" s="24" t="str">
        <f t="shared" si="0"/>
        <v>3_1-2</v>
      </c>
      <c r="B17" s="19">
        <f t="shared" si="1"/>
        <v>3</v>
      </c>
      <c r="C17" s="19">
        <f t="shared" si="1"/>
        <v>1</v>
      </c>
      <c r="D17" s="19">
        <f t="shared" si="1"/>
        <v>2</v>
      </c>
      <c r="E17" s="19">
        <f t="shared" si="1"/>
        <v>45</v>
      </c>
      <c r="F17" s="19">
        <f t="shared" si="1"/>
        <v>45</v>
      </c>
    </row>
    <row r="18" spans="1:6" x14ac:dyDescent="0.15">
      <c r="A18" s="24" t="str">
        <f t="shared" si="0"/>
        <v>3_1-3</v>
      </c>
      <c r="B18" s="19">
        <f t="shared" si="1"/>
        <v>3</v>
      </c>
      <c r="C18" s="19">
        <f t="shared" si="1"/>
        <v>1</v>
      </c>
      <c r="D18" s="19">
        <f t="shared" si="1"/>
        <v>3</v>
      </c>
      <c r="E18" s="19">
        <f t="shared" si="1"/>
        <v>45</v>
      </c>
      <c r="F18" s="19">
        <f t="shared" si="1"/>
        <v>45</v>
      </c>
    </row>
    <row r="19" spans="1:6" x14ac:dyDescent="0.15">
      <c r="A19" s="24" t="str">
        <f t="shared" si="0"/>
        <v>3_2-1</v>
      </c>
      <c r="B19" s="19">
        <f t="shared" ref="B19:F69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19" s="19">
        <f t="shared" si="2"/>
        <v>2</v>
      </c>
      <c r="D19" s="19">
        <f t="shared" si="2"/>
        <v>1</v>
      </c>
      <c r="E19" s="19">
        <f t="shared" si="2"/>
        <v>30</v>
      </c>
      <c r="F19" s="19">
        <f t="shared" si="2"/>
        <v>45</v>
      </c>
    </row>
    <row r="20" spans="1:6" x14ac:dyDescent="0.15">
      <c r="A20" s="24" t="str">
        <f t="shared" si="0"/>
        <v>3_2-2</v>
      </c>
      <c r="B20" s="19">
        <f t="shared" si="2"/>
        <v>3</v>
      </c>
      <c r="C20" s="19">
        <f t="shared" si="2"/>
        <v>2</v>
      </c>
      <c r="D20" s="19">
        <f t="shared" si="2"/>
        <v>2</v>
      </c>
      <c r="E20" s="19">
        <f t="shared" si="2"/>
        <v>45</v>
      </c>
      <c r="F20" s="19">
        <f t="shared" si="2"/>
        <v>45</v>
      </c>
    </row>
    <row r="21" spans="1:6" x14ac:dyDescent="0.15">
      <c r="A21" s="24" t="str">
        <f t="shared" si="0"/>
        <v>3_2-3</v>
      </c>
      <c r="B21" s="19">
        <f t="shared" si="2"/>
        <v>3</v>
      </c>
      <c r="C21" s="19">
        <f t="shared" si="2"/>
        <v>2</v>
      </c>
      <c r="D21" s="19">
        <f t="shared" si="2"/>
        <v>3</v>
      </c>
      <c r="E21" s="19">
        <f t="shared" si="2"/>
        <v>45</v>
      </c>
      <c r="F21" s="19">
        <f t="shared" si="2"/>
        <v>45</v>
      </c>
    </row>
    <row r="22" spans="1:6" x14ac:dyDescent="0.15">
      <c r="A22" s="24" t="str">
        <f t="shared" si="0"/>
        <v>3_2-4</v>
      </c>
      <c r="B22" s="19">
        <f t="shared" si="2"/>
        <v>3</v>
      </c>
      <c r="C22" s="19">
        <f t="shared" si="2"/>
        <v>2</v>
      </c>
      <c r="D22" s="19">
        <f t="shared" si="2"/>
        <v>4</v>
      </c>
      <c r="E22" s="19">
        <f t="shared" si="2"/>
        <v>60</v>
      </c>
      <c r="F22" s="19">
        <f t="shared" si="2"/>
        <v>60</v>
      </c>
    </row>
    <row r="23" spans="1:6" x14ac:dyDescent="0.15">
      <c r="A23" s="24" t="str">
        <f t="shared" si="0"/>
        <v>3_3-1</v>
      </c>
      <c r="B23" s="19">
        <f t="shared" si="2"/>
        <v>3</v>
      </c>
      <c r="C23" s="19">
        <f t="shared" si="2"/>
        <v>3</v>
      </c>
      <c r="D23" s="19">
        <f t="shared" si="2"/>
        <v>1</v>
      </c>
      <c r="E23" s="19">
        <f t="shared" si="2"/>
        <v>45</v>
      </c>
      <c r="F23" s="19">
        <f t="shared" si="2"/>
        <v>45</v>
      </c>
    </row>
    <row r="24" spans="1:6" x14ac:dyDescent="0.15">
      <c r="A24" s="24" t="str">
        <f t="shared" si="0"/>
        <v>3_3-2</v>
      </c>
      <c r="B24" s="19">
        <f t="shared" si="2"/>
        <v>3</v>
      </c>
      <c r="C24" s="19">
        <f t="shared" si="2"/>
        <v>3</v>
      </c>
      <c r="D24" s="19">
        <f t="shared" si="2"/>
        <v>2</v>
      </c>
      <c r="E24" s="19">
        <f t="shared" si="2"/>
        <v>45</v>
      </c>
      <c r="F24" s="19">
        <f t="shared" si="2"/>
        <v>45</v>
      </c>
    </row>
    <row r="25" spans="1:6" x14ac:dyDescent="0.15">
      <c r="A25" s="24" t="str">
        <f t="shared" si="0"/>
        <v>3_3-3</v>
      </c>
      <c r="B25" s="19">
        <f t="shared" si="2"/>
        <v>3</v>
      </c>
      <c r="C25" s="19">
        <f t="shared" si="2"/>
        <v>3</v>
      </c>
      <c r="D25" s="19">
        <f t="shared" si="2"/>
        <v>3</v>
      </c>
      <c r="E25" s="19">
        <f t="shared" si="2"/>
        <v>45</v>
      </c>
      <c r="F25" s="19">
        <f t="shared" si="2"/>
        <v>45</v>
      </c>
    </row>
    <row r="26" spans="1:6" x14ac:dyDescent="0.15">
      <c r="A26" s="24" t="str">
        <f t="shared" si="0"/>
        <v>3_3-4</v>
      </c>
      <c r="B26" s="19">
        <f t="shared" si="2"/>
        <v>3</v>
      </c>
      <c r="C26" s="19">
        <f t="shared" si="2"/>
        <v>3</v>
      </c>
      <c r="D26" s="19">
        <f t="shared" si="2"/>
        <v>4</v>
      </c>
      <c r="E26" s="19">
        <f t="shared" si="2"/>
        <v>60</v>
      </c>
      <c r="F26" s="19">
        <f t="shared" si="2"/>
        <v>60</v>
      </c>
    </row>
    <row r="27" spans="1:6" x14ac:dyDescent="0.15">
      <c r="A27" s="24" t="str">
        <f t="shared" si="0"/>
        <v>3_4-1</v>
      </c>
      <c r="B27" s="19">
        <f t="shared" si="2"/>
        <v>3</v>
      </c>
      <c r="C27" s="19">
        <f t="shared" si="2"/>
        <v>4</v>
      </c>
      <c r="D27" s="19">
        <f t="shared" si="2"/>
        <v>1</v>
      </c>
      <c r="E27" s="19">
        <f t="shared" si="2"/>
        <v>45</v>
      </c>
      <c r="F27" s="19">
        <f t="shared" si="2"/>
        <v>45</v>
      </c>
    </row>
    <row r="28" spans="1:6" x14ac:dyDescent="0.15">
      <c r="A28" s="24" t="str">
        <f t="shared" si="0"/>
        <v>3_4-2</v>
      </c>
      <c r="B28" s="19">
        <f t="shared" si="2"/>
        <v>3</v>
      </c>
      <c r="C28" s="19">
        <f t="shared" si="2"/>
        <v>4</v>
      </c>
      <c r="D28" s="19">
        <f t="shared" si="2"/>
        <v>2</v>
      </c>
      <c r="E28" s="19">
        <f t="shared" si="2"/>
        <v>45</v>
      </c>
      <c r="F28" s="19">
        <f t="shared" si="2"/>
        <v>45</v>
      </c>
    </row>
    <row r="29" spans="1:6" x14ac:dyDescent="0.15">
      <c r="A29" s="24" t="str">
        <f t="shared" si="0"/>
        <v>3_4-3</v>
      </c>
      <c r="B29" s="19">
        <f t="shared" si="2"/>
        <v>3</v>
      </c>
      <c r="C29" s="19">
        <f t="shared" si="2"/>
        <v>4</v>
      </c>
      <c r="D29" s="19">
        <f t="shared" si="2"/>
        <v>3</v>
      </c>
      <c r="E29" s="19">
        <f t="shared" si="2"/>
        <v>45</v>
      </c>
      <c r="F29" s="19">
        <f t="shared" si="2"/>
        <v>45</v>
      </c>
    </row>
    <row r="30" spans="1:6" x14ac:dyDescent="0.15">
      <c r="A30" s="24" t="str">
        <f t="shared" si="0"/>
        <v>3_4-4</v>
      </c>
      <c r="B30" s="19">
        <f t="shared" si="2"/>
        <v>3</v>
      </c>
      <c r="C30" s="19">
        <f t="shared" si="2"/>
        <v>4</v>
      </c>
      <c r="D30" s="19">
        <f t="shared" si="2"/>
        <v>4</v>
      </c>
      <c r="E30" s="19">
        <f t="shared" si="2"/>
        <v>45</v>
      </c>
      <c r="F30" s="19">
        <f t="shared" si="2"/>
        <v>45</v>
      </c>
    </row>
    <row r="31" spans="1:6" x14ac:dyDescent="0.15">
      <c r="A31" s="24" t="str">
        <f t="shared" si="0"/>
        <v>3_4-5</v>
      </c>
      <c r="B31" s="19">
        <f t="shared" si="2"/>
        <v>3</v>
      </c>
      <c r="C31" s="19">
        <f t="shared" si="2"/>
        <v>4</v>
      </c>
      <c r="D31" s="19">
        <f t="shared" si="2"/>
        <v>5</v>
      </c>
      <c r="E31" s="19">
        <f t="shared" si="2"/>
        <v>60</v>
      </c>
      <c r="F31" s="19">
        <f t="shared" si="2"/>
        <v>60</v>
      </c>
    </row>
    <row r="32" spans="1:6" x14ac:dyDescent="0.15">
      <c r="A32" s="24" t="str">
        <f t="shared" si="0"/>
        <v>4_1-1</v>
      </c>
      <c r="B32" s="19">
        <f t="shared" si="2"/>
        <v>4</v>
      </c>
      <c r="C32" s="19">
        <f t="shared" si="2"/>
        <v>1</v>
      </c>
      <c r="D32" s="19">
        <f t="shared" si="2"/>
        <v>1</v>
      </c>
      <c r="E32" s="19">
        <f t="shared" si="2"/>
        <v>30</v>
      </c>
      <c r="F32" s="19">
        <f t="shared" si="2"/>
        <v>45</v>
      </c>
    </row>
    <row r="33" spans="1:6" x14ac:dyDescent="0.15">
      <c r="A33" s="24" t="str">
        <f t="shared" si="0"/>
        <v>4_1-2</v>
      </c>
      <c r="B33" s="19">
        <f t="shared" si="2"/>
        <v>4</v>
      </c>
      <c r="C33" s="19">
        <f t="shared" si="2"/>
        <v>1</v>
      </c>
      <c r="D33" s="19">
        <f t="shared" si="2"/>
        <v>2</v>
      </c>
      <c r="E33" s="19">
        <f t="shared" si="2"/>
        <v>30</v>
      </c>
      <c r="F33" s="19">
        <f t="shared" si="2"/>
        <v>45</v>
      </c>
    </row>
    <row r="34" spans="1:6" x14ac:dyDescent="0.15">
      <c r="A34" s="24" t="str">
        <f t="shared" si="0"/>
        <v>4_1-3</v>
      </c>
      <c r="B34" s="19">
        <f t="shared" si="2"/>
        <v>4</v>
      </c>
      <c r="C34" s="19">
        <f t="shared" si="2"/>
        <v>1</v>
      </c>
      <c r="D34" s="19">
        <f t="shared" si="2"/>
        <v>3</v>
      </c>
      <c r="E34" s="19">
        <f t="shared" si="2"/>
        <v>60</v>
      </c>
      <c r="F34" s="19">
        <f t="shared" si="2"/>
        <v>60</v>
      </c>
    </row>
    <row r="35" spans="1:6" x14ac:dyDescent="0.15">
      <c r="A35" s="24" t="str">
        <f t="shared" si="0"/>
        <v>4_2-1</v>
      </c>
      <c r="B35" s="19">
        <f t="shared" si="2"/>
        <v>4</v>
      </c>
      <c r="C35" s="19">
        <f t="shared" si="2"/>
        <v>2</v>
      </c>
      <c r="D35" s="19">
        <f t="shared" si="2"/>
        <v>1</v>
      </c>
      <c r="E35" s="19">
        <f t="shared" si="2"/>
        <v>30</v>
      </c>
      <c r="F35" s="19">
        <f t="shared" si="2"/>
        <v>45</v>
      </c>
    </row>
    <row r="36" spans="1:6" x14ac:dyDescent="0.15">
      <c r="A36" s="24" t="str">
        <f t="shared" si="0"/>
        <v>4_2-2</v>
      </c>
      <c r="B36" s="19">
        <f t="shared" si="2"/>
        <v>4</v>
      </c>
      <c r="C36" s="19">
        <f t="shared" si="2"/>
        <v>2</v>
      </c>
      <c r="D36" s="19">
        <f t="shared" si="2"/>
        <v>2</v>
      </c>
      <c r="E36" s="19">
        <f t="shared" si="2"/>
        <v>30</v>
      </c>
      <c r="F36" s="19">
        <f t="shared" si="2"/>
        <v>45</v>
      </c>
    </row>
    <row r="37" spans="1:6" x14ac:dyDescent="0.15">
      <c r="A37" s="24" t="str">
        <f t="shared" si="0"/>
        <v>4_2-3</v>
      </c>
      <c r="B37" s="19">
        <f t="shared" si="2"/>
        <v>4</v>
      </c>
      <c r="C37" s="19">
        <f t="shared" si="2"/>
        <v>2</v>
      </c>
      <c r="D37" s="19">
        <f t="shared" si="2"/>
        <v>3</v>
      </c>
      <c r="E37" s="19">
        <f t="shared" si="2"/>
        <v>30</v>
      </c>
      <c r="F37" s="19">
        <f t="shared" si="2"/>
        <v>45</v>
      </c>
    </row>
    <row r="38" spans="1:6" x14ac:dyDescent="0.15">
      <c r="A38" s="24" t="str">
        <f t="shared" si="0"/>
        <v>4_2-4</v>
      </c>
      <c r="B38" s="19">
        <f t="shared" si="2"/>
        <v>4</v>
      </c>
      <c r="C38" s="19">
        <f t="shared" si="2"/>
        <v>2</v>
      </c>
      <c r="D38" s="19">
        <f t="shared" si="2"/>
        <v>4</v>
      </c>
      <c r="E38" s="19">
        <f t="shared" si="2"/>
        <v>60</v>
      </c>
      <c r="F38" s="19">
        <f t="shared" si="2"/>
        <v>60</v>
      </c>
    </row>
    <row r="39" spans="1:6" x14ac:dyDescent="0.15">
      <c r="A39" s="24" t="str">
        <f t="shared" si="0"/>
        <v>4_3-1</v>
      </c>
      <c r="B39" s="19">
        <f t="shared" si="2"/>
        <v>4</v>
      </c>
      <c r="C39" s="19">
        <f t="shared" si="2"/>
        <v>3</v>
      </c>
      <c r="D39" s="19">
        <f t="shared" si="2"/>
        <v>1</v>
      </c>
      <c r="E39" s="19">
        <f t="shared" si="2"/>
        <v>30</v>
      </c>
      <c r="F39" s="19">
        <f t="shared" si="2"/>
        <v>45</v>
      </c>
    </row>
    <row r="40" spans="1:6" x14ac:dyDescent="0.15">
      <c r="A40" s="24" t="str">
        <f t="shared" si="0"/>
        <v>4_3-2</v>
      </c>
      <c r="B40" s="19">
        <f t="shared" si="2"/>
        <v>4</v>
      </c>
      <c r="C40" s="19">
        <f t="shared" si="2"/>
        <v>3</v>
      </c>
      <c r="D40" s="19">
        <f t="shared" si="2"/>
        <v>2</v>
      </c>
      <c r="E40" s="19">
        <f t="shared" si="2"/>
        <v>45</v>
      </c>
      <c r="F40" s="19">
        <f t="shared" si="2"/>
        <v>45</v>
      </c>
    </row>
    <row r="41" spans="1:6" x14ac:dyDescent="0.15">
      <c r="A41" s="24" t="str">
        <f t="shared" si="0"/>
        <v>4_3-3</v>
      </c>
      <c r="B41" s="19">
        <f t="shared" si="2"/>
        <v>4</v>
      </c>
      <c r="C41" s="19">
        <f t="shared" si="2"/>
        <v>3</v>
      </c>
      <c r="D41" s="19">
        <f t="shared" si="2"/>
        <v>3</v>
      </c>
      <c r="E41" s="19">
        <f t="shared" si="2"/>
        <v>45</v>
      </c>
      <c r="F41" s="19">
        <f t="shared" si="2"/>
        <v>45</v>
      </c>
    </row>
    <row r="42" spans="1:6" x14ac:dyDescent="0.15">
      <c r="A42" s="24" t="str">
        <f t="shared" si="0"/>
        <v>4_3-4</v>
      </c>
      <c r="B42" s="19">
        <f t="shared" si="2"/>
        <v>4</v>
      </c>
      <c r="C42" s="19">
        <f t="shared" si="2"/>
        <v>3</v>
      </c>
      <c r="D42" s="19">
        <f t="shared" si="2"/>
        <v>4</v>
      </c>
      <c r="E42" s="19">
        <f t="shared" si="2"/>
        <v>60</v>
      </c>
      <c r="F42" s="19">
        <f t="shared" si="2"/>
        <v>60</v>
      </c>
    </row>
    <row r="43" spans="1:6" x14ac:dyDescent="0.15">
      <c r="A43" s="24" t="str">
        <f t="shared" si="0"/>
        <v>4_4-1</v>
      </c>
      <c r="B43" s="19">
        <f t="shared" si="2"/>
        <v>4</v>
      </c>
      <c r="C43" s="19">
        <f t="shared" si="2"/>
        <v>4</v>
      </c>
      <c r="D43" s="19">
        <f t="shared" si="2"/>
        <v>1</v>
      </c>
      <c r="E43" s="19">
        <f t="shared" si="2"/>
        <v>45</v>
      </c>
      <c r="F43" s="19">
        <f t="shared" si="2"/>
        <v>45</v>
      </c>
    </row>
    <row r="44" spans="1:6" x14ac:dyDescent="0.15">
      <c r="A44" s="24" t="str">
        <f t="shared" si="0"/>
        <v>4_4-2</v>
      </c>
      <c r="B44" s="19">
        <f t="shared" si="2"/>
        <v>4</v>
      </c>
      <c r="C44" s="19">
        <f t="shared" si="2"/>
        <v>4</v>
      </c>
      <c r="D44" s="19">
        <f t="shared" si="2"/>
        <v>2</v>
      </c>
      <c r="E44" s="19">
        <f t="shared" si="2"/>
        <v>45</v>
      </c>
      <c r="F44" s="19">
        <f t="shared" si="2"/>
        <v>45</v>
      </c>
    </row>
    <row r="45" spans="1:6" x14ac:dyDescent="0.15">
      <c r="A45" s="24" t="str">
        <f t="shared" si="0"/>
        <v>4_4-3</v>
      </c>
      <c r="B45" s="19">
        <f t="shared" si="2"/>
        <v>4</v>
      </c>
      <c r="C45" s="19">
        <f t="shared" si="2"/>
        <v>4</v>
      </c>
      <c r="D45" s="19">
        <f t="shared" si="2"/>
        <v>3</v>
      </c>
      <c r="E45" s="19">
        <f t="shared" si="2"/>
        <v>45</v>
      </c>
      <c r="F45" s="19">
        <f t="shared" si="2"/>
        <v>45</v>
      </c>
    </row>
    <row r="46" spans="1:6" x14ac:dyDescent="0.15">
      <c r="A46" s="24" t="str">
        <f t="shared" si="0"/>
        <v>4_4-4</v>
      </c>
      <c r="B46" s="19">
        <f t="shared" si="2"/>
        <v>4</v>
      </c>
      <c r="C46" s="19">
        <f t="shared" si="2"/>
        <v>4</v>
      </c>
      <c r="D46" s="19">
        <f t="shared" si="2"/>
        <v>4</v>
      </c>
      <c r="E46" s="19">
        <f t="shared" si="2"/>
        <v>45</v>
      </c>
      <c r="F46" s="19">
        <f t="shared" si="2"/>
        <v>45</v>
      </c>
    </row>
    <row r="47" spans="1:6" x14ac:dyDescent="0.15">
      <c r="A47" s="24" t="str">
        <f t="shared" si="0"/>
        <v>4_4-5</v>
      </c>
      <c r="B47" s="19">
        <f t="shared" si="2"/>
        <v>4</v>
      </c>
      <c r="C47" s="19">
        <f t="shared" si="2"/>
        <v>4</v>
      </c>
      <c r="D47" s="19">
        <f t="shared" si="2"/>
        <v>5</v>
      </c>
      <c r="E47" s="19">
        <f t="shared" si="2"/>
        <v>60</v>
      </c>
      <c r="F47" s="19">
        <f t="shared" si="2"/>
        <v>60</v>
      </c>
    </row>
    <row r="48" spans="1:6" x14ac:dyDescent="0.15">
      <c r="A48" s="24" t="str">
        <f t="shared" si="0"/>
        <v>5_1-1</v>
      </c>
      <c r="B48" s="19">
        <f t="shared" si="2"/>
        <v>5</v>
      </c>
      <c r="C48" s="19">
        <f t="shared" si="2"/>
        <v>1</v>
      </c>
      <c r="D48" s="19">
        <f t="shared" si="2"/>
        <v>1</v>
      </c>
      <c r="E48" s="19">
        <f t="shared" si="2"/>
        <v>15</v>
      </c>
      <c r="F48" s="19">
        <f t="shared" si="2"/>
        <v>45</v>
      </c>
    </row>
    <row r="49" spans="1:6" x14ac:dyDescent="0.15">
      <c r="A49" s="24" t="str">
        <f t="shared" si="0"/>
        <v>5_1-2</v>
      </c>
      <c r="B49" s="19">
        <f t="shared" si="2"/>
        <v>5</v>
      </c>
      <c r="C49" s="19">
        <f t="shared" si="2"/>
        <v>1</v>
      </c>
      <c r="D49" s="19">
        <f t="shared" si="2"/>
        <v>2</v>
      </c>
      <c r="E49" s="19">
        <f t="shared" si="2"/>
        <v>45</v>
      </c>
      <c r="F49" s="19">
        <f t="shared" si="2"/>
        <v>45</v>
      </c>
    </row>
    <row r="50" spans="1:6" x14ac:dyDescent="0.15">
      <c r="A50" s="24" t="str">
        <f t="shared" si="0"/>
        <v>5_1-3</v>
      </c>
      <c r="B50" s="19">
        <f t="shared" si="2"/>
        <v>5</v>
      </c>
      <c r="C50" s="19">
        <f t="shared" si="2"/>
        <v>1</v>
      </c>
      <c r="D50" s="19">
        <f t="shared" si="2"/>
        <v>3</v>
      </c>
      <c r="E50" s="19">
        <f t="shared" si="2"/>
        <v>45</v>
      </c>
      <c r="F50" s="19">
        <f t="shared" si="2"/>
        <v>45</v>
      </c>
    </row>
    <row r="51" spans="1:6" x14ac:dyDescent="0.15">
      <c r="A51" s="24" t="str">
        <f t="shared" si="0"/>
        <v>5_2-1</v>
      </c>
      <c r="B51" s="19">
        <f t="shared" si="2"/>
        <v>5</v>
      </c>
      <c r="C51" s="19">
        <f t="shared" si="2"/>
        <v>2</v>
      </c>
      <c r="D51" s="19">
        <f t="shared" si="2"/>
        <v>1</v>
      </c>
      <c r="E51" s="19">
        <f t="shared" si="2"/>
        <v>30</v>
      </c>
      <c r="F51" s="19">
        <f t="shared" si="2"/>
        <v>45</v>
      </c>
    </row>
    <row r="52" spans="1:6" x14ac:dyDescent="0.15">
      <c r="A52" s="24" t="str">
        <f t="shared" si="0"/>
        <v>5_2-2</v>
      </c>
      <c r="B52" s="19">
        <f t="shared" si="2"/>
        <v>5</v>
      </c>
      <c r="C52" s="19">
        <f t="shared" si="2"/>
        <v>2</v>
      </c>
      <c r="D52" s="19">
        <f t="shared" si="2"/>
        <v>2</v>
      </c>
      <c r="E52" s="19">
        <f t="shared" si="2"/>
        <v>45</v>
      </c>
      <c r="F52" s="19">
        <f t="shared" si="2"/>
        <v>45</v>
      </c>
    </row>
    <row r="53" spans="1:6" x14ac:dyDescent="0.15">
      <c r="A53" s="24" t="str">
        <f t="shared" si="0"/>
        <v>5_2-3</v>
      </c>
      <c r="B53" s="19">
        <f t="shared" si="2"/>
        <v>5</v>
      </c>
      <c r="C53" s="19">
        <f t="shared" si="2"/>
        <v>2</v>
      </c>
      <c r="D53" s="19">
        <f t="shared" si="2"/>
        <v>3</v>
      </c>
      <c r="E53" s="19">
        <f t="shared" si="2"/>
        <v>45</v>
      </c>
      <c r="F53" s="19">
        <f t="shared" si="2"/>
        <v>45</v>
      </c>
    </row>
    <row r="54" spans="1:6" x14ac:dyDescent="0.15">
      <c r="A54" s="24" t="str">
        <f t="shared" si="0"/>
        <v>5_2-4</v>
      </c>
      <c r="B54" s="19">
        <f t="shared" si="2"/>
        <v>5</v>
      </c>
      <c r="C54" s="19">
        <f t="shared" si="2"/>
        <v>2</v>
      </c>
      <c r="D54" s="19">
        <f t="shared" si="2"/>
        <v>4</v>
      </c>
      <c r="E54" s="19">
        <f t="shared" si="2"/>
        <v>45</v>
      </c>
      <c r="F54" s="19">
        <f t="shared" si="2"/>
        <v>45</v>
      </c>
    </row>
    <row r="55" spans="1:6" x14ac:dyDescent="0.15">
      <c r="A55" s="24" t="str">
        <f t="shared" si="0"/>
        <v>5_3-1</v>
      </c>
      <c r="B55" s="19">
        <f t="shared" si="2"/>
        <v>5</v>
      </c>
      <c r="C55" s="19">
        <f t="shared" si="2"/>
        <v>3</v>
      </c>
      <c r="D55" s="19">
        <f t="shared" si="2"/>
        <v>1</v>
      </c>
      <c r="E55" s="19">
        <f t="shared" si="2"/>
        <v>45</v>
      </c>
      <c r="F55" s="19">
        <f t="shared" si="2"/>
        <v>45</v>
      </c>
    </row>
    <row r="56" spans="1:6" x14ac:dyDescent="0.15">
      <c r="A56" s="24" t="str">
        <f t="shared" si="0"/>
        <v>5_3-2</v>
      </c>
      <c r="B56" s="19">
        <f t="shared" si="2"/>
        <v>5</v>
      </c>
      <c r="C56" s="19">
        <f t="shared" si="2"/>
        <v>3</v>
      </c>
      <c r="D56" s="19">
        <f t="shared" si="2"/>
        <v>2</v>
      </c>
      <c r="E56" s="19">
        <f t="shared" si="2"/>
        <v>45</v>
      </c>
      <c r="F56" s="19">
        <f t="shared" si="2"/>
        <v>45</v>
      </c>
    </row>
    <row r="57" spans="1:6" x14ac:dyDescent="0.15">
      <c r="A57" s="24" t="str">
        <f t="shared" si="0"/>
        <v>5_3-3</v>
      </c>
      <c r="B57" s="19">
        <f t="shared" si="2"/>
        <v>5</v>
      </c>
      <c r="C57" s="19">
        <f t="shared" si="2"/>
        <v>3</v>
      </c>
      <c r="D57" s="19">
        <f t="shared" si="2"/>
        <v>3</v>
      </c>
      <c r="E57" s="19">
        <f t="shared" si="2"/>
        <v>45</v>
      </c>
      <c r="F57" s="19">
        <f t="shared" si="2"/>
        <v>45</v>
      </c>
    </row>
    <row r="58" spans="1:6" x14ac:dyDescent="0.15">
      <c r="A58" s="24" t="str">
        <f t="shared" si="0"/>
        <v>5_3-4</v>
      </c>
      <c r="B58" s="19">
        <f t="shared" si="2"/>
        <v>5</v>
      </c>
      <c r="C58" s="19">
        <f t="shared" si="2"/>
        <v>3</v>
      </c>
      <c r="D58" s="19">
        <f t="shared" si="2"/>
        <v>4</v>
      </c>
      <c r="E58" s="19">
        <f t="shared" si="2"/>
        <v>60</v>
      </c>
      <c r="F58" s="19">
        <f t="shared" si="2"/>
        <v>60</v>
      </c>
    </row>
    <row r="59" spans="1:6" x14ac:dyDescent="0.15">
      <c r="A59" s="24" t="str">
        <f t="shared" si="0"/>
        <v>5_4-1</v>
      </c>
      <c r="B59" s="19">
        <f t="shared" si="2"/>
        <v>5</v>
      </c>
      <c r="C59" s="19">
        <f t="shared" si="2"/>
        <v>4</v>
      </c>
      <c r="D59" s="19">
        <f t="shared" si="2"/>
        <v>1</v>
      </c>
      <c r="E59" s="19">
        <f t="shared" si="2"/>
        <v>30</v>
      </c>
      <c r="F59" s="19">
        <f t="shared" si="2"/>
        <v>45</v>
      </c>
    </row>
    <row r="60" spans="1:6" x14ac:dyDescent="0.15">
      <c r="A60" s="24" t="str">
        <f t="shared" si="0"/>
        <v>5_4-2</v>
      </c>
      <c r="B60" s="19">
        <f t="shared" si="2"/>
        <v>5</v>
      </c>
      <c r="C60" s="19">
        <f t="shared" si="2"/>
        <v>4</v>
      </c>
      <c r="D60" s="19">
        <f t="shared" si="2"/>
        <v>2</v>
      </c>
      <c r="E60" s="19">
        <f t="shared" si="2"/>
        <v>45</v>
      </c>
      <c r="F60" s="19">
        <f t="shared" si="2"/>
        <v>45</v>
      </c>
    </row>
    <row r="61" spans="1:6" x14ac:dyDescent="0.15">
      <c r="A61" s="24" t="str">
        <f t="shared" si="0"/>
        <v>5_4-3</v>
      </c>
      <c r="B61" s="19">
        <f t="shared" si="2"/>
        <v>5</v>
      </c>
      <c r="C61" s="19">
        <f t="shared" si="2"/>
        <v>4</v>
      </c>
      <c r="D61" s="19">
        <f t="shared" si="2"/>
        <v>3</v>
      </c>
      <c r="E61" s="19">
        <f t="shared" si="2"/>
        <v>60</v>
      </c>
      <c r="F61" s="19">
        <f t="shared" si="2"/>
        <v>60</v>
      </c>
    </row>
    <row r="62" spans="1:6" x14ac:dyDescent="0.15">
      <c r="A62" s="24" t="str">
        <f t="shared" si="0"/>
        <v>5_4-4</v>
      </c>
      <c r="B62" s="19">
        <f t="shared" si="2"/>
        <v>5</v>
      </c>
      <c r="C62" s="19">
        <f t="shared" si="2"/>
        <v>4</v>
      </c>
      <c r="D62" s="19">
        <f t="shared" si="2"/>
        <v>4</v>
      </c>
      <c r="E62" s="19">
        <f t="shared" si="2"/>
        <v>45</v>
      </c>
      <c r="F62" s="19">
        <f t="shared" si="2"/>
        <v>45</v>
      </c>
    </row>
    <row r="63" spans="1:6" x14ac:dyDescent="0.15">
      <c r="A63" s="24" t="str">
        <f t="shared" si="0"/>
        <v>5_4-5</v>
      </c>
      <c r="B63" s="19">
        <f t="shared" si="2"/>
        <v>5</v>
      </c>
      <c r="C63" s="19">
        <f t="shared" si="2"/>
        <v>4</v>
      </c>
      <c r="D63" s="19">
        <f t="shared" si="2"/>
        <v>5</v>
      </c>
      <c r="E63" s="19">
        <f t="shared" si="2"/>
        <v>60</v>
      </c>
      <c r="F63" s="19">
        <f t="shared" si="2"/>
        <v>60</v>
      </c>
    </row>
    <row r="64" spans="1:6" x14ac:dyDescent="0.15">
      <c r="A64" s="24" t="str">
        <f t="shared" si="0"/>
        <v>6_1-1</v>
      </c>
      <c r="B64" s="19">
        <f t="shared" si="2"/>
        <v>6</v>
      </c>
      <c r="C64" s="19">
        <f t="shared" si="2"/>
        <v>1</v>
      </c>
      <c r="D64" s="19">
        <f t="shared" si="2"/>
        <v>1</v>
      </c>
      <c r="E64" s="19">
        <f t="shared" si="2"/>
        <v>30</v>
      </c>
      <c r="F64" s="19">
        <f t="shared" si="2"/>
        <v>45</v>
      </c>
    </row>
    <row r="65" spans="1:6" x14ac:dyDescent="0.15">
      <c r="A65" s="24" t="str">
        <f t="shared" si="0"/>
        <v>6_1-2</v>
      </c>
      <c r="B65" s="19">
        <f t="shared" si="2"/>
        <v>6</v>
      </c>
      <c r="C65" s="19">
        <f t="shared" si="2"/>
        <v>1</v>
      </c>
      <c r="D65" s="19">
        <f t="shared" si="2"/>
        <v>2</v>
      </c>
      <c r="E65" s="19">
        <f t="shared" si="2"/>
        <v>30</v>
      </c>
      <c r="F65" s="19">
        <f t="shared" si="2"/>
        <v>45</v>
      </c>
    </row>
    <row r="66" spans="1:6" x14ac:dyDescent="0.15">
      <c r="A66" s="24" t="str">
        <f t="shared" si="0"/>
        <v>6_1-3</v>
      </c>
      <c r="B66" s="19">
        <f t="shared" si="2"/>
        <v>6</v>
      </c>
      <c r="C66" s="19">
        <f t="shared" si="2"/>
        <v>1</v>
      </c>
      <c r="D66" s="19">
        <f t="shared" si="2"/>
        <v>3</v>
      </c>
      <c r="E66" s="19">
        <f t="shared" si="2"/>
        <v>60</v>
      </c>
      <c r="F66" s="19">
        <f t="shared" si="2"/>
        <v>60</v>
      </c>
    </row>
    <row r="67" spans="1:6" x14ac:dyDescent="0.15">
      <c r="A67" s="24" t="str">
        <f t="shared" ref="A67:A88" si="3">INDIRECT(ADDRESS(ROW()+$A$1,COLUMN(),1,TRUE,$C$1))</f>
        <v>6_2-1</v>
      </c>
      <c r="B67" s="19">
        <f t="shared" si="2"/>
        <v>6</v>
      </c>
      <c r="C67" s="19">
        <f t="shared" si="2"/>
        <v>2</v>
      </c>
      <c r="D67" s="19">
        <f t="shared" si="2"/>
        <v>1</v>
      </c>
      <c r="E67" s="19">
        <f t="shared" si="2"/>
        <v>30</v>
      </c>
      <c r="F67" s="19">
        <f t="shared" si="2"/>
        <v>45</v>
      </c>
    </row>
    <row r="68" spans="1:6" x14ac:dyDescent="0.15">
      <c r="A68" s="24" t="str">
        <f t="shared" si="3"/>
        <v>6_2-2</v>
      </c>
      <c r="B68" s="19">
        <f t="shared" si="2"/>
        <v>6</v>
      </c>
      <c r="C68" s="19">
        <f t="shared" si="2"/>
        <v>2</v>
      </c>
      <c r="D68" s="19">
        <f t="shared" si="2"/>
        <v>2</v>
      </c>
      <c r="E68" s="19">
        <f t="shared" si="2"/>
        <v>30</v>
      </c>
      <c r="F68" s="19">
        <f t="shared" si="2"/>
        <v>45</v>
      </c>
    </row>
    <row r="69" spans="1:6" x14ac:dyDescent="0.15">
      <c r="A69" s="24" t="str">
        <f t="shared" si="3"/>
        <v>6_2-3</v>
      </c>
      <c r="B69" s="19">
        <f t="shared" si="2"/>
        <v>6</v>
      </c>
      <c r="C69" s="19">
        <f t="shared" si="2"/>
        <v>2</v>
      </c>
      <c r="D69" s="19">
        <f t="shared" si="2"/>
        <v>3</v>
      </c>
      <c r="E69" s="19">
        <f t="shared" si="2"/>
        <v>45</v>
      </c>
      <c r="F69" s="19">
        <f t="shared" si="2"/>
        <v>45</v>
      </c>
    </row>
    <row r="70" spans="1:6" x14ac:dyDescent="0.15">
      <c r="A70" s="24" t="str">
        <f t="shared" si="3"/>
        <v>6_2-4</v>
      </c>
      <c r="B70" s="19">
        <f t="shared" ref="B70:F88" si="4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6</v>
      </c>
      <c r="C70" s="19">
        <f t="shared" si="4"/>
        <v>2</v>
      </c>
      <c r="D70" s="19">
        <f t="shared" si="4"/>
        <v>4</v>
      </c>
      <c r="E70" s="19">
        <f t="shared" si="4"/>
        <v>30</v>
      </c>
      <c r="F70" s="19">
        <f t="shared" si="4"/>
        <v>30</v>
      </c>
    </row>
    <row r="71" spans="1:6" x14ac:dyDescent="0.15">
      <c r="A71" s="24" t="str">
        <f t="shared" si="3"/>
        <v>6_3-1</v>
      </c>
      <c r="B71" s="19">
        <f t="shared" si="4"/>
        <v>6</v>
      </c>
      <c r="C71" s="19">
        <f t="shared" si="4"/>
        <v>3</v>
      </c>
      <c r="D71" s="19">
        <f t="shared" si="4"/>
        <v>1</v>
      </c>
      <c r="E71" s="19">
        <f t="shared" si="4"/>
        <v>45</v>
      </c>
      <c r="F71" s="19">
        <f t="shared" si="4"/>
        <v>45</v>
      </c>
    </row>
    <row r="72" spans="1:6" x14ac:dyDescent="0.15">
      <c r="A72" s="24" t="str">
        <f t="shared" si="3"/>
        <v>6_3-2</v>
      </c>
      <c r="B72" s="19">
        <f t="shared" si="4"/>
        <v>6</v>
      </c>
      <c r="C72" s="19">
        <f t="shared" si="4"/>
        <v>3</v>
      </c>
      <c r="D72" s="19">
        <f t="shared" si="4"/>
        <v>2</v>
      </c>
      <c r="E72" s="19">
        <f t="shared" si="4"/>
        <v>45</v>
      </c>
      <c r="F72" s="19">
        <f t="shared" si="4"/>
        <v>45</v>
      </c>
    </row>
    <row r="73" spans="1:6" x14ac:dyDescent="0.15">
      <c r="A73" s="24" t="str">
        <f t="shared" si="3"/>
        <v>6_3-3</v>
      </c>
      <c r="B73" s="19">
        <f t="shared" si="4"/>
        <v>6</v>
      </c>
      <c r="C73" s="19">
        <f t="shared" si="4"/>
        <v>3</v>
      </c>
      <c r="D73" s="19">
        <f t="shared" si="4"/>
        <v>3</v>
      </c>
      <c r="E73" s="19">
        <f t="shared" si="4"/>
        <v>45</v>
      </c>
      <c r="F73" s="19">
        <f t="shared" si="4"/>
        <v>60</v>
      </c>
    </row>
    <row r="74" spans="1:6" x14ac:dyDescent="0.15">
      <c r="A74" s="24" t="str">
        <f t="shared" si="3"/>
        <v>6_3-4</v>
      </c>
      <c r="B74" s="19">
        <f t="shared" si="4"/>
        <v>6</v>
      </c>
      <c r="C74" s="19">
        <f t="shared" si="4"/>
        <v>3</v>
      </c>
      <c r="D74" s="19">
        <f t="shared" si="4"/>
        <v>4</v>
      </c>
      <c r="E74" s="19">
        <f t="shared" si="4"/>
        <v>30</v>
      </c>
      <c r="F74" s="19">
        <f t="shared" si="4"/>
        <v>30</v>
      </c>
    </row>
    <row r="75" spans="1:6" x14ac:dyDescent="0.15">
      <c r="A75" s="24" t="str">
        <f t="shared" si="3"/>
        <v>6_4-1</v>
      </c>
      <c r="B75" s="19">
        <f t="shared" si="4"/>
        <v>6</v>
      </c>
      <c r="C75" s="19">
        <f t="shared" si="4"/>
        <v>4</v>
      </c>
      <c r="D75" s="19">
        <f t="shared" si="4"/>
        <v>1</v>
      </c>
      <c r="E75" s="19">
        <f t="shared" si="4"/>
        <v>45</v>
      </c>
      <c r="F75" s="19">
        <f t="shared" si="4"/>
        <v>45</v>
      </c>
    </row>
    <row r="76" spans="1:6" x14ac:dyDescent="0.15">
      <c r="A76" s="24" t="str">
        <f t="shared" si="3"/>
        <v>6_4-2</v>
      </c>
      <c r="B76" s="19">
        <f t="shared" si="4"/>
        <v>6</v>
      </c>
      <c r="C76" s="19">
        <f t="shared" si="4"/>
        <v>4</v>
      </c>
      <c r="D76" s="19">
        <f t="shared" si="4"/>
        <v>2</v>
      </c>
      <c r="E76" s="19">
        <f t="shared" si="4"/>
        <v>45</v>
      </c>
      <c r="F76" s="19">
        <f t="shared" si="4"/>
        <v>60</v>
      </c>
    </row>
    <row r="77" spans="1:6" x14ac:dyDescent="0.15">
      <c r="A77" s="24" t="str">
        <f t="shared" si="3"/>
        <v>6_4-3</v>
      </c>
      <c r="B77" s="19">
        <f t="shared" si="4"/>
        <v>6</v>
      </c>
      <c r="C77" s="19">
        <f t="shared" si="4"/>
        <v>4</v>
      </c>
      <c r="D77" s="19">
        <f t="shared" si="4"/>
        <v>3</v>
      </c>
      <c r="E77" s="19">
        <f t="shared" si="4"/>
        <v>45</v>
      </c>
      <c r="F77" s="19">
        <f t="shared" si="4"/>
        <v>60</v>
      </c>
    </row>
    <row r="78" spans="1:6" x14ac:dyDescent="0.15">
      <c r="A78" s="24" t="str">
        <f t="shared" si="3"/>
        <v>6_4-4</v>
      </c>
      <c r="B78" s="19">
        <f t="shared" si="4"/>
        <v>6</v>
      </c>
      <c r="C78" s="19">
        <f t="shared" si="4"/>
        <v>4</v>
      </c>
      <c r="D78" s="19">
        <f t="shared" si="4"/>
        <v>4</v>
      </c>
      <c r="E78" s="19">
        <f t="shared" si="4"/>
        <v>60</v>
      </c>
      <c r="F78" s="19">
        <f t="shared" si="4"/>
        <v>60</v>
      </c>
    </row>
    <row r="79" spans="1:6" x14ac:dyDescent="0.15">
      <c r="A79" s="24" t="str">
        <f t="shared" si="3"/>
        <v>6_5-1</v>
      </c>
      <c r="B79" s="19">
        <f t="shared" si="4"/>
        <v>6</v>
      </c>
      <c r="C79" s="19">
        <f t="shared" si="4"/>
        <v>5</v>
      </c>
      <c r="D79" s="19">
        <f t="shared" si="4"/>
        <v>1</v>
      </c>
      <c r="E79" s="19">
        <f t="shared" si="4"/>
        <v>45</v>
      </c>
      <c r="F79" s="19">
        <f t="shared" si="4"/>
        <v>45</v>
      </c>
    </row>
    <row r="80" spans="1:6" x14ac:dyDescent="0.15">
      <c r="A80" s="24" t="str">
        <f t="shared" si="3"/>
        <v>6_5-2</v>
      </c>
      <c r="B80" s="19">
        <f t="shared" si="4"/>
        <v>6</v>
      </c>
      <c r="C80" s="19">
        <f t="shared" si="4"/>
        <v>5</v>
      </c>
      <c r="D80" s="19">
        <f t="shared" si="4"/>
        <v>2</v>
      </c>
      <c r="E80" s="19">
        <f t="shared" si="4"/>
        <v>45</v>
      </c>
      <c r="F80" s="19">
        <f t="shared" si="4"/>
        <v>60</v>
      </c>
    </row>
    <row r="81" spans="1:6" x14ac:dyDescent="0.15">
      <c r="A81" s="24" t="str">
        <f t="shared" si="3"/>
        <v>6_5-3</v>
      </c>
      <c r="B81" s="19">
        <f t="shared" si="4"/>
        <v>6</v>
      </c>
      <c r="C81" s="19">
        <f t="shared" si="4"/>
        <v>5</v>
      </c>
      <c r="D81" s="19">
        <f t="shared" si="4"/>
        <v>3</v>
      </c>
      <c r="E81" s="19">
        <f t="shared" si="4"/>
        <v>45</v>
      </c>
      <c r="F81" s="19">
        <f t="shared" si="4"/>
        <v>60</v>
      </c>
    </row>
    <row r="82" spans="1:6" x14ac:dyDescent="0.15">
      <c r="A82" s="24" t="str">
        <f t="shared" si="3"/>
        <v>6_5-4</v>
      </c>
      <c r="B82" s="19">
        <f t="shared" si="4"/>
        <v>6</v>
      </c>
      <c r="C82" s="19">
        <f t="shared" si="4"/>
        <v>5</v>
      </c>
      <c r="D82" s="19">
        <f t="shared" si="4"/>
        <v>4</v>
      </c>
      <c r="E82" s="19">
        <f t="shared" si="4"/>
        <v>45</v>
      </c>
      <c r="F82" s="19">
        <f t="shared" si="4"/>
        <v>45</v>
      </c>
    </row>
    <row r="83" spans="1:6" x14ac:dyDescent="0.15">
      <c r="A83" s="24" t="str">
        <f t="shared" si="3"/>
        <v>6_5-5</v>
      </c>
      <c r="B83" s="19">
        <f t="shared" si="4"/>
        <v>6</v>
      </c>
      <c r="C83" s="19">
        <f t="shared" si="4"/>
        <v>5</v>
      </c>
      <c r="D83" s="19">
        <f t="shared" si="4"/>
        <v>5</v>
      </c>
      <c r="E83" s="19">
        <f t="shared" si="4"/>
        <v>25</v>
      </c>
      <c r="F83" s="19">
        <f t="shared" si="4"/>
        <v>25</v>
      </c>
    </row>
    <row r="84" spans="1:6" x14ac:dyDescent="0.15">
      <c r="A84" s="24" t="str">
        <f t="shared" si="3"/>
        <v>6_6-1</v>
      </c>
      <c r="B84" s="19">
        <f t="shared" si="4"/>
        <v>6</v>
      </c>
      <c r="C84" s="19">
        <f t="shared" si="4"/>
        <v>6</v>
      </c>
      <c r="D84" s="19">
        <f t="shared" si="4"/>
        <v>1</v>
      </c>
      <c r="E84" s="19">
        <f t="shared" si="4"/>
        <v>45</v>
      </c>
      <c r="F84" s="19">
        <f t="shared" si="4"/>
        <v>45</v>
      </c>
    </row>
    <row r="85" spans="1:6" x14ac:dyDescent="0.15">
      <c r="A85" s="24" t="str">
        <f t="shared" si="3"/>
        <v>6_6-2</v>
      </c>
      <c r="B85" s="19">
        <f t="shared" si="4"/>
        <v>6</v>
      </c>
      <c r="C85" s="19">
        <f t="shared" si="4"/>
        <v>6</v>
      </c>
      <c r="D85" s="19">
        <f t="shared" si="4"/>
        <v>2</v>
      </c>
      <c r="E85" s="19">
        <f t="shared" si="4"/>
        <v>45</v>
      </c>
      <c r="F85" s="19">
        <f t="shared" si="4"/>
        <v>45</v>
      </c>
    </row>
    <row r="86" spans="1:6" x14ac:dyDescent="0.15">
      <c r="A86" s="24" t="str">
        <f t="shared" si="3"/>
        <v>6_6-3</v>
      </c>
      <c r="B86" s="19">
        <f t="shared" si="4"/>
        <v>6</v>
      </c>
      <c r="C86" s="19">
        <f t="shared" si="4"/>
        <v>6</v>
      </c>
      <c r="D86" s="19">
        <f t="shared" si="4"/>
        <v>3</v>
      </c>
      <c r="E86" s="19">
        <f t="shared" si="4"/>
        <v>45</v>
      </c>
      <c r="F86" s="19">
        <f t="shared" si="4"/>
        <v>45</v>
      </c>
    </row>
    <row r="87" spans="1:6" x14ac:dyDescent="0.15">
      <c r="A87" s="24" t="str">
        <f t="shared" si="3"/>
        <v>6_6-4</v>
      </c>
      <c r="B87" s="19">
        <f t="shared" si="4"/>
        <v>6</v>
      </c>
      <c r="C87" s="19">
        <f t="shared" si="4"/>
        <v>6</v>
      </c>
      <c r="D87" s="19">
        <f t="shared" si="4"/>
        <v>4</v>
      </c>
      <c r="E87" s="19">
        <f t="shared" si="4"/>
        <v>60</v>
      </c>
      <c r="F87" s="19">
        <f t="shared" si="4"/>
        <v>60</v>
      </c>
    </row>
    <row r="88" spans="1:6" x14ac:dyDescent="0.15">
      <c r="A88" s="24" t="str">
        <f t="shared" si="3"/>
        <v>6_6-5</v>
      </c>
      <c r="B88" s="19">
        <f t="shared" si="4"/>
        <v>6</v>
      </c>
      <c r="C88" s="19">
        <f t="shared" si="4"/>
        <v>6</v>
      </c>
      <c r="D88" s="19">
        <f t="shared" si="4"/>
        <v>5</v>
      </c>
      <c r="E88" s="19">
        <f t="shared" si="4"/>
        <v>60</v>
      </c>
      <c r="F88" s="19">
        <f t="shared" si="4"/>
        <v>60</v>
      </c>
    </row>
    <row r="89" spans="1:6" x14ac:dyDescent="0.15">
      <c r="A89"/>
    </row>
    <row r="90" spans="1:6" x14ac:dyDescent="0.15">
      <c r="A90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276"/>
  <sheetViews>
    <sheetView zoomScale="75" zoomScaleNormal="75" zoomScalePageLayoutView="75" workbookViewId="0">
      <pane xSplit="1" ySplit="2" topLeftCell="B135" activePane="bottomRight" state="frozen"/>
      <selection pane="topRight" activeCell="B1" sqref="B1"/>
      <selection pane="bottomLeft" activeCell="A3" sqref="A3"/>
      <selection pane="bottomRight" activeCell="E104" sqref="E104"/>
    </sheetView>
  </sheetViews>
  <sheetFormatPr baseColWidth="12" defaultColWidth="13" defaultRowHeight="15" x14ac:dyDescent="0.15"/>
  <cols>
    <col min="1" max="1" width="14.1640625" style="23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enemy_habitats_DL1</v>
      </c>
      <c r="G1" s="44"/>
      <c r="H1" s="44"/>
      <c r="I1" s="44"/>
    </row>
    <row r="2" spans="1:23" s="18" customFormat="1" x14ac:dyDescent="0.15">
      <c r="A2" s="23" t="s">
        <v>30</v>
      </c>
      <c r="B2" s="18" t="s">
        <v>0</v>
      </c>
      <c r="C2" s="18" t="s">
        <v>1</v>
      </c>
      <c r="D2" s="18" t="s">
        <v>13</v>
      </c>
      <c r="E2" s="18" t="s">
        <v>2</v>
      </c>
      <c r="F2" s="18" t="s">
        <v>3</v>
      </c>
      <c r="G2" s="18" t="s">
        <v>52</v>
      </c>
      <c r="H2" s="18" t="s">
        <v>53</v>
      </c>
      <c r="I2" s="18" t="s">
        <v>54</v>
      </c>
      <c r="J2" s="18" t="s">
        <v>22</v>
      </c>
      <c r="K2" s="18" t="s">
        <v>5</v>
      </c>
      <c r="L2" s="18" t="s">
        <v>6</v>
      </c>
      <c r="M2" s="18" t="s">
        <v>7</v>
      </c>
      <c r="N2" s="18" t="s">
        <v>8</v>
      </c>
      <c r="O2" s="18" t="s">
        <v>9</v>
      </c>
      <c r="P2" s="18" t="s">
        <v>10</v>
      </c>
      <c r="Q2" s="18" t="s">
        <v>11</v>
      </c>
      <c r="R2" s="18" t="s">
        <v>12</v>
      </c>
      <c r="S2" s="18" t="s">
        <v>44</v>
      </c>
      <c r="T2" s="18" t="s">
        <v>45</v>
      </c>
      <c r="U2" s="18" t="s">
        <v>46</v>
      </c>
      <c r="V2" s="18" t="s">
        <v>47</v>
      </c>
      <c r="W2" s="18" t="s">
        <v>48</v>
      </c>
    </row>
    <row r="3" spans="1:23" x14ac:dyDescent="0.15">
      <c r="A3" s="24" t="str">
        <f>INDIRECT(ADDRESS(ROW()+$A$1,COLUMN(),1,TRUE,$C$1))</f>
        <v>2_1-1/1&lt;lv1&gt;s1</v>
      </c>
      <c r="B3" s="19">
        <f t="shared" ref="B3:T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</v>
      </c>
      <c r="C3" s="19">
        <f t="shared" si="0"/>
        <v>1</v>
      </c>
      <c r="D3" s="19">
        <f t="shared" si="0"/>
        <v>1</v>
      </c>
      <c r="E3" s="19">
        <f t="shared" si="0"/>
        <v>1</v>
      </c>
      <c r="F3" s="19">
        <f t="shared" si="0"/>
        <v>1</v>
      </c>
      <c r="G3" s="19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9">
        <f t="shared" si="1"/>
        <v>1</v>
      </c>
      <c r="I3" s="19">
        <f t="shared" si="1"/>
        <v>0</v>
      </c>
      <c r="J3" s="19">
        <v>560001</v>
      </c>
      <c r="K3" s="19">
        <v>1</v>
      </c>
      <c r="L3" s="19">
        <f t="shared" si="0"/>
        <v>100</v>
      </c>
      <c r="M3" s="19">
        <v>1</v>
      </c>
      <c r="N3" s="19">
        <f t="shared" si="0"/>
        <v>1</v>
      </c>
      <c r="O3" s="19">
        <f t="shared" si="0"/>
        <v>1</v>
      </c>
      <c r="P3" s="19">
        <f t="shared" si="0"/>
        <v>1</v>
      </c>
      <c r="Q3" s="19">
        <f t="shared" si="0"/>
        <v>1</v>
      </c>
      <c r="R3" s="19">
        <f t="shared" si="0"/>
        <v>40</v>
      </c>
      <c r="S3" s="19">
        <f t="shared" si="0"/>
        <v>0</v>
      </c>
      <c r="T3" s="19">
        <f t="shared" si="0"/>
        <v>0</v>
      </c>
      <c r="U3" s="19">
        <f t="shared" ref="U3:W45" si="2">VLOOKUP($A3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3" s="19">
        <f t="shared" si="2"/>
        <v>0</v>
      </c>
      <c r="W3" s="19">
        <f t="shared" si="2"/>
        <v>1</v>
      </c>
    </row>
    <row r="4" spans="1:23" x14ac:dyDescent="0.15">
      <c r="A4" s="24" t="str">
        <f t="shared" ref="A4:A67" si="3">INDIRECT(ADDRESS(ROW()+$A$1,COLUMN(),1,TRUE,$C$1))</f>
        <v>2_1-1/9&lt;lv1&gt;s2</v>
      </c>
      <c r="B4" s="19">
        <f t="shared" si="0"/>
        <v>2</v>
      </c>
      <c r="C4" s="19">
        <f t="shared" si="0"/>
        <v>1</v>
      </c>
      <c r="D4" s="19">
        <f t="shared" si="0"/>
        <v>1</v>
      </c>
      <c r="E4" s="19">
        <f t="shared" si="0"/>
        <v>9</v>
      </c>
      <c r="F4" s="19">
        <f t="shared" si="0"/>
        <v>1</v>
      </c>
      <c r="G4" s="19">
        <f t="shared" si="1"/>
        <v>1</v>
      </c>
      <c r="H4" s="19">
        <f t="shared" si="1"/>
        <v>1</v>
      </c>
      <c r="I4" s="19">
        <f t="shared" si="1"/>
        <v>0</v>
      </c>
      <c r="J4" s="19">
        <v>0</v>
      </c>
      <c r="K4" s="19">
        <f t="shared" si="0"/>
        <v>0</v>
      </c>
      <c r="L4" s="19">
        <f t="shared" si="0"/>
        <v>100</v>
      </c>
      <c r="M4" s="19">
        <f t="shared" si="0"/>
        <v>0</v>
      </c>
      <c r="N4" s="19">
        <f t="shared" si="0"/>
        <v>2</v>
      </c>
      <c r="O4" s="19">
        <f t="shared" si="0"/>
        <v>9</v>
      </c>
      <c r="P4" s="19">
        <f t="shared" si="0"/>
        <v>1</v>
      </c>
      <c r="Q4" s="19">
        <f t="shared" si="0"/>
        <v>1</v>
      </c>
      <c r="R4" s="19">
        <f t="shared" si="0"/>
        <v>40</v>
      </c>
      <c r="S4" s="19">
        <f t="shared" si="0"/>
        <v>0</v>
      </c>
      <c r="T4" s="19">
        <f t="shared" si="0"/>
        <v>0</v>
      </c>
      <c r="U4" s="19">
        <f t="shared" si="2"/>
        <v>0</v>
      </c>
      <c r="V4" s="19">
        <f t="shared" si="2"/>
        <v>0</v>
      </c>
      <c r="W4" s="19">
        <f t="shared" si="2"/>
        <v>1</v>
      </c>
    </row>
    <row r="5" spans="1:23" x14ac:dyDescent="0.15">
      <c r="A5" s="24" t="str">
        <f t="shared" si="3"/>
        <v>2_1-2/1&lt;lv1&gt;s1</v>
      </c>
      <c r="B5" s="19">
        <f t="shared" si="0"/>
        <v>2</v>
      </c>
      <c r="C5" s="19">
        <f t="shared" si="0"/>
        <v>1</v>
      </c>
      <c r="D5" s="19">
        <f t="shared" si="0"/>
        <v>2</v>
      </c>
      <c r="E5" s="19">
        <f t="shared" si="0"/>
        <v>1</v>
      </c>
      <c r="F5" s="19">
        <f t="shared" si="0"/>
        <v>1</v>
      </c>
      <c r="G5" s="19">
        <f t="shared" si="1"/>
        <v>1</v>
      </c>
      <c r="H5" s="19">
        <f t="shared" si="1"/>
        <v>1</v>
      </c>
      <c r="I5" s="19">
        <f t="shared" si="1"/>
        <v>0</v>
      </c>
      <c r="J5" s="19">
        <v>0</v>
      </c>
      <c r="K5" s="19">
        <f t="shared" si="0"/>
        <v>0</v>
      </c>
      <c r="L5" s="19">
        <f t="shared" si="0"/>
        <v>100</v>
      </c>
      <c r="M5" s="19">
        <f t="shared" si="0"/>
        <v>0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30</v>
      </c>
      <c r="S5" s="19">
        <f t="shared" si="0"/>
        <v>0</v>
      </c>
      <c r="T5" s="19">
        <f t="shared" si="0"/>
        <v>0</v>
      </c>
      <c r="U5" s="19">
        <f t="shared" si="2"/>
        <v>0</v>
      </c>
      <c r="V5" s="19">
        <f t="shared" si="2"/>
        <v>0</v>
      </c>
      <c r="W5" s="19">
        <f t="shared" si="2"/>
        <v>1</v>
      </c>
    </row>
    <row r="6" spans="1:23" x14ac:dyDescent="0.15">
      <c r="A6" s="24" t="str">
        <f t="shared" si="3"/>
        <v>2_1-2/9&lt;lv1&gt;s2</v>
      </c>
      <c r="B6" s="19">
        <f t="shared" si="0"/>
        <v>2</v>
      </c>
      <c r="C6" s="19">
        <f t="shared" si="0"/>
        <v>1</v>
      </c>
      <c r="D6" s="19">
        <f t="shared" si="0"/>
        <v>2</v>
      </c>
      <c r="E6" s="19">
        <f t="shared" si="0"/>
        <v>9</v>
      </c>
      <c r="F6" s="19">
        <f t="shared" si="0"/>
        <v>1</v>
      </c>
      <c r="G6" s="19">
        <f t="shared" si="1"/>
        <v>1</v>
      </c>
      <c r="H6" s="19">
        <f t="shared" si="1"/>
        <v>1</v>
      </c>
      <c r="I6" s="19">
        <f t="shared" si="1"/>
        <v>0</v>
      </c>
      <c r="J6" s="19">
        <v>0</v>
      </c>
      <c r="K6" s="19">
        <f t="shared" si="0"/>
        <v>0</v>
      </c>
      <c r="L6" s="19">
        <f t="shared" si="0"/>
        <v>100</v>
      </c>
      <c r="M6" s="19">
        <f t="shared" si="0"/>
        <v>0</v>
      </c>
      <c r="N6" s="19">
        <f t="shared" si="0"/>
        <v>2</v>
      </c>
      <c r="O6" s="19">
        <f t="shared" si="0"/>
        <v>9</v>
      </c>
      <c r="P6" s="19">
        <f t="shared" si="0"/>
        <v>1</v>
      </c>
      <c r="Q6" s="19">
        <f t="shared" si="0"/>
        <v>1</v>
      </c>
      <c r="R6" s="19">
        <f t="shared" si="0"/>
        <v>30</v>
      </c>
      <c r="S6" s="19">
        <f t="shared" si="0"/>
        <v>0</v>
      </c>
      <c r="T6" s="19">
        <f t="shared" si="0"/>
        <v>0</v>
      </c>
      <c r="U6" s="19">
        <f t="shared" si="2"/>
        <v>0</v>
      </c>
      <c r="V6" s="19">
        <f t="shared" si="2"/>
        <v>0</v>
      </c>
      <c r="W6" s="19">
        <f t="shared" si="2"/>
        <v>1</v>
      </c>
    </row>
    <row r="7" spans="1:23" x14ac:dyDescent="0.15">
      <c r="A7" s="24" t="str">
        <f t="shared" si="3"/>
        <v>2_1-3/10&lt;lv2&gt;s2</v>
      </c>
      <c r="B7" s="19">
        <f t="shared" si="0"/>
        <v>2</v>
      </c>
      <c r="C7" s="19">
        <f t="shared" si="0"/>
        <v>1</v>
      </c>
      <c r="D7" s="19">
        <f t="shared" si="0"/>
        <v>3</v>
      </c>
      <c r="E7" s="19">
        <f t="shared" si="0"/>
        <v>10</v>
      </c>
      <c r="F7" s="19">
        <f t="shared" si="0"/>
        <v>2</v>
      </c>
      <c r="G7" s="19">
        <f t="shared" si="1"/>
        <v>1</v>
      </c>
      <c r="H7" s="19">
        <f t="shared" si="1"/>
        <v>1</v>
      </c>
      <c r="I7" s="19">
        <f t="shared" si="1"/>
        <v>0</v>
      </c>
      <c r="J7" s="19">
        <v>0</v>
      </c>
      <c r="K7" s="19">
        <f t="shared" si="0"/>
        <v>2</v>
      </c>
      <c r="L7" s="19">
        <f t="shared" si="0"/>
        <v>100</v>
      </c>
      <c r="M7" s="19">
        <f t="shared" si="0"/>
        <v>1</v>
      </c>
      <c r="N7" s="19">
        <f t="shared" si="0"/>
        <v>2</v>
      </c>
      <c r="O7" s="19">
        <f t="shared" si="0"/>
        <v>9</v>
      </c>
      <c r="P7" s="19">
        <f t="shared" si="0"/>
        <v>1</v>
      </c>
      <c r="Q7" s="19">
        <f t="shared" si="0"/>
        <v>1</v>
      </c>
      <c r="R7" s="19">
        <f t="shared" si="0"/>
        <v>0</v>
      </c>
      <c r="S7" s="19">
        <f t="shared" si="0"/>
        <v>0</v>
      </c>
      <c r="T7" s="19">
        <f t="shared" si="0"/>
        <v>0</v>
      </c>
      <c r="U7" s="19">
        <f t="shared" si="2"/>
        <v>0</v>
      </c>
      <c r="V7" s="19">
        <f t="shared" si="2"/>
        <v>0</v>
      </c>
      <c r="W7" s="19">
        <f t="shared" si="2"/>
        <v>1</v>
      </c>
    </row>
    <row r="8" spans="1:23" x14ac:dyDescent="0.15">
      <c r="A8" s="24" t="str">
        <f t="shared" si="3"/>
        <v>2_2-1/1&lt;lv1&gt;s1</v>
      </c>
      <c r="B8" s="19">
        <f t="shared" si="0"/>
        <v>2</v>
      </c>
      <c r="C8" s="19">
        <f t="shared" si="0"/>
        <v>2</v>
      </c>
      <c r="D8" s="19">
        <f t="shared" si="0"/>
        <v>1</v>
      </c>
      <c r="E8" s="19">
        <f t="shared" si="0"/>
        <v>1</v>
      </c>
      <c r="F8" s="19">
        <f t="shared" si="0"/>
        <v>1</v>
      </c>
      <c r="G8" s="19">
        <f t="shared" si="1"/>
        <v>1</v>
      </c>
      <c r="H8" s="19">
        <f t="shared" si="1"/>
        <v>1</v>
      </c>
      <c r="I8" s="19">
        <f t="shared" si="1"/>
        <v>0</v>
      </c>
      <c r="J8" s="19">
        <v>560001</v>
      </c>
      <c r="K8" s="19">
        <v>1</v>
      </c>
      <c r="L8" s="19">
        <f t="shared" ca="1" si="0"/>
        <v>100</v>
      </c>
      <c r="M8" s="19">
        <v>1</v>
      </c>
      <c r="N8" s="19">
        <f t="shared" si="0"/>
        <v>1</v>
      </c>
      <c r="O8" s="19">
        <f t="shared" si="0"/>
        <v>1</v>
      </c>
      <c r="P8" s="19">
        <f t="shared" si="0"/>
        <v>2</v>
      </c>
      <c r="Q8" s="19">
        <f t="shared" si="0"/>
        <v>1</v>
      </c>
      <c r="R8" s="19">
        <f t="shared" si="0"/>
        <v>30</v>
      </c>
      <c r="S8" s="19">
        <f t="shared" si="0"/>
        <v>0</v>
      </c>
      <c r="T8" s="19">
        <f t="shared" si="0"/>
        <v>0</v>
      </c>
      <c r="U8" s="19">
        <f t="shared" si="2"/>
        <v>0</v>
      </c>
      <c r="V8" s="19">
        <f t="shared" si="2"/>
        <v>0</v>
      </c>
      <c r="W8" s="19">
        <f t="shared" si="2"/>
        <v>1</v>
      </c>
    </row>
    <row r="9" spans="1:23" x14ac:dyDescent="0.15">
      <c r="A9" s="24" t="str">
        <f t="shared" si="3"/>
        <v>2_2-1/9&lt;lv1&gt;s2</v>
      </c>
      <c r="B9" s="19">
        <f t="shared" si="0"/>
        <v>2</v>
      </c>
      <c r="C9" s="19">
        <f t="shared" si="0"/>
        <v>2</v>
      </c>
      <c r="D9" s="19">
        <f t="shared" si="0"/>
        <v>1</v>
      </c>
      <c r="E9" s="19">
        <f t="shared" si="0"/>
        <v>9</v>
      </c>
      <c r="F9" s="19">
        <f t="shared" si="0"/>
        <v>1</v>
      </c>
      <c r="G9" s="19">
        <f t="shared" si="1"/>
        <v>1</v>
      </c>
      <c r="H9" s="19">
        <f t="shared" si="1"/>
        <v>1</v>
      </c>
      <c r="I9" s="19">
        <f t="shared" si="1"/>
        <v>0</v>
      </c>
      <c r="J9" s="19">
        <v>0</v>
      </c>
      <c r="K9" s="19">
        <f t="shared" si="0"/>
        <v>0</v>
      </c>
      <c r="L9" s="19">
        <f t="shared" si="0"/>
        <v>100</v>
      </c>
      <c r="M9" s="19">
        <f t="shared" si="0"/>
        <v>0</v>
      </c>
      <c r="N9" s="19">
        <f t="shared" si="0"/>
        <v>2</v>
      </c>
      <c r="O9" s="19">
        <f t="shared" si="0"/>
        <v>9</v>
      </c>
      <c r="P9" s="19">
        <f t="shared" si="0"/>
        <v>1</v>
      </c>
      <c r="Q9" s="19">
        <f t="shared" si="0"/>
        <v>1</v>
      </c>
      <c r="R9" s="19">
        <f t="shared" si="0"/>
        <v>30</v>
      </c>
      <c r="S9" s="19">
        <f t="shared" si="0"/>
        <v>0</v>
      </c>
      <c r="T9" s="19">
        <f t="shared" si="0"/>
        <v>0</v>
      </c>
      <c r="U9" s="19">
        <f t="shared" si="2"/>
        <v>0</v>
      </c>
      <c r="V9" s="19">
        <f t="shared" si="2"/>
        <v>0</v>
      </c>
      <c r="W9" s="19">
        <f t="shared" si="2"/>
        <v>1</v>
      </c>
    </row>
    <row r="10" spans="1:23" x14ac:dyDescent="0.15">
      <c r="A10" s="24" t="str">
        <f t="shared" si="3"/>
        <v>2_2-1/15&lt;lv1&gt;s3</v>
      </c>
      <c r="B10" s="19">
        <f t="shared" si="0"/>
        <v>2</v>
      </c>
      <c r="C10" s="19">
        <f t="shared" si="0"/>
        <v>2</v>
      </c>
      <c r="D10" s="19">
        <f t="shared" si="0"/>
        <v>1</v>
      </c>
      <c r="E10" s="19">
        <f t="shared" si="0"/>
        <v>15</v>
      </c>
      <c r="F10" s="19">
        <f t="shared" si="0"/>
        <v>1</v>
      </c>
      <c r="G10" s="19">
        <f t="shared" si="1"/>
        <v>1</v>
      </c>
      <c r="H10" s="19">
        <f t="shared" si="1"/>
        <v>1</v>
      </c>
      <c r="I10" s="19">
        <f t="shared" si="1"/>
        <v>0</v>
      </c>
      <c r="J10" s="19">
        <v>0</v>
      </c>
      <c r="K10" s="19">
        <f t="shared" si="0"/>
        <v>0</v>
      </c>
      <c r="L10" s="19">
        <f t="shared" si="0"/>
        <v>100</v>
      </c>
      <c r="M10" s="19">
        <f t="shared" si="0"/>
        <v>0</v>
      </c>
      <c r="N10" s="19">
        <f t="shared" si="0"/>
        <v>3</v>
      </c>
      <c r="O10" s="19">
        <f t="shared" si="0"/>
        <v>15</v>
      </c>
      <c r="P10" s="19">
        <f t="shared" si="0"/>
        <v>1</v>
      </c>
      <c r="Q10" s="19">
        <f t="shared" si="0"/>
        <v>1</v>
      </c>
      <c r="R10" s="19">
        <f t="shared" si="0"/>
        <v>30</v>
      </c>
      <c r="S10" s="19">
        <f t="shared" si="0"/>
        <v>0</v>
      </c>
      <c r="T10" s="19">
        <f t="shared" si="0"/>
        <v>0</v>
      </c>
      <c r="U10" s="19">
        <f t="shared" si="2"/>
        <v>0</v>
      </c>
      <c r="V10" s="19">
        <f t="shared" si="2"/>
        <v>0</v>
      </c>
      <c r="W10" s="19">
        <f t="shared" si="2"/>
        <v>1</v>
      </c>
    </row>
    <row r="11" spans="1:23" x14ac:dyDescent="0.15">
      <c r="A11" s="24" t="str">
        <f t="shared" si="3"/>
        <v>2_2-2/1&lt;lv1&gt;s1</v>
      </c>
      <c r="B11" s="19">
        <f t="shared" si="0"/>
        <v>2</v>
      </c>
      <c r="C11" s="19">
        <f t="shared" si="0"/>
        <v>2</v>
      </c>
      <c r="D11" s="19">
        <f t="shared" si="0"/>
        <v>2</v>
      </c>
      <c r="E11" s="19">
        <f t="shared" si="0"/>
        <v>1</v>
      </c>
      <c r="F11" s="19">
        <f t="shared" si="0"/>
        <v>1</v>
      </c>
      <c r="G11" s="19">
        <f t="shared" si="1"/>
        <v>1</v>
      </c>
      <c r="H11" s="19">
        <f t="shared" si="1"/>
        <v>1</v>
      </c>
      <c r="I11" s="19">
        <f t="shared" si="1"/>
        <v>0</v>
      </c>
      <c r="J11" s="19">
        <v>0</v>
      </c>
      <c r="K11" s="19">
        <f t="shared" si="0"/>
        <v>0</v>
      </c>
      <c r="L11" s="19">
        <f t="shared" si="0"/>
        <v>100</v>
      </c>
      <c r="M11" s="19">
        <f t="shared" si="0"/>
        <v>0</v>
      </c>
      <c r="N11" s="19">
        <f t="shared" si="0"/>
        <v>1</v>
      </c>
      <c r="O11" s="19">
        <f t="shared" si="0"/>
        <v>1</v>
      </c>
      <c r="P11" s="19">
        <f t="shared" si="0"/>
        <v>2</v>
      </c>
      <c r="Q11" s="19">
        <f t="shared" si="0"/>
        <v>1</v>
      </c>
      <c r="R11" s="19">
        <f t="shared" si="0"/>
        <v>30</v>
      </c>
      <c r="S11" s="19">
        <f t="shared" si="0"/>
        <v>0</v>
      </c>
      <c r="T11" s="19">
        <f t="shared" si="0"/>
        <v>0</v>
      </c>
      <c r="U11" s="19">
        <f t="shared" si="2"/>
        <v>0</v>
      </c>
      <c r="V11" s="19">
        <f t="shared" si="2"/>
        <v>0</v>
      </c>
      <c r="W11" s="19">
        <f t="shared" si="2"/>
        <v>1</v>
      </c>
    </row>
    <row r="12" spans="1:23" x14ac:dyDescent="0.15">
      <c r="A12" s="24" t="str">
        <f t="shared" si="3"/>
        <v>2_2-2/9&lt;lv1&gt;s2</v>
      </c>
      <c r="B12" s="19">
        <f t="shared" si="0"/>
        <v>2</v>
      </c>
      <c r="C12" s="19">
        <f t="shared" si="0"/>
        <v>2</v>
      </c>
      <c r="D12" s="19">
        <f t="shared" si="0"/>
        <v>2</v>
      </c>
      <c r="E12" s="19">
        <f t="shared" si="0"/>
        <v>9</v>
      </c>
      <c r="F12" s="19">
        <f t="shared" si="0"/>
        <v>1</v>
      </c>
      <c r="G12" s="19">
        <f t="shared" si="1"/>
        <v>1</v>
      </c>
      <c r="H12" s="19">
        <f t="shared" si="1"/>
        <v>1</v>
      </c>
      <c r="I12" s="19">
        <f t="shared" si="1"/>
        <v>0</v>
      </c>
      <c r="J12" s="19">
        <v>0</v>
      </c>
      <c r="K12" s="19">
        <f t="shared" si="0"/>
        <v>0</v>
      </c>
      <c r="L12" s="19">
        <f t="shared" si="0"/>
        <v>100</v>
      </c>
      <c r="M12" s="19">
        <f t="shared" si="0"/>
        <v>0</v>
      </c>
      <c r="N12" s="19">
        <f t="shared" si="0"/>
        <v>2</v>
      </c>
      <c r="O12" s="19">
        <f t="shared" si="0"/>
        <v>9</v>
      </c>
      <c r="P12" s="19">
        <f t="shared" si="0"/>
        <v>1</v>
      </c>
      <c r="Q12" s="19">
        <f t="shared" si="0"/>
        <v>1</v>
      </c>
      <c r="R12" s="19">
        <f t="shared" si="0"/>
        <v>30</v>
      </c>
      <c r="S12" s="19">
        <f t="shared" si="0"/>
        <v>0</v>
      </c>
      <c r="T12" s="19">
        <f t="shared" si="0"/>
        <v>0</v>
      </c>
      <c r="U12" s="19">
        <f t="shared" si="2"/>
        <v>0</v>
      </c>
      <c r="V12" s="19">
        <f t="shared" si="2"/>
        <v>0</v>
      </c>
      <c r="W12" s="19">
        <f t="shared" si="2"/>
        <v>1</v>
      </c>
    </row>
    <row r="13" spans="1:23" x14ac:dyDescent="0.15">
      <c r="A13" s="24" t="str">
        <f t="shared" si="3"/>
        <v>2_2-2/15&lt;lv1&gt;s3</v>
      </c>
      <c r="B13" s="19">
        <f t="shared" si="0"/>
        <v>2</v>
      </c>
      <c r="C13" s="19">
        <f t="shared" si="0"/>
        <v>2</v>
      </c>
      <c r="D13" s="19">
        <f t="shared" si="0"/>
        <v>2</v>
      </c>
      <c r="E13" s="19">
        <f t="shared" si="0"/>
        <v>15</v>
      </c>
      <c r="F13" s="19">
        <f t="shared" si="0"/>
        <v>1</v>
      </c>
      <c r="G13" s="19">
        <f t="shared" si="1"/>
        <v>1</v>
      </c>
      <c r="H13" s="19">
        <f t="shared" si="1"/>
        <v>1</v>
      </c>
      <c r="I13" s="19">
        <f t="shared" si="1"/>
        <v>0</v>
      </c>
      <c r="J13" s="19">
        <v>0</v>
      </c>
      <c r="K13" s="19">
        <f t="shared" si="0"/>
        <v>0</v>
      </c>
      <c r="L13" s="19">
        <f t="shared" si="0"/>
        <v>100</v>
      </c>
      <c r="M13" s="19">
        <f t="shared" si="0"/>
        <v>0</v>
      </c>
      <c r="N13" s="19">
        <f t="shared" si="0"/>
        <v>3</v>
      </c>
      <c r="O13" s="19">
        <f t="shared" si="0"/>
        <v>15</v>
      </c>
      <c r="P13" s="19">
        <f t="shared" si="0"/>
        <v>1</v>
      </c>
      <c r="Q13" s="19">
        <f t="shared" si="0"/>
        <v>1</v>
      </c>
      <c r="R13" s="19">
        <f t="shared" si="0"/>
        <v>0</v>
      </c>
      <c r="S13" s="19">
        <f t="shared" si="0"/>
        <v>0</v>
      </c>
      <c r="T13" s="19">
        <f t="shared" si="0"/>
        <v>0</v>
      </c>
      <c r="U13" s="19">
        <f t="shared" si="2"/>
        <v>0</v>
      </c>
      <c r="V13" s="19">
        <f t="shared" si="2"/>
        <v>0</v>
      </c>
      <c r="W13" s="19">
        <f t="shared" si="2"/>
        <v>1</v>
      </c>
    </row>
    <row r="14" spans="1:23" x14ac:dyDescent="0.15">
      <c r="A14" s="24" t="str">
        <f t="shared" si="3"/>
        <v>2_2-3/49&lt;lv3&gt;s2</v>
      </c>
      <c r="B14" s="19">
        <f t="shared" si="0"/>
        <v>2</v>
      </c>
      <c r="C14" s="19">
        <f t="shared" si="0"/>
        <v>2</v>
      </c>
      <c r="D14" s="19">
        <f t="shared" si="0"/>
        <v>3</v>
      </c>
      <c r="E14" s="19">
        <f t="shared" si="0"/>
        <v>49</v>
      </c>
      <c r="F14" s="19">
        <f t="shared" si="0"/>
        <v>3</v>
      </c>
      <c r="G14" s="19">
        <f t="shared" si="1"/>
        <v>1</v>
      </c>
      <c r="H14" s="19">
        <f t="shared" si="1"/>
        <v>1</v>
      </c>
      <c r="I14" s="19">
        <f t="shared" si="1"/>
        <v>0</v>
      </c>
      <c r="J14" s="19">
        <v>49</v>
      </c>
      <c r="K14" s="19">
        <f t="shared" si="0"/>
        <v>1</v>
      </c>
      <c r="L14" s="19">
        <f t="shared" si="0"/>
        <v>100</v>
      </c>
      <c r="M14" s="19">
        <f t="shared" si="0"/>
        <v>1</v>
      </c>
      <c r="N14" s="19">
        <f t="shared" si="0"/>
        <v>2</v>
      </c>
      <c r="O14" s="19">
        <f t="shared" si="0"/>
        <v>49</v>
      </c>
      <c r="P14" s="19">
        <f t="shared" si="0"/>
        <v>1</v>
      </c>
      <c r="Q14" s="19">
        <f t="shared" si="0"/>
        <v>2</v>
      </c>
      <c r="R14" s="19">
        <f t="shared" si="0"/>
        <v>100</v>
      </c>
      <c r="S14" s="19">
        <f t="shared" si="0"/>
        <v>0</v>
      </c>
      <c r="T14" s="19">
        <f t="shared" si="0"/>
        <v>0</v>
      </c>
      <c r="U14" s="19">
        <f t="shared" si="2"/>
        <v>0</v>
      </c>
      <c r="V14" s="19">
        <f t="shared" si="2"/>
        <v>0</v>
      </c>
      <c r="W14" s="19">
        <f t="shared" si="2"/>
        <v>1</v>
      </c>
    </row>
    <row r="15" spans="1:23" x14ac:dyDescent="0.15">
      <c r="A15" s="24" t="str">
        <f t="shared" si="3"/>
        <v>2_3-1/1&lt;lv2&gt;s1</v>
      </c>
      <c r="B15" s="19">
        <f t="shared" si="0"/>
        <v>2</v>
      </c>
      <c r="C15" s="19">
        <f t="shared" si="0"/>
        <v>3</v>
      </c>
      <c r="D15" s="19">
        <f t="shared" si="0"/>
        <v>1</v>
      </c>
      <c r="E15" s="19">
        <f t="shared" si="0"/>
        <v>1</v>
      </c>
      <c r="F15" s="19">
        <f t="shared" si="0"/>
        <v>2</v>
      </c>
      <c r="G15" s="19">
        <f t="shared" si="1"/>
        <v>1</v>
      </c>
      <c r="H15" s="19">
        <f t="shared" si="1"/>
        <v>1</v>
      </c>
      <c r="I15" s="19">
        <f t="shared" si="1"/>
        <v>0</v>
      </c>
      <c r="J15" s="19">
        <v>560001</v>
      </c>
      <c r="K15" s="19">
        <v>1</v>
      </c>
      <c r="L15" s="19">
        <v>100</v>
      </c>
      <c r="M15" s="19">
        <v>1</v>
      </c>
      <c r="N15" s="19">
        <f t="shared" si="0"/>
        <v>1</v>
      </c>
      <c r="O15" s="19">
        <f t="shared" si="0"/>
        <v>1</v>
      </c>
      <c r="P15" s="19">
        <f t="shared" si="0"/>
        <v>3</v>
      </c>
      <c r="Q15" s="19">
        <f t="shared" si="0"/>
        <v>1</v>
      </c>
      <c r="R15" s="19">
        <f t="shared" si="0"/>
        <v>0</v>
      </c>
      <c r="S15" s="19">
        <f t="shared" si="0"/>
        <v>0</v>
      </c>
      <c r="T15" s="19">
        <f t="shared" si="0"/>
        <v>0</v>
      </c>
      <c r="U15" s="19">
        <f t="shared" si="2"/>
        <v>0</v>
      </c>
      <c r="V15" s="19">
        <f t="shared" si="2"/>
        <v>0</v>
      </c>
      <c r="W15" s="19">
        <f t="shared" si="2"/>
        <v>1</v>
      </c>
    </row>
    <row r="16" spans="1:23" x14ac:dyDescent="0.15">
      <c r="A16" s="24" t="str">
        <f t="shared" si="3"/>
        <v>2_3-1/9&lt;lv2&gt;s2</v>
      </c>
      <c r="B16" s="19">
        <f t="shared" si="0"/>
        <v>2</v>
      </c>
      <c r="C16" s="19">
        <f t="shared" si="0"/>
        <v>3</v>
      </c>
      <c r="D16" s="19">
        <f t="shared" si="0"/>
        <v>1</v>
      </c>
      <c r="E16" s="19">
        <f t="shared" si="0"/>
        <v>9</v>
      </c>
      <c r="F16" s="19">
        <f t="shared" si="0"/>
        <v>2</v>
      </c>
      <c r="G16" s="19">
        <f t="shared" si="1"/>
        <v>1</v>
      </c>
      <c r="H16" s="19">
        <f t="shared" si="1"/>
        <v>1</v>
      </c>
      <c r="I16" s="19">
        <f t="shared" si="1"/>
        <v>0</v>
      </c>
      <c r="J16" s="19">
        <v>0</v>
      </c>
      <c r="K16" s="19">
        <f t="shared" si="0"/>
        <v>0</v>
      </c>
      <c r="L16" s="19">
        <f t="shared" si="0"/>
        <v>100</v>
      </c>
      <c r="M16" s="19">
        <f t="shared" si="0"/>
        <v>0</v>
      </c>
      <c r="N16" s="19">
        <f t="shared" si="0"/>
        <v>2</v>
      </c>
      <c r="O16" s="19">
        <f t="shared" si="0"/>
        <v>9</v>
      </c>
      <c r="P16" s="19">
        <f t="shared" si="0"/>
        <v>1</v>
      </c>
      <c r="Q16" s="19">
        <f t="shared" si="0"/>
        <v>1</v>
      </c>
      <c r="R16" s="19">
        <f t="shared" si="0"/>
        <v>40</v>
      </c>
      <c r="S16" s="19">
        <f t="shared" si="0"/>
        <v>0</v>
      </c>
      <c r="T16" s="19">
        <f t="shared" si="0"/>
        <v>0</v>
      </c>
      <c r="U16" s="19">
        <f t="shared" si="2"/>
        <v>0</v>
      </c>
      <c r="V16" s="19">
        <f t="shared" si="2"/>
        <v>0</v>
      </c>
      <c r="W16" s="19">
        <f t="shared" si="2"/>
        <v>1</v>
      </c>
    </row>
    <row r="17" spans="1:23" x14ac:dyDescent="0.15">
      <c r="A17" s="24" t="str">
        <f t="shared" si="3"/>
        <v>2_3-1/15&lt;lv2&gt;s3</v>
      </c>
      <c r="B17" s="19">
        <f t="shared" si="0"/>
        <v>2</v>
      </c>
      <c r="C17" s="19">
        <f t="shared" si="0"/>
        <v>3</v>
      </c>
      <c r="D17" s="19">
        <f t="shared" si="0"/>
        <v>1</v>
      </c>
      <c r="E17" s="19">
        <f t="shared" si="0"/>
        <v>15</v>
      </c>
      <c r="F17" s="19">
        <f t="shared" si="0"/>
        <v>2</v>
      </c>
      <c r="G17" s="19">
        <f t="shared" si="1"/>
        <v>1</v>
      </c>
      <c r="H17" s="19">
        <f t="shared" si="1"/>
        <v>1</v>
      </c>
      <c r="I17" s="19">
        <f t="shared" si="1"/>
        <v>0</v>
      </c>
      <c r="J17" s="19">
        <v>0</v>
      </c>
      <c r="K17" s="19">
        <f t="shared" si="0"/>
        <v>0</v>
      </c>
      <c r="L17" s="19">
        <f t="shared" si="0"/>
        <v>100</v>
      </c>
      <c r="M17" s="19">
        <f t="shared" si="0"/>
        <v>0</v>
      </c>
      <c r="N17" s="19">
        <f t="shared" si="0"/>
        <v>3</v>
      </c>
      <c r="O17" s="19">
        <f t="shared" si="0"/>
        <v>15</v>
      </c>
      <c r="P17" s="19">
        <f t="shared" si="0"/>
        <v>1</v>
      </c>
      <c r="Q17" s="19">
        <f t="shared" si="0"/>
        <v>1</v>
      </c>
      <c r="R17" s="19">
        <f t="shared" si="0"/>
        <v>40</v>
      </c>
      <c r="S17" s="19">
        <f t="shared" si="0"/>
        <v>0</v>
      </c>
      <c r="T17" s="19">
        <f t="shared" si="0"/>
        <v>0</v>
      </c>
      <c r="U17" s="19">
        <f t="shared" si="2"/>
        <v>0</v>
      </c>
      <c r="V17" s="19">
        <f t="shared" si="2"/>
        <v>0</v>
      </c>
      <c r="W17" s="19">
        <f t="shared" si="2"/>
        <v>1</v>
      </c>
    </row>
    <row r="18" spans="1:23" x14ac:dyDescent="0.15">
      <c r="A18" s="24" t="str">
        <f t="shared" si="3"/>
        <v>2_3-2/1&lt;lv2&gt;s1</v>
      </c>
      <c r="B18" s="19">
        <f t="shared" si="0"/>
        <v>2</v>
      </c>
      <c r="C18" s="19">
        <f t="shared" si="0"/>
        <v>3</v>
      </c>
      <c r="D18" s="19">
        <f t="shared" si="0"/>
        <v>2</v>
      </c>
      <c r="E18" s="19">
        <f t="shared" si="0"/>
        <v>1</v>
      </c>
      <c r="F18" s="19">
        <f t="shared" si="0"/>
        <v>2</v>
      </c>
      <c r="G18" s="19">
        <f t="shared" si="1"/>
        <v>1</v>
      </c>
      <c r="H18" s="19">
        <f t="shared" si="1"/>
        <v>1</v>
      </c>
      <c r="I18" s="19">
        <f t="shared" si="1"/>
        <v>0</v>
      </c>
      <c r="J18" s="19">
        <v>0</v>
      </c>
      <c r="K18" s="19">
        <f t="shared" si="0"/>
        <v>0</v>
      </c>
      <c r="L18" s="19">
        <f t="shared" si="0"/>
        <v>100</v>
      </c>
      <c r="M18" s="19">
        <f t="shared" si="0"/>
        <v>0</v>
      </c>
      <c r="N18" s="19">
        <f t="shared" si="0"/>
        <v>1</v>
      </c>
      <c r="O18" s="19">
        <f t="shared" si="0"/>
        <v>1</v>
      </c>
      <c r="P18" s="19">
        <f t="shared" si="0"/>
        <v>3</v>
      </c>
      <c r="Q18" s="19">
        <f t="shared" si="0"/>
        <v>1</v>
      </c>
      <c r="R18" s="19">
        <f t="shared" si="0"/>
        <v>40</v>
      </c>
      <c r="S18" s="19">
        <f t="shared" si="0"/>
        <v>0</v>
      </c>
      <c r="T18" s="19">
        <f t="shared" ref="B18:T34" si="4">VLOOKUP($A18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18" s="19">
        <f t="shared" si="2"/>
        <v>0</v>
      </c>
      <c r="V18" s="19">
        <f t="shared" si="2"/>
        <v>0</v>
      </c>
      <c r="W18" s="19">
        <f t="shared" si="2"/>
        <v>1</v>
      </c>
    </row>
    <row r="19" spans="1:23" x14ac:dyDescent="0.15">
      <c r="A19" s="24" t="str">
        <f t="shared" si="3"/>
        <v>2_3-2/9&lt;lv2&gt;s2</v>
      </c>
      <c r="B19" s="19">
        <f t="shared" si="4"/>
        <v>2</v>
      </c>
      <c r="C19" s="19">
        <f t="shared" si="4"/>
        <v>3</v>
      </c>
      <c r="D19" s="19">
        <f t="shared" si="4"/>
        <v>2</v>
      </c>
      <c r="E19" s="19">
        <f t="shared" si="4"/>
        <v>9</v>
      </c>
      <c r="F19" s="19">
        <f t="shared" si="4"/>
        <v>2</v>
      </c>
      <c r="G19" s="19">
        <f t="shared" ref="G19:I82" si="5">VLOOKUP($A19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19" s="19">
        <f t="shared" si="5"/>
        <v>1</v>
      </c>
      <c r="I19" s="19">
        <f t="shared" si="5"/>
        <v>0</v>
      </c>
      <c r="J19" s="19">
        <v>0</v>
      </c>
      <c r="K19" s="19">
        <f t="shared" si="4"/>
        <v>0</v>
      </c>
      <c r="L19" s="19">
        <f t="shared" si="4"/>
        <v>100</v>
      </c>
      <c r="M19" s="19">
        <f t="shared" si="4"/>
        <v>0</v>
      </c>
      <c r="N19" s="19">
        <f t="shared" si="4"/>
        <v>2</v>
      </c>
      <c r="O19" s="19">
        <f t="shared" si="4"/>
        <v>9</v>
      </c>
      <c r="P19" s="19">
        <f t="shared" si="4"/>
        <v>1</v>
      </c>
      <c r="Q19" s="19">
        <f t="shared" si="4"/>
        <v>1</v>
      </c>
      <c r="R19" s="19">
        <f t="shared" si="4"/>
        <v>40</v>
      </c>
      <c r="S19" s="19">
        <f t="shared" si="4"/>
        <v>0</v>
      </c>
      <c r="T19" s="19">
        <f t="shared" si="4"/>
        <v>0</v>
      </c>
      <c r="U19" s="19">
        <f t="shared" si="2"/>
        <v>0</v>
      </c>
      <c r="V19" s="19">
        <f t="shared" si="2"/>
        <v>0</v>
      </c>
      <c r="W19" s="19">
        <f t="shared" si="2"/>
        <v>1</v>
      </c>
    </row>
    <row r="20" spans="1:23" x14ac:dyDescent="0.15">
      <c r="A20" s="24" t="str">
        <f t="shared" si="3"/>
        <v>2_3-2/15&lt;lv2&gt;s3</v>
      </c>
      <c r="B20" s="19">
        <f t="shared" si="4"/>
        <v>2</v>
      </c>
      <c r="C20" s="19">
        <f t="shared" si="4"/>
        <v>3</v>
      </c>
      <c r="D20" s="19">
        <f t="shared" si="4"/>
        <v>2</v>
      </c>
      <c r="E20" s="19">
        <f t="shared" si="4"/>
        <v>15</v>
      </c>
      <c r="F20" s="19">
        <f t="shared" si="4"/>
        <v>2</v>
      </c>
      <c r="G20" s="19">
        <f t="shared" si="5"/>
        <v>1</v>
      </c>
      <c r="H20" s="19">
        <f t="shared" si="5"/>
        <v>1</v>
      </c>
      <c r="I20" s="19">
        <f t="shared" si="5"/>
        <v>0</v>
      </c>
      <c r="J20" s="19">
        <v>0</v>
      </c>
      <c r="K20" s="19">
        <f t="shared" si="4"/>
        <v>0</v>
      </c>
      <c r="L20" s="19">
        <f t="shared" si="4"/>
        <v>100</v>
      </c>
      <c r="M20" s="19">
        <f t="shared" si="4"/>
        <v>0</v>
      </c>
      <c r="N20" s="19">
        <f t="shared" si="4"/>
        <v>3</v>
      </c>
      <c r="O20" s="19">
        <f t="shared" si="4"/>
        <v>15</v>
      </c>
      <c r="P20" s="19">
        <f t="shared" si="4"/>
        <v>1</v>
      </c>
      <c r="Q20" s="19">
        <f t="shared" si="4"/>
        <v>1</v>
      </c>
      <c r="R20" s="19">
        <f t="shared" si="4"/>
        <v>40</v>
      </c>
      <c r="S20" s="19">
        <f t="shared" si="4"/>
        <v>0</v>
      </c>
      <c r="T20" s="19">
        <f t="shared" si="4"/>
        <v>0</v>
      </c>
      <c r="U20" s="19">
        <f t="shared" si="2"/>
        <v>0</v>
      </c>
      <c r="V20" s="19">
        <f t="shared" si="2"/>
        <v>0</v>
      </c>
      <c r="W20" s="19">
        <f t="shared" si="2"/>
        <v>1</v>
      </c>
    </row>
    <row r="21" spans="1:23" x14ac:dyDescent="0.15">
      <c r="A21" s="24" t="str">
        <f t="shared" si="3"/>
        <v>2_3-3/1&lt;lv2&gt;s1</v>
      </c>
      <c r="B21" s="19">
        <f t="shared" si="4"/>
        <v>2</v>
      </c>
      <c r="C21" s="19">
        <f t="shared" si="4"/>
        <v>3</v>
      </c>
      <c r="D21" s="19">
        <f t="shared" si="4"/>
        <v>3</v>
      </c>
      <c r="E21" s="19">
        <f t="shared" si="4"/>
        <v>1</v>
      </c>
      <c r="F21" s="19">
        <f t="shared" si="4"/>
        <v>2</v>
      </c>
      <c r="G21" s="19">
        <f t="shared" si="5"/>
        <v>1</v>
      </c>
      <c r="H21" s="19">
        <f t="shared" si="5"/>
        <v>1</v>
      </c>
      <c r="I21" s="19">
        <f t="shared" si="5"/>
        <v>0</v>
      </c>
      <c r="J21" s="19">
        <v>0</v>
      </c>
      <c r="K21" s="19">
        <f t="shared" si="4"/>
        <v>0</v>
      </c>
      <c r="L21" s="19">
        <f t="shared" si="4"/>
        <v>100</v>
      </c>
      <c r="M21" s="19">
        <f t="shared" si="4"/>
        <v>0</v>
      </c>
      <c r="N21" s="19">
        <f t="shared" si="4"/>
        <v>1</v>
      </c>
      <c r="O21" s="19">
        <f t="shared" si="4"/>
        <v>1</v>
      </c>
      <c r="P21" s="19">
        <f t="shared" si="4"/>
        <v>3</v>
      </c>
      <c r="Q21" s="19">
        <f t="shared" si="4"/>
        <v>1</v>
      </c>
      <c r="R21" s="19">
        <f t="shared" si="4"/>
        <v>40</v>
      </c>
      <c r="S21" s="19">
        <f t="shared" si="4"/>
        <v>0</v>
      </c>
      <c r="T21" s="19">
        <f t="shared" si="4"/>
        <v>0</v>
      </c>
      <c r="U21" s="19">
        <f t="shared" si="2"/>
        <v>0</v>
      </c>
      <c r="V21" s="19">
        <f t="shared" si="2"/>
        <v>0</v>
      </c>
      <c r="W21" s="19">
        <f t="shared" si="2"/>
        <v>1</v>
      </c>
    </row>
    <row r="22" spans="1:23" x14ac:dyDescent="0.15">
      <c r="A22" s="24" t="str">
        <f t="shared" si="3"/>
        <v>2_3-3/9&lt;lv2&gt;s2</v>
      </c>
      <c r="B22" s="19">
        <f t="shared" si="4"/>
        <v>2</v>
      </c>
      <c r="C22" s="19">
        <f t="shared" si="4"/>
        <v>3</v>
      </c>
      <c r="D22" s="19">
        <f t="shared" si="4"/>
        <v>3</v>
      </c>
      <c r="E22" s="19">
        <f t="shared" si="4"/>
        <v>9</v>
      </c>
      <c r="F22" s="19">
        <f t="shared" si="4"/>
        <v>2</v>
      </c>
      <c r="G22" s="19">
        <f t="shared" si="5"/>
        <v>1</v>
      </c>
      <c r="H22" s="19">
        <f t="shared" si="5"/>
        <v>1</v>
      </c>
      <c r="I22" s="19">
        <f t="shared" si="5"/>
        <v>0</v>
      </c>
      <c r="J22" s="19">
        <v>0</v>
      </c>
      <c r="K22" s="19">
        <f t="shared" si="4"/>
        <v>0</v>
      </c>
      <c r="L22" s="19">
        <f t="shared" si="4"/>
        <v>100</v>
      </c>
      <c r="M22" s="19">
        <f t="shared" si="4"/>
        <v>0</v>
      </c>
      <c r="N22" s="19">
        <f t="shared" si="4"/>
        <v>2</v>
      </c>
      <c r="O22" s="19">
        <f t="shared" si="4"/>
        <v>9</v>
      </c>
      <c r="P22" s="19">
        <f t="shared" si="4"/>
        <v>1</v>
      </c>
      <c r="Q22" s="19">
        <f t="shared" si="4"/>
        <v>1</v>
      </c>
      <c r="R22" s="19">
        <f t="shared" si="4"/>
        <v>40</v>
      </c>
      <c r="S22" s="19">
        <f t="shared" si="4"/>
        <v>0</v>
      </c>
      <c r="T22" s="19">
        <f t="shared" si="4"/>
        <v>0</v>
      </c>
      <c r="U22" s="19">
        <f t="shared" si="2"/>
        <v>0</v>
      </c>
      <c r="V22" s="19">
        <f t="shared" si="2"/>
        <v>0</v>
      </c>
      <c r="W22" s="19">
        <f t="shared" si="2"/>
        <v>1</v>
      </c>
    </row>
    <row r="23" spans="1:23" x14ac:dyDescent="0.15">
      <c r="A23" s="24" t="str">
        <f t="shared" si="3"/>
        <v>2_3-3/15&lt;lv2&gt;s3</v>
      </c>
      <c r="B23" s="19">
        <f t="shared" si="4"/>
        <v>2</v>
      </c>
      <c r="C23" s="19">
        <f t="shared" si="4"/>
        <v>3</v>
      </c>
      <c r="D23" s="19">
        <f t="shared" si="4"/>
        <v>3</v>
      </c>
      <c r="E23" s="19">
        <f t="shared" si="4"/>
        <v>15</v>
      </c>
      <c r="F23" s="19">
        <f t="shared" si="4"/>
        <v>2</v>
      </c>
      <c r="G23" s="19">
        <f t="shared" si="5"/>
        <v>1</v>
      </c>
      <c r="H23" s="19">
        <f t="shared" si="5"/>
        <v>1</v>
      </c>
      <c r="I23" s="19">
        <f t="shared" si="5"/>
        <v>0</v>
      </c>
      <c r="J23" s="19">
        <v>0</v>
      </c>
      <c r="K23" s="19">
        <f t="shared" si="4"/>
        <v>0</v>
      </c>
      <c r="L23" s="19">
        <f t="shared" si="4"/>
        <v>100</v>
      </c>
      <c r="M23" s="19">
        <f t="shared" si="4"/>
        <v>0</v>
      </c>
      <c r="N23" s="19">
        <f t="shared" si="4"/>
        <v>3</v>
      </c>
      <c r="O23" s="19">
        <f t="shared" si="4"/>
        <v>15</v>
      </c>
      <c r="P23" s="19">
        <f t="shared" si="4"/>
        <v>1</v>
      </c>
      <c r="Q23" s="19">
        <f t="shared" si="4"/>
        <v>1</v>
      </c>
      <c r="R23" s="19">
        <f t="shared" si="4"/>
        <v>40</v>
      </c>
      <c r="S23" s="19">
        <f t="shared" si="4"/>
        <v>0</v>
      </c>
      <c r="T23" s="19">
        <f t="shared" si="4"/>
        <v>0</v>
      </c>
      <c r="U23" s="19">
        <f t="shared" si="2"/>
        <v>0</v>
      </c>
      <c r="V23" s="19">
        <f t="shared" si="2"/>
        <v>0</v>
      </c>
      <c r="W23" s="19">
        <f t="shared" si="2"/>
        <v>1</v>
      </c>
    </row>
    <row r="24" spans="1:23" x14ac:dyDescent="0.15">
      <c r="A24" s="24" t="str">
        <f t="shared" si="3"/>
        <v>2_3-4/190&lt;lv4&gt;s3</v>
      </c>
      <c r="B24" s="19">
        <f t="shared" si="4"/>
        <v>2</v>
      </c>
      <c r="C24" s="19">
        <f t="shared" si="4"/>
        <v>3</v>
      </c>
      <c r="D24" s="19">
        <f t="shared" si="4"/>
        <v>4</v>
      </c>
      <c r="E24" s="19">
        <f t="shared" si="4"/>
        <v>190</v>
      </c>
      <c r="F24" s="19">
        <f t="shared" si="4"/>
        <v>4</v>
      </c>
      <c r="G24" s="19">
        <f t="shared" si="5"/>
        <v>1</v>
      </c>
      <c r="H24" s="19">
        <f t="shared" si="5"/>
        <v>1</v>
      </c>
      <c r="I24" s="19">
        <f t="shared" si="5"/>
        <v>0</v>
      </c>
      <c r="J24" s="19">
        <v>0</v>
      </c>
      <c r="K24" s="19">
        <f t="shared" si="4"/>
        <v>1</v>
      </c>
      <c r="L24" s="19">
        <f t="shared" si="4"/>
        <v>100</v>
      </c>
      <c r="M24" s="19">
        <f t="shared" si="4"/>
        <v>1</v>
      </c>
      <c r="N24" s="19">
        <f t="shared" si="4"/>
        <v>3</v>
      </c>
      <c r="O24" s="19">
        <f t="shared" si="4"/>
        <v>190</v>
      </c>
      <c r="P24" s="19">
        <f t="shared" si="4"/>
        <v>1</v>
      </c>
      <c r="Q24" s="19">
        <f t="shared" si="4"/>
        <v>3</v>
      </c>
      <c r="R24" s="19">
        <f t="shared" si="4"/>
        <v>0</v>
      </c>
      <c r="S24" s="19">
        <f t="shared" si="4"/>
        <v>0</v>
      </c>
      <c r="T24" s="19">
        <f t="shared" si="4"/>
        <v>0</v>
      </c>
      <c r="U24" s="19">
        <f t="shared" si="2"/>
        <v>0</v>
      </c>
      <c r="V24" s="19">
        <f t="shared" si="2"/>
        <v>0</v>
      </c>
      <c r="W24" s="19">
        <f t="shared" si="2"/>
        <v>1</v>
      </c>
    </row>
    <row r="25" spans="1:23" x14ac:dyDescent="0.15">
      <c r="A25" s="24" t="str">
        <f t="shared" si="3"/>
        <v>2_4-1/332&lt;lv1&gt;s1</v>
      </c>
      <c r="B25" s="19">
        <f t="shared" si="4"/>
        <v>2</v>
      </c>
      <c r="C25" s="19">
        <f t="shared" si="4"/>
        <v>4</v>
      </c>
      <c r="D25" s="19">
        <f t="shared" si="4"/>
        <v>1</v>
      </c>
      <c r="E25" s="19">
        <f t="shared" si="4"/>
        <v>332</v>
      </c>
      <c r="F25" s="19">
        <f t="shared" si="4"/>
        <v>1</v>
      </c>
      <c r="G25" s="19">
        <f t="shared" si="5"/>
        <v>1</v>
      </c>
      <c r="H25" s="19">
        <f t="shared" si="5"/>
        <v>1</v>
      </c>
      <c r="I25" s="19">
        <f t="shared" si="5"/>
        <v>0</v>
      </c>
      <c r="J25" s="19">
        <v>560001</v>
      </c>
      <c r="K25" s="19">
        <v>1</v>
      </c>
      <c r="L25" s="19">
        <v>100</v>
      </c>
      <c r="M25" s="19">
        <v>1</v>
      </c>
      <c r="N25" s="19">
        <f t="shared" si="4"/>
        <v>1</v>
      </c>
      <c r="O25" s="19">
        <f t="shared" si="4"/>
        <v>332</v>
      </c>
      <c r="P25" s="19">
        <f t="shared" si="4"/>
        <v>1</v>
      </c>
      <c r="Q25" s="19">
        <f t="shared" si="4"/>
        <v>3</v>
      </c>
      <c r="R25" s="19">
        <f t="shared" si="4"/>
        <v>100</v>
      </c>
      <c r="S25" s="19">
        <f t="shared" si="4"/>
        <v>0</v>
      </c>
      <c r="T25" s="19">
        <f t="shared" si="4"/>
        <v>0</v>
      </c>
      <c r="U25" s="19">
        <f t="shared" si="2"/>
        <v>0</v>
      </c>
      <c r="V25" s="19">
        <f t="shared" si="2"/>
        <v>0</v>
      </c>
      <c r="W25" s="19">
        <f t="shared" si="2"/>
        <v>1</v>
      </c>
    </row>
    <row r="26" spans="1:23" x14ac:dyDescent="0.15">
      <c r="A26" s="24" t="str">
        <f t="shared" si="3"/>
        <v>2_4-2/117&lt;lv1&gt;s1</v>
      </c>
      <c r="B26" s="19">
        <f t="shared" si="4"/>
        <v>2</v>
      </c>
      <c r="C26" s="19">
        <f t="shared" si="4"/>
        <v>4</v>
      </c>
      <c r="D26" s="19">
        <f t="shared" si="4"/>
        <v>2</v>
      </c>
      <c r="E26" s="19">
        <f t="shared" si="4"/>
        <v>117</v>
      </c>
      <c r="F26" s="19">
        <f t="shared" si="4"/>
        <v>1</v>
      </c>
      <c r="G26" s="19">
        <f t="shared" si="5"/>
        <v>1</v>
      </c>
      <c r="H26" s="19">
        <f t="shared" si="5"/>
        <v>1</v>
      </c>
      <c r="I26" s="19">
        <f t="shared" si="5"/>
        <v>0</v>
      </c>
      <c r="J26" s="19">
        <v>0</v>
      </c>
      <c r="K26" s="19">
        <f t="shared" si="4"/>
        <v>0</v>
      </c>
      <c r="L26" s="19">
        <f t="shared" si="4"/>
        <v>100</v>
      </c>
      <c r="M26" s="19">
        <f t="shared" si="4"/>
        <v>0</v>
      </c>
      <c r="N26" s="19">
        <f t="shared" si="4"/>
        <v>1</v>
      </c>
      <c r="O26" s="19">
        <f t="shared" si="4"/>
        <v>117</v>
      </c>
      <c r="P26" s="19">
        <f t="shared" si="4"/>
        <v>1</v>
      </c>
      <c r="Q26" s="19">
        <f t="shared" si="4"/>
        <v>3</v>
      </c>
      <c r="R26" s="19">
        <f t="shared" si="4"/>
        <v>100</v>
      </c>
      <c r="S26" s="19">
        <f t="shared" si="4"/>
        <v>0</v>
      </c>
      <c r="T26" s="19">
        <f t="shared" si="4"/>
        <v>0</v>
      </c>
      <c r="U26" s="19">
        <f t="shared" si="2"/>
        <v>0</v>
      </c>
      <c r="V26" s="19">
        <f t="shared" si="2"/>
        <v>0</v>
      </c>
      <c r="W26" s="19">
        <f t="shared" si="2"/>
        <v>1</v>
      </c>
    </row>
    <row r="27" spans="1:23" x14ac:dyDescent="0.15">
      <c r="A27" s="24" t="str">
        <f t="shared" si="3"/>
        <v>2_4-3/332&lt;lv1&gt;s1</v>
      </c>
      <c r="B27" s="19">
        <f t="shared" si="4"/>
        <v>2</v>
      </c>
      <c r="C27" s="19">
        <f t="shared" si="4"/>
        <v>4</v>
      </c>
      <c r="D27" s="19">
        <f t="shared" si="4"/>
        <v>3</v>
      </c>
      <c r="E27" s="19">
        <f t="shared" si="4"/>
        <v>332</v>
      </c>
      <c r="F27" s="19">
        <f t="shared" si="4"/>
        <v>1</v>
      </c>
      <c r="G27" s="19">
        <f t="shared" si="5"/>
        <v>1</v>
      </c>
      <c r="H27" s="19">
        <f t="shared" si="5"/>
        <v>1</v>
      </c>
      <c r="I27" s="19">
        <f t="shared" si="5"/>
        <v>0</v>
      </c>
      <c r="J27" s="19">
        <v>0</v>
      </c>
      <c r="K27" s="19">
        <f t="shared" si="4"/>
        <v>0</v>
      </c>
      <c r="L27" s="19">
        <f t="shared" si="4"/>
        <v>100</v>
      </c>
      <c r="M27" s="19">
        <f t="shared" si="4"/>
        <v>0</v>
      </c>
      <c r="N27" s="19">
        <f t="shared" si="4"/>
        <v>1</v>
      </c>
      <c r="O27" s="19">
        <f t="shared" si="4"/>
        <v>332</v>
      </c>
      <c r="P27" s="19">
        <f t="shared" si="4"/>
        <v>1</v>
      </c>
      <c r="Q27" s="19">
        <f t="shared" si="4"/>
        <v>3</v>
      </c>
      <c r="R27" s="19">
        <f t="shared" si="4"/>
        <v>100</v>
      </c>
      <c r="S27" s="19">
        <f t="shared" si="4"/>
        <v>0</v>
      </c>
      <c r="T27" s="19">
        <f t="shared" si="4"/>
        <v>0</v>
      </c>
      <c r="U27" s="19">
        <f t="shared" si="2"/>
        <v>0</v>
      </c>
      <c r="V27" s="19">
        <f t="shared" si="2"/>
        <v>0</v>
      </c>
      <c r="W27" s="19">
        <f t="shared" si="2"/>
        <v>1</v>
      </c>
    </row>
    <row r="28" spans="1:23" x14ac:dyDescent="0.15">
      <c r="A28" s="24" t="str">
        <f t="shared" si="3"/>
        <v>2_4-4/117&lt;lv1&gt;s1</v>
      </c>
      <c r="B28" s="19">
        <f t="shared" si="4"/>
        <v>2</v>
      </c>
      <c r="C28" s="19">
        <f t="shared" si="4"/>
        <v>4</v>
      </c>
      <c r="D28" s="19">
        <f t="shared" si="4"/>
        <v>4</v>
      </c>
      <c r="E28" s="19">
        <f t="shared" si="4"/>
        <v>117</v>
      </c>
      <c r="F28" s="19">
        <f t="shared" si="4"/>
        <v>1</v>
      </c>
      <c r="G28" s="19">
        <f t="shared" si="5"/>
        <v>1</v>
      </c>
      <c r="H28" s="19">
        <f t="shared" si="5"/>
        <v>1</v>
      </c>
      <c r="I28" s="19">
        <f t="shared" si="5"/>
        <v>0</v>
      </c>
      <c r="J28" s="19">
        <v>0</v>
      </c>
      <c r="K28" s="19">
        <f t="shared" si="4"/>
        <v>2</v>
      </c>
      <c r="L28" s="19">
        <f t="shared" si="4"/>
        <v>100</v>
      </c>
      <c r="M28" s="19">
        <f t="shared" si="4"/>
        <v>0</v>
      </c>
      <c r="N28" s="19">
        <f t="shared" si="4"/>
        <v>1</v>
      </c>
      <c r="O28" s="19">
        <f t="shared" si="4"/>
        <v>117</v>
      </c>
      <c r="P28" s="19">
        <f t="shared" si="4"/>
        <v>1</v>
      </c>
      <c r="Q28" s="19">
        <f t="shared" si="4"/>
        <v>3</v>
      </c>
      <c r="R28" s="19">
        <f t="shared" si="4"/>
        <v>0</v>
      </c>
      <c r="S28" s="19">
        <f t="shared" si="4"/>
        <v>0</v>
      </c>
      <c r="T28" s="19">
        <f t="shared" si="4"/>
        <v>0</v>
      </c>
      <c r="U28" s="19">
        <f t="shared" si="2"/>
        <v>0</v>
      </c>
      <c r="V28" s="19">
        <f t="shared" si="2"/>
        <v>0</v>
      </c>
      <c r="W28" s="19">
        <f t="shared" si="2"/>
        <v>1</v>
      </c>
    </row>
    <row r="29" spans="1:23" x14ac:dyDescent="0.15">
      <c r="A29" s="24" t="str">
        <f t="shared" si="3"/>
        <v>2_4-4/118&lt;lv1&gt;s2</v>
      </c>
      <c r="B29" s="19">
        <f t="shared" si="4"/>
        <v>2</v>
      </c>
      <c r="C29" s="19">
        <f t="shared" si="4"/>
        <v>4</v>
      </c>
      <c r="D29" s="19">
        <f t="shared" si="4"/>
        <v>4</v>
      </c>
      <c r="E29" s="19">
        <f t="shared" si="4"/>
        <v>118</v>
      </c>
      <c r="F29" s="19">
        <f t="shared" si="4"/>
        <v>1</v>
      </c>
      <c r="G29" s="19">
        <f t="shared" si="5"/>
        <v>1</v>
      </c>
      <c r="H29" s="19">
        <f t="shared" si="5"/>
        <v>1</v>
      </c>
      <c r="I29" s="19">
        <f t="shared" si="5"/>
        <v>0</v>
      </c>
      <c r="J29" s="19">
        <v>0</v>
      </c>
      <c r="K29" s="19">
        <f t="shared" si="4"/>
        <v>1</v>
      </c>
      <c r="L29" s="19">
        <f t="shared" si="4"/>
        <v>100</v>
      </c>
      <c r="M29" s="19">
        <f t="shared" si="4"/>
        <v>1</v>
      </c>
      <c r="N29" s="19">
        <f t="shared" si="4"/>
        <v>2</v>
      </c>
      <c r="O29" s="19">
        <f t="shared" si="4"/>
        <v>118</v>
      </c>
      <c r="P29" s="19">
        <f t="shared" si="4"/>
        <v>1</v>
      </c>
      <c r="Q29" s="19">
        <f t="shared" si="4"/>
        <v>4</v>
      </c>
      <c r="R29" s="19">
        <f t="shared" si="4"/>
        <v>100</v>
      </c>
      <c r="S29" s="19">
        <f t="shared" si="4"/>
        <v>0</v>
      </c>
      <c r="T29" s="19">
        <f t="shared" si="4"/>
        <v>0</v>
      </c>
      <c r="U29" s="19">
        <f t="shared" si="2"/>
        <v>0</v>
      </c>
      <c r="V29" s="19">
        <f t="shared" si="2"/>
        <v>0</v>
      </c>
      <c r="W29" s="19">
        <f t="shared" si="2"/>
        <v>1</v>
      </c>
    </row>
    <row r="30" spans="1:23" x14ac:dyDescent="0.15">
      <c r="A30" s="24" t="str">
        <f t="shared" si="3"/>
        <v>2_4-5/332&lt;lv1&gt;s1</v>
      </c>
      <c r="B30" s="19">
        <f t="shared" si="4"/>
        <v>2</v>
      </c>
      <c r="C30" s="19">
        <f t="shared" si="4"/>
        <v>4</v>
      </c>
      <c r="D30" s="19">
        <f t="shared" si="4"/>
        <v>5</v>
      </c>
      <c r="E30" s="19">
        <f t="shared" si="4"/>
        <v>332</v>
      </c>
      <c r="F30" s="19">
        <f t="shared" si="4"/>
        <v>1</v>
      </c>
      <c r="G30" s="19">
        <f t="shared" si="5"/>
        <v>1</v>
      </c>
      <c r="H30" s="19">
        <f t="shared" si="5"/>
        <v>1</v>
      </c>
      <c r="I30" s="19">
        <f t="shared" si="5"/>
        <v>0</v>
      </c>
      <c r="J30" s="19">
        <v>0</v>
      </c>
      <c r="K30" s="19">
        <f t="shared" si="4"/>
        <v>2</v>
      </c>
      <c r="L30" s="19">
        <f t="shared" si="4"/>
        <v>100</v>
      </c>
      <c r="M30" s="19">
        <f t="shared" si="4"/>
        <v>0</v>
      </c>
      <c r="N30" s="19">
        <f t="shared" si="4"/>
        <v>1</v>
      </c>
      <c r="O30" s="19">
        <f t="shared" si="4"/>
        <v>332</v>
      </c>
      <c r="P30" s="19">
        <f t="shared" si="4"/>
        <v>1</v>
      </c>
      <c r="Q30" s="19">
        <f t="shared" si="4"/>
        <v>3</v>
      </c>
      <c r="R30" s="19">
        <f t="shared" si="4"/>
        <v>0</v>
      </c>
      <c r="S30" s="19">
        <f t="shared" si="4"/>
        <v>0</v>
      </c>
      <c r="T30" s="19">
        <f t="shared" si="4"/>
        <v>0</v>
      </c>
      <c r="U30" s="19">
        <f t="shared" si="2"/>
        <v>0</v>
      </c>
      <c r="V30" s="19">
        <f t="shared" si="2"/>
        <v>0</v>
      </c>
      <c r="W30" s="19">
        <f t="shared" si="2"/>
        <v>1</v>
      </c>
    </row>
    <row r="31" spans="1:23" x14ac:dyDescent="0.15">
      <c r="A31" s="24" t="str">
        <f t="shared" si="3"/>
        <v>2_4-5/333&lt;lv1&gt;s2</v>
      </c>
      <c r="B31" s="19">
        <f t="shared" si="4"/>
        <v>2</v>
      </c>
      <c r="C31" s="19">
        <f t="shared" si="4"/>
        <v>4</v>
      </c>
      <c r="D31" s="19">
        <f t="shared" si="4"/>
        <v>5</v>
      </c>
      <c r="E31" s="19">
        <f t="shared" si="4"/>
        <v>333</v>
      </c>
      <c r="F31" s="19">
        <f t="shared" si="4"/>
        <v>1</v>
      </c>
      <c r="G31" s="19">
        <f t="shared" si="5"/>
        <v>1</v>
      </c>
      <c r="H31" s="19">
        <f t="shared" si="5"/>
        <v>1</v>
      </c>
      <c r="I31" s="19">
        <f t="shared" si="5"/>
        <v>0</v>
      </c>
      <c r="J31" s="19">
        <v>0</v>
      </c>
      <c r="K31" s="19">
        <f t="shared" si="4"/>
        <v>1</v>
      </c>
      <c r="L31" s="19">
        <f t="shared" si="4"/>
        <v>100</v>
      </c>
      <c r="M31" s="19">
        <f t="shared" si="4"/>
        <v>1</v>
      </c>
      <c r="N31" s="19">
        <f t="shared" si="4"/>
        <v>2</v>
      </c>
      <c r="O31" s="19">
        <f t="shared" si="4"/>
        <v>333</v>
      </c>
      <c r="P31" s="19">
        <f t="shared" si="4"/>
        <v>1</v>
      </c>
      <c r="Q31" s="19">
        <f t="shared" si="4"/>
        <v>4</v>
      </c>
      <c r="R31" s="19">
        <f t="shared" si="4"/>
        <v>100</v>
      </c>
      <c r="S31" s="19">
        <f t="shared" si="4"/>
        <v>0</v>
      </c>
      <c r="T31" s="19">
        <f t="shared" si="4"/>
        <v>0</v>
      </c>
      <c r="U31" s="19">
        <f t="shared" si="2"/>
        <v>0</v>
      </c>
      <c r="V31" s="19">
        <f t="shared" si="2"/>
        <v>0</v>
      </c>
      <c r="W31" s="19">
        <f t="shared" si="2"/>
        <v>1</v>
      </c>
    </row>
    <row r="32" spans="1:23" x14ac:dyDescent="0.15">
      <c r="A32" s="24" t="str">
        <f t="shared" si="3"/>
        <v>3_1-1/3&lt;lv5&gt;s2</v>
      </c>
      <c r="B32" s="19">
        <f t="shared" si="4"/>
        <v>3</v>
      </c>
      <c r="C32" s="19">
        <f t="shared" si="4"/>
        <v>1</v>
      </c>
      <c r="D32" s="19">
        <f t="shared" si="4"/>
        <v>1</v>
      </c>
      <c r="E32" s="19">
        <f t="shared" si="4"/>
        <v>3</v>
      </c>
      <c r="F32" s="19">
        <f t="shared" si="4"/>
        <v>5</v>
      </c>
      <c r="G32" s="19">
        <f t="shared" si="5"/>
        <v>1</v>
      </c>
      <c r="H32" s="19">
        <f t="shared" si="5"/>
        <v>1</v>
      </c>
      <c r="I32" s="19">
        <f t="shared" si="5"/>
        <v>0</v>
      </c>
      <c r="J32" s="19">
        <v>560001</v>
      </c>
      <c r="K32" s="19">
        <v>1</v>
      </c>
      <c r="L32" s="19">
        <v>100</v>
      </c>
      <c r="M32" s="19">
        <v>1</v>
      </c>
      <c r="N32" s="19">
        <f t="shared" si="4"/>
        <v>2</v>
      </c>
      <c r="O32" s="19">
        <f t="shared" si="4"/>
        <v>3</v>
      </c>
      <c r="P32" s="19">
        <f t="shared" si="4"/>
        <v>1</v>
      </c>
      <c r="Q32" s="19">
        <f t="shared" si="4"/>
        <v>1</v>
      </c>
      <c r="R32" s="19">
        <f t="shared" si="4"/>
        <v>40</v>
      </c>
      <c r="S32" s="19">
        <f t="shared" si="4"/>
        <v>0</v>
      </c>
      <c r="T32" s="19">
        <f t="shared" si="4"/>
        <v>0</v>
      </c>
      <c r="U32" s="19">
        <f t="shared" si="2"/>
        <v>0</v>
      </c>
      <c r="V32" s="19">
        <f t="shared" si="2"/>
        <v>0</v>
      </c>
      <c r="W32" s="19">
        <f t="shared" si="2"/>
        <v>1</v>
      </c>
    </row>
    <row r="33" spans="1:23" x14ac:dyDescent="0.15">
      <c r="A33" s="24" t="str">
        <f t="shared" si="3"/>
        <v>3_1-1/11&lt;lv5&gt;s3</v>
      </c>
      <c r="B33" s="19">
        <f t="shared" si="4"/>
        <v>3</v>
      </c>
      <c r="C33" s="19">
        <f t="shared" si="4"/>
        <v>1</v>
      </c>
      <c r="D33" s="19">
        <f t="shared" si="4"/>
        <v>1</v>
      </c>
      <c r="E33" s="19">
        <f t="shared" si="4"/>
        <v>11</v>
      </c>
      <c r="F33" s="19">
        <f t="shared" si="4"/>
        <v>5</v>
      </c>
      <c r="G33" s="19">
        <f t="shared" si="5"/>
        <v>1</v>
      </c>
      <c r="H33" s="19">
        <f t="shared" si="5"/>
        <v>1</v>
      </c>
      <c r="I33" s="19">
        <f t="shared" si="5"/>
        <v>0</v>
      </c>
      <c r="J33" s="19">
        <v>0</v>
      </c>
      <c r="K33" s="19">
        <f t="shared" si="4"/>
        <v>0</v>
      </c>
      <c r="L33" s="19">
        <f t="shared" si="4"/>
        <v>100</v>
      </c>
      <c r="M33" s="19">
        <f t="shared" si="4"/>
        <v>0</v>
      </c>
      <c r="N33" s="19">
        <f t="shared" si="4"/>
        <v>3</v>
      </c>
      <c r="O33" s="19">
        <f t="shared" si="4"/>
        <v>11</v>
      </c>
      <c r="P33" s="19">
        <f t="shared" si="4"/>
        <v>1</v>
      </c>
      <c r="Q33" s="19">
        <f t="shared" si="4"/>
        <v>1</v>
      </c>
      <c r="R33" s="19">
        <f t="shared" si="4"/>
        <v>40</v>
      </c>
      <c r="S33" s="19">
        <f t="shared" si="4"/>
        <v>0</v>
      </c>
      <c r="T33" s="19">
        <f t="shared" si="4"/>
        <v>0</v>
      </c>
      <c r="U33" s="19">
        <f t="shared" si="2"/>
        <v>0</v>
      </c>
      <c r="V33" s="19">
        <f t="shared" si="2"/>
        <v>0</v>
      </c>
      <c r="W33" s="19">
        <f t="shared" si="2"/>
        <v>1</v>
      </c>
    </row>
    <row r="34" spans="1:23" x14ac:dyDescent="0.15">
      <c r="A34" s="24" t="str">
        <f t="shared" si="3"/>
        <v>3_1-2/3&lt;lv5&gt;s2</v>
      </c>
      <c r="B34" s="19">
        <f t="shared" si="4"/>
        <v>3</v>
      </c>
      <c r="C34" s="19">
        <f t="shared" si="4"/>
        <v>1</v>
      </c>
      <c r="D34" s="19">
        <f t="shared" si="4"/>
        <v>2</v>
      </c>
      <c r="E34" s="19">
        <f t="shared" si="4"/>
        <v>3</v>
      </c>
      <c r="F34" s="19">
        <f t="shared" si="4"/>
        <v>5</v>
      </c>
      <c r="G34" s="19">
        <f t="shared" si="5"/>
        <v>1</v>
      </c>
      <c r="H34" s="19">
        <f t="shared" si="5"/>
        <v>1</v>
      </c>
      <c r="I34" s="19">
        <f t="shared" si="5"/>
        <v>0</v>
      </c>
      <c r="J34" s="19">
        <v>0</v>
      </c>
      <c r="K34" s="19">
        <f t="shared" si="4"/>
        <v>0</v>
      </c>
      <c r="L34" s="19">
        <f t="shared" si="4"/>
        <v>100</v>
      </c>
      <c r="M34" s="19">
        <f t="shared" si="4"/>
        <v>0</v>
      </c>
      <c r="N34" s="19">
        <f t="shared" si="4"/>
        <v>2</v>
      </c>
      <c r="O34" s="19">
        <f t="shared" si="4"/>
        <v>3</v>
      </c>
      <c r="P34" s="19">
        <f t="shared" si="4"/>
        <v>1</v>
      </c>
      <c r="Q34" s="19">
        <f t="shared" si="4"/>
        <v>1</v>
      </c>
      <c r="R34" s="19">
        <f t="shared" si="4"/>
        <v>30</v>
      </c>
      <c r="S34" s="19">
        <f t="shared" ref="B34:T50" si="6">VLOOKUP($A34,OFFSET(INDIRECT($C$1&amp;"!$A1"),0,0,COUNTA(INDIRECT($C$1&amp;"!$A:$A"))+1,MATCH(S$2,INDIRECT($C$1&amp;"!"&amp;$B$1),0)-MATCH($A$2,INDIRECT($C$1&amp;"!"&amp;$B$1),0)+1),MATCH(S$2,INDIRECT($C$1&amp;"!"&amp;$B$1),0)-MATCH($A$2,INDIRECT($C$1&amp;"!"&amp;$B$1),0)+1,FALSE)</f>
        <v>0</v>
      </c>
      <c r="T34" s="19">
        <f t="shared" si="6"/>
        <v>0</v>
      </c>
      <c r="U34" s="19">
        <f t="shared" si="2"/>
        <v>0</v>
      </c>
      <c r="V34" s="19">
        <f t="shared" si="2"/>
        <v>0</v>
      </c>
      <c r="W34" s="19">
        <f t="shared" si="2"/>
        <v>1</v>
      </c>
    </row>
    <row r="35" spans="1:23" x14ac:dyDescent="0.15">
      <c r="A35" s="24" t="str">
        <f t="shared" si="3"/>
        <v>3_1-2/11&lt;lv5&gt;s3</v>
      </c>
      <c r="B35" s="19">
        <f t="shared" si="6"/>
        <v>3</v>
      </c>
      <c r="C35" s="19">
        <f t="shared" si="6"/>
        <v>1</v>
      </c>
      <c r="D35" s="19">
        <f t="shared" si="6"/>
        <v>2</v>
      </c>
      <c r="E35" s="19">
        <f t="shared" si="6"/>
        <v>11</v>
      </c>
      <c r="F35" s="19">
        <f t="shared" si="6"/>
        <v>5</v>
      </c>
      <c r="G35" s="19">
        <f t="shared" si="5"/>
        <v>1</v>
      </c>
      <c r="H35" s="19">
        <f t="shared" si="5"/>
        <v>1</v>
      </c>
      <c r="I35" s="19">
        <f t="shared" si="5"/>
        <v>0</v>
      </c>
      <c r="J35" s="19">
        <v>0</v>
      </c>
      <c r="K35" s="19">
        <f t="shared" si="6"/>
        <v>0</v>
      </c>
      <c r="L35" s="19">
        <f t="shared" si="6"/>
        <v>100</v>
      </c>
      <c r="M35" s="19">
        <f t="shared" si="6"/>
        <v>0</v>
      </c>
      <c r="N35" s="19">
        <f t="shared" si="6"/>
        <v>3</v>
      </c>
      <c r="O35" s="19">
        <f t="shared" si="6"/>
        <v>11</v>
      </c>
      <c r="P35" s="19">
        <f t="shared" si="6"/>
        <v>1</v>
      </c>
      <c r="Q35" s="19">
        <f t="shared" si="6"/>
        <v>1</v>
      </c>
      <c r="R35" s="19">
        <f t="shared" si="6"/>
        <v>30</v>
      </c>
      <c r="S35" s="19">
        <f t="shared" si="6"/>
        <v>0</v>
      </c>
      <c r="T35" s="19">
        <f t="shared" si="6"/>
        <v>0</v>
      </c>
      <c r="U35" s="19">
        <f t="shared" si="2"/>
        <v>0</v>
      </c>
      <c r="V35" s="19">
        <f t="shared" si="2"/>
        <v>0</v>
      </c>
      <c r="W35" s="19">
        <f t="shared" si="2"/>
        <v>1</v>
      </c>
    </row>
    <row r="36" spans="1:23" x14ac:dyDescent="0.15">
      <c r="A36" s="24" t="str">
        <f t="shared" si="3"/>
        <v>3_1-3/28&lt;lv6&gt;s1</v>
      </c>
      <c r="B36" s="19">
        <f t="shared" si="6"/>
        <v>3</v>
      </c>
      <c r="C36" s="19">
        <f t="shared" si="6"/>
        <v>1</v>
      </c>
      <c r="D36" s="19">
        <f t="shared" si="6"/>
        <v>3</v>
      </c>
      <c r="E36" s="19">
        <f t="shared" si="6"/>
        <v>28</v>
      </c>
      <c r="F36" s="19">
        <f t="shared" si="6"/>
        <v>6</v>
      </c>
      <c r="G36" s="19">
        <f t="shared" si="5"/>
        <v>1</v>
      </c>
      <c r="H36" s="19">
        <f t="shared" si="5"/>
        <v>1</v>
      </c>
      <c r="I36" s="19">
        <f t="shared" si="5"/>
        <v>0</v>
      </c>
      <c r="J36" s="19">
        <v>28</v>
      </c>
      <c r="K36" s="19">
        <f t="shared" si="6"/>
        <v>2</v>
      </c>
      <c r="L36" s="19">
        <f t="shared" si="6"/>
        <v>100</v>
      </c>
      <c r="M36" s="19">
        <f t="shared" si="6"/>
        <v>1</v>
      </c>
      <c r="N36" s="19">
        <f t="shared" si="6"/>
        <v>1</v>
      </c>
      <c r="O36" s="19">
        <f t="shared" si="6"/>
        <v>27</v>
      </c>
      <c r="P36" s="19">
        <f t="shared" si="6"/>
        <v>1</v>
      </c>
      <c r="Q36" s="19">
        <f t="shared" si="6"/>
        <v>1</v>
      </c>
      <c r="R36" s="19">
        <f t="shared" si="6"/>
        <v>0</v>
      </c>
      <c r="S36" s="19">
        <f t="shared" si="6"/>
        <v>0</v>
      </c>
      <c r="T36" s="19">
        <f t="shared" si="6"/>
        <v>0</v>
      </c>
      <c r="U36" s="19">
        <f t="shared" si="2"/>
        <v>0</v>
      </c>
      <c r="V36" s="19">
        <f t="shared" si="2"/>
        <v>0</v>
      </c>
      <c r="W36" s="19">
        <f t="shared" si="2"/>
        <v>1</v>
      </c>
    </row>
    <row r="37" spans="1:23" x14ac:dyDescent="0.15">
      <c r="A37" s="24" t="str">
        <f t="shared" si="3"/>
        <v>3_2-1/3&lt;lv5&gt;s2</v>
      </c>
      <c r="B37" s="19">
        <f t="shared" si="6"/>
        <v>3</v>
      </c>
      <c r="C37" s="19">
        <f t="shared" si="6"/>
        <v>2</v>
      </c>
      <c r="D37" s="19">
        <f t="shared" si="6"/>
        <v>1</v>
      </c>
      <c r="E37" s="19">
        <f t="shared" si="6"/>
        <v>3</v>
      </c>
      <c r="F37" s="19">
        <f t="shared" si="6"/>
        <v>5</v>
      </c>
      <c r="G37" s="19">
        <f t="shared" si="5"/>
        <v>1</v>
      </c>
      <c r="H37" s="19">
        <f t="shared" si="5"/>
        <v>1</v>
      </c>
      <c r="I37" s="19">
        <f t="shared" si="5"/>
        <v>0</v>
      </c>
      <c r="J37" s="19">
        <v>560001</v>
      </c>
      <c r="K37" s="19">
        <v>1</v>
      </c>
      <c r="L37" s="19">
        <v>100</v>
      </c>
      <c r="M37" s="19">
        <v>1</v>
      </c>
      <c r="N37" s="19">
        <f t="shared" si="6"/>
        <v>2</v>
      </c>
      <c r="O37" s="19">
        <f t="shared" si="6"/>
        <v>3</v>
      </c>
      <c r="P37" s="19">
        <f t="shared" si="6"/>
        <v>2</v>
      </c>
      <c r="Q37" s="19">
        <f t="shared" si="6"/>
        <v>1</v>
      </c>
      <c r="R37" s="19">
        <f t="shared" si="6"/>
        <v>30</v>
      </c>
      <c r="S37" s="19">
        <f t="shared" si="6"/>
        <v>0</v>
      </c>
      <c r="T37" s="19">
        <f t="shared" si="6"/>
        <v>0</v>
      </c>
      <c r="U37" s="19">
        <f t="shared" si="2"/>
        <v>0</v>
      </c>
      <c r="V37" s="19">
        <f t="shared" si="2"/>
        <v>0</v>
      </c>
      <c r="W37" s="19">
        <f t="shared" si="2"/>
        <v>1</v>
      </c>
    </row>
    <row r="38" spans="1:23" x14ac:dyDescent="0.15">
      <c r="A38" s="24" t="str">
        <f t="shared" si="3"/>
        <v>3_2-1/11&lt;lv5&gt;s3</v>
      </c>
      <c r="B38" s="19">
        <f t="shared" si="6"/>
        <v>3</v>
      </c>
      <c r="C38" s="19">
        <f t="shared" si="6"/>
        <v>2</v>
      </c>
      <c r="D38" s="19">
        <f t="shared" si="6"/>
        <v>1</v>
      </c>
      <c r="E38" s="19">
        <f t="shared" si="6"/>
        <v>11</v>
      </c>
      <c r="F38" s="19">
        <f t="shared" si="6"/>
        <v>5</v>
      </c>
      <c r="G38" s="19">
        <f t="shared" si="5"/>
        <v>1</v>
      </c>
      <c r="H38" s="19">
        <f t="shared" si="5"/>
        <v>1</v>
      </c>
      <c r="I38" s="19">
        <f t="shared" si="5"/>
        <v>0</v>
      </c>
      <c r="J38" s="19">
        <v>0</v>
      </c>
      <c r="K38" s="19">
        <f t="shared" si="6"/>
        <v>0</v>
      </c>
      <c r="L38" s="19">
        <f t="shared" si="6"/>
        <v>100</v>
      </c>
      <c r="M38" s="19">
        <f t="shared" si="6"/>
        <v>0</v>
      </c>
      <c r="N38" s="19">
        <f t="shared" si="6"/>
        <v>3</v>
      </c>
      <c r="O38" s="19">
        <f t="shared" si="6"/>
        <v>11</v>
      </c>
      <c r="P38" s="19">
        <f t="shared" si="6"/>
        <v>1</v>
      </c>
      <c r="Q38" s="19">
        <f t="shared" si="6"/>
        <v>1</v>
      </c>
      <c r="R38" s="19">
        <f t="shared" si="6"/>
        <v>30</v>
      </c>
      <c r="S38" s="19">
        <f t="shared" si="6"/>
        <v>0</v>
      </c>
      <c r="T38" s="19">
        <f t="shared" si="6"/>
        <v>0</v>
      </c>
      <c r="U38" s="19">
        <f t="shared" si="2"/>
        <v>0</v>
      </c>
      <c r="V38" s="19">
        <f t="shared" si="2"/>
        <v>0</v>
      </c>
      <c r="W38" s="19">
        <f t="shared" si="2"/>
        <v>1</v>
      </c>
    </row>
    <row r="39" spans="1:23" x14ac:dyDescent="0.15">
      <c r="A39" s="24" t="str">
        <f t="shared" si="3"/>
        <v>3_2-1/23&lt;lv5&gt;s4</v>
      </c>
      <c r="B39" s="19">
        <f t="shared" si="6"/>
        <v>3</v>
      </c>
      <c r="C39" s="19">
        <f t="shared" si="6"/>
        <v>2</v>
      </c>
      <c r="D39" s="19">
        <f t="shared" si="6"/>
        <v>1</v>
      </c>
      <c r="E39" s="19">
        <f t="shared" si="6"/>
        <v>23</v>
      </c>
      <c r="F39" s="19">
        <f t="shared" si="6"/>
        <v>5</v>
      </c>
      <c r="G39" s="19">
        <f t="shared" si="5"/>
        <v>1</v>
      </c>
      <c r="H39" s="19">
        <f t="shared" si="5"/>
        <v>1</v>
      </c>
      <c r="I39" s="19">
        <f t="shared" si="5"/>
        <v>0</v>
      </c>
      <c r="J39" s="19">
        <v>0</v>
      </c>
      <c r="K39" s="19">
        <f t="shared" si="6"/>
        <v>0</v>
      </c>
      <c r="L39" s="19">
        <f t="shared" si="6"/>
        <v>100</v>
      </c>
      <c r="M39" s="19">
        <f t="shared" si="6"/>
        <v>0</v>
      </c>
      <c r="N39" s="19">
        <f t="shared" si="6"/>
        <v>4</v>
      </c>
      <c r="O39" s="19">
        <f t="shared" si="6"/>
        <v>23</v>
      </c>
      <c r="P39" s="19">
        <f t="shared" si="6"/>
        <v>1</v>
      </c>
      <c r="Q39" s="19">
        <f t="shared" si="6"/>
        <v>1</v>
      </c>
      <c r="R39" s="19">
        <f t="shared" si="6"/>
        <v>30</v>
      </c>
      <c r="S39" s="19">
        <f t="shared" si="6"/>
        <v>0</v>
      </c>
      <c r="T39" s="19">
        <f t="shared" si="6"/>
        <v>0</v>
      </c>
      <c r="U39" s="19">
        <f t="shared" si="2"/>
        <v>0</v>
      </c>
      <c r="V39" s="19">
        <f t="shared" si="2"/>
        <v>0</v>
      </c>
      <c r="W39" s="19">
        <f t="shared" si="2"/>
        <v>1</v>
      </c>
    </row>
    <row r="40" spans="1:23" x14ac:dyDescent="0.15">
      <c r="A40" s="24" t="str">
        <f t="shared" si="3"/>
        <v>3_2-2/3&lt;lv5&gt;s2</v>
      </c>
      <c r="B40" s="19">
        <f t="shared" si="6"/>
        <v>3</v>
      </c>
      <c r="C40" s="19">
        <f t="shared" si="6"/>
        <v>2</v>
      </c>
      <c r="D40" s="19">
        <f t="shared" si="6"/>
        <v>2</v>
      </c>
      <c r="E40" s="19">
        <f t="shared" si="6"/>
        <v>3</v>
      </c>
      <c r="F40" s="19">
        <f t="shared" si="6"/>
        <v>5</v>
      </c>
      <c r="G40" s="19">
        <f t="shared" si="5"/>
        <v>1</v>
      </c>
      <c r="H40" s="19">
        <f t="shared" si="5"/>
        <v>1</v>
      </c>
      <c r="I40" s="19">
        <f t="shared" si="5"/>
        <v>0</v>
      </c>
      <c r="J40" s="19">
        <v>0</v>
      </c>
      <c r="K40" s="19">
        <f t="shared" si="6"/>
        <v>0</v>
      </c>
      <c r="L40" s="19">
        <f t="shared" si="6"/>
        <v>100</v>
      </c>
      <c r="M40" s="19">
        <f t="shared" si="6"/>
        <v>0</v>
      </c>
      <c r="N40" s="19">
        <f t="shared" si="6"/>
        <v>2</v>
      </c>
      <c r="O40" s="19">
        <f t="shared" si="6"/>
        <v>3</v>
      </c>
      <c r="P40" s="19">
        <f t="shared" si="6"/>
        <v>2</v>
      </c>
      <c r="Q40" s="19">
        <f t="shared" si="6"/>
        <v>1</v>
      </c>
      <c r="R40" s="19">
        <f t="shared" si="6"/>
        <v>40</v>
      </c>
      <c r="S40" s="19">
        <f t="shared" si="6"/>
        <v>0</v>
      </c>
      <c r="T40" s="19">
        <f t="shared" si="6"/>
        <v>0</v>
      </c>
      <c r="U40" s="19">
        <f t="shared" si="2"/>
        <v>0</v>
      </c>
      <c r="V40" s="19">
        <f t="shared" si="2"/>
        <v>0</v>
      </c>
      <c r="W40" s="19">
        <f t="shared" si="2"/>
        <v>1</v>
      </c>
    </row>
    <row r="41" spans="1:23" x14ac:dyDescent="0.15">
      <c r="A41" s="24" t="str">
        <f t="shared" si="3"/>
        <v>3_2-2/11&lt;lv5&gt;s3</v>
      </c>
      <c r="B41" s="19">
        <f t="shared" si="6"/>
        <v>3</v>
      </c>
      <c r="C41" s="19">
        <f t="shared" si="6"/>
        <v>2</v>
      </c>
      <c r="D41" s="19">
        <f t="shared" si="6"/>
        <v>2</v>
      </c>
      <c r="E41" s="19">
        <f t="shared" si="6"/>
        <v>11</v>
      </c>
      <c r="F41" s="19">
        <f t="shared" si="6"/>
        <v>5</v>
      </c>
      <c r="G41" s="19">
        <f t="shared" si="5"/>
        <v>1</v>
      </c>
      <c r="H41" s="19">
        <f t="shared" si="5"/>
        <v>1</v>
      </c>
      <c r="I41" s="19">
        <f t="shared" si="5"/>
        <v>0</v>
      </c>
      <c r="J41" s="19">
        <v>0</v>
      </c>
      <c r="K41" s="19">
        <f t="shared" si="6"/>
        <v>0</v>
      </c>
      <c r="L41" s="19">
        <f t="shared" si="6"/>
        <v>100</v>
      </c>
      <c r="M41" s="19">
        <f t="shared" si="6"/>
        <v>0</v>
      </c>
      <c r="N41" s="19">
        <f t="shared" si="6"/>
        <v>3</v>
      </c>
      <c r="O41" s="19">
        <f t="shared" si="6"/>
        <v>11</v>
      </c>
      <c r="P41" s="19">
        <f t="shared" si="6"/>
        <v>1</v>
      </c>
      <c r="Q41" s="19">
        <f t="shared" si="6"/>
        <v>1</v>
      </c>
      <c r="R41" s="19">
        <f t="shared" si="6"/>
        <v>40</v>
      </c>
      <c r="S41" s="19">
        <f t="shared" si="6"/>
        <v>0</v>
      </c>
      <c r="T41" s="19">
        <f t="shared" si="6"/>
        <v>0</v>
      </c>
      <c r="U41" s="19">
        <f t="shared" si="2"/>
        <v>0</v>
      </c>
      <c r="V41" s="19">
        <f t="shared" si="2"/>
        <v>0</v>
      </c>
      <c r="W41" s="19">
        <f t="shared" si="2"/>
        <v>1</v>
      </c>
    </row>
    <row r="42" spans="1:23" x14ac:dyDescent="0.15">
      <c r="A42" s="24" t="str">
        <f t="shared" si="3"/>
        <v>3_2-2/23&lt;lv5&gt;s4</v>
      </c>
      <c r="B42" s="19">
        <f t="shared" si="6"/>
        <v>3</v>
      </c>
      <c r="C42" s="19">
        <f t="shared" si="6"/>
        <v>2</v>
      </c>
      <c r="D42" s="19">
        <f t="shared" si="6"/>
        <v>2</v>
      </c>
      <c r="E42" s="19">
        <f t="shared" si="6"/>
        <v>23</v>
      </c>
      <c r="F42" s="19">
        <f t="shared" si="6"/>
        <v>5</v>
      </c>
      <c r="G42" s="19">
        <f t="shared" si="5"/>
        <v>1</v>
      </c>
      <c r="H42" s="19">
        <f t="shared" si="5"/>
        <v>1</v>
      </c>
      <c r="I42" s="19">
        <f t="shared" si="5"/>
        <v>0</v>
      </c>
      <c r="J42" s="19">
        <v>0</v>
      </c>
      <c r="K42" s="19">
        <f t="shared" si="6"/>
        <v>0</v>
      </c>
      <c r="L42" s="19">
        <f t="shared" si="6"/>
        <v>100</v>
      </c>
      <c r="M42" s="19">
        <f t="shared" si="6"/>
        <v>0</v>
      </c>
      <c r="N42" s="19">
        <f t="shared" si="6"/>
        <v>4</v>
      </c>
      <c r="O42" s="19">
        <f t="shared" si="6"/>
        <v>23</v>
      </c>
      <c r="P42" s="19">
        <f t="shared" si="6"/>
        <v>1</v>
      </c>
      <c r="Q42" s="19">
        <f t="shared" si="6"/>
        <v>1</v>
      </c>
      <c r="R42" s="19">
        <f t="shared" si="6"/>
        <v>40</v>
      </c>
      <c r="S42" s="19">
        <f t="shared" si="6"/>
        <v>0</v>
      </c>
      <c r="T42" s="19">
        <f t="shared" si="6"/>
        <v>0</v>
      </c>
      <c r="U42" s="19">
        <f t="shared" si="2"/>
        <v>0</v>
      </c>
      <c r="V42" s="19">
        <f t="shared" si="2"/>
        <v>0</v>
      </c>
      <c r="W42" s="19">
        <f t="shared" si="2"/>
        <v>1</v>
      </c>
    </row>
    <row r="43" spans="1:23" x14ac:dyDescent="0.15">
      <c r="A43" s="24" t="str">
        <f t="shared" si="3"/>
        <v>3_2-3/3&lt;lv5&gt;s2</v>
      </c>
      <c r="B43" s="19">
        <f t="shared" si="6"/>
        <v>3</v>
      </c>
      <c r="C43" s="19">
        <f t="shared" si="6"/>
        <v>2</v>
      </c>
      <c r="D43" s="19">
        <f t="shared" si="6"/>
        <v>3</v>
      </c>
      <c r="E43" s="19">
        <f t="shared" si="6"/>
        <v>3</v>
      </c>
      <c r="F43" s="19">
        <f t="shared" si="6"/>
        <v>5</v>
      </c>
      <c r="G43" s="19">
        <f t="shared" si="5"/>
        <v>1</v>
      </c>
      <c r="H43" s="19">
        <f t="shared" si="5"/>
        <v>1</v>
      </c>
      <c r="I43" s="19">
        <f t="shared" si="5"/>
        <v>0</v>
      </c>
      <c r="J43" s="19">
        <v>0</v>
      </c>
      <c r="K43" s="19">
        <f t="shared" si="6"/>
        <v>0</v>
      </c>
      <c r="L43" s="19">
        <f t="shared" si="6"/>
        <v>100</v>
      </c>
      <c r="M43" s="19">
        <f t="shared" si="6"/>
        <v>0</v>
      </c>
      <c r="N43" s="19">
        <f t="shared" si="6"/>
        <v>2</v>
      </c>
      <c r="O43" s="19">
        <f t="shared" si="6"/>
        <v>3</v>
      </c>
      <c r="P43" s="19">
        <f t="shared" si="6"/>
        <v>2</v>
      </c>
      <c r="Q43" s="19">
        <f t="shared" si="6"/>
        <v>1</v>
      </c>
      <c r="R43" s="19">
        <f t="shared" si="6"/>
        <v>30</v>
      </c>
      <c r="S43" s="19">
        <f t="shared" si="6"/>
        <v>0</v>
      </c>
      <c r="T43" s="19">
        <f t="shared" si="6"/>
        <v>0</v>
      </c>
      <c r="U43" s="19">
        <f t="shared" si="2"/>
        <v>0</v>
      </c>
      <c r="V43" s="19">
        <f t="shared" si="2"/>
        <v>0</v>
      </c>
      <c r="W43" s="19">
        <f t="shared" si="2"/>
        <v>1</v>
      </c>
    </row>
    <row r="44" spans="1:23" x14ac:dyDescent="0.15">
      <c r="A44" s="24" t="str">
        <f t="shared" si="3"/>
        <v>3_2-3/11&lt;lv5&gt;s3</v>
      </c>
      <c r="B44" s="19">
        <f t="shared" si="6"/>
        <v>3</v>
      </c>
      <c r="C44" s="19">
        <f t="shared" si="6"/>
        <v>2</v>
      </c>
      <c r="D44" s="19">
        <f t="shared" si="6"/>
        <v>3</v>
      </c>
      <c r="E44" s="19">
        <f t="shared" si="6"/>
        <v>11</v>
      </c>
      <c r="F44" s="19">
        <f t="shared" si="6"/>
        <v>5</v>
      </c>
      <c r="G44" s="19">
        <f t="shared" si="5"/>
        <v>1</v>
      </c>
      <c r="H44" s="19">
        <f t="shared" si="5"/>
        <v>1</v>
      </c>
      <c r="I44" s="19">
        <f t="shared" si="5"/>
        <v>0</v>
      </c>
      <c r="J44" s="19">
        <v>0</v>
      </c>
      <c r="K44" s="19">
        <f t="shared" si="6"/>
        <v>0</v>
      </c>
      <c r="L44" s="19">
        <f t="shared" si="6"/>
        <v>100</v>
      </c>
      <c r="M44" s="19">
        <f t="shared" si="6"/>
        <v>0</v>
      </c>
      <c r="N44" s="19">
        <f t="shared" si="6"/>
        <v>3</v>
      </c>
      <c r="O44" s="19">
        <f t="shared" si="6"/>
        <v>11</v>
      </c>
      <c r="P44" s="19">
        <f t="shared" si="6"/>
        <v>1</v>
      </c>
      <c r="Q44" s="19">
        <f t="shared" si="6"/>
        <v>1</v>
      </c>
      <c r="R44" s="19">
        <f t="shared" si="6"/>
        <v>30</v>
      </c>
      <c r="S44" s="19">
        <f t="shared" si="6"/>
        <v>0</v>
      </c>
      <c r="T44" s="19">
        <f t="shared" si="6"/>
        <v>0</v>
      </c>
      <c r="U44" s="19">
        <f t="shared" si="2"/>
        <v>0</v>
      </c>
      <c r="V44" s="19">
        <f t="shared" si="2"/>
        <v>0</v>
      </c>
      <c r="W44" s="19">
        <f t="shared" si="2"/>
        <v>1</v>
      </c>
    </row>
    <row r="45" spans="1:23" x14ac:dyDescent="0.15">
      <c r="A45" s="24" t="str">
        <f t="shared" si="3"/>
        <v>3_2-3/23&lt;lv5&gt;s4</v>
      </c>
      <c r="B45" s="19">
        <f t="shared" si="6"/>
        <v>3</v>
      </c>
      <c r="C45" s="19">
        <f t="shared" si="6"/>
        <v>2</v>
      </c>
      <c r="D45" s="19">
        <f t="shared" si="6"/>
        <v>3</v>
      </c>
      <c r="E45" s="19">
        <f t="shared" si="6"/>
        <v>23</v>
      </c>
      <c r="F45" s="19">
        <f t="shared" si="6"/>
        <v>5</v>
      </c>
      <c r="G45" s="19">
        <f t="shared" si="5"/>
        <v>1</v>
      </c>
      <c r="H45" s="19">
        <f t="shared" si="5"/>
        <v>1</v>
      </c>
      <c r="I45" s="19">
        <f t="shared" si="5"/>
        <v>0</v>
      </c>
      <c r="J45" s="19">
        <v>0</v>
      </c>
      <c r="K45" s="19">
        <f t="shared" si="6"/>
        <v>0</v>
      </c>
      <c r="L45" s="19">
        <f t="shared" si="6"/>
        <v>100</v>
      </c>
      <c r="M45" s="19">
        <f t="shared" si="6"/>
        <v>0</v>
      </c>
      <c r="N45" s="19">
        <f t="shared" si="6"/>
        <v>4</v>
      </c>
      <c r="O45" s="19">
        <f t="shared" si="6"/>
        <v>23</v>
      </c>
      <c r="P45" s="19">
        <f t="shared" si="6"/>
        <v>1</v>
      </c>
      <c r="Q45" s="19">
        <f t="shared" si="6"/>
        <v>1</v>
      </c>
      <c r="R45" s="19">
        <f t="shared" si="6"/>
        <v>30</v>
      </c>
      <c r="S45" s="19">
        <f t="shared" si="6"/>
        <v>0</v>
      </c>
      <c r="T45" s="19">
        <f t="shared" si="6"/>
        <v>0</v>
      </c>
      <c r="U45" s="19">
        <f t="shared" si="2"/>
        <v>0</v>
      </c>
      <c r="V45" s="19">
        <f t="shared" si="2"/>
        <v>0</v>
      </c>
      <c r="W45" s="19">
        <f t="shared" si="2"/>
        <v>1</v>
      </c>
    </row>
    <row r="46" spans="1:23" x14ac:dyDescent="0.15">
      <c r="A46" s="24" t="str">
        <f t="shared" si="3"/>
        <v>3_2-4/3&lt;lv5&gt;s2</v>
      </c>
      <c r="B46" s="19">
        <f t="shared" si="6"/>
        <v>3</v>
      </c>
      <c r="C46" s="19">
        <f t="shared" si="6"/>
        <v>2</v>
      </c>
      <c r="D46" s="19">
        <f t="shared" si="6"/>
        <v>4</v>
      </c>
      <c r="E46" s="19">
        <f t="shared" si="6"/>
        <v>3</v>
      </c>
      <c r="F46" s="19">
        <f t="shared" si="6"/>
        <v>5</v>
      </c>
      <c r="G46" s="19">
        <f t="shared" si="5"/>
        <v>1</v>
      </c>
      <c r="H46" s="19">
        <f t="shared" si="5"/>
        <v>1</v>
      </c>
      <c r="I46" s="19">
        <f t="shared" si="5"/>
        <v>0</v>
      </c>
      <c r="J46" s="19">
        <v>0</v>
      </c>
      <c r="K46" s="19">
        <f t="shared" si="6"/>
        <v>1</v>
      </c>
      <c r="L46" s="19">
        <f t="shared" si="6"/>
        <v>100</v>
      </c>
      <c r="M46" s="19">
        <f t="shared" si="6"/>
        <v>0</v>
      </c>
      <c r="N46" s="19">
        <f t="shared" si="6"/>
        <v>2</v>
      </c>
      <c r="O46" s="19">
        <f t="shared" si="6"/>
        <v>3</v>
      </c>
      <c r="P46" s="19">
        <f t="shared" si="6"/>
        <v>2</v>
      </c>
      <c r="Q46" s="19">
        <f t="shared" si="6"/>
        <v>1</v>
      </c>
      <c r="R46" s="19">
        <f t="shared" si="6"/>
        <v>0</v>
      </c>
      <c r="S46" s="19">
        <f t="shared" si="6"/>
        <v>0</v>
      </c>
      <c r="T46" s="19">
        <f t="shared" si="6"/>
        <v>0</v>
      </c>
      <c r="U46" s="19">
        <f t="shared" ref="U46:W109" si="7">VLOOKUP($A46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46" s="19">
        <f t="shared" si="7"/>
        <v>0</v>
      </c>
      <c r="W46" s="19">
        <f t="shared" si="7"/>
        <v>1</v>
      </c>
    </row>
    <row r="47" spans="1:23" x14ac:dyDescent="0.15">
      <c r="A47" s="24" t="str">
        <f t="shared" si="3"/>
        <v>3_2-4/51&lt;lv7&gt;s2</v>
      </c>
      <c r="B47" s="19">
        <f t="shared" si="6"/>
        <v>3</v>
      </c>
      <c r="C47" s="19">
        <f t="shared" si="6"/>
        <v>2</v>
      </c>
      <c r="D47" s="19">
        <f t="shared" si="6"/>
        <v>4</v>
      </c>
      <c r="E47" s="19">
        <f t="shared" si="6"/>
        <v>51</v>
      </c>
      <c r="F47" s="19">
        <f t="shared" si="6"/>
        <v>7</v>
      </c>
      <c r="G47" s="19">
        <f t="shared" si="5"/>
        <v>1</v>
      </c>
      <c r="H47" s="19">
        <f t="shared" si="5"/>
        <v>1</v>
      </c>
      <c r="I47" s="19">
        <f t="shared" si="5"/>
        <v>0</v>
      </c>
      <c r="J47" s="19">
        <v>51</v>
      </c>
      <c r="K47" s="19">
        <f t="shared" si="6"/>
        <v>1</v>
      </c>
      <c r="L47" s="19">
        <f t="shared" si="6"/>
        <v>100</v>
      </c>
      <c r="M47" s="19">
        <f t="shared" si="6"/>
        <v>1</v>
      </c>
      <c r="N47" s="19">
        <f t="shared" si="6"/>
        <v>2</v>
      </c>
      <c r="O47" s="19">
        <f t="shared" si="6"/>
        <v>51</v>
      </c>
      <c r="P47" s="19">
        <f t="shared" si="6"/>
        <v>1</v>
      </c>
      <c r="Q47" s="19">
        <f t="shared" si="6"/>
        <v>2</v>
      </c>
      <c r="R47" s="19">
        <f t="shared" si="6"/>
        <v>100</v>
      </c>
      <c r="S47" s="19">
        <f t="shared" si="6"/>
        <v>0</v>
      </c>
      <c r="T47" s="19">
        <f t="shared" si="6"/>
        <v>0</v>
      </c>
      <c r="U47" s="19">
        <f t="shared" si="7"/>
        <v>0</v>
      </c>
      <c r="V47" s="19">
        <f t="shared" si="7"/>
        <v>0</v>
      </c>
      <c r="W47" s="19">
        <f t="shared" si="7"/>
        <v>1</v>
      </c>
    </row>
    <row r="48" spans="1:23" x14ac:dyDescent="0.15">
      <c r="A48" s="24" t="str">
        <f t="shared" si="3"/>
        <v>3_2-4/3&lt;lv6&gt;s2</v>
      </c>
      <c r="B48" s="19">
        <f t="shared" si="6"/>
        <v>3</v>
      </c>
      <c r="C48" s="19">
        <f t="shared" si="6"/>
        <v>2</v>
      </c>
      <c r="D48" s="19">
        <f t="shared" si="6"/>
        <v>4</v>
      </c>
      <c r="E48" s="19">
        <f t="shared" si="6"/>
        <v>3</v>
      </c>
      <c r="F48" s="19">
        <f t="shared" si="6"/>
        <v>6</v>
      </c>
      <c r="G48" s="19">
        <f t="shared" si="5"/>
        <v>1</v>
      </c>
      <c r="H48" s="19">
        <f t="shared" si="5"/>
        <v>1</v>
      </c>
      <c r="I48" s="19">
        <f t="shared" si="5"/>
        <v>0</v>
      </c>
      <c r="J48" s="19">
        <v>0</v>
      </c>
      <c r="K48" s="19">
        <f t="shared" si="6"/>
        <v>1</v>
      </c>
      <c r="L48" s="19">
        <f t="shared" si="6"/>
        <v>100</v>
      </c>
      <c r="M48" s="19">
        <f t="shared" si="6"/>
        <v>0</v>
      </c>
      <c r="N48" s="19">
        <f t="shared" si="6"/>
        <v>2</v>
      </c>
      <c r="O48" s="19">
        <f t="shared" si="6"/>
        <v>3</v>
      </c>
      <c r="P48" s="19">
        <f t="shared" si="6"/>
        <v>2</v>
      </c>
      <c r="Q48" s="19">
        <f t="shared" si="6"/>
        <v>1</v>
      </c>
      <c r="R48" s="19">
        <f t="shared" si="6"/>
        <v>0</v>
      </c>
      <c r="S48" s="19">
        <f t="shared" si="6"/>
        <v>0</v>
      </c>
      <c r="T48" s="19">
        <f t="shared" si="6"/>
        <v>0</v>
      </c>
      <c r="U48" s="19">
        <f t="shared" si="7"/>
        <v>0</v>
      </c>
      <c r="V48" s="19">
        <f t="shared" si="7"/>
        <v>0</v>
      </c>
      <c r="W48" s="19">
        <f t="shared" si="7"/>
        <v>1</v>
      </c>
    </row>
    <row r="49" spans="1:23" x14ac:dyDescent="0.15">
      <c r="A49" s="24" t="str">
        <f t="shared" si="3"/>
        <v>3_3-1/3&lt;lv5&gt;s2</v>
      </c>
      <c r="B49" s="19">
        <f t="shared" si="6"/>
        <v>3</v>
      </c>
      <c r="C49" s="19">
        <f t="shared" si="6"/>
        <v>3</v>
      </c>
      <c r="D49" s="19">
        <f t="shared" si="6"/>
        <v>1</v>
      </c>
      <c r="E49" s="19">
        <f t="shared" si="6"/>
        <v>3</v>
      </c>
      <c r="F49" s="19">
        <f t="shared" si="6"/>
        <v>5</v>
      </c>
      <c r="G49" s="19">
        <f t="shared" si="5"/>
        <v>1</v>
      </c>
      <c r="H49" s="19">
        <f t="shared" si="5"/>
        <v>1</v>
      </c>
      <c r="I49" s="19">
        <f t="shared" si="5"/>
        <v>0</v>
      </c>
      <c r="J49" s="19">
        <v>560001</v>
      </c>
      <c r="K49" s="19">
        <v>1</v>
      </c>
      <c r="L49" s="19">
        <v>100</v>
      </c>
      <c r="M49" s="19">
        <v>1</v>
      </c>
      <c r="N49" s="19">
        <f t="shared" si="6"/>
        <v>2</v>
      </c>
      <c r="O49" s="19">
        <f t="shared" si="6"/>
        <v>3</v>
      </c>
      <c r="P49" s="19">
        <f t="shared" si="6"/>
        <v>3</v>
      </c>
      <c r="Q49" s="19">
        <f t="shared" si="6"/>
        <v>1</v>
      </c>
      <c r="R49" s="19">
        <f t="shared" si="6"/>
        <v>30</v>
      </c>
      <c r="S49" s="19">
        <f t="shared" si="6"/>
        <v>0</v>
      </c>
      <c r="T49" s="19">
        <f t="shared" si="6"/>
        <v>0</v>
      </c>
      <c r="U49" s="19">
        <f t="shared" si="7"/>
        <v>0</v>
      </c>
      <c r="V49" s="19">
        <f t="shared" si="7"/>
        <v>0</v>
      </c>
      <c r="W49" s="19">
        <f t="shared" si="7"/>
        <v>1</v>
      </c>
    </row>
    <row r="50" spans="1:23" x14ac:dyDescent="0.15">
      <c r="A50" s="24" t="str">
        <f t="shared" si="3"/>
        <v>3_3-1/11&lt;lv5&gt;s3</v>
      </c>
      <c r="B50" s="19">
        <f t="shared" si="6"/>
        <v>3</v>
      </c>
      <c r="C50" s="19">
        <f t="shared" si="6"/>
        <v>3</v>
      </c>
      <c r="D50" s="19">
        <f t="shared" si="6"/>
        <v>1</v>
      </c>
      <c r="E50" s="19">
        <f t="shared" si="6"/>
        <v>11</v>
      </c>
      <c r="F50" s="19">
        <f t="shared" si="6"/>
        <v>5</v>
      </c>
      <c r="G50" s="19">
        <f t="shared" si="5"/>
        <v>1</v>
      </c>
      <c r="H50" s="19">
        <f t="shared" si="5"/>
        <v>1</v>
      </c>
      <c r="I50" s="19">
        <f t="shared" si="5"/>
        <v>0</v>
      </c>
      <c r="J50" s="19">
        <v>0</v>
      </c>
      <c r="K50" s="19">
        <f t="shared" si="6"/>
        <v>0</v>
      </c>
      <c r="L50" s="19">
        <f t="shared" si="6"/>
        <v>100</v>
      </c>
      <c r="M50" s="19">
        <f t="shared" si="6"/>
        <v>0</v>
      </c>
      <c r="N50" s="19">
        <f t="shared" si="6"/>
        <v>3</v>
      </c>
      <c r="O50" s="19">
        <f t="shared" si="6"/>
        <v>11</v>
      </c>
      <c r="P50" s="19">
        <f t="shared" si="6"/>
        <v>1</v>
      </c>
      <c r="Q50" s="19">
        <f t="shared" si="6"/>
        <v>1</v>
      </c>
      <c r="R50" s="19">
        <f t="shared" ref="B50:T66" si="8">VLOOKUP($A50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30</v>
      </c>
      <c r="S50" s="19">
        <f t="shared" si="8"/>
        <v>0</v>
      </c>
      <c r="T50" s="19">
        <f t="shared" si="8"/>
        <v>0</v>
      </c>
      <c r="U50" s="19">
        <f t="shared" si="7"/>
        <v>0</v>
      </c>
      <c r="V50" s="19">
        <f t="shared" si="7"/>
        <v>0</v>
      </c>
      <c r="W50" s="19">
        <f t="shared" si="7"/>
        <v>1</v>
      </c>
    </row>
    <row r="51" spans="1:23" x14ac:dyDescent="0.15">
      <c r="A51" s="24" t="str">
        <f t="shared" si="3"/>
        <v>3_3-1/23&lt;lv5&gt;s4</v>
      </c>
      <c r="B51" s="19">
        <f t="shared" si="8"/>
        <v>3</v>
      </c>
      <c r="C51" s="19">
        <f t="shared" si="8"/>
        <v>3</v>
      </c>
      <c r="D51" s="19">
        <f t="shared" si="8"/>
        <v>1</v>
      </c>
      <c r="E51" s="19">
        <f t="shared" si="8"/>
        <v>23</v>
      </c>
      <c r="F51" s="19">
        <f t="shared" si="8"/>
        <v>5</v>
      </c>
      <c r="G51" s="19">
        <f t="shared" si="5"/>
        <v>1</v>
      </c>
      <c r="H51" s="19">
        <f t="shared" si="5"/>
        <v>1</v>
      </c>
      <c r="I51" s="19">
        <f t="shared" si="5"/>
        <v>0</v>
      </c>
      <c r="J51" s="19">
        <v>0</v>
      </c>
      <c r="K51" s="19">
        <f t="shared" si="8"/>
        <v>0</v>
      </c>
      <c r="L51" s="19">
        <f t="shared" si="8"/>
        <v>100</v>
      </c>
      <c r="M51" s="19">
        <f t="shared" si="8"/>
        <v>0</v>
      </c>
      <c r="N51" s="19">
        <f t="shared" si="8"/>
        <v>4</v>
      </c>
      <c r="O51" s="19">
        <f t="shared" si="8"/>
        <v>23</v>
      </c>
      <c r="P51" s="19">
        <f t="shared" si="8"/>
        <v>1</v>
      </c>
      <c r="Q51" s="19">
        <f t="shared" si="8"/>
        <v>1</v>
      </c>
      <c r="R51" s="19">
        <f t="shared" si="8"/>
        <v>30</v>
      </c>
      <c r="S51" s="19">
        <f t="shared" si="8"/>
        <v>0</v>
      </c>
      <c r="T51" s="19">
        <f t="shared" si="8"/>
        <v>0</v>
      </c>
      <c r="U51" s="19">
        <f t="shared" si="7"/>
        <v>0</v>
      </c>
      <c r="V51" s="19">
        <f t="shared" si="7"/>
        <v>0</v>
      </c>
      <c r="W51" s="19">
        <f t="shared" si="7"/>
        <v>1</v>
      </c>
    </row>
    <row r="52" spans="1:23" x14ac:dyDescent="0.15">
      <c r="A52" s="24" t="str">
        <f t="shared" si="3"/>
        <v>3_3-2/3&lt;lv5&gt;s2</v>
      </c>
      <c r="B52" s="19">
        <f t="shared" si="8"/>
        <v>3</v>
      </c>
      <c r="C52" s="19">
        <f t="shared" si="8"/>
        <v>3</v>
      </c>
      <c r="D52" s="19">
        <f t="shared" si="8"/>
        <v>2</v>
      </c>
      <c r="E52" s="19">
        <f t="shared" si="8"/>
        <v>3</v>
      </c>
      <c r="F52" s="19">
        <f t="shared" si="8"/>
        <v>5</v>
      </c>
      <c r="G52" s="19">
        <f t="shared" si="5"/>
        <v>1</v>
      </c>
      <c r="H52" s="19">
        <f t="shared" si="5"/>
        <v>1</v>
      </c>
      <c r="I52" s="19">
        <f t="shared" si="5"/>
        <v>0</v>
      </c>
      <c r="J52" s="19">
        <v>0</v>
      </c>
      <c r="K52" s="19">
        <f t="shared" si="8"/>
        <v>0</v>
      </c>
      <c r="L52" s="19">
        <f t="shared" si="8"/>
        <v>100</v>
      </c>
      <c r="M52" s="19">
        <f t="shared" si="8"/>
        <v>0</v>
      </c>
      <c r="N52" s="19">
        <f t="shared" si="8"/>
        <v>2</v>
      </c>
      <c r="O52" s="19">
        <f t="shared" si="8"/>
        <v>3</v>
      </c>
      <c r="P52" s="19">
        <f t="shared" si="8"/>
        <v>3</v>
      </c>
      <c r="Q52" s="19">
        <f t="shared" si="8"/>
        <v>1</v>
      </c>
      <c r="R52" s="19">
        <f t="shared" si="8"/>
        <v>30</v>
      </c>
      <c r="S52" s="19">
        <f t="shared" si="8"/>
        <v>0</v>
      </c>
      <c r="T52" s="19">
        <f t="shared" si="8"/>
        <v>0</v>
      </c>
      <c r="U52" s="19">
        <f t="shared" si="7"/>
        <v>0</v>
      </c>
      <c r="V52" s="19">
        <f t="shared" si="7"/>
        <v>0</v>
      </c>
      <c r="W52" s="19">
        <f t="shared" si="7"/>
        <v>1</v>
      </c>
    </row>
    <row r="53" spans="1:23" x14ac:dyDescent="0.15">
      <c r="A53" s="24" t="str">
        <f t="shared" si="3"/>
        <v>3_3-2/11&lt;lv5&gt;s3</v>
      </c>
      <c r="B53" s="19">
        <f t="shared" si="8"/>
        <v>3</v>
      </c>
      <c r="C53" s="19">
        <f t="shared" si="8"/>
        <v>3</v>
      </c>
      <c r="D53" s="19">
        <f t="shared" si="8"/>
        <v>2</v>
      </c>
      <c r="E53" s="19">
        <f t="shared" si="8"/>
        <v>11</v>
      </c>
      <c r="F53" s="19">
        <f t="shared" si="8"/>
        <v>5</v>
      </c>
      <c r="G53" s="19">
        <f t="shared" si="5"/>
        <v>1</v>
      </c>
      <c r="H53" s="19">
        <f t="shared" si="5"/>
        <v>1</v>
      </c>
      <c r="I53" s="19">
        <f t="shared" si="5"/>
        <v>0</v>
      </c>
      <c r="J53" s="19">
        <v>0</v>
      </c>
      <c r="K53" s="19">
        <f t="shared" si="8"/>
        <v>0</v>
      </c>
      <c r="L53" s="19">
        <f t="shared" si="8"/>
        <v>100</v>
      </c>
      <c r="M53" s="19">
        <f t="shared" si="8"/>
        <v>0</v>
      </c>
      <c r="N53" s="19">
        <f t="shared" si="8"/>
        <v>3</v>
      </c>
      <c r="O53" s="19">
        <f t="shared" si="8"/>
        <v>11</v>
      </c>
      <c r="P53" s="19">
        <f t="shared" si="8"/>
        <v>1</v>
      </c>
      <c r="Q53" s="19">
        <f t="shared" si="8"/>
        <v>1</v>
      </c>
      <c r="R53" s="19">
        <f t="shared" si="8"/>
        <v>30</v>
      </c>
      <c r="S53" s="19">
        <f t="shared" si="8"/>
        <v>0</v>
      </c>
      <c r="T53" s="19">
        <f t="shared" si="8"/>
        <v>0</v>
      </c>
      <c r="U53" s="19">
        <f t="shared" si="7"/>
        <v>0</v>
      </c>
      <c r="V53" s="19">
        <f t="shared" si="7"/>
        <v>0</v>
      </c>
      <c r="W53" s="19">
        <f t="shared" si="7"/>
        <v>1</v>
      </c>
    </row>
    <row r="54" spans="1:23" x14ac:dyDescent="0.15">
      <c r="A54" s="24" t="str">
        <f t="shared" si="3"/>
        <v>3_3-2/23&lt;lv5&gt;s4</v>
      </c>
      <c r="B54" s="19">
        <f t="shared" si="8"/>
        <v>3</v>
      </c>
      <c r="C54" s="19">
        <f t="shared" si="8"/>
        <v>3</v>
      </c>
      <c r="D54" s="19">
        <f t="shared" si="8"/>
        <v>2</v>
      </c>
      <c r="E54" s="19">
        <f t="shared" si="8"/>
        <v>23</v>
      </c>
      <c r="F54" s="19">
        <f t="shared" si="8"/>
        <v>5</v>
      </c>
      <c r="G54" s="19">
        <f t="shared" si="5"/>
        <v>1</v>
      </c>
      <c r="H54" s="19">
        <f t="shared" si="5"/>
        <v>1</v>
      </c>
      <c r="I54" s="19">
        <f t="shared" si="5"/>
        <v>0</v>
      </c>
      <c r="J54" s="19">
        <v>0</v>
      </c>
      <c r="K54" s="19">
        <f t="shared" si="8"/>
        <v>0</v>
      </c>
      <c r="L54" s="19">
        <f t="shared" si="8"/>
        <v>100</v>
      </c>
      <c r="M54" s="19">
        <f t="shared" si="8"/>
        <v>0</v>
      </c>
      <c r="N54" s="19">
        <f t="shared" si="8"/>
        <v>4</v>
      </c>
      <c r="O54" s="19">
        <f t="shared" si="8"/>
        <v>23</v>
      </c>
      <c r="P54" s="19">
        <f t="shared" si="8"/>
        <v>1</v>
      </c>
      <c r="Q54" s="19">
        <f t="shared" si="8"/>
        <v>1</v>
      </c>
      <c r="R54" s="19">
        <f t="shared" si="8"/>
        <v>30</v>
      </c>
      <c r="S54" s="19">
        <f t="shared" si="8"/>
        <v>0</v>
      </c>
      <c r="T54" s="19">
        <f t="shared" si="8"/>
        <v>0</v>
      </c>
      <c r="U54" s="19">
        <f t="shared" si="7"/>
        <v>0</v>
      </c>
      <c r="V54" s="19">
        <f t="shared" si="7"/>
        <v>0</v>
      </c>
      <c r="W54" s="19">
        <f t="shared" si="7"/>
        <v>1</v>
      </c>
    </row>
    <row r="55" spans="1:23" x14ac:dyDescent="0.15">
      <c r="A55" s="24" t="str">
        <f t="shared" si="3"/>
        <v>3_3-3/3&lt;lv5&gt;s2</v>
      </c>
      <c r="B55" s="19">
        <f t="shared" si="8"/>
        <v>3</v>
      </c>
      <c r="C55" s="19">
        <f t="shared" si="8"/>
        <v>3</v>
      </c>
      <c r="D55" s="19">
        <f t="shared" si="8"/>
        <v>3</v>
      </c>
      <c r="E55" s="19">
        <f t="shared" si="8"/>
        <v>3</v>
      </c>
      <c r="F55" s="19">
        <f t="shared" si="8"/>
        <v>5</v>
      </c>
      <c r="G55" s="19">
        <f t="shared" si="5"/>
        <v>1</v>
      </c>
      <c r="H55" s="19">
        <f t="shared" si="5"/>
        <v>1</v>
      </c>
      <c r="I55" s="19">
        <f t="shared" si="5"/>
        <v>0</v>
      </c>
      <c r="J55" s="19">
        <v>0</v>
      </c>
      <c r="K55" s="19">
        <f t="shared" si="8"/>
        <v>0</v>
      </c>
      <c r="L55" s="19">
        <f t="shared" si="8"/>
        <v>100</v>
      </c>
      <c r="M55" s="19">
        <f t="shared" si="8"/>
        <v>0</v>
      </c>
      <c r="N55" s="19">
        <f t="shared" si="8"/>
        <v>2</v>
      </c>
      <c r="O55" s="19">
        <f t="shared" si="8"/>
        <v>3</v>
      </c>
      <c r="P55" s="19">
        <f t="shared" si="8"/>
        <v>3</v>
      </c>
      <c r="Q55" s="19">
        <f t="shared" si="8"/>
        <v>1</v>
      </c>
      <c r="R55" s="19">
        <f t="shared" si="8"/>
        <v>40</v>
      </c>
      <c r="S55" s="19">
        <f t="shared" si="8"/>
        <v>0</v>
      </c>
      <c r="T55" s="19">
        <f t="shared" si="8"/>
        <v>0</v>
      </c>
      <c r="U55" s="19">
        <f t="shared" si="7"/>
        <v>0</v>
      </c>
      <c r="V55" s="19">
        <f t="shared" si="7"/>
        <v>0</v>
      </c>
      <c r="W55" s="19">
        <f t="shared" si="7"/>
        <v>1</v>
      </c>
    </row>
    <row r="56" spans="1:23" x14ac:dyDescent="0.15">
      <c r="A56" s="24" t="str">
        <f t="shared" si="3"/>
        <v>3_3-3/11&lt;lv5&gt;s3</v>
      </c>
      <c r="B56" s="19">
        <f t="shared" si="8"/>
        <v>3</v>
      </c>
      <c r="C56" s="19">
        <f t="shared" si="8"/>
        <v>3</v>
      </c>
      <c r="D56" s="19">
        <f t="shared" si="8"/>
        <v>3</v>
      </c>
      <c r="E56" s="19">
        <f t="shared" si="8"/>
        <v>11</v>
      </c>
      <c r="F56" s="19">
        <f t="shared" si="8"/>
        <v>5</v>
      </c>
      <c r="G56" s="19">
        <f t="shared" si="5"/>
        <v>1</v>
      </c>
      <c r="H56" s="19">
        <f t="shared" si="5"/>
        <v>1</v>
      </c>
      <c r="I56" s="19">
        <f t="shared" si="5"/>
        <v>0</v>
      </c>
      <c r="J56" s="19">
        <v>0</v>
      </c>
      <c r="K56" s="19">
        <f t="shared" si="8"/>
        <v>0</v>
      </c>
      <c r="L56" s="19">
        <f t="shared" si="8"/>
        <v>100</v>
      </c>
      <c r="M56" s="19">
        <f t="shared" si="8"/>
        <v>0</v>
      </c>
      <c r="N56" s="19">
        <f t="shared" si="8"/>
        <v>3</v>
      </c>
      <c r="O56" s="19">
        <f t="shared" si="8"/>
        <v>11</v>
      </c>
      <c r="P56" s="19">
        <f t="shared" si="8"/>
        <v>1</v>
      </c>
      <c r="Q56" s="19">
        <f t="shared" si="8"/>
        <v>1</v>
      </c>
      <c r="R56" s="19">
        <f t="shared" si="8"/>
        <v>40</v>
      </c>
      <c r="S56" s="19">
        <f t="shared" si="8"/>
        <v>0</v>
      </c>
      <c r="T56" s="19">
        <f t="shared" si="8"/>
        <v>0</v>
      </c>
      <c r="U56" s="19">
        <f t="shared" si="7"/>
        <v>0</v>
      </c>
      <c r="V56" s="19">
        <f t="shared" si="7"/>
        <v>0</v>
      </c>
      <c r="W56" s="19">
        <f t="shared" si="7"/>
        <v>1</v>
      </c>
    </row>
    <row r="57" spans="1:23" x14ac:dyDescent="0.15">
      <c r="A57" s="24" t="str">
        <f t="shared" si="3"/>
        <v>3_3-3/23&lt;lv5&gt;s4</v>
      </c>
      <c r="B57" s="19">
        <f t="shared" si="8"/>
        <v>3</v>
      </c>
      <c r="C57" s="19">
        <f t="shared" si="8"/>
        <v>3</v>
      </c>
      <c r="D57" s="19">
        <f t="shared" si="8"/>
        <v>3</v>
      </c>
      <c r="E57" s="19">
        <f t="shared" si="8"/>
        <v>23</v>
      </c>
      <c r="F57" s="19">
        <f t="shared" si="8"/>
        <v>5</v>
      </c>
      <c r="G57" s="19">
        <f t="shared" si="5"/>
        <v>1</v>
      </c>
      <c r="H57" s="19">
        <f t="shared" si="5"/>
        <v>1</v>
      </c>
      <c r="I57" s="19">
        <f t="shared" si="5"/>
        <v>0</v>
      </c>
      <c r="J57" s="19">
        <v>0</v>
      </c>
      <c r="K57" s="19">
        <f t="shared" si="8"/>
        <v>0</v>
      </c>
      <c r="L57" s="19">
        <f t="shared" si="8"/>
        <v>100</v>
      </c>
      <c r="M57" s="19">
        <f t="shared" si="8"/>
        <v>0</v>
      </c>
      <c r="N57" s="19">
        <f t="shared" si="8"/>
        <v>4</v>
      </c>
      <c r="O57" s="19">
        <f t="shared" si="8"/>
        <v>23</v>
      </c>
      <c r="P57" s="19">
        <f t="shared" si="8"/>
        <v>1</v>
      </c>
      <c r="Q57" s="19">
        <f t="shared" si="8"/>
        <v>1</v>
      </c>
      <c r="R57" s="19">
        <f t="shared" si="8"/>
        <v>40</v>
      </c>
      <c r="S57" s="19">
        <f t="shared" si="8"/>
        <v>0</v>
      </c>
      <c r="T57" s="19">
        <f t="shared" si="8"/>
        <v>0</v>
      </c>
      <c r="U57" s="19">
        <f t="shared" si="7"/>
        <v>0</v>
      </c>
      <c r="V57" s="19">
        <f t="shared" si="7"/>
        <v>0</v>
      </c>
      <c r="W57" s="19">
        <f t="shared" si="7"/>
        <v>1</v>
      </c>
    </row>
    <row r="58" spans="1:23" x14ac:dyDescent="0.15">
      <c r="A58" s="24" t="str">
        <f t="shared" si="3"/>
        <v>3_3-4/144&lt;lv7&gt;s2</v>
      </c>
      <c r="B58" s="19">
        <f t="shared" si="8"/>
        <v>3</v>
      </c>
      <c r="C58" s="19">
        <f t="shared" si="8"/>
        <v>3</v>
      </c>
      <c r="D58" s="19">
        <f t="shared" si="8"/>
        <v>4</v>
      </c>
      <c r="E58" s="19">
        <f t="shared" si="8"/>
        <v>144</v>
      </c>
      <c r="F58" s="19">
        <f t="shared" si="8"/>
        <v>7</v>
      </c>
      <c r="G58" s="19">
        <f t="shared" si="5"/>
        <v>1</v>
      </c>
      <c r="H58" s="19">
        <f t="shared" si="5"/>
        <v>1</v>
      </c>
      <c r="I58" s="19">
        <f t="shared" si="5"/>
        <v>0</v>
      </c>
      <c r="J58" s="19">
        <v>0</v>
      </c>
      <c r="K58" s="19">
        <f t="shared" si="8"/>
        <v>1</v>
      </c>
      <c r="L58" s="19">
        <f t="shared" si="8"/>
        <v>100</v>
      </c>
      <c r="M58" s="19">
        <f t="shared" si="8"/>
        <v>1</v>
      </c>
      <c r="N58" s="19">
        <f t="shared" si="8"/>
        <v>2</v>
      </c>
      <c r="O58" s="19">
        <f t="shared" si="8"/>
        <v>144</v>
      </c>
      <c r="P58" s="19">
        <f t="shared" si="8"/>
        <v>1</v>
      </c>
      <c r="Q58" s="19">
        <f t="shared" si="8"/>
        <v>3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7"/>
        <v>0</v>
      </c>
      <c r="V58" s="19">
        <f t="shared" si="7"/>
        <v>0</v>
      </c>
      <c r="W58" s="19">
        <f t="shared" si="7"/>
        <v>1</v>
      </c>
    </row>
    <row r="59" spans="1:23" x14ac:dyDescent="0.15">
      <c r="A59" s="24" t="str">
        <f t="shared" si="3"/>
        <v>3_3-4/23&lt;lv5&gt;s4</v>
      </c>
      <c r="B59" s="19">
        <f t="shared" si="8"/>
        <v>3</v>
      </c>
      <c r="C59" s="19">
        <f t="shared" si="8"/>
        <v>3</v>
      </c>
      <c r="D59" s="19">
        <f t="shared" si="8"/>
        <v>4</v>
      </c>
      <c r="E59" s="19">
        <f t="shared" si="8"/>
        <v>23</v>
      </c>
      <c r="F59" s="19">
        <f t="shared" si="8"/>
        <v>5</v>
      </c>
      <c r="G59" s="19">
        <f t="shared" si="5"/>
        <v>1</v>
      </c>
      <c r="H59" s="19">
        <f t="shared" si="5"/>
        <v>1</v>
      </c>
      <c r="I59" s="19">
        <f t="shared" si="5"/>
        <v>0</v>
      </c>
      <c r="J59" s="19">
        <v>0</v>
      </c>
      <c r="K59" s="19">
        <f t="shared" si="8"/>
        <v>2</v>
      </c>
      <c r="L59" s="19">
        <f t="shared" si="8"/>
        <v>100</v>
      </c>
      <c r="M59" s="19">
        <f t="shared" si="8"/>
        <v>0</v>
      </c>
      <c r="N59" s="19">
        <f t="shared" si="8"/>
        <v>4</v>
      </c>
      <c r="O59" s="19">
        <f t="shared" si="8"/>
        <v>23</v>
      </c>
      <c r="P59" s="19">
        <f t="shared" si="8"/>
        <v>1</v>
      </c>
      <c r="Q59" s="19">
        <f t="shared" si="8"/>
        <v>1</v>
      </c>
      <c r="R59" s="19">
        <f t="shared" si="8"/>
        <v>0</v>
      </c>
      <c r="S59" s="19">
        <f t="shared" si="8"/>
        <v>0</v>
      </c>
      <c r="T59" s="19">
        <f t="shared" si="8"/>
        <v>0</v>
      </c>
      <c r="U59" s="19">
        <f t="shared" si="7"/>
        <v>0</v>
      </c>
      <c r="V59" s="19">
        <f t="shared" si="7"/>
        <v>0</v>
      </c>
      <c r="W59" s="19">
        <f t="shared" si="7"/>
        <v>1</v>
      </c>
    </row>
    <row r="60" spans="1:23" x14ac:dyDescent="0.15">
      <c r="A60" s="24" t="str">
        <f t="shared" si="3"/>
        <v>3_4-1/336&lt;lv1&gt;s1</v>
      </c>
      <c r="B60" s="19">
        <f t="shared" si="8"/>
        <v>3</v>
      </c>
      <c r="C60" s="19">
        <f t="shared" si="8"/>
        <v>4</v>
      </c>
      <c r="D60" s="19">
        <f t="shared" si="8"/>
        <v>1</v>
      </c>
      <c r="E60" s="19">
        <f t="shared" si="8"/>
        <v>336</v>
      </c>
      <c r="F60" s="19">
        <f t="shared" si="8"/>
        <v>1</v>
      </c>
      <c r="G60" s="19">
        <f t="shared" si="5"/>
        <v>1</v>
      </c>
      <c r="H60" s="19">
        <f t="shared" si="5"/>
        <v>1</v>
      </c>
      <c r="I60" s="19">
        <f t="shared" si="5"/>
        <v>0</v>
      </c>
      <c r="J60" s="19">
        <v>560001</v>
      </c>
      <c r="K60" s="19">
        <v>1</v>
      </c>
      <c r="L60" s="19">
        <v>100</v>
      </c>
      <c r="M60" s="19">
        <v>1</v>
      </c>
      <c r="N60" s="19">
        <f t="shared" si="8"/>
        <v>1</v>
      </c>
      <c r="O60" s="19">
        <f t="shared" si="8"/>
        <v>336</v>
      </c>
      <c r="P60" s="19">
        <f t="shared" si="8"/>
        <v>1</v>
      </c>
      <c r="Q60" s="19">
        <f t="shared" si="8"/>
        <v>3</v>
      </c>
      <c r="R60" s="19">
        <f t="shared" si="8"/>
        <v>100</v>
      </c>
      <c r="S60" s="19">
        <f t="shared" si="8"/>
        <v>0</v>
      </c>
      <c r="T60" s="19">
        <f t="shared" si="8"/>
        <v>0</v>
      </c>
      <c r="U60" s="19">
        <f t="shared" si="7"/>
        <v>0</v>
      </c>
      <c r="V60" s="19">
        <f t="shared" si="7"/>
        <v>0</v>
      </c>
      <c r="W60" s="19">
        <f t="shared" si="7"/>
        <v>1</v>
      </c>
    </row>
    <row r="61" spans="1:23" x14ac:dyDescent="0.15">
      <c r="A61" s="24" t="str">
        <f t="shared" si="3"/>
        <v>3_4-2/117&lt;lv1&gt;s1</v>
      </c>
      <c r="B61" s="19">
        <f t="shared" si="8"/>
        <v>3</v>
      </c>
      <c r="C61" s="19">
        <f t="shared" si="8"/>
        <v>4</v>
      </c>
      <c r="D61" s="19">
        <f t="shared" si="8"/>
        <v>2</v>
      </c>
      <c r="E61" s="19">
        <f t="shared" si="8"/>
        <v>117</v>
      </c>
      <c r="F61" s="19">
        <f t="shared" si="8"/>
        <v>1</v>
      </c>
      <c r="G61" s="19">
        <f t="shared" si="5"/>
        <v>1</v>
      </c>
      <c r="H61" s="19">
        <f t="shared" si="5"/>
        <v>1</v>
      </c>
      <c r="I61" s="19">
        <f t="shared" si="5"/>
        <v>0</v>
      </c>
      <c r="J61" s="19">
        <v>0</v>
      </c>
      <c r="K61" s="19">
        <f t="shared" si="8"/>
        <v>0</v>
      </c>
      <c r="L61" s="19">
        <f t="shared" si="8"/>
        <v>100</v>
      </c>
      <c r="M61" s="19">
        <f t="shared" si="8"/>
        <v>0</v>
      </c>
      <c r="N61" s="19">
        <f t="shared" si="8"/>
        <v>1</v>
      </c>
      <c r="O61" s="19">
        <f t="shared" si="8"/>
        <v>117</v>
      </c>
      <c r="P61" s="19">
        <f t="shared" si="8"/>
        <v>1</v>
      </c>
      <c r="Q61" s="19">
        <f t="shared" si="8"/>
        <v>3</v>
      </c>
      <c r="R61" s="19">
        <f t="shared" si="8"/>
        <v>100</v>
      </c>
      <c r="S61" s="19">
        <f t="shared" si="8"/>
        <v>0</v>
      </c>
      <c r="T61" s="19">
        <f t="shared" si="8"/>
        <v>0</v>
      </c>
      <c r="U61" s="19">
        <f t="shared" si="7"/>
        <v>0</v>
      </c>
      <c r="V61" s="19">
        <f t="shared" si="7"/>
        <v>0</v>
      </c>
      <c r="W61" s="19">
        <f t="shared" si="7"/>
        <v>1</v>
      </c>
    </row>
    <row r="62" spans="1:23" x14ac:dyDescent="0.15">
      <c r="A62" s="24" t="str">
        <f t="shared" si="3"/>
        <v>3_4-3/336&lt;lv1&gt;s1</v>
      </c>
      <c r="B62" s="19">
        <f t="shared" si="8"/>
        <v>3</v>
      </c>
      <c r="C62" s="19">
        <f t="shared" si="8"/>
        <v>4</v>
      </c>
      <c r="D62" s="19">
        <f t="shared" si="8"/>
        <v>3</v>
      </c>
      <c r="E62" s="19">
        <f t="shared" si="8"/>
        <v>336</v>
      </c>
      <c r="F62" s="19">
        <f t="shared" si="8"/>
        <v>1</v>
      </c>
      <c r="G62" s="19">
        <f t="shared" si="5"/>
        <v>1</v>
      </c>
      <c r="H62" s="19">
        <f t="shared" si="5"/>
        <v>1</v>
      </c>
      <c r="I62" s="19">
        <f t="shared" si="5"/>
        <v>0</v>
      </c>
      <c r="J62" s="19">
        <v>0</v>
      </c>
      <c r="K62" s="19">
        <f t="shared" si="8"/>
        <v>0</v>
      </c>
      <c r="L62" s="19">
        <f t="shared" si="8"/>
        <v>100</v>
      </c>
      <c r="M62" s="19">
        <f t="shared" si="8"/>
        <v>0</v>
      </c>
      <c r="N62" s="19">
        <f t="shared" si="8"/>
        <v>1</v>
      </c>
      <c r="O62" s="19">
        <f t="shared" si="8"/>
        <v>336</v>
      </c>
      <c r="P62" s="19">
        <f t="shared" si="8"/>
        <v>1</v>
      </c>
      <c r="Q62" s="19">
        <f t="shared" si="8"/>
        <v>3</v>
      </c>
      <c r="R62" s="19">
        <f t="shared" si="8"/>
        <v>100</v>
      </c>
      <c r="S62" s="19">
        <f t="shared" si="8"/>
        <v>0</v>
      </c>
      <c r="T62" s="19">
        <f t="shared" si="8"/>
        <v>0</v>
      </c>
      <c r="U62" s="19">
        <f t="shared" si="7"/>
        <v>0</v>
      </c>
      <c r="V62" s="19">
        <f t="shared" si="7"/>
        <v>0</v>
      </c>
      <c r="W62" s="19">
        <f t="shared" si="7"/>
        <v>1</v>
      </c>
    </row>
    <row r="63" spans="1:23" x14ac:dyDescent="0.15">
      <c r="A63" s="24" t="str">
        <f t="shared" si="3"/>
        <v>3_4-4/117&lt;lv1&gt;s1</v>
      </c>
      <c r="B63" s="19">
        <f t="shared" si="8"/>
        <v>3</v>
      </c>
      <c r="C63" s="19">
        <f t="shared" si="8"/>
        <v>4</v>
      </c>
      <c r="D63" s="19">
        <f t="shared" si="8"/>
        <v>4</v>
      </c>
      <c r="E63" s="19">
        <f t="shared" si="8"/>
        <v>117</v>
      </c>
      <c r="F63" s="19">
        <f t="shared" si="8"/>
        <v>1</v>
      </c>
      <c r="G63" s="19">
        <f t="shared" si="5"/>
        <v>1</v>
      </c>
      <c r="H63" s="19">
        <f t="shared" si="5"/>
        <v>1</v>
      </c>
      <c r="I63" s="19">
        <f t="shared" si="5"/>
        <v>0</v>
      </c>
      <c r="J63" s="19">
        <v>0</v>
      </c>
      <c r="K63" s="19">
        <f t="shared" si="8"/>
        <v>2</v>
      </c>
      <c r="L63" s="19">
        <f t="shared" si="8"/>
        <v>100</v>
      </c>
      <c r="M63" s="19">
        <f t="shared" si="8"/>
        <v>0</v>
      </c>
      <c r="N63" s="19">
        <f t="shared" si="8"/>
        <v>1</v>
      </c>
      <c r="O63" s="19">
        <f t="shared" si="8"/>
        <v>117</v>
      </c>
      <c r="P63" s="19">
        <f t="shared" si="8"/>
        <v>1</v>
      </c>
      <c r="Q63" s="19">
        <f t="shared" si="8"/>
        <v>3</v>
      </c>
      <c r="R63" s="19">
        <f t="shared" si="8"/>
        <v>0</v>
      </c>
      <c r="S63" s="19">
        <f t="shared" si="8"/>
        <v>0</v>
      </c>
      <c r="T63" s="19">
        <f t="shared" si="8"/>
        <v>0</v>
      </c>
      <c r="U63" s="19">
        <f t="shared" si="7"/>
        <v>0</v>
      </c>
      <c r="V63" s="19">
        <f t="shared" si="7"/>
        <v>0</v>
      </c>
      <c r="W63" s="19">
        <f t="shared" si="7"/>
        <v>1</v>
      </c>
    </row>
    <row r="64" spans="1:23" x14ac:dyDescent="0.15">
      <c r="A64" s="24" t="str">
        <f t="shared" si="3"/>
        <v>3_4-4/118&lt;lv1&gt;s2</v>
      </c>
      <c r="B64" s="19">
        <f t="shared" si="8"/>
        <v>3</v>
      </c>
      <c r="C64" s="19">
        <f t="shared" si="8"/>
        <v>4</v>
      </c>
      <c r="D64" s="19">
        <f t="shared" si="8"/>
        <v>4</v>
      </c>
      <c r="E64" s="19">
        <f t="shared" si="8"/>
        <v>118</v>
      </c>
      <c r="F64" s="19">
        <f t="shared" si="8"/>
        <v>1</v>
      </c>
      <c r="G64" s="19">
        <f t="shared" si="5"/>
        <v>1</v>
      </c>
      <c r="H64" s="19">
        <f t="shared" si="5"/>
        <v>1</v>
      </c>
      <c r="I64" s="19">
        <f t="shared" si="5"/>
        <v>0</v>
      </c>
      <c r="J64" s="19">
        <v>0</v>
      </c>
      <c r="K64" s="19">
        <f t="shared" si="8"/>
        <v>1</v>
      </c>
      <c r="L64" s="19">
        <f t="shared" si="8"/>
        <v>100</v>
      </c>
      <c r="M64" s="19">
        <f t="shared" si="8"/>
        <v>1</v>
      </c>
      <c r="N64" s="19">
        <f t="shared" si="8"/>
        <v>2</v>
      </c>
      <c r="O64" s="19">
        <f t="shared" si="8"/>
        <v>118</v>
      </c>
      <c r="P64" s="19">
        <f t="shared" si="8"/>
        <v>1</v>
      </c>
      <c r="Q64" s="19">
        <f t="shared" si="8"/>
        <v>4</v>
      </c>
      <c r="R64" s="19">
        <f t="shared" si="8"/>
        <v>100</v>
      </c>
      <c r="S64" s="19">
        <f t="shared" si="8"/>
        <v>0</v>
      </c>
      <c r="T64" s="19">
        <f t="shared" si="8"/>
        <v>0</v>
      </c>
      <c r="U64" s="19">
        <f t="shared" si="7"/>
        <v>0</v>
      </c>
      <c r="V64" s="19">
        <f t="shared" si="7"/>
        <v>0</v>
      </c>
      <c r="W64" s="19">
        <f t="shared" si="7"/>
        <v>1</v>
      </c>
    </row>
    <row r="65" spans="1:23" x14ac:dyDescent="0.15">
      <c r="A65" s="24" t="str">
        <f t="shared" si="3"/>
        <v>3_4-5/336&lt;lv1&gt;s1</v>
      </c>
      <c r="B65" s="19">
        <f t="shared" si="8"/>
        <v>3</v>
      </c>
      <c r="C65" s="19">
        <f t="shared" si="8"/>
        <v>4</v>
      </c>
      <c r="D65" s="19">
        <f t="shared" si="8"/>
        <v>5</v>
      </c>
      <c r="E65" s="19">
        <f t="shared" si="8"/>
        <v>336</v>
      </c>
      <c r="F65" s="19">
        <f t="shared" si="8"/>
        <v>1</v>
      </c>
      <c r="G65" s="19">
        <f t="shared" si="5"/>
        <v>1</v>
      </c>
      <c r="H65" s="19">
        <f t="shared" si="5"/>
        <v>1</v>
      </c>
      <c r="I65" s="19">
        <f t="shared" si="5"/>
        <v>0</v>
      </c>
      <c r="J65" s="19">
        <v>0</v>
      </c>
      <c r="K65" s="19">
        <f t="shared" si="8"/>
        <v>2</v>
      </c>
      <c r="L65" s="19">
        <f t="shared" si="8"/>
        <v>100</v>
      </c>
      <c r="M65" s="19">
        <f t="shared" si="8"/>
        <v>0</v>
      </c>
      <c r="N65" s="19">
        <f t="shared" si="8"/>
        <v>1</v>
      </c>
      <c r="O65" s="19">
        <f t="shared" si="8"/>
        <v>336</v>
      </c>
      <c r="P65" s="19">
        <f t="shared" si="8"/>
        <v>1</v>
      </c>
      <c r="Q65" s="19">
        <f t="shared" si="8"/>
        <v>3</v>
      </c>
      <c r="R65" s="19">
        <f t="shared" si="8"/>
        <v>0</v>
      </c>
      <c r="S65" s="19">
        <f t="shared" si="8"/>
        <v>0</v>
      </c>
      <c r="T65" s="19">
        <f t="shared" si="8"/>
        <v>0</v>
      </c>
      <c r="U65" s="19">
        <f t="shared" si="7"/>
        <v>0</v>
      </c>
      <c r="V65" s="19">
        <f t="shared" si="7"/>
        <v>0</v>
      </c>
      <c r="W65" s="19">
        <f t="shared" si="7"/>
        <v>1</v>
      </c>
    </row>
    <row r="66" spans="1:23" x14ac:dyDescent="0.15">
      <c r="A66" s="24" t="str">
        <f t="shared" si="3"/>
        <v>3_4-5/337&lt;lv1&gt;s2</v>
      </c>
      <c r="B66" s="19">
        <f t="shared" si="8"/>
        <v>3</v>
      </c>
      <c r="C66" s="19">
        <f t="shared" si="8"/>
        <v>4</v>
      </c>
      <c r="D66" s="19">
        <f t="shared" si="8"/>
        <v>5</v>
      </c>
      <c r="E66" s="19">
        <f t="shared" si="8"/>
        <v>337</v>
      </c>
      <c r="F66" s="19">
        <f t="shared" si="8"/>
        <v>1</v>
      </c>
      <c r="G66" s="19">
        <f t="shared" si="5"/>
        <v>1</v>
      </c>
      <c r="H66" s="19">
        <f t="shared" si="5"/>
        <v>1</v>
      </c>
      <c r="I66" s="19">
        <f t="shared" si="5"/>
        <v>0</v>
      </c>
      <c r="J66" s="19">
        <v>0</v>
      </c>
      <c r="K66" s="19">
        <f t="shared" si="8"/>
        <v>1</v>
      </c>
      <c r="L66" s="19">
        <f t="shared" si="8"/>
        <v>100</v>
      </c>
      <c r="M66" s="19">
        <f t="shared" si="8"/>
        <v>1</v>
      </c>
      <c r="N66" s="19">
        <f t="shared" si="8"/>
        <v>2</v>
      </c>
      <c r="O66" s="19">
        <f t="shared" si="8"/>
        <v>337</v>
      </c>
      <c r="P66" s="19">
        <f t="shared" si="8"/>
        <v>1</v>
      </c>
      <c r="Q66" s="19">
        <f t="shared" ref="B66:T82" si="9">VLOOKUP($A66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4</v>
      </c>
      <c r="R66" s="19">
        <f t="shared" si="9"/>
        <v>100</v>
      </c>
      <c r="S66" s="19">
        <f t="shared" si="9"/>
        <v>0</v>
      </c>
      <c r="T66" s="19">
        <f t="shared" si="9"/>
        <v>0</v>
      </c>
      <c r="U66" s="19">
        <f t="shared" si="7"/>
        <v>0</v>
      </c>
      <c r="V66" s="19">
        <f t="shared" si="7"/>
        <v>0</v>
      </c>
      <c r="W66" s="19">
        <f t="shared" si="7"/>
        <v>1</v>
      </c>
    </row>
    <row r="67" spans="1:23" x14ac:dyDescent="0.15">
      <c r="A67" s="24" t="str">
        <f t="shared" si="3"/>
        <v>4_1-1/7&lt;lv5&gt;s2</v>
      </c>
      <c r="B67" s="19">
        <f t="shared" si="9"/>
        <v>4</v>
      </c>
      <c r="C67" s="19">
        <f t="shared" si="9"/>
        <v>1</v>
      </c>
      <c r="D67" s="19">
        <f t="shared" si="9"/>
        <v>1</v>
      </c>
      <c r="E67" s="19">
        <f t="shared" si="9"/>
        <v>7</v>
      </c>
      <c r="F67" s="19">
        <f t="shared" si="9"/>
        <v>5</v>
      </c>
      <c r="G67" s="19">
        <f t="shared" si="5"/>
        <v>1</v>
      </c>
      <c r="H67" s="19">
        <f t="shared" si="5"/>
        <v>1</v>
      </c>
      <c r="I67" s="19">
        <f t="shared" si="5"/>
        <v>0</v>
      </c>
      <c r="J67" s="19">
        <v>560001</v>
      </c>
      <c r="K67" s="19">
        <v>1</v>
      </c>
      <c r="L67" s="19">
        <v>100</v>
      </c>
      <c r="M67" s="19">
        <v>1</v>
      </c>
      <c r="N67" s="19">
        <f t="shared" si="9"/>
        <v>2</v>
      </c>
      <c r="O67" s="19">
        <f t="shared" si="9"/>
        <v>7</v>
      </c>
      <c r="P67" s="19">
        <f t="shared" si="9"/>
        <v>1</v>
      </c>
      <c r="Q67" s="19">
        <f t="shared" si="9"/>
        <v>1</v>
      </c>
      <c r="R67" s="19">
        <f t="shared" si="9"/>
        <v>30</v>
      </c>
      <c r="S67" s="19">
        <f t="shared" si="9"/>
        <v>0</v>
      </c>
      <c r="T67" s="19">
        <f t="shared" si="9"/>
        <v>0</v>
      </c>
      <c r="U67" s="19">
        <f t="shared" si="7"/>
        <v>0</v>
      </c>
      <c r="V67" s="19">
        <f t="shared" si="7"/>
        <v>0</v>
      </c>
      <c r="W67" s="19">
        <f t="shared" si="7"/>
        <v>1</v>
      </c>
    </row>
    <row r="68" spans="1:23" x14ac:dyDescent="0.15">
      <c r="A68" s="24" t="str">
        <f t="shared" ref="A68:A131" si="10">INDIRECT(ADDRESS(ROW()+$A$1,COLUMN(),1,TRUE,$C$1))</f>
        <v>4_1-1/13&lt;lv5&gt;s2</v>
      </c>
      <c r="B68" s="19">
        <f t="shared" si="9"/>
        <v>4</v>
      </c>
      <c r="C68" s="19">
        <f t="shared" si="9"/>
        <v>1</v>
      </c>
      <c r="D68" s="19">
        <f t="shared" si="9"/>
        <v>1</v>
      </c>
      <c r="E68" s="19">
        <f t="shared" si="9"/>
        <v>13</v>
      </c>
      <c r="F68" s="19">
        <f t="shared" si="9"/>
        <v>5</v>
      </c>
      <c r="G68" s="19">
        <f t="shared" si="5"/>
        <v>1</v>
      </c>
      <c r="H68" s="19">
        <f t="shared" si="5"/>
        <v>1</v>
      </c>
      <c r="I68" s="19">
        <f t="shared" si="5"/>
        <v>0</v>
      </c>
      <c r="J68" s="19">
        <v>0</v>
      </c>
      <c r="K68" s="19">
        <f t="shared" si="9"/>
        <v>0</v>
      </c>
      <c r="L68" s="19">
        <f t="shared" si="9"/>
        <v>100</v>
      </c>
      <c r="M68" s="19">
        <f t="shared" si="9"/>
        <v>0</v>
      </c>
      <c r="N68" s="19">
        <f t="shared" si="9"/>
        <v>2</v>
      </c>
      <c r="O68" s="19">
        <f t="shared" si="9"/>
        <v>13</v>
      </c>
      <c r="P68" s="19">
        <f t="shared" si="9"/>
        <v>1</v>
      </c>
      <c r="Q68" s="19">
        <f t="shared" si="9"/>
        <v>1</v>
      </c>
      <c r="R68" s="19">
        <f t="shared" si="9"/>
        <v>30</v>
      </c>
      <c r="S68" s="19">
        <f t="shared" si="9"/>
        <v>0</v>
      </c>
      <c r="T68" s="19">
        <f t="shared" si="9"/>
        <v>0</v>
      </c>
      <c r="U68" s="19">
        <f t="shared" si="7"/>
        <v>0</v>
      </c>
      <c r="V68" s="19">
        <f t="shared" si="7"/>
        <v>0</v>
      </c>
      <c r="W68" s="19">
        <f t="shared" si="7"/>
        <v>1</v>
      </c>
    </row>
    <row r="69" spans="1:23" x14ac:dyDescent="0.15">
      <c r="A69" s="24" t="str">
        <f t="shared" si="10"/>
        <v>4_1-2/7&lt;lv5&gt;s2</v>
      </c>
      <c r="B69" s="19">
        <f t="shared" si="9"/>
        <v>4</v>
      </c>
      <c r="C69" s="19">
        <f t="shared" si="9"/>
        <v>1</v>
      </c>
      <c r="D69" s="19">
        <f t="shared" si="9"/>
        <v>2</v>
      </c>
      <c r="E69" s="19">
        <f t="shared" si="9"/>
        <v>7</v>
      </c>
      <c r="F69" s="19">
        <f t="shared" si="9"/>
        <v>5</v>
      </c>
      <c r="G69" s="19">
        <f t="shared" si="5"/>
        <v>1</v>
      </c>
      <c r="H69" s="19">
        <f t="shared" si="5"/>
        <v>1</v>
      </c>
      <c r="I69" s="19">
        <f t="shared" si="5"/>
        <v>0</v>
      </c>
      <c r="J69" s="19">
        <v>0</v>
      </c>
      <c r="K69" s="19">
        <f t="shared" si="9"/>
        <v>0</v>
      </c>
      <c r="L69" s="19">
        <f t="shared" si="9"/>
        <v>100</v>
      </c>
      <c r="M69" s="19">
        <f t="shared" si="9"/>
        <v>0</v>
      </c>
      <c r="N69" s="19">
        <f t="shared" si="9"/>
        <v>2</v>
      </c>
      <c r="O69" s="19">
        <f t="shared" si="9"/>
        <v>7</v>
      </c>
      <c r="P69" s="19">
        <f t="shared" si="9"/>
        <v>1</v>
      </c>
      <c r="Q69" s="19">
        <f t="shared" si="9"/>
        <v>1</v>
      </c>
      <c r="R69" s="19">
        <f t="shared" si="9"/>
        <v>30</v>
      </c>
      <c r="S69" s="19">
        <f t="shared" si="9"/>
        <v>0</v>
      </c>
      <c r="T69" s="19">
        <f t="shared" si="9"/>
        <v>0</v>
      </c>
      <c r="U69" s="19">
        <f t="shared" si="7"/>
        <v>0</v>
      </c>
      <c r="V69" s="19">
        <f t="shared" si="7"/>
        <v>0</v>
      </c>
      <c r="W69" s="19">
        <f t="shared" si="7"/>
        <v>1</v>
      </c>
    </row>
    <row r="70" spans="1:23" x14ac:dyDescent="0.15">
      <c r="A70" s="24" t="str">
        <f t="shared" si="10"/>
        <v>4_1-2/13&lt;lv5&gt;s2</v>
      </c>
      <c r="B70" s="19">
        <f t="shared" si="9"/>
        <v>4</v>
      </c>
      <c r="C70" s="19">
        <f t="shared" si="9"/>
        <v>1</v>
      </c>
      <c r="D70" s="19">
        <f t="shared" si="9"/>
        <v>2</v>
      </c>
      <c r="E70" s="19">
        <f t="shared" si="9"/>
        <v>13</v>
      </c>
      <c r="F70" s="19">
        <f t="shared" si="9"/>
        <v>5</v>
      </c>
      <c r="G70" s="19">
        <f t="shared" si="5"/>
        <v>1</v>
      </c>
      <c r="H70" s="19">
        <f t="shared" si="5"/>
        <v>1</v>
      </c>
      <c r="I70" s="19">
        <f t="shared" si="5"/>
        <v>0</v>
      </c>
      <c r="J70" s="19">
        <v>0</v>
      </c>
      <c r="K70" s="19">
        <f t="shared" si="9"/>
        <v>0</v>
      </c>
      <c r="L70" s="19">
        <f t="shared" si="9"/>
        <v>100</v>
      </c>
      <c r="M70" s="19">
        <f t="shared" si="9"/>
        <v>0</v>
      </c>
      <c r="N70" s="19">
        <f t="shared" si="9"/>
        <v>2</v>
      </c>
      <c r="O70" s="19">
        <f t="shared" si="9"/>
        <v>13</v>
      </c>
      <c r="P70" s="19">
        <f t="shared" si="9"/>
        <v>1</v>
      </c>
      <c r="Q70" s="19">
        <f t="shared" si="9"/>
        <v>1</v>
      </c>
      <c r="R70" s="19">
        <f t="shared" si="9"/>
        <v>30</v>
      </c>
      <c r="S70" s="19">
        <f t="shared" si="9"/>
        <v>0</v>
      </c>
      <c r="T70" s="19">
        <f t="shared" si="9"/>
        <v>0</v>
      </c>
      <c r="U70" s="19">
        <f t="shared" si="7"/>
        <v>0</v>
      </c>
      <c r="V70" s="19">
        <f t="shared" si="7"/>
        <v>0</v>
      </c>
      <c r="W70" s="19">
        <f t="shared" si="7"/>
        <v>1</v>
      </c>
    </row>
    <row r="71" spans="1:23" x14ac:dyDescent="0.15">
      <c r="A71" s="24" t="str">
        <f t="shared" si="10"/>
        <v>4_1-2/113&lt;lv5&gt;s1</v>
      </c>
      <c r="B71" s="19">
        <f t="shared" si="9"/>
        <v>4</v>
      </c>
      <c r="C71" s="19">
        <f t="shared" si="9"/>
        <v>1</v>
      </c>
      <c r="D71" s="19">
        <f t="shared" si="9"/>
        <v>2</v>
      </c>
      <c r="E71" s="19">
        <f t="shared" si="9"/>
        <v>113</v>
      </c>
      <c r="F71" s="19">
        <f t="shared" si="9"/>
        <v>5</v>
      </c>
      <c r="G71" s="19">
        <f t="shared" si="5"/>
        <v>1</v>
      </c>
      <c r="H71" s="19">
        <f t="shared" si="5"/>
        <v>1</v>
      </c>
      <c r="I71" s="19">
        <f t="shared" si="5"/>
        <v>0</v>
      </c>
      <c r="J71" s="19">
        <v>0</v>
      </c>
      <c r="K71" s="19">
        <f t="shared" si="9"/>
        <v>0</v>
      </c>
      <c r="L71" s="19">
        <f t="shared" si="9"/>
        <v>50</v>
      </c>
      <c r="M71" s="19">
        <f t="shared" si="9"/>
        <v>0</v>
      </c>
      <c r="N71" s="19">
        <f t="shared" si="9"/>
        <v>1</v>
      </c>
      <c r="O71" s="19">
        <f t="shared" si="9"/>
        <v>113</v>
      </c>
      <c r="P71" s="19">
        <f t="shared" si="9"/>
        <v>1</v>
      </c>
      <c r="Q71" s="19">
        <f t="shared" si="9"/>
        <v>2</v>
      </c>
      <c r="R71" s="19">
        <f t="shared" si="9"/>
        <v>20</v>
      </c>
      <c r="S71" s="19">
        <f t="shared" si="9"/>
        <v>0</v>
      </c>
      <c r="T71" s="19">
        <f t="shared" si="9"/>
        <v>0</v>
      </c>
      <c r="U71" s="19">
        <f t="shared" si="7"/>
        <v>0</v>
      </c>
      <c r="V71" s="19">
        <f t="shared" si="7"/>
        <v>0</v>
      </c>
      <c r="W71" s="19">
        <f t="shared" si="7"/>
        <v>1</v>
      </c>
    </row>
    <row r="72" spans="1:23" x14ac:dyDescent="0.15">
      <c r="A72" s="24" t="str">
        <f t="shared" si="10"/>
        <v>4_1-3/19&lt;lv5&gt;s3</v>
      </c>
      <c r="B72" s="19">
        <f t="shared" si="9"/>
        <v>4</v>
      </c>
      <c r="C72" s="19">
        <f t="shared" si="9"/>
        <v>1</v>
      </c>
      <c r="D72" s="19">
        <f t="shared" si="9"/>
        <v>3</v>
      </c>
      <c r="E72" s="19">
        <f t="shared" si="9"/>
        <v>19</v>
      </c>
      <c r="F72" s="19">
        <f t="shared" si="9"/>
        <v>5</v>
      </c>
      <c r="G72" s="19">
        <f t="shared" si="5"/>
        <v>1</v>
      </c>
      <c r="H72" s="19">
        <f t="shared" si="5"/>
        <v>1</v>
      </c>
      <c r="I72" s="19">
        <f t="shared" si="5"/>
        <v>0</v>
      </c>
      <c r="J72" s="19">
        <v>0</v>
      </c>
      <c r="K72" s="19">
        <f t="shared" si="9"/>
        <v>1</v>
      </c>
      <c r="L72" s="19">
        <f t="shared" si="9"/>
        <v>100</v>
      </c>
      <c r="M72" s="19">
        <f t="shared" si="9"/>
        <v>0</v>
      </c>
      <c r="N72" s="19">
        <f t="shared" si="9"/>
        <v>3</v>
      </c>
      <c r="O72" s="19">
        <f t="shared" si="9"/>
        <v>19</v>
      </c>
      <c r="P72" s="19">
        <f t="shared" si="9"/>
        <v>1</v>
      </c>
      <c r="Q72" s="19">
        <f t="shared" si="9"/>
        <v>1</v>
      </c>
      <c r="R72" s="19">
        <f t="shared" si="9"/>
        <v>0</v>
      </c>
      <c r="S72" s="19">
        <f t="shared" si="9"/>
        <v>0</v>
      </c>
      <c r="T72" s="19">
        <f t="shared" si="9"/>
        <v>0</v>
      </c>
      <c r="U72" s="19">
        <f t="shared" si="7"/>
        <v>0</v>
      </c>
      <c r="V72" s="19">
        <f t="shared" si="7"/>
        <v>0</v>
      </c>
      <c r="W72" s="19">
        <f t="shared" si="7"/>
        <v>1</v>
      </c>
    </row>
    <row r="73" spans="1:23" x14ac:dyDescent="0.15">
      <c r="A73" s="24" t="str">
        <f t="shared" si="10"/>
        <v>4_1-3/20&lt;lv6&gt;s3</v>
      </c>
      <c r="B73" s="19">
        <f t="shared" si="9"/>
        <v>4</v>
      </c>
      <c r="C73" s="19">
        <f t="shared" si="9"/>
        <v>1</v>
      </c>
      <c r="D73" s="19">
        <f t="shared" si="9"/>
        <v>3</v>
      </c>
      <c r="E73" s="19">
        <f t="shared" si="9"/>
        <v>20</v>
      </c>
      <c r="F73" s="19">
        <f t="shared" si="9"/>
        <v>6</v>
      </c>
      <c r="G73" s="19">
        <f t="shared" si="5"/>
        <v>1</v>
      </c>
      <c r="H73" s="19">
        <f t="shared" si="5"/>
        <v>1</v>
      </c>
      <c r="I73" s="19">
        <f t="shared" si="5"/>
        <v>0</v>
      </c>
      <c r="J73" s="19">
        <v>0</v>
      </c>
      <c r="K73" s="19">
        <f t="shared" si="9"/>
        <v>1</v>
      </c>
      <c r="L73" s="19">
        <f t="shared" si="9"/>
        <v>100</v>
      </c>
      <c r="M73" s="19">
        <f t="shared" si="9"/>
        <v>1</v>
      </c>
      <c r="N73" s="19">
        <f t="shared" si="9"/>
        <v>3</v>
      </c>
      <c r="O73" s="19">
        <f t="shared" si="9"/>
        <v>19</v>
      </c>
      <c r="P73" s="19">
        <f t="shared" si="9"/>
        <v>1</v>
      </c>
      <c r="Q73" s="19">
        <f t="shared" si="9"/>
        <v>1</v>
      </c>
      <c r="R73" s="19">
        <f t="shared" si="9"/>
        <v>0</v>
      </c>
      <c r="S73" s="19">
        <f t="shared" si="9"/>
        <v>0</v>
      </c>
      <c r="T73" s="19">
        <f t="shared" si="9"/>
        <v>0</v>
      </c>
      <c r="U73" s="19">
        <f t="shared" si="7"/>
        <v>0</v>
      </c>
      <c r="V73" s="19">
        <f t="shared" si="7"/>
        <v>0</v>
      </c>
      <c r="W73" s="19">
        <f t="shared" si="7"/>
        <v>1</v>
      </c>
    </row>
    <row r="74" spans="1:23" x14ac:dyDescent="0.15">
      <c r="A74" s="24" t="str">
        <f t="shared" si="10"/>
        <v>4_1-3/19&lt;lv6&gt;s3</v>
      </c>
      <c r="B74" s="19">
        <f t="shared" si="9"/>
        <v>4</v>
      </c>
      <c r="C74" s="19">
        <f t="shared" si="9"/>
        <v>1</v>
      </c>
      <c r="D74" s="19">
        <f t="shared" si="9"/>
        <v>3</v>
      </c>
      <c r="E74" s="19">
        <f t="shared" si="9"/>
        <v>19</v>
      </c>
      <c r="F74" s="19">
        <f t="shared" si="9"/>
        <v>6</v>
      </c>
      <c r="G74" s="19">
        <f t="shared" si="5"/>
        <v>1</v>
      </c>
      <c r="H74" s="19">
        <f t="shared" si="5"/>
        <v>1</v>
      </c>
      <c r="I74" s="19">
        <f t="shared" si="5"/>
        <v>0</v>
      </c>
      <c r="J74" s="19">
        <v>0</v>
      </c>
      <c r="K74" s="19">
        <f t="shared" si="9"/>
        <v>1</v>
      </c>
      <c r="L74" s="19">
        <f t="shared" si="9"/>
        <v>100</v>
      </c>
      <c r="M74" s="19">
        <f t="shared" si="9"/>
        <v>0</v>
      </c>
      <c r="N74" s="19">
        <f t="shared" si="9"/>
        <v>3</v>
      </c>
      <c r="O74" s="19">
        <f t="shared" si="9"/>
        <v>19</v>
      </c>
      <c r="P74" s="19">
        <f t="shared" si="9"/>
        <v>1</v>
      </c>
      <c r="Q74" s="19">
        <f t="shared" si="9"/>
        <v>1</v>
      </c>
      <c r="R74" s="19">
        <f t="shared" si="9"/>
        <v>0</v>
      </c>
      <c r="S74" s="19">
        <f t="shared" si="9"/>
        <v>0</v>
      </c>
      <c r="T74" s="19">
        <f t="shared" si="9"/>
        <v>0</v>
      </c>
      <c r="U74" s="19">
        <f t="shared" si="7"/>
        <v>0</v>
      </c>
      <c r="V74" s="19">
        <f t="shared" si="7"/>
        <v>0</v>
      </c>
      <c r="W74" s="19">
        <f t="shared" si="7"/>
        <v>1</v>
      </c>
    </row>
    <row r="75" spans="1:23" x14ac:dyDescent="0.15">
      <c r="A75" s="24" t="str">
        <f t="shared" si="10"/>
        <v>4_2-1/7&lt;lv5&gt;s2</v>
      </c>
      <c r="B75" s="19">
        <f t="shared" si="9"/>
        <v>4</v>
      </c>
      <c r="C75" s="19">
        <f t="shared" si="9"/>
        <v>2</v>
      </c>
      <c r="D75" s="19">
        <f t="shared" si="9"/>
        <v>1</v>
      </c>
      <c r="E75" s="19">
        <f t="shared" si="9"/>
        <v>7</v>
      </c>
      <c r="F75" s="19">
        <f t="shared" si="9"/>
        <v>5</v>
      </c>
      <c r="G75" s="19">
        <f t="shared" si="5"/>
        <v>1</v>
      </c>
      <c r="H75" s="19">
        <f t="shared" si="5"/>
        <v>1</v>
      </c>
      <c r="I75" s="19">
        <f t="shared" si="5"/>
        <v>0</v>
      </c>
      <c r="J75" s="19">
        <v>560001</v>
      </c>
      <c r="K75" s="19">
        <v>1</v>
      </c>
      <c r="L75" s="19">
        <v>100</v>
      </c>
      <c r="M75" s="19">
        <v>1</v>
      </c>
      <c r="N75" s="19">
        <f t="shared" si="9"/>
        <v>2</v>
      </c>
      <c r="O75" s="19">
        <f t="shared" si="9"/>
        <v>7</v>
      </c>
      <c r="P75" s="19">
        <f t="shared" si="9"/>
        <v>2</v>
      </c>
      <c r="Q75" s="19">
        <f t="shared" si="9"/>
        <v>1</v>
      </c>
      <c r="R75" s="19">
        <f t="shared" si="9"/>
        <v>30</v>
      </c>
      <c r="S75" s="19">
        <f t="shared" si="9"/>
        <v>0</v>
      </c>
      <c r="T75" s="19">
        <f t="shared" si="9"/>
        <v>0</v>
      </c>
      <c r="U75" s="19">
        <f t="shared" si="7"/>
        <v>0</v>
      </c>
      <c r="V75" s="19">
        <f t="shared" si="7"/>
        <v>0</v>
      </c>
      <c r="W75" s="19">
        <f t="shared" si="7"/>
        <v>1</v>
      </c>
    </row>
    <row r="76" spans="1:23" x14ac:dyDescent="0.15">
      <c r="A76" s="24" t="str">
        <f t="shared" si="10"/>
        <v>4_2-1/13&lt;lv5&gt;s2</v>
      </c>
      <c r="B76" s="19">
        <f t="shared" si="9"/>
        <v>4</v>
      </c>
      <c r="C76" s="19">
        <f t="shared" si="9"/>
        <v>2</v>
      </c>
      <c r="D76" s="19">
        <f t="shared" si="9"/>
        <v>1</v>
      </c>
      <c r="E76" s="19">
        <f t="shared" si="9"/>
        <v>13</v>
      </c>
      <c r="F76" s="19">
        <f t="shared" si="9"/>
        <v>5</v>
      </c>
      <c r="G76" s="19">
        <f t="shared" si="5"/>
        <v>1</v>
      </c>
      <c r="H76" s="19">
        <f t="shared" si="5"/>
        <v>1</v>
      </c>
      <c r="I76" s="19">
        <f t="shared" si="5"/>
        <v>0</v>
      </c>
      <c r="J76" s="19">
        <v>0</v>
      </c>
      <c r="K76" s="19">
        <f t="shared" si="9"/>
        <v>0</v>
      </c>
      <c r="L76" s="19">
        <f t="shared" si="9"/>
        <v>100</v>
      </c>
      <c r="M76" s="19">
        <f t="shared" si="9"/>
        <v>0</v>
      </c>
      <c r="N76" s="19">
        <f t="shared" si="9"/>
        <v>2</v>
      </c>
      <c r="O76" s="19">
        <f t="shared" si="9"/>
        <v>13</v>
      </c>
      <c r="P76" s="19">
        <f t="shared" si="9"/>
        <v>1</v>
      </c>
      <c r="Q76" s="19">
        <f t="shared" si="9"/>
        <v>1</v>
      </c>
      <c r="R76" s="19">
        <f t="shared" si="9"/>
        <v>30</v>
      </c>
      <c r="S76" s="19">
        <f t="shared" si="9"/>
        <v>0</v>
      </c>
      <c r="T76" s="19">
        <f t="shared" si="9"/>
        <v>0</v>
      </c>
      <c r="U76" s="19">
        <f t="shared" si="7"/>
        <v>0</v>
      </c>
      <c r="V76" s="19">
        <f t="shared" si="7"/>
        <v>0</v>
      </c>
      <c r="W76" s="19">
        <f t="shared" si="7"/>
        <v>1</v>
      </c>
    </row>
    <row r="77" spans="1:23" x14ac:dyDescent="0.15">
      <c r="A77" s="24" t="str">
        <f t="shared" si="10"/>
        <v>4_2-1/19&lt;lv5&gt;s3</v>
      </c>
      <c r="B77" s="19">
        <f t="shared" si="9"/>
        <v>4</v>
      </c>
      <c r="C77" s="19">
        <f t="shared" si="9"/>
        <v>2</v>
      </c>
      <c r="D77" s="19">
        <f t="shared" si="9"/>
        <v>1</v>
      </c>
      <c r="E77" s="19">
        <f t="shared" si="9"/>
        <v>19</v>
      </c>
      <c r="F77" s="19">
        <f t="shared" si="9"/>
        <v>5</v>
      </c>
      <c r="G77" s="19">
        <f t="shared" si="5"/>
        <v>1</v>
      </c>
      <c r="H77" s="19">
        <f t="shared" si="5"/>
        <v>1</v>
      </c>
      <c r="I77" s="19">
        <f t="shared" si="5"/>
        <v>0</v>
      </c>
      <c r="J77" s="19">
        <v>0</v>
      </c>
      <c r="K77" s="19">
        <f t="shared" si="9"/>
        <v>0</v>
      </c>
      <c r="L77" s="19">
        <f t="shared" si="9"/>
        <v>100</v>
      </c>
      <c r="M77" s="19">
        <f t="shared" si="9"/>
        <v>0</v>
      </c>
      <c r="N77" s="19">
        <f t="shared" si="9"/>
        <v>3</v>
      </c>
      <c r="O77" s="19">
        <f t="shared" si="9"/>
        <v>19</v>
      </c>
      <c r="P77" s="19">
        <f t="shared" si="9"/>
        <v>1</v>
      </c>
      <c r="Q77" s="19">
        <f t="shared" si="9"/>
        <v>1</v>
      </c>
      <c r="R77" s="19">
        <f t="shared" si="9"/>
        <v>30</v>
      </c>
      <c r="S77" s="19">
        <f t="shared" si="9"/>
        <v>0</v>
      </c>
      <c r="T77" s="19">
        <f t="shared" si="9"/>
        <v>0</v>
      </c>
      <c r="U77" s="19">
        <f t="shared" si="7"/>
        <v>0</v>
      </c>
      <c r="V77" s="19">
        <f t="shared" si="7"/>
        <v>0</v>
      </c>
      <c r="W77" s="19">
        <f t="shared" si="7"/>
        <v>1</v>
      </c>
    </row>
    <row r="78" spans="1:23" x14ac:dyDescent="0.15">
      <c r="A78" s="24" t="str">
        <f t="shared" si="10"/>
        <v>4_2-1/113&lt;lv5&gt;s1</v>
      </c>
      <c r="B78" s="19">
        <f t="shared" si="9"/>
        <v>4</v>
      </c>
      <c r="C78" s="19">
        <f t="shared" si="9"/>
        <v>2</v>
      </c>
      <c r="D78" s="19">
        <f t="shared" si="9"/>
        <v>1</v>
      </c>
      <c r="E78" s="19">
        <f t="shared" si="9"/>
        <v>113</v>
      </c>
      <c r="F78" s="19">
        <f t="shared" si="9"/>
        <v>5</v>
      </c>
      <c r="G78" s="19">
        <f t="shared" si="5"/>
        <v>1</v>
      </c>
      <c r="H78" s="19">
        <f t="shared" si="5"/>
        <v>1</v>
      </c>
      <c r="I78" s="19">
        <f t="shared" si="5"/>
        <v>0</v>
      </c>
      <c r="J78" s="19">
        <v>0</v>
      </c>
      <c r="K78" s="19">
        <f t="shared" si="9"/>
        <v>0</v>
      </c>
      <c r="L78" s="19">
        <f t="shared" si="9"/>
        <v>50</v>
      </c>
      <c r="M78" s="19">
        <f t="shared" si="9"/>
        <v>0</v>
      </c>
      <c r="N78" s="19">
        <f t="shared" si="9"/>
        <v>1</v>
      </c>
      <c r="O78" s="19">
        <f t="shared" si="9"/>
        <v>113</v>
      </c>
      <c r="P78" s="19">
        <f t="shared" si="9"/>
        <v>1</v>
      </c>
      <c r="Q78" s="19">
        <f t="shared" si="9"/>
        <v>2</v>
      </c>
      <c r="R78" s="19">
        <f t="shared" si="9"/>
        <v>20</v>
      </c>
      <c r="S78" s="19">
        <f t="shared" si="9"/>
        <v>0</v>
      </c>
      <c r="T78" s="19">
        <f t="shared" si="9"/>
        <v>0</v>
      </c>
      <c r="U78" s="19">
        <f t="shared" si="7"/>
        <v>0</v>
      </c>
      <c r="V78" s="19">
        <f t="shared" si="7"/>
        <v>0</v>
      </c>
      <c r="W78" s="19">
        <f t="shared" si="7"/>
        <v>1</v>
      </c>
    </row>
    <row r="79" spans="1:23" x14ac:dyDescent="0.15">
      <c r="A79" s="24" t="str">
        <f t="shared" si="10"/>
        <v>4_2-2/7&lt;lv5&gt;s2</v>
      </c>
      <c r="B79" s="19">
        <f t="shared" si="9"/>
        <v>4</v>
      </c>
      <c r="C79" s="19">
        <f t="shared" si="9"/>
        <v>2</v>
      </c>
      <c r="D79" s="19">
        <f t="shared" si="9"/>
        <v>2</v>
      </c>
      <c r="E79" s="19">
        <f t="shared" si="9"/>
        <v>7</v>
      </c>
      <c r="F79" s="19">
        <f t="shared" si="9"/>
        <v>5</v>
      </c>
      <c r="G79" s="19">
        <f t="shared" si="5"/>
        <v>1</v>
      </c>
      <c r="H79" s="19">
        <f t="shared" si="5"/>
        <v>1</v>
      </c>
      <c r="I79" s="19">
        <f t="shared" si="5"/>
        <v>0</v>
      </c>
      <c r="J79" s="19">
        <v>0</v>
      </c>
      <c r="K79" s="19">
        <f t="shared" si="9"/>
        <v>0</v>
      </c>
      <c r="L79" s="19">
        <f t="shared" si="9"/>
        <v>100</v>
      </c>
      <c r="M79" s="19">
        <f t="shared" si="9"/>
        <v>0</v>
      </c>
      <c r="N79" s="19">
        <f t="shared" si="9"/>
        <v>2</v>
      </c>
      <c r="O79" s="19">
        <f t="shared" si="9"/>
        <v>7</v>
      </c>
      <c r="P79" s="19">
        <f t="shared" si="9"/>
        <v>2</v>
      </c>
      <c r="Q79" s="19">
        <f t="shared" si="9"/>
        <v>1</v>
      </c>
      <c r="R79" s="19">
        <f t="shared" si="9"/>
        <v>30</v>
      </c>
      <c r="S79" s="19">
        <f t="shared" si="9"/>
        <v>0</v>
      </c>
      <c r="T79" s="19">
        <f t="shared" si="9"/>
        <v>0</v>
      </c>
      <c r="U79" s="19">
        <f t="shared" si="7"/>
        <v>0</v>
      </c>
      <c r="V79" s="19">
        <f t="shared" si="7"/>
        <v>0</v>
      </c>
      <c r="W79" s="19">
        <f t="shared" si="7"/>
        <v>1</v>
      </c>
    </row>
    <row r="80" spans="1:23" x14ac:dyDescent="0.15">
      <c r="A80" s="24" t="str">
        <f t="shared" si="10"/>
        <v>4_2-2/13&lt;lv5&gt;s2</v>
      </c>
      <c r="B80" s="19">
        <f t="shared" si="9"/>
        <v>4</v>
      </c>
      <c r="C80" s="19">
        <f t="shared" si="9"/>
        <v>2</v>
      </c>
      <c r="D80" s="19">
        <f t="shared" si="9"/>
        <v>2</v>
      </c>
      <c r="E80" s="19">
        <f t="shared" si="9"/>
        <v>13</v>
      </c>
      <c r="F80" s="19">
        <f t="shared" si="9"/>
        <v>5</v>
      </c>
      <c r="G80" s="19">
        <f t="shared" si="5"/>
        <v>1</v>
      </c>
      <c r="H80" s="19">
        <f t="shared" si="5"/>
        <v>1</v>
      </c>
      <c r="I80" s="19">
        <f t="shared" si="5"/>
        <v>0</v>
      </c>
      <c r="J80" s="19">
        <v>0</v>
      </c>
      <c r="K80" s="19">
        <f t="shared" si="9"/>
        <v>0</v>
      </c>
      <c r="L80" s="19">
        <f t="shared" si="9"/>
        <v>100</v>
      </c>
      <c r="M80" s="19">
        <f t="shared" si="9"/>
        <v>0</v>
      </c>
      <c r="N80" s="19">
        <f t="shared" si="9"/>
        <v>2</v>
      </c>
      <c r="O80" s="19">
        <f t="shared" si="9"/>
        <v>13</v>
      </c>
      <c r="P80" s="19">
        <f t="shared" si="9"/>
        <v>1</v>
      </c>
      <c r="Q80" s="19">
        <f t="shared" si="9"/>
        <v>1</v>
      </c>
      <c r="R80" s="19">
        <f t="shared" si="9"/>
        <v>30</v>
      </c>
      <c r="S80" s="19">
        <f t="shared" si="9"/>
        <v>0</v>
      </c>
      <c r="T80" s="19">
        <f t="shared" si="9"/>
        <v>0</v>
      </c>
      <c r="U80" s="19">
        <f t="shared" si="7"/>
        <v>0</v>
      </c>
      <c r="V80" s="19">
        <f t="shared" si="7"/>
        <v>0</v>
      </c>
      <c r="W80" s="19">
        <f t="shared" si="7"/>
        <v>1</v>
      </c>
    </row>
    <row r="81" spans="1:23" x14ac:dyDescent="0.15">
      <c r="A81" s="24" t="str">
        <f t="shared" si="10"/>
        <v>4_2-2/19&lt;lv5&gt;s3</v>
      </c>
      <c r="B81" s="19">
        <f t="shared" si="9"/>
        <v>4</v>
      </c>
      <c r="C81" s="19">
        <f t="shared" si="9"/>
        <v>2</v>
      </c>
      <c r="D81" s="19">
        <f t="shared" si="9"/>
        <v>2</v>
      </c>
      <c r="E81" s="19">
        <f t="shared" si="9"/>
        <v>19</v>
      </c>
      <c r="F81" s="19">
        <f t="shared" si="9"/>
        <v>5</v>
      </c>
      <c r="G81" s="19">
        <f t="shared" si="5"/>
        <v>1</v>
      </c>
      <c r="H81" s="19">
        <f t="shared" si="5"/>
        <v>1</v>
      </c>
      <c r="I81" s="19">
        <f t="shared" si="5"/>
        <v>0</v>
      </c>
      <c r="J81" s="19">
        <v>0</v>
      </c>
      <c r="K81" s="19">
        <f t="shared" si="9"/>
        <v>0</v>
      </c>
      <c r="L81" s="19">
        <f t="shared" si="9"/>
        <v>100</v>
      </c>
      <c r="M81" s="19">
        <f t="shared" si="9"/>
        <v>0</v>
      </c>
      <c r="N81" s="19">
        <f t="shared" si="9"/>
        <v>3</v>
      </c>
      <c r="O81" s="19">
        <f t="shared" si="9"/>
        <v>19</v>
      </c>
      <c r="P81" s="19">
        <f t="shared" si="9"/>
        <v>1</v>
      </c>
      <c r="Q81" s="19">
        <f t="shared" si="9"/>
        <v>1</v>
      </c>
      <c r="R81" s="19">
        <f t="shared" si="9"/>
        <v>30</v>
      </c>
      <c r="S81" s="19">
        <f t="shared" si="9"/>
        <v>0</v>
      </c>
      <c r="T81" s="19">
        <f t="shared" si="9"/>
        <v>0</v>
      </c>
      <c r="U81" s="19">
        <f t="shared" si="7"/>
        <v>0</v>
      </c>
      <c r="V81" s="19">
        <f t="shared" si="7"/>
        <v>0</v>
      </c>
      <c r="W81" s="19">
        <f t="shared" si="7"/>
        <v>1</v>
      </c>
    </row>
    <row r="82" spans="1:23" x14ac:dyDescent="0.15">
      <c r="A82" s="24" t="str">
        <f t="shared" si="10"/>
        <v>4_2-2/113&lt;lv5&gt;s1</v>
      </c>
      <c r="B82" s="19">
        <f t="shared" si="9"/>
        <v>4</v>
      </c>
      <c r="C82" s="19">
        <f t="shared" si="9"/>
        <v>2</v>
      </c>
      <c r="D82" s="19">
        <f t="shared" si="9"/>
        <v>2</v>
      </c>
      <c r="E82" s="19">
        <f t="shared" si="9"/>
        <v>113</v>
      </c>
      <c r="F82" s="19">
        <f t="shared" si="9"/>
        <v>5</v>
      </c>
      <c r="G82" s="19">
        <f t="shared" si="5"/>
        <v>1</v>
      </c>
      <c r="H82" s="19">
        <f t="shared" si="5"/>
        <v>1</v>
      </c>
      <c r="I82" s="19">
        <f t="shared" si="5"/>
        <v>0</v>
      </c>
      <c r="J82" s="19">
        <v>0</v>
      </c>
      <c r="K82" s="19">
        <f t="shared" si="9"/>
        <v>0</v>
      </c>
      <c r="L82" s="19">
        <f t="shared" si="9"/>
        <v>50</v>
      </c>
      <c r="M82" s="19">
        <f t="shared" si="9"/>
        <v>0</v>
      </c>
      <c r="N82" s="19">
        <f t="shared" si="9"/>
        <v>1</v>
      </c>
      <c r="O82" s="19">
        <f t="shared" si="9"/>
        <v>113</v>
      </c>
      <c r="P82" s="19">
        <f t="shared" ref="B82:T98" si="11">VLOOKUP($A82,OFFSET(INDIRECT($C$1&amp;"!$A1"),0,0,COUNTA(INDIRECT($C$1&amp;"!$A:$A"))+1,MATCH(P$2,INDIRECT($C$1&amp;"!"&amp;$B$1),0)-MATCH($A$2,INDIRECT($C$1&amp;"!"&amp;$B$1),0)+1),MATCH(P$2,INDIRECT($C$1&amp;"!"&amp;$B$1),0)-MATCH($A$2,INDIRECT($C$1&amp;"!"&amp;$B$1),0)+1,FALSE)</f>
        <v>1</v>
      </c>
      <c r="Q82" s="19">
        <f t="shared" si="11"/>
        <v>2</v>
      </c>
      <c r="R82" s="19">
        <f t="shared" si="11"/>
        <v>20</v>
      </c>
      <c r="S82" s="19">
        <f t="shared" si="11"/>
        <v>0</v>
      </c>
      <c r="T82" s="19">
        <f t="shared" si="11"/>
        <v>0</v>
      </c>
      <c r="U82" s="19">
        <f t="shared" si="7"/>
        <v>0</v>
      </c>
      <c r="V82" s="19">
        <f t="shared" si="7"/>
        <v>0</v>
      </c>
      <c r="W82" s="19">
        <f t="shared" si="7"/>
        <v>1</v>
      </c>
    </row>
    <row r="83" spans="1:23" x14ac:dyDescent="0.15">
      <c r="A83" s="24" t="str">
        <f t="shared" si="10"/>
        <v>4_2-3/7&lt;lv5&gt;s2</v>
      </c>
      <c r="B83" s="19">
        <f t="shared" si="11"/>
        <v>4</v>
      </c>
      <c r="C83" s="19">
        <f t="shared" si="11"/>
        <v>2</v>
      </c>
      <c r="D83" s="19">
        <f t="shared" si="11"/>
        <v>3</v>
      </c>
      <c r="E83" s="19">
        <f t="shared" si="11"/>
        <v>7</v>
      </c>
      <c r="F83" s="19">
        <f t="shared" si="11"/>
        <v>5</v>
      </c>
      <c r="G83" s="19">
        <f t="shared" ref="G83:I146" si="12">VLOOKUP($A83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83" s="19">
        <f t="shared" si="12"/>
        <v>1</v>
      </c>
      <c r="I83" s="19">
        <f t="shared" si="12"/>
        <v>0</v>
      </c>
      <c r="J83" s="19">
        <v>0</v>
      </c>
      <c r="K83" s="19">
        <f t="shared" si="11"/>
        <v>0</v>
      </c>
      <c r="L83" s="19">
        <f t="shared" si="11"/>
        <v>100</v>
      </c>
      <c r="M83" s="19">
        <f t="shared" si="11"/>
        <v>0</v>
      </c>
      <c r="N83" s="19">
        <f t="shared" si="11"/>
        <v>2</v>
      </c>
      <c r="O83" s="19">
        <f t="shared" si="11"/>
        <v>7</v>
      </c>
      <c r="P83" s="19">
        <f t="shared" si="11"/>
        <v>2</v>
      </c>
      <c r="Q83" s="19">
        <f t="shared" si="11"/>
        <v>1</v>
      </c>
      <c r="R83" s="19">
        <f t="shared" si="11"/>
        <v>30</v>
      </c>
      <c r="S83" s="19">
        <f t="shared" si="11"/>
        <v>0</v>
      </c>
      <c r="T83" s="19">
        <f t="shared" si="11"/>
        <v>0</v>
      </c>
      <c r="U83" s="19">
        <f t="shared" si="7"/>
        <v>0</v>
      </c>
      <c r="V83" s="19">
        <f t="shared" si="7"/>
        <v>0</v>
      </c>
      <c r="W83" s="19">
        <f t="shared" si="7"/>
        <v>1</v>
      </c>
    </row>
    <row r="84" spans="1:23" x14ac:dyDescent="0.15">
      <c r="A84" s="24" t="str">
        <f t="shared" si="10"/>
        <v>4_2-3/13&lt;lv5&gt;s2</v>
      </c>
      <c r="B84" s="19">
        <f t="shared" si="11"/>
        <v>4</v>
      </c>
      <c r="C84" s="19">
        <f t="shared" si="11"/>
        <v>2</v>
      </c>
      <c r="D84" s="19">
        <f t="shared" si="11"/>
        <v>3</v>
      </c>
      <c r="E84" s="19">
        <f t="shared" si="11"/>
        <v>13</v>
      </c>
      <c r="F84" s="19">
        <f t="shared" si="11"/>
        <v>5</v>
      </c>
      <c r="G84" s="19">
        <f t="shared" si="12"/>
        <v>1</v>
      </c>
      <c r="H84" s="19">
        <f t="shared" si="12"/>
        <v>1</v>
      </c>
      <c r="I84" s="19">
        <f t="shared" si="12"/>
        <v>0</v>
      </c>
      <c r="J84" s="19">
        <v>0</v>
      </c>
      <c r="K84" s="19">
        <f t="shared" si="11"/>
        <v>0</v>
      </c>
      <c r="L84" s="19">
        <f t="shared" si="11"/>
        <v>100</v>
      </c>
      <c r="M84" s="19">
        <f t="shared" si="11"/>
        <v>0</v>
      </c>
      <c r="N84" s="19">
        <f t="shared" si="11"/>
        <v>2</v>
      </c>
      <c r="O84" s="19">
        <f t="shared" si="11"/>
        <v>13</v>
      </c>
      <c r="P84" s="19">
        <f t="shared" si="11"/>
        <v>1</v>
      </c>
      <c r="Q84" s="19">
        <f t="shared" si="11"/>
        <v>1</v>
      </c>
      <c r="R84" s="19">
        <f t="shared" si="11"/>
        <v>30</v>
      </c>
      <c r="S84" s="19">
        <f t="shared" si="11"/>
        <v>0</v>
      </c>
      <c r="T84" s="19">
        <f t="shared" si="11"/>
        <v>0</v>
      </c>
      <c r="U84" s="19">
        <f t="shared" si="7"/>
        <v>0</v>
      </c>
      <c r="V84" s="19">
        <f t="shared" si="7"/>
        <v>0</v>
      </c>
      <c r="W84" s="19">
        <f t="shared" si="7"/>
        <v>1</v>
      </c>
    </row>
    <row r="85" spans="1:23" x14ac:dyDescent="0.15">
      <c r="A85" s="24" t="str">
        <f t="shared" si="10"/>
        <v>4_2-3/19&lt;lv5&gt;s3</v>
      </c>
      <c r="B85" s="19">
        <f t="shared" si="11"/>
        <v>4</v>
      </c>
      <c r="C85" s="19">
        <f t="shared" si="11"/>
        <v>2</v>
      </c>
      <c r="D85" s="19">
        <f t="shared" si="11"/>
        <v>3</v>
      </c>
      <c r="E85" s="19">
        <f t="shared" si="11"/>
        <v>19</v>
      </c>
      <c r="F85" s="19">
        <f t="shared" si="11"/>
        <v>5</v>
      </c>
      <c r="G85" s="19">
        <f t="shared" si="12"/>
        <v>1</v>
      </c>
      <c r="H85" s="19">
        <f t="shared" si="12"/>
        <v>1</v>
      </c>
      <c r="I85" s="19">
        <f t="shared" si="12"/>
        <v>0</v>
      </c>
      <c r="J85" s="19">
        <v>0</v>
      </c>
      <c r="K85" s="19">
        <f t="shared" si="11"/>
        <v>0</v>
      </c>
      <c r="L85" s="19">
        <f t="shared" si="11"/>
        <v>100</v>
      </c>
      <c r="M85" s="19">
        <f t="shared" si="11"/>
        <v>0</v>
      </c>
      <c r="N85" s="19">
        <f t="shared" si="11"/>
        <v>3</v>
      </c>
      <c r="O85" s="19">
        <f t="shared" si="11"/>
        <v>19</v>
      </c>
      <c r="P85" s="19">
        <f t="shared" si="11"/>
        <v>1</v>
      </c>
      <c r="Q85" s="19">
        <f t="shared" si="11"/>
        <v>1</v>
      </c>
      <c r="R85" s="19">
        <f t="shared" si="11"/>
        <v>30</v>
      </c>
      <c r="S85" s="19">
        <f t="shared" si="11"/>
        <v>0</v>
      </c>
      <c r="T85" s="19">
        <f t="shared" si="11"/>
        <v>0</v>
      </c>
      <c r="U85" s="19">
        <f t="shared" si="7"/>
        <v>0</v>
      </c>
      <c r="V85" s="19">
        <f t="shared" si="7"/>
        <v>0</v>
      </c>
      <c r="W85" s="19">
        <f t="shared" si="7"/>
        <v>1</v>
      </c>
    </row>
    <row r="86" spans="1:23" x14ac:dyDescent="0.15">
      <c r="A86" s="24" t="str">
        <f t="shared" si="10"/>
        <v>4_2-3/113&lt;lv5&gt;s1</v>
      </c>
      <c r="B86" s="19">
        <f t="shared" si="11"/>
        <v>4</v>
      </c>
      <c r="C86" s="19">
        <f t="shared" si="11"/>
        <v>2</v>
      </c>
      <c r="D86" s="19">
        <f t="shared" si="11"/>
        <v>3</v>
      </c>
      <c r="E86" s="19">
        <f t="shared" si="11"/>
        <v>113</v>
      </c>
      <c r="F86" s="19">
        <f t="shared" si="11"/>
        <v>5</v>
      </c>
      <c r="G86" s="19">
        <f t="shared" si="12"/>
        <v>1</v>
      </c>
      <c r="H86" s="19">
        <f t="shared" si="12"/>
        <v>1</v>
      </c>
      <c r="I86" s="19">
        <f t="shared" si="12"/>
        <v>0</v>
      </c>
      <c r="J86" s="19">
        <v>0</v>
      </c>
      <c r="K86" s="19">
        <f t="shared" si="11"/>
        <v>0</v>
      </c>
      <c r="L86" s="19">
        <f t="shared" si="11"/>
        <v>50</v>
      </c>
      <c r="M86" s="19">
        <f t="shared" si="11"/>
        <v>0</v>
      </c>
      <c r="N86" s="19">
        <f t="shared" si="11"/>
        <v>1</v>
      </c>
      <c r="O86" s="19">
        <f t="shared" si="11"/>
        <v>113</v>
      </c>
      <c r="P86" s="19">
        <f t="shared" si="11"/>
        <v>1</v>
      </c>
      <c r="Q86" s="19">
        <f t="shared" si="11"/>
        <v>2</v>
      </c>
      <c r="R86" s="19">
        <f t="shared" si="11"/>
        <v>20</v>
      </c>
      <c r="S86" s="19">
        <f t="shared" si="11"/>
        <v>0</v>
      </c>
      <c r="T86" s="19">
        <f t="shared" si="11"/>
        <v>0</v>
      </c>
      <c r="U86" s="19">
        <f t="shared" si="7"/>
        <v>0</v>
      </c>
      <c r="V86" s="19">
        <f t="shared" si="7"/>
        <v>0</v>
      </c>
      <c r="W86" s="19">
        <f t="shared" si="7"/>
        <v>1</v>
      </c>
    </row>
    <row r="87" spans="1:23" x14ac:dyDescent="0.15">
      <c r="A87" s="24" t="str">
        <f t="shared" si="10"/>
        <v>4_2-4/13&lt;lv5&gt;s2</v>
      </c>
      <c r="B87" s="19">
        <f t="shared" si="11"/>
        <v>4</v>
      </c>
      <c r="C87" s="19">
        <f t="shared" si="11"/>
        <v>2</v>
      </c>
      <c r="D87" s="19">
        <f t="shared" si="11"/>
        <v>4</v>
      </c>
      <c r="E87" s="19">
        <f t="shared" si="11"/>
        <v>13</v>
      </c>
      <c r="F87" s="19">
        <f t="shared" si="11"/>
        <v>5</v>
      </c>
      <c r="G87" s="19">
        <f t="shared" si="12"/>
        <v>1</v>
      </c>
      <c r="H87" s="19">
        <f t="shared" si="12"/>
        <v>1</v>
      </c>
      <c r="I87" s="19">
        <f t="shared" si="12"/>
        <v>0</v>
      </c>
      <c r="J87" s="19">
        <v>0</v>
      </c>
      <c r="K87" s="19">
        <f t="shared" si="11"/>
        <v>1</v>
      </c>
      <c r="L87" s="19">
        <f t="shared" si="11"/>
        <v>100</v>
      </c>
      <c r="M87" s="19">
        <f t="shared" si="11"/>
        <v>0</v>
      </c>
      <c r="N87" s="19">
        <f t="shared" si="11"/>
        <v>2</v>
      </c>
      <c r="O87" s="19">
        <f t="shared" si="11"/>
        <v>13</v>
      </c>
      <c r="P87" s="19">
        <f t="shared" si="11"/>
        <v>1</v>
      </c>
      <c r="Q87" s="19">
        <f t="shared" si="11"/>
        <v>1</v>
      </c>
      <c r="R87" s="19">
        <f t="shared" si="11"/>
        <v>0</v>
      </c>
      <c r="S87" s="19">
        <f t="shared" si="11"/>
        <v>0</v>
      </c>
      <c r="T87" s="19">
        <f t="shared" si="11"/>
        <v>0</v>
      </c>
      <c r="U87" s="19">
        <f t="shared" si="7"/>
        <v>0</v>
      </c>
      <c r="V87" s="19">
        <f t="shared" si="7"/>
        <v>0</v>
      </c>
      <c r="W87" s="19">
        <f t="shared" si="7"/>
        <v>1</v>
      </c>
    </row>
    <row r="88" spans="1:23" x14ac:dyDescent="0.15">
      <c r="A88" s="24" t="str">
        <f t="shared" si="10"/>
        <v>4_2-4/55&lt;lv7&gt;s4</v>
      </c>
      <c r="B88" s="19">
        <f t="shared" si="11"/>
        <v>4</v>
      </c>
      <c r="C88" s="19">
        <f t="shared" si="11"/>
        <v>2</v>
      </c>
      <c r="D88" s="19">
        <f t="shared" si="11"/>
        <v>4</v>
      </c>
      <c r="E88" s="19">
        <f t="shared" si="11"/>
        <v>55</v>
      </c>
      <c r="F88" s="19">
        <f t="shared" si="11"/>
        <v>7</v>
      </c>
      <c r="G88" s="19">
        <f t="shared" si="12"/>
        <v>1</v>
      </c>
      <c r="H88" s="19">
        <f t="shared" si="12"/>
        <v>1</v>
      </c>
      <c r="I88" s="19">
        <f t="shared" si="12"/>
        <v>0</v>
      </c>
      <c r="J88" s="19">
        <v>55</v>
      </c>
      <c r="K88" s="19">
        <f t="shared" si="11"/>
        <v>1</v>
      </c>
      <c r="L88" s="19">
        <f t="shared" si="11"/>
        <v>100</v>
      </c>
      <c r="M88" s="19">
        <f t="shared" si="11"/>
        <v>1</v>
      </c>
      <c r="N88" s="19">
        <f t="shared" si="11"/>
        <v>4</v>
      </c>
      <c r="O88" s="19">
        <f t="shared" si="11"/>
        <v>55</v>
      </c>
      <c r="P88" s="19">
        <f t="shared" si="11"/>
        <v>1</v>
      </c>
      <c r="Q88" s="19">
        <f t="shared" si="11"/>
        <v>2</v>
      </c>
      <c r="R88" s="19">
        <f t="shared" si="11"/>
        <v>100</v>
      </c>
      <c r="S88" s="19">
        <f t="shared" si="11"/>
        <v>0</v>
      </c>
      <c r="T88" s="19">
        <f t="shared" si="11"/>
        <v>0</v>
      </c>
      <c r="U88" s="19">
        <f t="shared" si="7"/>
        <v>0</v>
      </c>
      <c r="V88" s="19">
        <f t="shared" si="7"/>
        <v>0</v>
      </c>
      <c r="W88" s="19">
        <f t="shared" si="7"/>
        <v>1</v>
      </c>
    </row>
    <row r="89" spans="1:23" x14ac:dyDescent="0.15">
      <c r="A89" s="24" t="str">
        <f t="shared" si="10"/>
        <v>4_2-4/13&lt;lv6&gt;s2</v>
      </c>
      <c r="B89" s="19">
        <f t="shared" si="11"/>
        <v>4</v>
      </c>
      <c r="C89" s="19">
        <f t="shared" si="11"/>
        <v>2</v>
      </c>
      <c r="D89" s="19">
        <f t="shared" si="11"/>
        <v>4</v>
      </c>
      <c r="E89" s="19">
        <f t="shared" si="11"/>
        <v>13</v>
      </c>
      <c r="F89" s="19">
        <f t="shared" si="11"/>
        <v>6</v>
      </c>
      <c r="G89" s="19">
        <f t="shared" si="12"/>
        <v>1</v>
      </c>
      <c r="H89" s="19">
        <f t="shared" si="12"/>
        <v>1</v>
      </c>
      <c r="I89" s="19">
        <f t="shared" si="12"/>
        <v>0</v>
      </c>
      <c r="J89" s="19">
        <v>0</v>
      </c>
      <c r="K89" s="19">
        <f t="shared" si="11"/>
        <v>1</v>
      </c>
      <c r="L89" s="19">
        <f t="shared" si="11"/>
        <v>100</v>
      </c>
      <c r="M89" s="19">
        <f t="shared" si="11"/>
        <v>0</v>
      </c>
      <c r="N89" s="19">
        <f t="shared" si="11"/>
        <v>2</v>
      </c>
      <c r="O89" s="19">
        <f t="shared" si="11"/>
        <v>13</v>
      </c>
      <c r="P89" s="19">
        <f t="shared" si="11"/>
        <v>1</v>
      </c>
      <c r="Q89" s="19">
        <f t="shared" si="11"/>
        <v>1</v>
      </c>
      <c r="R89" s="19">
        <f t="shared" si="11"/>
        <v>0</v>
      </c>
      <c r="S89" s="19">
        <f t="shared" si="11"/>
        <v>0</v>
      </c>
      <c r="T89" s="19">
        <f t="shared" si="11"/>
        <v>0</v>
      </c>
      <c r="U89" s="19">
        <f t="shared" si="7"/>
        <v>0</v>
      </c>
      <c r="V89" s="19">
        <f t="shared" si="7"/>
        <v>0</v>
      </c>
      <c r="W89" s="19">
        <f t="shared" si="7"/>
        <v>1</v>
      </c>
    </row>
    <row r="90" spans="1:23" x14ac:dyDescent="0.15">
      <c r="A90" s="24" t="str">
        <f t="shared" si="10"/>
        <v>4_3-1/7&lt;lv5&gt;s2</v>
      </c>
      <c r="B90" s="19">
        <f t="shared" si="11"/>
        <v>4</v>
      </c>
      <c r="C90" s="19">
        <f t="shared" si="11"/>
        <v>3</v>
      </c>
      <c r="D90" s="19">
        <f t="shared" si="11"/>
        <v>1</v>
      </c>
      <c r="E90" s="19">
        <f t="shared" si="11"/>
        <v>7</v>
      </c>
      <c r="F90" s="19">
        <f t="shared" si="11"/>
        <v>5</v>
      </c>
      <c r="G90" s="19">
        <f t="shared" si="12"/>
        <v>1</v>
      </c>
      <c r="H90" s="19">
        <f t="shared" si="12"/>
        <v>1</v>
      </c>
      <c r="I90" s="19">
        <f t="shared" si="12"/>
        <v>0</v>
      </c>
      <c r="J90" s="19">
        <v>560001</v>
      </c>
      <c r="K90" s="19">
        <v>1</v>
      </c>
      <c r="L90" s="19">
        <v>100</v>
      </c>
      <c r="M90" s="19">
        <v>1</v>
      </c>
      <c r="N90" s="19">
        <f t="shared" si="11"/>
        <v>2</v>
      </c>
      <c r="O90" s="19">
        <f t="shared" si="11"/>
        <v>7</v>
      </c>
      <c r="P90" s="19">
        <f t="shared" si="11"/>
        <v>3</v>
      </c>
      <c r="Q90" s="19">
        <f t="shared" si="11"/>
        <v>1</v>
      </c>
      <c r="R90" s="19">
        <f t="shared" si="11"/>
        <v>30</v>
      </c>
      <c r="S90" s="19">
        <f t="shared" si="11"/>
        <v>0</v>
      </c>
      <c r="T90" s="19">
        <f t="shared" si="11"/>
        <v>0</v>
      </c>
      <c r="U90" s="19">
        <f t="shared" si="7"/>
        <v>0</v>
      </c>
      <c r="V90" s="19">
        <f t="shared" si="7"/>
        <v>0</v>
      </c>
      <c r="W90" s="19">
        <f t="shared" si="7"/>
        <v>1</v>
      </c>
    </row>
    <row r="91" spans="1:23" x14ac:dyDescent="0.15">
      <c r="A91" s="24" t="str">
        <f t="shared" si="10"/>
        <v>4_3-1/13&lt;lv5&gt;s2</v>
      </c>
      <c r="B91" s="19">
        <f t="shared" si="11"/>
        <v>4</v>
      </c>
      <c r="C91" s="19">
        <f t="shared" si="11"/>
        <v>3</v>
      </c>
      <c r="D91" s="19">
        <f t="shared" si="11"/>
        <v>1</v>
      </c>
      <c r="E91" s="19">
        <f t="shared" si="11"/>
        <v>13</v>
      </c>
      <c r="F91" s="19">
        <f t="shared" si="11"/>
        <v>5</v>
      </c>
      <c r="G91" s="19">
        <f t="shared" si="12"/>
        <v>1</v>
      </c>
      <c r="H91" s="19">
        <f t="shared" si="12"/>
        <v>1</v>
      </c>
      <c r="I91" s="19">
        <f t="shared" si="12"/>
        <v>0</v>
      </c>
      <c r="J91" s="19">
        <v>0</v>
      </c>
      <c r="K91" s="19">
        <f t="shared" si="11"/>
        <v>0</v>
      </c>
      <c r="L91" s="19">
        <f t="shared" si="11"/>
        <v>100</v>
      </c>
      <c r="M91" s="19">
        <f t="shared" si="11"/>
        <v>0</v>
      </c>
      <c r="N91" s="19">
        <f t="shared" si="11"/>
        <v>2</v>
      </c>
      <c r="O91" s="19">
        <f t="shared" si="11"/>
        <v>13</v>
      </c>
      <c r="P91" s="19">
        <f t="shared" si="11"/>
        <v>1</v>
      </c>
      <c r="Q91" s="19">
        <f t="shared" si="11"/>
        <v>1</v>
      </c>
      <c r="R91" s="19">
        <f t="shared" si="11"/>
        <v>30</v>
      </c>
      <c r="S91" s="19">
        <f t="shared" si="11"/>
        <v>0</v>
      </c>
      <c r="T91" s="19">
        <f t="shared" si="11"/>
        <v>0</v>
      </c>
      <c r="U91" s="19">
        <f t="shared" si="7"/>
        <v>0</v>
      </c>
      <c r="V91" s="19">
        <f t="shared" si="7"/>
        <v>0</v>
      </c>
      <c r="W91" s="19">
        <f t="shared" si="7"/>
        <v>1</v>
      </c>
    </row>
    <row r="92" spans="1:23" x14ac:dyDescent="0.15">
      <c r="A92" s="24" t="str">
        <f t="shared" si="10"/>
        <v>4_3-1/19&lt;lv5&gt;s3</v>
      </c>
      <c r="B92" s="19">
        <f t="shared" si="11"/>
        <v>4</v>
      </c>
      <c r="C92" s="19">
        <f t="shared" si="11"/>
        <v>3</v>
      </c>
      <c r="D92" s="19">
        <f t="shared" si="11"/>
        <v>1</v>
      </c>
      <c r="E92" s="19">
        <f t="shared" si="11"/>
        <v>19</v>
      </c>
      <c r="F92" s="19">
        <f t="shared" si="11"/>
        <v>5</v>
      </c>
      <c r="G92" s="19">
        <f t="shared" si="12"/>
        <v>1</v>
      </c>
      <c r="H92" s="19">
        <f t="shared" si="12"/>
        <v>1</v>
      </c>
      <c r="I92" s="19">
        <f t="shared" si="12"/>
        <v>0</v>
      </c>
      <c r="J92" s="19">
        <v>0</v>
      </c>
      <c r="K92" s="19">
        <f t="shared" si="11"/>
        <v>0</v>
      </c>
      <c r="L92" s="19">
        <f t="shared" si="11"/>
        <v>100</v>
      </c>
      <c r="M92" s="19">
        <f t="shared" si="11"/>
        <v>0</v>
      </c>
      <c r="N92" s="19">
        <f t="shared" si="11"/>
        <v>3</v>
      </c>
      <c r="O92" s="19">
        <f t="shared" si="11"/>
        <v>19</v>
      </c>
      <c r="P92" s="19">
        <f t="shared" si="11"/>
        <v>1</v>
      </c>
      <c r="Q92" s="19">
        <f t="shared" si="11"/>
        <v>1</v>
      </c>
      <c r="R92" s="19">
        <f t="shared" si="11"/>
        <v>30</v>
      </c>
      <c r="S92" s="19">
        <f t="shared" si="11"/>
        <v>0</v>
      </c>
      <c r="T92" s="19">
        <f t="shared" si="11"/>
        <v>0</v>
      </c>
      <c r="U92" s="19">
        <f t="shared" si="7"/>
        <v>0</v>
      </c>
      <c r="V92" s="19">
        <f t="shared" si="7"/>
        <v>0</v>
      </c>
      <c r="W92" s="19">
        <f t="shared" si="7"/>
        <v>1</v>
      </c>
    </row>
    <row r="93" spans="1:23" x14ac:dyDescent="0.15">
      <c r="A93" s="24" t="str">
        <f t="shared" si="10"/>
        <v>4_3-1/113&lt;lv5&gt;s1</v>
      </c>
      <c r="B93" s="19">
        <f t="shared" si="11"/>
        <v>4</v>
      </c>
      <c r="C93" s="19">
        <f t="shared" si="11"/>
        <v>3</v>
      </c>
      <c r="D93" s="19">
        <f t="shared" si="11"/>
        <v>1</v>
      </c>
      <c r="E93" s="19">
        <f t="shared" si="11"/>
        <v>113</v>
      </c>
      <c r="F93" s="19">
        <f t="shared" si="11"/>
        <v>5</v>
      </c>
      <c r="G93" s="19">
        <f t="shared" si="12"/>
        <v>1</v>
      </c>
      <c r="H93" s="19">
        <f t="shared" si="12"/>
        <v>1</v>
      </c>
      <c r="I93" s="19">
        <f t="shared" si="12"/>
        <v>0</v>
      </c>
      <c r="J93" s="19">
        <v>0</v>
      </c>
      <c r="K93" s="19">
        <f t="shared" si="11"/>
        <v>0</v>
      </c>
      <c r="L93" s="19">
        <f t="shared" si="11"/>
        <v>50</v>
      </c>
      <c r="M93" s="19">
        <f t="shared" si="11"/>
        <v>0</v>
      </c>
      <c r="N93" s="19">
        <f t="shared" si="11"/>
        <v>1</v>
      </c>
      <c r="O93" s="19">
        <f t="shared" si="11"/>
        <v>113</v>
      </c>
      <c r="P93" s="19">
        <f t="shared" si="11"/>
        <v>1</v>
      </c>
      <c r="Q93" s="19">
        <f t="shared" si="11"/>
        <v>2</v>
      </c>
      <c r="R93" s="19">
        <f t="shared" si="11"/>
        <v>20</v>
      </c>
      <c r="S93" s="19">
        <f t="shared" si="11"/>
        <v>0</v>
      </c>
      <c r="T93" s="19">
        <f t="shared" si="11"/>
        <v>0</v>
      </c>
      <c r="U93" s="19">
        <f t="shared" si="7"/>
        <v>0</v>
      </c>
      <c r="V93" s="19">
        <f t="shared" si="7"/>
        <v>0</v>
      </c>
      <c r="W93" s="19">
        <f t="shared" si="7"/>
        <v>1</v>
      </c>
    </row>
    <row r="94" spans="1:23" x14ac:dyDescent="0.15">
      <c r="A94" s="24" t="str">
        <f t="shared" si="10"/>
        <v>4_3-2/7&lt;lv5&gt;s2</v>
      </c>
      <c r="B94" s="19">
        <f t="shared" si="11"/>
        <v>4</v>
      </c>
      <c r="C94" s="19">
        <f t="shared" si="11"/>
        <v>3</v>
      </c>
      <c r="D94" s="19">
        <f t="shared" si="11"/>
        <v>2</v>
      </c>
      <c r="E94" s="19">
        <f t="shared" si="11"/>
        <v>7</v>
      </c>
      <c r="F94" s="19">
        <f t="shared" si="11"/>
        <v>5</v>
      </c>
      <c r="G94" s="19">
        <f t="shared" si="12"/>
        <v>1</v>
      </c>
      <c r="H94" s="19">
        <f t="shared" si="12"/>
        <v>1</v>
      </c>
      <c r="I94" s="19">
        <f t="shared" si="12"/>
        <v>0</v>
      </c>
      <c r="J94" s="19">
        <v>0</v>
      </c>
      <c r="K94" s="19">
        <f t="shared" si="11"/>
        <v>0</v>
      </c>
      <c r="L94" s="19">
        <f t="shared" si="11"/>
        <v>100</v>
      </c>
      <c r="M94" s="19">
        <f t="shared" si="11"/>
        <v>0</v>
      </c>
      <c r="N94" s="19">
        <f t="shared" si="11"/>
        <v>2</v>
      </c>
      <c r="O94" s="19">
        <f t="shared" si="11"/>
        <v>7</v>
      </c>
      <c r="P94" s="19">
        <f t="shared" si="11"/>
        <v>3</v>
      </c>
      <c r="Q94" s="19">
        <f t="shared" si="11"/>
        <v>1</v>
      </c>
      <c r="R94" s="19">
        <f t="shared" si="11"/>
        <v>30</v>
      </c>
      <c r="S94" s="19">
        <f t="shared" si="11"/>
        <v>0</v>
      </c>
      <c r="T94" s="19">
        <f t="shared" si="11"/>
        <v>0</v>
      </c>
      <c r="U94" s="19">
        <f t="shared" si="7"/>
        <v>0</v>
      </c>
      <c r="V94" s="19">
        <f t="shared" si="7"/>
        <v>0</v>
      </c>
      <c r="W94" s="19">
        <f t="shared" si="7"/>
        <v>1</v>
      </c>
    </row>
    <row r="95" spans="1:23" x14ac:dyDescent="0.15">
      <c r="A95" s="24" t="str">
        <f t="shared" si="10"/>
        <v>4_3-2/13&lt;lv5&gt;s2</v>
      </c>
      <c r="B95" s="19">
        <f t="shared" si="11"/>
        <v>4</v>
      </c>
      <c r="C95" s="19">
        <f t="shared" si="11"/>
        <v>3</v>
      </c>
      <c r="D95" s="19">
        <f t="shared" si="11"/>
        <v>2</v>
      </c>
      <c r="E95" s="19">
        <f t="shared" si="11"/>
        <v>13</v>
      </c>
      <c r="F95" s="19">
        <f t="shared" si="11"/>
        <v>5</v>
      </c>
      <c r="G95" s="19">
        <f t="shared" si="12"/>
        <v>1</v>
      </c>
      <c r="H95" s="19">
        <f t="shared" si="12"/>
        <v>1</v>
      </c>
      <c r="I95" s="19">
        <f t="shared" si="12"/>
        <v>0</v>
      </c>
      <c r="J95" s="19">
        <v>0</v>
      </c>
      <c r="K95" s="19">
        <f t="shared" si="11"/>
        <v>0</v>
      </c>
      <c r="L95" s="19">
        <f t="shared" si="11"/>
        <v>100</v>
      </c>
      <c r="M95" s="19">
        <f t="shared" si="11"/>
        <v>0</v>
      </c>
      <c r="N95" s="19">
        <f t="shared" si="11"/>
        <v>2</v>
      </c>
      <c r="O95" s="19">
        <f t="shared" si="11"/>
        <v>13</v>
      </c>
      <c r="P95" s="19">
        <f t="shared" si="11"/>
        <v>1</v>
      </c>
      <c r="Q95" s="19">
        <f t="shared" si="11"/>
        <v>1</v>
      </c>
      <c r="R95" s="19">
        <f t="shared" si="11"/>
        <v>30</v>
      </c>
      <c r="S95" s="19">
        <f t="shared" si="11"/>
        <v>0</v>
      </c>
      <c r="T95" s="19">
        <f t="shared" si="11"/>
        <v>0</v>
      </c>
      <c r="U95" s="19">
        <f t="shared" si="7"/>
        <v>0</v>
      </c>
      <c r="V95" s="19">
        <f t="shared" si="7"/>
        <v>0</v>
      </c>
      <c r="W95" s="19">
        <f t="shared" si="7"/>
        <v>1</v>
      </c>
    </row>
    <row r="96" spans="1:23" x14ac:dyDescent="0.15">
      <c r="A96" s="24" t="str">
        <f t="shared" si="10"/>
        <v>4_3-2/19&lt;lv5&gt;s3</v>
      </c>
      <c r="B96" s="19">
        <f t="shared" si="11"/>
        <v>4</v>
      </c>
      <c r="C96" s="19">
        <f t="shared" si="11"/>
        <v>3</v>
      </c>
      <c r="D96" s="19">
        <f t="shared" si="11"/>
        <v>2</v>
      </c>
      <c r="E96" s="19">
        <f t="shared" si="11"/>
        <v>19</v>
      </c>
      <c r="F96" s="19">
        <f t="shared" si="11"/>
        <v>5</v>
      </c>
      <c r="G96" s="19">
        <f t="shared" si="12"/>
        <v>1</v>
      </c>
      <c r="H96" s="19">
        <f t="shared" si="12"/>
        <v>1</v>
      </c>
      <c r="I96" s="19">
        <f t="shared" si="12"/>
        <v>0</v>
      </c>
      <c r="J96" s="19">
        <v>0</v>
      </c>
      <c r="K96" s="19">
        <f t="shared" si="11"/>
        <v>0</v>
      </c>
      <c r="L96" s="19">
        <f t="shared" si="11"/>
        <v>100</v>
      </c>
      <c r="M96" s="19">
        <f t="shared" si="11"/>
        <v>0</v>
      </c>
      <c r="N96" s="19">
        <f t="shared" si="11"/>
        <v>3</v>
      </c>
      <c r="O96" s="19">
        <f t="shared" si="11"/>
        <v>19</v>
      </c>
      <c r="P96" s="19">
        <f t="shared" si="11"/>
        <v>1</v>
      </c>
      <c r="Q96" s="19">
        <f t="shared" si="11"/>
        <v>1</v>
      </c>
      <c r="R96" s="19">
        <f t="shared" si="11"/>
        <v>30</v>
      </c>
      <c r="S96" s="19">
        <f t="shared" si="11"/>
        <v>0</v>
      </c>
      <c r="T96" s="19">
        <f t="shared" si="11"/>
        <v>0</v>
      </c>
      <c r="U96" s="19">
        <f t="shared" si="7"/>
        <v>0</v>
      </c>
      <c r="V96" s="19">
        <f t="shared" si="7"/>
        <v>0</v>
      </c>
      <c r="W96" s="19">
        <f t="shared" si="7"/>
        <v>1</v>
      </c>
    </row>
    <row r="97" spans="1:23" x14ac:dyDescent="0.15">
      <c r="A97" s="24" t="str">
        <f t="shared" si="10"/>
        <v>4_3-2/113&lt;lv5&gt;s1</v>
      </c>
      <c r="B97" s="19">
        <f t="shared" si="11"/>
        <v>4</v>
      </c>
      <c r="C97" s="19">
        <f t="shared" si="11"/>
        <v>3</v>
      </c>
      <c r="D97" s="19">
        <f t="shared" si="11"/>
        <v>2</v>
      </c>
      <c r="E97" s="19">
        <f t="shared" si="11"/>
        <v>113</v>
      </c>
      <c r="F97" s="19">
        <f t="shared" si="11"/>
        <v>5</v>
      </c>
      <c r="G97" s="19">
        <f t="shared" si="12"/>
        <v>1</v>
      </c>
      <c r="H97" s="19">
        <f t="shared" si="12"/>
        <v>1</v>
      </c>
      <c r="I97" s="19">
        <f t="shared" si="12"/>
        <v>0</v>
      </c>
      <c r="J97" s="19">
        <v>0</v>
      </c>
      <c r="K97" s="19">
        <f t="shared" si="11"/>
        <v>0</v>
      </c>
      <c r="L97" s="19">
        <f t="shared" si="11"/>
        <v>50</v>
      </c>
      <c r="M97" s="19">
        <f t="shared" si="11"/>
        <v>0</v>
      </c>
      <c r="N97" s="19">
        <f t="shared" si="11"/>
        <v>1</v>
      </c>
      <c r="O97" s="19">
        <f t="shared" si="11"/>
        <v>113</v>
      </c>
      <c r="P97" s="19">
        <f t="shared" si="11"/>
        <v>1</v>
      </c>
      <c r="Q97" s="19">
        <f t="shared" si="11"/>
        <v>2</v>
      </c>
      <c r="R97" s="19">
        <f t="shared" si="11"/>
        <v>20</v>
      </c>
      <c r="S97" s="19">
        <f t="shared" si="11"/>
        <v>0</v>
      </c>
      <c r="T97" s="19">
        <f t="shared" si="11"/>
        <v>0</v>
      </c>
      <c r="U97" s="19">
        <f t="shared" si="7"/>
        <v>0</v>
      </c>
      <c r="V97" s="19">
        <f t="shared" si="7"/>
        <v>0</v>
      </c>
      <c r="W97" s="19">
        <f t="shared" si="7"/>
        <v>1</v>
      </c>
    </row>
    <row r="98" spans="1:23" x14ac:dyDescent="0.15">
      <c r="A98" s="24" t="str">
        <f t="shared" si="10"/>
        <v>4_3-3/7&lt;lv5&gt;s2</v>
      </c>
      <c r="B98" s="19">
        <f t="shared" si="11"/>
        <v>4</v>
      </c>
      <c r="C98" s="19">
        <f t="shared" si="11"/>
        <v>3</v>
      </c>
      <c r="D98" s="19">
        <f t="shared" si="11"/>
        <v>3</v>
      </c>
      <c r="E98" s="19">
        <f t="shared" si="11"/>
        <v>7</v>
      </c>
      <c r="F98" s="19">
        <f t="shared" si="11"/>
        <v>5</v>
      </c>
      <c r="G98" s="19">
        <f t="shared" si="12"/>
        <v>1</v>
      </c>
      <c r="H98" s="19">
        <f t="shared" si="12"/>
        <v>1</v>
      </c>
      <c r="I98" s="19">
        <f t="shared" si="12"/>
        <v>0</v>
      </c>
      <c r="J98" s="19">
        <v>0</v>
      </c>
      <c r="K98" s="19">
        <f t="shared" si="11"/>
        <v>0</v>
      </c>
      <c r="L98" s="19">
        <f t="shared" si="11"/>
        <v>100</v>
      </c>
      <c r="M98" s="19">
        <f t="shared" si="11"/>
        <v>0</v>
      </c>
      <c r="N98" s="19">
        <f t="shared" si="11"/>
        <v>2</v>
      </c>
      <c r="O98" s="19">
        <f t="shared" ref="B98:T114" si="13">VLOOKUP($A98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7</v>
      </c>
      <c r="P98" s="19">
        <f t="shared" si="13"/>
        <v>3</v>
      </c>
      <c r="Q98" s="19">
        <f t="shared" si="13"/>
        <v>1</v>
      </c>
      <c r="R98" s="19">
        <f t="shared" si="13"/>
        <v>30</v>
      </c>
      <c r="S98" s="19">
        <f t="shared" si="13"/>
        <v>0</v>
      </c>
      <c r="T98" s="19">
        <f t="shared" si="13"/>
        <v>0</v>
      </c>
      <c r="U98" s="19">
        <f t="shared" si="7"/>
        <v>0</v>
      </c>
      <c r="V98" s="19">
        <f t="shared" si="7"/>
        <v>0</v>
      </c>
      <c r="W98" s="19">
        <f t="shared" si="7"/>
        <v>1</v>
      </c>
    </row>
    <row r="99" spans="1:23" x14ac:dyDescent="0.15">
      <c r="A99" s="24" t="str">
        <f t="shared" si="10"/>
        <v>4_3-3/13&lt;lv5&gt;s2</v>
      </c>
      <c r="B99" s="19">
        <f t="shared" si="13"/>
        <v>4</v>
      </c>
      <c r="C99" s="19">
        <f t="shared" si="13"/>
        <v>3</v>
      </c>
      <c r="D99" s="19">
        <f t="shared" si="13"/>
        <v>3</v>
      </c>
      <c r="E99" s="19">
        <f t="shared" si="13"/>
        <v>13</v>
      </c>
      <c r="F99" s="19">
        <f t="shared" si="13"/>
        <v>5</v>
      </c>
      <c r="G99" s="19">
        <f t="shared" si="12"/>
        <v>1</v>
      </c>
      <c r="H99" s="19">
        <f t="shared" si="12"/>
        <v>1</v>
      </c>
      <c r="I99" s="19">
        <f t="shared" si="12"/>
        <v>0</v>
      </c>
      <c r="J99" s="19">
        <v>0</v>
      </c>
      <c r="K99" s="19">
        <f t="shared" si="13"/>
        <v>0</v>
      </c>
      <c r="L99" s="19">
        <f t="shared" si="13"/>
        <v>100</v>
      </c>
      <c r="M99" s="19">
        <f t="shared" si="13"/>
        <v>0</v>
      </c>
      <c r="N99" s="19">
        <f t="shared" si="13"/>
        <v>2</v>
      </c>
      <c r="O99" s="19">
        <f t="shared" si="13"/>
        <v>13</v>
      </c>
      <c r="P99" s="19">
        <f t="shared" si="13"/>
        <v>1</v>
      </c>
      <c r="Q99" s="19">
        <f t="shared" si="13"/>
        <v>1</v>
      </c>
      <c r="R99" s="19">
        <f t="shared" si="13"/>
        <v>30</v>
      </c>
      <c r="S99" s="19">
        <f t="shared" si="13"/>
        <v>0</v>
      </c>
      <c r="T99" s="19">
        <f t="shared" si="13"/>
        <v>0</v>
      </c>
      <c r="U99" s="19">
        <f t="shared" si="7"/>
        <v>0</v>
      </c>
      <c r="V99" s="19">
        <f t="shared" si="7"/>
        <v>0</v>
      </c>
      <c r="W99" s="19">
        <f t="shared" si="7"/>
        <v>1</v>
      </c>
    </row>
    <row r="100" spans="1:23" x14ac:dyDescent="0.15">
      <c r="A100" s="24" t="str">
        <f t="shared" si="10"/>
        <v>4_3-3/19&lt;lv5&gt;s3</v>
      </c>
      <c r="B100" s="19">
        <f t="shared" si="13"/>
        <v>4</v>
      </c>
      <c r="C100" s="19">
        <f t="shared" si="13"/>
        <v>3</v>
      </c>
      <c r="D100" s="19">
        <f t="shared" si="13"/>
        <v>3</v>
      </c>
      <c r="E100" s="19">
        <f t="shared" si="13"/>
        <v>19</v>
      </c>
      <c r="F100" s="19">
        <f t="shared" si="13"/>
        <v>5</v>
      </c>
      <c r="G100" s="19">
        <f t="shared" si="12"/>
        <v>1</v>
      </c>
      <c r="H100" s="19">
        <f t="shared" si="12"/>
        <v>1</v>
      </c>
      <c r="I100" s="19">
        <f t="shared" si="12"/>
        <v>0</v>
      </c>
      <c r="J100" s="19">
        <v>0</v>
      </c>
      <c r="K100" s="19">
        <f t="shared" si="13"/>
        <v>0</v>
      </c>
      <c r="L100" s="19">
        <f t="shared" si="13"/>
        <v>100</v>
      </c>
      <c r="M100" s="19">
        <f t="shared" si="13"/>
        <v>0</v>
      </c>
      <c r="N100" s="19">
        <f t="shared" si="13"/>
        <v>3</v>
      </c>
      <c r="O100" s="19">
        <f t="shared" si="13"/>
        <v>19</v>
      </c>
      <c r="P100" s="19">
        <f t="shared" si="13"/>
        <v>1</v>
      </c>
      <c r="Q100" s="19">
        <f t="shared" si="13"/>
        <v>1</v>
      </c>
      <c r="R100" s="19">
        <f t="shared" si="13"/>
        <v>30</v>
      </c>
      <c r="S100" s="19">
        <f t="shared" si="13"/>
        <v>0</v>
      </c>
      <c r="T100" s="19">
        <f t="shared" si="13"/>
        <v>0</v>
      </c>
      <c r="U100" s="19">
        <f t="shared" si="7"/>
        <v>0</v>
      </c>
      <c r="V100" s="19">
        <f t="shared" si="7"/>
        <v>0</v>
      </c>
      <c r="W100" s="19">
        <f t="shared" si="7"/>
        <v>1</v>
      </c>
    </row>
    <row r="101" spans="1:23" x14ac:dyDescent="0.15">
      <c r="A101" s="24" t="str">
        <f t="shared" si="10"/>
        <v>4_3-3/113&lt;lv5&gt;s1</v>
      </c>
      <c r="B101" s="19">
        <f t="shared" si="13"/>
        <v>4</v>
      </c>
      <c r="C101" s="19">
        <f t="shared" si="13"/>
        <v>3</v>
      </c>
      <c r="D101" s="19">
        <f t="shared" si="13"/>
        <v>3</v>
      </c>
      <c r="E101" s="19">
        <f t="shared" si="13"/>
        <v>113</v>
      </c>
      <c r="F101" s="19">
        <f t="shared" si="13"/>
        <v>5</v>
      </c>
      <c r="G101" s="19">
        <f t="shared" si="12"/>
        <v>1</v>
      </c>
      <c r="H101" s="19">
        <f t="shared" si="12"/>
        <v>1</v>
      </c>
      <c r="I101" s="19">
        <f t="shared" si="12"/>
        <v>0</v>
      </c>
      <c r="J101" s="19">
        <v>0</v>
      </c>
      <c r="K101" s="19">
        <f t="shared" si="13"/>
        <v>0</v>
      </c>
      <c r="L101" s="19">
        <f t="shared" si="13"/>
        <v>50</v>
      </c>
      <c r="M101" s="19">
        <f t="shared" si="13"/>
        <v>0</v>
      </c>
      <c r="N101" s="19">
        <f t="shared" si="13"/>
        <v>1</v>
      </c>
      <c r="O101" s="19">
        <f t="shared" si="13"/>
        <v>113</v>
      </c>
      <c r="P101" s="19">
        <f t="shared" si="13"/>
        <v>1</v>
      </c>
      <c r="Q101" s="19">
        <f t="shared" si="13"/>
        <v>2</v>
      </c>
      <c r="R101" s="19">
        <f t="shared" si="13"/>
        <v>20</v>
      </c>
      <c r="S101" s="19">
        <f t="shared" si="13"/>
        <v>0</v>
      </c>
      <c r="T101" s="19">
        <f t="shared" si="13"/>
        <v>0</v>
      </c>
      <c r="U101" s="19">
        <f t="shared" si="7"/>
        <v>0</v>
      </c>
      <c r="V101" s="19">
        <f t="shared" si="7"/>
        <v>0</v>
      </c>
      <c r="W101" s="19">
        <f t="shared" si="7"/>
        <v>1</v>
      </c>
    </row>
    <row r="102" spans="1:23" x14ac:dyDescent="0.15">
      <c r="A102" s="24" t="str">
        <f t="shared" si="10"/>
        <v>4_3-4/13&lt;lv5&gt;s2</v>
      </c>
      <c r="B102" s="19">
        <f t="shared" si="13"/>
        <v>4</v>
      </c>
      <c r="C102" s="19">
        <f t="shared" si="13"/>
        <v>3</v>
      </c>
      <c r="D102" s="19">
        <f t="shared" si="13"/>
        <v>4</v>
      </c>
      <c r="E102" s="19">
        <f t="shared" si="13"/>
        <v>13</v>
      </c>
      <c r="F102" s="19">
        <f t="shared" si="13"/>
        <v>5</v>
      </c>
      <c r="G102" s="19">
        <f t="shared" si="12"/>
        <v>1</v>
      </c>
      <c r="H102" s="19">
        <f t="shared" si="12"/>
        <v>1</v>
      </c>
      <c r="I102" s="19">
        <f t="shared" si="12"/>
        <v>0</v>
      </c>
      <c r="J102" s="19">
        <v>0</v>
      </c>
      <c r="K102" s="19">
        <f t="shared" si="13"/>
        <v>2</v>
      </c>
      <c r="L102" s="19">
        <f t="shared" si="13"/>
        <v>100</v>
      </c>
      <c r="M102" s="19">
        <f t="shared" si="13"/>
        <v>0</v>
      </c>
      <c r="N102" s="19">
        <f t="shared" si="13"/>
        <v>2</v>
      </c>
      <c r="O102" s="19">
        <f t="shared" si="13"/>
        <v>13</v>
      </c>
      <c r="P102" s="19">
        <f t="shared" si="13"/>
        <v>1</v>
      </c>
      <c r="Q102" s="19">
        <f t="shared" si="13"/>
        <v>1</v>
      </c>
      <c r="R102" s="19">
        <f t="shared" si="13"/>
        <v>30</v>
      </c>
      <c r="S102" s="19">
        <f t="shared" si="13"/>
        <v>0</v>
      </c>
      <c r="T102" s="19">
        <f t="shared" si="13"/>
        <v>0</v>
      </c>
      <c r="U102" s="19">
        <f t="shared" si="7"/>
        <v>0</v>
      </c>
      <c r="V102" s="19">
        <f t="shared" si="7"/>
        <v>0</v>
      </c>
      <c r="W102" s="19">
        <f t="shared" si="7"/>
        <v>1</v>
      </c>
    </row>
    <row r="103" spans="1:23" x14ac:dyDescent="0.15">
      <c r="A103" s="24" t="str">
        <f t="shared" si="10"/>
        <v>4_3-4/140&lt;lv7&gt;s2</v>
      </c>
      <c r="B103" s="19">
        <f t="shared" si="13"/>
        <v>4</v>
      </c>
      <c r="C103" s="19">
        <f t="shared" si="13"/>
        <v>3</v>
      </c>
      <c r="D103" s="19">
        <f t="shared" si="13"/>
        <v>4</v>
      </c>
      <c r="E103" s="19">
        <f t="shared" si="13"/>
        <v>140</v>
      </c>
      <c r="F103" s="19">
        <f t="shared" si="13"/>
        <v>7</v>
      </c>
      <c r="G103" s="19">
        <f t="shared" si="12"/>
        <v>1</v>
      </c>
      <c r="H103" s="19">
        <f t="shared" si="12"/>
        <v>1</v>
      </c>
      <c r="I103" s="19">
        <f t="shared" si="12"/>
        <v>0</v>
      </c>
      <c r="J103" s="19">
        <v>0</v>
      </c>
      <c r="K103" s="19">
        <f t="shared" si="13"/>
        <v>1</v>
      </c>
      <c r="L103" s="19">
        <f t="shared" si="13"/>
        <v>100</v>
      </c>
      <c r="M103" s="19">
        <f t="shared" si="13"/>
        <v>1</v>
      </c>
      <c r="N103" s="19">
        <f t="shared" si="13"/>
        <v>2</v>
      </c>
      <c r="O103" s="19">
        <f t="shared" si="13"/>
        <v>140</v>
      </c>
      <c r="P103" s="19">
        <f t="shared" si="13"/>
        <v>1</v>
      </c>
      <c r="Q103" s="19">
        <f t="shared" si="13"/>
        <v>3</v>
      </c>
      <c r="R103" s="19">
        <f t="shared" si="13"/>
        <v>0</v>
      </c>
      <c r="S103" s="19">
        <f t="shared" si="13"/>
        <v>0</v>
      </c>
      <c r="T103" s="19">
        <f t="shared" si="13"/>
        <v>0</v>
      </c>
      <c r="U103" s="19">
        <f t="shared" si="7"/>
        <v>0</v>
      </c>
      <c r="V103" s="19">
        <f t="shared" si="7"/>
        <v>0</v>
      </c>
      <c r="W103" s="19">
        <f t="shared" si="7"/>
        <v>1</v>
      </c>
    </row>
    <row r="104" spans="1:23" x14ac:dyDescent="0.15">
      <c r="A104" s="24" t="str">
        <f t="shared" si="10"/>
        <v>4_4-1/344&lt;lv1&gt;s1</v>
      </c>
      <c r="B104" s="19">
        <f t="shared" si="13"/>
        <v>4</v>
      </c>
      <c r="C104" s="19">
        <f t="shared" si="13"/>
        <v>4</v>
      </c>
      <c r="D104" s="19">
        <f t="shared" si="13"/>
        <v>1</v>
      </c>
      <c r="E104" s="19">
        <f t="shared" si="13"/>
        <v>344</v>
      </c>
      <c r="F104" s="19">
        <f t="shared" si="13"/>
        <v>1</v>
      </c>
      <c r="G104" s="19">
        <f t="shared" si="12"/>
        <v>1</v>
      </c>
      <c r="H104" s="19">
        <f t="shared" si="12"/>
        <v>1</v>
      </c>
      <c r="I104" s="19">
        <f t="shared" si="12"/>
        <v>0</v>
      </c>
      <c r="J104" s="19">
        <v>560001</v>
      </c>
      <c r="K104" s="19">
        <v>1</v>
      </c>
      <c r="L104" s="19">
        <v>100</v>
      </c>
      <c r="M104" s="19">
        <v>1</v>
      </c>
      <c r="N104" s="19">
        <f t="shared" si="13"/>
        <v>1</v>
      </c>
      <c r="O104" s="19">
        <f t="shared" si="13"/>
        <v>344</v>
      </c>
      <c r="P104" s="19">
        <f t="shared" si="13"/>
        <v>1</v>
      </c>
      <c r="Q104" s="19">
        <f t="shared" si="13"/>
        <v>3</v>
      </c>
      <c r="R104" s="19">
        <f t="shared" si="13"/>
        <v>100</v>
      </c>
      <c r="S104" s="19">
        <f t="shared" si="13"/>
        <v>0</v>
      </c>
      <c r="T104" s="19">
        <f t="shared" si="13"/>
        <v>0</v>
      </c>
      <c r="U104" s="19">
        <f t="shared" si="7"/>
        <v>0</v>
      </c>
      <c r="V104" s="19">
        <f t="shared" si="7"/>
        <v>0</v>
      </c>
      <c r="W104" s="19">
        <f t="shared" si="7"/>
        <v>1</v>
      </c>
    </row>
    <row r="105" spans="1:23" x14ac:dyDescent="0.15">
      <c r="A105" s="24" t="str">
        <f t="shared" si="10"/>
        <v>4_4-2/117&lt;lv1&gt;s1</v>
      </c>
      <c r="B105" s="19">
        <f t="shared" si="13"/>
        <v>4</v>
      </c>
      <c r="C105" s="19">
        <f t="shared" si="13"/>
        <v>4</v>
      </c>
      <c r="D105" s="19">
        <f t="shared" si="13"/>
        <v>2</v>
      </c>
      <c r="E105" s="19">
        <f t="shared" si="13"/>
        <v>117</v>
      </c>
      <c r="F105" s="19">
        <f t="shared" si="13"/>
        <v>1</v>
      </c>
      <c r="G105" s="19">
        <f t="shared" si="12"/>
        <v>1</v>
      </c>
      <c r="H105" s="19">
        <f t="shared" si="12"/>
        <v>1</v>
      </c>
      <c r="I105" s="19">
        <f t="shared" si="12"/>
        <v>0</v>
      </c>
      <c r="J105" s="19">
        <v>0</v>
      </c>
      <c r="K105" s="19">
        <f t="shared" si="13"/>
        <v>0</v>
      </c>
      <c r="L105" s="19">
        <f t="shared" si="13"/>
        <v>100</v>
      </c>
      <c r="M105" s="19">
        <f t="shared" si="13"/>
        <v>0</v>
      </c>
      <c r="N105" s="19">
        <f t="shared" si="13"/>
        <v>1</v>
      </c>
      <c r="O105" s="19">
        <f t="shared" si="13"/>
        <v>117</v>
      </c>
      <c r="P105" s="19">
        <f t="shared" si="13"/>
        <v>1</v>
      </c>
      <c r="Q105" s="19">
        <f t="shared" si="13"/>
        <v>3</v>
      </c>
      <c r="R105" s="19">
        <f t="shared" si="13"/>
        <v>100</v>
      </c>
      <c r="S105" s="19">
        <f t="shared" si="13"/>
        <v>0</v>
      </c>
      <c r="T105" s="19">
        <f t="shared" si="13"/>
        <v>0</v>
      </c>
      <c r="U105" s="19">
        <f t="shared" si="7"/>
        <v>0</v>
      </c>
      <c r="V105" s="19">
        <f t="shared" si="7"/>
        <v>0</v>
      </c>
      <c r="W105" s="19">
        <f t="shared" si="7"/>
        <v>1</v>
      </c>
    </row>
    <row r="106" spans="1:23" x14ac:dyDescent="0.15">
      <c r="A106" s="24" t="str">
        <f t="shared" si="10"/>
        <v>4_4-3/344&lt;lv1&gt;s1</v>
      </c>
      <c r="B106" s="19">
        <f t="shared" si="13"/>
        <v>4</v>
      </c>
      <c r="C106" s="19">
        <f t="shared" si="13"/>
        <v>4</v>
      </c>
      <c r="D106" s="19">
        <f t="shared" si="13"/>
        <v>3</v>
      </c>
      <c r="E106" s="19">
        <f t="shared" si="13"/>
        <v>344</v>
      </c>
      <c r="F106" s="19">
        <f t="shared" si="13"/>
        <v>1</v>
      </c>
      <c r="G106" s="19">
        <f t="shared" si="12"/>
        <v>1</v>
      </c>
      <c r="H106" s="19">
        <f t="shared" si="12"/>
        <v>1</v>
      </c>
      <c r="I106" s="19">
        <f t="shared" si="12"/>
        <v>0</v>
      </c>
      <c r="J106" s="19">
        <v>0</v>
      </c>
      <c r="K106" s="19">
        <f t="shared" si="13"/>
        <v>0</v>
      </c>
      <c r="L106" s="19">
        <f t="shared" si="13"/>
        <v>100</v>
      </c>
      <c r="M106" s="19">
        <f t="shared" si="13"/>
        <v>0</v>
      </c>
      <c r="N106" s="19">
        <f t="shared" si="13"/>
        <v>1</v>
      </c>
      <c r="O106" s="19">
        <f t="shared" si="13"/>
        <v>344</v>
      </c>
      <c r="P106" s="19">
        <f t="shared" si="13"/>
        <v>1</v>
      </c>
      <c r="Q106" s="19">
        <f t="shared" si="13"/>
        <v>3</v>
      </c>
      <c r="R106" s="19">
        <f t="shared" si="13"/>
        <v>100</v>
      </c>
      <c r="S106" s="19">
        <f t="shared" si="13"/>
        <v>0</v>
      </c>
      <c r="T106" s="19">
        <f t="shared" si="13"/>
        <v>0</v>
      </c>
      <c r="U106" s="19">
        <f t="shared" si="7"/>
        <v>0</v>
      </c>
      <c r="V106" s="19">
        <f t="shared" si="7"/>
        <v>0</v>
      </c>
      <c r="W106" s="19">
        <f t="shared" si="7"/>
        <v>1</v>
      </c>
    </row>
    <row r="107" spans="1:23" x14ac:dyDescent="0.15">
      <c r="A107" s="24" t="str">
        <f t="shared" si="10"/>
        <v>4_4-4/117&lt;lv1&gt;s1</v>
      </c>
      <c r="B107" s="19">
        <f t="shared" si="13"/>
        <v>4</v>
      </c>
      <c r="C107" s="19">
        <f t="shared" si="13"/>
        <v>4</v>
      </c>
      <c r="D107" s="19">
        <f t="shared" si="13"/>
        <v>4</v>
      </c>
      <c r="E107" s="19">
        <f t="shared" si="13"/>
        <v>117</v>
      </c>
      <c r="F107" s="19">
        <f t="shared" si="13"/>
        <v>1</v>
      </c>
      <c r="G107" s="19">
        <f t="shared" si="12"/>
        <v>1</v>
      </c>
      <c r="H107" s="19">
        <f t="shared" si="12"/>
        <v>1</v>
      </c>
      <c r="I107" s="19">
        <f t="shared" si="12"/>
        <v>0</v>
      </c>
      <c r="J107" s="19">
        <v>0</v>
      </c>
      <c r="K107" s="19">
        <f t="shared" si="13"/>
        <v>2</v>
      </c>
      <c r="L107" s="19">
        <f t="shared" si="13"/>
        <v>100</v>
      </c>
      <c r="M107" s="19">
        <f t="shared" si="13"/>
        <v>0</v>
      </c>
      <c r="N107" s="19">
        <f t="shared" si="13"/>
        <v>1</v>
      </c>
      <c r="O107" s="19">
        <f t="shared" si="13"/>
        <v>117</v>
      </c>
      <c r="P107" s="19">
        <f t="shared" si="13"/>
        <v>1</v>
      </c>
      <c r="Q107" s="19">
        <f t="shared" si="13"/>
        <v>3</v>
      </c>
      <c r="R107" s="19">
        <f t="shared" si="13"/>
        <v>0</v>
      </c>
      <c r="S107" s="19">
        <f t="shared" si="13"/>
        <v>0</v>
      </c>
      <c r="T107" s="19">
        <f t="shared" si="13"/>
        <v>0</v>
      </c>
      <c r="U107" s="19">
        <f t="shared" si="7"/>
        <v>0</v>
      </c>
      <c r="V107" s="19">
        <f t="shared" si="7"/>
        <v>0</v>
      </c>
      <c r="W107" s="19">
        <f t="shared" si="7"/>
        <v>1</v>
      </c>
    </row>
    <row r="108" spans="1:23" x14ac:dyDescent="0.15">
      <c r="A108" s="24" t="str">
        <f t="shared" si="10"/>
        <v>4_4-4/118&lt;lv1&gt;s2</v>
      </c>
      <c r="B108" s="19">
        <f t="shared" si="13"/>
        <v>4</v>
      </c>
      <c r="C108" s="19">
        <f t="shared" si="13"/>
        <v>4</v>
      </c>
      <c r="D108" s="19">
        <f t="shared" si="13"/>
        <v>4</v>
      </c>
      <c r="E108" s="19">
        <f t="shared" si="13"/>
        <v>118</v>
      </c>
      <c r="F108" s="19">
        <f t="shared" si="13"/>
        <v>1</v>
      </c>
      <c r="G108" s="19">
        <f t="shared" si="12"/>
        <v>1</v>
      </c>
      <c r="H108" s="19">
        <f t="shared" si="12"/>
        <v>1</v>
      </c>
      <c r="I108" s="19">
        <f t="shared" si="12"/>
        <v>0</v>
      </c>
      <c r="J108" s="19">
        <v>0</v>
      </c>
      <c r="K108" s="19">
        <f t="shared" si="13"/>
        <v>1</v>
      </c>
      <c r="L108" s="19">
        <f t="shared" si="13"/>
        <v>100</v>
      </c>
      <c r="M108" s="19">
        <f t="shared" si="13"/>
        <v>1</v>
      </c>
      <c r="N108" s="19">
        <f t="shared" si="13"/>
        <v>2</v>
      </c>
      <c r="O108" s="19">
        <f t="shared" si="13"/>
        <v>118</v>
      </c>
      <c r="P108" s="19">
        <f t="shared" si="13"/>
        <v>1</v>
      </c>
      <c r="Q108" s="19">
        <f t="shared" si="13"/>
        <v>4</v>
      </c>
      <c r="R108" s="19">
        <f t="shared" si="13"/>
        <v>100</v>
      </c>
      <c r="S108" s="19">
        <f t="shared" si="13"/>
        <v>0</v>
      </c>
      <c r="T108" s="19">
        <f t="shared" si="13"/>
        <v>0</v>
      </c>
      <c r="U108" s="19">
        <f t="shared" si="7"/>
        <v>0</v>
      </c>
      <c r="V108" s="19">
        <f t="shared" si="7"/>
        <v>0</v>
      </c>
      <c r="W108" s="19">
        <f t="shared" si="7"/>
        <v>1</v>
      </c>
    </row>
    <row r="109" spans="1:23" x14ac:dyDescent="0.15">
      <c r="A109" s="24" t="str">
        <f t="shared" si="10"/>
        <v>4_4-5/344&lt;lv1&gt;s1</v>
      </c>
      <c r="B109" s="19">
        <f t="shared" si="13"/>
        <v>4</v>
      </c>
      <c r="C109" s="19">
        <f t="shared" si="13"/>
        <v>4</v>
      </c>
      <c r="D109" s="19">
        <f t="shared" si="13"/>
        <v>5</v>
      </c>
      <c r="E109" s="19">
        <f t="shared" si="13"/>
        <v>344</v>
      </c>
      <c r="F109" s="19">
        <f t="shared" si="13"/>
        <v>1</v>
      </c>
      <c r="G109" s="19">
        <f t="shared" si="12"/>
        <v>1</v>
      </c>
      <c r="H109" s="19">
        <f t="shared" si="12"/>
        <v>1</v>
      </c>
      <c r="I109" s="19">
        <f t="shared" si="12"/>
        <v>0</v>
      </c>
      <c r="J109" s="19">
        <v>0</v>
      </c>
      <c r="K109" s="19">
        <f t="shared" si="13"/>
        <v>2</v>
      </c>
      <c r="L109" s="19">
        <f t="shared" si="13"/>
        <v>100</v>
      </c>
      <c r="M109" s="19">
        <f t="shared" si="13"/>
        <v>0</v>
      </c>
      <c r="N109" s="19">
        <f t="shared" si="13"/>
        <v>1</v>
      </c>
      <c r="O109" s="19">
        <f t="shared" si="13"/>
        <v>344</v>
      </c>
      <c r="P109" s="19">
        <f t="shared" si="13"/>
        <v>1</v>
      </c>
      <c r="Q109" s="19">
        <f t="shared" si="13"/>
        <v>3</v>
      </c>
      <c r="R109" s="19">
        <f t="shared" si="13"/>
        <v>0</v>
      </c>
      <c r="S109" s="19">
        <f t="shared" si="13"/>
        <v>0</v>
      </c>
      <c r="T109" s="19">
        <f t="shared" si="13"/>
        <v>0</v>
      </c>
      <c r="U109" s="19">
        <f t="shared" si="7"/>
        <v>0</v>
      </c>
      <c r="V109" s="19">
        <f t="shared" si="7"/>
        <v>0</v>
      </c>
      <c r="W109" s="19">
        <f t="shared" si="7"/>
        <v>1</v>
      </c>
    </row>
    <row r="110" spans="1:23" x14ac:dyDescent="0.15">
      <c r="A110" s="24" t="str">
        <f t="shared" si="10"/>
        <v>4_4-5/345&lt;lv1&gt;s2</v>
      </c>
      <c r="B110" s="19">
        <f t="shared" si="13"/>
        <v>4</v>
      </c>
      <c r="C110" s="19">
        <f t="shared" si="13"/>
        <v>4</v>
      </c>
      <c r="D110" s="19">
        <f t="shared" si="13"/>
        <v>5</v>
      </c>
      <c r="E110" s="19">
        <f t="shared" si="13"/>
        <v>345</v>
      </c>
      <c r="F110" s="19">
        <f t="shared" si="13"/>
        <v>1</v>
      </c>
      <c r="G110" s="19">
        <f t="shared" si="12"/>
        <v>1</v>
      </c>
      <c r="H110" s="19">
        <f t="shared" si="12"/>
        <v>1</v>
      </c>
      <c r="I110" s="19">
        <f t="shared" si="12"/>
        <v>0</v>
      </c>
      <c r="J110" s="19">
        <v>0</v>
      </c>
      <c r="K110" s="19">
        <f t="shared" si="13"/>
        <v>1</v>
      </c>
      <c r="L110" s="19">
        <f t="shared" si="13"/>
        <v>100</v>
      </c>
      <c r="M110" s="19">
        <f t="shared" si="13"/>
        <v>1</v>
      </c>
      <c r="N110" s="19">
        <f t="shared" si="13"/>
        <v>2</v>
      </c>
      <c r="O110" s="19">
        <f t="shared" si="13"/>
        <v>345</v>
      </c>
      <c r="P110" s="19">
        <f t="shared" si="13"/>
        <v>1</v>
      </c>
      <c r="Q110" s="19">
        <f t="shared" si="13"/>
        <v>4</v>
      </c>
      <c r="R110" s="19">
        <f t="shared" si="13"/>
        <v>100</v>
      </c>
      <c r="S110" s="19">
        <f t="shared" si="13"/>
        <v>0</v>
      </c>
      <c r="T110" s="19">
        <f t="shared" si="13"/>
        <v>0</v>
      </c>
      <c r="U110" s="19">
        <f t="shared" ref="U110:W173" si="14">VLOOKUP($A110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10" s="19">
        <f t="shared" si="14"/>
        <v>0</v>
      </c>
      <c r="W110" s="19">
        <f t="shared" si="14"/>
        <v>1</v>
      </c>
    </row>
    <row r="111" spans="1:23" x14ac:dyDescent="0.15">
      <c r="A111" s="24" t="str">
        <f t="shared" si="10"/>
        <v>5_1-1/5&lt;lv7&gt;s3</v>
      </c>
      <c r="B111" s="19">
        <f t="shared" si="13"/>
        <v>5</v>
      </c>
      <c r="C111" s="19">
        <f t="shared" si="13"/>
        <v>1</v>
      </c>
      <c r="D111" s="19">
        <f t="shared" si="13"/>
        <v>1</v>
      </c>
      <c r="E111" s="19">
        <f t="shared" si="13"/>
        <v>5</v>
      </c>
      <c r="F111" s="19">
        <f t="shared" si="13"/>
        <v>7</v>
      </c>
      <c r="G111" s="19">
        <f t="shared" si="12"/>
        <v>1</v>
      </c>
      <c r="H111" s="19">
        <f t="shared" si="12"/>
        <v>1</v>
      </c>
      <c r="I111" s="19">
        <f t="shared" si="12"/>
        <v>0</v>
      </c>
      <c r="J111" s="19">
        <v>0</v>
      </c>
      <c r="K111" s="19">
        <f t="shared" si="13"/>
        <v>0</v>
      </c>
      <c r="L111" s="19">
        <f t="shared" si="13"/>
        <v>100</v>
      </c>
      <c r="M111" s="19">
        <f t="shared" si="13"/>
        <v>0</v>
      </c>
      <c r="N111" s="19">
        <f t="shared" si="13"/>
        <v>3</v>
      </c>
      <c r="O111" s="19">
        <f t="shared" si="13"/>
        <v>5</v>
      </c>
      <c r="P111" s="19">
        <f t="shared" si="13"/>
        <v>1</v>
      </c>
      <c r="Q111" s="19">
        <f t="shared" si="13"/>
        <v>1</v>
      </c>
      <c r="R111" s="19">
        <f t="shared" si="13"/>
        <v>30</v>
      </c>
      <c r="S111" s="19">
        <f t="shared" si="13"/>
        <v>0</v>
      </c>
      <c r="T111" s="19">
        <f t="shared" si="13"/>
        <v>0</v>
      </c>
      <c r="U111" s="19">
        <f t="shared" si="14"/>
        <v>0</v>
      </c>
      <c r="V111" s="19">
        <f t="shared" si="14"/>
        <v>0</v>
      </c>
      <c r="W111" s="19">
        <f t="shared" si="14"/>
        <v>1</v>
      </c>
    </row>
    <row r="112" spans="1:23" x14ac:dyDescent="0.15">
      <c r="A112" s="24" t="str">
        <f t="shared" si="10"/>
        <v>5_1-1/17&lt;lv7&gt;s2</v>
      </c>
      <c r="B112" s="19">
        <f t="shared" si="13"/>
        <v>5</v>
      </c>
      <c r="C112" s="19">
        <f t="shared" si="13"/>
        <v>1</v>
      </c>
      <c r="D112" s="19">
        <f t="shared" si="13"/>
        <v>1</v>
      </c>
      <c r="E112" s="19">
        <f t="shared" si="13"/>
        <v>17</v>
      </c>
      <c r="F112" s="19">
        <f t="shared" si="13"/>
        <v>7</v>
      </c>
      <c r="G112" s="19">
        <f t="shared" si="12"/>
        <v>1</v>
      </c>
      <c r="H112" s="19">
        <f t="shared" si="12"/>
        <v>1</v>
      </c>
      <c r="I112" s="19">
        <f t="shared" si="12"/>
        <v>0</v>
      </c>
      <c r="J112" s="19">
        <v>0</v>
      </c>
      <c r="K112" s="19">
        <f t="shared" si="13"/>
        <v>0</v>
      </c>
      <c r="L112" s="19">
        <f t="shared" si="13"/>
        <v>100</v>
      </c>
      <c r="M112" s="19">
        <f t="shared" si="13"/>
        <v>0</v>
      </c>
      <c r="N112" s="19">
        <f t="shared" si="13"/>
        <v>2</v>
      </c>
      <c r="O112" s="19">
        <f t="shared" si="13"/>
        <v>17</v>
      </c>
      <c r="P112" s="19">
        <f t="shared" si="13"/>
        <v>1</v>
      </c>
      <c r="Q112" s="19">
        <f t="shared" si="13"/>
        <v>1</v>
      </c>
      <c r="R112" s="19">
        <f t="shared" si="13"/>
        <v>30</v>
      </c>
      <c r="S112" s="19">
        <f t="shared" si="13"/>
        <v>0</v>
      </c>
      <c r="T112" s="19">
        <f t="shared" si="13"/>
        <v>0</v>
      </c>
      <c r="U112" s="19">
        <f t="shared" si="14"/>
        <v>0</v>
      </c>
      <c r="V112" s="19">
        <f t="shared" si="14"/>
        <v>0</v>
      </c>
      <c r="W112" s="19">
        <f t="shared" si="14"/>
        <v>1</v>
      </c>
    </row>
    <row r="113" spans="1:23" x14ac:dyDescent="0.15">
      <c r="A113" s="24" t="str">
        <f t="shared" si="10"/>
        <v>5_1-2/5&lt;lv7&gt;s3</v>
      </c>
      <c r="B113" s="19">
        <f t="shared" si="13"/>
        <v>5</v>
      </c>
      <c r="C113" s="19">
        <f t="shared" si="13"/>
        <v>1</v>
      </c>
      <c r="D113" s="19">
        <f t="shared" si="13"/>
        <v>2</v>
      </c>
      <c r="E113" s="19">
        <f t="shared" si="13"/>
        <v>5</v>
      </c>
      <c r="F113" s="19">
        <f t="shared" si="13"/>
        <v>7</v>
      </c>
      <c r="G113" s="19">
        <f t="shared" si="12"/>
        <v>1</v>
      </c>
      <c r="H113" s="19">
        <f t="shared" si="12"/>
        <v>1</v>
      </c>
      <c r="I113" s="19">
        <f t="shared" si="12"/>
        <v>0</v>
      </c>
      <c r="J113" s="19">
        <v>0</v>
      </c>
      <c r="K113" s="19">
        <f t="shared" si="13"/>
        <v>0</v>
      </c>
      <c r="L113" s="19">
        <f t="shared" si="13"/>
        <v>100</v>
      </c>
      <c r="M113" s="19">
        <f t="shared" si="13"/>
        <v>0</v>
      </c>
      <c r="N113" s="19">
        <f t="shared" si="13"/>
        <v>3</v>
      </c>
      <c r="O113" s="19">
        <f t="shared" si="13"/>
        <v>5</v>
      </c>
      <c r="P113" s="19">
        <f t="shared" si="13"/>
        <v>1</v>
      </c>
      <c r="Q113" s="19">
        <f t="shared" si="13"/>
        <v>1</v>
      </c>
      <c r="R113" s="19">
        <f t="shared" si="13"/>
        <v>30</v>
      </c>
      <c r="S113" s="19">
        <f t="shared" si="13"/>
        <v>0</v>
      </c>
      <c r="T113" s="19">
        <f t="shared" si="13"/>
        <v>0</v>
      </c>
      <c r="U113" s="19">
        <f t="shared" si="14"/>
        <v>0</v>
      </c>
      <c r="V113" s="19">
        <f t="shared" si="14"/>
        <v>0</v>
      </c>
      <c r="W113" s="19">
        <f t="shared" si="14"/>
        <v>1</v>
      </c>
    </row>
    <row r="114" spans="1:23" x14ac:dyDescent="0.15">
      <c r="A114" s="24" t="str">
        <f t="shared" si="10"/>
        <v>5_1-2/17&lt;lv7&gt;s2</v>
      </c>
      <c r="B114" s="19">
        <f t="shared" si="13"/>
        <v>5</v>
      </c>
      <c r="C114" s="19">
        <f t="shared" si="13"/>
        <v>1</v>
      </c>
      <c r="D114" s="19">
        <f t="shared" si="13"/>
        <v>2</v>
      </c>
      <c r="E114" s="19">
        <f t="shared" si="13"/>
        <v>17</v>
      </c>
      <c r="F114" s="19">
        <f t="shared" si="13"/>
        <v>7</v>
      </c>
      <c r="G114" s="19">
        <f t="shared" si="12"/>
        <v>1</v>
      </c>
      <c r="H114" s="19">
        <f t="shared" si="12"/>
        <v>1</v>
      </c>
      <c r="I114" s="19">
        <f t="shared" si="12"/>
        <v>0</v>
      </c>
      <c r="J114" s="19">
        <v>0</v>
      </c>
      <c r="K114" s="19">
        <f t="shared" si="13"/>
        <v>0</v>
      </c>
      <c r="L114" s="19">
        <f t="shared" si="13"/>
        <v>100</v>
      </c>
      <c r="M114" s="19">
        <f t="shared" si="13"/>
        <v>0</v>
      </c>
      <c r="N114" s="19">
        <f t="shared" ref="B114:T130" si="15">VLOOKUP($A114,OFFSET(INDIRECT($C$1&amp;"!$A1"),0,0,COUNTA(INDIRECT($C$1&amp;"!$A:$A"))+1,MATCH(N$2,INDIRECT($C$1&amp;"!"&amp;$B$1),0)-MATCH($A$2,INDIRECT($C$1&amp;"!"&amp;$B$1),0)+1),MATCH(N$2,INDIRECT($C$1&amp;"!"&amp;$B$1),0)-MATCH($A$2,INDIRECT($C$1&amp;"!"&amp;$B$1),0)+1,FALSE)</f>
        <v>2</v>
      </c>
      <c r="O114" s="19">
        <f t="shared" si="15"/>
        <v>17</v>
      </c>
      <c r="P114" s="19">
        <f t="shared" si="15"/>
        <v>1</v>
      </c>
      <c r="Q114" s="19">
        <f t="shared" si="15"/>
        <v>1</v>
      </c>
      <c r="R114" s="19">
        <f t="shared" si="15"/>
        <v>30</v>
      </c>
      <c r="S114" s="19">
        <f t="shared" si="15"/>
        <v>0</v>
      </c>
      <c r="T114" s="19">
        <f t="shared" si="15"/>
        <v>0</v>
      </c>
      <c r="U114" s="19">
        <f t="shared" si="14"/>
        <v>0</v>
      </c>
      <c r="V114" s="19">
        <f t="shared" si="14"/>
        <v>0</v>
      </c>
      <c r="W114" s="19">
        <f t="shared" si="14"/>
        <v>1</v>
      </c>
    </row>
    <row r="115" spans="1:23" x14ac:dyDescent="0.15">
      <c r="A115" s="24" t="str">
        <f t="shared" si="10"/>
        <v>5_1-2/109&lt;lv7&gt;s2</v>
      </c>
      <c r="B115" s="19">
        <f t="shared" si="15"/>
        <v>5</v>
      </c>
      <c r="C115" s="19">
        <f t="shared" si="15"/>
        <v>1</v>
      </c>
      <c r="D115" s="19">
        <f t="shared" si="15"/>
        <v>2</v>
      </c>
      <c r="E115" s="19">
        <f t="shared" si="15"/>
        <v>109</v>
      </c>
      <c r="F115" s="19">
        <f t="shared" si="15"/>
        <v>7</v>
      </c>
      <c r="G115" s="19">
        <f t="shared" si="12"/>
        <v>1</v>
      </c>
      <c r="H115" s="19">
        <f t="shared" si="12"/>
        <v>1</v>
      </c>
      <c r="I115" s="19">
        <f t="shared" si="12"/>
        <v>0</v>
      </c>
      <c r="J115" s="19">
        <v>0</v>
      </c>
      <c r="K115" s="19">
        <f t="shared" si="15"/>
        <v>0</v>
      </c>
      <c r="L115" s="19">
        <f t="shared" si="15"/>
        <v>50</v>
      </c>
      <c r="M115" s="19">
        <f t="shared" si="15"/>
        <v>0</v>
      </c>
      <c r="N115" s="19">
        <f t="shared" si="15"/>
        <v>2</v>
      </c>
      <c r="O115" s="19">
        <f t="shared" si="15"/>
        <v>109</v>
      </c>
      <c r="P115" s="19">
        <f t="shared" si="15"/>
        <v>1</v>
      </c>
      <c r="Q115" s="19">
        <f t="shared" si="15"/>
        <v>2</v>
      </c>
      <c r="R115" s="19">
        <f t="shared" si="15"/>
        <v>20</v>
      </c>
      <c r="S115" s="19">
        <f t="shared" si="15"/>
        <v>0</v>
      </c>
      <c r="T115" s="19">
        <f t="shared" si="15"/>
        <v>0</v>
      </c>
      <c r="U115" s="19">
        <f t="shared" si="14"/>
        <v>0</v>
      </c>
      <c r="V115" s="19">
        <f t="shared" si="14"/>
        <v>0</v>
      </c>
      <c r="W115" s="19">
        <f t="shared" si="14"/>
        <v>1</v>
      </c>
    </row>
    <row r="116" spans="1:23" x14ac:dyDescent="0.15">
      <c r="A116" s="24" t="str">
        <f t="shared" si="10"/>
        <v>5_1-3/26&lt;lv7&gt;s3</v>
      </c>
      <c r="B116" s="19">
        <f t="shared" si="15"/>
        <v>5</v>
      </c>
      <c r="C116" s="19">
        <f t="shared" si="15"/>
        <v>1</v>
      </c>
      <c r="D116" s="19">
        <f t="shared" si="15"/>
        <v>3</v>
      </c>
      <c r="E116" s="19">
        <f t="shared" si="15"/>
        <v>26</v>
      </c>
      <c r="F116" s="19">
        <f t="shared" si="15"/>
        <v>7</v>
      </c>
      <c r="G116" s="19">
        <f t="shared" si="12"/>
        <v>1</v>
      </c>
      <c r="H116" s="19">
        <f t="shared" si="12"/>
        <v>1</v>
      </c>
      <c r="I116" s="19">
        <f t="shared" si="12"/>
        <v>0</v>
      </c>
      <c r="J116" s="19">
        <v>0</v>
      </c>
      <c r="K116" s="19">
        <f t="shared" si="15"/>
        <v>3</v>
      </c>
      <c r="L116" s="19">
        <f t="shared" si="15"/>
        <v>100</v>
      </c>
      <c r="M116" s="19">
        <f t="shared" si="15"/>
        <v>0</v>
      </c>
      <c r="N116" s="19">
        <f t="shared" si="15"/>
        <v>3</v>
      </c>
      <c r="O116" s="19">
        <f t="shared" si="15"/>
        <v>25</v>
      </c>
      <c r="P116" s="19">
        <f t="shared" si="15"/>
        <v>1</v>
      </c>
      <c r="Q116" s="19">
        <f t="shared" si="15"/>
        <v>1</v>
      </c>
      <c r="R116" s="19">
        <f t="shared" si="15"/>
        <v>0</v>
      </c>
      <c r="S116" s="19">
        <f t="shared" si="15"/>
        <v>0</v>
      </c>
      <c r="T116" s="19">
        <f t="shared" si="15"/>
        <v>0</v>
      </c>
      <c r="U116" s="19">
        <f t="shared" si="14"/>
        <v>0</v>
      </c>
      <c r="V116" s="19">
        <f t="shared" si="14"/>
        <v>0</v>
      </c>
      <c r="W116" s="19">
        <f t="shared" si="14"/>
        <v>1</v>
      </c>
    </row>
    <row r="117" spans="1:23" x14ac:dyDescent="0.15">
      <c r="A117" s="24" t="str">
        <f t="shared" si="10"/>
        <v>5_2-1/5&lt;lv7&gt;s3</v>
      </c>
      <c r="B117" s="19">
        <f t="shared" si="15"/>
        <v>5</v>
      </c>
      <c r="C117" s="19">
        <f t="shared" si="15"/>
        <v>2</v>
      </c>
      <c r="D117" s="19">
        <f t="shared" si="15"/>
        <v>1</v>
      </c>
      <c r="E117" s="19">
        <f t="shared" si="15"/>
        <v>5</v>
      </c>
      <c r="F117" s="19">
        <f t="shared" si="15"/>
        <v>7</v>
      </c>
      <c r="G117" s="19">
        <f t="shared" si="12"/>
        <v>1</v>
      </c>
      <c r="H117" s="19">
        <f t="shared" si="12"/>
        <v>1</v>
      </c>
      <c r="I117" s="19">
        <f t="shared" si="12"/>
        <v>0</v>
      </c>
      <c r="J117" s="19">
        <v>0</v>
      </c>
      <c r="K117" s="19">
        <f t="shared" si="15"/>
        <v>0</v>
      </c>
      <c r="L117" s="19">
        <f t="shared" si="15"/>
        <v>100</v>
      </c>
      <c r="M117" s="19">
        <f t="shared" si="15"/>
        <v>0</v>
      </c>
      <c r="N117" s="19">
        <f t="shared" si="15"/>
        <v>3</v>
      </c>
      <c r="O117" s="19">
        <f t="shared" si="15"/>
        <v>5</v>
      </c>
      <c r="P117" s="19">
        <f t="shared" si="15"/>
        <v>2</v>
      </c>
      <c r="Q117" s="19">
        <f t="shared" si="15"/>
        <v>1</v>
      </c>
      <c r="R117" s="19">
        <f t="shared" si="15"/>
        <v>30</v>
      </c>
      <c r="S117" s="19">
        <f t="shared" si="15"/>
        <v>0</v>
      </c>
      <c r="T117" s="19">
        <f t="shared" si="15"/>
        <v>0</v>
      </c>
      <c r="U117" s="19">
        <f t="shared" si="14"/>
        <v>0</v>
      </c>
      <c r="V117" s="19">
        <f t="shared" si="14"/>
        <v>0</v>
      </c>
      <c r="W117" s="19">
        <f t="shared" si="14"/>
        <v>1</v>
      </c>
    </row>
    <row r="118" spans="1:23" x14ac:dyDescent="0.15">
      <c r="A118" s="24" t="str">
        <f t="shared" si="10"/>
        <v>5_2-1/17&lt;lv7&gt;s2</v>
      </c>
      <c r="B118" s="19">
        <f t="shared" si="15"/>
        <v>5</v>
      </c>
      <c r="C118" s="19">
        <f t="shared" si="15"/>
        <v>2</v>
      </c>
      <c r="D118" s="19">
        <f t="shared" si="15"/>
        <v>1</v>
      </c>
      <c r="E118" s="19">
        <f t="shared" si="15"/>
        <v>17</v>
      </c>
      <c r="F118" s="19">
        <f t="shared" si="15"/>
        <v>7</v>
      </c>
      <c r="G118" s="19">
        <f t="shared" si="12"/>
        <v>1</v>
      </c>
      <c r="H118" s="19">
        <f t="shared" si="12"/>
        <v>1</v>
      </c>
      <c r="I118" s="19">
        <f t="shared" si="12"/>
        <v>0</v>
      </c>
      <c r="J118" s="19">
        <v>0</v>
      </c>
      <c r="K118" s="19">
        <f t="shared" si="15"/>
        <v>0</v>
      </c>
      <c r="L118" s="19">
        <f t="shared" si="15"/>
        <v>100</v>
      </c>
      <c r="M118" s="19">
        <f t="shared" si="15"/>
        <v>0</v>
      </c>
      <c r="N118" s="19">
        <f t="shared" si="15"/>
        <v>2</v>
      </c>
      <c r="O118" s="19">
        <f t="shared" si="15"/>
        <v>17</v>
      </c>
      <c r="P118" s="19">
        <f t="shared" si="15"/>
        <v>1</v>
      </c>
      <c r="Q118" s="19">
        <f t="shared" si="15"/>
        <v>1</v>
      </c>
      <c r="R118" s="19">
        <f t="shared" si="15"/>
        <v>30</v>
      </c>
      <c r="S118" s="19">
        <f t="shared" si="15"/>
        <v>0</v>
      </c>
      <c r="T118" s="19">
        <f t="shared" si="15"/>
        <v>0</v>
      </c>
      <c r="U118" s="19">
        <f t="shared" si="14"/>
        <v>0</v>
      </c>
      <c r="V118" s="19">
        <f t="shared" si="14"/>
        <v>0</v>
      </c>
      <c r="W118" s="19">
        <f t="shared" si="14"/>
        <v>1</v>
      </c>
    </row>
    <row r="119" spans="1:23" x14ac:dyDescent="0.15">
      <c r="A119" s="24" t="str">
        <f t="shared" si="10"/>
        <v>5_2-1/25&lt;lv7&gt;s3</v>
      </c>
      <c r="B119" s="19">
        <f t="shared" si="15"/>
        <v>5</v>
      </c>
      <c r="C119" s="19">
        <f t="shared" si="15"/>
        <v>2</v>
      </c>
      <c r="D119" s="19">
        <f t="shared" si="15"/>
        <v>1</v>
      </c>
      <c r="E119" s="19">
        <f t="shared" si="15"/>
        <v>25</v>
      </c>
      <c r="F119" s="19">
        <f t="shared" si="15"/>
        <v>7</v>
      </c>
      <c r="G119" s="19">
        <f t="shared" si="12"/>
        <v>1</v>
      </c>
      <c r="H119" s="19">
        <f t="shared" si="12"/>
        <v>1</v>
      </c>
      <c r="I119" s="19">
        <f t="shared" si="12"/>
        <v>0</v>
      </c>
      <c r="J119" s="19">
        <v>0</v>
      </c>
      <c r="K119" s="19">
        <f t="shared" si="15"/>
        <v>0</v>
      </c>
      <c r="L119" s="19">
        <f t="shared" si="15"/>
        <v>100</v>
      </c>
      <c r="M119" s="19">
        <f t="shared" si="15"/>
        <v>0</v>
      </c>
      <c r="N119" s="19">
        <f t="shared" si="15"/>
        <v>3</v>
      </c>
      <c r="O119" s="19">
        <f t="shared" si="15"/>
        <v>25</v>
      </c>
      <c r="P119" s="19">
        <f t="shared" si="15"/>
        <v>1</v>
      </c>
      <c r="Q119" s="19">
        <f t="shared" si="15"/>
        <v>1</v>
      </c>
      <c r="R119" s="19">
        <f t="shared" si="15"/>
        <v>30</v>
      </c>
      <c r="S119" s="19">
        <f t="shared" si="15"/>
        <v>0</v>
      </c>
      <c r="T119" s="19">
        <f t="shared" si="15"/>
        <v>0</v>
      </c>
      <c r="U119" s="19">
        <f t="shared" si="14"/>
        <v>0</v>
      </c>
      <c r="V119" s="19">
        <f t="shared" si="14"/>
        <v>0</v>
      </c>
      <c r="W119" s="19">
        <f t="shared" si="14"/>
        <v>1</v>
      </c>
    </row>
    <row r="120" spans="1:23" x14ac:dyDescent="0.15">
      <c r="A120" s="24" t="str">
        <f t="shared" si="10"/>
        <v>5_2-1/109&lt;lv7&gt;s2</v>
      </c>
      <c r="B120" s="19">
        <f t="shared" si="15"/>
        <v>5</v>
      </c>
      <c r="C120" s="19">
        <f t="shared" si="15"/>
        <v>2</v>
      </c>
      <c r="D120" s="19">
        <f t="shared" si="15"/>
        <v>1</v>
      </c>
      <c r="E120" s="19">
        <f t="shared" si="15"/>
        <v>109</v>
      </c>
      <c r="F120" s="19">
        <f t="shared" si="15"/>
        <v>7</v>
      </c>
      <c r="G120" s="19">
        <f t="shared" si="12"/>
        <v>1</v>
      </c>
      <c r="H120" s="19">
        <f t="shared" si="12"/>
        <v>1</v>
      </c>
      <c r="I120" s="19">
        <f t="shared" si="12"/>
        <v>0</v>
      </c>
      <c r="J120" s="19">
        <v>0</v>
      </c>
      <c r="K120" s="19">
        <f t="shared" si="15"/>
        <v>0</v>
      </c>
      <c r="L120" s="19">
        <f t="shared" si="15"/>
        <v>50</v>
      </c>
      <c r="M120" s="19">
        <f t="shared" si="15"/>
        <v>0</v>
      </c>
      <c r="N120" s="19">
        <f t="shared" si="15"/>
        <v>2</v>
      </c>
      <c r="O120" s="19">
        <f t="shared" si="15"/>
        <v>109</v>
      </c>
      <c r="P120" s="19">
        <f t="shared" si="15"/>
        <v>1</v>
      </c>
      <c r="Q120" s="19">
        <f t="shared" si="15"/>
        <v>2</v>
      </c>
      <c r="R120" s="19">
        <f t="shared" si="15"/>
        <v>20</v>
      </c>
      <c r="S120" s="19">
        <f t="shared" si="15"/>
        <v>0</v>
      </c>
      <c r="T120" s="19">
        <f t="shared" si="15"/>
        <v>0</v>
      </c>
      <c r="U120" s="19">
        <f t="shared" si="14"/>
        <v>0</v>
      </c>
      <c r="V120" s="19">
        <f t="shared" si="14"/>
        <v>0</v>
      </c>
      <c r="W120" s="19">
        <f t="shared" si="14"/>
        <v>1</v>
      </c>
    </row>
    <row r="121" spans="1:23" x14ac:dyDescent="0.15">
      <c r="A121" s="24" t="str">
        <f t="shared" si="10"/>
        <v>5_2-2/5&lt;lv7&gt;s3</v>
      </c>
      <c r="B121" s="19">
        <f t="shared" si="15"/>
        <v>5</v>
      </c>
      <c r="C121" s="19">
        <f t="shared" si="15"/>
        <v>2</v>
      </c>
      <c r="D121" s="19">
        <f t="shared" si="15"/>
        <v>2</v>
      </c>
      <c r="E121" s="19">
        <f t="shared" si="15"/>
        <v>5</v>
      </c>
      <c r="F121" s="19">
        <f t="shared" si="15"/>
        <v>7</v>
      </c>
      <c r="G121" s="19">
        <f t="shared" si="12"/>
        <v>1</v>
      </c>
      <c r="H121" s="19">
        <f t="shared" si="12"/>
        <v>1</v>
      </c>
      <c r="I121" s="19">
        <f t="shared" si="12"/>
        <v>0</v>
      </c>
      <c r="J121" s="19">
        <v>0</v>
      </c>
      <c r="K121" s="19">
        <f t="shared" si="15"/>
        <v>0</v>
      </c>
      <c r="L121" s="19">
        <f t="shared" si="15"/>
        <v>100</v>
      </c>
      <c r="M121" s="19">
        <f t="shared" si="15"/>
        <v>0</v>
      </c>
      <c r="N121" s="19">
        <f t="shared" si="15"/>
        <v>3</v>
      </c>
      <c r="O121" s="19">
        <f t="shared" si="15"/>
        <v>5</v>
      </c>
      <c r="P121" s="19">
        <f t="shared" si="15"/>
        <v>2</v>
      </c>
      <c r="Q121" s="19">
        <f t="shared" si="15"/>
        <v>1</v>
      </c>
      <c r="R121" s="19">
        <f t="shared" si="15"/>
        <v>30</v>
      </c>
      <c r="S121" s="19">
        <f t="shared" si="15"/>
        <v>0</v>
      </c>
      <c r="T121" s="19">
        <f t="shared" si="15"/>
        <v>0</v>
      </c>
      <c r="U121" s="19">
        <f t="shared" si="14"/>
        <v>0</v>
      </c>
      <c r="V121" s="19">
        <f t="shared" si="14"/>
        <v>0</v>
      </c>
      <c r="W121" s="19">
        <f t="shared" si="14"/>
        <v>1</v>
      </c>
    </row>
    <row r="122" spans="1:23" x14ac:dyDescent="0.15">
      <c r="A122" s="24" t="str">
        <f t="shared" si="10"/>
        <v>5_2-2/17&lt;lv7&gt;s2</v>
      </c>
      <c r="B122" s="19">
        <f t="shared" si="15"/>
        <v>5</v>
      </c>
      <c r="C122" s="19">
        <f t="shared" si="15"/>
        <v>2</v>
      </c>
      <c r="D122" s="19">
        <f t="shared" si="15"/>
        <v>2</v>
      </c>
      <c r="E122" s="19">
        <f t="shared" si="15"/>
        <v>17</v>
      </c>
      <c r="F122" s="19">
        <f t="shared" si="15"/>
        <v>7</v>
      </c>
      <c r="G122" s="19">
        <f t="shared" si="12"/>
        <v>1</v>
      </c>
      <c r="H122" s="19">
        <f t="shared" si="12"/>
        <v>1</v>
      </c>
      <c r="I122" s="19">
        <f t="shared" si="12"/>
        <v>0</v>
      </c>
      <c r="J122" s="19">
        <v>0</v>
      </c>
      <c r="K122" s="19">
        <f t="shared" si="15"/>
        <v>0</v>
      </c>
      <c r="L122" s="19">
        <f t="shared" si="15"/>
        <v>100</v>
      </c>
      <c r="M122" s="19">
        <f t="shared" si="15"/>
        <v>0</v>
      </c>
      <c r="N122" s="19">
        <f t="shared" si="15"/>
        <v>2</v>
      </c>
      <c r="O122" s="19">
        <f t="shared" si="15"/>
        <v>17</v>
      </c>
      <c r="P122" s="19">
        <f t="shared" si="15"/>
        <v>1</v>
      </c>
      <c r="Q122" s="19">
        <f t="shared" si="15"/>
        <v>1</v>
      </c>
      <c r="R122" s="19">
        <f t="shared" si="15"/>
        <v>30</v>
      </c>
      <c r="S122" s="19">
        <f t="shared" si="15"/>
        <v>0</v>
      </c>
      <c r="T122" s="19">
        <f t="shared" si="15"/>
        <v>0</v>
      </c>
      <c r="U122" s="19">
        <f t="shared" si="14"/>
        <v>0</v>
      </c>
      <c r="V122" s="19">
        <f t="shared" si="14"/>
        <v>0</v>
      </c>
      <c r="W122" s="19">
        <f t="shared" si="14"/>
        <v>1</v>
      </c>
    </row>
    <row r="123" spans="1:23" x14ac:dyDescent="0.15">
      <c r="A123" s="24" t="str">
        <f t="shared" si="10"/>
        <v>5_2-2/25&lt;lv7&gt;s3</v>
      </c>
      <c r="B123" s="19">
        <f t="shared" si="15"/>
        <v>5</v>
      </c>
      <c r="C123" s="19">
        <f t="shared" si="15"/>
        <v>2</v>
      </c>
      <c r="D123" s="19">
        <f t="shared" si="15"/>
        <v>2</v>
      </c>
      <c r="E123" s="19">
        <f t="shared" si="15"/>
        <v>25</v>
      </c>
      <c r="F123" s="19">
        <f t="shared" si="15"/>
        <v>7</v>
      </c>
      <c r="G123" s="19">
        <f t="shared" si="12"/>
        <v>1</v>
      </c>
      <c r="H123" s="19">
        <f t="shared" si="12"/>
        <v>1</v>
      </c>
      <c r="I123" s="19">
        <f t="shared" si="12"/>
        <v>0</v>
      </c>
      <c r="J123" s="19">
        <v>0</v>
      </c>
      <c r="K123" s="19">
        <f t="shared" si="15"/>
        <v>0</v>
      </c>
      <c r="L123" s="19">
        <f t="shared" si="15"/>
        <v>100</v>
      </c>
      <c r="M123" s="19">
        <f t="shared" si="15"/>
        <v>0</v>
      </c>
      <c r="N123" s="19">
        <f t="shared" si="15"/>
        <v>3</v>
      </c>
      <c r="O123" s="19">
        <f t="shared" si="15"/>
        <v>25</v>
      </c>
      <c r="P123" s="19">
        <f t="shared" si="15"/>
        <v>1</v>
      </c>
      <c r="Q123" s="19">
        <f t="shared" si="15"/>
        <v>1</v>
      </c>
      <c r="R123" s="19">
        <f t="shared" si="15"/>
        <v>0</v>
      </c>
      <c r="S123" s="19">
        <f t="shared" si="15"/>
        <v>0</v>
      </c>
      <c r="T123" s="19">
        <f t="shared" si="15"/>
        <v>0</v>
      </c>
      <c r="U123" s="19">
        <f t="shared" si="14"/>
        <v>0</v>
      </c>
      <c r="V123" s="19">
        <f t="shared" si="14"/>
        <v>0</v>
      </c>
      <c r="W123" s="19">
        <f t="shared" si="14"/>
        <v>1</v>
      </c>
    </row>
    <row r="124" spans="1:23" x14ac:dyDescent="0.15">
      <c r="A124" s="24" t="str">
        <f t="shared" si="10"/>
        <v>5_2-2/109&lt;lv7&gt;s2</v>
      </c>
      <c r="B124" s="19">
        <f t="shared" si="15"/>
        <v>5</v>
      </c>
      <c r="C124" s="19">
        <f t="shared" si="15"/>
        <v>2</v>
      </c>
      <c r="D124" s="19">
        <f t="shared" si="15"/>
        <v>2</v>
      </c>
      <c r="E124" s="19">
        <f t="shared" si="15"/>
        <v>109</v>
      </c>
      <c r="F124" s="19">
        <f t="shared" si="15"/>
        <v>7</v>
      </c>
      <c r="G124" s="19">
        <f t="shared" si="12"/>
        <v>1</v>
      </c>
      <c r="H124" s="19">
        <f t="shared" si="12"/>
        <v>1</v>
      </c>
      <c r="I124" s="19">
        <f t="shared" si="12"/>
        <v>0</v>
      </c>
      <c r="J124" s="19">
        <v>0</v>
      </c>
      <c r="K124" s="19">
        <f t="shared" si="15"/>
        <v>0</v>
      </c>
      <c r="L124" s="19">
        <f t="shared" si="15"/>
        <v>50</v>
      </c>
      <c r="M124" s="19">
        <f t="shared" si="15"/>
        <v>0</v>
      </c>
      <c r="N124" s="19">
        <f t="shared" si="15"/>
        <v>2</v>
      </c>
      <c r="O124" s="19">
        <f t="shared" si="15"/>
        <v>109</v>
      </c>
      <c r="P124" s="19">
        <f t="shared" si="15"/>
        <v>1</v>
      </c>
      <c r="Q124" s="19">
        <f t="shared" si="15"/>
        <v>2</v>
      </c>
      <c r="R124" s="19">
        <f t="shared" si="15"/>
        <v>20</v>
      </c>
      <c r="S124" s="19">
        <f t="shared" si="15"/>
        <v>0</v>
      </c>
      <c r="T124" s="19">
        <f t="shared" si="15"/>
        <v>0</v>
      </c>
      <c r="U124" s="19">
        <f t="shared" si="14"/>
        <v>0</v>
      </c>
      <c r="V124" s="19">
        <f t="shared" si="14"/>
        <v>0</v>
      </c>
      <c r="W124" s="19">
        <f t="shared" si="14"/>
        <v>1</v>
      </c>
    </row>
    <row r="125" spans="1:23" x14ac:dyDescent="0.15">
      <c r="A125" s="24" t="str">
        <f t="shared" si="10"/>
        <v>5_2-3/5&lt;lv7&gt;s3</v>
      </c>
      <c r="B125" s="19">
        <f t="shared" si="15"/>
        <v>5</v>
      </c>
      <c r="C125" s="19">
        <f t="shared" si="15"/>
        <v>2</v>
      </c>
      <c r="D125" s="19">
        <f t="shared" si="15"/>
        <v>3</v>
      </c>
      <c r="E125" s="19">
        <f t="shared" si="15"/>
        <v>5</v>
      </c>
      <c r="F125" s="19">
        <f t="shared" si="15"/>
        <v>7</v>
      </c>
      <c r="G125" s="19">
        <f t="shared" si="12"/>
        <v>1</v>
      </c>
      <c r="H125" s="19">
        <f t="shared" si="12"/>
        <v>1</v>
      </c>
      <c r="I125" s="19">
        <f t="shared" si="12"/>
        <v>0</v>
      </c>
      <c r="J125" s="19">
        <v>0</v>
      </c>
      <c r="K125" s="19">
        <f t="shared" si="15"/>
        <v>0</v>
      </c>
      <c r="L125" s="19">
        <f t="shared" si="15"/>
        <v>100</v>
      </c>
      <c r="M125" s="19">
        <f t="shared" si="15"/>
        <v>0</v>
      </c>
      <c r="N125" s="19">
        <f t="shared" si="15"/>
        <v>3</v>
      </c>
      <c r="O125" s="19">
        <f t="shared" si="15"/>
        <v>5</v>
      </c>
      <c r="P125" s="19">
        <f t="shared" si="15"/>
        <v>2</v>
      </c>
      <c r="Q125" s="19">
        <f t="shared" si="15"/>
        <v>1</v>
      </c>
      <c r="R125" s="19">
        <f t="shared" si="15"/>
        <v>30</v>
      </c>
      <c r="S125" s="19">
        <f t="shared" si="15"/>
        <v>0</v>
      </c>
      <c r="T125" s="19">
        <f t="shared" si="15"/>
        <v>0</v>
      </c>
      <c r="U125" s="19">
        <f t="shared" si="14"/>
        <v>0</v>
      </c>
      <c r="V125" s="19">
        <f t="shared" si="14"/>
        <v>0</v>
      </c>
      <c r="W125" s="19">
        <f t="shared" si="14"/>
        <v>1</v>
      </c>
    </row>
    <row r="126" spans="1:23" x14ac:dyDescent="0.15">
      <c r="A126" s="24" t="str">
        <f t="shared" si="10"/>
        <v>5_2-3/17&lt;lv7&gt;s2</v>
      </c>
      <c r="B126" s="19">
        <f t="shared" si="15"/>
        <v>5</v>
      </c>
      <c r="C126" s="19">
        <f t="shared" si="15"/>
        <v>2</v>
      </c>
      <c r="D126" s="19">
        <f t="shared" si="15"/>
        <v>3</v>
      </c>
      <c r="E126" s="19">
        <f t="shared" si="15"/>
        <v>17</v>
      </c>
      <c r="F126" s="19">
        <f t="shared" si="15"/>
        <v>7</v>
      </c>
      <c r="G126" s="19">
        <f t="shared" si="12"/>
        <v>1</v>
      </c>
      <c r="H126" s="19">
        <f t="shared" si="12"/>
        <v>1</v>
      </c>
      <c r="I126" s="19">
        <f t="shared" si="12"/>
        <v>0</v>
      </c>
      <c r="J126" s="19">
        <v>0</v>
      </c>
      <c r="K126" s="19">
        <f t="shared" si="15"/>
        <v>0</v>
      </c>
      <c r="L126" s="19">
        <f t="shared" si="15"/>
        <v>100</v>
      </c>
      <c r="M126" s="19">
        <f t="shared" si="15"/>
        <v>0</v>
      </c>
      <c r="N126" s="19">
        <f t="shared" si="15"/>
        <v>2</v>
      </c>
      <c r="O126" s="19">
        <f t="shared" si="15"/>
        <v>17</v>
      </c>
      <c r="P126" s="19">
        <f t="shared" si="15"/>
        <v>1</v>
      </c>
      <c r="Q126" s="19">
        <f t="shared" si="15"/>
        <v>1</v>
      </c>
      <c r="R126" s="19">
        <f t="shared" si="15"/>
        <v>30</v>
      </c>
      <c r="S126" s="19">
        <f t="shared" si="15"/>
        <v>0</v>
      </c>
      <c r="T126" s="19">
        <f t="shared" si="15"/>
        <v>0</v>
      </c>
      <c r="U126" s="19">
        <f t="shared" si="14"/>
        <v>0</v>
      </c>
      <c r="V126" s="19">
        <f t="shared" si="14"/>
        <v>0</v>
      </c>
      <c r="W126" s="19">
        <f t="shared" si="14"/>
        <v>1</v>
      </c>
    </row>
    <row r="127" spans="1:23" x14ac:dyDescent="0.15">
      <c r="A127" s="24" t="str">
        <f t="shared" si="10"/>
        <v>5_2-3/25&lt;lv7&gt;s3</v>
      </c>
      <c r="B127" s="19">
        <f t="shared" si="15"/>
        <v>5</v>
      </c>
      <c r="C127" s="19">
        <f t="shared" si="15"/>
        <v>2</v>
      </c>
      <c r="D127" s="19">
        <f t="shared" si="15"/>
        <v>3</v>
      </c>
      <c r="E127" s="19">
        <f t="shared" si="15"/>
        <v>25</v>
      </c>
      <c r="F127" s="19">
        <f t="shared" si="15"/>
        <v>7</v>
      </c>
      <c r="G127" s="19">
        <f t="shared" si="12"/>
        <v>1</v>
      </c>
      <c r="H127" s="19">
        <f t="shared" si="12"/>
        <v>1</v>
      </c>
      <c r="I127" s="19">
        <f t="shared" si="12"/>
        <v>0</v>
      </c>
      <c r="J127" s="19">
        <v>0</v>
      </c>
      <c r="K127" s="19">
        <f t="shared" si="15"/>
        <v>0</v>
      </c>
      <c r="L127" s="19">
        <f t="shared" si="15"/>
        <v>100</v>
      </c>
      <c r="M127" s="19">
        <f t="shared" si="15"/>
        <v>0</v>
      </c>
      <c r="N127" s="19">
        <f t="shared" si="15"/>
        <v>3</v>
      </c>
      <c r="O127" s="19">
        <f t="shared" si="15"/>
        <v>25</v>
      </c>
      <c r="P127" s="19">
        <f t="shared" si="15"/>
        <v>1</v>
      </c>
      <c r="Q127" s="19">
        <f t="shared" si="15"/>
        <v>1</v>
      </c>
      <c r="R127" s="19">
        <f t="shared" si="15"/>
        <v>0</v>
      </c>
      <c r="S127" s="19">
        <f t="shared" si="15"/>
        <v>0</v>
      </c>
      <c r="T127" s="19">
        <f t="shared" si="15"/>
        <v>0</v>
      </c>
      <c r="U127" s="19">
        <f t="shared" si="14"/>
        <v>0</v>
      </c>
      <c r="V127" s="19">
        <f t="shared" si="14"/>
        <v>0</v>
      </c>
      <c r="W127" s="19">
        <f t="shared" si="14"/>
        <v>1</v>
      </c>
    </row>
    <row r="128" spans="1:23" x14ac:dyDescent="0.15">
      <c r="A128" s="24" t="str">
        <f t="shared" si="10"/>
        <v>5_2-3/109&lt;lv7&gt;s2</v>
      </c>
      <c r="B128" s="19">
        <f t="shared" si="15"/>
        <v>5</v>
      </c>
      <c r="C128" s="19">
        <f t="shared" si="15"/>
        <v>2</v>
      </c>
      <c r="D128" s="19">
        <f t="shared" si="15"/>
        <v>3</v>
      </c>
      <c r="E128" s="19">
        <f t="shared" si="15"/>
        <v>109</v>
      </c>
      <c r="F128" s="19">
        <f t="shared" si="15"/>
        <v>7</v>
      </c>
      <c r="G128" s="19">
        <f t="shared" si="12"/>
        <v>1</v>
      </c>
      <c r="H128" s="19">
        <f t="shared" si="12"/>
        <v>1</v>
      </c>
      <c r="I128" s="19">
        <f t="shared" si="12"/>
        <v>0</v>
      </c>
      <c r="J128" s="19">
        <v>0</v>
      </c>
      <c r="K128" s="19">
        <f t="shared" si="15"/>
        <v>0</v>
      </c>
      <c r="L128" s="19">
        <f t="shared" si="15"/>
        <v>50</v>
      </c>
      <c r="M128" s="19">
        <f t="shared" si="15"/>
        <v>0</v>
      </c>
      <c r="N128" s="19">
        <f t="shared" si="15"/>
        <v>2</v>
      </c>
      <c r="O128" s="19">
        <f t="shared" si="15"/>
        <v>109</v>
      </c>
      <c r="P128" s="19">
        <f t="shared" si="15"/>
        <v>1</v>
      </c>
      <c r="Q128" s="19">
        <f t="shared" si="15"/>
        <v>2</v>
      </c>
      <c r="R128" s="19">
        <f t="shared" si="15"/>
        <v>20</v>
      </c>
      <c r="S128" s="19">
        <f t="shared" si="15"/>
        <v>0</v>
      </c>
      <c r="T128" s="19">
        <f t="shared" si="15"/>
        <v>0</v>
      </c>
      <c r="U128" s="19">
        <f t="shared" si="14"/>
        <v>0</v>
      </c>
      <c r="V128" s="19">
        <f t="shared" si="14"/>
        <v>0</v>
      </c>
      <c r="W128" s="19">
        <f t="shared" si="14"/>
        <v>1</v>
      </c>
    </row>
    <row r="129" spans="1:23" x14ac:dyDescent="0.15">
      <c r="A129" s="24" t="str">
        <f t="shared" si="10"/>
        <v>5_2-4/53&lt;lv9&gt;s2</v>
      </c>
      <c r="B129" s="19">
        <f t="shared" si="15"/>
        <v>5</v>
      </c>
      <c r="C129" s="19">
        <f t="shared" si="15"/>
        <v>2</v>
      </c>
      <c r="D129" s="19">
        <f t="shared" si="15"/>
        <v>4</v>
      </c>
      <c r="E129" s="19">
        <f t="shared" si="15"/>
        <v>53</v>
      </c>
      <c r="F129" s="19">
        <f t="shared" si="15"/>
        <v>9</v>
      </c>
      <c r="G129" s="19">
        <f t="shared" si="12"/>
        <v>1</v>
      </c>
      <c r="H129" s="19">
        <f t="shared" si="12"/>
        <v>1</v>
      </c>
      <c r="I129" s="19">
        <f t="shared" si="12"/>
        <v>0</v>
      </c>
      <c r="J129" s="19">
        <v>53</v>
      </c>
      <c r="K129" s="19">
        <f t="shared" si="15"/>
        <v>1</v>
      </c>
      <c r="L129" s="19">
        <f t="shared" si="15"/>
        <v>100</v>
      </c>
      <c r="M129" s="19">
        <f t="shared" si="15"/>
        <v>1</v>
      </c>
      <c r="N129" s="19">
        <f t="shared" si="15"/>
        <v>2</v>
      </c>
      <c r="O129" s="19">
        <f t="shared" si="15"/>
        <v>53</v>
      </c>
      <c r="P129" s="19">
        <f t="shared" si="15"/>
        <v>1</v>
      </c>
      <c r="Q129" s="19">
        <f t="shared" si="15"/>
        <v>2</v>
      </c>
      <c r="R129" s="19">
        <f t="shared" si="15"/>
        <v>100</v>
      </c>
      <c r="S129" s="19">
        <f t="shared" si="15"/>
        <v>0</v>
      </c>
      <c r="T129" s="19">
        <f t="shared" si="15"/>
        <v>0</v>
      </c>
      <c r="U129" s="19">
        <f t="shared" si="14"/>
        <v>0</v>
      </c>
      <c r="V129" s="19">
        <f t="shared" si="14"/>
        <v>0</v>
      </c>
      <c r="W129" s="19">
        <f t="shared" si="14"/>
        <v>1</v>
      </c>
    </row>
    <row r="130" spans="1:23" x14ac:dyDescent="0.15">
      <c r="A130" s="24" t="str">
        <f t="shared" si="10"/>
        <v>5_3-1/5&lt;lv7&gt;s3</v>
      </c>
      <c r="B130" s="19">
        <f t="shared" si="15"/>
        <v>5</v>
      </c>
      <c r="C130" s="19">
        <f t="shared" si="15"/>
        <v>3</v>
      </c>
      <c r="D130" s="19">
        <f t="shared" si="15"/>
        <v>1</v>
      </c>
      <c r="E130" s="19">
        <f t="shared" si="15"/>
        <v>5</v>
      </c>
      <c r="F130" s="19">
        <f t="shared" si="15"/>
        <v>7</v>
      </c>
      <c r="G130" s="19">
        <f t="shared" si="12"/>
        <v>1</v>
      </c>
      <c r="H130" s="19">
        <f t="shared" si="12"/>
        <v>1</v>
      </c>
      <c r="I130" s="19">
        <f t="shared" si="12"/>
        <v>0</v>
      </c>
      <c r="J130" s="19">
        <v>0</v>
      </c>
      <c r="K130" s="19">
        <f t="shared" si="15"/>
        <v>0</v>
      </c>
      <c r="L130" s="19">
        <f t="shared" si="15"/>
        <v>100</v>
      </c>
      <c r="M130" s="19">
        <f t="shared" ref="B130:T146" si="16">VLOOKUP($A130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30" s="19">
        <f t="shared" si="16"/>
        <v>3</v>
      </c>
      <c r="O130" s="19">
        <f t="shared" si="16"/>
        <v>5</v>
      </c>
      <c r="P130" s="19">
        <f t="shared" si="16"/>
        <v>3</v>
      </c>
      <c r="Q130" s="19">
        <f t="shared" si="16"/>
        <v>1</v>
      </c>
      <c r="R130" s="19">
        <f t="shared" si="16"/>
        <v>0</v>
      </c>
      <c r="S130" s="19">
        <f t="shared" si="16"/>
        <v>0</v>
      </c>
      <c r="T130" s="19">
        <f t="shared" si="16"/>
        <v>0</v>
      </c>
      <c r="U130" s="19">
        <f t="shared" si="14"/>
        <v>0</v>
      </c>
      <c r="V130" s="19">
        <f t="shared" si="14"/>
        <v>0</v>
      </c>
      <c r="W130" s="19">
        <f t="shared" si="14"/>
        <v>1</v>
      </c>
    </row>
    <row r="131" spans="1:23" x14ac:dyDescent="0.15">
      <c r="A131" s="24" t="str">
        <f t="shared" si="10"/>
        <v>5_3-1/17&lt;lv7&gt;s2</v>
      </c>
      <c r="B131" s="19">
        <f t="shared" si="16"/>
        <v>5</v>
      </c>
      <c r="C131" s="19">
        <f t="shared" si="16"/>
        <v>3</v>
      </c>
      <c r="D131" s="19">
        <f t="shared" si="16"/>
        <v>1</v>
      </c>
      <c r="E131" s="19">
        <f t="shared" si="16"/>
        <v>17</v>
      </c>
      <c r="F131" s="19">
        <f t="shared" si="16"/>
        <v>7</v>
      </c>
      <c r="G131" s="19">
        <f t="shared" si="12"/>
        <v>1</v>
      </c>
      <c r="H131" s="19">
        <f t="shared" si="12"/>
        <v>1</v>
      </c>
      <c r="I131" s="19">
        <f t="shared" si="12"/>
        <v>0</v>
      </c>
      <c r="J131" s="19">
        <v>0</v>
      </c>
      <c r="K131" s="19">
        <f t="shared" si="16"/>
        <v>0</v>
      </c>
      <c r="L131" s="19">
        <f t="shared" si="16"/>
        <v>100</v>
      </c>
      <c r="M131" s="19">
        <f t="shared" si="16"/>
        <v>0</v>
      </c>
      <c r="N131" s="19">
        <f t="shared" si="16"/>
        <v>2</v>
      </c>
      <c r="O131" s="19">
        <f t="shared" si="16"/>
        <v>17</v>
      </c>
      <c r="P131" s="19">
        <f t="shared" si="16"/>
        <v>1</v>
      </c>
      <c r="Q131" s="19">
        <f t="shared" si="16"/>
        <v>1</v>
      </c>
      <c r="R131" s="19">
        <f t="shared" si="16"/>
        <v>30</v>
      </c>
      <c r="S131" s="19">
        <f t="shared" si="16"/>
        <v>0</v>
      </c>
      <c r="T131" s="19">
        <f t="shared" si="16"/>
        <v>0</v>
      </c>
      <c r="U131" s="19">
        <f t="shared" si="14"/>
        <v>0</v>
      </c>
      <c r="V131" s="19">
        <f t="shared" si="14"/>
        <v>0</v>
      </c>
      <c r="W131" s="19">
        <f t="shared" si="14"/>
        <v>1</v>
      </c>
    </row>
    <row r="132" spans="1:23" x14ac:dyDescent="0.15">
      <c r="A132" s="24" t="str">
        <f t="shared" ref="A132:A195" si="17">INDIRECT(ADDRESS(ROW()+$A$1,COLUMN(),1,TRUE,$C$1))</f>
        <v>5_3-1/25&lt;lv7&gt;s3</v>
      </c>
      <c r="B132" s="19">
        <f t="shared" si="16"/>
        <v>5</v>
      </c>
      <c r="C132" s="19">
        <f t="shared" si="16"/>
        <v>3</v>
      </c>
      <c r="D132" s="19">
        <f t="shared" si="16"/>
        <v>1</v>
      </c>
      <c r="E132" s="19">
        <f t="shared" si="16"/>
        <v>25</v>
      </c>
      <c r="F132" s="19">
        <f t="shared" si="16"/>
        <v>7</v>
      </c>
      <c r="G132" s="19">
        <f t="shared" si="12"/>
        <v>1</v>
      </c>
      <c r="H132" s="19">
        <f t="shared" si="12"/>
        <v>1</v>
      </c>
      <c r="I132" s="19">
        <f t="shared" si="12"/>
        <v>0</v>
      </c>
      <c r="J132" s="19">
        <v>0</v>
      </c>
      <c r="K132" s="19">
        <f t="shared" si="16"/>
        <v>0</v>
      </c>
      <c r="L132" s="19">
        <f t="shared" si="16"/>
        <v>100</v>
      </c>
      <c r="M132" s="19">
        <f t="shared" si="16"/>
        <v>0</v>
      </c>
      <c r="N132" s="19">
        <f t="shared" si="16"/>
        <v>3</v>
      </c>
      <c r="O132" s="19">
        <f t="shared" si="16"/>
        <v>25</v>
      </c>
      <c r="P132" s="19">
        <f t="shared" si="16"/>
        <v>1</v>
      </c>
      <c r="Q132" s="19">
        <f t="shared" si="16"/>
        <v>1</v>
      </c>
      <c r="R132" s="19">
        <f t="shared" si="16"/>
        <v>30</v>
      </c>
      <c r="S132" s="19">
        <f t="shared" si="16"/>
        <v>0</v>
      </c>
      <c r="T132" s="19">
        <f t="shared" si="16"/>
        <v>0</v>
      </c>
      <c r="U132" s="19">
        <f t="shared" si="14"/>
        <v>0</v>
      </c>
      <c r="V132" s="19">
        <f t="shared" si="14"/>
        <v>0</v>
      </c>
      <c r="W132" s="19">
        <f t="shared" si="14"/>
        <v>1</v>
      </c>
    </row>
    <row r="133" spans="1:23" x14ac:dyDescent="0.15">
      <c r="A133" s="24" t="str">
        <f t="shared" si="17"/>
        <v>5_3-1/109&lt;lv7&gt;s2</v>
      </c>
      <c r="B133" s="19">
        <f t="shared" si="16"/>
        <v>5</v>
      </c>
      <c r="C133" s="19">
        <f t="shared" si="16"/>
        <v>3</v>
      </c>
      <c r="D133" s="19">
        <f t="shared" si="16"/>
        <v>1</v>
      </c>
      <c r="E133" s="19">
        <f t="shared" si="16"/>
        <v>109</v>
      </c>
      <c r="F133" s="19">
        <f t="shared" si="16"/>
        <v>7</v>
      </c>
      <c r="G133" s="19">
        <f t="shared" si="12"/>
        <v>1</v>
      </c>
      <c r="H133" s="19">
        <f t="shared" si="12"/>
        <v>1</v>
      </c>
      <c r="I133" s="19">
        <f t="shared" si="12"/>
        <v>0</v>
      </c>
      <c r="J133" s="19">
        <v>0</v>
      </c>
      <c r="K133" s="19">
        <f t="shared" si="16"/>
        <v>0</v>
      </c>
      <c r="L133" s="19">
        <f t="shared" si="16"/>
        <v>50</v>
      </c>
      <c r="M133" s="19">
        <f t="shared" si="16"/>
        <v>0</v>
      </c>
      <c r="N133" s="19">
        <f t="shared" si="16"/>
        <v>2</v>
      </c>
      <c r="O133" s="19">
        <f t="shared" si="16"/>
        <v>109</v>
      </c>
      <c r="P133" s="19">
        <f t="shared" si="16"/>
        <v>1</v>
      </c>
      <c r="Q133" s="19">
        <f t="shared" si="16"/>
        <v>2</v>
      </c>
      <c r="R133" s="19">
        <f t="shared" si="16"/>
        <v>20</v>
      </c>
      <c r="S133" s="19">
        <f t="shared" si="16"/>
        <v>0</v>
      </c>
      <c r="T133" s="19">
        <f t="shared" si="16"/>
        <v>0</v>
      </c>
      <c r="U133" s="19">
        <f t="shared" si="14"/>
        <v>0</v>
      </c>
      <c r="V133" s="19">
        <f t="shared" si="14"/>
        <v>0</v>
      </c>
      <c r="W133" s="19">
        <f t="shared" si="14"/>
        <v>1</v>
      </c>
    </row>
    <row r="134" spans="1:23" x14ac:dyDescent="0.15">
      <c r="A134" s="24" t="str">
        <f t="shared" si="17"/>
        <v>5_3-2/5&lt;lv7&gt;s3</v>
      </c>
      <c r="B134" s="19">
        <f t="shared" si="16"/>
        <v>5</v>
      </c>
      <c r="C134" s="19">
        <f t="shared" si="16"/>
        <v>3</v>
      </c>
      <c r="D134" s="19">
        <f t="shared" si="16"/>
        <v>2</v>
      </c>
      <c r="E134" s="19">
        <f t="shared" si="16"/>
        <v>5</v>
      </c>
      <c r="F134" s="19">
        <f t="shared" si="16"/>
        <v>7</v>
      </c>
      <c r="G134" s="19">
        <f t="shared" si="12"/>
        <v>1</v>
      </c>
      <c r="H134" s="19">
        <f t="shared" si="12"/>
        <v>1</v>
      </c>
      <c r="I134" s="19">
        <f t="shared" si="12"/>
        <v>0</v>
      </c>
      <c r="J134" s="19">
        <v>0</v>
      </c>
      <c r="K134" s="19">
        <f t="shared" si="16"/>
        <v>0</v>
      </c>
      <c r="L134" s="19">
        <f t="shared" si="16"/>
        <v>100</v>
      </c>
      <c r="M134" s="19">
        <f t="shared" si="16"/>
        <v>0</v>
      </c>
      <c r="N134" s="19">
        <f t="shared" si="16"/>
        <v>3</v>
      </c>
      <c r="O134" s="19">
        <f t="shared" si="16"/>
        <v>5</v>
      </c>
      <c r="P134" s="19">
        <f t="shared" si="16"/>
        <v>3</v>
      </c>
      <c r="Q134" s="19">
        <f t="shared" si="16"/>
        <v>1</v>
      </c>
      <c r="R134" s="19">
        <f t="shared" si="16"/>
        <v>30</v>
      </c>
      <c r="S134" s="19">
        <f t="shared" si="16"/>
        <v>0</v>
      </c>
      <c r="T134" s="19">
        <f t="shared" si="16"/>
        <v>0</v>
      </c>
      <c r="U134" s="19">
        <f t="shared" si="14"/>
        <v>0</v>
      </c>
      <c r="V134" s="19">
        <f t="shared" si="14"/>
        <v>0</v>
      </c>
      <c r="W134" s="19">
        <f t="shared" si="14"/>
        <v>1</v>
      </c>
    </row>
    <row r="135" spans="1:23" x14ac:dyDescent="0.15">
      <c r="A135" s="24" t="str">
        <f t="shared" si="17"/>
        <v>5_3-2/17&lt;lv7&gt;s2</v>
      </c>
      <c r="B135" s="19">
        <f t="shared" si="16"/>
        <v>5</v>
      </c>
      <c r="C135" s="19">
        <f t="shared" si="16"/>
        <v>3</v>
      </c>
      <c r="D135" s="19">
        <f t="shared" si="16"/>
        <v>2</v>
      </c>
      <c r="E135" s="19">
        <f t="shared" si="16"/>
        <v>17</v>
      </c>
      <c r="F135" s="19">
        <f t="shared" si="16"/>
        <v>7</v>
      </c>
      <c r="G135" s="19">
        <f t="shared" si="12"/>
        <v>1</v>
      </c>
      <c r="H135" s="19">
        <f t="shared" si="12"/>
        <v>1</v>
      </c>
      <c r="I135" s="19">
        <f t="shared" si="12"/>
        <v>0</v>
      </c>
      <c r="J135" s="19">
        <v>0</v>
      </c>
      <c r="K135" s="19">
        <f t="shared" si="16"/>
        <v>0</v>
      </c>
      <c r="L135" s="19">
        <f t="shared" si="16"/>
        <v>100</v>
      </c>
      <c r="M135" s="19">
        <f t="shared" si="16"/>
        <v>0</v>
      </c>
      <c r="N135" s="19">
        <f t="shared" si="16"/>
        <v>2</v>
      </c>
      <c r="O135" s="19">
        <f t="shared" si="16"/>
        <v>17</v>
      </c>
      <c r="P135" s="19">
        <f t="shared" si="16"/>
        <v>1</v>
      </c>
      <c r="Q135" s="19">
        <f t="shared" si="16"/>
        <v>1</v>
      </c>
      <c r="R135" s="19">
        <f t="shared" si="16"/>
        <v>30</v>
      </c>
      <c r="S135" s="19">
        <f t="shared" si="16"/>
        <v>0</v>
      </c>
      <c r="T135" s="19">
        <f t="shared" si="16"/>
        <v>0</v>
      </c>
      <c r="U135" s="19">
        <f t="shared" si="14"/>
        <v>0</v>
      </c>
      <c r="V135" s="19">
        <f t="shared" si="14"/>
        <v>0</v>
      </c>
      <c r="W135" s="19">
        <f t="shared" si="14"/>
        <v>1</v>
      </c>
    </row>
    <row r="136" spans="1:23" x14ac:dyDescent="0.15">
      <c r="A136" s="24" t="str">
        <f t="shared" si="17"/>
        <v>5_3-2/25&lt;lv7&gt;s3</v>
      </c>
      <c r="B136" s="19">
        <f t="shared" si="16"/>
        <v>5</v>
      </c>
      <c r="C136" s="19">
        <f t="shared" si="16"/>
        <v>3</v>
      </c>
      <c r="D136" s="19">
        <f t="shared" si="16"/>
        <v>2</v>
      </c>
      <c r="E136" s="19">
        <f t="shared" si="16"/>
        <v>25</v>
      </c>
      <c r="F136" s="19">
        <f t="shared" si="16"/>
        <v>7</v>
      </c>
      <c r="G136" s="19">
        <f t="shared" si="12"/>
        <v>1</v>
      </c>
      <c r="H136" s="19">
        <f t="shared" si="12"/>
        <v>1</v>
      </c>
      <c r="I136" s="19">
        <f t="shared" si="12"/>
        <v>0</v>
      </c>
      <c r="J136" s="19">
        <v>0</v>
      </c>
      <c r="K136" s="19">
        <f t="shared" si="16"/>
        <v>0</v>
      </c>
      <c r="L136" s="19">
        <f t="shared" si="16"/>
        <v>100</v>
      </c>
      <c r="M136" s="19">
        <f t="shared" si="16"/>
        <v>0</v>
      </c>
      <c r="N136" s="19">
        <f t="shared" si="16"/>
        <v>3</v>
      </c>
      <c r="O136" s="19">
        <f t="shared" si="16"/>
        <v>25</v>
      </c>
      <c r="P136" s="19">
        <f t="shared" si="16"/>
        <v>1</v>
      </c>
      <c r="Q136" s="19">
        <f t="shared" si="16"/>
        <v>1</v>
      </c>
      <c r="R136" s="19">
        <f t="shared" si="16"/>
        <v>30</v>
      </c>
      <c r="S136" s="19">
        <f t="shared" si="16"/>
        <v>0</v>
      </c>
      <c r="T136" s="19">
        <f t="shared" si="16"/>
        <v>0</v>
      </c>
      <c r="U136" s="19">
        <f t="shared" si="14"/>
        <v>0</v>
      </c>
      <c r="V136" s="19">
        <f t="shared" si="14"/>
        <v>0</v>
      </c>
      <c r="W136" s="19">
        <f t="shared" si="14"/>
        <v>1</v>
      </c>
    </row>
    <row r="137" spans="1:23" x14ac:dyDescent="0.15">
      <c r="A137" s="24" t="str">
        <f t="shared" si="17"/>
        <v>5_3-2/109&lt;lv7&gt;s2</v>
      </c>
      <c r="B137" s="19">
        <f t="shared" si="16"/>
        <v>5</v>
      </c>
      <c r="C137" s="19">
        <f t="shared" si="16"/>
        <v>3</v>
      </c>
      <c r="D137" s="19">
        <f t="shared" si="16"/>
        <v>2</v>
      </c>
      <c r="E137" s="19">
        <f t="shared" si="16"/>
        <v>109</v>
      </c>
      <c r="F137" s="19">
        <f t="shared" si="16"/>
        <v>7</v>
      </c>
      <c r="G137" s="19">
        <f t="shared" si="12"/>
        <v>1</v>
      </c>
      <c r="H137" s="19">
        <f t="shared" si="12"/>
        <v>1</v>
      </c>
      <c r="I137" s="19">
        <f t="shared" si="12"/>
        <v>0</v>
      </c>
      <c r="J137" s="19">
        <v>0</v>
      </c>
      <c r="K137" s="19">
        <f t="shared" si="16"/>
        <v>0</v>
      </c>
      <c r="L137" s="19">
        <f t="shared" si="16"/>
        <v>50</v>
      </c>
      <c r="M137" s="19">
        <f t="shared" si="16"/>
        <v>0</v>
      </c>
      <c r="N137" s="19">
        <f t="shared" si="16"/>
        <v>2</v>
      </c>
      <c r="O137" s="19">
        <f t="shared" si="16"/>
        <v>109</v>
      </c>
      <c r="P137" s="19">
        <f t="shared" si="16"/>
        <v>1</v>
      </c>
      <c r="Q137" s="19">
        <f t="shared" si="16"/>
        <v>2</v>
      </c>
      <c r="R137" s="19">
        <f t="shared" si="16"/>
        <v>20</v>
      </c>
      <c r="S137" s="19">
        <f t="shared" si="16"/>
        <v>0</v>
      </c>
      <c r="T137" s="19">
        <f t="shared" si="16"/>
        <v>0</v>
      </c>
      <c r="U137" s="19">
        <f t="shared" si="14"/>
        <v>0</v>
      </c>
      <c r="V137" s="19">
        <f t="shared" si="14"/>
        <v>0</v>
      </c>
      <c r="W137" s="19">
        <f t="shared" si="14"/>
        <v>1</v>
      </c>
    </row>
    <row r="138" spans="1:23" x14ac:dyDescent="0.15">
      <c r="A138" s="24" t="str">
        <f t="shared" si="17"/>
        <v>5_3-3/5&lt;lv7&gt;s3</v>
      </c>
      <c r="B138" s="19">
        <f t="shared" si="16"/>
        <v>5</v>
      </c>
      <c r="C138" s="19">
        <f t="shared" si="16"/>
        <v>3</v>
      </c>
      <c r="D138" s="19">
        <f t="shared" si="16"/>
        <v>3</v>
      </c>
      <c r="E138" s="19">
        <f t="shared" si="16"/>
        <v>5</v>
      </c>
      <c r="F138" s="19">
        <f t="shared" si="16"/>
        <v>7</v>
      </c>
      <c r="G138" s="19">
        <f t="shared" si="12"/>
        <v>1</v>
      </c>
      <c r="H138" s="19">
        <f t="shared" si="12"/>
        <v>1</v>
      </c>
      <c r="I138" s="19">
        <f t="shared" si="12"/>
        <v>0</v>
      </c>
      <c r="J138" s="19">
        <v>0</v>
      </c>
      <c r="K138" s="19">
        <f t="shared" si="16"/>
        <v>0</v>
      </c>
      <c r="L138" s="19">
        <f t="shared" si="16"/>
        <v>100</v>
      </c>
      <c r="M138" s="19">
        <f t="shared" si="16"/>
        <v>0</v>
      </c>
      <c r="N138" s="19">
        <f t="shared" si="16"/>
        <v>3</v>
      </c>
      <c r="O138" s="19">
        <f t="shared" si="16"/>
        <v>5</v>
      </c>
      <c r="P138" s="19">
        <f t="shared" si="16"/>
        <v>3</v>
      </c>
      <c r="Q138" s="19">
        <f t="shared" si="16"/>
        <v>1</v>
      </c>
      <c r="R138" s="19">
        <f t="shared" si="16"/>
        <v>30</v>
      </c>
      <c r="S138" s="19">
        <f t="shared" si="16"/>
        <v>0</v>
      </c>
      <c r="T138" s="19">
        <f t="shared" si="16"/>
        <v>0</v>
      </c>
      <c r="U138" s="19">
        <f t="shared" si="14"/>
        <v>0</v>
      </c>
      <c r="V138" s="19">
        <f t="shared" si="14"/>
        <v>0</v>
      </c>
      <c r="W138" s="19">
        <f t="shared" si="14"/>
        <v>1</v>
      </c>
    </row>
    <row r="139" spans="1:23" x14ac:dyDescent="0.15">
      <c r="A139" s="24" t="str">
        <f t="shared" si="17"/>
        <v>5_3-3/17&lt;lv7&gt;s2</v>
      </c>
      <c r="B139" s="19">
        <f t="shared" si="16"/>
        <v>5</v>
      </c>
      <c r="C139" s="19">
        <f t="shared" si="16"/>
        <v>3</v>
      </c>
      <c r="D139" s="19">
        <f t="shared" si="16"/>
        <v>3</v>
      </c>
      <c r="E139" s="19">
        <f t="shared" si="16"/>
        <v>17</v>
      </c>
      <c r="F139" s="19">
        <f t="shared" si="16"/>
        <v>7</v>
      </c>
      <c r="G139" s="19">
        <f t="shared" si="12"/>
        <v>1</v>
      </c>
      <c r="H139" s="19">
        <f t="shared" si="12"/>
        <v>1</v>
      </c>
      <c r="I139" s="19">
        <f t="shared" si="12"/>
        <v>0</v>
      </c>
      <c r="J139" s="19">
        <v>0</v>
      </c>
      <c r="K139" s="19">
        <f t="shared" si="16"/>
        <v>0</v>
      </c>
      <c r="L139" s="19">
        <f t="shared" si="16"/>
        <v>100</v>
      </c>
      <c r="M139" s="19">
        <f t="shared" si="16"/>
        <v>0</v>
      </c>
      <c r="N139" s="19">
        <f t="shared" si="16"/>
        <v>2</v>
      </c>
      <c r="O139" s="19">
        <f t="shared" si="16"/>
        <v>17</v>
      </c>
      <c r="P139" s="19">
        <f t="shared" si="16"/>
        <v>1</v>
      </c>
      <c r="Q139" s="19">
        <f t="shared" si="16"/>
        <v>1</v>
      </c>
      <c r="R139" s="19">
        <f t="shared" si="16"/>
        <v>30</v>
      </c>
      <c r="S139" s="19">
        <f t="shared" si="16"/>
        <v>0</v>
      </c>
      <c r="T139" s="19">
        <f t="shared" si="16"/>
        <v>0</v>
      </c>
      <c r="U139" s="19">
        <f t="shared" si="14"/>
        <v>0</v>
      </c>
      <c r="V139" s="19">
        <f t="shared" si="14"/>
        <v>0</v>
      </c>
      <c r="W139" s="19">
        <f t="shared" si="14"/>
        <v>1</v>
      </c>
    </row>
    <row r="140" spans="1:23" x14ac:dyDescent="0.15">
      <c r="A140" s="24" t="str">
        <f t="shared" si="17"/>
        <v>5_3-3/109&lt;lv7&gt;s2</v>
      </c>
      <c r="B140" s="19">
        <f t="shared" si="16"/>
        <v>5</v>
      </c>
      <c r="C140" s="19">
        <f t="shared" si="16"/>
        <v>3</v>
      </c>
      <c r="D140" s="19">
        <f t="shared" si="16"/>
        <v>3</v>
      </c>
      <c r="E140" s="19">
        <f t="shared" si="16"/>
        <v>109</v>
      </c>
      <c r="F140" s="19">
        <f t="shared" si="16"/>
        <v>7</v>
      </c>
      <c r="G140" s="19">
        <f t="shared" si="12"/>
        <v>1</v>
      </c>
      <c r="H140" s="19">
        <f t="shared" si="12"/>
        <v>1</v>
      </c>
      <c r="I140" s="19">
        <f t="shared" si="12"/>
        <v>0</v>
      </c>
      <c r="J140" s="19">
        <v>0</v>
      </c>
      <c r="K140" s="19">
        <f t="shared" si="16"/>
        <v>0</v>
      </c>
      <c r="L140" s="19">
        <f t="shared" si="16"/>
        <v>50</v>
      </c>
      <c r="M140" s="19">
        <f t="shared" si="16"/>
        <v>0</v>
      </c>
      <c r="N140" s="19">
        <f t="shared" si="16"/>
        <v>2</v>
      </c>
      <c r="O140" s="19">
        <f t="shared" si="16"/>
        <v>109</v>
      </c>
      <c r="P140" s="19">
        <f t="shared" si="16"/>
        <v>1</v>
      </c>
      <c r="Q140" s="19">
        <f t="shared" si="16"/>
        <v>2</v>
      </c>
      <c r="R140" s="19">
        <f t="shared" si="16"/>
        <v>20</v>
      </c>
      <c r="S140" s="19">
        <f t="shared" si="16"/>
        <v>0</v>
      </c>
      <c r="T140" s="19">
        <f t="shared" si="16"/>
        <v>0</v>
      </c>
      <c r="U140" s="19">
        <f t="shared" si="14"/>
        <v>0</v>
      </c>
      <c r="V140" s="19">
        <f t="shared" si="14"/>
        <v>0</v>
      </c>
      <c r="W140" s="19">
        <f t="shared" si="14"/>
        <v>1</v>
      </c>
    </row>
    <row r="141" spans="1:23" x14ac:dyDescent="0.15">
      <c r="A141" s="24" t="str">
        <f t="shared" si="17"/>
        <v>5_3-4/138&lt;lv9&gt;s2</v>
      </c>
      <c r="B141" s="19">
        <f t="shared" si="16"/>
        <v>5</v>
      </c>
      <c r="C141" s="19">
        <f t="shared" si="16"/>
        <v>3</v>
      </c>
      <c r="D141" s="19">
        <f t="shared" si="16"/>
        <v>4</v>
      </c>
      <c r="E141" s="19">
        <f t="shared" si="16"/>
        <v>138</v>
      </c>
      <c r="F141" s="19">
        <f t="shared" si="16"/>
        <v>9</v>
      </c>
      <c r="G141" s="19">
        <f t="shared" si="12"/>
        <v>1</v>
      </c>
      <c r="H141" s="19">
        <f t="shared" si="12"/>
        <v>1</v>
      </c>
      <c r="I141" s="19">
        <f t="shared" si="12"/>
        <v>0</v>
      </c>
      <c r="J141" s="19">
        <v>0</v>
      </c>
      <c r="K141" s="19">
        <f t="shared" si="16"/>
        <v>1</v>
      </c>
      <c r="L141" s="19">
        <f t="shared" si="16"/>
        <v>100</v>
      </c>
      <c r="M141" s="19">
        <f t="shared" si="16"/>
        <v>1</v>
      </c>
      <c r="N141" s="19">
        <f t="shared" si="16"/>
        <v>2</v>
      </c>
      <c r="O141" s="19">
        <f t="shared" si="16"/>
        <v>138</v>
      </c>
      <c r="P141" s="19">
        <f t="shared" si="16"/>
        <v>1</v>
      </c>
      <c r="Q141" s="19">
        <f t="shared" si="16"/>
        <v>3</v>
      </c>
      <c r="R141" s="19">
        <f t="shared" si="16"/>
        <v>0</v>
      </c>
      <c r="S141" s="19">
        <f t="shared" si="16"/>
        <v>0</v>
      </c>
      <c r="T141" s="19">
        <f t="shared" si="16"/>
        <v>0</v>
      </c>
      <c r="U141" s="19">
        <f t="shared" si="14"/>
        <v>0</v>
      </c>
      <c r="V141" s="19">
        <f t="shared" si="14"/>
        <v>0</v>
      </c>
      <c r="W141" s="19">
        <f t="shared" si="14"/>
        <v>1</v>
      </c>
    </row>
    <row r="142" spans="1:23" x14ac:dyDescent="0.15">
      <c r="A142" s="24" t="str">
        <f t="shared" si="17"/>
        <v>5_3-4/25&lt;lv7&gt;s3</v>
      </c>
      <c r="B142" s="19">
        <f t="shared" si="16"/>
        <v>5</v>
      </c>
      <c r="C142" s="19">
        <f t="shared" si="16"/>
        <v>3</v>
      </c>
      <c r="D142" s="19">
        <f t="shared" si="16"/>
        <v>4</v>
      </c>
      <c r="E142" s="19">
        <f t="shared" si="16"/>
        <v>25</v>
      </c>
      <c r="F142" s="19">
        <f t="shared" si="16"/>
        <v>7</v>
      </c>
      <c r="G142" s="19">
        <f t="shared" si="12"/>
        <v>1</v>
      </c>
      <c r="H142" s="19">
        <f t="shared" si="12"/>
        <v>1</v>
      </c>
      <c r="I142" s="19">
        <f t="shared" si="12"/>
        <v>0</v>
      </c>
      <c r="J142" s="19">
        <v>0</v>
      </c>
      <c r="K142" s="19">
        <f t="shared" si="16"/>
        <v>2</v>
      </c>
      <c r="L142" s="19">
        <f t="shared" si="16"/>
        <v>100</v>
      </c>
      <c r="M142" s="19">
        <f t="shared" si="16"/>
        <v>0</v>
      </c>
      <c r="N142" s="19">
        <f t="shared" si="16"/>
        <v>3</v>
      </c>
      <c r="O142" s="19">
        <f t="shared" si="16"/>
        <v>25</v>
      </c>
      <c r="P142" s="19">
        <f t="shared" si="16"/>
        <v>1</v>
      </c>
      <c r="Q142" s="19">
        <f t="shared" si="16"/>
        <v>1</v>
      </c>
      <c r="R142" s="19">
        <f t="shared" si="16"/>
        <v>30</v>
      </c>
      <c r="S142" s="19">
        <f t="shared" si="16"/>
        <v>0</v>
      </c>
      <c r="T142" s="19">
        <f t="shared" si="16"/>
        <v>0</v>
      </c>
      <c r="U142" s="19">
        <f t="shared" si="14"/>
        <v>0</v>
      </c>
      <c r="V142" s="19">
        <f t="shared" si="14"/>
        <v>0</v>
      </c>
      <c r="W142" s="19">
        <f t="shared" si="14"/>
        <v>1</v>
      </c>
    </row>
    <row r="143" spans="1:23" x14ac:dyDescent="0.15">
      <c r="A143" s="24" t="str">
        <f t="shared" si="17"/>
        <v>5_4-1/340&lt;lv1&gt;s1</v>
      </c>
      <c r="B143" s="19">
        <f t="shared" si="16"/>
        <v>5</v>
      </c>
      <c r="C143" s="19">
        <f t="shared" si="16"/>
        <v>4</v>
      </c>
      <c r="D143" s="19">
        <f t="shared" si="16"/>
        <v>1</v>
      </c>
      <c r="E143" s="19">
        <f t="shared" si="16"/>
        <v>340</v>
      </c>
      <c r="F143" s="19">
        <f t="shared" si="16"/>
        <v>1</v>
      </c>
      <c r="G143" s="19">
        <f t="shared" si="12"/>
        <v>1</v>
      </c>
      <c r="H143" s="19">
        <f t="shared" si="12"/>
        <v>1</v>
      </c>
      <c r="I143" s="19">
        <f t="shared" si="12"/>
        <v>0</v>
      </c>
      <c r="J143" s="19">
        <v>0</v>
      </c>
      <c r="K143" s="19">
        <f t="shared" si="16"/>
        <v>0</v>
      </c>
      <c r="L143" s="19">
        <f t="shared" si="16"/>
        <v>100</v>
      </c>
      <c r="M143" s="19">
        <f t="shared" si="16"/>
        <v>0</v>
      </c>
      <c r="N143" s="19">
        <f t="shared" si="16"/>
        <v>1</v>
      </c>
      <c r="O143" s="19">
        <f t="shared" si="16"/>
        <v>340</v>
      </c>
      <c r="P143" s="19">
        <f t="shared" si="16"/>
        <v>1</v>
      </c>
      <c r="Q143" s="19">
        <f t="shared" si="16"/>
        <v>3</v>
      </c>
      <c r="R143" s="19">
        <f t="shared" si="16"/>
        <v>100</v>
      </c>
      <c r="S143" s="19">
        <f t="shared" si="16"/>
        <v>0</v>
      </c>
      <c r="T143" s="19">
        <f t="shared" si="16"/>
        <v>0</v>
      </c>
      <c r="U143" s="19">
        <f t="shared" si="14"/>
        <v>0</v>
      </c>
      <c r="V143" s="19">
        <f t="shared" si="14"/>
        <v>0</v>
      </c>
      <c r="W143" s="19">
        <f t="shared" si="14"/>
        <v>1</v>
      </c>
    </row>
    <row r="144" spans="1:23" x14ac:dyDescent="0.15">
      <c r="A144" s="24" t="str">
        <f t="shared" si="17"/>
        <v>5_4-2/117&lt;lv1&gt;s1</v>
      </c>
      <c r="B144" s="19">
        <f t="shared" si="16"/>
        <v>5</v>
      </c>
      <c r="C144" s="19">
        <f t="shared" si="16"/>
        <v>4</v>
      </c>
      <c r="D144" s="19">
        <f t="shared" si="16"/>
        <v>2</v>
      </c>
      <c r="E144" s="19">
        <f t="shared" si="16"/>
        <v>117</v>
      </c>
      <c r="F144" s="19">
        <f t="shared" si="16"/>
        <v>1</v>
      </c>
      <c r="G144" s="19">
        <f t="shared" si="12"/>
        <v>1</v>
      </c>
      <c r="H144" s="19">
        <f t="shared" si="12"/>
        <v>1</v>
      </c>
      <c r="I144" s="19">
        <f t="shared" si="12"/>
        <v>0</v>
      </c>
      <c r="J144" s="19">
        <v>0</v>
      </c>
      <c r="K144" s="19">
        <f t="shared" si="16"/>
        <v>0</v>
      </c>
      <c r="L144" s="19">
        <f t="shared" si="16"/>
        <v>100</v>
      </c>
      <c r="M144" s="19">
        <f t="shared" si="16"/>
        <v>0</v>
      </c>
      <c r="N144" s="19">
        <f t="shared" si="16"/>
        <v>1</v>
      </c>
      <c r="O144" s="19">
        <f t="shared" si="16"/>
        <v>117</v>
      </c>
      <c r="P144" s="19">
        <f t="shared" si="16"/>
        <v>1</v>
      </c>
      <c r="Q144" s="19">
        <f t="shared" si="16"/>
        <v>3</v>
      </c>
      <c r="R144" s="19">
        <f t="shared" si="16"/>
        <v>100</v>
      </c>
      <c r="S144" s="19">
        <f t="shared" si="16"/>
        <v>0</v>
      </c>
      <c r="T144" s="19">
        <f t="shared" si="16"/>
        <v>0</v>
      </c>
      <c r="U144" s="19">
        <f t="shared" si="14"/>
        <v>0</v>
      </c>
      <c r="V144" s="19">
        <f t="shared" si="14"/>
        <v>0</v>
      </c>
      <c r="W144" s="19">
        <f t="shared" si="14"/>
        <v>1</v>
      </c>
    </row>
    <row r="145" spans="1:23" x14ac:dyDescent="0.15">
      <c r="A145" s="24" t="str">
        <f t="shared" si="17"/>
        <v>5_4-3/340&lt;lv1&gt;s1</v>
      </c>
      <c r="B145" s="19">
        <f t="shared" si="16"/>
        <v>5</v>
      </c>
      <c r="C145" s="19">
        <f t="shared" si="16"/>
        <v>4</v>
      </c>
      <c r="D145" s="19">
        <f t="shared" si="16"/>
        <v>3</v>
      </c>
      <c r="E145" s="19">
        <f t="shared" si="16"/>
        <v>340</v>
      </c>
      <c r="F145" s="19">
        <f t="shared" si="16"/>
        <v>1</v>
      </c>
      <c r="G145" s="19">
        <f t="shared" si="12"/>
        <v>1</v>
      </c>
      <c r="H145" s="19">
        <f t="shared" si="12"/>
        <v>1</v>
      </c>
      <c r="I145" s="19">
        <f t="shared" si="12"/>
        <v>0</v>
      </c>
      <c r="J145" s="19">
        <v>0</v>
      </c>
      <c r="K145" s="19">
        <f t="shared" si="16"/>
        <v>0</v>
      </c>
      <c r="L145" s="19">
        <f t="shared" si="16"/>
        <v>100</v>
      </c>
      <c r="M145" s="19">
        <f t="shared" si="16"/>
        <v>0</v>
      </c>
      <c r="N145" s="19">
        <f t="shared" si="16"/>
        <v>1</v>
      </c>
      <c r="O145" s="19">
        <f t="shared" si="16"/>
        <v>340</v>
      </c>
      <c r="P145" s="19">
        <f t="shared" si="16"/>
        <v>1</v>
      </c>
      <c r="Q145" s="19">
        <f t="shared" si="16"/>
        <v>3</v>
      </c>
      <c r="R145" s="19">
        <f t="shared" si="16"/>
        <v>100</v>
      </c>
      <c r="S145" s="19">
        <f t="shared" si="16"/>
        <v>0</v>
      </c>
      <c r="T145" s="19">
        <f t="shared" si="16"/>
        <v>0</v>
      </c>
      <c r="U145" s="19">
        <f t="shared" si="14"/>
        <v>0</v>
      </c>
      <c r="V145" s="19">
        <f t="shared" si="14"/>
        <v>0</v>
      </c>
      <c r="W145" s="19">
        <f t="shared" si="14"/>
        <v>1</v>
      </c>
    </row>
    <row r="146" spans="1:23" x14ac:dyDescent="0.15">
      <c r="A146" s="24" t="str">
        <f t="shared" si="17"/>
        <v>5_4-4/117&lt;lv1&gt;s1</v>
      </c>
      <c r="B146" s="19">
        <f t="shared" si="16"/>
        <v>5</v>
      </c>
      <c r="C146" s="19">
        <f t="shared" si="16"/>
        <v>4</v>
      </c>
      <c r="D146" s="19">
        <f t="shared" si="16"/>
        <v>4</v>
      </c>
      <c r="E146" s="19">
        <f t="shared" si="16"/>
        <v>117</v>
      </c>
      <c r="F146" s="19">
        <f t="shared" si="16"/>
        <v>1</v>
      </c>
      <c r="G146" s="19">
        <f t="shared" si="12"/>
        <v>1</v>
      </c>
      <c r="H146" s="19">
        <f t="shared" si="12"/>
        <v>1</v>
      </c>
      <c r="I146" s="19">
        <f t="shared" si="12"/>
        <v>0</v>
      </c>
      <c r="J146" s="19">
        <v>0</v>
      </c>
      <c r="K146" s="19">
        <f t="shared" si="16"/>
        <v>2</v>
      </c>
      <c r="L146" s="19">
        <f t="shared" ref="B146:T162" si="18">VLOOKUP($A146,OFFSET(INDIRECT($C$1&amp;"!$A1"),0,0,COUNTA(INDIRECT($C$1&amp;"!$A:$A"))+1,MATCH(L$2,INDIRECT($C$1&amp;"!"&amp;$B$1),0)-MATCH($A$2,INDIRECT($C$1&amp;"!"&amp;$B$1),0)+1),MATCH(L$2,INDIRECT($C$1&amp;"!"&amp;$B$1),0)-MATCH($A$2,INDIRECT($C$1&amp;"!"&amp;$B$1),0)+1,FALSE)</f>
        <v>100</v>
      </c>
      <c r="M146" s="19">
        <f t="shared" si="18"/>
        <v>0</v>
      </c>
      <c r="N146" s="19">
        <f t="shared" si="18"/>
        <v>1</v>
      </c>
      <c r="O146" s="19">
        <f t="shared" si="18"/>
        <v>117</v>
      </c>
      <c r="P146" s="19">
        <f t="shared" si="18"/>
        <v>1</v>
      </c>
      <c r="Q146" s="19">
        <f t="shared" si="18"/>
        <v>3</v>
      </c>
      <c r="R146" s="19">
        <f t="shared" si="18"/>
        <v>0</v>
      </c>
      <c r="S146" s="19">
        <f t="shared" si="18"/>
        <v>0</v>
      </c>
      <c r="T146" s="19">
        <f t="shared" si="18"/>
        <v>0</v>
      </c>
      <c r="U146" s="19">
        <f t="shared" si="14"/>
        <v>0</v>
      </c>
      <c r="V146" s="19">
        <f t="shared" si="14"/>
        <v>0</v>
      </c>
      <c r="W146" s="19">
        <f t="shared" si="14"/>
        <v>1</v>
      </c>
    </row>
    <row r="147" spans="1:23" x14ac:dyDescent="0.15">
      <c r="A147" s="24" t="str">
        <f t="shared" si="17"/>
        <v>5_4-4/118&lt;lv1&gt;s2</v>
      </c>
      <c r="B147" s="19">
        <f t="shared" si="18"/>
        <v>5</v>
      </c>
      <c r="C147" s="19">
        <f t="shared" si="18"/>
        <v>4</v>
      </c>
      <c r="D147" s="19">
        <f t="shared" si="18"/>
        <v>4</v>
      </c>
      <c r="E147" s="19">
        <f t="shared" si="18"/>
        <v>118</v>
      </c>
      <c r="F147" s="19">
        <f t="shared" si="18"/>
        <v>1</v>
      </c>
      <c r="G147" s="19">
        <f t="shared" ref="G147:I210" si="19">VLOOKUP($A147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147" s="19">
        <f t="shared" si="19"/>
        <v>1</v>
      </c>
      <c r="I147" s="19">
        <f t="shared" si="19"/>
        <v>0</v>
      </c>
      <c r="J147" s="19">
        <v>0</v>
      </c>
      <c r="K147" s="19">
        <f t="shared" si="18"/>
        <v>1</v>
      </c>
      <c r="L147" s="19">
        <f t="shared" si="18"/>
        <v>100</v>
      </c>
      <c r="M147" s="19">
        <f t="shared" si="18"/>
        <v>1</v>
      </c>
      <c r="N147" s="19">
        <f t="shared" si="18"/>
        <v>2</v>
      </c>
      <c r="O147" s="19">
        <f t="shared" si="18"/>
        <v>118</v>
      </c>
      <c r="P147" s="19">
        <f t="shared" si="18"/>
        <v>1</v>
      </c>
      <c r="Q147" s="19">
        <f t="shared" si="18"/>
        <v>4</v>
      </c>
      <c r="R147" s="19">
        <f t="shared" si="18"/>
        <v>100</v>
      </c>
      <c r="S147" s="19">
        <f t="shared" si="18"/>
        <v>0</v>
      </c>
      <c r="T147" s="19">
        <f t="shared" si="18"/>
        <v>0</v>
      </c>
      <c r="U147" s="19">
        <f t="shared" si="14"/>
        <v>0</v>
      </c>
      <c r="V147" s="19">
        <f t="shared" si="14"/>
        <v>0</v>
      </c>
      <c r="W147" s="19">
        <f t="shared" si="14"/>
        <v>1</v>
      </c>
    </row>
    <row r="148" spans="1:23" x14ac:dyDescent="0.15">
      <c r="A148" s="24" t="str">
        <f t="shared" si="17"/>
        <v>5_4-5/340&lt;lv1&gt;s1</v>
      </c>
      <c r="B148" s="19">
        <f t="shared" si="18"/>
        <v>5</v>
      </c>
      <c r="C148" s="19">
        <f t="shared" si="18"/>
        <v>4</v>
      </c>
      <c r="D148" s="19">
        <f t="shared" si="18"/>
        <v>5</v>
      </c>
      <c r="E148" s="19">
        <f t="shared" si="18"/>
        <v>340</v>
      </c>
      <c r="F148" s="19">
        <f t="shared" si="18"/>
        <v>1</v>
      </c>
      <c r="G148" s="19">
        <f t="shared" si="19"/>
        <v>1</v>
      </c>
      <c r="H148" s="19">
        <f t="shared" si="19"/>
        <v>1</v>
      </c>
      <c r="I148" s="19">
        <f t="shared" si="19"/>
        <v>0</v>
      </c>
      <c r="J148" s="19">
        <v>0</v>
      </c>
      <c r="K148" s="19">
        <f t="shared" si="18"/>
        <v>2</v>
      </c>
      <c r="L148" s="19">
        <f t="shared" si="18"/>
        <v>100</v>
      </c>
      <c r="M148" s="19">
        <f t="shared" si="18"/>
        <v>0</v>
      </c>
      <c r="N148" s="19">
        <f t="shared" si="18"/>
        <v>1</v>
      </c>
      <c r="O148" s="19">
        <f t="shared" si="18"/>
        <v>340</v>
      </c>
      <c r="P148" s="19">
        <f t="shared" si="18"/>
        <v>1</v>
      </c>
      <c r="Q148" s="19">
        <f t="shared" si="18"/>
        <v>3</v>
      </c>
      <c r="R148" s="19">
        <f t="shared" si="18"/>
        <v>0</v>
      </c>
      <c r="S148" s="19">
        <f t="shared" si="18"/>
        <v>0</v>
      </c>
      <c r="T148" s="19">
        <f t="shared" si="18"/>
        <v>0</v>
      </c>
      <c r="U148" s="19">
        <f t="shared" si="14"/>
        <v>0</v>
      </c>
      <c r="V148" s="19">
        <f t="shared" si="14"/>
        <v>0</v>
      </c>
      <c r="W148" s="19">
        <f t="shared" si="14"/>
        <v>1</v>
      </c>
    </row>
    <row r="149" spans="1:23" x14ac:dyDescent="0.15">
      <c r="A149" s="24" t="str">
        <f t="shared" si="17"/>
        <v>5_4-5/341&lt;lv1&gt;s2</v>
      </c>
      <c r="B149" s="19">
        <f t="shared" si="18"/>
        <v>5</v>
      </c>
      <c r="C149" s="19">
        <f t="shared" si="18"/>
        <v>4</v>
      </c>
      <c r="D149" s="19">
        <f t="shared" si="18"/>
        <v>5</v>
      </c>
      <c r="E149" s="19">
        <f t="shared" si="18"/>
        <v>341</v>
      </c>
      <c r="F149" s="19">
        <f t="shared" si="18"/>
        <v>1</v>
      </c>
      <c r="G149" s="19">
        <f t="shared" si="19"/>
        <v>1</v>
      </c>
      <c r="H149" s="19">
        <f t="shared" si="19"/>
        <v>1</v>
      </c>
      <c r="I149" s="19">
        <f t="shared" si="19"/>
        <v>0</v>
      </c>
      <c r="J149" s="19">
        <v>0</v>
      </c>
      <c r="K149" s="19">
        <f t="shared" si="18"/>
        <v>1</v>
      </c>
      <c r="L149" s="19">
        <f t="shared" si="18"/>
        <v>100</v>
      </c>
      <c r="M149" s="19">
        <f t="shared" si="18"/>
        <v>1</v>
      </c>
      <c r="N149" s="19">
        <f t="shared" si="18"/>
        <v>2</v>
      </c>
      <c r="O149" s="19">
        <f t="shared" si="18"/>
        <v>341</v>
      </c>
      <c r="P149" s="19">
        <f t="shared" si="18"/>
        <v>1</v>
      </c>
      <c r="Q149" s="19">
        <f t="shared" si="18"/>
        <v>4</v>
      </c>
      <c r="R149" s="19">
        <f t="shared" si="18"/>
        <v>100</v>
      </c>
      <c r="S149" s="19">
        <f t="shared" si="18"/>
        <v>0</v>
      </c>
      <c r="T149" s="19">
        <f t="shared" si="18"/>
        <v>0</v>
      </c>
      <c r="U149" s="19">
        <f t="shared" si="14"/>
        <v>0</v>
      </c>
      <c r="V149" s="19">
        <f t="shared" si="14"/>
        <v>0</v>
      </c>
      <c r="W149" s="19">
        <f t="shared" si="14"/>
        <v>1</v>
      </c>
    </row>
    <row r="150" spans="1:23" x14ac:dyDescent="0.15">
      <c r="A150" s="24" t="str">
        <f t="shared" si="17"/>
        <v>6_1-1/1&lt;lv8&gt;s1</v>
      </c>
      <c r="B150" s="19">
        <f t="shared" si="18"/>
        <v>6</v>
      </c>
      <c r="C150" s="19">
        <f t="shared" si="18"/>
        <v>1</v>
      </c>
      <c r="D150" s="19">
        <f t="shared" si="18"/>
        <v>1</v>
      </c>
      <c r="E150" s="19">
        <f t="shared" si="18"/>
        <v>1</v>
      </c>
      <c r="F150" s="19">
        <f t="shared" si="18"/>
        <v>8</v>
      </c>
      <c r="G150" s="19">
        <f t="shared" si="19"/>
        <v>1</v>
      </c>
      <c r="H150" s="19">
        <f t="shared" si="19"/>
        <v>1</v>
      </c>
      <c r="I150" s="19">
        <f t="shared" si="19"/>
        <v>0</v>
      </c>
      <c r="J150" s="19">
        <v>0</v>
      </c>
      <c r="K150" s="19">
        <f t="shared" si="18"/>
        <v>0</v>
      </c>
      <c r="L150" s="19">
        <f t="shared" si="18"/>
        <v>100</v>
      </c>
      <c r="M150" s="19">
        <f t="shared" si="18"/>
        <v>0</v>
      </c>
      <c r="N150" s="19">
        <f t="shared" si="18"/>
        <v>1</v>
      </c>
      <c r="O150" s="19">
        <f t="shared" si="18"/>
        <v>1</v>
      </c>
      <c r="P150" s="19">
        <f t="shared" si="18"/>
        <v>4</v>
      </c>
      <c r="Q150" s="19">
        <f t="shared" si="18"/>
        <v>1</v>
      </c>
      <c r="R150" s="19">
        <f t="shared" si="18"/>
        <v>30</v>
      </c>
      <c r="S150" s="19">
        <f t="shared" si="18"/>
        <v>0</v>
      </c>
      <c r="T150" s="19">
        <f t="shared" si="18"/>
        <v>0</v>
      </c>
      <c r="U150" s="19">
        <f t="shared" si="14"/>
        <v>0</v>
      </c>
      <c r="V150" s="19">
        <f t="shared" si="14"/>
        <v>0</v>
      </c>
      <c r="W150" s="19">
        <f t="shared" si="14"/>
        <v>1</v>
      </c>
    </row>
    <row r="151" spans="1:23" x14ac:dyDescent="0.15">
      <c r="A151" s="24" t="str">
        <f t="shared" si="17"/>
        <v>6_1-1/3&lt;lv8&gt;s2</v>
      </c>
      <c r="B151" s="19">
        <f t="shared" si="18"/>
        <v>6</v>
      </c>
      <c r="C151" s="19">
        <f t="shared" si="18"/>
        <v>1</v>
      </c>
      <c r="D151" s="19">
        <f t="shared" si="18"/>
        <v>1</v>
      </c>
      <c r="E151" s="19">
        <f t="shared" si="18"/>
        <v>3</v>
      </c>
      <c r="F151" s="19">
        <f t="shared" si="18"/>
        <v>8</v>
      </c>
      <c r="G151" s="19">
        <f t="shared" si="19"/>
        <v>1</v>
      </c>
      <c r="H151" s="19">
        <f t="shared" si="19"/>
        <v>1</v>
      </c>
      <c r="I151" s="19">
        <f t="shared" si="19"/>
        <v>0</v>
      </c>
      <c r="J151" s="19">
        <v>0</v>
      </c>
      <c r="K151" s="19">
        <f t="shared" si="18"/>
        <v>0</v>
      </c>
      <c r="L151" s="19">
        <f t="shared" si="18"/>
        <v>100</v>
      </c>
      <c r="M151" s="19">
        <f t="shared" si="18"/>
        <v>0</v>
      </c>
      <c r="N151" s="19">
        <f t="shared" si="18"/>
        <v>2</v>
      </c>
      <c r="O151" s="19">
        <f t="shared" si="18"/>
        <v>3</v>
      </c>
      <c r="P151" s="19">
        <f t="shared" si="18"/>
        <v>4</v>
      </c>
      <c r="Q151" s="19">
        <f t="shared" si="18"/>
        <v>1</v>
      </c>
      <c r="R151" s="19">
        <f t="shared" si="18"/>
        <v>30</v>
      </c>
      <c r="S151" s="19">
        <f t="shared" si="18"/>
        <v>0</v>
      </c>
      <c r="T151" s="19">
        <f t="shared" si="18"/>
        <v>0</v>
      </c>
      <c r="U151" s="19">
        <f t="shared" si="14"/>
        <v>0</v>
      </c>
      <c r="V151" s="19">
        <f t="shared" si="14"/>
        <v>0</v>
      </c>
      <c r="W151" s="19">
        <f t="shared" si="14"/>
        <v>1</v>
      </c>
    </row>
    <row r="152" spans="1:23" x14ac:dyDescent="0.15">
      <c r="A152" s="24" t="str">
        <f t="shared" si="17"/>
        <v>6_1-1/5&lt;lv8&gt;s3</v>
      </c>
      <c r="B152" s="19">
        <f t="shared" si="18"/>
        <v>6</v>
      </c>
      <c r="C152" s="19">
        <f t="shared" si="18"/>
        <v>1</v>
      </c>
      <c r="D152" s="19">
        <f t="shared" si="18"/>
        <v>1</v>
      </c>
      <c r="E152" s="19">
        <f t="shared" si="18"/>
        <v>5</v>
      </c>
      <c r="F152" s="19">
        <f t="shared" si="18"/>
        <v>8</v>
      </c>
      <c r="G152" s="19">
        <f t="shared" si="19"/>
        <v>1</v>
      </c>
      <c r="H152" s="19">
        <f t="shared" si="19"/>
        <v>1</v>
      </c>
      <c r="I152" s="19">
        <f t="shared" si="19"/>
        <v>0</v>
      </c>
      <c r="J152" s="19">
        <v>0</v>
      </c>
      <c r="K152" s="19">
        <f t="shared" si="18"/>
        <v>0</v>
      </c>
      <c r="L152" s="19">
        <f t="shared" si="18"/>
        <v>100</v>
      </c>
      <c r="M152" s="19">
        <f t="shared" si="18"/>
        <v>0</v>
      </c>
      <c r="N152" s="19">
        <f t="shared" si="18"/>
        <v>3</v>
      </c>
      <c r="O152" s="19">
        <f t="shared" si="18"/>
        <v>5</v>
      </c>
      <c r="P152" s="19">
        <f t="shared" si="18"/>
        <v>4</v>
      </c>
      <c r="Q152" s="19">
        <f t="shared" si="18"/>
        <v>1</v>
      </c>
      <c r="R152" s="19">
        <f t="shared" si="18"/>
        <v>30</v>
      </c>
      <c r="S152" s="19">
        <f t="shared" si="18"/>
        <v>0</v>
      </c>
      <c r="T152" s="19">
        <f t="shared" si="18"/>
        <v>0</v>
      </c>
      <c r="U152" s="19">
        <f t="shared" si="14"/>
        <v>0</v>
      </c>
      <c r="V152" s="19">
        <f t="shared" si="14"/>
        <v>0</v>
      </c>
      <c r="W152" s="19">
        <f t="shared" si="14"/>
        <v>1</v>
      </c>
    </row>
    <row r="153" spans="1:23" x14ac:dyDescent="0.15">
      <c r="A153" s="24" t="str">
        <f t="shared" si="17"/>
        <v>6_1-1/7&lt;lv8&gt;s2</v>
      </c>
      <c r="B153" s="19">
        <f t="shared" si="18"/>
        <v>6</v>
      </c>
      <c r="C153" s="19">
        <f t="shared" si="18"/>
        <v>1</v>
      </c>
      <c r="D153" s="19">
        <f t="shared" si="18"/>
        <v>1</v>
      </c>
      <c r="E153" s="19">
        <f t="shared" si="18"/>
        <v>7</v>
      </c>
      <c r="F153" s="19">
        <f t="shared" si="18"/>
        <v>8</v>
      </c>
      <c r="G153" s="19">
        <f t="shared" si="19"/>
        <v>1</v>
      </c>
      <c r="H153" s="19">
        <f t="shared" si="19"/>
        <v>1</v>
      </c>
      <c r="I153" s="19">
        <f t="shared" si="19"/>
        <v>0</v>
      </c>
      <c r="J153" s="19">
        <v>0</v>
      </c>
      <c r="K153" s="19">
        <f t="shared" si="18"/>
        <v>0</v>
      </c>
      <c r="L153" s="19">
        <f t="shared" si="18"/>
        <v>100</v>
      </c>
      <c r="M153" s="19">
        <f t="shared" si="18"/>
        <v>0</v>
      </c>
      <c r="N153" s="19">
        <f t="shared" si="18"/>
        <v>2</v>
      </c>
      <c r="O153" s="19">
        <f t="shared" si="18"/>
        <v>7</v>
      </c>
      <c r="P153" s="19">
        <f t="shared" si="18"/>
        <v>4</v>
      </c>
      <c r="Q153" s="19">
        <f t="shared" si="18"/>
        <v>1</v>
      </c>
      <c r="R153" s="19">
        <f t="shared" si="18"/>
        <v>30</v>
      </c>
      <c r="S153" s="19">
        <f t="shared" si="18"/>
        <v>0</v>
      </c>
      <c r="T153" s="19">
        <f t="shared" si="18"/>
        <v>0</v>
      </c>
      <c r="U153" s="19">
        <f t="shared" si="14"/>
        <v>0</v>
      </c>
      <c r="V153" s="19">
        <f t="shared" si="14"/>
        <v>0</v>
      </c>
      <c r="W153" s="19">
        <f t="shared" si="14"/>
        <v>1</v>
      </c>
    </row>
    <row r="154" spans="1:23" x14ac:dyDescent="0.15">
      <c r="A154" s="24" t="str">
        <f t="shared" si="17"/>
        <v>6_1-1/101&lt;lv8&gt;s1</v>
      </c>
      <c r="B154" s="19">
        <f t="shared" si="18"/>
        <v>6</v>
      </c>
      <c r="C154" s="19">
        <f t="shared" si="18"/>
        <v>1</v>
      </c>
      <c r="D154" s="19">
        <f t="shared" si="18"/>
        <v>1</v>
      </c>
      <c r="E154" s="19">
        <f t="shared" si="18"/>
        <v>101</v>
      </c>
      <c r="F154" s="19">
        <f t="shared" si="18"/>
        <v>8</v>
      </c>
      <c r="G154" s="19">
        <f t="shared" si="19"/>
        <v>1</v>
      </c>
      <c r="H154" s="19">
        <f t="shared" si="19"/>
        <v>1</v>
      </c>
      <c r="I154" s="19">
        <f t="shared" si="19"/>
        <v>0</v>
      </c>
      <c r="J154" s="19">
        <v>0</v>
      </c>
      <c r="K154" s="19">
        <f t="shared" si="18"/>
        <v>0</v>
      </c>
      <c r="L154" s="19">
        <f t="shared" si="18"/>
        <v>50</v>
      </c>
      <c r="M154" s="19">
        <f t="shared" si="18"/>
        <v>0</v>
      </c>
      <c r="N154" s="19">
        <f t="shared" si="18"/>
        <v>1</v>
      </c>
      <c r="O154" s="19">
        <f t="shared" si="18"/>
        <v>101</v>
      </c>
      <c r="P154" s="19">
        <f t="shared" si="18"/>
        <v>1</v>
      </c>
      <c r="Q154" s="19">
        <f t="shared" si="18"/>
        <v>2</v>
      </c>
      <c r="R154" s="19">
        <f t="shared" si="18"/>
        <v>20</v>
      </c>
      <c r="S154" s="19">
        <f t="shared" si="18"/>
        <v>0</v>
      </c>
      <c r="T154" s="19">
        <f t="shared" si="18"/>
        <v>0</v>
      </c>
      <c r="U154" s="19">
        <f t="shared" si="14"/>
        <v>0</v>
      </c>
      <c r="V154" s="19">
        <f t="shared" si="14"/>
        <v>0</v>
      </c>
      <c r="W154" s="19">
        <f t="shared" si="14"/>
        <v>1</v>
      </c>
    </row>
    <row r="155" spans="1:23" x14ac:dyDescent="0.15">
      <c r="A155" s="24" t="str">
        <f t="shared" si="17"/>
        <v>6_1-1/105&lt;lv8&gt;s1</v>
      </c>
      <c r="B155" s="19">
        <f t="shared" si="18"/>
        <v>6</v>
      </c>
      <c r="C155" s="19">
        <f t="shared" si="18"/>
        <v>1</v>
      </c>
      <c r="D155" s="19">
        <f t="shared" si="18"/>
        <v>1</v>
      </c>
      <c r="E155" s="19">
        <f t="shared" si="18"/>
        <v>105</v>
      </c>
      <c r="F155" s="19">
        <f t="shared" si="18"/>
        <v>8</v>
      </c>
      <c r="G155" s="19">
        <f t="shared" si="19"/>
        <v>1</v>
      </c>
      <c r="H155" s="19">
        <f t="shared" si="19"/>
        <v>1</v>
      </c>
      <c r="I155" s="19">
        <f t="shared" si="19"/>
        <v>0</v>
      </c>
      <c r="J155" s="19">
        <v>0</v>
      </c>
      <c r="K155" s="19">
        <f t="shared" si="18"/>
        <v>0</v>
      </c>
      <c r="L155" s="19">
        <f t="shared" si="18"/>
        <v>50</v>
      </c>
      <c r="M155" s="19">
        <f t="shared" si="18"/>
        <v>0</v>
      </c>
      <c r="N155" s="19">
        <f t="shared" si="18"/>
        <v>1</v>
      </c>
      <c r="O155" s="19">
        <f t="shared" si="18"/>
        <v>105</v>
      </c>
      <c r="P155" s="19">
        <f t="shared" si="18"/>
        <v>1</v>
      </c>
      <c r="Q155" s="19">
        <f t="shared" si="18"/>
        <v>2</v>
      </c>
      <c r="R155" s="19">
        <f t="shared" si="18"/>
        <v>20</v>
      </c>
      <c r="S155" s="19">
        <f t="shared" si="18"/>
        <v>0</v>
      </c>
      <c r="T155" s="19">
        <f t="shared" si="18"/>
        <v>0</v>
      </c>
      <c r="U155" s="19">
        <f t="shared" si="14"/>
        <v>0</v>
      </c>
      <c r="V155" s="19">
        <f t="shared" si="14"/>
        <v>0</v>
      </c>
      <c r="W155" s="19">
        <f t="shared" si="14"/>
        <v>1</v>
      </c>
    </row>
    <row r="156" spans="1:23" x14ac:dyDescent="0.15">
      <c r="A156" s="24" t="str">
        <f t="shared" si="17"/>
        <v>6_1-2/9&lt;lv8&gt;s2</v>
      </c>
      <c r="B156" s="19">
        <f t="shared" si="18"/>
        <v>6</v>
      </c>
      <c r="C156" s="19">
        <f t="shared" si="18"/>
        <v>1</v>
      </c>
      <c r="D156" s="19">
        <f t="shared" si="18"/>
        <v>2</v>
      </c>
      <c r="E156" s="19">
        <f t="shared" si="18"/>
        <v>9</v>
      </c>
      <c r="F156" s="19">
        <f t="shared" si="18"/>
        <v>8</v>
      </c>
      <c r="G156" s="19">
        <f t="shared" si="19"/>
        <v>1</v>
      </c>
      <c r="H156" s="19">
        <f t="shared" si="19"/>
        <v>1</v>
      </c>
      <c r="I156" s="19">
        <f t="shared" si="19"/>
        <v>0</v>
      </c>
      <c r="J156" s="19">
        <v>0</v>
      </c>
      <c r="K156" s="19">
        <f t="shared" si="18"/>
        <v>0</v>
      </c>
      <c r="L156" s="19">
        <f t="shared" si="18"/>
        <v>100</v>
      </c>
      <c r="M156" s="19">
        <f t="shared" si="18"/>
        <v>0</v>
      </c>
      <c r="N156" s="19">
        <f t="shared" si="18"/>
        <v>2</v>
      </c>
      <c r="O156" s="19">
        <f t="shared" si="18"/>
        <v>9</v>
      </c>
      <c r="P156" s="19">
        <f t="shared" si="18"/>
        <v>2</v>
      </c>
      <c r="Q156" s="19">
        <f t="shared" si="18"/>
        <v>1</v>
      </c>
      <c r="R156" s="19">
        <f t="shared" si="18"/>
        <v>30</v>
      </c>
      <c r="S156" s="19">
        <f t="shared" si="18"/>
        <v>0</v>
      </c>
      <c r="T156" s="19">
        <f t="shared" si="18"/>
        <v>0</v>
      </c>
      <c r="U156" s="19">
        <f t="shared" si="14"/>
        <v>0</v>
      </c>
      <c r="V156" s="19">
        <f t="shared" si="14"/>
        <v>0</v>
      </c>
      <c r="W156" s="19">
        <f t="shared" si="14"/>
        <v>1</v>
      </c>
    </row>
    <row r="157" spans="1:23" x14ac:dyDescent="0.15">
      <c r="A157" s="24" t="str">
        <f t="shared" si="17"/>
        <v>6_1-2/11&lt;lv8&gt;s3</v>
      </c>
      <c r="B157" s="19">
        <f t="shared" si="18"/>
        <v>6</v>
      </c>
      <c r="C157" s="19">
        <f t="shared" si="18"/>
        <v>1</v>
      </c>
      <c r="D157" s="19">
        <f t="shared" si="18"/>
        <v>2</v>
      </c>
      <c r="E157" s="19">
        <f t="shared" si="18"/>
        <v>11</v>
      </c>
      <c r="F157" s="19">
        <f t="shared" si="18"/>
        <v>8</v>
      </c>
      <c r="G157" s="19">
        <f t="shared" si="19"/>
        <v>1</v>
      </c>
      <c r="H157" s="19">
        <f t="shared" si="19"/>
        <v>1</v>
      </c>
      <c r="I157" s="19">
        <f t="shared" si="19"/>
        <v>0</v>
      </c>
      <c r="J157" s="19">
        <v>0</v>
      </c>
      <c r="K157" s="19">
        <f t="shared" si="18"/>
        <v>0</v>
      </c>
      <c r="L157" s="19">
        <f t="shared" si="18"/>
        <v>100</v>
      </c>
      <c r="M157" s="19">
        <f t="shared" si="18"/>
        <v>0</v>
      </c>
      <c r="N157" s="19">
        <f t="shared" si="18"/>
        <v>3</v>
      </c>
      <c r="O157" s="19">
        <f t="shared" si="18"/>
        <v>11</v>
      </c>
      <c r="P157" s="19">
        <f t="shared" si="18"/>
        <v>2</v>
      </c>
      <c r="Q157" s="19">
        <f t="shared" si="18"/>
        <v>1</v>
      </c>
      <c r="R157" s="19">
        <f t="shared" si="18"/>
        <v>30</v>
      </c>
      <c r="S157" s="19">
        <f t="shared" si="18"/>
        <v>0</v>
      </c>
      <c r="T157" s="19">
        <f t="shared" si="18"/>
        <v>0</v>
      </c>
      <c r="U157" s="19">
        <f t="shared" si="14"/>
        <v>0</v>
      </c>
      <c r="V157" s="19">
        <f t="shared" si="14"/>
        <v>0</v>
      </c>
      <c r="W157" s="19">
        <f t="shared" si="14"/>
        <v>1</v>
      </c>
    </row>
    <row r="158" spans="1:23" x14ac:dyDescent="0.15">
      <c r="A158" s="24" t="str">
        <f t="shared" si="17"/>
        <v>6_1-2/13&lt;lv8&gt;s2</v>
      </c>
      <c r="B158" s="19">
        <f t="shared" si="18"/>
        <v>6</v>
      </c>
      <c r="C158" s="19">
        <f t="shared" si="18"/>
        <v>1</v>
      </c>
      <c r="D158" s="19">
        <f t="shared" si="18"/>
        <v>2</v>
      </c>
      <c r="E158" s="19">
        <f t="shared" si="18"/>
        <v>13</v>
      </c>
      <c r="F158" s="19">
        <f t="shared" si="18"/>
        <v>8</v>
      </c>
      <c r="G158" s="19">
        <f t="shared" si="19"/>
        <v>1</v>
      </c>
      <c r="H158" s="19">
        <f t="shared" si="19"/>
        <v>1</v>
      </c>
      <c r="I158" s="19">
        <f t="shared" si="19"/>
        <v>0</v>
      </c>
      <c r="J158" s="19">
        <v>0</v>
      </c>
      <c r="K158" s="19">
        <f t="shared" si="18"/>
        <v>0</v>
      </c>
      <c r="L158" s="19">
        <f t="shared" si="18"/>
        <v>100</v>
      </c>
      <c r="M158" s="19">
        <f t="shared" si="18"/>
        <v>0</v>
      </c>
      <c r="N158" s="19">
        <f t="shared" si="18"/>
        <v>2</v>
      </c>
      <c r="O158" s="19">
        <f t="shared" si="18"/>
        <v>13</v>
      </c>
      <c r="P158" s="19">
        <f t="shared" si="18"/>
        <v>2</v>
      </c>
      <c r="Q158" s="19">
        <f t="shared" si="18"/>
        <v>1</v>
      </c>
      <c r="R158" s="19">
        <f t="shared" si="18"/>
        <v>30</v>
      </c>
      <c r="S158" s="19">
        <f t="shared" si="18"/>
        <v>0</v>
      </c>
      <c r="T158" s="19">
        <f t="shared" si="18"/>
        <v>0</v>
      </c>
      <c r="U158" s="19">
        <f t="shared" si="14"/>
        <v>0</v>
      </c>
      <c r="V158" s="19">
        <f t="shared" si="14"/>
        <v>0</v>
      </c>
      <c r="W158" s="19">
        <f t="shared" si="14"/>
        <v>1</v>
      </c>
    </row>
    <row r="159" spans="1:23" x14ac:dyDescent="0.15">
      <c r="A159" s="24" t="str">
        <f t="shared" si="17"/>
        <v>6_1-2/15&lt;lv8&gt;s3</v>
      </c>
      <c r="B159" s="19">
        <f t="shared" si="18"/>
        <v>6</v>
      </c>
      <c r="C159" s="19">
        <f t="shared" si="18"/>
        <v>1</v>
      </c>
      <c r="D159" s="19">
        <f t="shared" si="18"/>
        <v>2</v>
      </c>
      <c r="E159" s="19">
        <f t="shared" si="18"/>
        <v>15</v>
      </c>
      <c r="F159" s="19">
        <f t="shared" si="18"/>
        <v>8</v>
      </c>
      <c r="G159" s="19">
        <f t="shared" si="19"/>
        <v>1</v>
      </c>
      <c r="H159" s="19">
        <f t="shared" si="19"/>
        <v>1</v>
      </c>
      <c r="I159" s="19">
        <f t="shared" si="19"/>
        <v>0</v>
      </c>
      <c r="J159" s="19">
        <v>0</v>
      </c>
      <c r="K159" s="19">
        <f t="shared" si="18"/>
        <v>0</v>
      </c>
      <c r="L159" s="19">
        <f t="shared" si="18"/>
        <v>100</v>
      </c>
      <c r="M159" s="19">
        <f t="shared" si="18"/>
        <v>0</v>
      </c>
      <c r="N159" s="19">
        <f t="shared" si="18"/>
        <v>3</v>
      </c>
      <c r="O159" s="19">
        <f t="shared" si="18"/>
        <v>15</v>
      </c>
      <c r="P159" s="19">
        <f t="shared" si="18"/>
        <v>2</v>
      </c>
      <c r="Q159" s="19">
        <f t="shared" si="18"/>
        <v>1</v>
      </c>
      <c r="R159" s="19">
        <f t="shared" si="18"/>
        <v>30</v>
      </c>
      <c r="S159" s="19">
        <f t="shared" si="18"/>
        <v>0</v>
      </c>
      <c r="T159" s="19">
        <f t="shared" si="18"/>
        <v>0</v>
      </c>
      <c r="U159" s="19">
        <f t="shared" si="14"/>
        <v>0</v>
      </c>
      <c r="V159" s="19">
        <f t="shared" si="14"/>
        <v>0</v>
      </c>
      <c r="W159" s="19">
        <f t="shared" si="14"/>
        <v>1</v>
      </c>
    </row>
    <row r="160" spans="1:23" x14ac:dyDescent="0.15">
      <c r="A160" s="24" t="str">
        <f t="shared" si="17"/>
        <v>6_1-2/17&lt;lv8&gt;s2</v>
      </c>
      <c r="B160" s="19">
        <f t="shared" si="18"/>
        <v>6</v>
      </c>
      <c r="C160" s="19">
        <f t="shared" si="18"/>
        <v>1</v>
      </c>
      <c r="D160" s="19">
        <f t="shared" si="18"/>
        <v>2</v>
      </c>
      <c r="E160" s="19">
        <f t="shared" si="18"/>
        <v>17</v>
      </c>
      <c r="F160" s="19">
        <f t="shared" si="18"/>
        <v>8</v>
      </c>
      <c r="G160" s="19">
        <f t="shared" si="19"/>
        <v>1</v>
      </c>
      <c r="H160" s="19">
        <f t="shared" si="19"/>
        <v>1</v>
      </c>
      <c r="I160" s="19">
        <f t="shared" si="19"/>
        <v>0</v>
      </c>
      <c r="J160" s="19">
        <v>0</v>
      </c>
      <c r="K160" s="19">
        <f t="shared" si="18"/>
        <v>0</v>
      </c>
      <c r="L160" s="19">
        <f t="shared" si="18"/>
        <v>100</v>
      </c>
      <c r="M160" s="19">
        <f t="shared" si="18"/>
        <v>0</v>
      </c>
      <c r="N160" s="19">
        <f t="shared" si="18"/>
        <v>2</v>
      </c>
      <c r="O160" s="19">
        <f t="shared" si="18"/>
        <v>17</v>
      </c>
      <c r="P160" s="19">
        <f t="shared" si="18"/>
        <v>2</v>
      </c>
      <c r="Q160" s="19">
        <f t="shared" si="18"/>
        <v>1</v>
      </c>
      <c r="R160" s="19">
        <f t="shared" si="18"/>
        <v>30</v>
      </c>
      <c r="S160" s="19">
        <f t="shared" si="18"/>
        <v>0</v>
      </c>
      <c r="T160" s="19">
        <f t="shared" si="18"/>
        <v>0</v>
      </c>
      <c r="U160" s="19">
        <f t="shared" si="14"/>
        <v>0</v>
      </c>
      <c r="V160" s="19">
        <f t="shared" si="14"/>
        <v>0</v>
      </c>
      <c r="W160" s="19">
        <f t="shared" si="14"/>
        <v>1</v>
      </c>
    </row>
    <row r="161" spans="1:23" x14ac:dyDescent="0.15">
      <c r="A161" s="24" t="str">
        <f t="shared" si="17"/>
        <v>6_1-2/19&lt;lv8&gt;s3</v>
      </c>
      <c r="B161" s="19">
        <f t="shared" si="18"/>
        <v>6</v>
      </c>
      <c r="C161" s="19">
        <f t="shared" si="18"/>
        <v>1</v>
      </c>
      <c r="D161" s="19">
        <f t="shared" si="18"/>
        <v>2</v>
      </c>
      <c r="E161" s="19">
        <f t="shared" si="18"/>
        <v>19</v>
      </c>
      <c r="F161" s="19">
        <f t="shared" si="18"/>
        <v>8</v>
      </c>
      <c r="G161" s="19">
        <f t="shared" si="19"/>
        <v>1</v>
      </c>
      <c r="H161" s="19">
        <f t="shared" si="19"/>
        <v>1</v>
      </c>
      <c r="I161" s="19">
        <f t="shared" si="19"/>
        <v>0</v>
      </c>
      <c r="J161" s="19">
        <v>0</v>
      </c>
      <c r="K161" s="19">
        <f t="shared" si="18"/>
        <v>0</v>
      </c>
      <c r="L161" s="19">
        <f t="shared" si="18"/>
        <v>100</v>
      </c>
      <c r="M161" s="19">
        <f t="shared" si="18"/>
        <v>0</v>
      </c>
      <c r="N161" s="19">
        <f t="shared" si="18"/>
        <v>3</v>
      </c>
      <c r="O161" s="19">
        <f t="shared" si="18"/>
        <v>19</v>
      </c>
      <c r="P161" s="19">
        <f t="shared" si="18"/>
        <v>2</v>
      </c>
      <c r="Q161" s="19">
        <f t="shared" si="18"/>
        <v>1</v>
      </c>
      <c r="R161" s="19">
        <f t="shared" si="18"/>
        <v>30</v>
      </c>
      <c r="S161" s="19">
        <f t="shared" si="18"/>
        <v>0</v>
      </c>
      <c r="T161" s="19">
        <f t="shared" si="18"/>
        <v>0</v>
      </c>
      <c r="U161" s="19">
        <f t="shared" si="14"/>
        <v>0</v>
      </c>
      <c r="V161" s="19">
        <f t="shared" si="14"/>
        <v>0</v>
      </c>
      <c r="W161" s="19">
        <f t="shared" si="14"/>
        <v>1</v>
      </c>
    </row>
    <row r="162" spans="1:23" x14ac:dyDescent="0.15">
      <c r="A162" s="24" t="str">
        <f t="shared" si="17"/>
        <v>6_1-2/101&lt;lv8&gt;s1</v>
      </c>
      <c r="B162" s="19">
        <f t="shared" si="18"/>
        <v>6</v>
      </c>
      <c r="C162" s="19">
        <f t="shared" si="18"/>
        <v>1</v>
      </c>
      <c r="D162" s="19">
        <f t="shared" si="18"/>
        <v>2</v>
      </c>
      <c r="E162" s="19">
        <f t="shared" si="18"/>
        <v>101</v>
      </c>
      <c r="F162" s="19">
        <f t="shared" si="18"/>
        <v>8</v>
      </c>
      <c r="G162" s="19">
        <f t="shared" si="19"/>
        <v>1</v>
      </c>
      <c r="H162" s="19">
        <f t="shared" si="19"/>
        <v>1</v>
      </c>
      <c r="I162" s="19">
        <f t="shared" si="19"/>
        <v>0</v>
      </c>
      <c r="J162" s="19">
        <v>0</v>
      </c>
      <c r="K162" s="19">
        <f t="shared" ref="B162:T178" si="20">VLOOKUP($A162,OFFSET(INDIRECT($C$1&amp;"!$A1"),0,0,COUNTA(INDIRECT($C$1&amp;"!$A:$A"))+1,MATCH(K$2,INDIRECT($C$1&amp;"!"&amp;$B$1),0)-MATCH($A$2,INDIRECT($C$1&amp;"!"&amp;$B$1),0)+1),MATCH(K$2,INDIRECT($C$1&amp;"!"&amp;$B$1),0)-MATCH($A$2,INDIRECT($C$1&amp;"!"&amp;$B$1),0)+1,FALSE)</f>
        <v>0</v>
      </c>
      <c r="L162" s="19">
        <f t="shared" si="20"/>
        <v>50</v>
      </c>
      <c r="M162" s="19">
        <f t="shared" si="20"/>
        <v>0</v>
      </c>
      <c r="N162" s="19">
        <f t="shared" si="20"/>
        <v>1</v>
      </c>
      <c r="O162" s="19">
        <f t="shared" si="20"/>
        <v>101</v>
      </c>
      <c r="P162" s="19">
        <f t="shared" si="20"/>
        <v>1</v>
      </c>
      <c r="Q162" s="19">
        <f t="shared" si="20"/>
        <v>2</v>
      </c>
      <c r="R162" s="19">
        <f t="shared" si="20"/>
        <v>20</v>
      </c>
      <c r="S162" s="19">
        <f t="shared" si="20"/>
        <v>0</v>
      </c>
      <c r="T162" s="19">
        <f t="shared" si="20"/>
        <v>0</v>
      </c>
      <c r="U162" s="19">
        <f t="shared" si="14"/>
        <v>0</v>
      </c>
      <c r="V162" s="19">
        <f t="shared" si="14"/>
        <v>0</v>
      </c>
      <c r="W162" s="19">
        <f t="shared" si="14"/>
        <v>1</v>
      </c>
    </row>
    <row r="163" spans="1:23" x14ac:dyDescent="0.15">
      <c r="A163" s="24" t="str">
        <f t="shared" si="17"/>
        <v>6_1-2/105&lt;lv8&gt;s1</v>
      </c>
      <c r="B163" s="19">
        <f t="shared" si="20"/>
        <v>6</v>
      </c>
      <c r="C163" s="19">
        <f t="shared" si="20"/>
        <v>1</v>
      </c>
      <c r="D163" s="19">
        <f t="shared" si="20"/>
        <v>2</v>
      </c>
      <c r="E163" s="19">
        <f t="shared" si="20"/>
        <v>105</v>
      </c>
      <c r="F163" s="19">
        <f t="shared" si="20"/>
        <v>8</v>
      </c>
      <c r="G163" s="19">
        <f t="shared" si="19"/>
        <v>1</v>
      </c>
      <c r="H163" s="19">
        <f t="shared" si="19"/>
        <v>1</v>
      </c>
      <c r="I163" s="19">
        <f t="shared" si="19"/>
        <v>0</v>
      </c>
      <c r="J163" s="19">
        <v>0</v>
      </c>
      <c r="K163" s="19">
        <f t="shared" si="20"/>
        <v>0</v>
      </c>
      <c r="L163" s="19">
        <f t="shared" si="20"/>
        <v>50</v>
      </c>
      <c r="M163" s="19">
        <f t="shared" si="20"/>
        <v>0</v>
      </c>
      <c r="N163" s="19">
        <f t="shared" si="20"/>
        <v>1</v>
      </c>
      <c r="O163" s="19">
        <f t="shared" si="20"/>
        <v>105</v>
      </c>
      <c r="P163" s="19">
        <f t="shared" si="20"/>
        <v>1</v>
      </c>
      <c r="Q163" s="19">
        <f t="shared" si="20"/>
        <v>2</v>
      </c>
      <c r="R163" s="19">
        <f t="shared" si="20"/>
        <v>20</v>
      </c>
      <c r="S163" s="19">
        <f t="shared" si="20"/>
        <v>0</v>
      </c>
      <c r="T163" s="19">
        <f t="shared" si="20"/>
        <v>0</v>
      </c>
      <c r="U163" s="19">
        <f t="shared" si="14"/>
        <v>0</v>
      </c>
      <c r="V163" s="19">
        <f t="shared" si="14"/>
        <v>0</v>
      </c>
      <c r="W163" s="19">
        <f t="shared" si="14"/>
        <v>1</v>
      </c>
    </row>
    <row r="164" spans="1:23" x14ac:dyDescent="0.15">
      <c r="A164" s="24" t="str">
        <f t="shared" si="17"/>
        <v>6_1-3/10&lt;lv8&gt;s2</v>
      </c>
      <c r="B164" s="19">
        <f t="shared" si="20"/>
        <v>6</v>
      </c>
      <c r="C164" s="19">
        <f t="shared" si="20"/>
        <v>1</v>
      </c>
      <c r="D164" s="19">
        <f t="shared" si="20"/>
        <v>3</v>
      </c>
      <c r="E164" s="19">
        <f t="shared" si="20"/>
        <v>10</v>
      </c>
      <c r="F164" s="19">
        <f t="shared" si="20"/>
        <v>8</v>
      </c>
      <c r="G164" s="19">
        <f t="shared" si="19"/>
        <v>1</v>
      </c>
      <c r="H164" s="19">
        <f t="shared" si="19"/>
        <v>1</v>
      </c>
      <c r="I164" s="19">
        <f t="shared" si="19"/>
        <v>0</v>
      </c>
      <c r="J164" s="19">
        <v>0</v>
      </c>
      <c r="K164" s="19">
        <f t="shared" si="20"/>
        <v>1</v>
      </c>
      <c r="L164" s="19">
        <f t="shared" si="20"/>
        <v>100</v>
      </c>
      <c r="M164" s="19">
        <f t="shared" si="20"/>
        <v>0</v>
      </c>
      <c r="N164" s="19">
        <f t="shared" si="20"/>
        <v>2</v>
      </c>
      <c r="O164" s="19">
        <f t="shared" si="20"/>
        <v>9</v>
      </c>
      <c r="P164" s="19">
        <f t="shared" si="20"/>
        <v>1</v>
      </c>
      <c r="Q164" s="19">
        <f t="shared" si="20"/>
        <v>1</v>
      </c>
      <c r="R164" s="19">
        <f t="shared" si="20"/>
        <v>0</v>
      </c>
      <c r="S164" s="19">
        <f t="shared" si="20"/>
        <v>0</v>
      </c>
      <c r="T164" s="19">
        <f t="shared" si="20"/>
        <v>0</v>
      </c>
      <c r="U164" s="19">
        <f t="shared" si="14"/>
        <v>0</v>
      </c>
      <c r="V164" s="19">
        <f t="shared" si="14"/>
        <v>0</v>
      </c>
      <c r="W164" s="19">
        <f t="shared" si="14"/>
        <v>1</v>
      </c>
    </row>
    <row r="165" spans="1:23" x14ac:dyDescent="0.15">
      <c r="A165" s="24" t="str">
        <f t="shared" si="17"/>
        <v>6_1-3/20&lt;lv8&gt;s3</v>
      </c>
      <c r="B165" s="19">
        <f t="shared" si="20"/>
        <v>6</v>
      </c>
      <c r="C165" s="19">
        <f t="shared" si="20"/>
        <v>1</v>
      </c>
      <c r="D165" s="19">
        <f t="shared" si="20"/>
        <v>3</v>
      </c>
      <c r="E165" s="19">
        <f t="shared" si="20"/>
        <v>20</v>
      </c>
      <c r="F165" s="19">
        <f t="shared" si="20"/>
        <v>8</v>
      </c>
      <c r="G165" s="19">
        <f t="shared" si="19"/>
        <v>1</v>
      </c>
      <c r="H165" s="19">
        <f t="shared" si="19"/>
        <v>1</v>
      </c>
      <c r="I165" s="19">
        <f t="shared" si="19"/>
        <v>0</v>
      </c>
      <c r="J165" s="19">
        <v>0</v>
      </c>
      <c r="K165" s="19">
        <f t="shared" si="20"/>
        <v>1</v>
      </c>
      <c r="L165" s="19">
        <f t="shared" si="20"/>
        <v>100</v>
      </c>
      <c r="M165" s="19">
        <f t="shared" si="20"/>
        <v>0</v>
      </c>
      <c r="N165" s="19">
        <f t="shared" si="20"/>
        <v>3</v>
      </c>
      <c r="O165" s="19">
        <f t="shared" si="20"/>
        <v>19</v>
      </c>
      <c r="P165" s="19">
        <f t="shared" si="20"/>
        <v>1</v>
      </c>
      <c r="Q165" s="19">
        <f t="shared" si="20"/>
        <v>1</v>
      </c>
      <c r="R165" s="19">
        <f t="shared" si="20"/>
        <v>0</v>
      </c>
      <c r="S165" s="19">
        <f t="shared" si="20"/>
        <v>0</v>
      </c>
      <c r="T165" s="19">
        <f t="shared" si="20"/>
        <v>0</v>
      </c>
      <c r="U165" s="19">
        <f t="shared" si="14"/>
        <v>0</v>
      </c>
      <c r="V165" s="19">
        <f t="shared" si="14"/>
        <v>0</v>
      </c>
      <c r="W165" s="19">
        <f t="shared" si="14"/>
        <v>1</v>
      </c>
    </row>
    <row r="166" spans="1:23" x14ac:dyDescent="0.15">
      <c r="A166" s="24" t="str">
        <f t="shared" si="17"/>
        <v>6_1-3/26&lt;lv8&gt;s3</v>
      </c>
      <c r="B166" s="19">
        <f t="shared" si="20"/>
        <v>6</v>
      </c>
      <c r="C166" s="19">
        <f t="shared" si="20"/>
        <v>1</v>
      </c>
      <c r="D166" s="19">
        <f t="shared" si="20"/>
        <v>3</v>
      </c>
      <c r="E166" s="19">
        <f t="shared" si="20"/>
        <v>26</v>
      </c>
      <c r="F166" s="19">
        <f t="shared" si="20"/>
        <v>8</v>
      </c>
      <c r="G166" s="19">
        <f t="shared" si="19"/>
        <v>1</v>
      </c>
      <c r="H166" s="19">
        <f t="shared" si="19"/>
        <v>1</v>
      </c>
      <c r="I166" s="19">
        <f t="shared" si="19"/>
        <v>0</v>
      </c>
      <c r="J166" s="19">
        <v>0</v>
      </c>
      <c r="K166" s="19">
        <f t="shared" si="20"/>
        <v>1</v>
      </c>
      <c r="L166" s="19">
        <f t="shared" si="20"/>
        <v>100</v>
      </c>
      <c r="M166" s="19">
        <f t="shared" si="20"/>
        <v>1</v>
      </c>
      <c r="N166" s="19">
        <f t="shared" si="20"/>
        <v>3</v>
      </c>
      <c r="O166" s="19">
        <f t="shared" si="20"/>
        <v>25</v>
      </c>
      <c r="P166" s="19">
        <f t="shared" si="20"/>
        <v>1</v>
      </c>
      <c r="Q166" s="19">
        <f t="shared" si="20"/>
        <v>1</v>
      </c>
      <c r="R166" s="19">
        <f t="shared" si="20"/>
        <v>0</v>
      </c>
      <c r="S166" s="19">
        <f t="shared" si="20"/>
        <v>0</v>
      </c>
      <c r="T166" s="19">
        <f t="shared" si="20"/>
        <v>0</v>
      </c>
      <c r="U166" s="19">
        <f t="shared" si="14"/>
        <v>0</v>
      </c>
      <c r="V166" s="19">
        <f t="shared" si="14"/>
        <v>0</v>
      </c>
      <c r="W166" s="19">
        <f t="shared" si="14"/>
        <v>1</v>
      </c>
    </row>
    <row r="167" spans="1:23" x14ac:dyDescent="0.15">
      <c r="A167" s="24" t="str">
        <f t="shared" si="17"/>
        <v>6_1-3/28&lt;lv8&gt;s1</v>
      </c>
      <c r="B167" s="19">
        <f t="shared" si="20"/>
        <v>6</v>
      </c>
      <c r="C167" s="19">
        <f t="shared" si="20"/>
        <v>1</v>
      </c>
      <c r="D167" s="19">
        <f t="shared" si="20"/>
        <v>3</v>
      </c>
      <c r="E167" s="19">
        <f t="shared" si="20"/>
        <v>28</v>
      </c>
      <c r="F167" s="19">
        <f t="shared" si="20"/>
        <v>8</v>
      </c>
      <c r="G167" s="19">
        <f t="shared" si="19"/>
        <v>1</v>
      </c>
      <c r="H167" s="19">
        <f t="shared" si="19"/>
        <v>1</v>
      </c>
      <c r="I167" s="19">
        <f t="shared" si="19"/>
        <v>0</v>
      </c>
      <c r="J167" s="19">
        <v>28</v>
      </c>
      <c r="K167" s="19">
        <f t="shared" si="20"/>
        <v>1</v>
      </c>
      <c r="L167" s="19">
        <f t="shared" si="20"/>
        <v>100</v>
      </c>
      <c r="M167" s="19">
        <f t="shared" si="20"/>
        <v>0</v>
      </c>
      <c r="N167" s="19">
        <f t="shared" si="20"/>
        <v>1</v>
      </c>
      <c r="O167" s="19">
        <f t="shared" si="20"/>
        <v>27</v>
      </c>
      <c r="P167" s="19">
        <f t="shared" si="20"/>
        <v>1</v>
      </c>
      <c r="Q167" s="19">
        <f t="shared" si="20"/>
        <v>1</v>
      </c>
      <c r="R167" s="19">
        <f t="shared" si="20"/>
        <v>0</v>
      </c>
      <c r="S167" s="19">
        <f t="shared" si="20"/>
        <v>0</v>
      </c>
      <c r="T167" s="19">
        <f t="shared" si="20"/>
        <v>0</v>
      </c>
      <c r="U167" s="19">
        <f t="shared" si="14"/>
        <v>0</v>
      </c>
      <c r="V167" s="19">
        <f t="shared" si="14"/>
        <v>0</v>
      </c>
      <c r="W167" s="19">
        <f t="shared" si="14"/>
        <v>1</v>
      </c>
    </row>
    <row r="168" spans="1:23" x14ac:dyDescent="0.15">
      <c r="A168" s="24" t="str">
        <f t="shared" si="17"/>
        <v>6_2-1/1&lt;lv8&gt;s1</v>
      </c>
      <c r="B168" s="19">
        <f t="shared" si="20"/>
        <v>6</v>
      </c>
      <c r="C168" s="19">
        <f t="shared" si="20"/>
        <v>2</v>
      </c>
      <c r="D168" s="19">
        <f t="shared" si="20"/>
        <v>1</v>
      </c>
      <c r="E168" s="19">
        <f t="shared" si="20"/>
        <v>1</v>
      </c>
      <c r="F168" s="19">
        <f t="shared" si="20"/>
        <v>8</v>
      </c>
      <c r="G168" s="19">
        <f t="shared" si="19"/>
        <v>1</v>
      </c>
      <c r="H168" s="19">
        <f t="shared" si="19"/>
        <v>1</v>
      </c>
      <c r="I168" s="19">
        <f t="shared" si="19"/>
        <v>0</v>
      </c>
      <c r="J168" s="19">
        <v>0</v>
      </c>
      <c r="K168" s="19">
        <f t="shared" si="20"/>
        <v>0</v>
      </c>
      <c r="L168" s="19">
        <f t="shared" si="20"/>
        <v>100</v>
      </c>
      <c r="M168" s="19">
        <f t="shared" si="20"/>
        <v>0</v>
      </c>
      <c r="N168" s="19">
        <f t="shared" si="20"/>
        <v>1</v>
      </c>
      <c r="O168" s="19">
        <f t="shared" si="20"/>
        <v>1</v>
      </c>
      <c r="P168" s="19">
        <f t="shared" si="20"/>
        <v>4</v>
      </c>
      <c r="Q168" s="19">
        <f t="shared" si="20"/>
        <v>1</v>
      </c>
      <c r="R168" s="19">
        <f t="shared" si="20"/>
        <v>30</v>
      </c>
      <c r="S168" s="19">
        <f t="shared" si="20"/>
        <v>0</v>
      </c>
      <c r="T168" s="19">
        <f t="shared" si="20"/>
        <v>0</v>
      </c>
      <c r="U168" s="19">
        <f t="shared" si="14"/>
        <v>0</v>
      </c>
      <c r="V168" s="19">
        <f t="shared" si="14"/>
        <v>0</v>
      </c>
      <c r="W168" s="19">
        <f t="shared" si="14"/>
        <v>1</v>
      </c>
    </row>
    <row r="169" spans="1:23" x14ac:dyDescent="0.15">
      <c r="A169" s="24" t="str">
        <f t="shared" si="17"/>
        <v>6_2-1/3&lt;lv8&gt;s2</v>
      </c>
      <c r="B169" s="19">
        <f t="shared" si="20"/>
        <v>6</v>
      </c>
      <c r="C169" s="19">
        <f t="shared" si="20"/>
        <v>2</v>
      </c>
      <c r="D169" s="19">
        <f t="shared" si="20"/>
        <v>1</v>
      </c>
      <c r="E169" s="19">
        <f t="shared" si="20"/>
        <v>3</v>
      </c>
      <c r="F169" s="19">
        <f t="shared" si="20"/>
        <v>8</v>
      </c>
      <c r="G169" s="19">
        <f t="shared" si="19"/>
        <v>1</v>
      </c>
      <c r="H169" s="19">
        <f t="shared" si="19"/>
        <v>1</v>
      </c>
      <c r="I169" s="19">
        <f t="shared" si="19"/>
        <v>0</v>
      </c>
      <c r="J169" s="19">
        <v>0</v>
      </c>
      <c r="K169" s="19">
        <f t="shared" si="20"/>
        <v>0</v>
      </c>
      <c r="L169" s="19">
        <f t="shared" si="20"/>
        <v>100</v>
      </c>
      <c r="M169" s="19">
        <f t="shared" si="20"/>
        <v>0</v>
      </c>
      <c r="N169" s="19">
        <f t="shared" si="20"/>
        <v>2</v>
      </c>
      <c r="O169" s="19">
        <f t="shared" si="20"/>
        <v>3</v>
      </c>
      <c r="P169" s="19">
        <f t="shared" si="20"/>
        <v>4</v>
      </c>
      <c r="Q169" s="19">
        <f t="shared" si="20"/>
        <v>1</v>
      </c>
      <c r="R169" s="19">
        <f t="shared" si="20"/>
        <v>30</v>
      </c>
      <c r="S169" s="19">
        <f t="shared" si="20"/>
        <v>0</v>
      </c>
      <c r="T169" s="19">
        <f t="shared" si="20"/>
        <v>0</v>
      </c>
      <c r="U169" s="19">
        <f t="shared" si="14"/>
        <v>0</v>
      </c>
      <c r="V169" s="19">
        <f t="shared" si="14"/>
        <v>0</v>
      </c>
      <c r="W169" s="19">
        <f t="shared" si="14"/>
        <v>1</v>
      </c>
    </row>
    <row r="170" spans="1:23" x14ac:dyDescent="0.15">
      <c r="A170" s="24" t="str">
        <f t="shared" si="17"/>
        <v>6_2-1/5&lt;lv8&gt;s3</v>
      </c>
      <c r="B170" s="19">
        <f t="shared" si="20"/>
        <v>6</v>
      </c>
      <c r="C170" s="19">
        <f t="shared" si="20"/>
        <v>2</v>
      </c>
      <c r="D170" s="19">
        <f t="shared" si="20"/>
        <v>1</v>
      </c>
      <c r="E170" s="19">
        <f t="shared" si="20"/>
        <v>5</v>
      </c>
      <c r="F170" s="19">
        <f t="shared" si="20"/>
        <v>8</v>
      </c>
      <c r="G170" s="19">
        <f t="shared" si="19"/>
        <v>1</v>
      </c>
      <c r="H170" s="19">
        <f t="shared" si="19"/>
        <v>1</v>
      </c>
      <c r="I170" s="19">
        <f t="shared" si="19"/>
        <v>0</v>
      </c>
      <c r="J170" s="19">
        <v>0</v>
      </c>
      <c r="K170" s="19">
        <f t="shared" si="20"/>
        <v>0</v>
      </c>
      <c r="L170" s="19">
        <f t="shared" si="20"/>
        <v>100</v>
      </c>
      <c r="M170" s="19">
        <f t="shared" si="20"/>
        <v>0</v>
      </c>
      <c r="N170" s="19">
        <f t="shared" si="20"/>
        <v>3</v>
      </c>
      <c r="O170" s="19">
        <f t="shared" si="20"/>
        <v>5</v>
      </c>
      <c r="P170" s="19">
        <f t="shared" si="20"/>
        <v>4</v>
      </c>
      <c r="Q170" s="19">
        <f t="shared" si="20"/>
        <v>1</v>
      </c>
      <c r="R170" s="19">
        <f t="shared" si="20"/>
        <v>30</v>
      </c>
      <c r="S170" s="19">
        <f t="shared" si="20"/>
        <v>0</v>
      </c>
      <c r="T170" s="19">
        <f t="shared" si="20"/>
        <v>0</v>
      </c>
      <c r="U170" s="19">
        <f t="shared" si="14"/>
        <v>0</v>
      </c>
      <c r="V170" s="19">
        <f t="shared" si="14"/>
        <v>0</v>
      </c>
      <c r="W170" s="19">
        <f t="shared" si="14"/>
        <v>1</v>
      </c>
    </row>
    <row r="171" spans="1:23" x14ac:dyDescent="0.15">
      <c r="A171" s="24" t="str">
        <f t="shared" si="17"/>
        <v>6_2-1/7&lt;lv8&gt;s2</v>
      </c>
      <c r="B171" s="19">
        <f t="shared" si="20"/>
        <v>6</v>
      </c>
      <c r="C171" s="19">
        <f t="shared" si="20"/>
        <v>2</v>
      </c>
      <c r="D171" s="19">
        <f t="shared" si="20"/>
        <v>1</v>
      </c>
      <c r="E171" s="19">
        <f t="shared" si="20"/>
        <v>7</v>
      </c>
      <c r="F171" s="19">
        <f t="shared" si="20"/>
        <v>8</v>
      </c>
      <c r="G171" s="19">
        <f t="shared" si="19"/>
        <v>1</v>
      </c>
      <c r="H171" s="19">
        <f t="shared" si="19"/>
        <v>1</v>
      </c>
      <c r="I171" s="19">
        <f t="shared" si="19"/>
        <v>0</v>
      </c>
      <c r="J171" s="19">
        <v>0</v>
      </c>
      <c r="K171" s="19">
        <f t="shared" si="20"/>
        <v>0</v>
      </c>
      <c r="L171" s="19">
        <f t="shared" si="20"/>
        <v>100</v>
      </c>
      <c r="M171" s="19">
        <f t="shared" si="20"/>
        <v>0</v>
      </c>
      <c r="N171" s="19">
        <f t="shared" si="20"/>
        <v>2</v>
      </c>
      <c r="O171" s="19">
        <f t="shared" si="20"/>
        <v>7</v>
      </c>
      <c r="P171" s="19">
        <f t="shared" si="20"/>
        <v>4</v>
      </c>
      <c r="Q171" s="19">
        <f t="shared" si="20"/>
        <v>1</v>
      </c>
      <c r="R171" s="19">
        <f t="shared" si="20"/>
        <v>30</v>
      </c>
      <c r="S171" s="19">
        <f t="shared" si="20"/>
        <v>0</v>
      </c>
      <c r="T171" s="19">
        <f t="shared" si="20"/>
        <v>0</v>
      </c>
      <c r="U171" s="19">
        <f t="shared" si="14"/>
        <v>0</v>
      </c>
      <c r="V171" s="19">
        <f t="shared" si="14"/>
        <v>0</v>
      </c>
      <c r="W171" s="19">
        <f t="shared" si="14"/>
        <v>1</v>
      </c>
    </row>
    <row r="172" spans="1:23" x14ac:dyDescent="0.15">
      <c r="A172" s="24" t="str">
        <f t="shared" si="17"/>
        <v>6_2-1/9&lt;lv8&gt;s2</v>
      </c>
      <c r="B172" s="19">
        <f t="shared" si="20"/>
        <v>6</v>
      </c>
      <c r="C172" s="19">
        <f t="shared" si="20"/>
        <v>2</v>
      </c>
      <c r="D172" s="19">
        <f t="shared" si="20"/>
        <v>1</v>
      </c>
      <c r="E172" s="19">
        <f t="shared" si="20"/>
        <v>9</v>
      </c>
      <c r="F172" s="19">
        <f t="shared" si="20"/>
        <v>8</v>
      </c>
      <c r="G172" s="19">
        <f t="shared" si="19"/>
        <v>1</v>
      </c>
      <c r="H172" s="19">
        <f t="shared" si="19"/>
        <v>1</v>
      </c>
      <c r="I172" s="19">
        <f t="shared" si="19"/>
        <v>0</v>
      </c>
      <c r="J172" s="19">
        <v>0</v>
      </c>
      <c r="K172" s="19">
        <f t="shared" si="20"/>
        <v>0</v>
      </c>
      <c r="L172" s="19">
        <f t="shared" si="20"/>
        <v>100</v>
      </c>
      <c r="M172" s="19">
        <f t="shared" si="20"/>
        <v>0</v>
      </c>
      <c r="N172" s="19">
        <f t="shared" si="20"/>
        <v>2</v>
      </c>
      <c r="O172" s="19">
        <f t="shared" si="20"/>
        <v>9</v>
      </c>
      <c r="P172" s="19">
        <f t="shared" si="20"/>
        <v>2</v>
      </c>
      <c r="Q172" s="19">
        <f t="shared" si="20"/>
        <v>1</v>
      </c>
      <c r="R172" s="19">
        <f t="shared" si="20"/>
        <v>30</v>
      </c>
      <c r="S172" s="19">
        <f t="shared" si="20"/>
        <v>0</v>
      </c>
      <c r="T172" s="19">
        <f t="shared" si="20"/>
        <v>0</v>
      </c>
      <c r="U172" s="19">
        <f t="shared" si="14"/>
        <v>0</v>
      </c>
      <c r="V172" s="19">
        <f t="shared" si="14"/>
        <v>0</v>
      </c>
      <c r="W172" s="19">
        <f t="shared" si="14"/>
        <v>1</v>
      </c>
    </row>
    <row r="173" spans="1:23" x14ac:dyDescent="0.15">
      <c r="A173" s="24" t="str">
        <f t="shared" si="17"/>
        <v>6_2-1/11&lt;lv8&gt;s3</v>
      </c>
      <c r="B173" s="19">
        <f t="shared" si="20"/>
        <v>6</v>
      </c>
      <c r="C173" s="19">
        <f t="shared" si="20"/>
        <v>2</v>
      </c>
      <c r="D173" s="19">
        <f t="shared" si="20"/>
        <v>1</v>
      </c>
      <c r="E173" s="19">
        <f t="shared" si="20"/>
        <v>11</v>
      </c>
      <c r="F173" s="19">
        <f t="shared" si="20"/>
        <v>8</v>
      </c>
      <c r="G173" s="19">
        <f t="shared" si="19"/>
        <v>1</v>
      </c>
      <c r="H173" s="19">
        <f t="shared" si="19"/>
        <v>1</v>
      </c>
      <c r="I173" s="19">
        <f t="shared" si="19"/>
        <v>0</v>
      </c>
      <c r="J173" s="19">
        <v>0</v>
      </c>
      <c r="K173" s="19">
        <f t="shared" si="20"/>
        <v>0</v>
      </c>
      <c r="L173" s="19">
        <f t="shared" si="20"/>
        <v>100</v>
      </c>
      <c r="M173" s="19">
        <f t="shared" si="20"/>
        <v>0</v>
      </c>
      <c r="N173" s="19">
        <f t="shared" si="20"/>
        <v>3</v>
      </c>
      <c r="O173" s="19">
        <f t="shared" si="20"/>
        <v>11</v>
      </c>
      <c r="P173" s="19">
        <f t="shared" si="20"/>
        <v>2</v>
      </c>
      <c r="Q173" s="19">
        <f t="shared" si="20"/>
        <v>1</v>
      </c>
      <c r="R173" s="19">
        <f t="shared" si="20"/>
        <v>30</v>
      </c>
      <c r="S173" s="19">
        <f t="shared" si="20"/>
        <v>0</v>
      </c>
      <c r="T173" s="19">
        <f t="shared" si="20"/>
        <v>0</v>
      </c>
      <c r="U173" s="19">
        <f t="shared" si="14"/>
        <v>0</v>
      </c>
      <c r="V173" s="19">
        <f t="shared" si="14"/>
        <v>0</v>
      </c>
      <c r="W173" s="19">
        <f t="shared" si="14"/>
        <v>1</v>
      </c>
    </row>
    <row r="174" spans="1:23" x14ac:dyDescent="0.15">
      <c r="A174" s="24" t="str">
        <f t="shared" si="17"/>
        <v>6_2-2/13&lt;lv8&gt;s2</v>
      </c>
      <c r="B174" s="19">
        <f t="shared" si="20"/>
        <v>6</v>
      </c>
      <c r="C174" s="19">
        <f t="shared" si="20"/>
        <v>2</v>
      </c>
      <c r="D174" s="19">
        <f t="shared" si="20"/>
        <v>2</v>
      </c>
      <c r="E174" s="19">
        <f t="shared" si="20"/>
        <v>13</v>
      </c>
      <c r="F174" s="19">
        <f t="shared" si="20"/>
        <v>8</v>
      </c>
      <c r="G174" s="19">
        <f t="shared" si="19"/>
        <v>1</v>
      </c>
      <c r="H174" s="19">
        <f t="shared" si="19"/>
        <v>1</v>
      </c>
      <c r="I174" s="19">
        <f t="shared" si="19"/>
        <v>0</v>
      </c>
      <c r="J174" s="19">
        <v>0</v>
      </c>
      <c r="K174" s="19">
        <f t="shared" si="20"/>
        <v>0</v>
      </c>
      <c r="L174" s="19">
        <f t="shared" si="20"/>
        <v>100</v>
      </c>
      <c r="M174" s="19">
        <f t="shared" si="20"/>
        <v>0</v>
      </c>
      <c r="N174" s="19">
        <f t="shared" si="20"/>
        <v>2</v>
      </c>
      <c r="O174" s="19">
        <f t="shared" si="20"/>
        <v>13</v>
      </c>
      <c r="P174" s="19">
        <f t="shared" si="20"/>
        <v>2</v>
      </c>
      <c r="Q174" s="19">
        <f t="shared" si="20"/>
        <v>1</v>
      </c>
      <c r="R174" s="19">
        <f t="shared" si="20"/>
        <v>30</v>
      </c>
      <c r="S174" s="19">
        <f t="shared" si="20"/>
        <v>0</v>
      </c>
      <c r="T174" s="19">
        <f t="shared" si="20"/>
        <v>0</v>
      </c>
      <c r="U174" s="19">
        <f t="shared" ref="U174:W237" si="21">VLOOKUP($A174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74" s="19">
        <f t="shared" si="21"/>
        <v>0</v>
      </c>
      <c r="W174" s="19">
        <f t="shared" si="21"/>
        <v>1</v>
      </c>
    </row>
    <row r="175" spans="1:23" x14ac:dyDescent="0.15">
      <c r="A175" s="24" t="str">
        <f t="shared" si="17"/>
        <v>6_2-2/15&lt;lv8&gt;s3</v>
      </c>
      <c r="B175" s="19">
        <f t="shared" si="20"/>
        <v>6</v>
      </c>
      <c r="C175" s="19">
        <f t="shared" si="20"/>
        <v>2</v>
      </c>
      <c r="D175" s="19">
        <f t="shared" si="20"/>
        <v>2</v>
      </c>
      <c r="E175" s="19">
        <f t="shared" si="20"/>
        <v>15</v>
      </c>
      <c r="F175" s="19">
        <f t="shared" si="20"/>
        <v>8</v>
      </c>
      <c r="G175" s="19">
        <f t="shared" si="19"/>
        <v>1</v>
      </c>
      <c r="H175" s="19">
        <f t="shared" si="19"/>
        <v>1</v>
      </c>
      <c r="I175" s="19">
        <f t="shared" si="19"/>
        <v>0</v>
      </c>
      <c r="J175" s="19">
        <v>0</v>
      </c>
      <c r="K175" s="19">
        <f t="shared" si="20"/>
        <v>0</v>
      </c>
      <c r="L175" s="19">
        <f t="shared" si="20"/>
        <v>100</v>
      </c>
      <c r="M175" s="19">
        <f t="shared" si="20"/>
        <v>0</v>
      </c>
      <c r="N175" s="19">
        <f t="shared" si="20"/>
        <v>3</v>
      </c>
      <c r="O175" s="19">
        <f t="shared" si="20"/>
        <v>15</v>
      </c>
      <c r="P175" s="19">
        <f t="shared" si="20"/>
        <v>2</v>
      </c>
      <c r="Q175" s="19">
        <f t="shared" si="20"/>
        <v>1</v>
      </c>
      <c r="R175" s="19">
        <f t="shared" si="20"/>
        <v>30</v>
      </c>
      <c r="S175" s="19">
        <f t="shared" si="20"/>
        <v>0</v>
      </c>
      <c r="T175" s="19">
        <f t="shared" si="20"/>
        <v>0</v>
      </c>
      <c r="U175" s="19">
        <f t="shared" si="21"/>
        <v>0</v>
      </c>
      <c r="V175" s="19">
        <f t="shared" si="21"/>
        <v>0</v>
      </c>
      <c r="W175" s="19">
        <f t="shared" si="21"/>
        <v>1</v>
      </c>
    </row>
    <row r="176" spans="1:23" x14ac:dyDescent="0.15">
      <c r="A176" s="24" t="str">
        <f t="shared" si="17"/>
        <v>6_2-2/17&lt;lv8&gt;s2</v>
      </c>
      <c r="B176" s="19">
        <f t="shared" si="20"/>
        <v>6</v>
      </c>
      <c r="C176" s="19">
        <f t="shared" si="20"/>
        <v>2</v>
      </c>
      <c r="D176" s="19">
        <f t="shared" si="20"/>
        <v>2</v>
      </c>
      <c r="E176" s="19">
        <f t="shared" si="20"/>
        <v>17</v>
      </c>
      <c r="F176" s="19">
        <f t="shared" si="20"/>
        <v>8</v>
      </c>
      <c r="G176" s="19">
        <f t="shared" si="19"/>
        <v>1</v>
      </c>
      <c r="H176" s="19">
        <f t="shared" si="19"/>
        <v>1</v>
      </c>
      <c r="I176" s="19">
        <f t="shared" si="19"/>
        <v>0</v>
      </c>
      <c r="J176" s="19">
        <v>0</v>
      </c>
      <c r="K176" s="19">
        <f t="shared" si="20"/>
        <v>0</v>
      </c>
      <c r="L176" s="19">
        <f t="shared" si="20"/>
        <v>100</v>
      </c>
      <c r="M176" s="19">
        <f t="shared" si="20"/>
        <v>0</v>
      </c>
      <c r="N176" s="19">
        <f t="shared" si="20"/>
        <v>2</v>
      </c>
      <c r="O176" s="19">
        <f t="shared" si="20"/>
        <v>17</v>
      </c>
      <c r="P176" s="19">
        <f t="shared" si="20"/>
        <v>2</v>
      </c>
      <c r="Q176" s="19">
        <f t="shared" si="20"/>
        <v>1</v>
      </c>
      <c r="R176" s="19">
        <f t="shared" si="20"/>
        <v>30</v>
      </c>
      <c r="S176" s="19">
        <f t="shared" si="20"/>
        <v>0</v>
      </c>
      <c r="T176" s="19">
        <f t="shared" si="20"/>
        <v>0</v>
      </c>
      <c r="U176" s="19">
        <f t="shared" si="21"/>
        <v>0</v>
      </c>
      <c r="V176" s="19">
        <f t="shared" si="21"/>
        <v>0</v>
      </c>
      <c r="W176" s="19">
        <f t="shared" si="21"/>
        <v>1</v>
      </c>
    </row>
    <row r="177" spans="1:23" x14ac:dyDescent="0.15">
      <c r="A177" s="24" t="str">
        <f t="shared" si="17"/>
        <v>6_2-2/19&lt;lv8&gt;s3</v>
      </c>
      <c r="B177" s="19">
        <f t="shared" si="20"/>
        <v>6</v>
      </c>
      <c r="C177" s="19">
        <f t="shared" si="20"/>
        <v>2</v>
      </c>
      <c r="D177" s="19">
        <f t="shared" si="20"/>
        <v>2</v>
      </c>
      <c r="E177" s="19">
        <f t="shared" si="20"/>
        <v>19</v>
      </c>
      <c r="F177" s="19">
        <f t="shared" si="20"/>
        <v>8</v>
      </c>
      <c r="G177" s="19">
        <f t="shared" si="19"/>
        <v>1</v>
      </c>
      <c r="H177" s="19">
        <f t="shared" si="19"/>
        <v>1</v>
      </c>
      <c r="I177" s="19">
        <f t="shared" si="19"/>
        <v>0</v>
      </c>
      <c r="J177" s="19">
        <v>0</v>
      </c>
      <c r="K177" s="19">
        <f t="shared" si="20"/>
        <v>0</v>
      </c>
      <c r="L177" s="19">
        <f t="shared" si="20"/>
        <v>100</v>
      </c>
      <c r="M177" s="19">
        <f t="shared" si="20"/>
        <v>0</v>
      </c>
      <c r="N177" s="19">
        <f t="shared" si="20"/>
        <v>3</v>
      </c>
      <c r="O177" s="19">
        <f t="shared" si="20"/>
        <v>19</v>
      </c>
      <c r="P177" s="19">
        <f t="shared" si="20"/>
        <v>2</v>
      </c>
      <c r="Q177" s="19">
        <f t="shared" si="20"/>
        <v>1</v>
      </c>
      <c r="R177" s="19">
        <f t="shared" si="20"/>
        <v>30</v>
      </c>
      <c r="S177" s="19">
        <f t="shared" si="20"/>
        <v>0</v>
      </c>
      <c r="T177" s="19">
        <f t="shared" si="20"/>
        <v>0</v>
      </c>
      <c r="U177" s="19">
        <f t="shared" si="21"/>
        <v>0</v>
      </c>
      <c r="V177" s="19">
        <f t="shared" si="21"/>
        <v>0</v>
      </c>
      <c r="W177" s="19">
        <f t="shared" si="21"/>
        <v>1</v>
      </c>
    </row>
    <row r="178" spans="1:23" x14ac:dyDescent="0.15">
      <c r="A178" s="24" t="str">
        <f t="shared" si="17"/>
        <v>6_2-2/101&lt;lv8&gt;s1</v>
      </c>
      <c r="B178" s="19">
        <f t="shared" si="20"/>
        <v>6</v>
      </c>
      <c r="C178" s="19">
        <f t="shared" si="20"/>
        <v>2</v>
      </c>
      <c r="D178" s="19">
        <f t="shared" si="20"/>
        <v>2</v>
      </c>
      <c r="E178" s="19">
        <f t="shared" si="20"/>
        <v>101</v>
      </c>
      <c r="F178" s="19">
        <f t="shared" si="20"/>
        <v>8</v>
      </c>
      <c r="G178" s="19">
        <f t="shared" si="19"/>
        <v>1</v>
      </c>
      <c r="H178" s="19">
        <f t="shared" si="19"/>
        <v>1</v>
      </c>
      <c r="I178" s="19">
        <f t="shared" si="19"/>
        <v>0</v>
      </c>
      <c r="J178" s="19">
        <v>0</v>
      </c>
      <c r="K178" s="19">
        <f t="shared" ref="B178:T194" si="22">VLOOKUP($A178,OFFSET(INDIRECT($C$1&amp;"!$A1"),0,0,COUNTA(INDIRECT($C$1&amp;"!$A:$A"))+1,MATCH(K$2,INDIRECT($C$1&amp;"!"&amp;$B$1),0)-MATCH($A$2,INDIRECT($C$1&amp;"!"&amp;$B$1),0)+1),MATCH(K$2,INDIRECT($C$1&amp;"!"&amp;$B$1),0)-MATCH($A$2,INDIRECT($C$1&amp;"!"&amp;$B$1),0)+1,FALSE)</f>
        <v>0</v>
      </c>
      <c r="L178" s="19">
        <f t="shared" si="22"/>
        <v>50</v>
      </c>
      <c r="M178" s="19">
        <f t="shared" si="22"/>
        <v>0</v>
      </c>
      <c r="N178" s="19">
        <f t="shared" si="22"/>
        <v>1</v>
      </c>
      <c r="O178" s="19">
        <f t="shared" si="22"/>
        <v>101</v>
      </c>
      <c r="P178" s="19">
        <f t="shared" si="22"/>
        <v>1</v>
      </c>
      <c r="Q178" s="19">
        <f t="shared" si="22"/>
        <v>2</v>
      </c>
      <c r="R178" s="19">
        <f t="shared" si="22"/>
        <v>20</v>
      </c>
      <c r="S178" s="19">
        <f t="shared" si="22"/>
        <v>0</v>
      </c>
      <c r="T178" s="19">
        <f t="shared" si="22"/>
        <v>0</v>
      </c>
      <c r="U178" s="19">
        <f t="shared" si="21"/>
        <v>0</v>
      </c>
      <c r="V178" s="19">
        <f t="shared" si="21"/>
        <v>0</v>
      </c>
      <c r="W178" s="19">
        <f t="shared" si="21"/>
        <v>1</v>
      </c>
    </row>
    <row r="179" spans="1:23" x14ac:dyDescent="0.15">
      <c r="A179" s="24" t="str">
        <f t="shared" si="17"/>
        <v>6_2-2/105&lt;lv8&gt;s1</v>
      </c>
      <c r="B179" s="19">
        <f t="shared" si="22"/>
        <v>6</v>
      </c>
      <c r="C179" s="19">
        <f t="shared" si="22"/>
        <v>2</v>
      </c>
      <c r="D179" s="19">
        <f t="shared" si="22"/>
        <v>2</v>
      </c>
      <c r="E179" s="19">
        <f t="shared" si="22"/>
        <v>105</v>
      </c>
      <c r="F179" s="19">
        <f t="shared" si="22"/>
        <v>8</v>
      </c>
      <c r="G179" s="19">
        <f t="shared" si="19"/>
        <v>1</v>
      </c>
      <c r="H179" s="19">
        <f t="shared" si="19"/>
        <v>1</v>
      </c>
      <c r="I179" s="19">
        <f t="shared" si="19"/>
        <v>0</v>
      </c>
      <c r="J179" s="19">
        <v>0</v>
      </c>
      <c r="K179" s="19">
        <f t="shared" si="22"/>
        <v>0</v>
      </c>
      <c r="L179" s="19">
        <f t="shared" si="22"/>
        <v>50</v>
      </c>
      <c r="M179" s="19">
        <f t="shared" si="22"/>
        <v>0</v>
      </c>
      <c r="N179" s="19">
        <f t="shared" si="22"/>
        <v>1</v>
      </c>
      <c r="O179" s="19">
        <f t="shared" si="22"/>
        <v>105</v>
      </c>
      <c r="P179" s="19">
        <f t="shared" si="22"/>
        <v>1</v>
      </c>
      <c r="Q179" s="19">
        <f t="shared" si="22"/>
        <v>2</v>
      </c>
      <c r="R179" s="19">
        <f t="shared" si="22"/>
        <v>20</v>
      </c>
      <c r="S179" s="19">
        <f t="shared" si="22"/>
        <v>0</v>
      </c>
      <c r="T179" s="19">
        <f t="shared" si="22"/>
        <v>0</v>
      </c>
      <c r="U179" s="19">
        <f t="shared" si="21"/>
        <v>0</v>
      </c>
      <c r="V179" s="19">
        <f t="shared" si="21"/>
        <v>0</v>
      </c>
      <c r="W179" s="19">
        <f t="shared" si="21"/>
        <v>1</v>
      </c>
    </row>
    <row r="180" spans="1:23" x14ac:dyDescent="0.15">
      <c r="A180" s="24" t="str">
        <f t="shared" si="17"/>
        <v>6_2-3/15&lt;lv8&gt;s3</v>
      </c>
      <c r="B180" s="19">
        <f t="shared" si="22"/>
        <v>6</v>
      </c>
      <c r="C180" s="19">
        <f t="shared" si="22"/>
        <v>2</v>
      </c>
      <c r="D180" s="19">
        <f t="shared" si="22"/>
        <v>3</v>
      </c>
      <c r="E180" s="19">
        <f t="shared" si="22"/>
        <v>15</v>
      </c>
      <c r="F180" s="19">
        <f t="shared" si="22"/>
        <v>8</v>
      </c>
      <c r="G180" s="19">
        <f t="shared" si="19"/>
        <v>1</v>
      </c>
      <c r="H180" s="19">
        <f t="shared" si="19"/>
        <v>1</v>
      </c>
      <c r="I180" s="19">
        <f t="shared" si="19"/>
        <v>0</v>
      </c>
      <c r="J180" s="19">
        <v>0</v>
      </c>
      <c r="K180" s="19">
        <f t="shared" si="22"/>
        <v>0</v>
      </c>
      <c r="L180" s="19">
        <f t="shared" si="22"/>
        <v>100</v>
      </c>
      <c r="M180" s="19">
        <f t="shared" si="22"/>
        <v>0</v>
      </c>
      <c r="N180" s="19">
        <f t="shared" si="22"/>
        <v>3</v>
      </c>
      <c r="O180" s="19">
        <f t="shared" si="22"/>
        <v>15</v>
      </c>
      <c r="P180" s="19">
        <f t="shared" si="22"/>
        <v>2</v>
      </c>
      <c r="Q180" s="19">
        <f t="shared" si="22"/>
        <v>1</v>
      </c>
      <c r="R180" s="19">
        <f t="shared" si="22"/>
        <v>30</v>
      </c>
      <c r="S180" s="19">
        <f t="shared" si="22"/>
        <v>0</v>
      </c>
      <c r="T180" s="19">
        <f t="shared" si="22"/>
        <v>0</v>
      </c>
      <c r="U180" s="19">
        <f t="shared" si="21"/>
        <v>0</v>
      </c>
      <c r="V180" s="19">
        <f t="shared" si="21"/>
        <v>0</v>
      </c>
      <c r="W180" s="19">
        <f t="shared" si="21"/>
        <v>1</v>
      </c>
    </row>
    <row r="181" spans="1:23" x14ac:dyDescent="0.15">
      <c r="A181" s="24" t="str">
        <f t="shared" si="17"/>
        <v>6_2-3/17&lt;lv8&gt;s2</v>
      </c>
      <c r="B181" s="19">
        <f t="shared" si="22"/>
        <v>6</v>
      </c>
      <c r="C181" s="19">
        <f t="shared" si="22"/>
        <v>2</v>
      </c>
      <c r="D181" s="19">
        <f t="shared" si="22"/>
        <v>3</v>
      </c>
      <c r="E181" s="19">
        <f t="shared" si="22"/>
        <v>17</v>
      </c>
      <c r="F181" s="19">
        <f t="shared" si="22"/>
        <v>8</v>
      </c>
      <c r="G181" s="19">
        <f t="shared" si="19"/>
        <v>1</v>
      </c>
      <c r="H181" s="19">
        <f t="shared" si="19"/>
        <v>1</v>
      </c>
      <c r="I181" s="19">
        <f t="shared" si="19"/>
        <v>0</v>
      </c>
      <c r="J181" s="19">
        <v>0</v>
      </c>
      <c r="K181" s="19">
        <f t="shared" si="22"/>
        <v>0</v>
      </c>
      <c r="L181" s="19">
        <f t="shared" si="22"/>
        <v>100</v>
      </c>
      <c r="M181" s="19">
        <f t="shared" si="22"/>
        <v>0</v>
      </c>
      <c r="N181" s="19">
        <f t="shared" si="22"/>
        <v>2</v>
      </c>
      <c r="O181" s="19">
        <f t="shared" si="22"/>
        <v>17</v>
      </c>
      <c r="P181" s="19">
        <f t="shared" si="22"/>
        <v>2</v>
      </c>
      <c r="Q181" s="19">
        <f t="shared" si="22"/>
        <v>1</v>
      </c>
      <c r="R181" s="19">
        <f t="shared" si="22"/>
        <v>30</v>
      </c>
      <c r="S181" s="19">
        <f t="shared" si="22"/>
        <v>0</v>
      </c>
      <c r="T181" s="19">
        <f t="shared" si="22"/>
        <v>0</v>
      </c>
      <c r="U181" s="19">
        <f t="shared" si="21"/>
        <v>0</v>
      </c>
      <c r="V181" s="19">
        <f t="shared" si="21"/>
        <v>0</v>
      </c>
      <c r="W181" s="19">
        <f t="shared" si="21"/>
        <v>1</v>
      </c>
    </row>
    <row r="182" spans="1:23" x14ac:dyDescent="0.15">
      <c r="A182" s="24" t="str">
        <f t="shared" si="17"/>
        <v>6_2-3/19&lt;lv8&gt;s3</v>
      </c>
      <c r="B182" s="19">
        <f t="shared" si="22"/>
        <v>6</v>
      </c>
      <c r="C182" s="19">
        <f t="shared" si="22"/>
        <v>2</v>
      </c>
      <c r="D182" s="19">
        <f t="shared" si="22"/>
        <v>3</v>
      </c>
      <c r="E182" s="19">
        <f t="shared" si="22"/>
        <v>19</v>
      </c>
      <c r="F182" s="19">
        <f t="shared" si="22"/>
        <v>8</v>
      </c>
      <c r="G182" s="19">
        <f t="shared" si="19"/>
        <v>1</v>
      </c>
      <c r="H182" s="19">
        <f t="shared" si="19"/>
        <v>1</v>
      </c>
      <c r="I182" s="19">
        <f t="shared" si="19"/>
        <v>0</v>
      </c>
      <c r="J182" s="19">
        <v>0</v>
      </c>
      <c r="K182" s="19">
        <f t="shared" si="22"/>
        <v>0</v>
      </c>
      <c r="L182" s="19">
        <f t="shared" si="22"/>
        <v>100</v>
      </c>
      <c r="M182" s="19">
        <f t="shared" si="22"/>
        <v>0</v>
      </c>
      <c r="N182" s="19">
        <f t="shared" si="22"/>
        <v>3</v>
      </c>
      <c r="O182" s="19">
        <f t="shared" si="22"/>
        <v>19</v>
      </c>
      <c r="P182" s="19">
        <f t="shared" si="22"/>
        <v>2</v>
      </c>
      <c r="Q182" s="19">
        <f t="shared" si="22"/>
        <v>1</v>
      </c>
      <c r="R182" s="19">
        <f t="shared" si="22"/>
        <v>30</v>
      </c>
      <c r="S182" s="19">
        <f t="shared" si="22"/>
        <v>0</v>
      </c>
      <c r="T182" s="19">
        <f t="shared" si="22"/>
        <v>0</v>
      </c>
      <c r="U182" s="19">
        <f t="shared" si="21"/>
        <v>0</v>
      </c>
      <c r="V182" s="19">
        <f t="shared" si="21"/>
        <v>0</v>
      </c>
      <c r="W182" s="19">
        <f t="shared" si="21"/>
        <v>1</v>
      </c>
    </row>
    <row r="183" spans="1:23" x14ac:dyDescent="0.15">
      <c r="A183" s="24" t="str">
        <f t="shared" si="17"/>
        <v>6_2-3/23&lt;lv8&gt;s4</v>
      </c>
      <c r="B183" s="19">
        <f t="shared" si="22"/>
        <v>6</v>
      </c>
      <c r="C183" s="19">
        <f t="shared" si="22"/>
        <v>2</v>
      </c>
      <c r="D183" s="19">
        <f t="shared" si="22"/>
        <v>3</v>
      </c>
      <c r="E183" s="19">
        <f t="shared" si="22"/>
        <v>23</v>
      </c>
      <c r="F183" s="19">
        <f t="shared" si="22"/>
        <v>8</v>
      </c>
      <c r="G183" s="19">
        <f t="shared" si="19"/>
        <v>1</v>
      </c>
      <c r="H183" s="19">
        <f t="shared" si="19"/>
        <v>1</v>
      </c>
      <c r="I183" s="19">
        <f t="shared" si="19"/>
        <v>0</v>
      </c>
      <c r="J183" s="19">
        <v>0</v>
      </c>
      <c r="K183" s="19">
        <f t="shared" si="22"/>
        <v>0</v>
      </c>
      <c r="L183" s="19">
        <f t="shared" si="22"/>
        <v>100</v>
      </c>
      <c r="M183" s="19">
        <f t="shared" si="22"/>
        <v>0</v>
      </c>
      <c r="N183" s="19">
        <f t="shared" si="22"/>
        <v>4</v>
      </c>
      <c r="O183" s="19">
        <f t="shared" si="22"/>
        <v>23</v>
      </c>
      <c r="P183" s="19">
        <f t="shared" si="22"/>
        <v>1</v>
      </c>
      <c r="Q183" s="19">
        <f t="shared" si="22"/>
        <v>1</v>
      </c>
      <c r="R183" s="19">
        <f t="shared" si="22"/>
        <v>30</v>
      </c>
      <c r="S183" s="19">
        <f t="shared" si="22"/>
        <v>0</v>
      </c>
      <c r="T183" s="19">
        <f t="shared" si="22"/>
        <v>0</v>
      </c>
      <c r="U183" s="19">
        <f t="shared" si="21"/>
        <v>0</v>
      </c>
      <c r="V183" s="19">
        <f t="shared" si="21"/>
        <v>0</v>
      </c>
      <c r="W183" s="19">
        <f t="shared" si="21"/>
        <v>1</v>
      </c>
    </row>
    <row r="184" spans="1:23" x14ac:dyDescent="0.15">
      <c r="A184" s="24" t="str">
        <f t="shared" si="17"/>
        <v>6_2-3/25&lt;lv8&gt;s3</v>
      </c>
      <c r="B184" s="19">
        <f t="shared" si="22"/>
        <v>6</v>
      </c>
      <c r="C184" s="19">
        <f t="shared" si="22"/>
        <v>2</v>
      </c>
      <c r="D184" s="19">
        <f t="shared" si="22"/>
        <v>3</v>
      </c>
      <c r="E184" s="19">
        <f t="shared" si="22"/>
        <v>25</v>
      </c>
      <c r="F184" s="19">
        <f t="shared" si="22"/>
        <v>8</v>
      </c>
      <c r="G184" s="19">
        <f t="shared" si="19"/>
        <v>1</v>
      </c>
      <c r="H184" s="19">
        <f t="shared" si="19"/>
        <v>1</v>
      </c>
      <c r="I184" s="19">
        <f t="shared" si="19"/>
        <v>0</v>
      </c>
      <c r="J184" s="19">
        <v>0</v>
      </c>
      <c r="K184" s="19">
        <f t="shared" si="22"/>
        <v>0</v>
      </c>
      <c r="L184" s="19">
        <f t="shared" si="22"/>
        <v>100</v>
      </c>
      <c r="M184" s="19">
        <f t="shared" si="22"/>
        <v>0</v>
      </c>
      <c r="N184" s="19">
        <f t="shared" si="22"/>
        <v>3</v>
      </c>
      <c r="O184" s="19">
        <f t="shared" si="22"/>
        <v>25</v>
      </c>
      <c r="P184" s="19">
        <f t="shared" si="22"/>
        <v>1</v>
      </c>
      <c r="Q184" s="19">
        <f t="shared" si="22"/>
        <v>1</v>
      </c>
      <c r="R184" s="19">
        <f t="shared" si="22"/>
        <v>30</v>
      </c>
      <c r="S184" s="19">
        <f t="shared" si="22"/>
        <v>0</v>
      </c>
      <c r="T184" s="19">
        <f t="shared" si="22"/>
        <v>0</v>
      </c>
      <c r="U184" s="19">
        <f t="shared" si="21"/>
        <v>0</v>
      </c>
      <c r="V184" s="19">
        <f t="shared" si="21"/>
        <v>0</v>
      </c>
      <c r="W184" s="19">
        <f t="shared" si="21"/>
        <v>1</v>
      </c>
    </row>
    <row r="185" spans="1:23" x14ac:dyDescent="0.15">
      <c r="A185" s="24" t="str">
        <f t="shared" si="17"/>
        <v>6_2-3/27&lt;lv8&gt;s1</v>
      </c>
      <c r="B185" s="19">
        <f t="shared" si="22"/>
        <v>6</v>
      </c>
      <c r="C185" s="19">
        <f t="shared" si="22"/>
        <v>2</v>
      </c>
      <c r="D185" s="19">
        <f t="shared" si="22"/>
        <v>3</v>
      </c>
      <c r="E185" s="19">
        <f t="shared" si="22"/>
        <v>27</v>
      </c>
      <c r="F185" s="19">
        <f t="shared" si="22"/>
        <v>8</v>
      </c>
      <c r="G185" s="19">
        <f t="shared" si="19"/>
        <v>1</v>
      </c>
      <c r="H185" s="19">
        <f t="shared" si="19"/>
        <v>1</v>
      </c>
      <c r="I185" s="19">
        <f t="shared" si="19"/>
        <v>0</v>
      </c>
      <c r="J185" s="19">
        <v>0</v>
      </c>
      <c r="K185" s="19">
        <f t="shared" si="22"/>
        <v>0</v>
      </c>
      <c r="L185" s="19">
        <f t="shared" si="22"/>
        <v>100</v>
      </c>
      <c r="M185" s="19">
        <f t="shared" si="22"/>
        <v>0</v>
      </c>
      <c r="N185" s="19">
        <f t="shared" si="22"/>
        <v>1</v>
      </c>
      <c r="O185" s="19">
        <f t="shared" si="22"/>
        <v>27</v>
      </c>
      <c r="P185" s="19">
        <f t="shared" si="22"/>
        <v>1</v>
      </c>
      <c r="Q185" s="19">
        <f t="shared" si="22"/>
        <v>1</v>
      </c>
      <c r="R185" s="19">
        <f t="shared" si="22"/>
        <v>30</v>
      </c>
      <c r="S185" s="19">
        <f t="shared" si="22"/>
        <v>0</v>
      </c>
      <c r="T185" s="19">
        <f t="shared" si="22"/>
        <v>0</v>
      </c>
      <c r="U185" s="19">
        <f t="shared" si="21"/>
        <v>0</v>
      </c>
      <c r="V185" s="19">
        <f t="shared" si="21"/>
        <v>0</v>
      </c>
      <c r="W185" s="19">
        <f t="shared" si="21"/>
        <v>1</v>
      </c>
    </row>
    <row r="186" spans="1:23" x14ac:dyDescent="0.15">
      <c r="A186" s="24" t="str">
        <f t="shared" si="17"/>
        <v>6_2-3/109&lt;lv8&gt;s2</v>
      </c>
      <c r="B186" s="19">
        <f t="shared" si="22"/>
        <v>6</v>
      </c>
      <c r="C186" s="19">
        <f t="shared" si="22"/>
        <v>2</v>
      </c>
      <c r="D186" s="19">
        <f t="shared" si="22"/>
        <v>3</v>
      </c>
      <c r="E186" s="19">
        <f t="shared" si="22"/>
        <v>109</v>
      </c>
      <c r="F186" s="19">
        <f t="shared" si="22"/>
        <v>8</v>
      </c>
      <c r="G186" s="19">
        <f t="shared" si="19"/>
        <v>1</v>
      </c>
      <c r="H186" s="19">
        <f t="shared" si="19"/>
        <v>1</v>
      </c>
      <c r="I186" s="19">
        <f t="shared" si="19"/>
        <v>0</v>
      </c>
      <c r="J186" s="19">
        <v>0</v>
      </c>
      <c r="K186" s="19">
        <f t="shared" si="22"/>
        <v>0</v>
      </c>
      <c r="L186" s="19">
        <f t="shared" si="22"/>
        <v>50</v>
      </c>
      <c r="M186" s="19">
        <f t="shared" si="22"/>
        <v>0</v>
      </c>
      <c r="N186" s="19">
        <f t="shared" si="22"/>
        <v>2</v>
      </c>
      <c r="O186" s="19">
        <f t="shared" si="22"/>
        <v>109</v>
      </c>
      <c r="P186" s="19">
        <f t="shared" si="22"/>
        <v>1</v>
      </c>
      <c r="Q186" s="19">
        <f t="shared" si="22"/>
        <v>2</v>
      </c>
      <c r="R186" s="19">
        <f t="shared" si="22"/>
        <v>20</v>
      </c>
      <c r="S186" s="19">
        <f t="shared" si="22"/>
        <v>0</v>
      </c>
      <c r="T186" s="19">
        <f t="shared" si="22"/>
        <v>0</v>
      </c>
      <c r="U186" s="19">
        <f t="shared" si="21"/>
        <v>0</v>
      </c>
      <c r="V186" s="19">
        <f t="shared" si="21"/>
        <v>0</v>
      </c>
      <c r="W186" s="19">
        <f t="shared" si="21"/>
        <v>1</v>
      </c>
    </row>
    <row r="187" spans="1:23" x14ac:dyDescent="0.15">
      <c r="A187" s="24" t="str">
        <f t="shared" si="17"/>
        <v>6_2-3/113&lt;lv8&gt;s1</v>
      </c>
      <c r="B187" s="19">
        <f t="shared" si="22"/>
        <v>6</v>
      </c>
      <c r="C187" s="19">
        <f t="shared" si="22"/>
        <v>2</v>
      </c>
      <c r="D187" s="19">
        <f t="shared" si="22"/>
        <v>3</v>
      </c>
      <c r="E187" s="19">
        <f t="shared" si="22"/>
        <v>113</v>
      </c>
      <c r="F187" s="19">
        <f t="shared" si="22"/>
        <v>8</v>
      </c>
      <c r="G187" s="19">
        <f t="shared" si="19"/>
        <v>1</v>
      </c>
      <c r="H187" s="19">
        <f t="shared" si="19"/>
        <v>1</v>
      </c>
      <c r="I187" s="19">
        <f t="shared" si="19"/>
        <v>0</v>
      </c>
      <c r="J187" s="19">
        <v>0</v>
      </c>
      <c r="K187" s="19">
        <f t="shared" si="22"/>
        <v>0</v>
      </c>
      <c r="L187" s="19">
        <f t="shared" si="22"/>
        <v>50</v>
      </c>
      <c r="M187" s="19">
        <f t="shared" si="22"/>
        <v>0</v>
      </c>
      <c r="N187" s="19">
        <f t="shared" si="22"/>
        <v>1</v>
      </c>
      <c r="O187" s="19">
        <f t="shared" si="22"/>
        <v>113</v>
      </c>
      <c r="P187" s="19">
        <f t="shared" si="22"/>
        <v>1</v>
      </c>
      <c r="Q187" s="19">
        <f t="shared" si="22"/>
        <v>2</v>
      </c>
      <c r="R187" s="19">
        <f t="shared" si="22"/>
        <v>20</v>
      </c>
      <c r="S187" s="19">
        <f t="shared" si="22"/>
        <v>0</v>
      </c>
      <c r="T187" s="19">
        <f t="shared" si="22"/>
        <v>0</v>
      </c>
      <c r="U187" s="19">
        <f t="shared" si="21"/>
        <v>0</v>
      </c>
      <c r="V187" s="19">
        <f t="shared" si="21"/>
        <v>0</v>
      </c>
      <c r="W187" s="19">
        <f t="shared" si="21"/>
        <v>1</v>
      </c>
    </row>
    <row r="188" spans="1:23" x14ac:dyDescent="0.15">
      <c r="A188" s="24" t="str">
        <f t="shared" si="17"/>
        <v>6_2-4/47&lt;lv10&gt;s1</v>
      </c>
      <c r="B188" s="19">
        <f t="shared" si="22"/>
        <v>6</v>
      </c>
      <c r="C188" s="19">
        <f t="shared" si="22"/>
        <v>2</v>
      </c>
      <c r="D188" s="19">
        <f t="shared" si="22"/>
        <v>4</v>
      </c>
      <c r="E188" s="19">
        <f t="shared" si="22"/>
        <v>47</v>
      </c>
      <c r="F188" s="19">
        <f t="shared" si="22"/>
        <v>10</v>
      </c>
      <c r="G188" s="19">
        <f t="shared" si="19"/>
        <v>1</v>
      </c>
      <c r="H188" s="19">
        <f t="shared" si="19"/>
        <v>1</v>
      </c>
      <c r="I188" s="19">
        <f t="shared" si="19"/>
        <v>0</v>
      </c>
      <c r="J188" s="19">
        <v>0</v>
      </c>
      <c r="K188" s="19">
        <f t="shared" si="22"/>
        <v>1</v>
      </c>
      <c r="L188" s="19">
        <f t="shared" si="22"/>
        <v>100</v>
      </c>
      <c r="M188" s="19">
        <f t="shared" si="22"/>
        <v>1</v>
      </c>
      <c r="N188" s="19">
        <f t="shared" si="22"/>
        <v>1</v>
      </c>
      <c r="O188" s="19">
        <f t="shared" si="22"/>
        <v>47</v>
      </c>
      <c r="P188" s="19">
        <f t="shared" si="22"/>
        <v>1</v>
      </c>
      <c r="Q188" s="19">
        <f t="shared" si="22"/>
        <v>2</v>
      </c>
      <c r="R188" s="19">
        <f t="shared" si="22"/>
        <v>0</v>
      </c>
      <c r="S188" s="19">
        <f t="shared" si="22"/>
        <v>0</v>
      </c>
      <c r="T188" s="19">
        <f t="shared" si="22"/>
        <v>0</v>
      </c>
      <c r="U188" s="19">
        <f t="shared" si="21"/>
        <v>0</v>
      </c>
      <c r="V188" s="19">
        <f t="shared" si="21"/>
        <v>0</v>
      </c>
      <c r="W188" s="19">
        <f t="shared" si="21"/>
        <v>1</v>
      </c>
    </row>
    <row r="189" spans="1:23" x14ac:dyDescent="0.15">
      <c r="A189" s="24" t="str">
        <f t="shared" si="17"/>
        <v>6_2-4/45&lt;lv12&gt;s3</v>
      </c>
      <c r="B189" s="19">
        <f t="shared" si="22"/>
        <v>6</v>
      </c>
      <c r="C189" s="19">
        <f t="shared" si="22"/>
        <v>2</v>
      </c>
      <c r="D189" s="19">
        <f t="shared" si="22"/>
        <v>4</v>
      </c>
      <c r="E189" s="19">
        <f t="shared" si="22"/>
        <v>45</v>
      </c>
      <c r="F189" s="19">
        <f t="shared" si="22"/>
        <v>12</v>
      </c>
      <c r="G189" s="19">
        <f t="shared" si="19"/>
        <v>1</v>
      </c>
      <c r="H189" s="19">
        <f t="shared" si="19"/>
        <v>1</v>
      </c>
      <c r="I189" s="19">
        <f t="shared" si="19"/>
        <v>0</v>
      </c>
      <c r="J189" s="19">
        <v>0</v>
      </c>
      <c r="K189" s="19">
        <f t="shared" si="22"/>
        <v>1</v>
      </c>
      <c r="L189" s="19">
        <f t="shared" si="22"/>
        <v>100</v>
      </c>
      <c r="M189" s="19">
        <f t="shared" si="22"/>
        <v>0</v>
      </c>
      <c r="N189" s="19">
        <f t="shared" si="22"/>
        <v>3</v>
      </c>
      <c r="O189" s="19">
        <f t="shared" si="22"/>
        <v>45</v>
      </c>
      <c r="P189" s="19">
        <f t="shared" si="22"/>
        <v>1</v>
      </c>
      <c r="Q189" s="19">
        <f t="shared" si="22"/>
        <v>2</v>
      </c>
      <c r="R189" s="19">
        <f t="shared" si="22"/>
        <v>0</v>
      </c>
      <c r="S189" s="19">
        <f t="shared" si="22"/>
        <v>0</v>
      </c>
      <c r="T189" s="19">
        <f t="shared" si="22"/>
        <v>0</v>
      </c>
      <c r="U189" s="19">
        <f t="shared" si="21"/>
        <v>0</v>
      </c>
      <c r="V189" s="19">
        <f t="shared" si="21"/>
        <v>0</v>
      </c>
      <c r="W189" s="19">
        <f t="shared" si="21"/>
        <v>1</v>
      </c>
    </row>
    <row r="190" spans="1:23" x14ac:dyDescent="0.15">
      <c r="A190" s="24" t="str">
        <f t="shared" si="17"/>
        <v>6_3-1/1&lt;lv9&gt;s1</v>
      </c>
      <c r="B190" s="19">
        <f t="shared" si="22"/>
        <v>6</v>
      </c>
      <c r="C190" s="19">
        <f t="shared" si="22"/>
        <v>3</v>
      </c>
      <c r="D190" s="19">
        <f t="shared" si="22"/>
        <v>1</v>
      </c>
      <c r="E190" s="19">
        <f t="shared" si="22"/>
        <v>1</v>
      </c>
      <c r="F190" s="19">
        <f t="shared" si="22"/>
        <v>9</v>
      </c>
      <c r="G190" s="19">
        <f t="shared" si="19"/>
        <v>1</v>
      </c>
      <c r="H190" s="19">
        <f t="shared" si="19"/>
        <v>1</v>
      </c>
      <c r="I190" s="19">
        <f t="shared" si="19"/>
        <v>0</v>
      </c>
      <c r="J190" s="19">
        <v>0</v>
      </c>
      <c r="K190" s="19">
        <f t="shared" si="22"/>
        <v>0</v>
      </c>
      <c r="L190" s="19">
        <f t="shared" si="22"/>
        <v>100</v>
      </c>
      <c r="M190" s="19">
        <f t="shared" si="22"/>
        <v>0</v>
      </c>
      <c r="N190" s="19">
        <f t="shared" si="22"/>
        <v>1</v>
      </c>
      <c r="O190" s="19">
        <f t="shared" si="22"/>
        <v>1</v>
      </c>
      <c r="P190" s="19">
        <f t="shared" si="22"/>
        <v>4</v>
      </c>
      <c r="Q190" s="19">
        <f t="shared" si="22"/>
        <v>1</v>
      </c>
      <c r="R190" s="19">
        <f t="shared" si="22"/>
        <v>30</v>
      </c>
      <c r="S190" s="19">
        <f t="shared" si="22"/>
        <v>0</v>
      </c>
      <c r="T190" s="19">
        <f t="shared" si="22"/>
        <v>0</v>
      </c>
      <c r="U190" s="19">
        <f t="shared" si="21"/>
        <v>0</v>
      </c>
      <c r="V190" s="19">
        <f t="shared" si="21"/>
        <v>0</v>
      </c>
      <c r="W190" s="19">
        <f t="shared" si="21"/>
        <v>1</v>
      </c>
    </row>
    <row r="191" spans="1:23" x14ac:dyDescent="0.15">
      <c r="A191" s="24" t="str">
        <f t="shared" si="17"/>
        <v>6_3-1/3&lt;lv9&gt;s2</v>
      </c>
      <c r="B191" s="19">
        <f t="shared" si="22"/>
        <v>6</v>
      </c>
      <c r="C191" s="19">
        <f t="shared" si="22"/>
        <v>3</v>
      </c>
      <c r="D191" s="19">
        <f t="shared" si="22"/>
        <v>1</v>
      </c>
      <c r="E191" s="19">
        <f t="shared" si="22"/>
        <v>3</v>
      </c>
      <c r="F191" s="19">
        <f t="shared" si="22"/>
        <v>9</v>
      </c>
      <c r="G191" s="19">
        <f t="shared" si="19"/>
        <v>1</v>
      </c>
      <c r="H191" s="19">
        <f t="shared" si="19"/>
        <v>1</v>
      </c>
      <c r="I191" s="19">
        <f t="shared" si="19"/>
        <v>0</v>
      </c>
      <c r="J191" s="19">
        <v>0</v>
      </c>
      <c r="K191" s="19">
        <f t="shared" si="22"/>
        <v>0</v>
      </c>
      <c r="L191" s="19">
        <f t="shared" si="22"/>
        <v>100</v>
      </c>
      <c r="M191" s="19">
        <f t="shared" si="22"/>
        <v>0</v>
      </c>
      <c r="N191" s="19">
        <f t="shared" si="22"/>
        <v>2</v>
      </c>
      <c r="O191" s="19">
        <f t="shared" si="22"/>
        <v>3</v>
      </c>
      <c r="P191" s="19">
        <f t="shared" si="22"/>
        <v>4</v>
      </c>
      <c r="Q191" s="19">
        <f t="shared" si="22"/>
        <v>1</v>
      </c>
      <c r="R191" s="19">
        <f t="shared" si="22"/>
        <v>30</v>
      </c>
      <c r="S191" s="19">
        <f t="shared" si="22"/>
        <v>0</v>
      </c>
      <c r="T191" s="19">
        <f t="shared" si="22"/>
        <v>0</v>
      </c>
      <c r="U191" s="19">
        <f t="shared" si="21"/>
        <v>0</v>
      </c>
      <c r="V191" s="19">
        <f t="shared" si="21"/>
        <v>0</v>
      </c>
      <c r="W191" s="19">
        <f t="shared" si="21"/>
        <v>1</v>
      </c>
    </row>
    <row r="192" spans="1:23" x14ac:dyDescent="0.15">
      <c r="A192" s="24" t="str">
        <f t="shared" si="17"/>
        <v>6_3-1/5&lt;lv9&gt;s3</v>
      </c>
      <c r="B192" s="19">
        <f t="shared" si="22"/>
        <v>6</v>
      </c>
      <c r="C192" s="19">
        <f t="shared" si="22"/>
        <v>3</v>
      </c>
      <c r="D192" s="19">
        <f t="shared" si="22"/>
        <v>1</v>
      </c>
      <c r="E192" s="19">
        <f t="shared" si="22"/>
        <v>5</v>
      </c>
      <c r="F192" s="19">
        <f t="shared" si="22"/>
        <v>9</v>
      </c>
      <c r="G192" s="19">
        <f t="shared" si="19"/>
        <v>1</v>
      </c>
      <c r="H192" s="19">
        <f t="shared" si="19"/>
        <v>1</v>
      </c>
      <c r="I192" s="19">
        <f t="shared" si="19"/>
        <v>0</v>
      </c>
      <c r="J192" s="19">
        <v>0</v>
      </c>
      <c r="K192" s="19">
        <f t="shared" si="22"/>
        <v>0</v>
      </c>
      <c r="L192" s="19">
        <f t="shared" si="22"/>
        <v>100</v>
      </c>
      <c r="M192" s="19">
        <f t="shared" si="22"/>
        <v>0</v>
      </c>
      <c r="N192" s="19">
        <f t="shared" si="22"/>
        <v>3</v>
      </c>
      <c r="O192" s="19">
        <f t="shared" si="22"/>
        <v>5</v>
      </c>
      <c r="P192" s="19">
        <f t="shared" si="22"/>
        <v>4</v>
      </c>
      <c r="Q192" s="19">
        <f t="shared" si="22"/>
        <v>1</v>
      </c>
      <c r="R192" s="19">
        <f t="shared" si="22"/>
        <v>30</v>
      </c>
      <c r="S192" s="19">
        <f t="shared" si="22"/>
        <v>0</v>
      </c>
      <c r="T192" s="19">
        <f t="shared" si="22"/>
        <v>0</v>
      </c>
      <c r="U192" s="19">
        <f t="shared" si="21"/>
        <v>0</v>
      </c>
      <c r="V192" s="19">
        <f t="shared" si="21"/>
        <v>0</v>
      </c>
      <c r="W192" s="19">
        <f t="shared" si="21"/>
        <v>1</v>
      </c>
    </row>
    <row r="193" spans="1:23" x14ac:dyDescent="0.15">
      <c r="A193" s="24" t="str">
        <f t="shared" si="17"/>
        <v>6_3-1/7&lt;lv9&gt;s2</v>
      </c>
      <c r="B193" s="19">
        <f t="shared" si="22"/>
        <v>6</v>
      </c>
      <c r="C193" s="19">
        <f t="shared" si="22"/>
        <v>3</v>
      </c>
      <c r="D193" s="19">
        <f t="shared" si="22"/>
        <v>1</v>
      </c>
      <c r="E193" s="19">
        <f t="shared" si="22"/>
        <v>7</v>
      </c>
      <c r="F193" s="19">
        <f t="shared" si="22"/>
        <v>9</v>
      </c>
      <c r="G193" s="19">
        <f t="shared" si="19"/>
        <v>1</v>
      </c>
      <c r="H193" s="19">
        <f t="shared" si="19"/>
        <v>1</v>
      </c>
      <c r="I193" s="19">
        <f t="shared" si="19"/>
        <v>0</v>
      </c>
      <c r="J193" s="19">
        <v>0</v>
      </c>
      <c r="K193" s="19">
        <f t="shared" si="22"/>
        <v>0</v>
      </c>
      <c r="L193" s="19">
        <f t="shared" si="22"/>
        <v>100</v>
      </c>
      <c r="M193" s="19">
        <f t="shared" si="22"/>
        <v>0</v>
      </c>
      <c r="N193" s="19">
        <f t="shared" si="22"/>
        <v>2</v>
      </c>
      <c r="O193" s="19">
        <f t="shared" si="22"/>
        <v>7</v>
      </c>
      <c r="P193" s="19">
        <f t="shared" si="22"/>
        <v>4</v>
      </c>
      <c r="Q193" s="19">
        <f t="shared" si="22"/>
        <v>1</v>
      </c>
      <c r="R193" s="19">
        <f t="shared" si="22"/>
        <v>30</v>
      </c>
      <c r="S193" s="19">
        <f t="shared" si="22"/>
        <v>0</v>
      </c>
      <c r="T193" s="19">
        <f t="shared" si="22"/>
        <v>0</v>
      </c>
      <c r="U193" s="19">
        <f t="shared" si="21"/>
        <v>0</v>
      </c>
      <c r="V193" s="19">
        <f t="shared" si="21"/>
        <v>0</v>
      </c>
      <c r="W193" s="19">
        <f t="shared" si="21"/>
        <v>1</v>
      </c>
    </row>
    <row r="194" spans="1:23" x14ac:dyDescent="0.15">
      <c r="A194" s="24" t="str">
        <f t="shared" si="17"/>
        <v>6_3-2/9&lt;lv9&gt;s2</v>
      </c>
      <c r="B194" s="19">
        <f t="shared" si="22"/>
        <v>6</v>
      </c>
      <c r="C194" s="19">
        <f t="shared" si="22"/>
        <v>3</v>
      </c>
      <c r="D194" s="19">
        <f t="shared" si="22"/>
        <v>2</v>
      </c>
      <c r="E194" s="19">
        <f t="shared" si="22"/>
        <v>9</v>
      </c>
      <c r="F194" s="19">
        <f t="shared" ref="B194:T210" si="23">VLOOKUP($A194,OFFSET(INDIRECT($C$1&amp;"!$A1"),0,0,COUNTA(INDIRECT($C$1&amp;"!$A:$A"))+1,MATCH(F$2,INDIRECT($C$1&amp;"!"&amp;$B$1),0)-MATCH($A$2,INDIRECT($C$1&amp;"!"&amp;$B$1),0)+1),MATCH(F$2,INDIRECT($C$1&amp;"!"&amp;$B$1),0)-MATCH($A$2,INDIRECT($C$1&amp;"!"&amp;$B$1),0)+1,FALSE)</f>
        <v>9</v>
      </c>
      <c r="G194" s="19">
        <f t="shared" si="19"/>
        <v>1</v>
      </c>
      <c r="H194" s="19">
        <f t="shared" si="19"/>
        <v>1</v>
      </c>
      <c r="I194" s="19">
        <f t="shared" si="19"/>
        <v>0</v>
      </c>
      <c r="J194" s="19">
        <v>0</v>
      </c>
      <c r="K194" s="19">
        <f t="shared" si="23"/>
        <v>0</v>
      </c>
      <c r="L194" s="19">
        <f t="shared" si="23"/>
        <v>100</v>
      </c>
      <c r="M194" s="19">
        <f t="shared" si="23"/>
        <v>0</v>
      </c>
      <c r="N194" s="19">
        <f t="shared" si="23"/>
        <v>2</v>
      </c>
      <c r="O194" s="19">
        <f t="shared" si="23"/>
        <v>9</v>
      </c>
      <c r="P194" s="19">
        <f t="shared" si="23"/>
        <v>2</v>
      </c>
      <c r="Q194" s="19">
        <f t="shared" si="23"/>
        <v>1</v>
      </c>
      <c r="R194" s="19">
        <f t="shared" si="23"/>
        <v>30</v>
      </c>
      <c r="S194" s="19">
        <f t="shared" si="23"/>
        <v>0</v>
      </c>
      <c r="T194" s="19">
        <f t="shared" si="23"/>
        <v>0</v>
      </c>
      <c r="U194" s="19">
        <f t="shared" si="21"/>
        <v>0</v>
      </c>
      <c r="V194" s="19">
        <f t="shared" si="21"/>
        <v>0</v>
      </c>
      <c r="W194" s="19">
        <f t="shared" si="21"/>
        <v>1</v>
      </c>
    </row>
    <row r="195" spans="1:23" x14ac:dyDescent="0.15">
      <c r="A195" s="24" t="str">
        <f t="shared" si="17"/>
        <v>6_3-2/11&lt;lv9&gt;s3</v>
      </c>
      <c r="B195" s="19">
        <f t="shared" si="23"/>
        <v>6</v>
      </c>
      <c r="C195" s="19">
        <f t="shared" si="23"/>
        <v>3</v>
      </c>
      <c r="D195" s="19">
        <f t="shared" si="23"/>
        <v>2</v>
      </c>
      <c r="E195" s="19">
        <f t="shared" si="23"/>
        <v>11</v>
      </c>
      <c r="F195" s="19">
        <f t="shared" si="23"/>
        <v>9</v>
      </c>
      <c r="G195" s="19">
        <f t="shared" si="19"/>
        <v>1</v>
      </c>
      <c r="H195" s="19">
        <f t="shared" si="19"/>
        <v>1</v>
      </c>
      <c r="I195" s="19">
        <f t="shared" si="19"/>
        <v>0</v>
      </c>
      <c r="J195" s="19">
        <v>0</v>
      </c>
      <c r="K195" s="19">
        <f t="shared" si="23"/>
        <v>0</v>
      </c>
      <c r="L195" s="19">
        <f t="shared" si="23"/>
        <v>100</v>
      </c>
      <c r="M195" s="19">
        <f t="shared" si="23"/>
        <v>0</v>
      </c>
      <c r="N195" s="19">
        <f t="shared" si="23"/>
        <v>3</v>
      </c>
      <c r="O195" s="19">
        <f t="shared" si="23"/>
        <v>11</v>
      </c>
      <c r="P195" s="19">
        <f t="shared" si="23"/>
        <v>2</v>
      </c>
      <c r="Q195" s="19">
        <f t="shared" si="23"/>
        <v>1</v>
      </c>
      <c r="R195" s="19">
        <f t="shared" si="23"/>
        <v>30</v>
      </c>
      <c r="S195" s="19">
        <f t="shared" si="23"/>
        <v>0</v>
      </c>
      <c r="T195" s="19">
        <f t="shared" si="23"/>
        <v>0</v>
      </c>
      <c r="U195" s="19">
        <f t="shared" si="21"/>
        <v>0</v>
      </c>
      <c r="V195" s="19">
        <f t="shared" si="21"/>
        <v>0</v>
      </c>
      <c r="W195" s="19">
        <f t="shared" si="21"/>
        <v>1</v>
      </c>
    </row>
    <row r="196" spans="1:23" x14ac:dyDescent="0.15">
      <c r="A196" s="24" t="str">
        <f t="shared" ref="A196:A259" si="24">INDIRECT(ADDRESS(ROW()+$A$1,COLUMN(),1,TRUE,$C$1))</f>
        <v>6_3-2/13&lt;lv9&gt;s2</v>
      </c>
      <c r="B196" s="19">
        <f t="shared" si="23"/>
        <v>6</v>
      </c>
      <c r="C196" s="19">
        <f t="shared" si="23"/>
        <v>3</v>
      </c>
      <c r="D196" s="19">
        <f t="shared" si="23"/>
        <v>2</v>
      </c>
      <c r="E196" s="19">
        <f t="shared" si="23"/>
        <v>13</v>
      </c>
      <c r="F196" s="19">
        <f t="shared" si="23"/>
        <v>9</v>
      </c>
      <c r="G196" s="19">
        <f t="shared" si="19"/>
        <v>1</v>
      </c>
      <c r="H196" s="19">
        <f t="shared" si="19"/>
        <v>1</v>
      </c>
      <c r="I196" s="19">
        <f t="shared" si="19"/>
        <v>0</v>
      </c>
      <c r="J196" s="19">
        <v>0</v>
      </c>
      <c r="K196" s="19">
        <f t="shared" si="23"/>
        <v>0</v>
      </c>
      <c r="L196" s="19">
        <f t="shared" si="23"/>
        <v>100</v>
      </c>
      <c r="M196" s="19">
        <f t="shared" si="23"/>
        <v>0</v>
      </c>
      <c r="N196" s="19">
        <f t="shared" si="23"/>
        <v>2</v>
      </c>
      <c r="O196" s="19">
        <f t="shared" si="23"/>
        <v>13</v>
      </c>
      <c r="P196" s="19">
        <f t="shared" si="23"/>
        <v>2</v>
      </c>
      <c r="Q196" s="19">
        <f t="shared" si="23"/>
        <v>1</v>
      </c>
      <c r="R196" s="19">
        <f t="shared" si="23"/>
        <v>30</v>
      </c>
      <c r="S196" s="19">
        <f t="shared" si="23"/>
        <v>0</v>
      </c>
      <c r="T196" s="19">
        <f t="shared" si="23"/>
        <v>0</v>
      </c>
      <c r="U196" s="19">
        <f t="shared" si="21"/>
        <v>0</v>
      </c>
      <c r="V196" s="19">
        <f t="shared" si="21"/>
        <v>0</v>
      </c>
      <c r="W196" s="19">
        <f t="shared" si="21"/>
        <v>1</v>
      </c>
    </row>
    <row r="197" spans="1:23" x14ac:dyDescent="0.15">
      <c r="A197" s="24" t="str">
        <f t="shared" si="24"/>
        <v>6_3-2/15&lt;lv9&gt;s3</v>
      </c>
      <c r="B197" s="19">
        <f t="shared" si="23"/>
        <v>6</v>
      </c>
      <c r="C197" s="19">
        <f t="shared" si="23"/>
        <v>3</v>
      </c>
      <c r="D197" s="19">
        <f t="shared" si="23"/>
        <v>2</v>
      </c>
      <c r="E197" s="19">
        <f t="shared" si="23"/>
        <v>15</v>
      </c>
      <c r="F197" s="19">
        <f t="shared" si="23"/>
        <v>9</v>
      </c>
      <c r="G197" s="19">
        <f t="shared" si="19"/>
        <v>1</v>
      </c>
      <c r="H197" s="19">
        <f t="shared" si="19"/>
        <v>1</v>
      </c>
      <c r="I197" s="19">
        <f t="shared" si="19"/>
        <v>0</v>
      </c>
      <c r="J197" s="19">
        <v>0</v>
      </c>
      <c r="K197" s="19">
        <f t="shared" si="23"/>
        <v>0</v>
      </c>
      <c r="L197" s="19">
        <f t="shared" si="23"/>
        <v>100</v>
      </c>
      <c r="M197" s="19">
        <f t="shared" si="23"/>
        <v>0</v>
      </c>
      <c r="N197" s="19">
        <f t="shared" si="23"/>
        <v>3</v>
      </c>
      <c r="O197" s="19">
        <f t="shared" si="23"/>
        <v>15</v>
      </c>
      <c r="P197" s="19">
        <f t="shared" si="23"/>
        <v>2</v>
      </c>
      <c r="Q197" s="19">
        <f t="shared" si="23"/>
        <v>1</v>
      </c>
      <c r="R197" s="19">
        <f t="shared" si="23"/>
        <v>30</v>
      </c>
      <c r="S197" s="19">
        <f t="shared" si="23"/>
        <v>0</v>
      </c>
      <c r="T197" s="19">
        <f t="shared" si="23"/>
        <v>0</v>
      </c>
      <c r="U197" s="19">
        <f t="shared" si="21"/>
        <v>0</v>
      </c>
      <c r="V197" s="19">
        <f t="shared" si="21"/>
        <v>0</v>
      </c>
      <c r="W197" s="19">
        <f t="shared" si="21"/>
        <v>1</v>
      </c>
    </row>
    <row r="198" spans="1:23" x14ac:dyDescent="0.15">
      <c r="A198" s="24" t="str">
        <f t="shared" si="24"/>
        <v>6_3-2/17&lt;lv9&gt;s2</v>
      </c>
      <c r="B198" s="19">
        <f t="shared" si="23"/>
        <v>6</v>
      </c>
      <c r="C198" s="19">
        <f t="shared" si="23"/>
        <v>3</v>
      </c>
      <c r="D198" s="19">
        <f t="shared" si="23"/>
        <v>2</v>
      </c>
      <c r="E198" s="19">
        <f t="shared" si="23"/>
        <v>17</v>
      </c>
      <c r="F198" s="19">
        <f t="shared" si="23"/>
        <v>9</v>
      </c>
      <c r="G198" s="19">
        <f t="shared" si="19"/>
        <v>1</v>
      </c>
      <c r="H198" s="19">
        <f t="shared" si="19"/>
        <v>1</v>
      </c>
      <c r="I198" s="19">
        <f t="shared" si="19"/>
        <v>0</v>
      </c>
      <c r="J198" s="19">
        <v>0</v>
      </c>
      <c r="K198" s="19">
        <f t="shared" si="23"/>
        <v>0</v>
      </c>
      <c r="L198" s="19">
        <f t="shared" si="23"/>
        <v>100</v>
      </c>
      <c r="M198" s="19">
        <f t="shared" si="23"/>
        <v>0</v>
      </c>
      <c r="N198" s="19">
        <f t="shared" si="23"/>
        <v>2</v>
      </c>
      <c r="O198" s="19">
        <f t="shared" si="23"/>
        <v>17</v>
      </c>
      <c r="P198" s="19">
        <f t="shared" si="23"/>
        <v>2</v>
      </c>
      <c r="Q198" s="19">
        <f t="shared" si="23"/>
        <v>1</v>
      </c>
      <c r="R198" s="19">
        <f t="shared" si="23"/>
        <v>30</v>
      </c>
      <c r="S198" s="19">
        <f t="shared" si="23"/>
        <v>0</v>
      </c>
      <c r="T198" s="19">
        <f t="shared" si="23"/>
        <v>0</v>
      </c>
      <c r="U198" s="19">
        <f t="shared" si="21"/>
        <v>0</v>
      </c>
      <c r="V198" s="19">
        <f t="shared" si="21"/>
        <v>0</v>
      </c>
      <c r="W198" s="19">
        <f t="shared" si="21"/>
        <v>1</v>
      </c>
    </row>
    <row r="199" spans="1:23" x14ac:dyDescent="0.15">
      <c r="A199" s="24" t="str">
        <f t="shared" si="24"/>
        <v>6_3-2/19&lt;lv9&gt;s3</v>
      </c>
      <c r="B199" s="19">
        <f t="shared" si="23"/>
        <v>6</v>
      </c>
      <c r="C199" s="19">
        <f t="shared" si="23"/>
        <v>3</v>
      </c>
      <c r="D199" s="19">
        <f t="shared" si="23"/>
        <v>2</v>
      </c>
      <c r="E199" s="19">
        <f t="shared" si="23"/>
        <v>19</v>
      </c>
      <c r="F199" s="19">
        <f t="shared" si="23"/>
        <v>9</v>
      </c>
      <c r="G199" s="19">
        <f t="shared" si="19"/>
        <v>1</v>
      </c>
      <c r="H199" s="19">
        <f t="shared" si="19"/>
        <v>1</v>
      </c>
      <c r="I199" s="19">
        <f t="shared" si="19"/>
        <v>0</v>
      </c>
      <c r="J199" s="19">
        <v>0</v>
      </c>
      <c r="K199" s="19">
        <f t="shared" si="23"/>
        <v>0</v>
      </c>
      <c r="L199" s="19">
        <f t="shared" si="23"/>
        <v>100</v>
      </c>
      <c r="M199" s="19">
        <f t="shared" si="23"/>
        <v>0</v>
      </c>
      <c r="N199" s="19">
        <f t="shared" si="23"/>
        <v>3</v>
      </c>
      <c r="O199" s="19">
        <f t="shared" si="23"/>
        <v>19</v>
      </c>
      <c r="P199" s="19">
        <f t="shared" si="23"/>
        <v>2</v>
      </c>
      <c r="Q199" s="19">
        <f t="shared" si="23"/>
        <v>1</v>
      </c>
      <c r="R199" s="19">
        <f t="shared" si="23"/>
        <v>30</v>
      </c>
      <c r="S199" s="19">
        <f t="shared" si="23"/>
        <v>0</v>
      </c>
      <c r="T199" s="19">
        <f t="shared" si="23"/>
        <v>0</v>
      </c>
      <c r="U199" s="19">
        <f t="shared" si="21"/>
        <v>0</v>
      </c>
      <c r="V199" s="19">
        <f t="shared" si="21"/>
        <v>0</v>
      </c>
      <c r="W199" s="19">
        <f t="shared" si="21"/>
        <v>1</v>
      </c>
    </row>
    <row r="200" spans="1:23" x14ac:dyDescent="0.15">
      <c r="A200" s="24" t="str">
        <f t="shared" si="24"/>
        <v>6_3-2/101&lt;lv9&gt;s1</v>
      </c>
      <c r="B200" s="19">
        <f t="shared" si="23"/>
        <v>6</v>
      </c>
      <c r="C200" s="19">
        <f t="shared" si="23"/>
        <v>3</v>
      </c>
      <c r="D200" s="19">
        <f t="shared" si="23"/>
        <v>2</v>
      </c>
      <c r="E200" s="19">
        <f t="shared" si="23"/>
        <v>101</v>
      </c>
      <c r="F200" s="19">
        <f t="shared" si="23"/>
        <v>9</v>
      </c>
      <c r="G200" s="19">
        <f t="shared" si="19"/>
        <v>1</v>
      </c>
      <c r="H200" s="19">
        <f t="shared" si="19"/>
        <v>1</v>
      </c>
      <c r="I200" s="19">
        <f t="shared" si="19"/>
        <v>0</v>
      </c>
      <c r="J200" s="19">
        <v>0</v>
      </c>
      <c r="K200" s="19">
        <f t="shared" si="23"/>
        <v>0</v>
      </c>
      <c r="L200" s="19">
        <f t="shared" si="23"/>
        <v>50</v>
      </c>
      <c r="M200" s="19">
        <f t="shared" si="23"/>
        <v>0</v>
      </c>
      <c r="N200" s="19">
        <f t="shared" si="23"/>
        <v>1</v>
      </c>
      <c r="O200" s="19">
        <f t="shared" si="23"/>
        <v>101</v>
      </c>
      <c r="P200" s="19">
        <f t="shared" si="23"/>
        <v>1</v>
      </c>
      <c r="Q200" s="19">
        <f t="shared" si="23"/>
        <v>2</v>
      </c>
      <c r="R200" s="19">
        <f t="shared" si="23"/>
        <v>20</v>
      </c>
      <c r="S200" s="19">
        <f t="shared" si="23"/>
        <v>0</v>
      </c>
      <c r="T200" s="19">
        <f t="shared" si="23"/>
        <v>0</v>
      </c>
      <c r="U200" s="19">
        <f t="shared" si="21"/>
        <v>0</v>
      </c>
      <c r="V200" s="19">
        <f t="shared" si="21"/>
        <v>0</v>
      </c>
      <c r="W200" s="19">
        <f t="shared" si="21"/>
        <v>1</v>
      </c>
    </row>
    <row r="201" spans="1:23" x14ac:dyDescent="0.15">
      <c r="A201" s="24" t="str">
        <f t="shared" si="24"/>
        <v>6_3-2/105&lt;lv9&gt;s1</v>
      </c>
      <c r="B201" s="19">
        <f t="shared" si="23"/>
        <v>6</v>
      </c>
      <c r="C201" s="19">
        <f t="shared" si="23"/>
        <v>3</v>
      </c>
      <c r="D201" s="19">
        <f t="shared" si="23"/>
        <v>2</v>
      </c>
      <c r="E201" s="19">
        <f t="shared" si="23"/>
        <v>105</v>
      </c>
      <c r="F201" s="19">
        <f t="shared" si="23"/>
        <v>9</v>
      </c>
      <c r="G201" s="19">
        <f t="shared" si="19"/>
        <v>1</v>
      </c>
      <c r="H201" s="19">
        <f t="shared" si="19"/>
        <v>1</v>
      </c>
      <c r="I201" s="19">
        <f t="shared" si="19"/>
        <v>0</v>
      </c>
      <c r="J201" s="19">
        <v>0</v>
      </c>
      <c r="K201" s="19">
        <f t="shared" si="23"/>
        <v>0</v>
      </c>
      <c r="L201" s="19">
        <f t="shared" si="23"/>
        <v>50</v>
      </c>
      <c r="M201" s="19">
        <f t="shared" si="23"/>
        <v>0</v>
      </c>
      <c r="N201" s="19">
        <f t="shared" si="23"/>
        <v>1</v>
      </c>
      <c r="O201" s="19">
        <f t="shared" si="23"/>
        <v>105</v>
      </c>
      <c r="P201" s="19">
        <f t="shared" si="23"/>
        <v>1</v>
      </c>
      <c r="Q201" s="19">
        <f t="shared" si="23"/>
        <v>2</v>
      </c>
      <c r="R201" s="19">
        <f t="shared" si="23"/>
        <v>20</v>
      </c>
      <c r="S201" s="19">
        <f t="shared" si="23"/>
        <v>0</v>
      </c>
      <c r="T201" s="19">
        <f t="shared" si="23"/>
        <v>0</v>
      </c>
      <c r="U201" s="19">
        <f t="shared" si="21"/>
        <v>0</v>
      </c>
      <c r="V201" s="19">
        <f t="shared" si="21"/>
        <v>0</v>
      </c>
      <c r="W201" s="19">
        <f t="shared" si="21"/>
        <v>1</v>
      </c>
    </row>
    <row r="202" spans="1:23" x14ac:dyDescent="0.15">
      <c r="A202" s="24" t="str">
        <f t="shared" si="24"/>
        <v>6_3-3/15&lt;lv10&gt;s3</v>
      </c>
      <c r="B202" s="19">
        <f t="shared" si="23"/>
        <v>6</v>
      </c>
      <c r="C202" s="19">
        <f t="shared" si="23"/>
        <v>3</v>
      </c>
      <c r="D202" s="19">
        <f t="shared" si="23"/>
        <v>3</v>
      </c>
      <c r="E202" s="19">
        <f t="shared" si="23"/>
        <v>15</v>
      </c>
      <c r="F202" s="19">
        <f t="shared" si="23"/>
        <v>10</v>
      </c>
      <c r="G202" s="19">
        <f t="shared" si="19"/>
        <v>1</v>
      </c>
      <c r="H202" s="19">
        <f t="shared" si="19"/>
        <v>1</v>
      </c>
      <c r="I202" s="19">
        <f t="shared" si="19"/>
        <v>0</v>
      </c>
      <c r="J202" s="19">
        <v>0</v>
      </c>
      <c r="K202" s="19">
        <f t="shared" si="23"/>
        <v>0</v>
      </c>
      <c r="L202" s="19">
        <f t="shared" si="23"/>
        <v>100</v>
      </c>
      <c r="M202" s="19">
        <f t="shared" si="23"/>
        <v>0</v>
      </c>
      <c r="N202" s="19">
        <f t="shared" si="23"/>
        <v>3</v>
      </c>
      <c r="O202" s="19">
        <f t="shared" si="23"/>
        <v>15</v>
      </c>
      <c r="P202" s="19">
        <f t="shared" si="23"/>
        <v>2</v>
      </c>
      <c r="Q202" s="19">
        <f t="shared" si="23"/>
        <v>1</v>
      </c>
      <c r="R202" s="19">
        <f t="shared" si="23"/>
        <v>30</v>
      </c>
      <c r="S202" s="19">
        <f t="shared" si="23"/>
        <v>0</v>
      </c>
      <c r="T202" s="19">
        <f t="shared" si="23"/>
        <v>0</v>
      </c>
      <c r="U202" s="19">
        <f t="shared" si="21"/>
        <v>0</v>
      </c>
      <c r="V202" s="19">
        <f t="shared" si="21"/>
        <v>0</v>
      </c>
      <c r="W202" s="19">
        <f t="shared" si="21"/>
        <v>1</v>
      </c>
    </row>
    <row r="203" spans="1:23" x14ac:dyDescent="0.15">
      <c r="A203" s="24" t="str">
        <f t="shared" si="24"/>
        <v>6_3-3/17&lt;lv10&gt;s2</v>
      </c>
      <c r="B203" s="19">
        <f t="shared" si="23"/>
        <v>6</v>
      </c>
      <c r="C203" s="19">
        <f t="shared" si="23"/>
        <v>3</v>
      </c>
      <c r="D203" s="19">
        <f t="shared" si="23"/>
        <v>3</v>
      </c>
      <c r="E203" s="19">
        <f t="shared" si="23"/>
        <v>17</v>
      </c>
      <c r="F203" s="19">
        <f t="shared" si="23"/>
        <v>10</v>
      </c>
      <c r="G203" s="19">
        <f t="shared" si="19"/>
        <v>1</v>
      </c>
      <c r="H203" s="19">
        <f t="shared" si="19"/>
        <v>1</v>
      </c>
      <c r="I203" s="19">
        <f t="shared" si="19"/>
        <v>0</v>
      </c>
      <c r="J203" s="19">
        <v>0</v>
      </c>
      <c r="K203" s="19">
        <f t="shared" si="23"/>
        <v>0</v>
      </c>
      <c r="L203" s="19">
        <f t="shared" si="23"/>
        <v>100</v>
      </c>
      <c r="M203" s="19">
        <f t="shared" si="23"/>
        <v>0</v>
      </c>
      <c r="N203" s="19">
        <f t="shared" si="23"/>
        <v>2</v>
      </c>
      <c r="O203" s="19">
        <f t="shared" si="23"/>
        <v>17</v>
      </c>
      <c r="P203" s="19">
        <f t="shared" si="23"/>
        <v>2</v>
      </c>
      <c r="Q203" s="19">
        <f t="shared" si="23"/>
        <v>1</v>
      </c>
      <c r="R203" s="19">
        <f t="shared" si="23"/>
        <v>30</v>
      </c>
      <c r="S203" s="19">
        <f t="shared" si="23"/>
        <v>0</v>
      </c>
      <c r="T203" s="19">
        <f t="shared" si="23"/>
        <v>0</v>
      </c>
      <c r="U203" s="19">
        <f t="shared" si="21"/>
        <v>0</v>
      </c>
      <c r="V203" s="19">
        <f t="shared" si="21"/>
        <v>0</v>
      </c>
      <c r="W203" s="19">
        <f t="shared" si="21"/>
        <v>1</v>
      </c>
    </row>
    <row r="204" spans="1:23" x14ac:dyDescent="0.15">
      <c r="A204" s="24" t="str">
        <f t="shared" si="24"/>
        <v>6_3-3/19&lt;lv10&gt;s3</v>
      </c>
      <c r="B204" s="19">
        <f t="shared" si="23"/>
        <v>6</v>
      </c>
      <c r="C204" s="19">
        <f t="shared" si="23"/>
        <v>3</v>
      </c>
      <c r="D204" s="19">
        <f t="shared" si="23"/>
        <v>3</v>
      </c>
      <c r="E204" s="19">
        <f t="shared" si="23"/>
        <v>19</v>
      </c>
      <c r="F204" s="19">
        <f t="shared" si="23"/>
        <v>10</v>
      </c>
      <c r="G204" s="19">
        <f t="shared" si="19"/>
        <v>1</v>
      </c>
      <c r="H204" s="19">
        <f t="shared" si="19"/>
        <v>1</v>
      </c>
      <c r="I204" s="19">
        <f t="shared" si="19"/>
        <v>0</v>
      </c>
      <c r="J204" s="19">
        <v>0</v>
      </c>
      <c r="K204" s="19">
        <f t="shared" si="23"/>
        <v>0</v>
      </c>
      <c r="L204" s="19">
        <f t="shared" si="23"/>
        <v>100</v>
      </c>
      <c r="M204" s="19">
        <f t="shared" si="23"/>
        <v>0</v>
      </c>
      <c r="N204" s="19">
        <f t="shared" si="23"/>
        <v>3</v>
      </c>
      <c r="O204" s="19">
        <f t="shared" si="23"/>
        <v>19</v>
      </c>
      <c r="P204" s="19">
        <f t="shared" si="23"/>
        <v>2</v>
      </c>
      <c r="Q204" s="19">
        <f t="shared" si="23"/>
        <v>1</v>
      </c>
      <c r="R204" s="19">
        <f t="shared" si="23"/>
        <v>30</v>
      </c>
      <c r="S204" s="19">
        <f t="shared" si="23"/>
        <v>0</v>
      </c>
      <c r="T204" s="19">
        <f t="shared" si="23"/>
        <v>0</v>
      </c>
      <c r="U204" s="19">
        <f t="shared" si="21"/>
        <v>0</v>
      </c>
      <c r="V204" s="19">
        <f t="shared" si="21"/>
        <v>0</v>
      </c>
      <c r="W204" s="19">
        <f t="shared" si="21"/>
        <v>1</v>
      </c>
    </row>
    <row r="205" spans="1:23" x14ac:dyDescent="0.15">
      <c r="A205" s="24" t="str">
        <f t="shared" si="24"/>
        <v>6_3-3/23&lt;lv10&gt;s4</v>
      </c>
      <c r="B205" s="19">
        <f t="shared" si="23"/>
        <v>6</v>
      </c>
      <c r="C205" s="19">
        <f t="shared" si="23"/>
        <v>3</v>
      </c>
      <c r="D205" s="19">
        <f t="shared" si="23"/>
        <v>3</v>
      </c>
      <c r="E205" s="19">
        <f t="shared" si="23"/>
        <v>23</v>
      </c>
      <c r="F205" s="19">
        <f t="shared" si="23"/>
        <v>10</v>
      </c>
      <c r="G205" s="19">
        <f t="shared" si="19"/>
        <v>1</v>
      </c>
      <c r="H205" s="19">
        <f t="shared" si="19"/>
        <v>1</v>
      </c>
      <c r="I205" s="19">
        <f t="shared" si="19"/>
        <v>0</v>
      </c>
      <c r="J205" s="19">
        <v>0</v>
      </c>
      <c r="K205" s="19">
        <f t="shared" si="23"/>
        <v>0</v>
      </c>
      <c r="L205" s="19">
        <f t="shared" si="23"/>
        <v>100</v>
      </c>
      <c r="M205" s="19">
        <f t="shared" si="23"/>
        <v>0</v>
      </c>
      <c r="N205" s="19">
        <f t="shared" si="23"/>
        <v>4</v>
      </c>
      <c r="O205" s="19">
        <f t="shared" si="23"/>
        <v>23</v>
      </c>
      <c r="P205" s="19">
        <f t="shared" si="23"/>
        <v>1</v>
      </c>
      <c r="Q205" s="19">
        <f t="shared" si="23"/>
        <v>1</v>
      </c>
      <c r="R205" s="19">
        <f t="shared" si="23"/>
        <v>30</v>
      </c>
      <c r="S205" s="19">
        <f t="shared" si="23"/>
        <v>0</v>
      </c>
      <c r="T205" s="19">
        <f t="shared" si="23"/>
        <v>0</v>
      </c>
      <c r="U205" s="19">
        <f t="shared" si="21"/>
        <v>0</v>
      </c>
      <c r="V205" s="19">
        <f t="shared" si="21"/>
        <v>0</v>
      </c>
      <c r="W205" s="19">
        <f t="shared" si="21"/>
        <v>1</v>
      </c>
    </row>
    <row r="206" spans="1:23" x14ac:dyDescent="0.15">
      <c r="A206" s="24" t="str">
        <f t="shared" si="24"/>
        <v>6_3-3/25&lt;lv10&gt;s3</v>
      </c>
      <c r="B206" s="19">
        <f t="shared" si="23"/>
        <v>6</v>
      </c>
      <c r="C206" s="19">
        <f t="shared" si="23"/>
        <v>3</v>
      </c>
      <c r="D206" s="19">
        <f t="shared" si="23"/>
        <v>3</v>
      </c>
      <c r="E206" s="19">
        <f t="shared" si="23"/>
        <v>25</v>
      </c>
      <c r="F206" s="19">
        <f t="shared" si="23"/>
        <v>10</v>
      </c>
      <c r="G206" s="19">
        <f t="shared" si="19"/>
        <v>1</v>
      </c>
      <c r="H206" s="19">
        <f t="shared" si="19"/>
        <v>1</v>
      </c>
      <c r="I206" s="19">
        <f t="shared" si="19"/>
        <v>0</v>
      </c>
      <c r="J206" s="19">
        <v>0</v>
      </c>
      <c r="K206" s="19">
        <f t="shared" si="23"/>
        <v>0</v>
      </c>
      <c r="L206" s="19">
        <f t="shared" si="23"/>
        <v>100</v>
      </c>
      <c r="M206" s="19">
        <f t="shared" si="23"/>
        <v>0</v>
      </c>
      <c r="N206" s="19">
        <f t="shared" si="23"/>
        <v>3</v>
      </c>
      <c r="O206" s="19">
        <f t="shared" si="23"/>
        <v>25</v>
      </c>
      <c r="P206" s="19">
        <f t="shared" si="23"/>
        <v>1</v>
      </c>
      <c r="Q206" s="19">
        <f t="shared" si="23"/>
        <v>1</v>
      </c>
      <c r="R206" s="19">
        <f t="shared" si="23"/>
        <v>30</v>
      </c>
      <c r="S206" s="19">
        <f t="shared" si="23"/>
        <v>0</v>
      </c>
      <c r="T206" s="19">
        <f t="shared" si="23"/>
        <v>0</v>
      </c>
      <c r="U206" s="19">
        <f t="shared" si="21"/>
        <v>0</v>
      </c>
      <c r="V206" s="19">
        <f t="shared" si="21"/>
        <v>0</v>
      </c>
      <c r="W206" s="19">
        <f t="shared" si="21"/>
        <v>1</v>
      </c>
    </row>
    <row r="207" spans="1:23" x14ac:dyDescent="0.15">
      <c r="A207" s="24" t="str">
        <f t="shared" si="24"/>
        <v>6_3-3/101&lt;lv10&gt;s1</v>
      </c>
      <c r="B207" s="19">
        <f t="shared" si="23"/>
        <v>6</v>
      </c>
      <c r="C207" s="19">
        <f t="shared" si="23"/>
        <v>3</v>
      </c>
      <c r="D207" s="19">
        <f t="shared" si="23"/>
        <v>3</v>
      </c>
      <c r="E207" s="19">
        <f t="shared" si="23"/>
        <v>101</v>
      </c>
      <c r="F207" s="19">
        <f t="shared" si="23"/>
        <v>10</v>
      </c>
      <c r="G207" s="19">
        <f t="shared" si="19"/>
        <v>1</v>
      </c>
      <c r="H207" s="19">
        <f t="shared" si="19"/>
        <v>1</v>
      </c>
      <c r="I207" s="19">
        <f t="shared" si="19"/>
        <v>0</v>
      </c>
      <c r="J207" s="19">
        <v>0</v>
      </c>
      <c r="K207" s="19">
        <f t="shared" si="23"/>
        <v>0</v>
      </c>
      <c r="L207" s="19">
        <f t="shared" si="23"/>
        <v>50</v>
      </c>
      <c r="M207" s="19">
        <f t="shared" si="23"/>
        <v>0</v>
      </c>
      <c r="N207" s="19">
        <f t="shared" si="23"/>
        <v>1</v>
      </c>
      <c r="O207" s="19">
        <f t="shared" si="23"/>
        <v>101</v>
      </c>
      <c r="P207" s="19">
        <f t="shared" si="23"/>
        <v>1</v>
      </c>
      <c r="Q207" s="19">
        <f t="shared" si="23"/>
        <v>2</v>
      </c>
      <c r="R207" s="19">
        <f t="shared" si="23"/>
        <v>20</v>
      </c>
      <c r="S207" s="19">
        <f t="shared" si="23"/>
        <v>0</v>
      </c>
      <c r="T207" s="19">
        <f t="shared" si="23"/>
        <v>0</v>
      </c>
      <c r="U207" s="19">
        <f t="shared" si="21"/>
        <v>0</v>
      </c>
      <c r="V207" s="19">
        <f t="shared" si="21"/>
        <v>0</v>
      </c>
      <c r="W207" s="19">
        <f t="shared" si="21"/>
        <v>1</v>
      </c>
    </row>
    <row r="208" spans="1:23" x14ac:dyDescent="0.15">
      <c r="A208" s="24" t="str">
        <f t="shared" si="24"/>
        <v>6_3-3/105&lt;lv10&gt;s1</v>
      </c>
      <c r="B208" s="19">
        <f t="shared" si="23"/>
        <v>6</v>
      </c>
      <c r="C208" s="19">
        <f t="shared" si="23"/>
        <v>3</v>
      </c>
      <c r="D208" s="19">
        <f t="shared" si="23"/>
        <v>3</v>
      </c>
      <c r="E208" s="19">
        <f t="shared" si="23"/>
        <v>105</v>
      </c>
      <c r="F208" s="19">
        <f t="shared" si="23"/>
        <v>10</v>
      </c>
      <c r="G208" s="19">
        <f t="shared" si="19"/>
        <v>1</v>
      </c>
      <c r="H208" s="19">
        <f t="shared" si="19"/>
        <v>1</v>
      </c>
      <c r="I208" s="19">
        <f t="shared" si="19"/>
        <v>0</v>
      </c>
      <c r="J208" s="19">
        <v>0</v>
      </c>
      <c r="K208" s="19">
        <f t="shared" si="23"/>
        <v>0</v>
      </c>
      <c r="L208" s="19">
        <f t="shared" si="23"/>
        <v>50</v>
      </c>
      <c r="M208" s="19">
        <f t="shared" si="23"/>
        <v>0</v>
      </c>
      <c r="N208" s="19">
        <f t="shared" si="23"/>
        <v>1</v>
      </c>
      <c r="O208" s="19">
        <f t="shared" si="23"/>
        <v>105</v>
      </c>
      <c r="P208" s="19">
        <f t="shared" si="23"/>
        <v>1</v>
      </c>
      <c r="Q208" s="19">
        <f t="shared" si="23"/>
        <v>2</v>
      </c>
      <c r="R208" s="19">
        <f t="shared" si="23"/>
        <v>20</v>
      </c>
      <c r="S208" s="19">
        <f t="shared" si="23"/>
        <v>0</v>
      </c>
      <c r="T208" s="19">
        <f t="shared" si="23"/>
        <v>0</v>
      </c>
      <c r="U208" s="19">
        <f t="shared" si="21"/>
        <v>0</v>
      </c>
      <c r="V208" s="19">
        <f t="shared" si="21"/>
        <v>0</v>
      </c>
      <c r="W208" s="19">
        <f t="shared" si="21"/>
        <v>1</v>
      </c>
    </row>
    <row r="209" spans="1:23" x14ac:dyDescent="0.15">
      <c r="A209" s="24" t="str">
        <f t="shared" si="24"/>
        <v>6_3-3/109&lt;lv10&gt;s2</v>
      </c>
      <c r="B209" s="19">
        <f t="shared" si="23"/>
        <v>6</v>
      </c>
      <c r="C209" s="19">
        <f t="shared" si="23"/>
        <v>3</v>
      </c>
      <c r="D209" s="19">
        <f t="shared" si="23"/>
        <v>3</v>
      </c>
      <c r="E209" s="19">
        <f t="shared" si="23"/>
        <v>109</v>
      </c>
      <c r="F209" s="19">
        <f t="shared" si="23"/>
        <v>10</v>
      </c>
      <c r="G209" s="19">
        <f t="shared" si="19"/>
        <v>1</v>
      </c>
      <c r="H209" s="19">
        <f t="shared" si="19"/>
        <v>1</v>
      </c>
      <c r="I209" s="19">
        <f t="shared" si="19"/>
        <v>0</v>
      </c>
      <c r="J209" s="19">
        <v>0</v>
      </c>
      <c r="K209" s="19">
        <f t="shared" si="23"/>
        <v>0</v>
      </c>
      <c r="L209" s="19">
        <f t="shared" si="23"/>
        <v>30</v>
      </c>
      <c r="M209" s="19">
        <f t="shared" si="23"/>
        <v>0</v>
      </c>
      <c r="N209" s="19">
        <f t="shared" si="23"/>
        <v>2</v>
      </c>
      <c r="O209" s="19">
        <f t="shared" si="23"/>
        <v>109</v>
      </c>
      <c r="P209" s="19">
        <f t="shared" si="23"/>
        <v>1</v>
      </c>
      <c r="Q209" s="19">
        <f t="shared" si="23"/>
        <v>2</v>
      </c>
      <c r="R209" s="19">
        <f t="shared" si="23"/>
        <v>20</v>
      </c>
      <c r="S209" s="19">
        <f t="shared" si="23"/>
        <v>0</v>
      </c>
      <c r="T209" s="19">
        <f t="shared" si="23"/>
        <v>0</v>
      </c>
      <c r="U209" s="19">
        <f t="shared" si="21"/>
        <v>0</v>
      </c>
      <c r="V209" s="19">
        <f t="shared" si="21"/>
        <v>0</v>
      </c>
      <c r="W209" s="19">
        <f t="shared" si="21"/>
        <v>1</v>
      </c>
    </row>
    <row r="210" spans="1:23" x14ac:dyDescent="0.15">
      <c r="A210" s="24" t="str">
        <f t="shared" si="24"/>
        <v>6_3-3/113&lt;lv10&gt;s1</v>
      </c>
      <c r="B210" s="19">
        <f t="shared" si="23"/>
        <v>6</v>
      </c>
      <c r="C210" s="19">
        <f t="shared" si="23"/>
        <v>3</v>
      </c>
      <c r="D210" s="19">
        <f t="shared" si="23"/>
        <v>3</v>
      </c>
      <c r="E210" s="19">
        <f t="shared" ref="B210:T226" si="25">VLOOKUP($A210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113</v>
      </c>
      <c r="F210" s="19">
        <f t="shared" si="25"/>
        <v>10</v>
      </c>
      <c r="G210" s="19">
        <f t="shared" si="19"/>
        <v>1</v>
      </c>
      <c r="H210" s="19">
        <f t="shared" si="19"/>
        <v>1</v>
      </c>
      <c r="I210" s="19">
        <f t="shared" si="19"/>
        <v>0</v>
      </c>
      <c r="J210" s="19">
        <v>0</v>
      </c>
      <c r="K210" s="19">
        <f t="shared" si="25"/>
        <v>0</v>
      </c>
      <c r="L210" s="19">
        <f t="shared" si="25"/>
        <v>30</v>
      </c>
      <c r="M210" s="19">
        <f t="shared" si="25"/>
        <v>0</v>
      </c>
      <c r="N210" s="19">
        <f t="shared" si="25"/>
        <v>1</v>
      </c>
      <c r="O210" s="19">
        <f t="shared" si="25"/>
        <v>113</v>
      </c>
      <c r="P210" s="19">
        <f t="shared" si="25"/>
        <v>1</v>
      </c>
      <c r="Q210" s="19">
        <f t="shared" si="25"/>
        <v>2</v>
      </c>
      <c r="R210" s="19">
        <f t="shared" si="25"/>
        <v>20</v>
      </c>
      <c r="S210" s="19">
        <f t="shared" si="25"/>
        <v>0</v>
      </c>
      <c r="T210" s="19">
        <f t="shared" si="25"/>
        <v>0</v>
      </c>
      <c r="U210" s="19">
        <f t="shared" si="21"/>
        <v>0</v>
      </c>
      <c r="V210" s="19">
        <f t="shared" si="21"/>
        <v>0</v>
      </c>
      <c r="W210" s="19">
        <f t="shared" si="21"/>
        <v>1</v>
      </c>
    </row>
    <row r="211" spans="1:23" x14ac:dyDescent="0.15">
      <c r="A211" s="24" t="str">
        <f t="shared" si="24"/>
        <v>6_3-4/41&lt;lv13&gt;s1</v>
      </c>
      <c r="B211" s="19">
        <f t="shared" si="25"/>
        <v>6</v>
      </c>
      <c r="C211" s="19">
        <f t="shared" si="25"/>
        <v>3</v>
      </c>
      <c r="D211" s="19">
        <f t="shared" si="25"/>
        <v>4</v>
      </c>
      <c r="E211" s="19">
        <f t="shared" si="25"/>
        <v>41</v>
      </c>
      <c r="F211" s="19">
        <f t="shared" si="25"/>
        <v>13</v>
      </c>
      <c r="G211" s="19">
        <f t="shared" ref="G211:I274" si="26">VLOOKUP($A211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211" s="19">
        <f t="shared" si="26"/>
        <v>1</v>
      </c>
      <c r="I211" s="19">
        <f t="shared" si="26"/>
        <v>0</v>
      </c>
      <c r="J211" s="19">
        <v>0</v>
      </c>
      <c r="K211" s="19">
        <f t="shared" si="25"/>
        <v>1</v>
      </c>
      <c r="L211" s="19">
        <f t="shared" si="25"/>
        <v>100</v>
      </c>
      <c r="M211" s="19">
        <f t="shared" si="25"/>
        <v>1</v>
      </c>
      <c r="N211" s="19">
        <f t="shared" si="25"/>
        <v>1</v>
      </c>
      <c r="O211" s="19">
        <f t="shared" si="25"/>
        <v>41</v>
      </c>
      <c r="P211" s="19">
        <f t="shared" si="25"/>
        <v>1</v>
      </c>
      <c r="Q211" s="19">
        <f t="shared" si="25"/>
        <v>2</v>
      </c>
      <c r="R211" s="19">
        <f t="shared" si="25"/>
        <v>0</v>
      </c>
      <c r="S211" s="19">
        <f t="shared" si="25"/>
        <v>0</v>
      </c>
      <c r="T211" s="19">
        <f t="shared" si="25"/>
        <v>0</v>
      </c>
      <c r="U211" s="19">
        <f t="shared" si="21"/>
        <v>0</v>
      </c>
      <c r="V211" s="19">
        <f t="shared" si="21"/>
        <v>0</v>
      </c>
      <c r="W211" s="19">
        <f t="shared" si="21"/>
        <v>1</v>
      </c>
    </row>
    <row r="212" spans="1:23" x14ac:dyDescent="0.15">
      <c r="A212" s="24" t="str">
        <f t="shared" si="24"/>
        <v>6_3-4/43&lt;lv13&gt;s2</v>
      </c>
      <c r="B212" s="19">
        <f t="shared" si="25"/>
        <v>6</v>
      </c>
      <c r="C212" s="19">
        <f t="shared" si="25"/>
        <v>3</v>
      </c>
      <c r="D212" s="19">
        <f t="shared" si="25"/>
        <v>4</v>
      </c>
      <c r="E212" s="19">
        <f t="shared" si="25"/>
        <v>43</v>
      </c>
      <c r="F212" s="19">
        <f t="shared" si="25"/>
        <v>13</v>
      </c>
      <c r="G212" s="19">
        <f t="shared" si="26"/>
        <v>1</v>
      </c>
      <c r="H212" s="19">
        <f t="shared" si="26"/>
        <v>1</v>
      </c>
      <c r="I212" s="19">
        <f t="shared" si="26"/>
        <v>0</v>
      </c>
      <c r="J212" s="19">
        <v>0</v>
      </c>
      <c r="K212" s="19">
        <f t="shared" si="25"/>
        <v>1</v>
      </c>
      <c r="L212" s="19">
        <f t="shared" si="25"/>
        <v>100</v>
      </c>
      <c r="M212" s="19">
        <f t="shared" si="25"/>
        <v>0</v>
      </c>
      <c r="N212" s="19">
        <f t="shared" si="25"/>
        <v>2</v>
      </c>
      <c r="O212" s="19">
        <f t="shared" si="25"/>
        <v>43</v>
      </c>
      <c r="P212" s="19">
        <f t="shared" si="25"/>
        <v>1</v>
      </c>
      <c r="Q212" s="19">
        <f t="shared" si="25"/>
        <v>2</v>
      </c>
      <c r="R212" s="19">
        <f t="shared" si="25"/>
        <v>0</v>
      </c>
      <c r="S212" s="19">
        <f t="shared" si="25"/>
        <v>0</v>
      </c>
      <c r="T212" s="19">
        <f t="shared" si="25"/>
        <v>0</v>
      </c>
      <c r="U212" s="19">
        <f t="shared" si="21"/>
        <v>0</v>
      </c>
      <c r="V212" s="19">
        <f t="shared" si="21"/>
        <v>0</v>
      </c>
      <c r="W212" s="19">
        <f t="shared" si="21"/>
        <v>1</v>
      </c>
    </row>
    <row r="213" spans="1:23" x14ac:dyDescent="0.15">
      <c r="A213" s="24" t="str">
        <f t="shared" si="24"/>
        <v>6_4-1/1&lt;lv10&gt;s1</v>
      </c>
      <c r="B213" s="19">
        <f t="shared" si="25"/>
        <v>6</v>
      </c>
      <c r="C213" s="19">
        <f t="shared" si="25"/>
        <v>4</v>
      </c>
      <c r="D213" s="19">
        <f t="shared" si="25"/>
        <v>1</v>
      </c>
      <c r="E213" s="19">
        <f t="shared" si="25"/>
        <v>1</v>
      </c>
      <c r="F213" s="19">
        <f t="shared" si="25"/>
        <v>10</v>
      </c>
      <c r="G213" s="19">
        <f t="shared" si="26"/>
        <v>1</v>
      </c>
      <c r="H213" s="19">
        <f t="shared" si="26"/>
        <v>1</v>
      </c>
      <c r="I213" s="19">
        <f t="shared" si="26"/>
        <v>0</v>
      </c>
      <c r="J213" s="19">
        <v>0</v>
      </c>
      <c r="K213" s="19">
        <f t="shared" si="25"/>
        <v>0</v>
      </c>
      <c r="L213" s="19">
        <f t="shared" si="25"/>
        <v>100</v>
      </c>
      <c r="M213" s="19">
        <f t="shared" si="25"/>
        <v>0</v>
      </c>
      <c r="N213" s="19">
        <f t="shared" si="25"/>
        <v>1</v>
      </c>
      <c r="O213" s="19">
        <f t="shared" si="25"/>
        <v>1</v>
      </c>
      <c r="P213" s="19">
        <f t="shared" si="25"/>
        <v>4</v>
      </c>
      <c r="Q213" s="19">
        <f t="shared" si="25"/>
        <v>1</v>
      </c>
      <c r="R213" s="19">
        <f t="shared" si="25"/>
        <v>30</v>
      </c>
      <c r="S213" s="19">
        <f t="shared" si="25"/>
        <v>0</v>
      </c>
      <c r="T213" s="19">
        <f t="shared" si="25"/>
        <v>0</v>
      </c>
      <c r="U213" s="19">
        <f t="shared" si="21"/>
        <v>0</v>
      </c>
      <c r="V213" s="19">
        <f t="shared" si="21"/>
        <v>0</v>
      </c>
      <c r="W213" s="19">
        <f t="shared" si="21"/>
        <v>1</v>
      </c>
    </row>
    <row r="214" spans="1:23" x14ac:dyDescent="0.15">
      <c r="A214" s="24" t="str">
        <f t="shared" si="24"/>
        <v>6_4-1/3&lt;lv10&gt;s2</v>
      </c>
      <c r="B214" s="19">
        <f t="shared" si="25"/>
        <v>6</v>
      </c>
      <c r="C214" s="19">
        <f t="shared" si="25"/>
        <v>4</v>
      </c>
      <c r="D214" s="19">
        <f t="shared" si="25"/>
        <v>1</v>
      </c>
      <c r="E214" s="19">
        <f t="shared" si="25"/>
        <v>3</v>
      </c>
      <c r="F214" s="19">
        <f t="shared" si="25"/>
        <v>10</v>
      </c>
      <c r="G214" s="19">
        <f t="shared" si="26"/>
        <v>1</v>
      </c>
      <c r="H214" s="19">
        <f t="shared" si="26"/>
        <v>1</v>
      </c>
      <c r="I214" s="19">
        <f t="shared" si="26"/>
        <v>0</v>
      </c>
      <c r="J214" s="19">
        <v>0</v>
      </c>
      <c r="K214" s="19">
        <f t="shared" si="25"/>
        <v>0</v>
      </c>
      <c r="L214" s="19">
        <f t="shared" si="25"/>
        <v>100</v>
      </c>
      <c r="M214" s="19">
        <f t="shared" si="25"/>
        <v>0</v>
      </c>
      <c r="N214" s="19">
        <f t="shared" si="25"/>
        <v>2</v>
      </c>
      <c r="O214" s="19">
        <f t="shared" si="25"/>
        <v>3</v>
      </c>
      <c r="P214" s="19">
        <f t="shared" si="25"/>
        <v>4</v>
      </c>
      <c r="Q214" s="19">
        <f t="shared" si="25"/>
        <v>1</v>
      </c>
      <c r="R214" s="19">
        <f t="shared" si="25"/>
        <v>30</v>
      </c>
      <c r="S214" s="19">
        <f t="shared" si="25"/>
        <v>0</v>
      </c>
      <c r="T214" s="19">
        <f t="shared" si="25"/>
        <v>0</v>
      </c>
      <c r="U214" s="19">
        <f t="shared" si="21"/>
        <v>0</v>
      </c>
      <c r="V214" s="19">
        <f t="shared" si="21"/>
        <v>0</v>
      </c>
      <c r="W214" s="19">
        <f t="shared" si="21"/>
        <v>1</v>
      </c>
    </row>
    <row r="215" spans="1:23" x14ac:dyDescent="0.15">
      <c r="A215" s="24" t="str">
        <f t="shared" si="24"/>
        <v>6_4-1/5&lt;lv10&gt;s3</v>
      </c>
      <c r="B215" s="19">
        <f t="shared" si="25"/>
        <v>6</v>
      </c>
      <c r="C215" s="19">
        <f t="shared" si="25"/>
        <v>4</v>
      </c>
      <c r="D215" s="19">
        <f t="shared" si="25"/>
        <v>1</v>
      </c>
      <c r="E215" s="19">
        <f t="shared" si="25"/>
        <v>5</v>
      </c>
      <c r="F215" s="19">
        <f t="shared" si="25"/>
        <v>10</v>
      </c>
      <c r="G215" s="19">
        <f t="shared" si="26"/>
        <v>1</v>
      </c>
      <c r="H215" s="19">
        <f t="shared" si="26"/>
        <v>1</v>
      </c>
      <c r="I215" s="19">
        <f t="shared" si="26"/>
        <v>0</v>
      </c>
      <c r="J215" s="19">
        <v>0</v>
      </c>
      <c r="K215" s="19">
        <f t="shared" si="25"/>
        <v>0</v>
      </c>
      <c r="L215" s="19">
        <f t="shared" si="25"/>
        <v>100</v>
      </c>
      <c r="M215" s="19">
        <f t="shared" si="25"/>
        <v>0</v>
      </c>
      <c r="N215" s="19">
        <f t="shared" si="25"/>
        <v>3</v>
      </c>
      <c r="O215" s="19">
        <f t="shared" si="25"/>
        <v>5</v>
      </c>
      <c r="P215" s="19">
        <f t="shared" si="25"/>
        <v>4</v>
      </c>
      <c r="Q215" s="19">
        <f t="shared" si="25"/>
        <v>1</v>
      </c>
      <c r="R215" s="19">
        <f t="shared" si="25"/>
        <v>30</v>
      </c>
      <c r="S215" s="19">
        <f t="shared" si="25"/>
        <v>0</v>
      </c>
      <c r="T215" s="19">
        <f t="shared" si="25"/>
        <v>0</v>
      </c>
      <c r="U215" s="19">
        <f t="shared" si="21"/>
        <v>0</v>
      </c>
      <c r="V215" s="19">
        <f t="shared" si="21"/>
        <v>0</v>
      </c>
      <c r="W215" s="19">
        <f t="shared" si="21"/>
        <v>1</v>
      </c>
    </row>
    <row r="216" spans="1:23" x14ac:dyDescent="0.15">
      <c r="A216" s="24" t="str">
        <f t="shared" si="24"/>
        <v>6_4-1/7&lt;lv10&gt;s2</v>
      </c>
      <c r="B216" s="19">
        <f t="shared" si="25"/>
        <v>6</v>
      </c>
      <c r="C216" s="19">
        <f t="shared" si="25"/>
        <v>4</v>
      </c>
      <c r="D216" s="19">
        <f t="shared" si="25"/>
        <v>1</v>
      </c>
      <c r="E216" s="19">
        <f t="shared" si="25"/>
        <v>7</v>
      </c>
      <c r="F216" s="19">
        <f t="shared" si="25"/>
        <v>10</v>
      </c>
      <c r="G216" s="19">
        <f t="shared" si="26"/>
        <v>1</v>
      </c>
      <c r="H216" s="19">
        <f t="shared" si="26"/>
        <v>1</v>
      </c>
      <c r="I216" s="19">
        <f t="shared" si="26"/>
        <v>0</v>
      </c>
      <c r="J216" s="19">
        <v>0</v>
      </c>
      <c r="K216" s="19">
        <f t="shared" si="25"/>
        <v>0</v>
      </c>
      <c r="L216" s="19">
        <f t="shared" si="25"/>
        <v>100</v>
      </c>
      <c r="M216" s="19">
        <f t="shared" si="25"/>
        <v>0</v>
      </c>
      <c r="N216" s="19">
        <f t="shared" si="25"/>
        <v>2</v>
      </c>
      <c r="O216" s="19">
        <f t="shared" si="25"/>
        <v>7</v>
      </c>
      <c r="P216" s="19">
        <f t="shared" si="25"/>
        <v>4</v>
      </c>
      <c r="Q216" s="19">
        <f t="shared" si="25"/>
        <v>1</v>
      </c>
      <c r="R216" s="19">
        <f t="shared" si="25"/>
        <v>30</v>
      </c>
      <c r="S216" s="19">
        <f t="shared" si="25"/>
        <v>0</v>
      </c>
      <c r="T216" s="19">
        <f t="shared" si="25"/>
        <v>0</v>
      </c>
      <c r="U216" s="19">
        <f t="shared" si="21"/>
        <v>0</v>
      </c>
      <c r="V216" s="19">
        <f t="shared" si="21"/>
        <v>0</v>
      </c>
      <c r="W216" s="19">
        <f t="shared" si="21"/>
        <v>1</v>
      </c>
    </row>
    <row r="217" spans="1:23" x14ac:dyDescent="0.15">
      <c r="A217" s="24" t="str">
        <f t="shared" si="24"/>
        <v>6_4-2/9&lt;lv10&gt;s2</v>
      </c>
      <c r="B217" s="19">
        <f t="shared" si="25"/>
        <v>6</v>
      </c>
      <c r="C217" s="19">
        <f t="shared" si="25"/>
        <v>4</v>
      </c>
      <c r="D217" s="19">
        <f t="shared" si="25"/>
        <v>2</v>
      </c>
      <c r="E217" s="19">
        <f t="shared" si="25"/>
        <v>9</v>
      </c>
      <c r="F217" s="19">
        <f t="shared" si="25"/>
        <v>10</v>
      </c>
      <c r="G217" s="19">
        <f t="shared" si="26"/>
        <v>1</v>
      </c>
      <c r="H217" s="19">
        <f t="shared" si="26"/>
        <v>1</v>
      </c>
      <c r="I217" s="19">
        <f t="shared" si="26"/>
        <v>0</v>
      </c>
      <c r="J217" s="19">
        <v>0</v>
      </c>
      <c r="K217" s="19">
        <f t="shared" si="25"/>
        <v>0</v>
      </c>
      <c r="L217" s="19">
        <f t="shared" si="25"/>
        <v>100</v>
      </c>
      <c r="M217" s="19">
        <f t="shared" si="25"/>
        <v>0</v>
      </c>
      <c r="N217" s="19">
        <f t="shared" si="25"/>
        <v>2</v>
      </c>
      <c r="O217" s="19">
        <f t="shared" si="25"/>
        <v>9</v>
      </c>
      <c r="P217" s="19">
        <f t="shared" si="25"/>
        <v>2</v>
      </c>
      <c r="Q217" s="19">
        <f t="shared" si="25"/>
        <v>1</v>
      </c>
      <c r="R217" s="19">
        <f t="shared" si="25"/>
        <v>30</v>
      </c>
      <c r="S217" s="19">
        <f t="shared" si="25"/>
        <v>0</v>
      </c>
      <c r="T217" s="19">
        <f t="shared" si="25"/>
        <v>0</v>
      </c>
      <c r="U217" s="19">
        <f t="shared" si="21"/>
        <v>0</v>
      </c>
      <c r="V217" s="19">
        <f t="shared" si="21"/>
        <v>0</v>
      </c>
      <c r="W217" s="19">
        <f t="shared" si="21"/>
        <v>1</v>
      </c>
    </row>
    <row r="218" spans="1:23" x14ac:dyDescent="0.15">
      <c r="A218" s="24" t="str">
        <f t="shared" si="24"/>
        <v>6_4-2/11&lt;lv10&gt;s3</v>
      </c>
      <c r="B218" s="19">
        <f t="shared" si="25"/>
        <v>6</v>
      </c>
      <c r="C218" s="19">
        <f t="shared" si="25"/>
        <v>4</v>
      </c>
      <c r="D218" s="19">
        <f t="shared" si="25"/>
        <v>2</v>
      </c>
      <c r="E218" s="19">
        <f t="shared" si="25"/>
        <v>11</v>
      </c>
      <c r="F218" s="19">
        <f t="shared" si="25"/>
        <v>10</v>
      </c>
      <c r="G218" s="19">
        <f t="shared" si="26"/>
        <v>1</v>
      </c>
      <c r="H218" s="19">
        <f t="shared" si="26"/>
        <v>1</v>
      </c>
      <c r="I218" s="19">
        <f t="shared" si="26"/>
        <v>0</v>
      </c>
      <c r="J218" s="19">
        <v>0</v>
      </c>
      <c r="K218" s="19">
        <f t="shared" si="25"/>
        <v>0</v>
      </c>
      <c r="L218" s="19">
        <f t="shared" si="25"/>
        <v>100</v>
      </c>
      <c r="M218" s="19">
        <f t="shared" si="25"/>
        <v>0</v>
      </c>
      <c r="N218" s="19">
        <f t="shared" si="25"/>
        <v>3</v>
      </c>
      <c r="O218" s="19">
        <f t="shared" si="25"/>
        <v>11</v>
      </c>
      <c r="P218" s="19">
        <f t="shared" si="25"/>
        <v>2</v>
      </c>
      <c r="Q218" s="19">
        <f t="shared" si="25"/>
        <v>1</v>
      </c>
      <c r="R218" s="19">
        <f t="shared" si="25"/>
        <v>30</v>
      </c>
      <c r="S218" s="19">
        <f t="shared" si="25"/>
        <v>0</v>
      </c>
      <c r="T218" s="19">
        <f t="shared" si="25"/>
        <v>0</v>
      </c>
      <c r="U218" s="19">
        <f t="shared" si="21"/>
        <v>0</v>
      </c>
      <c r="V218" s="19">
        <f t="shared" si="21"/>
        <v>0</v>
      </c>
      <c r="W218" s="19">
        <f t="shared" si="21"/>
        <v>1</v>
      </c>
    </row>
    <row r="219" spans="1:23" x14ac:dyDescent="0.15">
      <c r="A219" s="24" t="str">
        <f t="shared" si="24"/>
        <v>6_4-2/13&lt;lv10&gt;s2</v>
      </c>
      <c r="B219" s="19">
        <f t="shared" si="25"/>
        <v>6</v>
      </c>
      <c r="C219" s="19">
        <f t="shared" si="25"/>
        <v>4</v>
      </c>
      <c r="D219" s="19">
        <f t="shared" si="25"/>
        <v>2</v>
      </c>
      <c r="E219" s="19">
        <f t="shared" si="25"/>
        <v>13</v>
      </c>
      <c r="F219" s="19">
        <f t="shared" si="25"/>
        <v>10</v>
      </c>
      <c r="G219" s="19">
        <f t="shared" si="26"/>
        <v>1</v>
      </c>
      <c r="H219" s="19">
        <f t="shared" si="26"/>
        <v>1</v>
      </c>
      <c r="I219" s="19">
        <f t="shared" si="26"/>
        <v>0</v>
      </c>
      <c r="J219" s="19">
        <v>0</v>
      </c>
      <c r="K219" s="19">
        <f t="shared" si="25"/>
        <v>0</v>
      </c>
      <c r="L219" s="19">
        <f t="shared" si="25"/>
        <v>100</v>
      </c>
      <c r="M219" s="19">
        <f t="shared" si="25"/>
        <v>0</v>
      </c>
      <c r="N219" s="19">
        <f t="shared" si="25"/>
        <v>2</v>
      </c>
      <c r="O219" s="19">
        <f t="shared" si="25"/>
        <v>13</v>
      </c>
      <c r="P219" s="19">
        <f t="shared" si="25"/>
        <v>2</v>
      </c>
      <c r="Q219" s="19">
        <f t="shared" si="25"/>
        <v>1</v>
      </c>
      <c r="R219" s="19">
        <f t="shared" si="25"/>
        <v>30</v>
      </c>
      <c r="S219" s="19">
        <f t="shared" si="25"/>
        <v>0</v>
      </c>
      <c r="T219" s="19">
        <f t="shared" si="25"/>
        <v>0</v>
      </c>
      <c r="U219" s="19">
        <f t="shared" si="21"/>
        <v>0</v>
      </c>
      <c r="V219" s="19">
        <f t="shared" si="21"/>
        <v>0</v>
      </c>
      <c r="W219" s="19">
        <f t="shared" si="21"/>
        <v>1</v>
      </c>
    </row>
    <row r="220" spans="1:23" x14ac:dyDescent="0.15">
      <c r="A220" s="24" t="str">
        <f t="shared" si="24"/>
        <v>6_4-2/15&lt;lv10&gt;s3</v>
      </c>
      <c r="B220" s="19">
        <f t="shared" si="25"/>
        <v>6</v>
      </c>
      <c r="C220" s="19">
        <f t="shared" si="25"/>
        <v>4</v>
      </c>
      <c r="D220" s="19">
        <f t="shared" si="25"/>
        <v>2</v>
      </c>
      <c r="E220" s="19">
        <f t="shared" si="25"/>
        <v>15</v>
      </c>
      <c r="F220" s="19">
        <f t="shared" si="25"/>
        <v>10</v>
      </c>
      <c r="G220" s="19">
        <f t="shared" si="26"/>
        <v>1</v>
      </c>
      <c r="H220" s="19">
        <f t="shared" si="26"/>
        <v>1</v>
      </c>
      <c r="I220" s="19">
        <f t="shared" si="26"/>
        <v>0</v>
      </c>
      <c r="J220" s="19">
        <v>0</v>
      </c>
      <c r="K220" s="19">
        <f t="shared" si="25"/>
        <v>0</v>
      </c>
      <c r="L220" s="19">
        <f t="shared" si="25"/>
        <v>100</v>
      </c>
      <c r="M220" s="19">
        <f t="shared" si="25"/>
        <v>0</v>
      </c>
      <c r="N220" s="19">
        <f t="shared" si="25"/>
        <v>3</v>
      </c>
      <c r="O220" s="19">
        <f t="shared" si="25"/>
        <v>15</v>
      </c>
      <c r="P220" s="19">
        <f t="shared" si="25"/>
        <v>2</v>
      </c>
      <c r="Q220" s="19">
        <f t="shared" si="25"/>
        <v>1</v>
      </c>
      <c r="R220" s="19">
        <f t="shared" si="25"/>
        <v>30</v>
      </c>
      <c r="S220" s="19">
        <f t="shared" si="25"/>
        <v>0</v>
      </c>
      <c r="T220" s="19">
        <f t="shared" si="25"/>
        <v>0</v>
      </c>
      <c r="U220" s="19">
        <f t="shared" si="21"/>
        <v>0</v>
      </c>
      <c r="V220" s="19">
        <f t="shared" si="21"/>
        <v>0</v>
      </c>
      <c r="W220" s="19">
        <f t="shared" si="21"/>
        <v>1</v>
      </c>
    </row>
    <row r="221" spans="1:23" x14ac:dyDescent="0.15">
      <c r="A221" s="24" t="str">
        <f t="shared" si="24"/>
        <v>6_4-2/17&lt;lv10&gt;s2</v>
      </c>
      <c r="B221" s="19">
        <f t="shared" si="25"/>
        <v>6</v>
      </c>
      <c r="C221" s="19">
        <f t="shared" si="25"/>
        <v>4</v>
      </c>
      <c r="D221" s="19">
        <f t="shared" si="25"/>
        <v>2</v>
      </c>
      <c r="E221" s="19">
        <f t="shared" si="25"/>
        <v>17</v>
      </c>
      <c r="F221" s="19">
        <f t="shared" si="25"/>
        <v>10</v>
      </c>
      <c r="G221" s="19">
        <f t="shared" si="26"/>
        <v>1</v>
      </c>
      <c r="H221" s="19">
        <f t="shared" si="26"/>
        <v>1</v>
      </c>
      <c r="I221" s="19">
        <f t="shared" si="26"/>
        <v>0</v>
      </c>
      <c r="J221" s="19">
        <v>0</v>
      </c>
      <c r="K221" s="19">
        <f t="shared" si="25"/>
        <v>0</v>
      </c>
      <c r="L221" s="19">
        <f t="shared" si="25"/>
        <v>100</v>
      </c>
      <c r="M221" s="19">
        <f t="shared" si="25"/>
        <v>0</v>
      </c>
      <c r="N221" s="19">
        <f t="shared" si="25"/>
        <v>2</v>
      </c>
      <c r="O221" s="19">
        <f t="shared" si="25"/>
        <v>17</v>
      </c>
      <c r="P221" s="19">
        <f t="shared" si="25"/>
        <v>2</v>
      </c>
      <c r="Q221" s="19">
        <f t="shared" si="25"/>
        <v>1</v>
      </c>
      <c r="R221" s="19">
        <f t="shared" si="25"/>
        <v>30</v>
      </c>
      <c r="S221" s="19">
        <f t="shared" si="25"/>
        <v>0</v>
      </c>
      <c r="T221" s="19">
        <f t="shared" si="25"/>
        <v>0</v>
      </c>
      <c r="U221" s="19">
        <f t="shared" si="21"/>
        <v>0</v>
      </c>
      <c r="V221" s="19">
        <f t="shared" si="21"/>
        <v>0</v>
      </c>
      <c r="W221" s="19">
        <f t="shared" si="21"/>
        <v>1</v>
      </c>
    </row>
    <row r="222" spans="1:23" x14ac:dyDescent="0.15">
      <c r="A222" s="24" t="str">
        <f t="shared" si="24"/>
        <v>6_4-2/19&lt;lv10&gt;s3</v>
      </c>
      <c r="B222" s="19">
        <f t="shared" si="25"/>
        <v>6</v>
      </c>
      <c r="C222" s="19">
        <f t="shared" si="25"/>
        <v>4</v>
      </c>
      <c r="D222" s="19">
        <f t="shared" si="25"/>
        <v>2</v>
      </c>
      <c r="E222" s="19">
        <f t="shared" si="25"/>
        <v>19</v>
      </c>
      <c r="F222" s="19">
        <f t="shared" si="25"/>
        <v>10</v>
      </c>
      <c r="G222" s="19">
        <f t="shared" si="26"/>
        <v>1</v>
      </c>
      <c r="H222" s="19">
        <f t="shared" si="26"/>
        <v>1</v>
      </c>
      <c r="I222" s="19">
        <f t="shared" si="26"/>
        <v>0</v>
      </c>
      <c r="J222" s="19">
        <v>0</v>
      </c>
      <c r="K222" s="19">
        <f t="shared" si="25"/>
        <v>0</v>
      </c>
      <c r="L222" s="19">
        <f t="shared" si="25"/>
        <v>100</v>
      </c>
      <c r="M222" s="19">
        <f t="shared" si="25"/>
        <v>0</v>
      </c>
      <c r="N222" s="19">
        <f t="shared" si="25"/>
        <v>3</v>
      </c>
      <c r="O222" s="19">
        <f t="shared" si="25"/>
        <v>19</v>
      </c>
      <c r="P222" s="19">
        <f t="shared" si="25"/>
        <v>2</v>
      </c>
      <c r="Q222" s="19">
        <f t="shared" si="25"/>
        <v>1</v>
      </c>
      <c r="R222" s="19">
        <f t="shared" si="25"/>
        <v>30</v>
      </c>
      <c r="S222" s="19">
        <f t="shared" si="25"/>
        <v>0</v>
      </c>
      <c r="T222" s="19">
        <f t="shared" si="25"/>
        <v>0</v>
      </c>
      <c r="U222" s="19">
        <f t="shared" si="21"/>
        <v>0</v>
      </c>
      <c r="V222" s="19">
        <f t="shared" si="21"/>
        <v>0</v>
      </c>
      <c r="W222" s="19">
        <f t="shared" si="21"/>
        <v>1</v>
      </c>
    </row>
    <row r="223" spans="1:23" x14ac:dyDescent="0.15">
      <c r="A223" s="24" t="str">
        <f t="shared" si="24"/>
        <v>6_4-2/101&lt;lv10&gt;s1</v>
      </c>
      <c r="B223" s="19">
        <f t="shared" si="25"/>
        <v>6</v>
      </c>
      <c r="C223" s="19">
        <f t="shared" si="25"/>
        <v>4</v>
      </c>
      <c r="D223" s="19">
        <f t="shared" si="25"/>
        <v>2</v>
      </c>
      <c r="E223" s="19">
        <f t="shared" si="25"/>
        <v>101</v>
      </c>
      <c r="F223" s="19">
        <f t="shared" si="25"/>
        <v>10</v>
      </c>
      <c r="G223" s="19">
        <f t="shared" si="26"/>
        <v>1</v>
      </c>
      <c r="H223" s="19">
        <f t="shared" si="26"/>
        <v>1</v>
      </c>
      <c r="I223" s="19">
        <f t="shared" si="26"/>
        <v>0</v>
      </c>
      <c r="J223" s="19">
        <v>0</v>
      </c>
      <c r="K223" s="19">
        <f t="shared" si="25"/>
        <v>0</v>
      </c>
      <c r="L223" s="19">
        <f t="shared" si="25"/>
        <v>50</v>
      </c>
      <c r="M223" s="19">
        <f t="shared" si="25"/>
        <v>0</v>
      </c>
      <c r="N223" s="19">
        <f t="shared" si="25"/>
        <v>1</v>
      </c>
      <c r="O223" s="19">
        <f t="shared" si="25"/>
        <v>101</v>
      </c>
      <c r="P223" s="19">
        <f t="shared" si="25"/>
        <v>1</v>
      </c>
      <c r="Q223" s="19">
        <f t="shared" si="25"/>
        <v>2</v>
      </c>
      <c r="R223" s="19">
        <f t="shared" si="25"/>
        <v>20</v>
      </c>
      <c r="S223" s="19">
        <f t="shared" si="25"/>
        <v>0</v>
      </c>
      <c r="T223" s="19">
        <f t="shared" si="25"/>
        <v>0</v>
      </c>
      <c r="U223" s="19">
        <f t="shared" si="21"/>
        <v>0</v>
      </c>
      <c r="V223" s="19">
        <f t="shared" si="21"/>
        <v>0</v>
      </c>
      <c r="W223" s="19">
        <f t="shared" si="21"/>
        <v>1</v>
      </c>
    </row>
    <row r="224" spans="1:23" x14ac:dyDescent="0.15">
      <c r="A224" s="24" t="str">
        <f t="shared" si="24"/>
        <v>6_4-2/105&lt;lv10&gt;s1</v>
      </c>
      <c r="B224" s="19">
        <f t="shared" si="25"/>
        <v>6</v>
      </c>
      <c r="C224" s="19">
        <f t="shared" si="25"/>
        <v>4</v>
      </c>
      <c r="D224" s="19">
        <f t="shared" si="25"/>
        <v>2</v>
      </c>
      <c r="E224" s="19">
        <f t="shared" si="25"/>
        <v>105</v>
      </c>
      <c r="F224" s="19">
        <f t="shared" si="25"/>
        <v>10</v>
      </c>
      <c r="G224" s="19">
        <f t="shared" si="26"/>
        <v>1</v>
      </c>
      <c r="H224" s="19">
        <f t="shared" si="26"/>
        <v>1</v>
      </c>
      <c r="I224" s="19">
        <f t="shared" si="26"/>
        <v>0</v>
      </c>
      <c r="J224" s="19">
        <v>0</v>
      </c>
      <c r="K224" s="19">
        <f t="shared" si="25"/>
        <v>0</v>
      </c>
      <c r="L224" s="19">
        <f t="shared" si="25"/>
        <v>50</v>
      </c>
      <c r="M224" s="19">
        <f t="shared" si="25"/>
        <v>0</v>
      </c>
      <c r="N224" s="19">
        <f t="shared" si="25"/>
        <v>1</v>
      </c>
      <c r="O224" s="19">
        <f t="shared" si="25"/>
        <v>105</v>
      </c>
      <c r="P224" s="19">
        <f t="shared" si="25"/>
        <v>1</v>
      </c>
      <c r="Q224" s="19">
        <f t="shared" si="25"/>
        <v>2</v>
      </c>
      <c r="R224" s="19">
        <f t="shared" si="25"/>
        <v>20</v>
      </c>
      <c r="S224" s="19">
        <f t="shared" si="25"/>
        <v>0</v>
      </c>
      <c r="T224" s="19">
        <f t="shared" si="25"/>
        <v>0</v>
      </c>
      <c r="U224" s="19">
        <f t="shared" si="21"/>
        <v>0</v>
      </c>
      <c r="V224" s="19">
        <f t="shared" si="21"/>
        <v>0</v>
      </c>
      <c r="W224" s="19">
        <f t="shared" si="21"/>
        <v>1</v>
      </c>
    </row>
    <row r="225" spans="1:23" x14ac:dyDescent="0.15">
      <c r="A225" s="24" t="str">
        <f t="shared" si="24"/>
        <v>6_4-3/15&lt;lv10&gt;s3</v>
      </c>
      <c r="B225" s="19">
        <f t="shared" si="25"/>
        <v>6</v>
      </c>
      <c r="C225" s="19">
        <f t="shared" si="25"/>
        <v>4</v>
      </c>
      <c r="D225" s="19">
        <f t="shared" si="25"/>
        <v>3</v>
      </c>
      <c r="E225" s="19">
        <f t="shared" si="25"/>
        <v>15</v>
      </c>
      <c r="F225" s="19">
        <f t="shared" si="25"/>
        <v>10</v>
      </c>
      <c r="G225" s="19">
        <f t="shared" si="26"/>
        <v>1</v>
      </c>
      <c r="H225" s="19">
        <f t="shared" si="26"/>
        <v>1</v>
      </c>
      <c r="I225" s="19">
        <f t="shared" si="26"/>
        <v>0</v>
      </c>
      <c r="J225" s="19">
        <v>0</v>
      </c>
      <c r="K225" s="19">
        <f t="shared" si="25"/>
        <v>0</v>
      </c>
      <c r="L225" s="19">
        <f t="shared" si="25"/>
        <v>100</v>
      </c>
      <c r="M225" s="19">
        <f t="shared" si="25"/>
        <v>0</v>
      </c>
      <c r="N225" s="19">
        <f t="shared" si="25"/>
        <v>3</v>
      </c>
      <c r="O225" s="19">
        <f t="shared" si="25"/>
        <v>15</v>
      </c>
      <c r="P225" s="19">
        <f t="shared" si="25"/>
        <v>2</v>
      </c>
      <c r="Q225" s="19">
        <f t="shared" si="25"/>
        <v>1</v>
      </c>
      <c r="R225" s="19">
        <f t="shared" si="25"/>
        <v>30</v>
      </c>
      <c r="S225" s="19">
        <f t="shared" si="25"/>
        <v>0</v>
      </c>
      <c r="T225" s="19">
        <f t="shared" si="25"/>
        <v>0</v>
      </c>
      <c r="U225" s="19">
        <f t="shared" si="21"/>
        <v>0</v>
      </c>
      <c r="V225" s="19">
        <f t="shared" si="21"/>
        <v>0</v>
      </c>
      <c r="W225" s="19">
        <f t="shared" si="21"/>
        <v>1</v>
      </c>
    </row>
    <row r="226" spans="1:23" x14ac:dyDescent="0.15">
      <c r="A226" s="24" t="str">
        <f t="shared" si="24"/>
        <v>6_4-3/17&lt;lv10&gt;s2</v>
      </c>
      <c r="B226" s="19">
        <f t="shared" si="25"/>
        <v>6</v>
      </c>
      <c r="C226" s="19">
        <f t="shared" si="25"/>
        <v>4</v>
      </c>
      <c r="D226" s="19">
        <f t="shared" ref="B226:T242" si="27">VLOOKUP($A226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3</v>
      </c>
      <c r="E226" s="19">
        <f t="shared" si="27"/>
        <v>17</v>
      </c>
      <c r="F226" s="19">
        <f t="shared" si="27"/>
        <v>10</v>
      </c>
      <c r="G226" s="19">
        <f t="shared" si="26"/>
        <v>1</v>
      </c>
      <c r="H226" s="19">
        <f t="shared" si="26"/>
        <v>1</v>
      </c>
      <c r="I226" s="19">
        <f t="shared" si="26"/>
        <v>0</v>
      </c>
      <c r="J226" s="19">
        <v>0</v>
      </c>
      <c r="K226" s="19">
        <f t="shared" si="27"/>
        <v>0</v>
      </c>
      <c r="L226" s="19">
        <f t="shared" si="27"/>
        <v>100</v>
      </c>
      <c r="M226" s="19">
        <f t="shared" si="27"/>
        <v>0</v>
      </c>
      <c r="N226" s="19">
        <f t="shared" si="27"/>
        <v>2</v>
      </c>
      <c r="O226" s="19">
        <f t="shared" si="27"/>
        <v>17</v>
      </c>
      <c r="P226" s="19">
        <f t="shared" si="27"/>
        <v>2</v>
      </c>
      <c r="Q226" s="19">
        <f t="shared" si="27"/>
        <v>1</v>
      </c>
      <c r="R226" s="19">
        <f t="shared" si="27"/>
        <v>30</v>
      </c>
      <c r="S226" s="19">
        <f t="shared" si="27"/>
        <v>0</v>
      </c>
      <c r="T226" s="19">
        <f t="shared" si="27"/>
        <v>0</v>
      </c>
      <c r="U226" s="19">
        <f t="shared" si="21"/>
        <v>0</v>
      </c>
      <c r="V226" s="19">
        <f t="shared" si="21"/>
        <v>0</v>
      </c>
      <c r="W226" s="19">
        <f t="shared" si="21"/>
        <v>1</v>
      </c>
    </row>
    <row r="227" spans="1:23" x14ac:dyDescent="0.15">
      <c r="A227" s="24" t="str">
        <f t="shared" si="24"/>
        <v>6_4-3/19&lt;lv10&gt;s3</v>
      </c>
      <c r="B227" s="19">
        <f t="shared" si="27"/>
        <v>6</v>
      </c>
      <c r="C227" s="19">
        <f t="shared" si="27"/>
        <v>4</v>
      </c>
      <c r="D227" s="19">
        <f t="shared" si="27"/>
        <v>3</v>
      </c>
      <c r="E227" s="19">
        <f t="shared" si="27"/>
        <v>19</v>
      </c>
      <c r="F227" s="19">
        <f t="shared" si="27"/>
        <v>10</v>
      </c>
      <c r="G227" s="19">
        <f t="shared" si="26"/>
        <v>1</v>
      </c>
      <c r="H227" s="19">
        <f t="shared" si="26"/>
        <v>1</v>
      </c>
      <c r="I227" s="19">
        <f t="shared" si="26"/>
        <v>0</v>
      </c>
      <c r="J227" s="19">
        <v>0</v>
      </c>
      <c r="K227" s="19">
        <f t="shared" si="27"/>
        <v>0</v>
      </c>
      <c r="L227" s="19">
        <f t="shared" si="27"/>
        <v>100</v>
      </c>
      <c r="M227" s="19">
        <f t="shared" si="27"/>
        <v>0</v>
      </c>
      <c r="N227" s="19">
        <f t="shared" si="27"/>
        <v>3</v>
      </c>
      <c r="O227" s="19">
        <f t="shared" si="27"/>
        <v>19</v>
      </c>
      <c r="P227" s="19">
        <f t="shared" si="27"/>
        <v>2</v>
      </c>
      <c r="Q227" s="19">
        <f t="shared" si="27"/>
        <v>1</v>
      </c>
      <c r="R227" s="19">
        <f t="shared" si="27"/>
        <v>30</v>
      </c>
      <c r="S227" s="19">
        <f t="shared" si="27"/>
        <v>0</v>
      </c>
      <c r="T227" s="19">
        <f t="shared" si="27"/>
        <v>0</v>
      </c>
      <c r="U227" s="19">
        <f t="shared" si="21"/>
        <v>0</v>
      </c>
      <c r="V227" s="19">
        <f t="shared" si="21"/>
        <v>0</v>
      </c>
      <c r="W227" s="19">
        <f t="shared" si="21"/>
        <v>1</v>
      </c>
    </row>
    <row r="228" spans="1:23" x14ac:dyDescent="0.15">
      <c r="A228" s="24" t="str">
        <f t="shared" si="24"/>
        <v>6_4-3/23&lt;lv10&gt;s4</v>
      </c>
      <c r="B228" s="19">
        <f t="shared" si="27"/>
        <v>6</v>
      </c>
      <c r="C228" s="19">
        <f t="shared" si="27"/>
        <v>4</v>
      </c>
      <c r="D228" s="19">
        <f t="shared" si="27"/>
        <v>3</v>
      </c>
      <c r="E228" s="19">
        <f t="shared" si="27"/>
        <v>23</v>
      </c>
      <c r="F228" s="19">
        <f t="shared" si="27"/>
        <v>10</v>
      </c>
      <c r="G228" s="19">
        <f t="shared" si="26"/>
        <v>1</v>
      </c>
      <c r="H228" s="19">
        <f t="shared" si="26"/>
        <v>1</v>
      </c>
      <c r="I228" s="19">
        <f t="shared" si="26"/>
        <v>0</v>
      </c>
      <c r="J228" s="19">
        <v>0</v>
      </c>
      <c r="K228" s="19">
        <f t="shared" si="27"/>
        <v>0</v>
      </c>
      <c r="L228" s="19">
        <f t="shared" si="27"/>
        <v>100</v>
      </c>
      <c r="M228" s="19">
        <f t="shared" si="27"/>
        <v>0</v>
      </c>
      <c r="N228" s="19">
        <f t="shared" si="27"/>
        <v>4</v>
      </c>
      <c r="O228" s="19">
        <f t="shared" si="27"/>
        <v>23</v>
      </c>
      <c r="P228" s="19">
        <f t="shared" si="27"/>
        <v>1</v>
      </c>
      <c r="Q228" s="19">
        <f t="shared" si="27"/>
        <v>1</v>
      </c>
      <c r="R228" s="19">
        <f t="shared" si="27"/>
        <v>30</v>
      </c>
      <c r="S228" s="19">
        <f t="shared" si="27"/>
        <v>0</v>
      </c>
      <c r="T228" s="19">
        <f t="shared" si="27"/>
        <v>0</v>
      </c>
      <c r="U228" s="19">
        <f t="shared" si="21"/>
        <v>0</v>
      </c>
      <c r="V228" s="19">
        <f t="shared" si="21"/>
        <v>0</v>
      </c>
      <c r="W228" s="19">
        <f t="shared" si="21"/>
        <v>1</v>
      </c>
    </row>
    <row r="229" spans="1:23" x14ac:dyDescent="0.15">
      <c r="A229" s="24" t="str">
        <f t="shared" si="24"/>
        <v>6_4-3/25&lt;lv10&gt;s3</v>
      </c>
      <c r="B229" s="19">
        <f t="shared" si="27"/>
        <v>6</v>
      </c>
      <c r="C229" s="19">
        <f t="shared" si="27"/>
        <v>4</v>
      </c>
      <c r="D229" s="19">
        <f t="shared" si="27"/>
        <v>3</v>
      </c>
      <c r="E229" s="19">
        <f t="shared" si="27"/>
        <v>25</v>
      </c>
      <c r="F229" s="19">
        <f t="shared" si="27"/>
        <v>10</v>
      </c>
      <c r="G229" s="19">
        <f t="shared" si="26"/>
        <v>1</v>
      </c>
      <c r="H229" s="19">
        <f t="shared" si="26"/>
        <v>1</v>
      </c>
      <c r="I229" s="19">
        <f t="shared" si="26"/>
        <v>0</v>
      </c>
      <c r="J229" s="19">
        <v>0</v>
      </c>
      <c r="K229" s="19">
        <f t="shared" si="27"/>
        <v>0</v>
      </c>
      <c r="L229" s="19">
        <f t="shared" si="27"/>
        <v>100</v>
      </c>
      <c r="M229" s="19">
        <f t="shared" si="27"/>
        <v>0</v>
      </c>
      <c r="N229" s="19">
        <f t="shared" si="27"/>
        <v>3</v>
      </c>
      <c r="O229" s="19">
        <f t="shared" si="27"/>
        <v>25</v>
      </c>
      <c r="P229" s="19">
        <f t="shared" si="27"/>
        <v>1</v>
      </c>
      <c r="Q229" s="19">
        <f t="shared" si="27"/>
        <v>1</v>
      </c>
      <c r="R229" s="19">
        <f t="shared" si="27"/>
        <v>30</v>
      </c>
      <c r="S229" s="19">
        <f t="shared" si="27"/>
        <v>0</v>
      </c>
      <c r="T229" s="19">
        <f t="shared" si="27"/>
        <v>0</v>
      </c>
      <c r="U229" s="19">
        <f t="shared" si="21"/>
        <v>0</v>
      </c>
      <c r="V229" s="19">
        <f t="shared" si="21"/>
        <v>0</v>
      </c>
      <c r="W229" s="19">
        <f t="shared" si="21"/>
        <v>1</v>
      </c>
    </row>
    <row r="230" spans="1:23" x14ac:dyDescent="0.15">
      <c r="A230" s="24" t="str">
        <f t="shared" si="24"/>
        <v>6_4-3/101&lt;lv10&gt;s1</v>
      </c>
      <c r="B230" s="19">
        <f t="shared" si="27"/>
        <v>6</v>
      </c>
      <c r="C230" s="19">
        <f t="shared" si="27"/>
        <v>4</v>
      </c>
      <c r="D230" s="19">
        <f t="shared" si="27"/>
        <v>3</v>
      </c>
      <c r="E230" s="19">
        <f t="shared" si="27"/>
        <v>101</v>
      </c>
      <c r="F230" s="19">
        <f t="shared" si="27"/>
        <v>10</v>
      </c>
      <c r="G230" s="19">
        <f t="shared" si="26"/>
        <v>1</v>
      </c>
      <c r="H230" s="19">
        <f t="shared" si="26"/>
        <v>1</v>
      </c>
      <c r="I230" s="19">
        <f t="shared" si="26"/>
        <v>0</v>
      </c>
      <c r="J230" s="19">
        <v>0</v>
      </c>
      <c r="K230" s="19">
        <f t="shared" si="27"/>
        <v>0</v>
      </c>
      <c r="L230" s="19">
        <f t="shared" si="27"/>
        <v>50</v>
      </c>
      <c r="M230" s="19">
        <f t="shared" si="27"/>
        <v>0</v>
      </c>
      <c r="N230" s="19">
        <f t="shared" si="27"/>
        <v>1</v>
      </c>
      <c r="O230" s="19">
        <f t="shared" si="27"/>
        <v>101</v>
      </c>
      <c r="P230" s="19">
        <f t="shared" si="27"/>
        <v>1</v>
      </c>
      <c r="Q230" s="19">
        <f t="shared" si="27"/>
        <v>2</v>
      </c>
      <c r="R230" s="19">
        <f t="shared" si="27"/>
        <v>20</v>
      </c>
      <c r="S230" s="19">
        <f t="shared" si="27"/>
        <v>0</v>
      </c>
      <c r="T230" s="19">
        <f t="shared" si="27"/>
        <v>0</v>
      </c>
      <c r="U230" s="19">
        <f t="shared" si="21"/>
        <v>0</v>
      </c>
      <c r="V230" s="19">
        <f t="shared" si="21"/>
        <v>0</v>
      </c>
      <c r="W230" s="19">
        <f t="shared" si="21"/>
        <v>1</v>
      </c>
    </row>
    <row r="231" spans="1:23" x14ac:dyDescent="0.15">
      <c r="A231" s="24" t="str">
        <f t="shared" si="24"/>
        <v>6_4-3/105&lt;lv10&gt;s1</v>
      </c>
      <c r="B231" s="19">
        <f t="shared" si="27"/>
        <v>6</v>
      </c>
      <c r="C231" s="19">
        <f t="shared" si="27"/>
        <v>4</v>
      </c>
      <c r="D231" s="19">
        <f t="shared" si="27"/>
        <v>3</v>
      </c>
      <c r="E231" s="19">
        <f t="shared" si="27"/>
        <v>105</v>
      </c>
      <c r="F231" s="19">
        <f t="shared" si="27"/>
        <v>10</v>
      </c>
      <c r="G231" s="19">
        <f t="shared" si="26"/>
        <v>1</v>
      </c>
      <c r="H231" s="19">
        <f t="shared" si="26"/>
        <v>1</v>
      </c>
      <c r="I231" s="19">
        <f t="shared" si="26"/>
        <v>0</v>
      </c>
      <c r="J231" s="19">
        <v>0</v>
      </c>
      <c r="K231" s="19">
        <f t="shared" si="27"/>
        <v>0</v>
      </c>
      <c r="L231" s="19">
        <f t="shared" si="27"/>
        <v>50</v>
      </c>
      <c r="M231" s="19">
        <f t="shared" si="27"/>
        <v>0</v>
      </c>
      <c r="N231" s="19">
        <f t="shared" si="27"/>
        <v>1</v>
      </c>
      <c r="O231" s="19">
        <f t="shared" si="27"/>
        <v>105</v>
      </c>
      <c r="P231" s="19">
        <f t="shared" si="27"/>
        <v>1</v>
      </c>
      <c r="Q231" s="19">
        <f t="shared" si="27"/>
        <v>2</v>
      </c>
      <c r="R231" s="19">
        <f t="shared" si="27"/>
        <v>20</v>
      </c>
      <c r="S231" s="19">
        <f t="shared" si="27"/>
        <v>0</v>
      </c>
      <c r="T231" s="19">
        <f t="shared" si="27"/>
        <v>0</v>
      </c>
      <c r="U231" s="19">
        <f t="shared" si="21"/>
        <v>0</v>
      </c>
      <c r="V231" s="19">
        <f t="shared" si="21"/>
        <v>0</v>
      </c>
      <c r="W231" s="19">
        <f t="shared" si="21"/>
        <v>1</v>
      </c>
    </row>
    <row r="232" spans="1:23" x14ac:dyDescent="0.15">
      <c r="A232" s="24" t="str">
        <f t="shared" si="24"/>
        <v>6_4-3/109&lt;lv10&gt;s2</v>
      </c>
      <c r="B232" s="19">
        <f t="shared" si="27"/>
        <v>6</v>
      </c>
      <c r="C232" s="19">
        <f t="shared" si="27"/>
        <v>4</v>
      </c>
      <c r="D232" s="19">
        <f t="shared" si="27"/>
        <v>3</v>
      </c>
      <c r="E232" s="19">
        <f t="shared" si="27"/>
        <v>109</v>
      </c>
      <c r="F232" s="19">
        <f t="shared" si="27"/>
        <v>10</v>
      </c>
      <c r="G232" s="19">
        <f t="shared" si="26"/>
        <v>1</v>
      </c>
      <c r="H232" s="19">
        <f t="shared" si="26"/>
        <v>1</v>
      </c>
      <c r="I232" s="19">
        <f t="shared" si="26"/>
        <v>0</v>
      </c>
      <c r="J232" s="19">
        <v>0</v>
      </c>
      <c r="K232" s="19">
        <f t="shared" si="27"/>
        <v>0</v>
      </c>
      <c r="L232" s="19">
        <f t="shared" si="27"/>
        <v>30</v>
      </c>
      <c r="M232" s="19">
        <f t="shared" si="27"/>
        <v>0</v>
      </c>
      <c r="N232" s="19">
        <f t="shared" si="27"/>
        <v>2</v>
      </c>
      <c r="O232" s="19">
        <f t="shared" si="27"/>
        <v>109</v>
      </c>
      <c r="P232" s="19">
        <f t="shared" si="27"/>
        <v>1</v>
      </c>
      <c r="Q232" s="19">
        <f t="shared" si="27"/>
        <v>2</v>
      </c>
      <c r="R232" s="19">
        <f t="shared" si="27"/>
        <v>20</v>
      </c>
      <c r="S232" s="19">
        <f t="shared" si="27"/>
        <v>0</v>
      </c>
      <c r="T232" s="19">
        <f t="shared" si="27"/>
        <v>0</v>
      </c>
      <c r="U232" s="19">
        <f t="shared" si="21"/>
        <v>0</v>
      </c>
      <c r="V232" s="19">
        <f t="shared" si="21"/>
        <v>0</v>
      </c>
      <c r="W232" s="19">
        <f t="shared" si="21"/>
        <v>1</v>
      </c>
    </row>
    <row r="233" spans="1:23" x14ac:dyDescent="0.15">
      <c r="A233" s="24" t="str">
        <f t="shared" si="24"/>
        <v>6_4-3/113&lt;lv10&gt;s1</v>
      </c>
      <c r="B233" s="19">
        <f t="shared" si="27"/>
        <v>6</v>
      </c>
      <c r="C233" s="19">
        <f t="shared" si="27"/>
        <v>4</v>
      </c>
      <c r="D233" s="19">
        <f t="shared" si="27"/>
        <v>3</v>
      </c>
      <c r="E233" s="19">
        <f t="shared" si="27"/>
        <v>113</v>
      </c>
      <c r="F233" s="19">
        <f t="shared" si="27"/>
        <v>10</v>
      </c>
      <c r="G233" s="19">
        <f t="shared" si="26"/>
        <v>1</v>
      </c>
      <c r="H233" s="19">
        <f t="shared" si="26"/>
        <v>1</v>
      </c>
      <c r="I233" s="19">
        <f t="shared" si="26"/>
        <v>0</v>
      </c>
      <c r="J233" s="19">
        <v>0</v>
      </c>
      <c r="K233" s="19">
        <f t="shared" si="27"/>
        <v>0</v>
      </c>
      <c r="L233" s="19">
        <f t="shared" si="27"/>
        <v>30</v>
      </c>
      <c r="M233" s="19">
        <f t="shared" si="27"/>
        <v>0</v>
      </c>
      <c r="N233" s="19">
        <f t="shared" si="27"/>
        <v>1</v>
      </c>
      <c r="O233" s="19">
        <f t="shared" si="27"/>
        <v>113</v>
      </c>
      <c r="P233" s="19">
        <f t="shared" si="27"/>
        <v>1</v>
      </c>
      <c r="Q233" s="19">
        <f t="shared" si="27"/>
        <v>2</v>
      </c>
      <c r="R233" s="19">
        <f t="shared" si="27"/>
        <v>20</v>
      </c>
      <c r="S233" s="19">
        <f t="shared" si="27"/>
        <v>0</v>
      </c>
      <c r="T233" s="19">
        <f t="shared" si="27"/>
        <v>0</v>
      </c>
      <c r="U233" s="19">
        <f t="shared" si="21"/>
        <v>0</v>
      </c>
      <c r="V233" s="19">
        <f t="shared" si="21"/>
        <v>0</v>
      </c>
      <c r="W233" s="19">
        <f t="shared" si="21"/>
        <v>1</v>
      </c>
    </row>
    <row r="234" spans="1:23" x14ac:dyDescent="0.15">
      <c r="A234" s="24" t="str">
        <f t="shared" si="24"/>
        <v>6_4-4/52&lt;lv15&gt;s2</v>
      </c>
      <c r="B234" s="19">
        <f t="shared" si="27"/>
        <v>6</v>
      </c>
      <c r="C234" s="19">
        <f t="shared" si="27"/>
        <v>4</v>
      </c>
      <c r="D234" s="19">
        <f t="shared" si="27"/>
        <v>4</v>
      </c>
      <c r="E234" s="19">
        <f t="shared" si="27"/>
        <v>52</v>
      </c>
      <c r="F234" s="19">
        <f t="shared" si="27"/>
        <v>15</v>
      </c>
      <c r="G234" s="19">
        <f t="shared" si="26"/>
        <v>1</v>
      </c>
      <c r="H234" s="19">
        <f t="shared" si="26"/>
        <v>1</v>
      </c>
      <c r="I234" s="19">
        <f t="shared" si="26"/>
        <v>0</v>
      </c>
      <c r="J234" s="19">
        <v>51</v>
      </c>
      <c r="K234" s="19">
        <f t="shared" si="27"/>
        <v>1</v>
      </c>
      <c r="L234" s="19">
        <f t="shared" si="27"/>
        <v>100</v>
      </c>
      <c r="M234" s="19">
        <f t="shared" si="27"/>
        <v>1</v>
      </c>
      <c r="N234" s="19">
        <f t="shared" si="27"/>
        <v>2</v>
      </c>
      <c r="O234" s="19">
        <f t="shared" si="27"/>
        <v>51</v>
      </c>
      <c r="P234" s="19">
        <f t="shared" si="27"/>
        <v>1</v>
      </c>
      <c r="Q234" s="19">
        <f t="shared" si="27"/>
        <v>2</v>
      </c>
      <c r="R234" s="19">
        <f t="shared" si="27"/>
        <v>0</v>
      </c>
      <c r="S234" s="19">
        <f t="shared" si="27"/>
        <v>0</v>
      </c>
      <c r="T234" s="19">
        <f t="shared" si="27"/>
        <v>0</v>
      </c>
      <c r="U234" s="19">
        <f t="shared" si="21"/>
        <v>0</v>
      </c>
      <c r="V234" s="19">
        <f t="shared" si="21"/>
        <v>0</v>
      </c>
      <c r="W234" s="19">
        <f t="shared" si="21"/>
        <v>1</v>
      </c>
    </row>
    <row r="235" spans="1:23" x14ac:dyDescent="0.15">
      <c r="A235" s="24" t="str">
        <f t="shared" si="24"/>
        <v>6_5-1/1&lt;lv11&gt;s1</v>
      </c>
      <c r="B235" s="19">
        <f t="shared" si="27"/>
        <v>6</v>
      </c>
      <c r="C235" s="19">
        <f t="shared" si="27"/>
        <v>5</v>
      </c>
      <c r="D235" s="19">
        <f t="shared" si="27"/>
        <v>1</v>
      </c>
      <c r="E235" s="19">
        <f t="shared" si="27"/>
        <v>1</v>
      </c>
      <c r="F235" s="19">
        <f t="shared" si="27"/>
        <v>11</v>
      </c>
      <c r="G235" s="19">
        <f t="shared" si="26"/>
        <v>1</v>
      </c>
      <c r="H235" s="19">
        <f t="shared" si="26"/>
        <v>1</v>
      </c>
      <c r="I235" s="19">
        <f t="shared" si="26"/>
        <v>0</v>
      </c>
      <c r="J235" s="19">
        <v>0</v>
      </c>
      <c r="K235" s="19">
        <f t="shared" si="27"/>
        <v>0</v>
      </c>
      <c r="L235" s="19">
        <f t="shared" si="27"/>
        <v>100</v>
      </c>
      <c r="M235" s="19">
        <f t="shared" si="27"/>
        <v>0</v>
      </c>
      <c r="N235" s="19">
        <f t="shared" si="27"/>
        <v>1</v>
      </c>
      <c r="O235" s="19">
        <f t="shared" si="27"/>
        <v>1</v>
      </c>
      <c r="P235" s="19">
        <f t="shared" si="27"/>
        <v>5</v>
      </c>
      <c r="Q235" s="19">
        <f t="shared" si="27"/>
        <v>1</v>
      </c>
      <c r="R235" s="19">
        <f t="shared" si="27"/>
        <v>30</v>
      </c>
      <c r="S235" s="19">
        <f t="shared" si="27"/>
        <v>0</v>
      </c>
      <c r="T235" s="19">
        <f t="shared" si="27"/>
        <v>0</v>
      </c>
      <c r="U235" s="19">
        <f t="shared" si="21"/>
        <v>0</v>
      </c>
      <c r="V235" s="19">
        <f t="shared" si="21"/>
        <v>0</v>
      </c>
      <c r="W235" s="19">
        <f t="shared" si="21"/>
        <v>1</v>
      </c>
    </row>
    <row r="236" spans="1:23" x14ac:dyDescent="0.15">
      <c r="A236" s="24" t="str">
        <f t="shared" si="24"/>
        <v>6_5-1/3&lt;lv11&gt;s2</v>
      </c>
      <c r="B236" s="19">
        <f t="shared" si="27"/>
        <v>6</v>
      </c>
      <c r="C236" s="19">
        <f t="shared" si="27"/>
        <v>5</v>
      </c>
      <c r="D236" s="19">
        <f t="shared" si="27"/>
        <v>1</v>
      </c>
      <c r="E236" s="19">
        <f t="shared" si="27"/>
        <v>3</v>
      </c>
      <c r="F236" s="19">
        <f t="shared" si="27"/>
        <v>11</v>
      </c>
      <c r="G236" s="19">
        <f t="shared" si="26"/>
        <v>1</v>
      </c>
      <c r="H236" s="19">
        <f t="shared" si="26"/>
        <v>1</v>
      </c>
      <c r="I236" s="19">
        <f t="shared" si="26"/>
        <v>0</v>
      </c>
      <c r="J236" s="19">
        <v>0</v>
      </c>
      <c r="K236" s="19">
        <f t="shared" si="27"/>
        <v>0</v>
      </c>
      <c r="L236" s="19">
        <f t="shared" si="27"/>
        <v>100</v>
      </c>
      <c r="M236" s="19">
        <f t="shared" si="27"/>
        <v>0</v>
      </c>
      <c r="N236" s="19">
        <f t="shared" si="27"/>
        <v>2</v>
      </c>
      <c r="O236" s="19">
        <f t="shared" si="27"/>
        <v>3</v>
      </c>
      <c r="P236" s="19">
        <f t="shared" si="27"/>
        <v>5</v>
      </c>
      <c r="Q236" s="19">
        <f t="shared" si="27"/>
        <v>1</v>
      </c>
      <c r="R236" s="19">
        <f t="shared" si="27"/>
        <v>30</v>
      </c>
      <c r="S236" s="19">
        <f t="shared" si="27"/>
        <v>0</v>
      </c>
      <c r="T236" s="19">
        <f t="shared" si="27"/>
        <v>0</v>
      </c>
      <c r="U236" s="19">
        <f t="shared" si="21"/>
        <v>0</v>
      </c>
      <c r="V236" s="19">
        <f t="shared" si="21"/>
        <v>0</v>
      </c>
      <c r="W236" s="19">
        <f t="shared" si="21"/>
        <v>1</v>
      </c>
    </row>
    <row r="237" spans="1:23" x14ac:dyDescent="0.15">
      <c r="A237" s="24" t="str">
        <f t="shared" si="24"/>
        <v>6_5-1/5&lt;lv11&gt;s3</v>
      </c>
      <c r="B237" s="19">
        <f t="shared" si="27"/>
        <v>6</v>
      </c>
      <c r="C237" s="19">
        <f t="shared" si="27"/>
        <v>5</v>
      </c>
      <c r="D237" s="19">
        <f t="shared" si="27"/>
        <v>1</v>
      </c>
      <c r="E237" s="19">
        <f t="shared" si="27"/>
        <v>5</v>
      </c>
      <c r="F237" s="19">
        <f t="shared" si="27"/>
        <v>11</v>
      </c>
      <c r="G237" s="19">
        <f t="shared" si="26"/>
        <v>1</v>
      </c>
      <c r="H237" s="19">
        <f t="shared" si="26"/>
        <v>1</v>
      </c>
      <c r="I237" s="19">
        <f t="shared" si="26"/>
        <v>0</v>
      </c>
      <c r="J237" s="19">
        <v>0</v>
      </c>
      <c r="K237" s="19">
        <f t="shared" si="27"/>
        <v>0</v>
      </c>
      <c r="L237" s="19">
        <f t="shared" si="27"/>
        <v>100</v>
      </c>
      <c r="M237" s="19">
        <f t="shared" si="27"/>
        <v>0</v>
      </c>
      <c r="N237" s="19">
        <f t="shared" si="27"/>
        <v>3</v>
      </c>
      <c r="O237" s="19">
        <f t="shared" si="27"/>
        <v>5</v>
      </c>
      <c r="P237" s="19">
        <f t="shared" si="27"/>
        <v>5</v>
      </c>
      <c r="Q237" s="19">
        <f t="shared" si="27"/>
        <v>1</v>
      </c>
      <c r="R237" s="19">
        <f t="shared" si="27"/>
        <v>30</v>
      </c>
      <c r="S237" s="19">
        <f t="shared" si="27"/>
        <v>0</v>
      </c>
      <c r="T237" s="19">
        <f t="shared" si="27"/>
        <v>0</v>
      </c>
      <c r="U237" s="19">
        <f t="shared" si="21"/>
        <v>0</v>
      </c>
      <c r="V237" s="19">
        <f t="shared" si="21"/>
        <v>0</v>
      </c>
      <c r="W237" s="19">
        <f t="shared" si="21"/>
        <v>1</v>
      </c>
    </row>
    <row r="238" spans="1:23" x14ac:dyDescent="0.15">
      <c r="A238" s="24" t="str">
        <f t="shared" si="24"/>
        <v>6_5-1/7&lt;lv11&gt;s2</v>
      </c>
      <c r="B238" s="19">
        <f t="shared" si="27"/>
        <v>6</v>
      </c>
      <c r="C238" s="19">
        <f t="shared" si="27"/>
        <v>5</v>
      </c>
      <c r="D238" s="19">
        <f t="shared" si="27"/>
        <v>1</v>
      </c>
      <c r="E238" s="19">
        <f t="shared" si="27"/>
        <v>7</v>
      </c>
      <c r="F238" s="19">
        <f t="shared" si="27"/>
        <v>11</v>
      </c>
      <c r="G238" s="19">
        <f t="shared" si="26"/>
        <v>1</v>
      </c>
      <c r="H238" s="19">
        <f t="shared" si="26"/>
        <v>1</v>
      </c>
      <c r="I238" s="19">
        <f t="shared" si="26"/>
        <v>0</v>
      </c>
      <c r="J238" s="19">
        <v>0</v>
      </c>
      <c r="K238" s="19">
        <f t="shared" si="27"/>
        <v>0</v>
      </c>
      <c r="L238" s="19">
        <f t="shared" si="27"/>
        <v>100</v>
      </c>
      <c r="M238" s="19">
        <f t="shared" si="27"/>
        <v>0</v>
      </c>
      <c r="N238" s="19">
        <f t="shared" si="27"/>
        <v>2</v>
      </c>
      <c r="O238" s="19">
        <f t="shared" si="27"/>
        <v>7</v>
      </c>
      <c r="P238" s="19">
        <f t="shared" si="27"/>
        <v>5</v>
      </c>
      <c r="Q238" s="19">
        <f t="shared" si="27"/>
        <v>1</v>
      </c>
      <c r="R238" s="19">
        <f t="shared" si="27"/>
        <v>30</v>
      </c>
      <c r="S238" s="19">
        <f t="shared" si="27"/>
        <v>0</v>
      </c>
      <c r="T238" s="19">
        <f t="shared" si="27"/>
        <v>0</v>
      </c>
      <c r="U238" s="19">
        <f t="shared" ref="U238:W276" si="28">VLOOKUP($A238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238" s="19">
        <f t="shared" si="28"/>
        <v>0</v>
      </c>
      <c r="W238" s="19">
        <f t="shared" si="28"/>
        <v>1</v>
      </c>
    </row>
    <row r="239" spans="1:23" x14ac:dyDescent="0.15">
      <c r="A239" s="24" t="str">
        <f t="shared" si="24"/>
        <v>6_5-2/9&lt;lv11&gt;s2</v>
      </c>
      <c r="B239" s="19">
        <f t="shared" si="27"/>
        <v>6</v>
      </c>
      <c r="C239" s="19">
        <f t="shared" si="27"/>
        <v>5</v>
      </c>
      <c r="D239" s="19">
        <f t="shared" si="27"/>
        <v>2</v>
      </c>
      <c r="E239" s="19">
        <f t="shared" si="27"/>
        <v>9</v>
      </c>
      <c r="F239" s="19">
        <f t="shared" si="27"/>
        <v>11</v>
      </c>
      <c r="G239" s="19">
        <f t="shared" si="26"/>
        <v>1</v>
      </c>
      <c r="H239" s="19">
        <f t="shared" si="26"/>
        <v>1</v>
      </c>
      <c r="I239" s="19">
        <f t="shared" si="26"/>
        <v>0</v>
      </c>
      <c r="J239" s="19">
        <v>0</v>
      </c>
      <c r="K239" s="19">
        <f t="shared" si="27"/>
        <v>0</v>
      </c>
      <c r="L239" s="19">
        <f t="shared" si="27"/>
        <v>100</v>
      </c>
      <c r="M239" s="19">
        <f t="shared" si="27"/>
        <v>0</v>
      </c>
      <c r="N239" s="19">
        <f t="shared" si="27"/>
        <v>2</v>
      </c>
      <c r="O239" s="19">
        <f t="shared" si="27"/>
        <v>9</v>
      </c>
      <c r="P239" s="19">
        <f t="shared" si="27"/>
        <v>2</v>
      </c>
      <c r="Q239" s="19">
        <f t="shared" si="27"/>
        <v>1</v>
      </c>
      <c r="R239" s="19">
        <f t="shared" si="27"/>
        <v>30</v>
      </c>
      <c r="S239" s="19">
        <f t="shared" si="27"/>
        <v>0</v>
      </c>
      <c r="T239" s="19">
        <f t="shared" si="27"/>
        <v>0</v>
      </c>
      <c r="U239" s="19">
        <f t="shared" si="28"/>
        <v>0</v>
      </c>
      <c r="V239" s="19">
        <f t="shared" si="28"/>
        <v>0</v>
      </c>
      <c r="W239" s="19">
        <f t="shared" si="28"/>
        <v>1</v>
      </c>
    </row>
    <row r="240" spans="1:23" x14ac:dyDescent="0.15">
      <c r="A240" s="24" t="str">
        <f t="shared" si="24"/>
        <v>6_5-2/11&lt;lv11&gt;s3</v>
      </c>
      <c r="B240" s="19">
        <f t="shared" si="27"/>
        <v>6</v>
      </c>
      <c r="C240" s="19">
        <f t="shared" si="27"/>
        <v>5</v>
      </c>
      <c r="D240" s="19">
        <f t="shared" si="27"/>
        <v>2</v>
      </c>
      <c r="E240" s="19">
        <f t="shared" si="27"/>
        <v>11</v>
      </c>
      <c r="F240" s="19">
        <f t="shared" si="27"/>
        <v>11</v>
      </c>
      <c r="G240" s="19">
        <f t="shared" si="26"/>
        <v>1</v>
      </c>
      <c r="H240" s="19">
        <f t="shared" si="26"/>
        <v>1</v>
      </c>
      <c r="I240" s="19">
        <f t="shared" si="26"/>
        <v>0</v>
      </c>
      <c r="J240" s="19">
        <v>0</v>
      </c>
      <c r="K240" s="19">
        <f t="shared" si="27"/>
        <v>0</v>
      </c>
      <c r="L240" s="19">
        <f t="shared" si="27"/>
        <v>100</v>
      </c>
      <c r="M240" s="19">
        <f t="shared" si="27"/>
        <v>0</v>
      </c>
      <c r="N240" s="19">
        <f t="shared" si="27"/>
        <v>3</v>
      </c>
      <c r="O240" s="19">
        <f t="shared" si="27"/>
        <v>11</v>
      </c>
      <c r="P240" s="19">
        <f t="shared" si="27"/>
        <v>2</v>
      </c>
      <c r="Q240" s="19">
        <f t="shared" si="27"/>
        <v>1</v>
      </c>
      <c r="R240" s="19">
        <f t="shared" si="27"/>
        <v>30</v>
      </c>
      <c r="S240" s="19">
        <f t="shared" si="27"/>
        <v>0</v>
      </c>
      <c r="T240" s="19">
        <f t="shared" si="27"/>
        <v>0</v>
      </c>
      <c r="U240" s="19">
        <f t="shared" si="28"/>
        <v>0</v>
      </c>
      <c r="V240" s="19">
        <f t="shared" si="28"/>
        <v>0</v>
      </c>
      <c r="W240" s="19">
        <f t="shared" si="28"/>
        <v>1</v>
      </c>
    </row>
    <row r="241" spans="1:23" x14ac:dyDescent="0.15">
      <c r="A241" s="24" t="str">
        <f t="shared" si="24"/>
        <v>6_5-2/13&lt;lv11&gt;s2</v>
      </c>
      <c r="B241" s="19">
        <f t="shared" si="27"/>
        <v>6</v>
      </c>
      <c r="C241" s="19">
        <f t="shared" si="27"/>
        <v>5</v>
      </c>
      <c r="D241" s="19">
        <f t="shared" si="27"/>
        <v>2</v>
      </c>
      <c r="E241" s="19">
        <f t="shared" si="27"/>
        <v>13</v>
      </c>
      <c r="F241" s="19">
        <f t="shared" si="27"/>
        <v>11</v>
      </c>
      <c r="G241" s="19">
        <f t="shared" si="26"/>
        <v>1</v>
      </c>
      <c r="H241" s="19">
        <f t="shared" si="26"/>
        <v>1</v>
      </c>
      <c r="I241" s="19">
        <f t="shared" si="26"/>
        <v>0</v>
      </c>
      <c r="J241" s="19">
        <v>0</v>
      </c>
      <c r="K241" s="19">
        <f t="shared" si="27"/>
        <v>0</v>
      </c>
      <c r="L241" s="19">
        <f t="shared" si="27"/>
        <v>100</v>
      </c>
      <c r="M241" s="19">
        <f t="shared" si="27"/>
        <v>0</v>
      </c>
      <c r="N241" s="19">
        <f t="shared" si="27"/>
        <v>2</v>
      </c>
      <c r="O241" s="19">
        <f t="shared" si="27"/>
        <v>13</v>
      </c>
      <c r="P241" s="19">
        <f t="shared" si="27"/>
        <v>2</v>
      </c>
      <c r="Q241" s="19">
        <f t="shared" si="27"/>
        <v>1</v>
      </c>
      <c r="R241" s="19">
        <f t="shared" si="27"/>
        <v>30</v>
      </c>
      <c r="S241" s="19">
        <f t="shared" si="27"/>
        <v>0</v>
      </c>
      <c r="T241" s="19">
        <f t="shared" si="27"/>
        <v>0</v>
      </c>
      <c r="U241" s="19">
        <f t="shared" si="28"/>
        <v>0</v>
      </c>
      <c r="V241" s="19">
        <f t="shared" si="28"/>
        <v>0</v>
      </c>
      <c r="W241" s="19">
        <f t="shared" si="28"/>
        <v>1</v>
      </c>
    </row>
    <row r="242" spans="1:23" x14ac:dyDescent="0.15">
      <c r="A242" s="24" t="str">
        <f t="shared" si="24"/>
        <v>6_5-2/15&lt;lv11&gt;s3</v>
      </c>
      <c r="B242" s="19">
        <f t="shared" si="27"/>
        <v>6</v>
      </c>
      <c r="C242" s="19">
        <f t="shared" ref="B242:T257" si="29">VLOOKUP($A242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</v>
      </c>
      <c r="D242" s="19">
        <f t="shared" si="29"/>
        <v>2</v>
      </c>
      <c r="E242" s="19">
        <f t="shared" si="29"/>
        <v>15</v>
      </c>
      <c r="F242" s="19">
        <f t="shared" si="29"/>
        <v>11</v>
      </c>
      <c r="G242" s="19">
        <f t="shared" si="26"/>
        <v>1</v>
      </c>
      <c r="H242" s="19">
        <f t="shared" si="26"/>
        <v>1</v>
      </c>
      <c r="I242" s="19">
        <f t="shared" si="26"/>
        <v>0</v>
      </c>
      <c r="J242" s="19">
        <v>0</v>
      </c>
      <c r="K242" s="19">
        <f t="shared" si="29"/>
        <v>0</v>
      </c>
      <c r="L242" s="19">
        <f t="shared" si="29"/>
        <v>100</v>
      </c>
      <c r="M242" s="19">
        <f t="shared" si="29"/>
        <v>0</v>
      </c>
      <c r="N242" s="19">
        <f t="shared" si="29"/>
        <v>3</v>
      </c>
      <c r="O242" s="19">
        <f t="shared" si="29"/>
        <v>15</v>
      </c>
      <c r="P242" s="19">
        <f t="shared" si="29"/>
        <v>2</v>
      </c>
      <c r="Q242" s="19">
        <f t="shared" si="29"/>
        <v>1</v>
      </c>
      <c r="R242" s="19">
        <f t="shared" si="29"/>
        <v>30</v>
      </c>
      <c r="S242" s="19">
        <f t="shared" si="29"/>
        <v>0</v>
      </c>
      <c r="T242" s="19">
        <f t="shared" si="29"/>
        <v>0</v>
      </c>
      <c r="U242" s="19">
        <f t="shared" si="28"/>
        <v>0</v>
      </c>
      <c r="V242" s="19">
        <f t="shared" si="28"/>
        <v>0</v>
      </c>
      <c r="W242" s="19">
        <f t="shared" si="28"/>
        <v>1</v>
      </c>
    </row>
    <row r="243" spans="1:23" x14ac:dyDescent="0.15">
      <c r="A243" s="24" t="str">
        <f t="shared" si="24"/>
        <v>6_5-2/17&lt;lv11&gt;s2</v>
      </c>
      <c r="B243" s="19">
        <f t="shared" si="29"/>
        <v>6</v>
      </c>
      <c r="C243" s="19">
        <f t="shared" si="29"/>
        <v>5</v>
      </c>
      <c r="D243" s="19">
        <f t="shared" si="29"/>
        <v>2</v>
      </c>
      <c r="E243" s="19">
        <f t="shared" si="29"/>
        <v>17</v>
      </c>
      <c r="F243" s="19">
        <f t="shared" si="29"/>
        <v>11</v>
      </c>
      <c r="G243" s="19">
        <f t="shared" si="26"/>
        <v>1</v>
      </c>
      <c r="H243" s="19">
        <f t="shared" si="26"/>
        <v>1</v>
      </c>
      <c r="I243" s="19">
        <f t="shared" si="26"/>
        <v>0</v>
      </c>
      <c r="J243" s="19">
        <v>0</v>
      </c>
      <c r="K243" s="19">
        <f t="shared" si="29"/>
        <v>0</v>
      </c>
      <c r="L243" s="19">
        <f t="shared" si="29"/>
        <v>100</v>
      </c>
      <c r="M243" s="19">
        <f t="shared" si="29"/>
        <v>0</v>
      </c>
      <c r="N243" s="19">
        <f t="shared" si="29"/>
        <v>2</v>
      </c>
      <c r="O243" s="19">
        <f t="shared" si="29"/>
        <v>17</v>
      </c>
      <c r="P243" s="19">
        <f t="shared" si="29"/>
        <v>2</v>
      </c>
      <c r="Q243" s="19">
        <f t="shared" si="29"/>
        <v>1</v>
      </c>
      <c r="R243" s="19">
        <f t="shared" si="29"/>
        <v>30</v>
      </c>
      <c r="S243" s="19">
        <f t="shared" si="29"/>
        <v>0</v>
      </c>
      <c r="T243" s="19">
        <f t="shared" si="29"/>
        <v>0</v>
      </c>
      <c r="U243" s="19">
        <f t="shared" si="28"/>
        <v>0</v>
      </c>
      <c r="V243" s="19">
        <f t="shared" si="28"/>
        <v>0</v>
      </c>
      <c r="W243" s="19">
        <f t="shared" si="28"/>
        <v>1</v>
      </c>
    </row>
    <row r="244" spans="1:23" x14ac:dyDescent="0.15">
      <c r="A244" s="24" t="str">
        <f t="shared" si="24"/>
        <v>6_5-2/19&lt;lv11&gt;s3</v>
      </c>
      <c r="B244" s="19">
        <f t="shared" si="29"/>
        <v>6</v>
      </c>
      <c r="C244" s="19">
        <f t="shared" si="29"/>
        <v>5</v>
      </c>
      <c r="D244" s="19">
        <f t="shared" si="29"/>
        <v>2</v>
      </c>
      <c r="E244" s="19">
        <f t="shared" si="29"/>
        <v>19</v>
      </c>
      <c r="F244" s="19">
        <f t="shared" si="29"/>
        <v>11</v>
      </c>
      <c r="G244" s="19">
        <f t="shared" si="26"/>
        <v>1</v>
      </c>
      <c r="H244" s="19">
        <f t="shared" si="26"/>
        <v>1</v>
      </c>
      <c r="I244" s="19">
        <f t="shared" si="26"/>
        <v>0</v>
      </c>
      <c r="J244" s="19">
        <v>0</v>
      </c>
      <c r="K244" s="19">
        <f t="shared" si="29"/>
        <v>0</v>
      </c>
      <c r="L244" s="19">
        <f t="shared" si="29"/>
        <v>100</v>
      </c>
      <c r="M244" s="19">
        <f t="shared" si="29"/>
        <v>0</v>
      </c>
      <c r="N244" s="19">
        <f t="shared" si="29"/>
        <v>3</v>
      </c>
      <c r="O244" s="19">
        <f t="shared" si="29"/>
        <v>19</v>
      </c>
      <c r="P244" s="19">
        <f t="shared" si="29"/>
        <v>2</v>
      </c>
      <c r="Q244" s="19">
        <f t="shared" si="29"/>
        <v>1</v>
      </c>
      <c r="R244" s="19">
        <f t="shared" si="29"/>
        <v>30</v>
      </c>
      <c r="S244" s="19">
        <f t="shared" si="29"/>
        <v>0</v>
      </c>
      <c r="T244" s="19">
        <f t="shared" si="29"/>
        <v>0</v>
      </c>
      <c r="U244" s="19">
        <f t="shared" si="28"/>
        <v>0</v>
      </c>
      <c r="V244" s="19">
        <f t="shared" si="28"/>
        <v>0</v>
      </c>
      <c r="W244" s="19">
        <f t="shared" si="28"/>
        <v>1</v>
      </c>
    </row>
    <row r="245" spans="1:23" x14ac:dyDescent="0.15">
      <c r="A245" s="24" t="str">
        <f t="shared" si="24"/>
        <v>6_5-2/101&lt;lv11&gt;s1</v>
      </c>
      <c r="B245" s="19">
        <f t="shared" si="29"/>
        <v>6</v>
      </c>
      <c r="C245" s="19">
        <f t="shared" si="29"/>
        <v>5</v>
      </c>
      <c r="D245" s="19">
        <f t="shared" si="29"/>
        <v>2</v>
      </c>
      <c r="E245" s="19">
        <f t="shared" si="29"/>
        <v>101</v>
      </c>
      <c r="F245" s="19">
        <f t="shared" si="29"/>
        <v>11</v>
      </c>
      <c r="G245" s="19">
        <f t="shared" si="26"/>
        <v>1</v>
      </c>
      <c r="H245" s="19">
        <f t="shared" si="26"/>
        <v>1</v>
      </c>
      <c r="I245" s="19">
        <f t="shared" si="26"/>
        <v>0</v>
      </c>
      <c r="J245" s="19">
        <v>0</v>
      </c>
      <c r="K245" s="19">
        <f t="shared" si="29"/>
        <v>0</v>
      </c>
      <c r="L245" s="19">
        <f t="shared" si="29"/>
        <v>50</v>
      </c>
      <c r="M245" s="19">
        <f t="shared" si="29"/>
        <v>0</v>
      </c>
      <c r="N245" s="19">
        <f t="shared" si="29"/>
        <v>1</v>
      </c>
      <c r="O245" s="19">
        <f t="shared" si="29"/>
        <v>101</v>
      </c>
      <c r="P245" s="19">
        <f t="shared" si="29"/>
        <v>1</v>
      </c>
      <c r="Q245" s="19">
        <f t="shared" si="29"/>
        <v>2</v>
      </c>
      <c r="R245" s="19">
        <f t="shared" si="29"/>
        <v>20</v>
      </c>
      <c r="S245" s="19">
        <f t="shared" si="29"/>
        <v>0</v>
      </c>
      <c r="T245" s="19">
        <f t="shared" si="29"/>
        <v>0</v>
      </c>
      <c r="U245" s="19">
        <f t="shared" si="28"/>
        <v>0</v>
      </c>
      <c r="V245" s="19">
        <f t="shared" si="28"/>
        <v>0</v>
      </c>
      <c r="W245" s="19">
        <f t="shared" si="28"/>
        <v>1</v>
      </c>
    </row>
    <row r="246" spans="1:23" x14ac:dyDescent="0.15">
      <c r="A246" s="24" t="str">
        <f t="shared" si="24"/>
        <v>6_5-2/105&lt;lv11&gt;s1</v>
      </c>
      <c r="B246" s="19">
        <f t="shared" si="29"/>
        <v>6</v>
      </c>
      <c r="C246" s="19">
        <f t="shared" si="29"/>
        <v>5</v>
      </c>
      <c r="D246" s="19">
        <f t="shared" si="29"/>
        <v>2</v>
      </c>
      <c r="E246" s="19">
        <f t="shared" si="29"/>
        <v>105</v>
      </c>
      <c r="F246" s="19">
        <f t="shared" si="29"/>
        <v>11</v>
      </c>
      <c r="G246" s="19">
        <f t="shared" si="26"/>
        <v>1</v>
      </c>
      <c r="H246" s="19">
        <f t="shared" si="26"/>
        <v>1</v>
      </c>
      <c r="I246" s="19">
        <f t="shared" si="26"/>
        <v>0</v>
      </c>
      <c r="J246" s="19">
        <v>0</v>
      </c>
      <c r="K246" s="19">
        <f t="shared" si="29"/>
        <v>0</v>
      </c>
      <c r="L246" s="19">
        <f t="shared" si="29"/>
        <v>50</v>
      </c>
      <c r="M246" s="19">
        <f t="shared" si="29"/>
        <v>0</v>
      </c>
      <c r="N246" s="19">
        <f t="shared" si="29"/>
        <v>1</v>
      </c>
      <c r="O246" s="19">
        <f t="shared" si="29"/>
        <v>105</v>
      </c>
      <c r="P246" s="19">
        <f t="shared" si="29"/>
        <v>1</v>
      </c>
      <c r="Q246" s="19">
        <f t="shared" si="29"/>
        <v>2</v>
      </c>
      <c r="R246" s="19">
        <f t="shared" si="29"/>
        <v>20</v>
      </c>
      <c r="S246" s="19">
        <f t="shared" si="29"/>
        <v>0</v>
      </c>
      <c r="T246" s="19">
        <f t="shared" si="29"/>
        <v>0</v>
      </c>
      <c r="U246" s="19">
        <f t="shared" si="28"/>
        <v>0</v>
      </c>
      <c r="V246" s="19">
        <f t="shared" si="28"/>
        <v>0</v>
      </c>
      <c r="W246" s="19">
        <f t="shared" si="28"/>
        <v>1</v>
      </c>
    </row>
    <row r="247" spans="1:23" x14ac:dyDescent="0.15">
      <c r="A247" s="24" t="str">
        <f t="shared" si="24"/>
        <v>6_5-3/15&lt;lv11&gt;s3</v>
      </c>
      <c r="B247" s="19">
        <f t="shared" si="29"/>
        <v>6</v>
      </c>
      <c r="C247" s="19">
        <f t="shared" si="29"/>
        <v>5</v>
      </c>
      <c r="D247" s="19">
        <f t="shared" si="29"/>
        <v>3</v>
      </c>
      <c r="E247" s="19">
        <f t="shared" si="29"/>
        <v>15</v>
      </c>
      <c r="F247" s="19">
        <f t="shared" si="29"/>
        <v>11</v>
      </c>
      <c r="G247" s="19">
        <f t="shared" si="26"/>
        <v>1</v>
      </c>
      <c r="H247" s="19">
        <f t="shared" si="26"/>
        <v>1</v>
      </c>
      <c r="I247" s="19">
        <f t="shared" si="26"/>
        <v>0</v>
      </c>
      <c r="J247" s="19">
        <v>0</v>
      </c>
      <c r="K247" s="19">
        <f t="shared" si="29"/>
        <v>0</v>
      </c>
      <c r="L247" s="19">
        <f t="shared" si="29"/>
        <v>100</v>
      </c>
      <c r="M247" s="19">
        <f t="shared" si="29"/>
        <v>0</v>
      </c>
      <c r="N247" s="19">
        <f t="shared" si="29"/>
        <v>3</v>
      </c>
      <c r="O247" s="19">
        <f t="shared" si="29"/>
        <v>15</v>
      </c>
      <c r="P247" s="19">
        <f t="shared" si="29"/>
        <v>2</v>
      </c>
      <c r="Q247" s="19">
        <f t="shared" si="29"/>
        <v>1</v>
      </c>
      <c r="R247" s="19">
        <f t="shared" si="29"/>
        <v>30</v>
      </c>
      <c r="S247" s="19">
        <f t="shared" si="29"/>
        <v>0</v>
      </c>
      <c r="T247" s="19">
        <f t="shared" si="29"/>
        <v>0</v>
      </c>
      <c r="U247" s="19">
        <f t="shared" si="28"/>
        <v>0</v>
      </c>
      <c r="V247" s="19">
        <f t="shared" si="28"/>
        <v>0</v>
      </c>
      <c r="W247" s="19">
        <f t="shared" si="28"/>
        <v>1</v>
      </c>
    </row>
    <row r="248" spans="1:23" x14ac:dyDescent="0.15">
      <c r="A248" s="24" t="str">
        <f t="shared" si="24"/>
        <v>6_5-3/17&lt;lv11&gt;s2</v>
      </c>
      <c r="B248" s="19">
        <f t="shared" si="29"/>
        <v>6</v>
      </c>
      <c r="C248" s="19">
        <f t="shared" si="29"/>
        <v>5</v>
      </c>
      <c r="D248" s="19">
        <f t="shared" si="29"/>
        <v>3</v>
      </c>
      <c r="E248" s="19">
        <f t="shared" si="29"/>
        <v>17</v>
      </c>
      <c r="F248" s="19">
        <f t="shared" si="29"/>
        <v>11</v>
      </c>
      <c r="G248" s="19">
        <f t="shared" si="26"/>
        <v>1</v>
      </c>
      <c r="H248" s="19">
        <f t="shared" si="26"/>
        <v>1</v>
      </c>
      <c r="I248" s="19">
        <f t="shared" si="26"/>
        <v>0</v>
      </c>
      <c r="J248" s="19">
        <v>0</v>
      </c>
      <c r="K248" s="19">
        <f t="shared" si="29"/>
        <v>0</v>
      </c>
      <c r="L248" s="19">
        <f t="shared" si="29"/>
        <v>100</v>
      </c>
      <c r="M248" s="19">
        <f t="shared" si="29"/>
        <v>0</v>
      </c>
      <c r="N248" s="19">
        <f t="shared" si="29"/>
        <v>2</v>
      </c>
      <c r="O248" s="19">
        <f t="shared" si="29"/>
        <v>17</v>
      </c>
      <c r="P248" s="19">
        <f t="shared" si="29"/>
        <v>2</v>
      </c>
      <c r="Q248" s="19">
        <f t="shared" si="29"/>
        <v>1</v>
      </c>
      <c r="R248" s="19">
        <f t="shared" si="29"/>
        <v>30</v>
      </c>
      <c r="S248" s="19">
        <f t="shared" si="29"/>
        <v>0</v>
      </c>
      <c r="T248" s="19">
        <f t="shared" si="29"/>
        <v>0</v>
      </c>
      <c r="U248" s="19">
        <f t="shared" si="28"/>
        <v>0</v>
      </c>
      <c r="V248" s="19">
        <f t="shared" si="28"/>
        <v>0</v>
      </c>
      <c r="W248" s="19">
        <f t="shared" si="28"/>
        <v>1</v>
      </c>
    </row>
    <row r="249" spans="1:23" x14ac:dyDescent="0.15">
      <c r="A249" s="24" t="str">
        <f t="shared" si="24"/>
        <v>6_5-3/19&lt;lv11&gt;s3</v>
      </c>
      <c r="B249" s="19">
        <f t="shared" si="29"/>
        <v>6</v>
      </c>
      <c r="C249" s="19">
        <f t="shared" si="29"/>
        <v>5</v>
      </c>
      <c r="D249" s="19">
        <f t="shared" si="29"/>
        <v>3</v>
      </c>
      <c r="E249" s="19">
        <f t="shared" si="29"/>
        <v>19</v>
      </c>
      <c r="F249" s="19">
        <f t="shared" si="29"/>
        <v>11</v>
      </c>
      <c r="G249" s="19">
        <f t="shared" si="26"/>
        <v>1</v>
      </c>
      <c r="H249" s="19">
        <f t="shared" si="26"/>
        <v>1</v>
      </c>
      <c r="I249" s="19">
        <f t="shared" si="26"/>
        <v>0</v>
      </c>
      <c r="J249" s="19">
        <v>0</v>
      </c>
      <c r="K249" s="19">
        <f t="shared" si="29"/>
        <v>0</v>
      </c>
      <c r="L249" s="19">
        <f t="shared" si="29"/>
        <v>100</v>
      </c>
      <c r="M249" s="19">
        <f t="shared" si="29"/>
        <v>0</v>
      </c>
      <c r="N249" s="19">
        <f t="shared" si="29"/>
        <v>3</v>
      </c>
      <c r="O249" s="19">
        <f t="shared" si="29"/>
        <v>19</v>
      </c>
      <c r="P249" s="19">
        <f t="shared" si="29"/>
        <v>2</v>
      </c>
      <c r="Q249" s="19">
        <f t="shared" si="29"/>
        <v>1</v>
      </c>
      <c r="R249" s="19">
        <f t="shared" si="29"/>
        <v>30</v>
      </c>
      <c r="S249" s="19">
        <f t="shared" si="29"/>
        <v>0</v>
      </c>
      <c r="T249" s="19">
        <f t="shared" si="29"/>
        <v>0</v>
      </c>
      <c r="U249" s="19">
        <f t="shared" si="28"/>
        <v>0</v>
      </c>
      <c r="V249" s="19">
        <f t="shared" si="28"/>
        <v>0</v>
      </c>
      <c r="W249" s="19">
        <f t="shared" si="28"/>
        <v>1</v>
      </c>
    </row>
    <row r="250" spans="1:23" x14ac:dyDescent="0.15">
      <c r="A250" s="24" t="str">
        <f t="shared" si="24"/>
        <v>6_5-3/23&lt;lv11&gt;s4</v>
      </c>
      <c r="B250" s="19">
        <f t="shared" si="29"/>
        <v>6</v>
      </c>
      <c r="C250" s="19">
        <f t="shared" si="29"/>
        <v>5</v>
      </c>
      <c r="D250" s="19">
        <f t="shared" si="29"/>
        <v>3</v>
      </c>
      <c r="E250" s="19">
        <f t="shared" si="29"/>
        <v>23</v>
      </c>
      <c r="F250" s="19">
        <f t="shared" si="29"/>
        <v>11</v>
      </c>
      <c r="G250" s="19">
        <f t="shared" si="26"/>
        <v>1</v>
      </c>
      <c r="H250" s="19">
        <f t="shared" si="26"/>
        <v>1</v>
      </c>
      <c r="I250" s="19">
        <f t="shared" si="26"/>
        <v>0</v>
      </c>
      <c r="J250" s="19">
        <v>0</v>
      </c>
      <c r="K250" s="19">
        <f t="shared" si="29"/>
        <v>0</v>
      </c>
      <c r="L250" s="19">
        <f t="shared" si="29"/>
        <v>100</v>
      </c>
      <c r="M250" s="19">
        <f t="shared" si="29"/>
        <v>0</v>
      </c>
      <c r="N250" s="19">
        <f t="shared" si="29"/>
        <v>4</v>
      </c>
      <c r="O250" s="19">
        <f t="shared" si="29"/>
        <v>23</v>
      </c>
      <c r="P250" s="19">
        <f t="shared" si="29"/>
        <v>1</v>
      </c>
      <c r="Q250" s="19">
        <f t="shared" si="29"/>
        <v>1</v>
      </c>
      <c r="R250" s="19">
        <f t="shared" si="29"/>
        <v>30</v>
      </c>
      <c r="S250" s="19">
        <f t="shared" si="29"/>
        <v>0</v>
      </c>
      <c r="T250" s="19">
        <f t="shared" si="29"/>
        <v>0</v>
      </c>
      <c r="U250" s="19">
        <f t="shared" si="28"/>
        <v>0</v>
      </c>
      <c r="V250" s="19">
        <f t="shared" si="28"/>
        <v>0</v>
      </c>
      <c r="W250" s="19">
        <f t="shared" si="28"/>
        <v>1</v>
      </c>
    </row>
    <row r="251" spans="1:23" x14ac:dyDescent="0.15">
      <c r="A251" s="24" t="str">
        <f t="shared" si="24"/>
        <v>6_5-3/25&lt;lv11&gt;s3</v>
      </c>
      <c r="B251" s="19">
        <f t="shared" si="29"/>
        <v>6</v>
      </c>
      <c r="C251" s="19">
        <f t="shared" si="29"/>
        <v>5</v>
      </c>
      <c r="D251" s="19">
        <f t="shared" si="29"/>
        <v>3</v>
      </c>
      <c r="E251" s="19">
        <f t="shared" si="29"/>
        <v>25</v>
      </c>
      <c r="F251" s="19">
        <f t="shared" si="29"/>
        <v>11</v>
      </c>
      <c r="G251" s="19">
        <f t="shared" si="26"/>
        <v>1</v>
      </c>
      <c r="H251" s="19">
        <f t="shared" si="26"/>
        <v>1</v>
      </c>
      <c r="I251" s="19">
        <f t="shared" si="26"/>
        <v>0</v>
      </c>
      <c r="J251" s="19">
        <v>0</v>
      </c>
      <c r="K251" s="19">
        <f t="shared" si="29"/>
        <v>0</v>
      </c>
      <c r="L251" s="19">
        <f t="shared" si="29"/>
        <v>100</v>
      </c>
      <c r="M251" s="19">
        <f t="shared" si="29"/>
        <v>0</v>
      </c>
      <c r="N251" s="19">
        <f t="shared" si="29"/>
        <v>3</v>
      </c>
      <c r="O251" s="19">
        <f t="shared" si="29"/>
        <v>25</v>
      </c>
      <c r="P251" s="19">
        <f t="shared" si="29"/>
        <v>1</v>
      </c>
      <c r="Q251" s="19">
        <f t="shared" si="29"/>
        <v>1</v>
      </c>
      <c r="R251" s="19">
        <f t="shared" si="29"/>
        <v>30</v>
      </c>
      <c r="S251" s="19">
        <f t="shared" si="29"/>
        <v>0</v>
      </c>
      <c r="T251" s="19">
        <f t="shared" si="29"/>
        <v>0</v>
      </c>
      <c r="U251" s="19">
        <f t="shared" si="28"/>
        <v>0</v>
      </c>
      <c r="V251" s="19">
        <f t="shared" si="28"/>
        <v>0</v>
      </c>
      <c r="W251" s="19">
        <f t="shared" si="28"/>
        <v>1</v>
      </c>
    </row>
    <row r="252" spans="1:23" x14ac:dyDescent="0.15">
      <c r="A252" s="24" t="str">
        <f t="shared" si="24"/>
        <v>6_5-3/109&lt;lv11&gt;s2</v>
      </c>
      <c r="B252" s="19">
        <f t="shared" si="29"/>
        <v>6</v>
      </c>
      <c r="C252" s="19">
        <f t="shared" si="29"/>
        <v>5</v>
      </c>
      <c r="D252" s="19">
        <f t="shared" si="29"/>
        <v>3</v>
      </c>
      <c r="E252" s="19">
        <f t="shared" si="29"/>
        <v>109</v>
      </c>
      <c r="F252" s="19">
        <f t="shared" si="29"/>
        <v>11</v>
      </c>
      <c r="G252" s="19">
        <f t="shared" si="26"/>
        <v>1</v>
      </c>
      <c r="H252" s="19">
        <f t="shared" si="26"/>
        <v>1</v>
      </c>
      <c r="I252" s="19">
        <f t="shared" si="26"/>
        <v>0</v>
      </c>
      <c r="J252" s="19">
        <v>0</v>
      </c>
      <c r="K252" s="19">
        <f t="shared" si="29"/>
        <v>0</v>
      </c>
      <c r="L252" s="19">
        <f t="shared" si="29"/>
        <v>50</v>
      </c>
      <c r="M252" s="19">
        <f t="shared" si="29"/>
        <v>0</v>
      </c>
      <c r="N252" s="19">
        <f t="shared" si="29"/>
        <v>2</v>
      </c>
      <c r="O252" s="19">
        <f t="shared" si="29"/>
        <v>109</v>
      </c>
      <c r="P252" s="19">
        <f t="shared" si="29"/>
        <v>1</v>
      </c>
      <c r="Q252" s="19">
        <f t="shared" si="29"/>
        <v>2</v>
      </c>
      <c r="R252" s="19">
        <f t="shared" si="29"/>
        <v>20</v>
      </c>
      <c r="S252" s="19">
        <f t="shared" si="29"/>
        <v>0</v>
      </c>
      <c r="T252" s="19">
        <f t="shared" si="29"/>
        <v>0</v>
      </c>
      <c r="U252" s="19">
        <f t="shared" si="28"/>
        <v>0</v>
      </c>
      <c r="V252" s="19">
        <f t="shared" si="28"/>
        <v>0</v>
      </c>
      <c r="W252" s="19">
        <f t="shared" si="28"/>
        <v>1</v>
      </c>
    </row>
    <row r="253" spans="1:23" x14ac:dyDescent="0.15">
      <c r="A253" s="24" t="str">
        <f t="shared" si="24"/>
        <v>6_5-3/113&lt;lv11&gt;s1</v>
      </c>
      <c r="B253" s="19">
        <f t="shared" si="29"/>
        <v>6</v>
      </c>
      <c r="C253" s="19">
        <f t="shared" si="29"/>
        <v>5</v>
      </c>
      <c r="D253" s="19">
        <f t="shared" si="29"/>
        <v>3</v>
      </c>
      <c r="E253" s="19">
        <f t="shared" si="29"/>
        <v>113</v>
      </c>
      <c r="F253" s="19">
        <f t="shared" si="29"/>
        <v>11</v>
      </c>
      <c r="G253" s="19">
        <f t="shared" si="26"/>
        <v>1</v>
      </c>
      <c r="H253" s="19">
        <f t="shared" si="26"/>
        <v>1</v>
      </c>
      <c r="I253" s="19">
        <f t="shared" si="26"/>
        <v>0</v>
      </c>
      <c r="J253" s="19">
        <v>0</v>
      </c>
      <c r="K253" s="19">
        <f t="shared" si="29"/>
        <v>0</v>
      </c>
      <c r="L253" s="19">
        <f t="shared" si="29"/>
        <v>50</v>
      </c>
      <c r="M253" s="19">
        <f t="shared" si="29"/>
        <v>0</v>
      </c>
      <c r="N253" s="19">
        <f t="shared" si="29"/>
        <v>1</v>
      </c>
      <c r="O253" s="19">
        <f t="shared" si="29"/>
        <v>113</v>
      </c>
      <c r="P253" s="19">
        <f t="shared" si="29"/>
        <v>1</v>
      </c>
      <c r="Q253" s="19">
        <f t="shared" si="29"/>
        <v>2</v>
      </c>
      <c r="R253" s="19">
        <f t="shared" si="29"/>
        <v>20</v>
      </c>
      <c r="S253" s="19">
        <f t="shared" si="29"/>
        <v>0</v>
      </c>
      <c r="T253" s="19">
        <f t="shared" si="29"/>
        <v>0</v>
      </c>
      <c r="U253" s="19">
        <f t="shared" si="28"/>
        <v>0</v>
      </c>
      <c r="V253" s="19">
        <f t="shared" si="28"/>
        <v>0</v>
      </c>
      <c r="W253" s="19">
        <f t="shared" si="28"/>
        <v>1</v>
      </c>
    </row>
    <row r="254" spans="1:23" x14ac:dyDescent="0.15">
      <c r="A254" s="24" t="str">
        <f t="shared" si="24"/>
        <v>6_5-4/9&lt;lv11&gt;s2</v>
      </c>
      <c r="B254" s="19">
        <f t="shared" si="29"/>
        <v>6</v>
      </c>
      <c r="C254" s="19">
        <f t="shared" si="29"/>
        <v>5</v>
      </c>
      <c r="D254" s="19">
        <f t="shared" si="29"/>
        <v>4</v>
      </c>
      <c r="E254" s="19">
        <f t="shared" si="29"/>
        <v>9</v>
      </c>
      <c r="F254" s="19">
        <f t="shared" si="29"/>
        <v>11</v>
      </c>
      <c r="G254" s="19">
        <f t="shared" si="26"/>
        <v>1</v>
      </c>
      <c r="H254" s="19">
        <f t="shared" si="26"/>
        <v>1</v>
      </c>
      <c r="I254" s="19">
        <f t="shared" si="26"/>
        <v>0</v>
      </c>
      <c r="J254" s="19">
        <v>0</v>
      </c>
      <c r="K254" s="19">
        <f t="shared" si="29"/>
        <v>0</v>
      </c>
      <c r="L254" s="19">
        <f t="shared" si="29"/>
        <v>100</v>
      </c>
      <c r="M254" s="19">
        <f t="shared" si="29"/>
        <v>0</v>
      </c>
      <c r="N254" s="19">
        <f t="shared" si="29"/>
        <v>2</v>
      </c>
      <c r="O254" s="19">
        <f t="shared" si="29"/>
        <v>9</v>
      </c>
      <c r="P254" s="19">
        <f t="shared" si="29"/>
        <v>2</v>
      </c>
      <c r="Q254" s="19">
        <f t="shared" si="29"/>
        <v>1</v>
      </c>
      <c r="R254" s="19">
        <f t="shared" si="29"/>
        <v>30</v>
      </c>
      <c r="S254" s="19">
        <f t="shared" si="29"/>
        <v>0</v>
      </c>
      <c r="T254" s="19">
        <f t="shared" si="29"/>
        <v>0</v>
      </c>
      <c r="U254" s="19">
        <f t="shared" si="28"/>
        <v>0</v>
      </c>
      <c r="V254" s="19">
        <f t="shared" si="28"/>
        <v>0</v>
      </c>
      <c r="W254" s="19">
        <f t="shared" si="28"/>
        <v>1</v>
      </c>
    </row>
    <row r="255" spans="1:23" x14ac:dyDescent="0.15">
      <c r="A255" s="24" t="str">
        <f t="shared" si="24"/>
        <v>6_5-4/17&lt;lv11&gt;s2</v>
      </c>
      <c r="B255" s="19">
        <f t="shared" si="29"/>
        <v>6</v>
      </c>
      <c r="C255" s="19">
        <f t="shared" si="29"/>
        <v>5</v>
      </c>
      <c r="D255" s="19">
        <f t="shared" si="29"/>
        <v>4</v>
      </c>
      <c r="E255" s="19">
        <f t="shared" si="29"/>
        <v>17</v>
      </c>
      <c r="F255" s="19">
        <f t="shared" si="29"/>
        <v>11</v>
      </c>
      <c r="G255" s="19">
        <f t="shared" si="26"/>
        <v>1</v>
      </c>
      <c r="H255" s="19">
        <f t="shared" si="26"/>
        <v>1</v>
      </c>
      <c r="I255" s="19">
        <f t="shared" si="26"/>
        <v>0</v>
      </c>
      <c r="J255" s="19">
        <v>0</v>
      </c>
      <c r="K255" s="19">
        <f t="shared" si="29"/>
        <v>0</v>
      </c>
      <c r="L255" s="19">
        <f t="shared" si="29"/>
        <v>100</v>
      </c>
      <c r="M255" s="19">
        <f t="shared" si="29"/>
        <v>0</v>
      </c>
      <c r="N255" s="19">
        <f t="shared" si="29"/>
        <v>2</v>
      </c>
      <c r="O255" s="19">
        <f t="shared" si="29"/>
        <v>17</v>
      </c>
      <c r="P255" s="19">
        <f t="shared" si="29"/>
        <v>2</v>
      </c>
      <c r="Q255" s="19">
        <f t="shared" si="29"/>
        <v>1</v>
      </c>
      <c r="R255" s="19">
        <f t="shared" si="29"/>
        <v>30</v>
      </c>
      <c r="S255" s="19">
        <f t="shared" si="29"/>
        <v>0</v>
      </c>
      <c r="T255" s="19">
        <f t="shared" si="29"/>
        <v>0</v>
      </c>
      <c r="U255" s="19">
        <f t="shared" si="28"/>
        <v>0</v>
      </c>
      <c r="V255" s="19">
        <f t="shared" si="28"/>
        <v>0</v>
      </c>
      <c r="W255" s="19">
        <f t="shared" si="28"/>
        <v>1</v>
      </c>
    </row>
    <row r="256" spans="1:23" x14ac:dyDescent="0.15">
      <c r="A256" s="24" t="str">
        <f t="shared" si="24"/>
        <v>6_5-4/19&lt;lv11&gt;s3</v>
      </c>
      <c r="B256" s="19">
        <f t="shared" si="29"/>
        <v>6</v>
      </c>
      <c r="C256" s="19">
        <f t="shared" si="29"/>
        <v>5</v>
      </c>
      <c r="D256" s="19">
        <f t="shared" si="29"/>
        <v>4</v>
      </c>
      <c r="E256" s="19">
        <f t="shared" si="29"/>
        <v>19</v>
      </c>
      <c r="F256" s="19">
        <f t="shared" si="29"/>
        <v>11</v>
      </c>
      <c r="G256" s="19">
        <f t="shared" si="26"/>
        <v>1</v>
      </c>
      <c r="H256" s="19">
        <f t="shared" si="26"/>
        <v>1</v>
      </c>
      <c r="I256" s="19">
        <f t="shared" si="26"/>
        <v>0</v>
      </c>
      <c r="J256" s="19">
        <v>0</v>
      </c>
      <c r="K256" s="19">
        <f t="shared" si="29"/>
        <v>0</v>
      </c>
      <c r="L256" s="19">
        <f t="shared" si="29"/>
        <v>100</v>
      </c>
      <c r="M256" s="19">
        <f t="shared" si="29"/>
        <v>0</v>
      </c>
      <c r="N256" s="19">
        <f t="shared" si="29"/>
        <v>3</v>
      </c>
      <c r="O256" s="19">
        <f t="shared" si="29"/>
        <v>19</v>
      </c>
      <c r="P256" s="19">
        <f t="shared" si="29"/>
        <v>2</v>
      </c>
      <c r="Q256" s="19">
        <f t="shared" si="29"/>
        <v>1</v>
      </c>
      <c r="R256" s="19">
        <f t="shared" si="29"/>
        <v>30</v>
      </c>
      <c r="S256" s="19">
        <f t="shared" si="29"/>
        <v>0</v>
      </c>
      <c r="T256" s="19">
        <f t="shared" si="29"/>
        <v>0</v>
      </c>
      <c r="U256" s="19">
        <f t="shared" si="28"/>
        <v>0</v>
      </c>
      <c r="V256" s="19">
        <f t="shared" si="28"/>
        <v>0</v>
      </c>
      <c r="W256" s="19">
        <f t="shared" si="28"/>
        <v>1</v>
      </c>
    </row>
    <row r="257" spans="1:23" x14ac:dyDescent="0.15">
      <c r="A257" s="24" t="str">
        <f t="shared" si="24"/>
        <v>6_5-4/23&lt;lv11&gt;s4</v>
      </c>
      <c r="B257" s="19">
        <f t="shared" si="29"/>
        <v>6</v>
      </c>
      <c r="C257" s="19">
        <f t="shared" si="29"/>
        <v>5</v>
      </c>
      <c r="D257" s="19">
        <f t="shared" si="29"/>
        <v>4</v>
      </c>
      <c r="E257" s="19">
        <f t="shared" si="29"/>
        <v>23</v>
      </c>
      <c r="F257" s="19">
        <f t="shared" si="29"/>
        <v>11</v>
      </c>
      <c r="G257" s="19">
        <f t="shared" si="26"/>
        <v>1</v>
      </c>
      <c r="H257" s="19">
        <f t="shared" si="26"/>
        <v>1</v>
      </c>
      <c r="I257" s="19">
        <f t="shared" si="26"/>
        <v>0</v>
      </c>
      <c r="J257" s="19">
        <v>0</v>
      </c>
      <c r="K257" s="19">
        <f t="shared" si="29"/>
        <v>0</v>
      </c>
      <c r="L257" s="19">
        <f t="shared" si="29"/>
        <v>100</v>
      </c>
      <c r="M257" s="19">
        <f t="shared" si="29"/>
        <v>0</v>
      </c>
      <c r="N257" s="19">
        <f t="shared" si="29"/>
        <v>4</v>
      </c>
      <c r="O257" s="19">
        <f t="shared" si="29"/>
        <v>23</v>
      </c>
      <c r="P257" s="19">
        <f t="shared" si="29"/>
        <v>1</v>
      </c>
      <c r="Q257" s="19">
        <f t="shared" si="29"/>
        <v>1</v>
      </c>
      <c r="R257" s="19">
        <f t="shared" si="29"/>
        <v>30</v>
      </c>
      <c r="S257" s="19">
        <f t="shared" si="29"/>
        <v>0</v>
      </c>
      <c r="T257" s="19">
        <f t="shared" si="29"/>
        <v>0</v>
      </c>
      <c r="U257" s="19">
        <f t="shared" si="28"/>
        <v>0</v>
      </c>
      <c r="V257" s="19">
        <f t="shared" si="28"/>
        <v>0</v>
      </c>
      <c r="W257" s="19">
        <f t="shared" si="28"/>
        <v>1</v>
      </c>
    </row>
    <row r="258" spans="1:23" x14ac:dyDescent="0.15">
      <c r="A258" s="24" t="str">
        <f t="shared" si="24"/>
        <v>6_5-4/25&lt;lv11&gt;s3</v>
      </c>
      <c r="B258" s="19">
        <f t="shared" ref="B258:T273" si="30">VLOOKUP($A258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6</v>
      </c>
      <c r="C258" s="19">
        <f t="shared" si="30"/>
        <v>5</v>
      </c>
      <c r="D258" s="19">
        <f t="shared" si="30"/>
        <v>4</v>
      </c>
      <c r="E258" s="19">
        <f t="shared" si="30"/>
        <v>25</v>
      </c>
      <c r="F258" s="19">
        <f t="shared" si="30"/>
        <v>11</v>
      </c>
      <c r="G258" s="19">
        <f t="shared" si="26"/>
        <v>1</v>
      </c>
      <c r="H258" s="19">
        <f t="shared" si="26"/>
        <v>1</v>
      </c>
      <c r="I258" s="19">
        <f t="shared" si="26"/>
        <v>0</v>
      </c>
      <c r="J258" s="19">
        <v>0</v>
      </c>
      <c r="K258" s="19">
        <f t="shared" si="30"/>
        <v>0</v>
      </c>
      <c r="L258" s="19">
        <f t="shared" si="30"/>
        <v>100</v>
      </c>
      <c r="M258" s="19">
        <f t="shared" si="30"/>
        <v>0</v>
      </c>
      <c r="N258" s="19">
        <f t="shared" si="30"/>
        <v>3</v>
      </c>
      <c r="O258" s="19">
        <f t="shared" si="30"/>
        <v>25</v>
      </c>
      <c r="P258" s="19">
        <f t="shared" si="30"/>
        <v>1</v>
      </c>
      <c r="Q258" s="19">
        <f t="shared" si="30"/>
        <v>1</v>
      </c>
      <c r="R258" s="19">
        <f t="shared" si="30"/>
        <v>30</v>
      </c>
      <c r="S258" s="19">
        <f t="shared" si="30"/>
        <v>0</v>
      </c>
      <c r="T258" s="19">
        <f t="shared" si="30"/>
        <v>0</v>
      </c>
      <c r="U258" s="19">
        <f t="shared" si="28"/>
        <v>0</v>
      </c>
      <c r="V258" s="19">
        <f t="shared" si="28"/>
        <v>0</v>
      </c>
      <c r="W258" s="19">
        <f t="shared" si="28"/>
        <v>1</v>
      </c>
    </row>
    <row r="259" spans="1:23" x14ac:dyDescent="0.15">
      <c r="A259" s="24" t="str">
        <f t="shared" si="24"/>
        <v>6_5-4/101&lt;lv11&gt;s1</v>
      </c>
      <c r="B259" s="19">
        <f t="shared" si="30"/>
        <v>6</v>
      </c>
      <c r="C259" s="19">
        <f t="shared" si="30"/>
        <v>5</v>
      </c>
      <c r="D259" s="19">
        <f t="shared" si="30"/>
        <v>4</v>
      </c>
      <c r="E259" s="19">
        <f t="shared" si="30"/>
        <v>101</v>
      </c>
      <c r="F259" s="19">
        <f t="shared" si="30"/>
        <v>11</v>
      </c>
      <c r="G259" s="19">
        <f t="shared" si="26"/>
        <v>1</v>
      </c>
      <c r="H259" s="19">
        <f t="shared" si="26"/>
        <v>1</v>
      </c>
      <c r="I259" s="19">
        <f t="shared" si="26"/>
        <v>0</v>
      </c>
      <c r="J259" s="19">
        <v>0</v>
      </c>
      <c r="K259" s="19">
        <f t="shared" si="30"/>
        <v>0</v>
      </c>
      <c r="L259" s="19">
        <f t="shared" si="30"/>
        <v>50</v>
      </c>
      <c r="M259" s="19">
        <f t="shared" si="30"/>
        <v>0</v>
      </c>
      <c r="N259" s="19">
        <f t="shared" si="30"/>
        <v>1</v>
      </c>
      <c r="O259" s="19">
        <f t="shared" si="30"/>
        <v>101</v>
      </c>
      <c r="P259" s="19">
        <f t="shared" si="30"/>
        <v>1</v>
      </c>
      <c r="Q259" s="19">
        <f t="shared" si="30"/>
        <v>2</v>
      </c>
      <c r="R259" s="19">
        <f t="shared" si="30"/>
        <v>20</v>
      </c>
      <c r="S259" s="19">
        <f t="shared" si="30"/>
        <v>0</v>
      </c>
      <c r="T259" s="19">
        <f t="shared" si="30"/>
        <v>0</v>
      </c>
      <c r="U259" s="19">
        <f t="shared" si="28"/>
        <v>0</v>
      </c>
      <c r="V259" s="19">
        <f t="shared" si="28"/>
        <v>0</v>
      </c>
      <c r="W259" s="19">
        <f t="shared" si="28"/>
        <v>1</v>
      </c>
    </row>
    <row r="260" spans="1:23" x14ac:dyDescent="0.15">
      <c r="A260" s="24" t="str">
        <f t="shared" ref="A260:A276" si="31">INDIRECT(ADDRESS(ROW()+$A$1,COLUMN(),1,TRUE,$C$1))</f>
        <v>6_5-4/105&lt;lv11&gt;s1</v>
      </c>
      <c r="B260" s="19">
        <f t="shared" si="30"/>
        <v>6</v>
      </c>
      <c r="C260" s="19">
        <f t="shared" si="30"/>
        <v>5</v>
      </c>
      <c r="D260" s="19">
        <f t="shared" si="30"/>
        <v>4</v>
      </c>
      <c r="E260" s="19">
        <f t="shared" si="30"/>
        <v>105</v>
      </c>
      <c r="F260" s="19">
        <f t="shared" si="30"/>
        <v>11</v>
      </c>
      <c r="G260" s="19">
        <f t="shared" si="26"/>
        <v>1</v>
      </c>
      <c r="H260" s="19">
        <f t="shared" si="26"/>
        <v>1</v>
      </c>
      <c r="I260" s="19">
        <f t="shared" si="26"/>
        <v>0</v>
      </c>
      <c r="J260" s="19">
        <v>0</v>
      </c>
      <c r="K260" s="19">
        <f t="shared" si="30"/>
        <v>0</v>
      </c>
      <c r="L260" s="19">
        <f t="shared" si="30"/>
        <v>50</v>
      </c>
      <c r="M260" s="19">
        <f t="shared" si="30"/>
        <v>0</v>
      </c>
      <c r="N260" s="19">
        <f t="shared" si="30"/>
        <v>1</v>
      </c>
      <c r="O260" s="19">
        <f t="shared" si="30"/>
        <v>105</v>
      </c>
      <c r="P260" s="19">
        <f t="shared" si="30"/>
        <v>1</v>
      </c>
      <c r="Q260" s="19">
        <f t="shared" si="30"/>
        <v>2</v>
      </c>
      <c r="R260" s="19">
        <f t="shared" si="30"/>
        <v>20</v>
      </c>
      <c r="S260" s="19">
        <f t="shared" si="30"/>
        <v>0</v>
      </c>
      <c r="T260" s="19">
        <f t="shared" si="30"/>
        <v>0</v>
      </c>
      <c r="U260" s="19">
        <f t="shared" si="28"/>
        <v>0</v>
      </c>
      <c r="V260" s="19">
        <f t="shared" si="28"/>
        <v>0</v>
      </c>
      <c r="W260" s="19">
        <f t="shared" si="28"/>
        <v>1</v>
      </c>
    </row>
    <row r="261" spans="1:23" x14ac:dyDescent="0.15">
      <c r="A261" s="24" t="str">
        <f t="shared" si="31"/>
        <v>6_5-4/109&lt;lv11&gt;s2</v>
      </c>
      <c r="B261" s="19">
        <f t="shared" si="30"/>
        <v>6</v>
      </c>
      <c r="C261" s="19">
        <f t="shared" si="30"/>
        <v>5</v>
      </c>
      <c r="D261" s="19">
        <f t="shared" si="30"/>
        <v>4</v>
      </c>
      <c r="E261" s="19">
        <f t="shared" si="30"/>
        <v>109</v>
      </c>
      <c r="F261" s="19">
        <f t="shared" si="30"/>
        <v>11</v>
      </c>
      <c r="G261" s="19">
        <f t="shared" si="26"/>
        <v>1</v>
      </c>
      <c r="H261" s="19">
        <f t="shared" si="26"/>
        <v>1</v>
      </c>
      <c r="I261" s="19">
        <f t="shared" si="26"/>
        <v>0</v>
      </c>
      <c r="J261" s="19">
        <v>0</v>
      </c>
      <c r="K261" s="19">
        <f t="shared" si="30"/>
        <v>0</v>
      </c>
      <c r="L261" s="19">
        <f t="shared" si="30"/>
        <v>30</v>
      </c>
      <c r="M261" s="19">
        <f t="shared" si="30"/>
        <v>0</v>
      </c>
      <c r="N261" s="19">
        <f t="shared" si="30"/>
        <v>2</v>
      </c>
      <c r="O261" s="19">
        <f t="shared" si="30"/>
        <v>109</v>
      </c>
      <c r="P261" s="19">
        <f t="shared" si="30"/>
        <v>1</v>
      </c>
      <c r="Q261" s="19">
        <f t="shared" si="30"/>
        <v>2</v>
      </c>
      <c r="R261" s="19">
        <f t="shared" si="30"/>
        <v>20</v>
      </c>
      <c r="S261" s="19">
        <f t="shared" si="30"/>
        <v>0</v>
      </c>
      <c r="T261" s="19">
        <f t="shared" si="30"/>
        <v>0</v>
      </c>
      <c r="U261" s="19">
        <f t="shared" si="28"/>
        <v>0</v>
      </c>
      <c r="V261" s="19">
        <f t="shared" si="28"/>
        <v>0</v>
      </c>
      <c r="W261" s="19">
        <f t="shared" si="28"/>
        <v>1</v>
      </c>
    </row>
    <row r="262" spans="1:23" x14ac:dyDescent="0.15">
      <c r="A262" s="24" t="str">
        <f t="shared" si="31"/>
        <v>6_5-4/113&lt;lv11&gt;s1</v>
      </c>
      <c r="B262" s="19">
        <f t="shared" si="30"/>
        <v>6</v>
      </c>
      <c r="C262" s="19">
        <f t="shared" si="30"/>
        <v>5</v>
      </c>
      <c r="D262" s="19">
        <f t="shared" si="30"/>
        <v>4</v>
      </c>
      <c r="E262" s="19">
        <f t="shared" si="30"/>
        <v>113</v>
      </c>
      <c r="F262" s="19">
        <f t="shared" si="30"/>
        <v>11</v>
      </c>
      <c r="G262" s="19">
        <f t="shared" si="26"/>
        <v>1</v>
      </c>
      <c r="H262" s="19">
        <f t="shared" si="26"/>
        <v>1</v>
      </c>
      <c r="I262" s="19">
        <f t="shared" si="26"/>
        <v>0</v>
      </c>
      <c r="J262" s="19">
        <v>0</v>
      </c>
      <c r="K262" s="19">
        <f t="shared" si="30"/>
        <v>0</v>
      </c>
      <c r="L262" s="19">
        <f t="shared" si="30"/>
        <v>30</v>
      </c>
      <c r="M262" s="19">
        <f t="shared" si="30"/>
        <v>0</v>
      </c>
      <c r="N262" s="19">
        <f t="shared" si="30"/>
        <v>1</v>
      </c>
      <c r="O262" s="19">
        <f t="shared" si="30"/>
        <v>113</v>
      </c>
      <c r="P262" s="19">
        <f t="shared" si="30"/>
        <v>1</v>
      </c>
      <c r="Q262" s="19">
        <f t="shared" si="30"/>
        <v>2</v>
      </c>
      <c r="R262" s="19">
        <f t="shared" si="30"/>
        <v>20</v>
      </c>
      <c r="S262" s="19">
        <f t="shared" si="30"/>
        <v>0</v>
      </c>
      <c r="T262" s="19">
        <f t="shared" si="30"/>
        <v>0</v>
      </c>
      <c r="U262" s="19">
        <f t="shared" si="28"/>
        <v>0</v>
      </c>
      <c r="V262" s="19">
        <f t="shared" si="28"/>
        <v>0</v>
      </c>
      <c r="W262" s="19">
        <f t="shared" si="28"/>
        <v>1</v>
      </c>
    </row>
    <row r="263" spans="1:23" x14ac:dyDescent="0.15">
      <c r="A263" s="24" t="str">
        <f t="shared" si="31"/>
        <v>6_5-5/187&lt;lv15&gt;s1</v>
      </c>
      <c r="B263" s="19">
        <f t="shared" si="30"/>
        <v>6</v>
      </c>
      <c r="C263" s="19">
        <f t="shared" si="30"/>
        <v>5</v>
      </c>
      <c r="D263" s="19">
        <f t="shared" si="30"/>
        <v>5</v>
      </c>
      <c r="E263" s="19">
        <f t="shared" si="30"/>
        <v>187</v>
      </c>
      <c r="F263" s="19">
        <f t="shared" si="30"/>
        <v>15</v>
      </c>
      <c r="G263" s="19">
        <f t="shared" si="26"/>
        <v>1</v>
      </c>
      <c r="H263" s="19">
        <f t="shared" si="26"/>
        <v>1</v>
      </c>
      <c r="I263" s="19">
        <f t="shared" si="26"/>
        <v>0</v>
      </c>
      <c r="J263" s="19">
        <v>187</v>
      </c>
      <c r="K263" s="19">
        <f t="shared" si="30"/>
        <v>1</v>
      </c>
      <c r="L263" s="19">
        <f t="shared" si="30"/>
        <v>100</v>
      </c>
      <c r="M263" s="19">
        <f t="shared" si="30"/>
        <v>1</v>
      </c>
      <c r="N263" s="19">
        <f t="shared" si="30"/>
        <v>1</v>
      </c>
      <c r="O263" s="19">
        <f t="shared" si="30"/>
        <v>187</v>
      </c>
      <c r="P263" s="19">
        <f t="shared" si="30"/>
        <v>1</v>
      </c>
      <c r="Q263" s="19">
        <f t="shared" si="30"/>
        <v>3</v>
      </c>
      <c r="R263" s="19">
        <f t="shared" si="30"/>
        <v>0</v>
      </c>
      <c r="S263" s="19">
        <f t="shared" si="30"/>
        <v>0</v>
      </c>
      <c r="T263" s="19">
        <f t="shared" si="30"/>
        <v>0</v>
      </c>
      <c r="U263" s="19">
        <f t="shared" si="28"/>
        <v>0</v>
      </c>
      <c r="V263" s="19">
        <f t="shared" si="28"/>
        <v>0</v>
      </c>
      <c r="W263" s="19">
        <f t="shared" si="28"/>
        <v>1</v>
      </c>
    </row>
    <row r="264" spans="1:23" x14ac:dyDescent="0.15">
      <c r="A264" s="24" t="str">
        <f t="shared" si="31"/>
        <v>6_6-1/121&lt;lv1&gt;s1</v>
      </c>
      <c r="B264" s="19">
        <f t="shared" si="30"/>
        <v>6</v>
      </c>
      <c r="C264" s="19">
        <f t="shared" si="30"/>
        <v>6</v>
      </c>
      <c r="D264" s="19">
        <f t="shared" si="30"/>
        <v>1</v>
      </c>
      <c r="E264" s="19">
        <f t="shared" si="30"/>
        <v>121</v>
      </c>
      <c r="F264" s="19">
        <f t="shared" si="30"/>
        <v>1</v>
      </c>
      <c r="G264" s="19">
        <f t="shared" si="26"/>
        <v>1</v>
      </c>
      <c r="H264" s="19">
        <f t="shared" si="26"/>
        <v>1</v>
      </c>
      <c r="I264" s="19">
        <f t="shared" si="26"/>
        <v>0</v>
      </c>
      <c r="J264" s="19">
        <v>0</v>
      </c>
      <c r="K264" s="19">
        <f t="shared" si="30"/>
        <v>0</v>
      </c>
      <c r="L264" s="19">
        <f t="shared" si="30"/>
        <v>100</v>
      </c>
      <c r="M264" s="19">
        <f t="shared" si="30"/>
        <v>0</v>
      </c>
      <c r="N264" s="19">
        <f t="shared" si="30"/>
        <v>1</v>
      </c>
      <c r="O264" s="19">
        <f t="shared" si="30"/>
        <v>121</v>
      </c>
      <c r="P264" s="19">
        <f t="shared" si="30"/>
        <v>1</v>
      </c>
      <c r="Q264" s="19">
        <f t="shared" si="30"/>
        <v>3</v>
      </c>
      <c r="R264" s="19">
        <f t="shared" si="30"/>
        <v>100</v>
      </c>
      <c r="S264" s="19">
        <f t="shared" si="30"/>
        <v>0</v>
      </c>
      <c r="T264" s="19">
        <f t="shared" si="30"/>
        <v>0</v>
      </c>
      <c r="U264" s="19">
        <f t="shared" si="28"/>
        <v>0</v>
      </c>
      <c r="V264" s="19">
        <f t="shared" si="28"/>
        <v>0</v>
      </c>
      <c r="W264" s="19">
        <f t="shared" si="28"/>
        <v>1</v>
      </c>
    </row>
    <row r="265" spans="1:23" x14ac:dyDescent="0.15">
      <c r="A265" s="24" t="str">
        <f t="shared" si="31"/>
        <v>6_6-1/122&lt;lv1&gt;s3</v>
      </c>
      <c r="B265" s="19">
        <f t="shared" si="30"/>
        <v>6</v>
      </c>
      <c r="C265" s="19">
        <f t="shared" si="30"/>
        <v>6</v>
      </c>
      <c r="D265" s="19">
        <f t="shared" si="30"/>
        <v>1</v>
      </c>
      <c r="E265" s="19">
        <f t="shared" si="30"/>
        <v>122</v>
      </c>
      <c r="F265" s="19">
        <f t="shared" si="30"/>
        <v>1</v>
      </c>
      <c r="G265" s="19">
        <f t="shared" si="26"/>
        <v>1</v>
      </c>
      <c r="H265" s="19">
        <f t="shared" si="26"/>
        <v>1</v>
      </c>
      <c r="I265" s="19">
        <f t="shared" si="26"/>
        <v>0</v>
      </c>
      <c r="J265" s="19">
        <v>0</v>
      </c>
      <c r="K265" s="19">
        <f t="shared" si="30"/>
        <v>0</v>
      </c>
      <c r="L265" s="19">
        <f t="shared" si="30"/>
        <v>100</v>
      </c>
      <c r="M265" s="19">
        <f t="shared" si="30"/>
        <v>0</v>
      </c>
      <c r="N265" s="19">
        <f t="shared" si="30"/>
        <v>3</v>
      </c>
      <c r="O265" s="19">
        <f t="shared" si="30"/>
        <v>122</v>
      </c>
      <c r="P265" s="19">
        <f t="shared" si="30"/>
        <v>1</v>
      </c>
      <c r="Q265" s="19">
        <f t="shared" si="30"/>
        <v>3</v>
      </c>
      <c r="R265" s="19">
        <f t="shared" si="30"/>
        <v>100</v>
      </c>
      <c r="S265" s="19">
        <f t="shared" si="30"/>
        <v>0</v>
      </c>
      <c r="T265" s="19">
        <f t="shared" si="30"/>
        <v>0</v>
      </c>
      <c r="U265" s="19">
        <f t="shared" si="28"/>
        <v>0</v>
      </c>
      <c r="V265" s="19">
        <f t="shared" si="28"/>
        <v>0</v>
      </c>
      <c r="W265" s="19">
        <f t="shared" si="28"/>
        <v>1</v>
      </c>
    </row>
    <row r="266" spans="1:23" x14ac:dyDescent="0.15">
      <c r="A266" s="24" t="str">
        <f t="shared" si="31"/>
        <v>6_6-1/123&lt;lv1&gt;s2</v>
      </c>
      <c r="B266" s="19">
        <f t="shared" si="30"/>
        <v>6</v>
      </c>
      <c r="C266" s="19">
        <f t="shared" si="30"/>
        <v>6</v>
      </c>
      <c r="D266" s="19">
        <f t="shared" si="30"/>
        <v>1</v>
      </c>
      <c r="E266" s="19">
        <f t="shared" si="30"/>
        <v>123</v>
      </c>
      <c r="F266" s="19">
        <f t="shared" si="30"/>
        <v>1</v>
      </c>
      <c r="G266" s="19">
        <f t="shared" si="26"/>
        <v>1</v>
      </c>
      <c r="H266" s="19">
        <f t="shared" si="26"/>
        <v>1</v>
      </c>
      <c r="I266" s="19">
        <f t="shared" si="26"/>
        <v>0</v>
      </c>
      <c r="J266" s="19">
        <v>0</v>
      </c>
      <c r="K266" s="19">
        <f t="shared" si="30"/>
        <v>0</v>
      </c>
      <c r="L266" s="19">
        <f t="shared" si="30"/>
        <v>100</v>
      </c>
      <c r="M266" s="19">
        <f t="shared" si="30"/>
        <v>0</v>
      </c>
      <c r="N266" s="19">
        <f t="shared" si="30"/>
        <v>2</v>
      </c>
      <c r="O266" s="19">
        <f t="shared" si="30"/>
        <v>123</v>
      </c>
      <c r="P266" s="19">
        <f t="shared" si="30"/>
        <v>1</v>
      </c>
      <c r="Q266" s="19">
        <f t="shared" si="30"/>
        <v>3</v>
      </c>
      <c r="R266" s="19">
        <f t="shared" si="30"/>
        <v>100</v>
      </c>
      <c r="S266" s="19">
        <f t="shared" si="30"/>
        <v>0</v>
      </c>
      <c r="T266" s="19">
        <f t="shared" si="30"/>
        <v>0</v>
      </c>
      <c r="U266" s="19">
        <f t="shared" si="28"/>
        <v>0</v>
      </c>
      <c r="V266" s="19">
        <f t="shared" si="28"/>
        <v>0</v>
      </c>
      <c r="W266" s="19">
        <f t="shared" si="28"/>
        <v>1</v>
      </c>
    </row>
    <row r="267" spans="1:23" x14ac:dyDescent="0.15">
      <c r="A267" s="24" t="str">
        <f t="shared" si="31"/>
        <v>6_6-2/121&lt;lv1&gt;s1</v>
      </c>
      <c r="B267" s="19">
        <f t="shared" si="30"/>
        <v>6</v>
      </c>
      <c r="C267" s="19">
        <f t="shared" si="30"/>
        <v>6</v>
      </c>
      <c r="D267" s="19">
        <f t="shared" si="30"/>
        <v>2</v>
      </c>
      <c r="E267" s="19">
        <f t="shared" si="30"/>
        <v>121</v>
      </c>
      <c r="F267" s="19">
        <f t="shared" si="30"/>
        <v>1</v>
      </c>
      <c r="G267" s="19">
        <f t="shared" si="26"/>
        <v>1</v>
      </c>
      <c r="H267" s="19">
        <f t="shared" si="26"/>
        <v>1</v>
      </c>
      <c r="I267" s="19">
        <f t="shared" si="26"/>
        <v>0</v>
      </c>
      <c r="J267" s="19">
        <v>0</v>
      </c>
      <c r="K267" s="19">
        <f t="shared" si="30"/>
        <v>0</v>
      </c>
      <c r="L267" s="19">
        <f t="shared" si="30"/>
        <v>100</v>
      </c>
      <c r="M267" s="19">
        <f t="shared" si="30"/>
        <v>0</v>
      </c>
      <c r="N267" s="19">
        <f t="shared" si="30"/>
        <v>1</v>
      </c>
      <c r="O267" s="19">
        <f t="shared" si="30"/>
        <v>121</v>
      </c>
      <c r="P267" s="19">
        <f t="shared" si="30"/>
        <v>1</v>
      </c>
      <c r="Q267" s="19">
        <f t="shared" si="30"/>
        <v>3</v>
      </c>
      <c r="R267" s="19">
        <f t="shared" si="30"/>
        <v>100</v>
      </c>
      <c r="S267" s="19">
        <f t="shared" si="30"/>
        <v>0</v>
      </c>
      <c r="T267" s="19">
        <f t="shared" si="30"/>
        <v>0</v>
      </c>
      <c r="U267" s="19">
        <f t="shared" si="28"/>
        <v>0</v>
      </c>
      <c r="V267" s="19">
        <f t="shared" si="28"/>
        <v>0</v>
      </c>
      <c r="W267" s="19">
        <f t="shared" si="28"/>
        <v>1</v>
      </c>
    </row>
    <row r="268" spans="1:23" x14ac:dyDescent="0.15">
      <c r="A268" s="24" t="str">
        <f t="shared" si="31"/>
        <v>6_6-2/122&lt;lv1&gt;s3</v>
      </c>
      <c r="B268" s="19">
        <f t="shared" si="30"/>
        <v>6</v>
      </c>
      <c r="C268" s="19">
        <f t="shared" si="30"/>
        <v>6</v>
      </c>
      <c r="D268" s="19">
        <f t="shared" si="30"/>
        <v>2</v>
      </c>
      <c r="E268" s="19">
        <f t="shared" si="30"/>
        <v>122</v>
      </c>
      <c r="F268" s="19">
        <f t="shared" si="30"/>
        <v>1</v>
      </c>
      <c r="G268" s="19">
        <f t="shared" si="26"/>
        <v>1</v>
      </c>
      <c r="H268" s="19">
        <f t="shared" si="26"/>
        <v>1</v>
      </c>
      <c r="I268" s="19">
        <f t="shared" si="26"/>
        <v>0</v>
      </c>
      <c r="J268" s="19">
        <v>0</v>
      </c>
      <c r="K268" s="19">
        <f t="shared" si="30"/>
        <v>0</v>
      </c>
      <c r="L268" s="19">
        <f t="shared" si="30"/>
        <v>100</v>
      </c>
      <c r="M268" s="19">
        <f t="shared" si="30"/>
        <v>0</v>
      </c>
      <c r="N268" s="19">
        <f t="shared" si="30"/>
        <v>3</v>
      </c>
      <c r="O268" s="19">
        <f t="shared" si="30"/>
        <v>122</v>
      </c>
      <c r="P268" s="19">
        <f t="shared" si="30"/>
        <v>1</v>
      </c>
      <c r="Q268" s="19">
        <f t="shared" si="30"/>
        <v>3</v>
      </c>
      <c r="R268" s="19">
        <f t="shared" si="30"/>
        <v>100</v>
      </c>
      <c r="S268" s="19">
        <f t="shared" si="30"/>
        <v>0</v>
      </c>
      <c r="T268" s="19">
        <f t="shared" si="30"/>
        <v>0</v>
      </c>
      <c r="U268" s="19">
        <f t="shared" si="28"/>
        <v>0</v>
      </c>
      <c r="V268" s="19">
        <f t="shared" si="28"/>
        <v>0</v>
      </c>
      <c r="W268" s="19">
        <f t="shared" si="28"/>
        <v>1</v>
      </c>
    </row>
    <row r="269" spans="1:23" x14ac:dyDescent="0.15">
      <c r="A269" s="24" t="str">
        <f t="shared" si="31"/>
        <v>6_6-2/123&lt;lv1&gt;s2</v>
      </c>
      <c r="B269" s="19">
        <f t="shared" si="30"/>
        <v>6</v>
      </c>
      <c r="C269" s="19">
        <f t="shared" si="30"/>
        <v>6</v>
      </c>
      <c r="D269" s="19">
        <f t="shared" si="30"/>
        <v>2</v>
      </c>
      <c r="E269" s="19">
        <f t="shared" si="30"/>
        <v>123</v>
      </c>
      <c r="F269" s="19">
        <f t="shared" si="30"/>
        <v>1</v>
      </c>
      <c r="G269" s="19">
        <f t="shared" si="26"/>
        <v>1</v>
      </c>
      <c r="H269" s="19">
        <f t="shared" si="26"/>
        <v>1</v>
      </c>
      <c r="I269" s="19">
        <f t="shared" si="26"/>
        <v>0</v>
      </c>
      <c r="J269" s="19">
        <v>0</v>
      </c>
      <c r="K269" s="19">
        <f t="shared" si="30"/>
        <v>0</v>
      </c>
      <c r="L269" s="19">
        <f t="shared" si="30"/>
        <v>100</v>
      </c>
      <c r="M269" s="19">
        <f t="shared" si="30"/>
        <v>0</v>
      </c>
      <c r="N269" s="19">
        <f t="shared" si="30"/>
        <v>2</v>
      </c>
      <c r="O269" s="19">
        <f t="shared" si="30"/>
        <v>123</v>
      </c>
      <c r="P269" s="19">
        <f t="shared" si="30"/>
        <v>1</v>
      </c>
      <c r="Q269" s="19">
        <f t="shared" si="30"/>
        <v>3</v>
      </c>
      <c r="R269" s="19">
        <f t="shared" si="30"/>
        <v>100</v>
      </c>
      <c r="S269" s="19">
        <f t="shared" si="30"/>
        <v>0</v>
      </c>
      <c r="T269" s="19">
        <f t="shared" si="30"/>
        <v>0</v>
      </c>
      <c r="U269" s="19">
        <f t="shared" si="28"/>
        <v>0</v>
      </c>
      <c r="V269" s="19">
        <f t="shared" si="28"/>
        <v>0</v>
      </c>
      <c r="W269" s="19">
        <f t="shared" si="28"/>
        <v>1</v>
      </c>
    </row>
    <row r="270" spans="1:23" x14ac:dyDescent="0.15">
      <c r="A270" s="24" t="str">
        <f t="shared" si="31"/>
        <v>6_6-3/121&lt;lv1&gt;s1</v>
      </c>
      <c r="B270" s="19">
        <f t="shared" si="30"/>
        <v>6</v>
      </c>
      <c r="C270" s="19">
        <f t="shared" si="30"/>
        <v>6</v>
      </c>
      <c r="D270" s="19">
        <f t="shared" si="30"/>
        <v>3</v>
      </c>
      <c r="E270" s="19">
        <f t="shared" si="30"/>
        <v>121</v>
      </c>
      <c r="F270" s="19">
        <f t="shared" si="30"/>
        <v>1</v>
      </c>
      <c r="G270" s="19">
        <f t="shared" si="26"/>
        <v>1</v>
      </c>
      <c r="H270" s="19">
        <f t="shared" si="26"/>
        <v>1</v>
      </c>
      <c r="I270" s="19">
        <f t="shared" si="26"/>
        <v>0</v>
      </c>
      <c r="J270" s="19">
        <v>0</v>
      </c>
      <c r="K270" s="19">
        <f t="shared" si="30"/>
        <v>0</v>
      </c>
      <c r="L270" s="19">
        <f t="shared" si="30"/>
        <v>100</v>
      </c>
      <c r="M270" s="19">
        <f t="shared" si="30"/>
        <v>0</v>
      </c>
      <c r="N270" s="19">
        <f t="shared" si="30"/>
        <v>1</v>
      </c>
      <c r="O270" s="19">
        <f t="shared" si="30"/>
        <v>121</v>
      </c>
      <c r="P270" s="19">
        <f t="shared" si="30"/>
        <v>1</v>
      </c>
      <c r="Q270" s="19">
        <f t="shared" si="30"/>
        <v>3</v>
      </c>
      <c r="R270" s="19">
        <f t="shared" si="30"/>
        <v>100</v>
      </c>
      <c r="S270" s="19">
        <f t="shared" si="30"/>
        <v>0</v>
      </c>
      <c r="T270" s="19">
        <f t="shared" si="30"/>
        <v>0</v>
      </c>
      <c r="U270" s="19">
        <f t="shared" si="28"/>
        <v>0</v>
      </c>
      <c r="V270" s="19">
        <f t="shared" si="28"/>
        <v>0</v>
      </c>
      <c r="W270" s="19">
        <f t="shared" si="28"/>
        <v>1</v>
      </c>
    </row>
    <row r="271" spans="1:23" x14ac:dyDescent="0.15">
      <c r="A271" s="24" t="str">
        <f t="shared" si="31"/>
        <v>6_6-3/122&lt;lv1&gt;s3</v>
      </c>
      <c r="B271" s="19">
        <f t="shared" si="30"/>
        <v>6</v>
      </c>
      <c r="C271" s="19">
        <f t="shared" si="30"/>
        <v>6</v>
      </c>
      <c r="D271" s="19">
        <f t="shared" si="30"/>
        <v>3</v>
      </c>
      <c r="E271" s="19">
        <f t="shared" si="30"/>
        <v>122</v>
      </c>
      <c r="F271" s="19">
        <f t="shared" si="30"/>
        <v>1</v>
      </c>
      <c r="G271" s="19">
        <f t="shared" si="26"/>
        <v>1</v>
      </c>
      <c r="H271" s="19">
        <f t="shared" si="26"/>
        <v>1</v>
      </c>
      <c r="I271" s="19">
        <f t="shared" si="26"/>
        <v>0</v>
      </c>
      <c r="J271" s="19">
        <v>0</v>
      </c>
      <c r="K271" s="19">
        <f t="shared" si="30"/>
        <v>0</v>
      </c>
      <c r="L271" s="19">
        <f t="shared" si="30"/>
        <v>100</v>
      </c>
      <c r="M271" s="19">
        <f t="shared" si="30"/>
        <v>0</v>
      </c>
      <c r="N271" s="19">
        <f t="shared" si="30"/>
        <v>3</v>
      </c>
      <c r="O271" s="19">
        <f t="shared" si="30"/>
        <v>122</v>
      </c>
      <c r="P271" s="19">
        <f t="shared" si="30"/>
        <v>1</v>
      </c>
      <c r="Q271" s="19">
        <f t="shared" si="30"/>
        <v>3</v>
      </c>
      <c r="R271" s="19">
        <f t="shared" si="30"/>
        <v>100</v>
      </c>
      <c r="S271" s="19">
        <f t="shared" si="30"/>
        <v>0</v>
      </c>
      <c r="T271" s="19">
        <f t="shared" si="30"/>
        <v>0</v>
      </c>
      <c r="U271" s="19">
        <f t="shared" si="28"/>
        <v>0</v>
      </c>
      <c r="V271" s="19">
        <f t="shared" si="28"/>
        <v>0</v>
      </c>
      <c r="W271" s="19">
        <f t="shared" si="28"/>
        <v>1</v>
      </c>
    </row>
    <row r="272" spans="1:23" x14ac:dyDescent="0.15">
      <c r="A272" s="24" t="str">
        <f t="shared" si="31"/>
        <v>6_6-3/123&lt;lv1&gt;s2</v>
      </c>
      <c r="B272" s="19">
        <f t="shared" si="30"/>
        <v>6</v>
      </c>
      <c r="C272" s="19">
        <f t="shared" si="30"/>
        <v>6</v>
      </c>
      <c r="D272" s="19">
        <f t="shared" si="30"/>
        <v>3</v>
      </c>
      <c r="E272" s="19">
        <f t="shared" si="30"/>
        <v>123</v>
      </c>
      <c r="F272" s="19">
        <f t="shared" si="30"/>
        <v>1</v>
      </c>
      <c r="G272" s="19">
        <f t="shared" si="26"/>
        <v>1</v>
      </c>
      <c r="H272" s="19">
        <f t="shared" si="26"/>
        <v>1</v>
      </c>
      <c r="I272" s="19">
        <f t="shared" si="26"/>
        <v>0</v>
      </c>
      <c r="J272" s="19">
        <v>0</v>
      </c>
      <c r="K272" s="19">
        <f t="shared" si="30"/>
        <v>0</v>
      </c>
      <c r="L272" s="19">
        <f t="shared" si="30"/>
        <v>100</v>
      </c>
      <c r="M272" s="19">
        <f t="shared" si="30"/>
        <v>0</v>
      </c>
      <c r="N272" s="19">
        <f t="shared" si="30"/>
        <v>2</v>
      </c>
      <c r="O272" s="19">
        <f t="shared" si="30"/>
        <v>123</v>
      </c>
      <c r="P272" s="19">
        <f t="shared" si="30"/>
        <v>1</v>
      </c>
      <c r="Q272" s="19">
        <f t="shared" si="30"/>
        <v>3</v>
      </c>
      <c r="R272" s="19">
        <f t="shared" si="30"/>
        <v>100</v>
      </c>
      <c r="S272" s="19">
        <f t="shared" si="30"/>
        <v>0</v>
      </c>
      <c r="T272" s="19">
        <f t="shared" si="30"/>
        <v>0</v>
      </c>
      <c r="U272" s="19">
        <f t="shared" si="28"/>
        <v>0</v>
      </c>
      <c r="V272" s="19">
        <f t="shared" si="28"/>
        <v>0</v>
      </c>
      <c r="W272" s="19">
        <f t="shared" si="28"/>
        <v>1</v>
      </c>
    </row>
    <row r="273" spans="1:23" x14ac:dyDescent="0.15">
      <c r="A273" s="24" t="str">
        <f t="shared" si="31"/>
        <v>6_6-4/121&lt;lv1&gt;s1</v>
      </c>
      <c r="B273" s="19">
        <f t="shared" si="30"/>
        <v>6</v>
      </c>
      <c r="C273" s="19">
        <f t="shared" si="30"/>
        <v>6</v>
      </c>
      <c r="D273" s="19">
        <f t="shared" si="30"/>
        <v>4</v>
      </c>
      <c r="E273" s="19">
        <f t="shared" si="30"/>
        <v>121</v>
      </c>
      <c r="F273" s="19">
        <f t="shared" si="30"/>
        <v>1</v>
      </c>
      <c r="G273" s="19">
        <f t="shared" si="26"/>
        <v>1</v>
      </c>
      <c r="H273" s="19">
        <f t="shared" si="26"/>
        <v>1</v>
      </c>
      <c r="I273" s="19">
        <f t="shared" si="26"/>
        <v>0</v>
      </c>
      <c r="J273" s="19">
        <v>0</v>
      </c>
      <c r="K273" s="19">
        <f t="shared" si="30"/>
        <v>0</v>
      </c>
      <c r="L273" s="19">
        <f t="shared" si="30"/>
        <v>100</v>
      </c>
      <c r="M273" s="19">
        <f t="shared" si="30"/>
        <v>0</v>
      </c>
      <c r="N273" s="19">
        <f t="shared" si="30"/>
        <v>1</v>
      </c>
      <c r="O273" s="19">
        <f t="shared" si="30"/>
        <v>121</v>
      </c>
      <c r="P273" s="19">
        <f t="shared" si="30"/>
        <v>1</v>
      </c>
      <c r="Q273" s="19">
        <f t="shared" si="30"/>
        <v>3</v>
      </c>
      <c r="R273" s="19">
        <f t="shared" si="30"/>
        <v>100</v>
      </c>
      <c r="S273" s="19">
        <f t="shared" si="30"/>
        <v>0</v>
      </c>
      <c r="T273" s="19">
        <f t="shared" ref="B273:T276" si="32">VLOOKUP($A273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273" s="19">
        <f t="shared" si="28"/>
        <v>0</v>
      </c>
      <c r="V273" s="19">
        <f t="shared" si="28"/>
        <v>0</v>
      </c>
      <c r="W273" s="19">
        <f t="shared" si="28"/>
        <v>1</v>
      </c>
    </row>
    <row r="274" spans="1:23" x14ac:dyDescent="0.15">
      <c r="A274" s="24" t="str">
        <f t="shared" si="31"/>
        <v>6_6-4/122&lt;lv1&gt;s3</v>
      </c>
      <c r="B274" s="19">
        <f t="shared" si="32"/>
        <v>6</v>
      </c>
      <c r="C274" s="19">
        <f t="shared" si="32"/>
        <v>6</v>
      </c>
      <c r="D274" s="19">
        <f t="shared" si="32"/>
        <v>4</v>
      </c>
      <c r="E274" s="19">
        <f t="shared" si="32"/>
        <v>122</v>
      </c>
      <c r="F274" s="19">
        <f t="shared" si="32"/>
        <v>1</v>
      </c>
      <c r="G274" s="19">
        <f t="shared" si="26"/>
        <v>1</v>
      </c>
      <c r="H274" s="19">
        <f t="shared" si="26"/>
        <v>1</v>
      </c>
      <c r="I274" s="19">
        <f t="shared" si="26"/>
        <v>0</v>
      </c>
      <c r="J274" s="19">
        <v>0</v>
      </c>
      <c r="K274" s="19">
        <f t="shared" si="32"/>
        <v>0</v>
      </c>
      <c r="L274" s="19">
        <f t="shared" si="32"/>
        <v>100</v>
      </c>
      <c r="M274" s="19">
        <f t="shared" si="32"/>
        <v>0</v>
      </c>
      <c r="N274" s="19">
        <f t="shared" si="32"/>
        <v>3</v>
      </c>
      <c r="O274" s="19">
        <f t="shared" si="32"/>
        <v>122</v>
      </c>
      <c r="P274" s="19">
        <f t="shared" si="32"/>
        <v>1</v>
      </c>
      <c r="Q274" s="19">
        <f t="shared" si="32"/>
        <v>3</v>
      </c>
      <c r="R274" s="19">
        <f t="shared" si="32"/>
        <v>100</v>
      </c>
      <c r="S274" s="19">
        <f t="shared" si="32"/>
        <v>0</v>
      </c>
      <c r="T274" s="19">
        <f t="shared" si="32"/>
        <v>0</v>
      </c>
      <c r="U274" s="19">
        <f t="shared" si="28"/>
        <v>0</v>
      </c>
      <c r="V274" s="19">
        <f t="shared" si="28"/>
        <v>0</v>
      </c>
      <c r="W274" s="19">
        <f t="shared" si="28"/>
        <v>1</v>
      </c>
    </row>
    <row r="275" spans="1:23" x14ac:dyDescent="0.15">
      <c r="A275" s="24" t="str">
        <f t="shared" si="31"/>
        <v>6_6-4/123&lt;lv1&gt;s2</v>
      </c>
      <c r="B275" s="19">
        <f t="shared" si="32"/>
        <v>6</v>
      </c>
      <c r="C275" s="19">
        <f t="shared" si="32"/>
        <v>6</v>
      </c>
      <c r="D275" s="19">
        <f t="shared" si="32"/>
        <v>4</v>
      </c>
      <c r="E275" s="19">
        <f t="shared" si="32"/>
        <v>123</v>
      </c>
      <c r="F275" s="19">
        <f t="shared" si="32"/>
        <v>1</v>
      </c>
      <c r="G275" s="19">
        <f t="shared" si="32"/>
        <v>1</v>
      </c>
      <c r="H275" s="19">
        <f t="shared" si="32"/>
        <v>1</v>
      </c>
      <c r="I275" s="19">
        <f t="shared" si="32"/>
        <v>0</v>
      </c>
      <c r="J275" s="19">
        <v>0</v>
      </c>
      <c r="K275" s="19">
        <f t="shared" si="32"/>
        <v>0</v>
      </c>
      <c r="L275" s="19">
        <f t="shared" si="32"/>
        <v>100</v>
      </c>
      <c r="M275" s="19">
        <f t="shared" si="32"/>
        <v>0</v>
      </c>
      <c r="N275" s="19">
        <f t="shared" si="32"/>
        <v>2</v>
      </c>
      <c r="O275" s="19">
        <f t="shared" si="32"/>
        <v>123</v>
      </c>
      <c r="P275" s="19">
        <f t="shared" si="32"/>
        <v>1</v>
      </c>
      <c r="Q275" s="19">
        <f t="shared" si="32"/>
        <v>3</v>
      </c>
      <c r="R275" s="19">
        <f t="shared" si="32"/>
        <v>100</v>
      </c>
      <c r="S275" s="19">
        <f t="shared" si="32"/>
        <v>0</v>
      </c>
      <c r="T275" s="19">
        <f t="shared" si="32"/>
        <v>0</v>
      </c>
      <c r="U275" s="19">
        <f t="shared" si="28"/>
        <v>0</v>
      </c>
      <c r="V275" s="19">
        <f t="shared" si="28"/>
        <v>0</v>
      </c>
      <c r="W275" s="19">
        <f t="shared" si="28"/>
        <v>1</v>
      </c>
    </row>
    <row r="276" spans="1:23" x14ac:dyDescent="0.15">
      <c r="A276" s="24" t="str">
        <f t="shared" si="31"/>
        <v>6_6-5/125&lt;lv1&gt;s4</v>
      </c>
      <c r="B276" s="19">
        <f t="shared" si="32"/>
        <v>6</v>
      </c>
      <c r="C276" s="19">
        <f t="shared" si="32"/>
        <v>6</v>
      </c>
      <c r="D276" s="19">
        <f t="shared" si="32"/>
        <v>5</v>
      </c>
      <c r="E276" s="19">
        <f t="shared" si="32"/>
        <v>125</v>
      </c>
      <c r="F276" s="19">
        <f t="shared" si="32"/>
        <v>1</v>
      </c>
      <c r="G276" s="19">
        <f t="shared" si="32"/>
        <v>1</v>
      </c>
      <c r="H276" s="19">
        <f t="shared" si="32"/>
        <v>1</v>
      </c>
      <c r="I276" s="19">
        <f t="shared" si="32"/>
        <v>0</v>
      </c>
      <c r="J276" s="19">
        <v>0</v>
      </c>
      <c r="K276" s="19">
        <f t="shared" si="32"/>
        <v>1</v>
      </c>
      <c r="L276" s="19">
        <f t="shared" si="32"/>
        <v>100</v>
      </c>
      <c r="M276" s="19">
        <f t="shared" si="32"/>
        <v>1</v>
      </c>
      <c r="N276" s="19">
        <f t="shared" si="32"/>
        <v>4</v>
      </c>
      <c r="O276" s="19">
        <f t="shared" si="32"/>
        <v>125</v>
      </c>
      <c r="P276" s="19">
        <f t="shared" si="32"/>
        <v>1</v>
      </c>
      <c r="Q276" s="19">
        <f t="shared" si="32"/>
        <v>3</v>
      </c>
      <c r="R276" s="19">
        <f t="shared" si="32"/>
        <v>100</v>
      </c>
      <c r="S276" s="19">
        <f t="shared" si="32"/>
        <v>0</v>
      </c>
      <c r="T276" s="19">
        <f t="shared" si="32"/>
        <v>0</v>
      </c>
      <c r="U276" s="19">
        <f t="shared" si="28"/>
        <v>0</v>
      </c>
      <c r="V276" s="19">
        <f t="shared" si="28"/>
        <v>0</v>
      </c>
      <c r="W276" s="19">
        <f t="shared" si="28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floors_DL1</vt:lpstr>
      <vt:lpstr>enemy_habitats_DL1</vt:lpstr>
      <vt:lpstr>floors_DL1.tmp</vt:lpstr>
      <vt:lpstr>enemy_habitats_DL1.tmp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2017-03-09T12:13:45Z</dcterms:modified>
</cp:coreProperties>
</file>