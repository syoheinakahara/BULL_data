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activeTab="3"/>
  </bookViews>
  <sheets>
    <sheet name="確率の考え方" sheetId="110" r:id="rId1"/>
    <sheet name="Sheet1" sheetId="107" r:id="rId2"/>
    <sheet name="output" sheetId="103" r:id="rId3"/>
    <sheet name="input_403010" sheetId="157" r:id="rId4"/>
    <sheet name="tables_403010" sheetId="158" r:id="rId5"/>
    <sheet name="input_403100" sheetId="153" r:id="rId6"/>
    <sheet name="tables_403100" sheetId="154" r:id="rId7"/>
    <sheet name="gacha_bonus_tables" sheetId="98" r:id="rId8"/>
    <sheet name="R6追加前" sheetId="111" r:id="rId9"/>
    <sheet name="R6開放" sheetId="112" r:id="rId10"/>
    <sheet name="check" sheetId="159" r:id="rId11"/>
  </sheets>
  <externalReferences>
    <externalReference r:id="rId12"/>
  </externalReferences>
  <definedNames>
    <definedName name="_xlnm._FilterDatabase" localSheetId="7" hidden="1">gacha_bonus_tables!$A$1:$F$1</definedName>
    <definedName name="_xlnm._FilterDatabase" localSheetId="4" hidden="1">tables_403010!$A$1:$V$294</definedName>
    <definedName name="_xlnm._FilterDatabase" localSheetId="6" hidden="1">tables_403100!$A$1:$V$294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30" i="153" l="1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F5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E28" i="153"/>
  <c r="B28" i="153"/>
  <c r="E27" i="153"/>
  <c r="B27" i="153"/>
  <c r="F6" i="153"/>
  <c r="E6" i="153"/>
  <c r="E26" i="153"/>
  <c r="B26" i="153"/>
  <c r="E25" i="153"/>
  <c r="B25" i="153"/>
  <c r="E24" i="153"/>
  <c r="B24" i="153"/>
  <c r="E23" i="153"/>
  <c r="B23" i="153"/>
  <c r="E22" i="153"/>
  <c r="B22" i="153"/>
  <c r="B21" i="153"/>
  <c r="E20" i="153"/>
  <c r="B20" i="153"/>
  <c r="E19" i="153"/>
  <c r="B19" i="153"/>
  <c r="B17" i="153"/>
  <c r="E18" i="153"/>
  <c r="B18" i="153"/>
  <c r="A2" i="153"/>
  <c r="C3" i="159"/>
  <c r="A2" i="157"/>
  <c r="C2" i="159"/>
  <c r="A36" i="153"/>
  <c r="G18" i="153"/>
  <c r="H18" i="153"/>
  <c r="O3" i="154"/>
  <c r="O5" i="154"/>
  <c r="O7" i="154"/>
  <c r="O9" i="154"/>
  <c r="G17" i="153"/>
  <c r="E17" i="153"/>
  <c r="H17" i="153"/>
  <c r="O2" i="154"/>
  <c r="O4" i="154"/>
  <c r="O6" i="154"/>
  <c r="O8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1" i="153"/>
  <c r="E21" i="153"/>
  <c r="H21" i="153"/>
  <c r="O53" i="154"/>
  <c r="O54" i="154"/>
  <c r="O56" i="154"/>
  <c r="O57" i="154"/>
  <c r="O59" i="154"/>
  <c r="O60" i="154"/>
  <c r="O62" i="154"/>
  <c r="O63" i="154"/>
  <c r="O65" i="154"/>
  <c r="O66" i="154"/>
  <c r="O68" i="154"/>
  <c r="O69" i="154"/>
  <c r="O71" i="154"/>
  <c r="O72" i="154"/>
  <c r="O74" i="154"/>
  <c r="O75" i="154"/>
  <c r="O77" i="154"/>
  <c r="O78" i="154"/>
  <c r="O80" i="154"/>
  <c r="O81" i="154"/>
  <c r="O83" i="154"/>
  <c r="O84" i="154"/>
  <c r="O86" i="154"/>
  <c r="O87" i="154"/>
  <c r="O89" i="154"/>
  <c r="O90" i="154"/>
  <c r="O92" i="154"/>
  <c r="O93" i="154"/>
  <c r="O95" i="154"/>
  <c r="O96" i="154"/>
  <c r="O98" i="154"/>
  <c r="O99" i="154"/>
  <c r="O101" i="154"/>
  <c r="O102" i="154"/>
  <c r="O104" i="154"/>
  <c r="O105" i="154"/>
  <c r="O107" i="154"/>
  <c r="O108" i="154"/>
  <c r="O110" i="154"/>
  <c r="O111" i="154"/>
  <c r="O112" i="154"/>
  <c r="O113" i="154"/>
  <c r="O114" i="154"/>
  <c r="O116" i="154"/>
  <c r="O117" i="154"/>
  <c r="O119" i="154"/>
  <c r="O120" i="154"/>
  <c r="O122" i="154"/>
  <c r="O123" i="154"/>
  <c r="O125" i="154"/>
  <c r="O126" i="154"/>
  <c r="O128" i="154"/>
  <c r="O129" i="154"/>
  <c r="O131" i="154"/>
  <c r="O132" i="154"/>
  <c r="O134" i="154"/>
  <c r="O135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8" i="154"/>
  <c r="O149" i="154"/>
  <c r="O150" i="154"/>
  <c r="O151" i="154"/>
  <c r="O152" i="154"/>
  <c r="O153" i="154"/>
  <c r="O155" i="154"/>
  <c r="O156" i="154"/>
  <c r="O157" i="154"/>
  <c r="O158" i="154"/>
  <c r="O160" i="154"/>
  <c r="O161" i="154"/>
  <c r="O163" i="154"/>
  <c r="O164" i="154"/>
  <c r="O165" i="154"/>
  <c r="O166" i="154"/>
  <c r="O168" i="154"/>
  <c r="O169" i="154"/>
  <c r="O170" i="154"/>
  <c r="O171" i="154"/>
  <c r="O173" i="154"/>
  <c r="O174" i="154"/>
  <c r="O175" i="154"/>
  <c r="O176" i="154"/>
  <c r="O177" i="154"/>
  <c r="O178" i="154"/>
  <c r="O180" i="154"/>
  <c r="O181" i="154"/>
  <c r="O183" i="154"/>
  <c r="O184" i="154"/>
  <c r="O185" i="154"/>
  <c r="O186" i="154"/>
  <c r="O188" i="154"/>
  <c r="O189" i="154"/>
  <c r="O190" i="154"/>
  <c r="O191" i="154"/>
  <c r="O192" i="154"/>
  <c r="O193" i="154"/>
  <c r="O195" i="154"/>
  <c r="R3" i="153"/>
  <c r="O196" i="154"/>
  <c r="R4" i="153"/>
  <c r="O197" i="154"/>
  <c r="O198" i="154"/>
  <c r="O200" i="154"/>
  <c r="O201" i="154"/>
  <c r="O202" i="154"/>
  <c r="O203" i="154"/>
  <c r="O205" i="154"/>
  <c r="O206" i="154"/>
  <c r="O207" i="154"/>
  <c r="O208" i="154"/>
  <c r="O209" i="154"/>
  <c r="O210" i="154"/>
  <c r="O212" i="154"/>
  <c r="O213" i="154"/>
  <c r="O214" i="154"/>
  <c r="O215" i="154"/>
  <c r="O216" i="154"/>
  <c r="O217" i="154"/>
  <c r="O219" i="154"/>
  <c r="O220" i="154"/>
  <c r="O222" i="154"/>
  <c r="R5" i="153"/>
  <c r="O223" i="154"/>
  <c r="R6" i="153"/>
  <c r="O224" i="154"/>
  <c r="O225" i="154"/>
  <c r="O227" i="154"/>
  <c r="O228" i="154"/>
  <c r="O230" i="154"/>
  <c r="O231" i="154"/>
  <c r="O232" i="154"/>
  <c r="O233" i="154"/>
  <c r="O235" i="154"/>
  <c r="O236" i="154"/>
  <c r="O237" i="154"/>
  <c r="O238" i="154"/>
  <c r="O239" i="154"/>
  <c r="O240" i="154"/>
  <c r="O242" i="154"/>
  <c r="O243" i="154"/>
  <c r="O245" i="154"/>
  <c r="O246" i="154"/>
  <c r="O248" i="154"/>
  <c r="O249" i="154"/>
  <c r="O251" i="154"/>
  <c r="O252" i="154"/>
  <c r="O253" i="154"/>
  <c r="O254" i="154"/>
  <c r="O255" i="154"/>
  <c r="G22" i="153"/>
  <c r="H22" i="153"/>
  <c r="O256" i="154"/>
  <c r="G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8" i="154"/>
  <c r="O269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F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19" i="157"/>
  <c r="B19" i="157"/>
  <c r="E24" i="157"/>
  <c r="B24" i="157"/>
  <c r="B17" i="157"/>
  <c r="E20" i="157"/>
  <c r="B20" i="157"/>
  <c r="E23" i="157"/>
  <c r="B23" i="157"/>
  <c r="E26" i="157"/>
  <c r="B26" i="157"/>
  <c r="F5" i="157"/>
  <c r="E5" i="157"/>
  <c r="E28" i="157"/>
  <c r="B28" i="157"/>
  <c r="E29" i="157"/>
  <c r="B29" i="157"/>
  <c r="B21" i="157"/>
  <c r="E18" i="157"/>
  <c r="B18" i="157"/>
  <c r="A36" i="157"/>
  <c r="G18" i="157"/>
  <c r="H18" i="157"/>
  <c r="O3" i="158"/>
  <c r="O5" i="158"/>
  <c r="O7" i="158"/>
  <c r="O9" i="158"/>
  <c r="G17" i="157"/>
  <c r="E17" i="157"/>
  <c r="H17" i="157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E25" i="157"/>
  <c r="B25" i="157"/>
  <c r="G25" i="157"/>
  <c r="H25" i="157"/>
  <c r="O43" i="158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E27" i="157"/>
  <c r="B27" i="157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R3" i="157"/>
  <c r="O196" i="158"/>
  <c r="R4" i="157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R5" i="157"/>
  <c r="O223" i="158"/>
  <c r="R6" i="157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E22" i="157"/>
  <c r="B22" i="157"/>
  <c r="G22" i="157"/>
  <c r="H22" i="157"/>
  <c r="O256" i="158"/>
  <c r="G23" i="157"/>
  <c r="H23" i="157"/>
  <c r="O257" i="158"/>
  <c r="O258" i="158"/>
  <c r="O259" i="158"/>
  <c r="G29" i="157"/>
  <c r="H29" i="157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F41" i="157"/>
  <c r="G41" i="157"/>
  <c r="F42" i="157"/>
  <c r="G42" i="157"/>
  <c r="A309" i="154"/>
  <c r="F309" i="154"/>
  <c r="H309" i="154"/>
  <c r="K309" i="154"/>
  <c r="L309" i="154"/>
  <c r="M309" i="154"/>
  <c r="N309" i="154"/>
  <c r="F305" i="154"/>
  <c r="F306" i="154"/>
  <c r="F307" i="154"/>
  <c r="F308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F305" i="158"/>
  <c r="H305" i="158"/>
  <c r="K305" i="158"/>
  <c r="L305" i="158"/>
  <c r="M305" i="158"/>
  <c r="N305" i="158"/>
  <c r="F306" i="158"/>
  <c r="F307" i="158"/>
  <c r="F308" i="158"/>
  <c r="F309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C4" i="103"/>
  <c r="E4" i="103"/>
  <c r="B30" i="157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A300" i="154"/>
  <c r="F300" i="154"/>
  <c r="H300" i="154"/>
  <c r="K300" i="154"/>
  <c r="L300" i="154"/>
  <c r="M300" i="154"/>
  <c r="N300" i="154"/>
  <c r="F301" i="154"/>
  <c r="F302" i="154"/>
  <c r="F303" i="154"/>
  <c r="F304" i="154"/>
  <c r="R7" i="153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F300" i="158"/>
  <c r="H300" i="158"/>
  <c r="K300" i="158"/>
  <c r="L300" i="158"/>
  <c r="M300" i="158"/>
  <c r="N300" i="158"/>
  <c r="F301" i="158"/>
  <c r="F302" i="158"/>
  <c r="F303" i="158"/>
  <c r="F304" i="158"/>
  <c r="R7" i="157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F295" i="154"/>
  <c r="H295" i="154"/>
  <c r="K295" i="154"/>
  <c r="L295" i="154"/>
  <c r="M295" i="154"/>
  <c r="N295" i="154"/>
  <c r="F296" i="154"/>
  <c r="F297" i="154"/>
  <c r="F298" i="154"/>
  <c r="F299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G20" i="153"/>
  <c r="H20" i="153"/>
  <c r="O52" i="154"/>
  <c r="O55" i="154"/>
  <c r="O58" i="154"/>
  <c r="O61" i="154"/>
  <c r="O64" i="154"/>
  <c r="O67" i="154"/>
  <c r="O70" i="154"/>
  <c r="O73" i="154"/>
  <c r="O76" i="154"/>
  <c r="O79" i="154"/>
  <c r="O82" i="154"/>
  <c r="O85" i="154"/>
  <c r="O88" i="154"/>
  <c r="O91" i="154"/>
  <c r="O94" i="154"/>
  <c r="O97" i="154"/>
  <c r="O100" i="154"/>
  <c r="O103" i="154"/>
  <c r="O106" i="154"/>
  <c r="O109" i="154"/>
  <c r="O115" i="154"/>
  <c r="O118" i="154"/>
  <c r="O121" i="154"/>
  <c r="O124" i="154"/>
  <c r="O127" i="154"/>
  <c r="O130" i="154"/>
  <c r="O133" i="154"/>
  <c r="O136" i="154"/>
  <c r="O147" i="154"/>
  <c r="O154" i="154"/>
  <c r="O159" i="154"/>
  <c r="O162" i="154"/>
  <c r="O167" i="154"/>
  <c r="O172" i="154"/>
  <c r="O179" i="154"/>
  <c r="O182" i="154"/>
  <c r="O187" i="154"/>
  <c r="O194" i="154"/>
  <c r="O199" i="154"/>
  <c r="O204" i="154"/>
  <c r="O211" i="154"/>
  <c r="O218" i="154"/>
  <c r="O221" i="154"/>
  <c r="O226" i="154"/>
  <c r="O229" i="154"/>
  <c r="O234" i="154"/>
  <c r="O241" i="154"/>
  <c r="O244" i="154"/>
  <c r="O247" i="154"/>
  <c r="O250" i="154"/>
  <c r="O267" i="154"/>
  <c r="O270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F48" i="153"/>
  <c r="F47" i="153"/>
  <c r="B41" i="153"/>
  <c r="B47" i="153"/>
  <c r="C40" i="153"/>
  <c r="C41" i="153"/>
  <c r="C42" i="153"/>
  <c r="C43" i="153"/>
  <c r="C44" i="153"/>
  <c r="C45" i="153"/>
  <c r="C46" i="153"/>
  <c r="C47" i="153"/>
  <c r="F46" i="153"/>
  <c r="F45" i="153"/>
  <c r="B32" i="153"/>
  <c r="D32" i="153"/>
  <c r="I20" i="153"/>
  <c r="J20" i="153"/>
  <c r="F20" i="153"/>
  <c r="F41" i="153"/>
  <c r="G41" i="153"/>
  <c r="D20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<sst xmlns="http://schemas.openxmlformats.org/spreadsheetml/2006/main" count="513" uniqueCount="255">
  <si>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</si>
  <si>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</si>
  <si>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</si>
  <si>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</si>
  <si>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</si>
  <si>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</si>
  <si>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</si>
  <si>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</si>
  <si>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</si>
  <si>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</si>
  <si>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</si>
  <si>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</si>
  <si>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</si>
  <si>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</si>
  <si>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</si>
  <si>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</si>
  <si>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</si>
  <si>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</si>
  <si>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</si>
  <si>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</si>
  <si>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</si>
  <si>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</si>
  <si>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</si>
  <si>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</si>
  <si>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</si>
  <si>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</si>
  <si>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</si>
  <si>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</si>
  <si>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</si>
  <si>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</si>
  <si>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</si>
  <si>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</si>
  <si>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</si>
  <si>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</si>
  <si>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</si>
  <si>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</si>
  <si>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</si>
  <si>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</si>
  <si>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</si>
  <si>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</si>
  <si>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</si>
  <si>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</si>
  <si>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</si>
  <si>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</si>
  <si>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</si>
  <si>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</si>
  <si>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</si>
  <si>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</si>
  <si>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</si>
  <si>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</si>
  <si>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</si>
  <si>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</si>
  <si>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</si>
  <si>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</si>
  <si>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</si>
  <si>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</si>
  <si>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</si>
  <si>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</si>
  <si>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</si>
  <si>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</si>
  <si>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</si>
  <si>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</si>
  <si>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</si>
  <si>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</si>
  <si>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</si>
  <si>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</si>
  <si>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</si>
  <si>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</si>
  <si>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</si>
  <si>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</si>
  <si>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</si>
  <si>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</si>
  <si>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</si>
  <si>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</si>
  <si>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</si>
  <si>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</si>
  <si>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</si>
  <si>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</si>
  <si>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</si>
  <si>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</si>
  <si>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</si>
  <si>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</si>
  <si>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</si>
  <si>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</si>
  <si>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</si>
  <si>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</si>
  <si>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</si>
  <si>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</si>
  <si>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</si>
  <si>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</si>
  <si>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</si>
  <si>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</si>
  <si>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</si>
  <si>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</si>
  <si>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</si>
  <si>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</si>
  <si>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</si>
  <si>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</si>
  <si>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</si>
  <si>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</si>
  <si>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</si>
  <si>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</si>
  <si>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</si>
  <si>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</si>
  <si>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</si>
  <si>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</si>
  <si>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</si>
  <si>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</si>
  <si>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</si>
  <si>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</si>
  <si>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</si>
  <si>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</si>
  <si>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</si>
  <si>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</si>
  <si>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</si>
  <si>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</si>
  <si>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</si>
  <si>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</si>
  <si>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</si>
  <si>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</si>
  <si>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</si>
  <si>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</si>
  <si>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</si>
  <si>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</si>
  <si>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</si>
  <si>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</si>
  <si>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</si>
  <si>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</si>
  <si>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</si>
  <si>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</si>
  <si>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</si>
  <si>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</si>
  <si>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</si>
  <si>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</si>
  <si>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</si>
  <si>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</si>
  <si>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</si>
  <si>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</si>
  <si>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</si>
  <si>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</si>
  <si>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</si>
  <si>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</si>
  <si>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</si>
  <si>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</si>
  <si>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</si>
  <si>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</si>
  <si>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</si>
  <si>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</si>
  <si>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</si>
  <si>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</si>
  <si>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</si>
  <si>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</si>
  <si>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</si>
  <si>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</si>
  <si>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</si>
  <si>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</si>
  <si>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</si>
  <si>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</si>
  <si>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</si>
  <si>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</si>
  <si>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</si>
  <si>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</si>
  <si>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</si>
  <si>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</si>
  <si>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</si>
  <si>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</si>
  <si>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</si>
  <si>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</si>
  <si>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</si>
  <si>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</si>
  <si>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</si>
  <si>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</si>
  <si>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</si>
  <si>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</si>
  <si>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</si>
  <si>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</si>
  <si>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</si>
  <si>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</si>
  <si>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</si>
  <si>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</si>
  <si>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</si>
  <si>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</si>
  <si>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</si>
  <si>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</si>
  <si>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</si>
  <si>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</si>
  <si>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</si>
  <si>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</si>
  <si>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</si>
  <si>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</si>
  <si>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</si>
  <si>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</si>
  <si>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</si>
  <si>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</si>
  <si>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</si>
  <si>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</si>
  <si>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</si>
  <si>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</si>
  <si>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</si>
  <si>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</si>
  <si>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</si>
  <si>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</si>
  <si>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</si>
  <si>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</si>
  <si>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</si>
  <si>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</si>
  <si>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</si>
  <si>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</si>
  <si>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</si>
  <si>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</si>
  <si>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</si>
  <si>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</si>
  <si>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</si>
  <si>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</si>
  <si>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</si>
  <si>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</si>
  <si>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</si>
  <si>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</si>
  <si>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</si>
  <si>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</si>
  <si>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</si>
  <si>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</si>
  <si>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</si>
  <si>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</si>
  <si>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</si>
  <si>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</si>
  <si>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</si>
  <si>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</si>
  <si>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</si>
  <si>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</si>
  <si>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</si>
  <si>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</si>
  <si>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</si>
  <si>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</si>
  <si>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</si>
  <si>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</si>
  <si>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</si>
  <si>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</si>
  <si>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</si>
  <si>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</si>
  <si>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</si>
  <si>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</si>
  <si>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</si>
  <si>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</si>
  <si>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</si>
  <si>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</si>
  <si>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</si>
  <si>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</si>
  <si>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gacha_select_tables_</t>
    <phoneticPr fontId="21"/>
  </si>
  <si>
    <t>skip</t>
    <phoneticPr fontId="21"/>
  </si>
  <si>
    <t>チェック項目</t>
    <phoneticPr fontId="21"/>
  </si>
  <si>
    <t>R5確率は正常か</t>
    <phoneticPr fontId="21"/>
  </si>
  <si>
    <t>tables_403100</t>
  </si>
  <si>
    <t>tables_403010</t>
  </si>
  <si>
    <t>tables_403011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</si>
</sst>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</cellStyleXfs>
  <cellXfs count="100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26" fillId="33" borderId="1" xfId="2" applyFont="1" applyFill="1" applyBorder="1" applyAlignment="1">
      <alignment vertical="center"/>
    </xf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2" fillId="4" borderId="1" xfId="2978" applyFont="1" applyFill="1" applyBorder="1"/>
    <xf numFmtId="0" fontId="2" fillId="0" borderId="1" xfId="3036" applyFont="1" applyBorder="1"/>
    <xf numFmtId="0" fontId="0" fillId="0" borderId="0" xfId="0" applyAlignment="1">
      <alignment horizontal="center" vertical="center"/>
    </xf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samurai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samurai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academia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green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academia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blue</v>
          </cell>
          <cell r="I1132">
            <v>6</v>
          </cell>
          <cell r="J1132" t="str">
            <v>PremiumSS</v>
          </cell>
          <cell r="K1132" t="str">
            <v>balance</v>
          </cell>
          <cell r="L1132" t="str">
            <v>バランスタイプ</v>
          </cell>
          <cell r="M1132" t="str">
            <v>academia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yellow</v>
          </cell>
          <cell r="I1133">
            <v>6</v>
          </cell>
          <cell r="J1133" t="str">
            <v>PremiumSS</v>
          </cell>
          <cell r="K1133" t="str">
            <v>balance</v>
          </cell>
          <cell r="L1133" t="str">
            <v>バランスタイプ</v>
          </cell>
          <cell r="M1133" t="str">
            <v>academia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red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academia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green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academia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blue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academia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yellow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academia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academia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green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academia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blue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academia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yellow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academia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red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academia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green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academia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blue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academia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academia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I22" sqref="I2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247</v>
      </c>
      <c r="B2" s="61" t="s">
        <v>110</v>
      </c>
      <c r="C2" s="50" t="str">
        <f t="shared" ref="C2" si="0">RIGHT(F2,6)</f>
        <v>403100</v>
      </c>
      <c r="D2" s="19" t="s">
        <v>45</v>
      </c>
      <c r="E2" s="17" t="str">
        <f t="shared" ref="E2" si="1">B2&amp;C2&amp;D2</f>
        <v>gacha_select_tables_403100.tmp</v>
      </c>
      <c r="F2" s="97" t="s">
        <v>252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3" t="s">
        <v>247</v>
      </c>
      <c r="B3" s="61" t="s">
        <v>110</v>
      </c>
      <c r="C3" s="50" t="str">
        <f t="shared" ref="C3:C7" si="2">RIGHT(F3,6)</f>
        <v>403010</v>
      </c>
      <c r="D3" s="19" t="s">
        <v>45</v>
      </c>
      <c r="E3" s="17" t="str">
        <f t="shared" ref="E3:E10" si="3">B3&amp;C3&amp;D3</f>
        <v>gacha_select_tables_403010.tmp</v>
      </c>
      <c r="F3" s="97" t="s">
        <v>253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8" t="s">
        <v>249</v>
      </c>
      <c r="B4" s="96" t="s">
        <v>248</v>
      </c>
      <c r="C4" s="50" t="str">
        <f>RIGHT(F4,6)</f>
        <v>403011</v>
      </c>
      <c r="D4" s="19" t="s">
        <v>45</v>
      </c>
      <c r="E4" s="17" t="str">
        <f>B4&amp;C4&amp;D4</f>
        <v>gacha_select_tables_403011.tmp</v>
      </c>
      <c r="F4" s="97" t="s">
        <v>254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abSelected="1" topLeftCell="B1" workbookViewId="0">
      <selection activeCell="L3" sqref="L3:L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403010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383</v>
      </c>
      <c r="M3" s="37" t="str">
        <f>VLOOKUP(L3,[1]characters!$A:$C,3,FALSE)</f>
        <v>酒宴の蟒蛇 ヤマタノオロチ</v>
      </c>
      <c r="N3" s="63">
        <v>1.9E-2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VLOOKUP(L3,tables_403010!B:C,2,FALSE)</f>
        <v>PremiumSS4</v>
      </c>
      <c r="R3" s="62">
        <f t="shared" ref="R3:R20" si="1">N3*A$36</f>
        <v>769120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384</v>
      </c>
      <c r="M4" s="37" t="str">
        <f>VLOOKUP(L4,[1]characters!$A:$C,3,FALSE)</f>
        <v>破国の呑龍 ヤマタノオロチ</v>
      </c>
      <c r="N4" s="63">
        <v>1E-3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VLOOKUP(L4,tables_403010!B:C,2,FALSE)</f>
        <v>PremiumSS5</v>
      </c>
      <c r="R4" s="62">
        <f t="shared" si="1"/>
        <v>40480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2.1739130434782612E-4</v>
      </c>
      <c r="F5">
        <f>(COUNTIF(tables_403010!C:C,input_403010!A28)+COUNTIF(tables_403010!C:C,input_403010!A29))</f>
        <v>48</v>
      </c>
      <c r="H5" s="84">
        <v>0.04</v>
      </c>
      <c r="I5" s="31">
        <v>2</v>
      </c>
      <c r="L5" s="60">
        <v>385</v>
      </c>
      <c r="M5" s="37" t="str">
        <f>VLOOKUP(L5,[1]characters!$A:$C,3,FALSE)</f>
        <v>波烈の出奔 リヴァイアサン</v>
      </c>
      <c r="N5" s="63">
        <v>1.9E-2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VLOOKUP(L5,tables_403010!B:C,2,FALSE)</f>
        <v>PremiumSS4</v>
      </c>
      <c r="R5" s="62">
        <f t="shared" si="1"/>
        <v>769120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1.0795454545454546E-2</v>
      </c>
      <c r="F6">
        <f>(COUNTIF(tables_403010!C:C,input_403010!A25)+COUNTIF(tables_403010!C:C,input_403010!A18)+COUNTIF(tables_403010!C:C,input_403010!A20)+COUNTIF(tables_403010!C:C,input_403010!A22))</f>
        <v>88</v>
      </c>
      <c r="H6" s="89">
        <v>0</v>
      </c>
      <c r="I6" s="31">
        <v>0</v>
      </c>
      <c r="L6" s="94">
        <v>386</v>
      </c>
      <c r="M6" s="37" t="str">
        <f>VLOOKUP(L6,[1]characters!$A:$C,3,FALSE)</f>
        <v>氾乱の海龍 リヴァイアサン</v>
      </c>
      <c r="N6" s="63">
        <v>1E-3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VLOOKUP(L6,tables_403010!B:C,2,FALSE)</f>
        <v>PremiumSS5</v>
      </c>
      <c r="R6" s="62">
        <f t="shared" si="1"/>
        <v>40480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VLOOKUP(L7,tables_403010!B:C,2,FALSE)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VLOOKUP(L8,tables_403010!B:C,2,FALSE)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VLOOKUP(L9,tables_403010!B:C,2,FALSE)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VLOOKUP(L10,tables_403010!B:C,2,FALSE)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VLOOKUP(L11,tables_403010!B:C,2,FALSE)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VLOOKUP(L12,tables_403010!B:C,2,FALSE)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3.7999999999999999E-2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VLOOKUP(L13,tables_403010!B:C,2,FALSE)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2E-3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VLOOKUP(L14,tables_403010!B:C,2,FALSE)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VLOOKUP(L15,tables_403010!B:C,2,FALSE)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VLOOKUP(L16,tables_403010!B:C,2,FALSE)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0.1977272727272727</v>
      </c>
      <c r="C17" s="85">
        <f t="shared" ref="C17:C31" si="2">SUMIF(Q:Q,A17,N:N)</f>
        <v>0</v>
      </c>
      <c r="D17" s="74">
        <f t="shared" ref="D17:D32" si="3">B17-C17</f>
        <v>0.1977272727272727</v>
      </c>
      <c r="E17">
        <f>COUNTIF(tables_403010!C:C,input_403010!A17)-COUNTIF(Q:Q,A17)</f>
        <v>20</v>
      </c>
      <c r="F17" s="43">
        <f>IFERROR(B17/E17,0)</f>
        <v>9.8863636363636341E-3</v>
      </c>
      <c r="G17">
        <f t="shared" ref="G17:G31" si="4">A$36*B17</f>
        <v>8003999.9999999991</v>
      </c>
      <c r="H17">
        <f t="shared" ref="H17:H31" si="5">IFERROR(ROUND(G17/E17,5),0)</f>
        <v>400200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VLOOKUP(L17,tables_403010!B:C,2,FALSE)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1.8181818181818216E-2</v>
      </c>
      <c r="C18" s="85">
        <f t="shared" si="2"/>
        <v>0</v>
      </c>
      <c r="D18" s="74">
        <f t="shared" si="3"/>
        <v>1.8181818181818216E-2</v>
      </c>
      <c r="E18">
        <f>COUNTIF(tables_403010!C:C,input_403010!A18)-COUNTIF(Q:Q,A18)</f>
        <v>20</v>
      </c>
      <c r="F18" s="43">
        <f>IFERROR(B18/E18,0)</f>
        <v>9.0909090909091082E-4</v>
      </c>
      <c r="G18">
        <f t="shared" si="4"/>
        <v>736000.0000000014</v>
      </c>
      <c r="H18">
        <f t="shared" si="5"/>
        <v>36800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VLOOKUP(L18,tables_403010!B:C,2,FALSE)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0.2806818181818182</v>
      </c>
      <c r="C19" s="85">
        <f t="shared" si="2"/>
        <v>0</v>
      </c>
      <c r="D19" s="74">
        <f t="shared" si="3"/>
        <v>0.2806818181818182</v>
      </c>
      <c r="E19">
        <f>COUNTIF(tables_403010!C:C,input_403010!A19)-COUNTIF(Q:Q,A19)</f>
        <v>52</v>
      </c>
      <c r="F19" s="43">
        <f t="shared" ref="F19:F31" si="8">IFERROR(B19/E19,0)</f>
        <v>5.3977272727272728E-3</v>
      </c>
      <c r="G19">
        <f t="shared" si="4"/>
        <v>11362000</v>
      </c>
      <c r="H19">
        <f t="shared" si="5"/>
        <v>218500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VLOOKUP(L19,tables_403010!B:C,2,FALSE)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E$6*E20*B$6-E35</f>
        <v>0.24594861660079054</v>
      </c>
      <c r="C20" s="85">
        <f t="shared" si="2"/>
        <v>0</v>
      </c>
      <c r="D20" s="74">
        <f t="shared" si="3"/>
        <v>0.24594861660079054</v>
      </c>
      <c r="E20">
        <f>COUNTIF(tables_403010!C:C,input_403010!A20)-COUNTIF(Q:Q,A20)</f>
        <v>52</v>
      </c>
      <c r="F20" s="43">
        <f t="shared" si="8"/>
        <v>4.7297810884767413E-3</v>
      </c>
      <c r="G20">
        <f t="shared" si="4"/>
        <v>9956000.0000000019</v>
      </c>
      <c r="H20">
        <f t="shared" si="5"/>
        <v>191461.53846000001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VLOOKUP(L20,tables_403010!B:C,2,FALSE)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B7-B23-B26-B28-B29-E34</f>
        <v>3.4733201575098842E-2</v>
      </c>
      <c r="C21" s="85">
        <f t="shared" si="2"/>
        <v>0</v>
      </c>
      <c r="D21" s="74">
        <f t="shared" si="3"/>
        <v>3.4733201575098842E-2</v>
      </c>
      <c r="E21">
        <f>COUNTIF(tables_403010!C:C,input_403010!A21)-COUNTIF(Q:Q,A21)</f>
        <v>52</v>
      </c>
      <c r="F21" s="43">
        <f t="shared" si="8"/>
        <v>6.6794618413651614E-4</v>
      </c>
      <c r="G21">
        <f t="shared" si="4"/>
        <v>1405999.9997600012</v>
      </c>
      <c r="H21">
        <f t="shared" si="5"/>
        <v>27038.46153</v>
      </c>
      <c r="I21">
        <f t="shared" si="6"/>
        <v>0.4615300000004936</v>
      </c>
      <c r="J21">
        <f t="shared" si="7"/>
        <v>2.1667063896148258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0.12306818181818183</v>
      </c>
      <c r="C22" s="85">
        <f t="shared" si="2"/>
        <v>0</v>
      </c>
      <c r="D22" s="74">
        <f t="shared" si="3"/>
        <v>0.12306818181818183</v>
      </c>
      <c r="E22">
        <f>COUNTIF(tables_403010!C:C,input_403010!A22)-COUNTIF(Q:Q,A22)</f>
        <v>12</v>
      </c>
      <c r="F22" s="43">
        <f t="shared" si="8"/>
        <v>1.0255681818181818E-2</v>
      </c>
      <c r="G22">
        <f t="shared" si="4"/>
        <v>4981800</v>
      </c>
      <c r="H22">
        <f t="shared" si="5"/>
        <v>415150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6.4772727272727273E-3</v>
      </c>
      <c r="C23" s="85">
        <f t="shared" si="2"/>
        <v>0</v>
      </c>
      <c r="D23" s="74">
        <f t="shared" si="3"/>
        <v>6.4772727272727273E-3</v>
      </c>
      <c r="E23">
        <f>COUNTIF(tables_403010!C:C,input_403010!A23)-COUNTIF(Q:Q,A23)</f>
        <v>12</v>
      </c>
      <c r="F23" s="43">
        <f t="shared" si="8"/>
        <v>5.3977272727272728E-4</v>
      </c>
      <c r="G23">
        <f t="shared" si="4"/>
        <v>262200</v>
      </c>
      <c r="H23">
        <f t="shared" si="5"/>
        <v>21850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2.1590909090909091E-2</v>
      </c>
      <c r="C24" s="85">
        <f t="shared" si="2"/>
        <v>0</v>
      </c>
      <c r="D24" s="74">
        <f t="shared" si="3"/>
        <v>2.1590909090909091E-2</v>
      </c>
      <c r="E24">
        <f>COUNTIF(tables_403010!C:C,input_403010!A24)-COUNTIF(Q:Q,A24)</f>
        <v>4</v>
      </c>
      <c r="F24" s="43">
        <f t="shared" si="8"/>
        <v>5.3977272727272728E-3</v>
      </c>
      <c r="G24">
        <f t="shared" si="4"/>
        <v>874000</v>
      </c>
      <c r="H24">
        <f t="shared" si="5"/>
        <v>218500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1.9431818181818182E-2</v>
      </c>
      <c r="C25" s="85">
        <f t="shared" si="2"/>
        <v>0</v>
      </c>
      <c r="D25" s="74">
        <f t="shared" si="3"/>
        <v>1.9431818181818182E-2</v>
      </c>
      <c r="E25">
        <f>COUNTIF(tables_403010!C:C,input_403010!A25)-COUNTIF(Q:Q,A25)</f>
        <v>4</v>
      </c>
      <c r="F25" s="43">
        <f t="shared" si="8"/>
        <v>4.8579545454545455E-3</v>
      </c>
      <c r="G25">
        <f t="shared" si="4"/>
        <v>786600</v>
      </c>
      <c r="H25">
        <f t="shared" si="5"/>
        <v>196650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2.1590909090909091E-3</v>
      </c>
      <c r="C26" s="85">
        <f t="shared" si="2"/>
        <v>0</v>
      </c>
      <c r="D26" s="74">
        <f t="shared" si="3"/>
        <v>2.1590909090909091E-3</v>
      </c>
      <c r="E26">
        <f>COUNTIF(tables_403010!C:C,input_403010!A26)-COUNTIF(Q:Q,A26)</f>
        <v>4</v>
      </c>
      <c r="F26" s="43">
        <f t="shared" si="8"/>
        <v>5.3977272727272728E-4</v>
      </c>
      <c r="G26">
        <f t="shared" si="4"/>
        <v>87400</v>
      </c>
      <c r="H26">
        <f t="shared" si="5"/>
        <v>21850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5.3695652173913052E-3</v>
      </c>
      <c r="C27" s="85">
        <f t="shared" si="2"/>
        <v>3.7999999999999999E-2</v>
      </c>
      <c r="D27" s="74">
        <f t="shared" si="3"/>
        <v>-3.2630434782608693E-2</v>
      </c>
      <c r="E27">
        <f>COUNTIF(tables_403010!C:C,input_403010!A27)-COUNTIF(Q:Q,A27)</f>
        <v>26</v>
      </c>
      <c r="F27" s="43">
        <f>IFERROR(B27/E27,0)</f>
        <v>2.0652173913043482E-4</v>
      </c>
      <c r="G27">
        <f t="shared" si="4"/>
        <v>217360.00000000003</v>
      </c>
      <c r="H27">
        <f t="shared" si="5"/>
        <v>8360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2.82608695652174E-4</v>
      </c>
      <c r="C28" s="85">
        <f t="shared" si="2"/>
        <v>2E-3</v>
      </c>
      <c r="D28" s="74">
        <f t="shared" si="3"/>
        <v>-1.717391304347826E-3</v>
      </c>
      <c r="E28">
        <f>COUNTIF(tables_403010!C:C,input_403010!A28)-COUNTIF(Q:Q,A28)</f>
        <v>26</v>
      </c>
      <c r="F28" s="43">
        <f t="shared" si="8"/>
        <v>1.0869565217391307E-5</v>
      </c>
      <c r="G28">
        <f t="shared" si="4"/>
        <v>11440.000000000004</v>
      </c>
      <c r="H28">
        <f t="shared" si="5"/>
        <v>440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4.3478260869565227E-3</v>
      </c>
      <c r="C29" s="85">
        <f t="shared" si="2"/>
        <v>0</v>
      </c>
      <c r="D29" s="74">
        <f t="shared" si="3"/>
        <v>4.3478260869565227E-3</v>
      </c>
      <c r="E29">
        <f>COUNTIF(tables_403010!C:C,input_403010!A29)-COUNTIF(Q:Q,A29)</f>
        <v>20</v>
      </c>
      <c r="F29" s="43">
        <f t="shared" si="8"/>
        <v>2.1739130434782612E-4</v>
      </c>
      <c r="G29">
        <f t="shared" si="4"/>
        <v>176000.00000000003</v>
      </c>
      <c r="H29">
        <f t="shared" si="5"/>
        <v>8800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COUNTIF(tables_403010!C:C,input_403010!A30)-COUNTIF(Q:Q,A30)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COUNTIF(tables_403010!C:C,input_403010!A31)-COUNTIF(Q:Q,A31)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0.95999999999407115</v>
      </c>
      <c r="C32" s="41">
        <f>SUM(C19:C31)</f>
        <v>0.04</v>
      </c>
      <c r="D32" s="42">
        <f t="shared" si="3"/>
        <v>0.91999999999407112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2.0000000059288287E-3</v>
      </c>
    </row>
    <row r="35" spans="1:7" x14ac:dyDescent="0.15">
      <c r="A35" t="s">
        <v>73</v>
      </c>
      <c r="E35">
        <v>6.6650197628458363E-3</v>
      </c>
    </row>
    <row r="36" spans="1:7" x14ac:dyDescent="0.15">
      <c r="A36" s="31">
        <f>LCM(F5-I5,F6-I6)*1000*2*2*5</f>
        <v>40480000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SUMIF(tables_403010!C:C,input_403010!A40,tables_403010!O:O)</f>
        <v>11362000</v>
      </c>
      <c r="C40" s="54">
        <f t="shared" ref="C40:C46" ca="1" si="9">B40/B$47</f>
        <v>0.4623962233534285</v>
      </c>
      <c r="E40">
        <v>3</v>
      </c>
      <c r="F40">
        <f ca="1">SUMIF(tables_403010!J:J,input_403010!E40,tables_403010!O:O)</f>
        <v>20240000</v>
      </c>
      <c r="G40">
        <f ca="1">F40/A36</f>
        <v>0.5</v>
      </c>
    </row>
    <row r="41" spans="1:7" x14ac:dyDescent="0.15">
      <c r="A41" s="33" t="s">
        <v>104</v>
      </c>
      <c r="B41">
        <f ca="1">SUMIF(tables_403010!C:C,input_403010!A41,tables_403010!O:O)</f>
        <v>9955999.999920005</v>
      </c>
      <c r="C41" s="54">
        <f t="shared" ca="1" si="9"/>
        <v>0.40517662380476543</v>
      </c>
      <c r="E41">
        <v>4</v>
      </c>
      <c r="F41">
        <f ca="1">SUMIF(tables_403010!J:J,input_403010!E41,tables_403010!O:O)</f>
        <v>18215999.999919996</v>
      </c>
      <c r="G41">
        <f ca="1">F41/A36</f>
        <v>0.44999999999802359</v>
      </c>
    </row>
    <row r="42" spans="1:7" x14ac:dyDescent="0.15">
      <c r="A42" s="33" t="s">
        <v>106</v>
      </c>
      <c r="B42">
        <f ca="1">SUMIF(tables_403010!C:C,input_403010!A42,tables_403010!O:O)</f>
        <v>1755600</v>
      </c>
      <c r="C42" s="54">
        <f t="shared" ca="1" si="9"/>
        <v>7.1447175648589961E-2</v>
      </c>
      <c r="E42">
        <v>5</v>
      </c>
      <c r="F42">
        <f ca="1">SUMIF(tables_403010!J:J,input_403010!E42,tables_403010!O:O)</f>
        <v>2023999.9995599987</v>
      </c>
      <c r="G42">
        <f ca="1">F42/A36</f>
        <v>4.9999999989130406E-2</v>
      </c>
    </row>
    <row r="43" spans="1:7" x14ac:dyDescent="0.15">
      <c r="A43" s="33" t="s">
        <v>109</v>
      </c>
      <c r="B43">
        <f>SUMIF(tables_403010!C:C,input_403010!A43,tables_403010!O:O)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SUMIF(tables_403010!C:C,input_403010!A44,tables_403010!O:O)</f>
        <v>1405999.999559999</v>
      </c>
      <c r="C44" s="54">
        <f t="shared" ca="1" si="9"/>
        <v>5.7219599527500942E-2</v>
      </c>
      <c r="E44" t="s">
        <v>54</v>
      </c>
      <c r="F44" s="55"/>
    </row>
    <row r="45" spans="1:7" x14ac:dyDescent="0.15">
      <c r="A45" s="33" t="s">
        <v>107</v>
      </c>
      <c r="B45">
        <f ca="1">SUMIF(tables_403010!C:C,input_403010!A45,tables_403010!O:O)</f>
        <v>92400</v>
      </c>
      <c r="C45" s="54">
        <f t="shared" ca="1" si="9"/>
        <v>3.7603776657152608E-3</v>
      </c>
      <c r="E45" t="s">
        <v>204</v>
      </c>
      <c r="F45" s="55">
        <f ca="1">SUMIF(tables_403010!I:I,input_403010!E45,tables_403010!P:P)</f>
        <v>0.21590909091186436</v>
      </c>
    </row>
    <row r="46" spans="1:7" x14ac:dyDescent="0.15">
      <c r="A46" s="33" t="s">
        <v>108</v>
      </c>
      <c r="B46">
        <f>SUMIF(tables_403010!C:C,input_403010!A46,tables_403010!O:O)</f>
        <v>0</v>
      </c>
      <c r="C46" s="54">
        <f t="shared" ca="1" si="9"/>
        <v>0</v>
      </c>
      <c r="E46" t="s">
        <v>205</v>
      </c>
      <c r="F46" s="55">
        <f ca="1">SUMIF(tables_403010!I:I,input_403010!E46,tables_403010!P:P)</f>
        <v>0.21590909090766483</v>
      </c>
    </row>
    <row r="47" spans="1:7" x14ac:dyDescent="0.15">
      <c r="A47" s="39" t="s">
        <v>59</v>
      </c>
      <c r="B47">
        <f ca="1">SUM(B40:B46)</f>
        <v>24571999.999480002</v>
      </c>
      <c r="C47" s="55">
        <f ca="1">SUM(C40:C46)</f>
        <v>1.0000000000000002</v>
      </c>
      <c r="E47" t="s">
        <v>206</v>
      </c>
      <c r="F47" s="55">
        <f ca="1">SUMIF(tables_403010!I:I,input_403010!E47,tables_403010!P:P)</f>
        <v>0.51818181817982789</v>
      </c>
    </row>
    <row r="48" spans="1:7" x14ac:dyDescent="0.15">
      <c r="E48" t="s">
        <v>207</v>
      </c>
      <c r="F48" s="55">
        <f ca="1">SUMIF(tables_403010!I:I,input_403010!E48,tables_403010!P:P)</f>
        <v>4.9782608696291628E-2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09"/>
  <sheetViews>
    <sheetView showGridLines="0" zoomScale="75" zoomScaleNormal="75" zoomScalePageLayoutView="75" workbookViewId="0">
      <pane ySplit="1" topLeftCell="A148" activePane="bottomLeft" state="frozen"/>
      <selection activeCell="H276" sqref="H276"/>
      <selection pane="bottomLeft" activeCell="D2" sqref="D2:E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input_403010!A$2</f>
        <v>403010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IFERROR(VLOOKUP(B2,input_403010!L:R,7,FALSE),VLOOKUP(tables_403010!C2,input_403010!A:H,8,FALSE))</f>
        <v>400200</v>
      </c>
      <c r="P2" s="46">
        <f t="shared" ref="P2:P65" ca="1" si="1">O2/SUM(O:O)</f>
        <v>9.8863636364906263E-3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input_403010!A$2</f>
        <v>403010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IFERROR(VLOOKUP(B3,input_403010!L:R,7,FALSE),VLOOKUP(tables_403010!C3,input_403010!A:H,8,FALSE))</f>
        <v>36800</v>
      </c>
      <c r="P3" s="46">
        <f t="shared" ca="1" si="1"/>
        <v>9.0909090910258627E-4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input_403010!A$2</f>
        <v>403010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IFERROR(VLOOKUP(B4,input_403010!L:R,7,FALSE),VLOOKUP(tables_403010!C4,input_403010!A:H,8,FALSE))</f>
        <v>400200</v>
      </c>
      <c r="P4" s="46">
        <f t="shared" ca="1" si="1"/>
        <v>9.8863636364906263E-3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input_403010!A$2</f>
        <v>403010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IFERROR(VLOOKUP(B5,input_403010!L:R,7,FALSE),VLOOKUP(tables_403010!C5,input_403010!A:H,8,FALSE))</f>
        <v>36800</v>
      </c>
      <c r="P5" s="46">
        <f t="shared" ca="1" si="1"/>
        <v>9.0909090910258627E-4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input_403010!A$2</f>
        <v>403010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IFERROR(VLOOKUP(B6,input_403010!L:R,7,FALSE),VLOOKUP(tables_403010!C6,input_403010!A:H,8,FALSE))</f>
        <v>400200</v>
      </c>
      <c r="P6" s="46">
        <f t="shared" ca="1" si="1"/>
        <v>9.8863636364906263E-3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input_403010!A$2</f>
        <v>403010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IFERROR(VLOOKUP(B7,input_403010!L:R,7,FALSE),VLOOKUP(tables_403010!C7,input_403010!A:H,8,FALSE))</f>
        <v>36800</v>
      </c>
      <c r="P7" s="46">
        <f t="shared" ca="1" si="1"/>
        <v>9.0909090910258627E-4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input_403010!A$2</f>
        <v>403010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IFERROR(VLOOKUP(B8,input_403010!L:R,7,FALSE),VLOOKUP(tables_403010!C8,input_403010!A:H,8,FALSE))</f>
        <v>400200</v>
      </c>
      <c r="P8" s="46">
        <f t="shared" ca="1" si="1"/>
        <v>9.8863636364906263E-3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input_403010!A$2</f>
        <v>403010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IFERROR(VLOOKUP(B9,input_403010!L:R,7,FALSE),VLOOKUP(tables_403010!C9,input_403010!A:H,8,FALSE))</f>
        <v>36800</v>
      </c>
      <c r="P9" s="46">
        <f t="shared" ca="1" si="1"/>
        <v>9.0909090910258627E-4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input_403010!A$2</f>
        <v>403010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IFERROR(VLOOKUP(B10,input_403010!L:R,7,FALSE),VLOOKUP(tables_403010!C10,input_403010!A:H,8,FALSE))</f>
        <v>400200</v>
      </c>
      <c r="P10" s="46">
        <f t="shared" ca="1" si="1"/>
        <v>9.8863636364906263E-3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input_403010!A$2</f>
        <v>403010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IFERROR(VLOOKUP(B11,input_403010!L:R,7,FALSE),VLOOKUP(tables_403010!C11,input_403010!A:H,8,FALSE))</f>
        <v>36800</v>
      </c>
      <c r="P11" s="46">
        <f t="shared" ca="1" si="1"/>
        <v>9.0909090910258627E-4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input_403010!A$2</f>
        <v>403010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IFERROR(VLOOKUP(B12,input_403010!L:R,7,FALSE),VLOOKUP(tables_403010!C12,input_403010!A:H,8,FALSE))</f>
        <v>400200</v>
      </c>
      <c r="P12" s="46">
        <f t="shared" ca="1" si="1"/>
        <v>9.8863636364906263E-3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input_403010!A$2</f>
        <v>403010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IFERROR(VLOOKUP(B13,input_403010!L:R,7,FALSE),VLOOKUP(tables_403010!C13,input_403010!A:H,8,FALSE))</f>
        <v>36800</v>
      </c>
      <c r="P13" s="46">
        <f t="shared" ca="1" si="1"/>
        <v>9.0909090910258627E-4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input_403010!A$2</f>
        <v>403010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IFERROR(VLOOKUP(B14,input_403010!L:R,7,FALSE),VLOOKUP(tables_403010!C14,input_403010!A:H,8,FALSE))</f>
        <v>400200</v>
      </c>
      <c r="P14" s="46">
        <f t="shared" ca="1" si="1"/>
        <v>9.8863636364906263E-3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input_403010!A$2</f>
        <v>403010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IFERROR(VLOOKUP(B15,input_403010!L:R,7,FALSE),VLOOKUP(tables_403010!C15,input_403010!A:H,8,FALSE))</f>
        <v>36800</v>
      </c>
      <c r="P15" s="46">
        <f t="shared" ca="1" si="1"/>
        <v>9.0909090910258627E-4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input_403010!A$2</f>
        <v>403010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IFERROR(VLOOKUP(B16,input_403010!L:R,7,FALSE),VLOOKUP(tables_403010!C16,input_403010!A:H,8,FALSE))</f>
        <v>400200</v>
      </c>
      <c r="P16" s="46">
        <f t="shared" ca="1" si="1"/>
        <v>9.8863636364906263E-3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input_403010!A$2</f>
        <v>403010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IFERROR(VLOOKUP(B17,input_403010!L:R,7,FALSE),VLOOKUP(tables_403010!C17,input_403010!A:H,8,FALSE))</f>
        <v>36800</v>
      </c>
      <c r="P17" s="46">
        <f t="shared" ca="1" si="1"/>
        <v>9.0909090910258627E-4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input_403010!A$2</f>
        <v>403010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IFERROR(VLOOKUP(B18,input_403010!L:R,7,FALSE),VLOOKUP(tables_403010!C18,input_403010!A:H,8,FALSE))</f>
        <v>400200</v>
      </c>
      <c r="P18" s="46">
        <f t="shared" ca="1" si="1"/>
        <v>9.8863636364906263E-3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input_403010!A$2</f>
        <v>403010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IFERROR(VLOOKUP(B19,input_403010!L:R,7,FALSE),VLOOKUP(tables_403010!C19,input_403010!A:H,8,FALSE))</f>
        <v>36800</v>
      </c>
      <c r="P19" s="46">
        <f t="shared" ca="1" si="1"/>
        <v>9.0909090910258627E-4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input_403010!A$2</f>
        <v>403010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IFERROR(VLOOKUP(B20,input_403010!L:R,7,FALSE),VLOOKUP(tables_403010!C20,input_403010!A:H,8,FALSE))</f>
        <v>400200</v>
      </c>
      <c r="P20" s="46">
        <f t="shared" ca="1" si="1"/>
        <v>9.8863636364906263E-3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input_403010!A$2</f>
        <v>403010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IFERROR(VLOOKUP(B21,input_403010!L:R,7,FALSE),VLOOKUP(tables_403010!C21,input_403010!A:H,8,FALSE))</f>
        <v>36800</v>
      </c>
      <c r="P21" s="46">
        <f t="shared" ca="1" si="1"/>
        <v>9.0909090910258627E-4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input_403010!A$2</f>
        <v>403010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IFERROR(VLOOKUP(B22,input_403010!L:R,7,FALSE),VLOOKUP(tables_403010!C22,input_403010!A:H,8,FALSE))</f>
        <v>400200</v>
      </c>
      <c r="P22" s="46">
        <f t="shared" ca="1" si="1"/>
        <v>9.8863636364906263E-3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input_403010!A$2</f>
        <v>403010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IFERROR(VLOOKUP(B23,input_403010!L:R,7,FALSE),VLOOKUP(tables_403010!C23,input_403010!A:H,8,FALSE))</f>
        <v>36800</v>
      </c>
      <c r="P23" s="46">
        <f t="shared" ca="1" si="1"/>
        <v>9.0909090910258627E-4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input_403010!A$2</f>
        <v>403010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IFERROR(VLOOKUP(B24,input_403010!L:R,7,FALSE),VLOOKUP(tables_403010!C24,input_403010!A:H,8,FALSE))</f>
        <v>400200</v>
      </c>
      <c r="P24" s="46">
        <f t="shared" ca="1" si="1"/>
        <v>9.8863636364906263E-3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input_403010!A$2</f>
        <v>403010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IFERROR(VLOOKUP(B25,input_403010!L:R,7,FALSE),VLOOKUP(tables_403010!C25,input_403010!A:H,8,FALSE))</f>
        <v>36800</v>
      </c>
      <c r="P25" s="46">
        <f t="shared" ca="1" si="1"/>
        <v>9.0909090910258627E-4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input_403010!A$2</f>
        <v>403010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IFERROR(VLOOKUP(B26,input_403010!L:R,7,FALSE),VLOOKUP(tables_403010!C26,input_403010!A:H,8,FALSE))</f>
        <v>400200</v>
      </c>
      <c r="P26" s="46">
        <f t="shared" ca="1" si="1"/>
        <v>9.8863636364906263E-3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input_403010!A$2</f>
        <v>403010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IFERROR(VLOOKUP(B27,input_403010!L:R,7,FALSE),VLOOKUP(tables_403010!C27,input_403010!A:H,8,FALSE))</f>
        <v>36800</v>
      </c>
      <c r="P27" s="46">
        <f t="shared" ca="1" si="1"/>
        <v>9.0909090910258627E-4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input_403010!A$2</f>
        <v>403010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IFERROR(VLOOKUP(B28,input_403010!L:R,7,FALSE),VLOOKUP(tables_403010!C28,input_403010!A:H,8,FALSE))</f>
        <v>400200</v>
      </c>
      <c r="P28" s="46">
        <f t="shared" ca="1" si="1"/>
        <v>9.8863636364906263E-3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input_403010!A$2</f>
        <v>403010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IFERROR(VLOOKUP(B29,input_403010!L:R,7,FALSE),VLOOKUP(tables_403010!C29,input_403010!A:H,8,FALSE))</f>
        <v>36800</v>
      </c>
      <c r="P29" s="46">
        <f t="shared" ca="1" si="1"/>
        <v>9.0909090910258627E-4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input_403010!A$2</f>
        <v>403010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IFERROR(VLOOKUP(B30,input_403010!L:R,7,FALSE),VLOOKUP(tables_403010!C30,input_403010!A:H,8,FALSE))</f>
        <v>400200</v>
      </c>
      <c r="P30" s="46">
        <f t="shared" ca="1" si="1"/>
        <v>9.8863636364906263E-3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input_403010!A$2</f>
        <v>403010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IFERROR(VLOOKUP(B31,input_403010!L:R,7,FALSE),VLOOKUP(tables_403010!C31,input_403010!A:H,8,FALSE))</f>
        <v>36800</v>
      </c>
      <c r="P31" s="46">
        <f t="shared" ca="1" si="1"/>
        <v>9.0909090910258627E-4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input_403010!A$2</f>
        <v>403010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IFERROR(VLOOKUP(B32,input_403010!L:R,7,FALSE),VLOOKUP(tables_403010!C32,input_403010!A:H,8,FALSE))</f>
        <v>400200</v>
      </c>
      <c r="P32" s="46">
        <f t="shared" ca="1" si="1"/>
        <v>9.8863636364906263E-3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input_403010!A$2</f>
        <v>403010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IFERROR(VLOOKUP(B33,input_403010!L:R,7,FALSE),VLOOKUP(tables_403010!C33,input_403010!A:H,8,FALSE))</f>
        <v>36800</v>
      </c>
      <c r="P33" s="46">
        <f t="shared" ca="1" si="1"/>
        <v>9.0909090910258627E-4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input_403010!A$2</f>
        <v>403010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IFERROR(VLOOKUP(B34,input_403010!L:R,7,FALSE),VLOOKUP(tables_403010!C34,input_403010!A:H,8,FALSE))</f>
        <v>400200</v>
      </c>
      <c r="P34" s="46">
        <f t="shared" ca="1" si="1"/>
        <v>9.8863636364906263E-3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input_403010!A$2</f>
        <v>403010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IFERROR(VLOOKUP(B35,input_403010!L:R,7,FALSE),VLOOKUP(tables_403010!C35,input_403010!A:H,8,FALSE))</f>
        <v>36800</v>
      </c>
      <c r="P35" s="46">
        <f t="shared" ca="1" si="1"/>
        <v>9.0909090910258627E-4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input_403010!A$2</f>
        <v>403010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IFERROR(VLOOKUP(B36,input_403010!L:R,7,FALSE),VLOOKUP(tables_403010!C36,input_403010!A:H,8,FALSE))</f>
        <v>400200</v>
      </c>
      <c r="P36" s="46">
        <f t="shared" ca="1" si="1"/>
        <v>9.8863636364906263E-3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input_403010!A$2</f>
        <v>403010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IFERROR(VLOOKUP(B37,input_403010!L:R,7,FALSE),VLOOKUP(tables_403010!C37,input_403010!A:H,8,FALSE))</f>
        <v>36800</v>
      </c>
      <c r="P37" s="46">
        <f t="shared" ca="1" si="1"/>
        <v>9.0909090910258627E-4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input_403010!A$2</f>
        <v>403010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IFERROR(VLOOKUP(B38,input_403010!L:R,7,FALSE),VLOOKUP(tables_403010!C38,input_403010!A:H,8,FALSE))</f>
        <v>400200</v>
      </c>
      <c r="P38" s="46">
        <f t="shared" ca="1" si="1"/>
        <v>9.8863636364906263E-3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input_403010!A$2</f>
        <v>403010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IFERROR(VLOOKUP(B39,input_403010!L:R,7,FALSE),VLOOKUP(tables_403010!C39,input_403010!A:H,8,FALSE))</f>
        <v>36800</v>
      </c>
      <c r="P39" s="46">
        <f t="shared" ca="1" si="1"/>
        <v>9.0909090910258627E-4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input_403010!A$2</f>
        <v>403010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IFERROR(VLOOKUP(B40,input_403010!L:R,7,FALSE),VLOOKUP(tables_403010!C40,input_403010!A:H,8,FALSE))</f>
        <v>400200</v>
      </c>
      <c r="P40" s="46">
        <f t="shared" ca="1" si="1"/>
        <v>9.8863636364906263E-3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input_403010!A$2</f>
        <v>403010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IFERROR(VLOOKUP(B41,input_403010!L:R,7,FALSE),VLOOKUP(tables_403010!C41,input_403010!A:H,8,FALSE))</f>
        <v>36800</v>
      </c>
      <c r="P41" s="46">
        <f t="shared" ca="1" si="1"/>
        <v>9.0909090910258627E-4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input_403010!A$2</f>
        <v>403010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IFERROR(VLOOKUP(B42,input_403010!L:R,7,FALSE),VLOOKUP(tables_403010!C42,input_403010!A:H,8,FALSE))</f>
        <v>218500</v>
      </c>
      <c r="P42" s="46">
        <f t="shared" ca="1" si="1"/>
        <v>5.3977272727966062E-3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input_403010!A$2</f>
        <v>403010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IFERROR(VLOOKUP(B43,input_403010!L:R,7,FALSE),VLOOKUP(tables_403010!C43,input_403010!A:H,8,FALSE))</f>
        <v>196650</v>
      </c>
      <c r="P43" s="46">
        <f t="shared" ca="1" si="1"/>
        <v>4.8579545455169452E-3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input_403010!A$2</f>
        <v>403010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IFERROR(VLOOKUP(B44,input_403010!L:R,7,FALSE),VLOOKUP(tables_403010!C44,input_403010!A:H,8,FALSE))</f>
        <v>21850</v>
      </c>
      <c r="P44" s="46">
        <f t="shared" ca="1" si="1"/>
        <v>5.3977272727966064E-4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input_403010!A$2</f>
        <v>403010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IFERROR(VLOOKUP(B45,input_403010!L:R,7,FALSE),VLOOKUP(tables_403010!C45,input_403010!A:H,8,FALSE))</f>
        <v>218500</v>
      </c>
      <c r="P45" s="46">
        <f t="shared" ca="1" si="1"/>
        <v>5.3977272727966062E-3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input_403010!A$2</f>
        <v>403010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IFERROR(VLOOKUP(B46,input_403010!L:R,7,FALSE),VLOOKUP(tables_403010!C46,input_403010!A:H,8,FALSE))</f>
        <v>196650</v>
      </c>
      <c r="P46" s="46">
        <f t="shared" ca="1" si="1"/>
        <v>4.8579545455169452E-3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input_403010!A$2</f>
        <v>403010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IFERROR(VLOOKUP(B47,input_403010!L:R,7,FALSE),VLOOKUP(tables_403010!C47,input_403010!A:H,8,FALSE))</f>
        <v>21850</v>
      </c>
      <c r="P47" s="46">
        <f t="shared" ca="1" si="1"/>
        <v>5.3977272727966064E-4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input_403010!A$2</f>
        <v>403010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IFERROR(VLOOKUP(B48,input_403010!L:R,7,FALSE),VLOOKUP(tables_403010!C48,input_403010!A:H,8,FALSE))</f>
        <v>218500</v>
      </c>
      <c r="P48" s="46">
        <f t="shared" ca="1" si="1"/>
        <v>5.3977272727966062E-3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input_403010!A$2</f>
        <v>403010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IFERROR(VLOOKUP(B49,input_403010!L:R,7,FALSE),VLOOKUP(tables_403010!C49,input_403010!A:H,8,FALSE))</f>
        <v>196650</v>
      </c>
      <c r="P49" s="46">
        <f t="shared" ca="1" si="1"/>
        <v>4.8579545455169452E-3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input_403010!A$2</f>
        <v>403010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IFERROR(VLOOKUP(B50,input_403010!L:R,7,FALSE),VLOOKUP(tables_403010!C50,input_403010!A:H,8,FALSE))</f>
        <v>21850</v>
      </c>
      <c r="P50" s="46">
        <f t="shared" ca="1" si="1"/>
        <v>5.3977272727966064E-4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input_403010!A$2</f>
        <v>403010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IFERROR(VLOOKUP(B51,input_403010!L:R,7,FALSE),VLOOKUP(tables_403010!C51,input_403010!A:H,8,FALSE))</f>
        <v>218500</v>
      </c>
      <c r="P51" s="46">
        <f t="shared" ca="1" si="1"/>
        <v>5.3977272727966062E-3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input_403010!A$2</f>
        <v>403010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IFERROR(VLOOKUP(B52,input_403010!L:R,7,FALSE),VLOOKUP(tables_403010!C52,input_403010!A:H,8,FALSE))</f>
        <v>191461.53846000001</v>
      </c>
      <c r="P52" s="46">
        <f t="shared" ca="1" si="1"/>
        <v>4.7297810884994887E-3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input_403010!A$2</f>
        <v>403010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IFERROR(VLOOKUP(B53,input_403010!L:R,7,FALSE),VLOOKUP(tables_403010!C53,input_403010!A:H,8,FALSE))</f>
        <v>27038.46153</v>
      </c>
      <c r="P53" s="46">
        <f t="shared" ca="1" si="1"/>
        <v>6.679461840500817E-4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input_403010!A$2</f>
        <v>403010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IFERROR(VLOOKUP(B54,input_403010!L:R,7,FALSE),VLOOKUP(tables_403010!C54,input_403010!A:H,8,FALSE))</f>
        <v>218500</v>
      </c>
      <c r="P54" s="46">
        <f t="shared" ca="1" si="1"/>
        <v>5.3977272727966062E-3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input_403010!A$2</f>
        <v>403010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IFERROR(VLOOKUP(B55,input_403010!L:R,7,FALSE),VLOOKUP(tables_403010!C55,input_403010!A:H,8,FALSE))</f>
        <v>191461.53846000001</v>
      </c>
      <c r="P55" s="46">
        <f t="shared" ca="1" si="1"/>
        <v>4.7297810884994887E-3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input_403010!A$2</f>
        <v>403010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IFERROR(VLOOKUP(B56,input_403010!L:R,7,FALSE),VLOOKUP(tables_403010!C56,input_403010!A:H,8,FALSE))</f>
        <v>27038.46153</v>
      </c>
      <c r="P56" s="46">
        <f t="shared" ca="1" si="1"/>
        <v>6.679461840500817E-4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input_403010!A$2</f>
        <v>403010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IFERROR(VLOOKUP(B57,input_403010!L:R,7,FALSE),VLOOKUP(tables_403010!C57,input_403010!A:H,8,FALSE))</f>
        <v>218500</v>
      </c>
      <c r="P57" s="46">
        <f t="shared" ca="1" si="1"/>
        <v>5.3977272727966062E-3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input_403010!A$2</f>
        <v>403010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IFERROR(VLOOKUP(B58,input_403010!L:R,7,FALSE),VLOOKUP(tables_403010!C58,input_403010!A:H,8,FALSE))</f>
        <v>191461.53846000001</v>
      </c>
      <c r="P58" s="46">
        <f t="shared" ca="1" si="1"/>
        <v>4.7297810884994887E-3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input_403010!A$2</f>
        <v>403010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IFERROR(VLOOKUP(B59,input_403010!L:R,7,FALSE),VLOOKUP(tables_403010!C59,input_403010!A:H,8,FALSE))</f>
        <v>27038.46153</v>
      </c>
      <c r="P59" s="46">
        <f t="shared" ca="1" si="1"/>
        <v>6.679461840500817E-4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input_403010!A$2</f>
        <v>403010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IFERROR(VLOOKUP(B60,input_403010!L:R,7,FALSE),VLOOKUP(tables_403010!C60,input_403010!A:H,8,FALSE))</f>
        <v>218500</v>
      </c>
      <c r="P60" s="46">
        <f t="shared" ca="1" si="1"/>
        <v>5.3977272727966062E-3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input_403010!A$2</f>
        <v>403010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IFERROR(VLOOKUP(B61,input_403010!L:R,7,FALSE),VLOOKUP(tables_403010!C61,input_403010!A:H,8,FALSE))</f>
        <v>191461.53846000001</v>
      </c>
      <c r="P61" s="46">
        <f t="shared" ca="1" si="1"/>
        <v>4.7297810884994887E-3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input_403010!A$2</f>
        <v>403010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IFERROR(VLOOKUP(B62,input_403010!L:R,7,FALSE),VLOOKUP(tables_403010!C62,input_403010!A:H,8,FALSE))</f>
        <v>27038.46153</v>
      </c>
      <c r="P62" s="46">
        <f t="shared" ca="1" si="1"/>
        <v>6.679461840500817E-4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input_403010!A$2</f>
        <v>403010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IFERROR(VLOOKUP(B63,input_403010!L:R,7,FALSE),VLOOKUP(tables_403010!C63,input_403010!A:H,8,FALSE))</f>
        <v>218500</v>
      </c>
      <c r="P63" s="46">
        <f t="shared" ca="1" si="1"/>
        <v>5.3977272727966062E-3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input_403010!A$2</f>
        <v>403010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IFERROR(VLOOKUP(B64,input_403010!L:R,7,FALSE),VLOOKUP(tables_403010!C64,input_403010!A:H,8,FALSE))</f>
        <v>191461.53846000001</v>
      </c>
      <c r="P64" s="46">
        <f t="shared" ca="1" si="1"/>
        <v>4.7297810884994887E-3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input_403010!A$2</f>
        <v>403010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IFERROR(VLOOKUP(B65,input_403010!L:R,7,FALSE),VLOOKUP(tables_403010!C65,input_403010!A:H,8,FALSE))</f>
        <v>27038.46153</v>
      </c>
      <c r="P65" s="46">
        <f t="shared" ca="1" si="1"/>
        <v>6.679461840500817E-4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input_403010!A$2</f>
        <v>403010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IFERROR(VLOOKUP(B66,input_403010!L:R,7,FALSE),VLOOKUP(tables_403010!C66,input_403010!A:H,8,FALSE))</f>
        <v>218500</v>
      </c>
      <c r="P66" s="46">
        <f t="shared" ref="P66:P129" ca="1" si="4">O66/SUM(O:O)</f>
        <v>5.3977272727966062E-3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input_403010!A$2</f>
        <v>403010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IFERROR(VLOOKUP(B67,input_403010!L:R,7,FALSE),VLOOKUP(tables_403010!C67,input_403010!A:H,8,FALSE))</f>
        <v>191461.53846000001</v>
      </c>
      <c r="P67" s="46">
        <f t="shared" ca="1" si="4"/>
        <v>4.7297810884994887E-3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input_403010!A$2</f>
        <v>403010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IFERROR(VLOOKUP(B68,input_403010!L:R,7,FALSE),VLOOKUP(tables_403010!C68,input_403010!A:H,8,FALSE))</f>
        <v>27038.46153</v>
      </c>
      <c r="P68" s="46">
        <f t="shared" ca="1" si="4"/>
        <v>6.679461840500817E-4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input_403010!A$2</f>
        <v>403010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IFERROR(VLOOKUP(B69,input_403010!L:R,7,FALSE),VLOOKUP(tables_403010!C69,input_403010!A:H,8,FALSE))</f>
        <v>218500</v>
      </c>
      <c r="P69" s="46">
        <f t="shared" ca="1" si="4"/>
        <v>5.3977272727966062E-3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input_403010!A$2</f>
        <v>403010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IFERROR(VLOOKUP(B70,input_403010!L:R,7,FALSE),VLOOKUP(tables_403010!C70,input_403010!A:H,8,FALSE))</f>
        <v>191461.53846000001</v>
      </c>
      <c r="P70" s="46">
        <f t="shared" ca="1" si="4"/>
        <v>4.7297810884994887E-3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input_403010!A$2</f>
        <v>403010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IFERROR(VLOOKUP(B71,input_403010!L:R,7,FALSE),VLOOKUP(tables_403010!C71,input_403010!A:H,8,FALSE))</f>
        <v>27038.46153</v>
      </c>
      <c r="P71" s="46">
        <f t="shared" ca="1" si="4"/>
        <v>6.679461840500817E-4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input_403010!A$2</f>
        <v>403010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IFERROR(VLOOKUP(B72,input_403010!L:R,7,FALSE),VLOOKUP(tables_403010!C72,input_403010!A:H,8,FALSE))</f>
        <v>218500</v>
      </c>
      <c r="P72" s="46">
        <f t="shared" ca="1" si="4"/>
        <v>5.3977272727966062E-3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input_403010!A$2</f>
        <v>403010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IFERROR(VLOOKUP(B73,input_403010!L:R,7,FALSE),VLOOKUP(tables_403010!C73,input_403010!A:H,8,FALSE))</f>
        <v>191461.53846000001</v>
      </c>
      <c r="P73" s="46">
        <f t="shared" ca="1" si="4"/>
        <v>4.7297810884994887E-3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input_403010!A$2</f>
        <v>403010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IFERROR(VLOOKUP(B74,input_403010!L:R,7,FALSE),VLOOKUP(tables_403010!C74,input_403010!A:H,8,FALSE))</f>
        <v>27038.46153</v>
      </c>
      <c r="P74" s="46">
        <f t="shared" ca="1" si="4"/>
        <v>6.679461840500817E-4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input_403010!A$2</f>
        <v>403010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IFERROR(VLOOKUP(B75,input_403010!L:R,7,FALSE),VLOOKUP(tables_403010!C75,input_403010!A:H,8,FALSE))</f>
        <v>218500</v>
      </c>
      <c r="P75" s="46">
        <f t="shared" ca="1" si="4"/>
        <v>5.3977272727966062E-3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input_403010!A$2</f>
        <v>403010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IFERROR(VLOOKUP(B76,input_403010!L:R,7,FALSE),VLOOKUP(tables_403010!C76,input_403010!A:H,8,FALSE))</f>
        <v>191461.53846000001</v>
      </c>
      <c r="P76" s="46">
        <f t="shared" ca="1" si="4"/>
        <v>4.7297810884994887E-3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input_403010!A$2</f>
        <v>403010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IFERROR(VLOOKUP(B77,input_403010!L:R,7,FALSE),VLOOKUP(tables_403010!C77,input_403010!A:H,8,FALSE))</f>
        <v>27038.46153</v>
      </c>
      <c r="P77" s="46">
        <f t="shared" ca="1" si="4"/>
        <v>6.679461840500817E-4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input_403010!A$2</f>
        <v>403010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IFERROR(VLOOKUP(B78,input_403010!L:R,7,FALSE),VLOOKUP(tables_403010!C78,input_403010!A:H,8,FALSE))</f>
        <v>218500</v>
      </c>
      <c r="P78" s="46">
        <f t="shared" ca="1" si="4"/>
        <v>5.3977272727966062E-3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input_403010!A$2</f>
        <v>403010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IFERROR(VLOOKUP(B79,input_403010!L:R,7,FALSE),VLOOKUP(tables_403010!C79,input_403010!A:H,8,FALSE))</f>
        <v>191461.53846000001</v>
      </c>
      <c r="P79" s="46">
        <f t="shared" ca="1" si="4"/>
        <v>4.7297810884994887E-3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input_403010!A$2</f>
        <v>403010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IFERROR(VLOOKUP(B80,input_403010!L:R,7,FALSE),VLOOKUP(tables_403010!C80,input_403010!A:H,8,FALSE))</f>
        <v>27038.46153</v>
      </c>
      <c r="P80" s="46">
        <f t="shared" ca="1" si="4"/>
        <v>6.679461840500817E-4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input_403010!A$2</f>
        <v>403010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IFERROR(VLOOKUP(B81,input_403010!L:R,7,FALSE),VLOOKUP(tables_403010!C81,input_403010!A:H,8,FALSE))</f>
        <v>218500</v>
      </c>
      <c r="P81" s="46">
        <f t="shared" ca="1" si="4"/>
        <v>5.3977272727966062E-3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input_403010!A$2</f>
        <v>403010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IFERROR(VLOOKUP(B82,input_403010!L:R,7,FALSE),VLOOKUP(tables_403010!C82,input_403010!A:H,8,FALSE))</f>
        <v>191461.53846000001</v>
      </c>
      <c r="P82" s="46">
        <f t="shared" ca="1" si="4"/>
        <v>4.7297810884994887E-3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input_403010!A$2</f>
        <v>403010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IFERROR(VLOOKUP(B83,input_403010!L:R,7,FALSE),VLOOKUP(tables_403010!C83,input_403010!A:H,8,FALSE))</f>
        <v>27038.46153</v>
      </c>
      <c r="P83" s="46">
        <f t="shared" ca="1" si="4"/>
        <v>6.679461840500817E-4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input_403010!A$2</f>
        <v>403010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IFERROR(VLOOKUP(B84,input_403010!L:R,7,FALSE),VLOOKUP(tables_403010!C84,input_403010!A:H,8,FALSE))</f>
        <v>218500</v>
      </c>
      <c r="P84" s="46">
        <f t="shared" ca="1" si="4"/>
        <v>5.3977272727966062E-3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input_403010!A$2</f>
        <v>403010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IFERROR(VLOOKUP(B85,input_403010!L:R,7,FALSE),VLOOKUP(tables_403010!C85,input_403010!A:H,8,FALSE))</f>
        <v>191461.53846000001</v>
      </c>
      <c r="P85" s="46">
        <f t="shared" ca="1" si="4"/>
        <v>4.7297810884994887E-3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input_403010!A$2</f>
        <v>403010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IFERROR(VLOOKUP(B86,input_403010!L:R,7,FALSE),VLOOKUP(tables_403010!C86,input_403010!A:H,8,FALSE))</f>
        <v>27038.46153</v>
      </c>
      <c r="P86" s="46">
        <f t="shared" ca="1" si="4"/>
        <v>6.679461840500817E-4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input_403010!A$2</f>
        <v>403010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IFERROR(VLOOKUP(B87,input_403010!L:R,7,FALSE),VLOOKUP(tables_403010!C87,input_403010!A:H,8,FALSE))</f>
        <v>218500</v>
      </c>
      <c r="P87" s="46">
        <f t="shared" ca="1" si="4"/>
        <v>5.3977272727966062E-3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input_403010!A$2</f>
        <v>403010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IFERROR(VLOOKUP(B88,input_403010!L:R,7,FALSE),VLOOKUP(tables_403010!C88,input_403010!A:H,8,FALSE))</f>
        <v>191461.53846000001</v>
      </c>
      <c r="P88" s="46">
        <f t="shared" ca="1" si="4"/>
        <v>4.7297810884994887E-3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input_403010!A$2</f>
        <v>403010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IFERROR(VLOOKUP(B89,input_403010!L:R,7,FALSE),VLOOKUP(tables_403010!C89,input_403010!A:H,8,FALSE))</f>
        <v>27038.46153</v>
      </c>
      <c r="P89" s="46">
        <f t="shared" ca="1" si="4"/>
        <v>6.679461840500817E-4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input_403010!A$2</f>
        <v>403010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IFERROR(VLOOKUP(B90,input_403010!L:R,7,FALSE),VLOOKUP(tables_403010!C90,input_403010!A:H,8,FALSE))</f>
        <v>218500</v>
      </c>
      <c r="P90" s="46">
        <f t="shared" ca="1" si="4"/>
        <v>5.3977272727966062E-3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input_403010!A$2</f>
        <v>403010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IFERROR(VLOOKUP(B91,input_403010!L:R,7,FALSE),VLOOKUP(tables_403010!C91,input_403010!A:H,8,FALSE))</f>
        <v>191461.53846000001</v>
      </c>
      <c r="P91" s="46">
        <f t="shared" ca="1" si="4"/>
        <v>4.7297810884994887E-3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input_403010!A$2</f>
        <v>403010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IFERROR(VLOOKUP(B92,input_403010!L:R,7,FALSE),VLOOKUP(tables_403010!C92,input_403010!A:H,8,FALSE))</f>
        <v>27038.46153</v>
      </c>
      <c r="P92" s="46">
        <f t="shared" ca="1" si="4"/>
        <v>6.679461840500817E-4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input_403010!A$2</f>
        <v>403010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IFERROR(VLOOKUP(B93,input_403010!L:R,7,FALSE),VLOOKUP(tables_403010!C93,input_403010!A:H,8,FALSE))</f>
        <v>218500</v>
      </c>
      <c r="P93" s="46">
        <f t="shared" ca="1" si="4"/>
        <v>5.3977272727966062E-3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input_403010!A$2</f>
        <v>403010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IFERROR(VLOOKUP(B94,input_403010!L:R,7,FALSE),VLOOKUP(tables_403010!C94,input_403010!A:H,8,FALSE))</f>
        <v>191461.53846000001</v>
      </c>
      <c r="P94" s="46">
        <f t="shared" ca="1" si="4"/>
        <v>4.7297810884994887E-3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input_403010!A$2</f>
        <v>403010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IFERROR(VLOOKUP(B95,input_403010!L:R,7,FALSE),VLOOKUP(tables_403010!C95,input_403010!A:H,8,FALSE))</f>
        <v>27038.46153</v>
      </c>
      <c r="P95" s="46">
        <f t="shared" ca="1" si="4"/>
        <v>6.679461840500817E-4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input_403010!A$2</f>
        <v>403010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IFERROR(VLOOKUP(B96,input_403010!L:R,7,FALSE),VLOOKUP(tables_403010!C96,input_403010!A:H,8,FALSE))</f>
        <v>218500</v>
      </c>
      <c r="P96" s="46">
        <f t="shared" ca="1" si="4"/>
        <v>5.3977272727966062E-3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input_403010!A$2</f>
        <v>403010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IFERROR(VLOOKUP(B97,input_403010!L:R,7,FALSE),VLOOKUP(tables_403010!C97,input_403010!A:H,8,FALSE))</f>
        <v>191461.53846000001</v>
      </c>
      <c r="P97" s="46">
        <f t="shared" ca="1" si="4"/>
        <v>4.7297810884994887E-3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input_403010!A$2</f>
        <v>403010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IFERROR(VLOOKUP(B98,input_403010!L:R,7,FALSE),VLOOKUP(tables_403010!C98,input_403010!A:H,8,FALSE))</f>
        <v>27038.46153</v>
      </c>
      <c r="P98" s="46">
        <f t="shared" ca="1" si="4"/>
        <v>6.679461840500817E-4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input_403010!A$2</f>
        <v>403010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IFERROR(VLOOKUP(B99,input_403010!L:R,7,FALSE),VLOOKUP(tables_403010!C99,input_403010!A:H,8,FALSE))</f>
        <v>218500</v>
      </c>
      <c r="P99" s="46">
        <f t="shared" ca="1" si="4"/>
        <v>5.3977272727966062E-3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input_403010!A$2</f>
        <v>403010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IFERROR(VLOOKUP(B100,input_403010!L:R,7,FALSE),VLOOKUP(tables_403010!C100,input_403010!A:H,8,FALSE))</f>
        <v>191461.53846000001</v>
      </c>
      <c r="P100" s="46">
        <f t="shared" ca="1" si="4"/>
        <v>4.7297810884994887E-3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input_403010!A$2</f>
        <v>403010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IFERROR(VLOOKUP(B101,input_403010!L:R,7,FALSE),VLOOKUP(tables_403010!C101,input_403010!A:H,8,FALSE))</f>
        <v>27038.46153</v>
      </c>
      <c r="P101" s="46">
        <f t="shared" ca="1" si="4"/>
        <v>6.679461840500817E-4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input_403010!A$2</f>
        <v>403010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IFERROR(VLOOKUP(B102,input_403010!L:R,7,FALSE),VLOOKUP(tables_403010!C102,input_403010!A:H,8,FALSE))</f>
        <v>218500</v>
      </c>
      <c r="P102" s="46">
        <f t="shared" ca="1" si="4"/>
        <v>5.3977272727966062E-3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input_403010!A$2</f>
        <v>403010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IFERROR(VLOOKUP(B103,input_403010!L:R,7,FALSE),VLOOKUP(tables_403010!C103,input_403010!A:H,8,FALSE))</f>
        <v>191461.53846000001</v>
      </c>
      <c r="P103" s="46">
        <f t="shared" ca="1" si="4"/>
        <v>4.7297810884994887E-3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input_403010!A$2</f>
        <v>403010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IFERROR(VLOOKUP(B104,input_403010!L:R,7,FALSE),VLOOKUP(tables_403010!C104,input_403010!A:H,8,FALSE))</f>
        <v>27038.46153</v>
      </c>
      <c r="P104" s="46">
        <f t="shared" ca="1" si="4"/>
        <v>6.679461840500817E-4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input_403010!A$2</f>
        <v>403010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IFERROR(VLOOKUP(B105,input_403010!L:R,7,FALSE),VLOOKUP(tables_403010!C105,input_403010!A:H,8,FALSE))</f>
        <v>218500</v>
      </c>
      <c r="P105" s="46">
        <f t="shared" ca="1" si="4"/>
        <v>5.3977272727966062E-3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input_403010!A$2</f>
        <v>403010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IFERROR(VLOOKUP(B106,input_403010!L:R,7,FALSE),VLOOKUP(tables_403010!C106,input_403010!A:H,8,FALSE))</f>
        <v>191461.53846000001</v>
      </c>
      <c r="P106" s="46">
        <f t="shared" ca="1" si="4"/>
        <v>4.7297810884994887E-3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input_403010!A$2</f>
        <v>403010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IFERROR(VLOOKUP(B107,input_403010!L:R,7,FALSE),VLOOKUP(tables_403010!C107,input_403010!A:H,8,FALSE))</f>
        <v>27038.46153</v>
      </c>
      <c r="P107" s="46">
        <f t="shared" ca="1" si="4"/>
        <v>6.679461840500817E-4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input_403010!A$2</f>
        <v>403010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IFERROR(VLOOKUP(B108,input_403010!L:R,7,FALSE),VLOOKUP(tables_403010!C108,input_403010!A:H,8,FALSE))</f>
        <v>218500</v>
      </c>
      <c r="P108" s="46">
        <f t="shared" ca="1" si="4"/>
        <v>5.3977272727966062E-3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input_403010!A$2</f>
        <v>403010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IFERROR(VLOOKUP(B109,input_403010!L:R,7,FALSE),VLOOKUP(tables_403010!C109,input_403010!A:H,8,FALSE))</f>
        <v>191461.53846000001</v>
      </c>
      <c r="P109" s="46">
        <f t="shared" ca="1" si="4"/>
        <v>4.7297810884994887E-3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input_403010!A$2</f>
        <v>403010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IFERROR(VLOOKUP(B110,input_403010!L:R,7,FALSE),VLOOKUP(tables_403010!C110,input_403010!A:H,8,FALSE))</f>
        <v>27038.46153</v>
      </c>
      <c r="P110" s="46">
        <f t="shared" ca="1" si="4"/>
        <v>6.679461840500817E-4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input_403010!A$2</f>
        <v>403010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IFERROR(VLOOKUP(B111,input_403010!L:R,7,FALSE),VLOOKUP(tables_403010!C111,input_403010!A:H,8,FALSE))</f>
        <v>218500</v>
      </c>
      <c r="P111" s="46">
        <f t="shared" ca="1" si="4"/>
        <v>5.3977272727966062E-3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input_403010!A$2</f>
        <v>403010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IFERROR(VLOOKUP(B112,input_403010!L:R,7,FALSE),VLOOKUP(tables_403010!C112,input_403010!A:H,8,FALSE))</f>
        <v>196650</v>
      </c>
      <c r="P112" s="46">
        <f t="shared" ca="1" si="4"/>
        <v>4.8579545455169452E-3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input_403010!A$2</f>
        <v>403010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IFERROR(VLOOKUP(B113,input_403010!L:R,7,FALSE),VLOOKUP(tables_403010!C113,input_403010!A:H,8,FALSE))</f>
        <v>21850</v>
      </c>
      <c r="P113" s="46">
        <f t="shared" ca="1" si="4"/>
        <v>5.3977272727966064E-4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input_403010!A$2</f>
        <v>403010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IFERROR(VLOOKUP(B114,input_403010!L:R,7,FALSE),VLOOKUP(tables_403010!C114,input_403010!A:H,8,FALSE))</f>
        <v>218500</v>
      </c>
      <c r="P114" s="46">
        <f t="shared" ca="1" si="4"/>
        <v>5.3977272727966062E-3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input_403010!A$2</f>
        <v>403010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IFERROR(VLOOKUP(B115,input_403010!L:R,7,FALSE),VLOOKUP(tables_403010!C115,input_403010!A:H,8,FALSE))</f>
        <v>191461.53846000001</v>
      </c>
      <c r="P115" s="46">
        <f t="shared" ca="1" si="4"/>
        <v>4.7297810884994887E-3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input_403010!A$2</f>
        <v>403010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IFERROR(VLOOKUP(B116,input_403010!L:R,7,FALSE),VLOOKUP(tables_403010!C116,input_403010!A:H,8,FALSE))</f>
        <v>27038.46153</v>
      </c>
      <c r="P116" s="46">
        <f t="shared" ca="1" si="4"/>
        <v>6.679461840500817E-4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input_403010!A$2</f>
        <v>403010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IFERROR(VLOOKUP(B117,input_403010!L:R,7,FALSE),VLOOKUP(tables_403010!C117,input_403010!A:H,8,FALSE))</f>
        <v>218500</v>
      </c>
      <c r="P117" s="46">
        <f t="shared" ca="1" si="4"/>
        <v>5.3977272727966062E-3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input_403010!A$2</f>
        <v>403010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IFERROR(VLOOKUP(B118,input_403010!L:R,7,FALSE),VLOOKUP(tables_403010!C118,input_403010!A:H,8,FALSE))</f>
        <v>191461.53846000001</v>
      </c>
      <c r="P118" s="46">
        <f t="shared" ca="1" si="4"/>
        <v>4.7297810884994887E-3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input_403010!A$2</f>
        <v>403010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IFERROR(VLOOKUP(B119,input_403010!L:R,7,FALSE),VLOOKUP(tables_403010!C119,input_403010!A:H,8,FALSE))</f>
        <v>27038.46153</v>
      </c>
      <c r="P119" s="46">
        <f t="shared" ca="1" si="4"/>
        <v>6.679461840500817E-4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input_403010!A$2</f>
        <v>403010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IFERROR(VLOOKUP(B120,input_403010!L:R,7,FALSE),VLOOKUP(tables_403010!C120,input_403010!A:H,8,FALSE))</f>
        <v>218500</v>
      </c>
      <c r="P120" s="46">
        <f t="shared" ca="1" si="4"/>
        <v>5.3977272727966062E-3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input_403010!A$2</f>
        <v>403010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IFERROR(VLOOKUP(B121,input_403010!L:R,7,FALSE),VLOOKUP(tables_403010!C121,input_403010!A:H,8,FALSE))</f>
        <v>191461.53846000001</v>
      </c>
      <c r="P121" s="46">
        <f t="shared" ca="1" si="4"/>
        <v>4.7297810884994887E-3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input_403010!A$2</f>
        <v>403010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IFERROR(VLOOKUP(B122,input_403010!L:R,7,FALSE),VLOOKUP(tables_403010!C122,input_403010!A:H,8,FALSE))</f>
        <v>27038.46153</v>
      </c>
      <c r="P122" s="46">
        <f t="shared" ca="1" si="4"/>
        <v>6.679461840500817E-4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input_403010!A$2</f>
        <v>403010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IFERROR(VLOOKUP(B123,input_403010!L:R,7,FALSE),VLOOKUP(tables_403010!C123,input_403010!A:H,8,FALSE))</f>
        <v>218500</v>
      </c>
      <c r="P123" s="46">
        <f t="shared" ca="1" si="4"/>
        <v>5.3977272727966062E-3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input_403010!A$2</f>
        <v>403010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IFERROR(VLOOKUP(B124,input_403010!L:R,7,FALSE),VLOOKUP(tables_403010!C124,input_403010!A:H,8,FALSE))</f>
        <v>191461.53846000001</v>
      </c>
      <c r="P124" s="46">
        <f t="shared" ca="1" si="4"/>
        <v>4.7297810884994887E-3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input_403010!A$2</f>
        <v>403010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IFERROR(VLOOKUP(B125,input_403010!L:R,7,FALSE),VLOOKUP(tables_403010!C125,input_403010!A:H,8,FALSE))</f>
        <v>27038.46153</v>
      </c>
      <c r="P125" s="46">
        <f t="shared" ca="1" si="4"/>
        <v>6.679461840500817E-4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input_403010!A$2</f>
        <v>403010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IFERROR(VLOOKUP(B126,input_403010!L:R,7,FALSE),VLOOKUP(tables_403010!C126,input_403010!A:H,8,FALSE))</f>
        <v>218500</v>
      </c>
      <c r="P126" s="46">
        <f t="shared" ca="1" si="4"/>
        <v>5.3977272727966062E-3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input_403010!A$2</f>
        <v>403010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IFERROR(VLOOKUP(B127,input_403010!L:R,7,FALSE),VLOOKUP(tables_403010!C127,input_403010!A:H,8,FALSE))</f>
        <v>191461.53846000001</v>
      </c>
      <c r="P127" s="46">
        <f t="shared" ca="1" si="4"/>
        <v>4.7297810884994887E-3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input_403010!A$2</f>
        <v>403010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IFERROR(VLOOKUP(B128,input_403010!L:R,7,FALSE),VLOOKUP(tables_403010!C128,input_403010!A:H,8,FALSE))</f>
        <v>27038.46153</v>
      </c>
      <c r="P128" s="46">
        <f t="shared" ca="1" si="4"/>
        <v>6.679461840500817E-4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input_403010!A$2</f>
        <v>403010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IFERROR(VLOOKUP(B129,input_403010!L:R,7,FALSE),VLOOKUP(tables_403010!C129,input_403010!A:H,8,FALSE))</f>
        <v>218500</v>
      </c>
      <c r="P129" s="46">
        <f t="shared" ca="1" si="4"/>
        <v>5.3977272727966062E-3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input_403010!A$2</f>
        <v>403010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IFERROR(VLOOKUP(B130,input_403010!L:R,7,FALSE),VLOOKUP(tables_403010!C130,input_403010!A:H,8,FALSE))</f>
        <v>191461.53846000001</v>
      </c>
      <c r="P130" s="46">
        <f t="shared" ref="P130:P193" ca="1" si="7">O130/SUM(O:O)</f>
        <v>4.7297810884994887E-3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input_403010!A$2</f>
        <v>403010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IFERROR(VLOOKUP(B131,input_403010!L:R,7,FALSE),VLOOKUP(tables_403010!C131,input_403010!A:H,8,FALSE))</f>
        <v>27038.46153</v>
      </c>
      <c r="P131" s="46">
        <f t="shared" ca="1" si="7"/>
        <v>6.679461840500817E-4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input_403010!A$2</f>
        <v>403010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IFERROR(VLOOKUP(B132,input_403010!L:R,7,FALSE),VLOOKUP(tables_403010!C132,input_403010!A:H,8,FALSE))</f>
        <v>218500</v>
      </c>
      <c r="P132" s="46">
        <f t="shared" ca="1" si="7"/>
        <v>5.3977272727966062E-3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input_403010!A$2</f>
        <v>403010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IFERROR(VLOOKUP(B133,input_403010!L:R,7,FALSE),VLOOKUP(tables_403010!C133,input_403010!A:H,8,FALSE))</f>
        <v>191461.53846000001</v>
      </c>
      <c r="P133" s="46">
        <f t="shared" ca="1" si="7"/>
        <v>4.7297810884994887E-3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input_403010!A$2</f>
        <v>403010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IFERROR(VLOOKUP(B134,input_403010!L:R,7,FALSE),VLOOKUP(tables_403010!C134,input_403010!A:H,8,FALSE))</f>
        <v>27038.46153</v>
      </c>
      <c r="P134" s="46">
        <f t="shared" ca="1" si="7"/>
        <v>6.679461840500817E-4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input_403010!A$2</f>
        <v>403010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IFERROR(VLOOKUP(B135,input_403010!L:R,7,FALSE),VLOOKUP(tables_403010!C135,input_403010!A:H,8,FALSE))</f>
        <v>218500</v>
      </c>
      <c r="P135" s="46">
        <f t="shared" ca="1" si="7"/>
        <v>5.3977272727966062E-3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input_403010!A$2</f>
        <v>403010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IFERROR(VLOOKUP(B136,input_403010!L:R,7,FALSE),VLOOKUP(tables_403010!C136,input_403010!A:H,8,FALSE))</f>
        <v>191461.53846000001</v>
      </c>
      <c r="P136" s="46">
        <f t="shared" ca="1" si="7"/>
        <v>4.7297810884994887E-3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input_403010!A$2</f>
        <v>403010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IFERROR(VLOOKUP(B137,input_403010!L:R,7,FALSE),VLOOKUP(tables_403010!C137,input_403010!A:H,8,FALSE))</f>
        <v>27038.46153</v>
      </c>
      <c r="P137" s="46">
        <f t="shared" ca="1" si="7"/>
        <v>6.679461840500817E-4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input_403010!A$2</f>
        <v>403010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IFERROR(VLOOKUP(B138,input_403010!L:R,7,FALSE),VLOOKUP(tables_403010!C138,input_403010!A:H,8,FALSE))</f>
        <v>8360</v>
      </c>
      <c r="P138" s="46">
        <f t="shared" ca="1" si="7"/>
        <v>2.0652173913308754E-4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input_403010!A$2</f>
        <v>403010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IFERROR(VLOOKUP(B139,input_403010!L:R,7,FALSE),VLOOKUP(tables_403010!C139,input_403010!A:H,8,FALSE))</f>
        <v>440</v>
      </c>
      <c r="P139" s="46">
        <f t="shared" ca="1" si="7"/>
        <v>1.0869565217530923E-5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input_403010!A$2</f>
        <v>403010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IFERROR(VLOOKUP(B140,input_403010!L:R,7,FALSE),VLOOKUP(tables_403010!C140,input_403010!A:H,8,FALSE))</f>
        <v>8360</v>
      </c>
      <c r="P140" s="46">
        <f t="shared" ca="1" si="7"/>
        <v>2.0652173913308754E-4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input_403010!A$2</f>
        <v>403010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IFERROR(VLOOKUP(B141,input_403010!L:R,7,FALSE),VLOOKUP(tables_403010!C141,input_403010!A:H,8,FALSE))</f>
        <v>440</v>
      </c>
      <c r="P141" s="46">
        <f t="shared" ca="1" si="7"/>
        <v>1.0869565217530923E-5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input_403010!A$2</f>
        <v>403010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IFERROR(VLOOKUP(B142,input_403010!L:R,7,FALSE),VLOOKUP(tables_403010!C142,input_403010!A:H,8,FALSE))</f>
        <v>8360</v>
      </c>
      <c r="P142" s="46">
        <f t="shared" ca="1" si="7"/>
        <v>2.0652173913308754E-4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input_403010!A$2</f>
        <v>403010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IFERROR(VLOOKUP(B143,input_403010!L:R,7,FALSE),VLOOKUP(tables_403010!C143,input_403010!A:H,8,FALSE))</f>
        <v>440</v>
      </c>
      <c r="P143" s="46">
        <f t="shared" ca="1" si="7"/>
        <v>1.0869565217530923E-5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input_403010!A$2</f>
        <v>403010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IFERROR(VLOOKUP(B144,input_403010!L:R,7,FALSE),VLOOKUP(tables_403010!C144,input_403010!A:H,8,FALSE))</f>
        <v>8360</v>
      </c>
      <c r="P144" s="46">
        <f t="shared" ca="1" si="7"/>
        <v>2.0652173913308754E-4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input_403010!A$2</f>
        <v>403010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IFERROR(VLOOKUP(B145,input_403010!L:R,7,FALSE),VLOOKUP(tables_403010!C145,input_403010!A:H,8,FALSE))</f>
        <v>440</v>
      </c>
      <c r="P145" s="46">
        <f t="shared" ca="1" si="7"/>
        <v>1.0869565217530923E-5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input_403010!A$2</f>
        <v>403010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IFERROR(VLOOKUP(B146,input_403010!L:R,7,FALSE),VLOOKUP(tables_403010!C146,input_403010!A:H,8,FALSE))</f>
        <v>218500</v>
      </c>
      <c r="P146" s="46">
        <f t="shared" ca="1" si="7"/>
        <v>5.3977272727966062E-3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input_403010!A$2</f>
        <v>403010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IFERROR(VLOOKUP(B147,input_403010!L:R,7,FALSE),VLOOKUP(tables_403010!C147,input_403010!A:H,8,FALSE))</f>
        <v>191461.53846000001</v>
      </c>
      <c r="P147" s="46">
        <f t="shared" ca="1" si="7"/>
        <v>4.7297810884994887E-3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input_403010!A$2</f>
        <v>403010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IFERROR(VLOOKUP(B148,input_403010!L:R,7,FALSE),VLOOKUP(tables_403010!C148,input_403010!A:H,8,FALSE))</f>
        <v>27038.46153</v>
      </c>
      <c r="P148" s="46">
        <f t="shared" ca="1" si="7"/>
        <v>6.679461840500817E-4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input_403010!A$2</f>
        <v>403010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>IFERROR(VLOOKUP(B149,input_403010!L:R,7,FALSE),VLOOKUP(tables_403010!C149,input_403010!A:H,8,FALSE))</f>
        <v>769120</v>
      </c>
      <c r="P149" s="46">
        <f t="shared" ca="1" si="7"/>
        <v>1.9000000000244054E-2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input_403010!A$2</f>
        <v>403010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>IFERROR(VLOOKUP(B150,input_403010!L:R,7,FALSE),VLOOKUP(tables_403010!C150,input_403010!A:H,8,FALSE))</f>
        <v>40480</v>
      </c>
      <c r="P150" s="46">
        <f t="shared" ca="1" si="7"/>
        <v>1.000000000012845E-3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input_403010!A$2</f>
        <v>403010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>IFERROR(VLOOKUP(B151,input_403010!L:R,7,FALSE),VLOOKUP(tables_403010!C151,input_403010!A:H,8,FALSE))</f>
        <v>769120</v>
      </c>
      <c r="P151" s="46">
        <f t="shared" ca="1" si="7"/>
        <v>1.9000000000244054E-2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input_403010!A$2</f>
        <v>403010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>IFERROR(VLOOKUP(B152,input_403010!L:R,7,FALSE),VLOOKUP(tables_403010!C152,input_403010!A:H,8,FALSE))</f>
        <v>40480</v>
      </c>
      <c r="P152" s="46">
        <f t="shared" ca="1" si="7"/>
        <v>1.000000000012845E-3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input_403010!A$2</f>
        <v>403010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IFERROR(VLOOKUP(B153,input_403010!L:R,7,FALSE),VLOOKUP(tables_403010!C153,input_403010!A:H,8,FALSE))</f>
        <v>218500</v>
      </c>
      <c r="P153" s="46">
        <f t="shared" ca="1" si="7"/>
        <v>5.3977272727966062E-3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input_403010!A$2</f>
        <v>403010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IFERROR(VLOOKUP(B154,input_403010!L:R,7,FALSE),VLOOKUP(tables_403010!C154,input_403010!A:H,8,FALSE))</f>
        <v>191461.53846000001</v>
      </c>
      <c r="P154" s="46">
        <f t="shared" ca="1" si="7"/>
        <v>4.7297810884994887E-3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input_403010!A$2</f>
        <v>403010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IFERROR(VLOOKUP(B155,input_403010!L:R,7,FALSE),VLOOKUP(tables_403010!C155,input_403010!A:H,8,FALSE))</f>
        <v>27038.46153</v>
      </c>
      <c r="P155" s="46">
        <f t="shared" ca="1" si="7"/>
        <v>6.679461840500817E-4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input_403010!A$2</f>
        <v>403010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IFERROR(VLOOKUP(B156,input_403010!L:R,7,FALSE),VLOOKUP(tables_403010!C156,input_403010!A:H,8,FALSE))</f>
        <v>8360</v>
      </c>
      <c r="P156" s="46">
        <f t="shared" ca="1" si="7"/>
        <v>2.0652173913308754E-4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input_403010!A$2</f>
        <v>403010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IFERROR(VLOOKUP(B157,input_403010!L:R,7,FALSE),VLOOKUP(tables_403010!C157,input_403010!A:H,8,FALSE))</f>
        <v>440</v>
      </c>
      <c r="P157" s="46">
        <f t="shared" ca="1" si="7"/>
        <v>1.0869565217530923E-5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input_403010!A$2</f>
        <v>403010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IFERROR(VLOOKUP(B158,input_403010!L:R,7,FALSE),VLOOKUP(tables_403010!C158,input_403010!A:H,8,FALSE))</f>
        <v>218500</v>
      </c>
      <c r="P158" s="46">
        <f t="shared" ca="1" si="7"/>
        <v>5.3977272727966062E-3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input_403010!A$2</f>
        <v>403010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IFERROR(VLOOKUP(B159,input_403010!L:R,7,FALSE),VLOOKUP(tables_403010!C159,input_403010!A:H,8,FALSE))</f>
        <v>191461.53846000001</v>
      </c>
      <c r="P159" s="46">
        <f t="shared" ca="1" si="7"/>
        <v>4.7297810884994887E-3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input_403010!A$2</f>
        <v>403010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IFERROR(VLOOKUP(B160,input_403010!L:R,7,FALSE),VLOOKUP(tables_403010!C160,input_403010!A:H,8,FALSE))</f>
        <v>27038.46153</v>
      </c>
      <c r="P160" s="46">
        <f t="shared" ca="1" si="7"/>
        <v>6.679461840500817E-4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input_403010!A$2</f>
        <v>403010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IFERROR(VLOOKUP(B161,input_403010!L:R,7,FALSE),VLOOKUP(tables_403010!C161,input_403010!A:H,8,FALSE))</f>
        <v>218500</v>
      </c>
      <c r="P161" s="46">
        <f t="shared" ca="1" si="7"/>
        <v>5.3977272727966062E-3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input_403010!A$2</f>
        <v>403010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IFERROR(VLOOKUP(B162,input_403010!L:R,7,FALSE),VLOOKUP(tables_403010!C162,input_403010!A:H,8,FALSE))</f>
        <v>191461.53846000001</v>
      </c>
      <c r="P162" s="46">
        <f t="shared" ca="1" si="7"/>
        <v>4.7297810884994887E-3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input_403010!A$2</f>
        <v>403010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IFERROR(VLOOKUP(B163,input_403010!L:R,7,FALSE),VLOOKUP(tables_403010!C163,input_403010!A:H,8,FALSE))</f>
        <v>27038.46153</v>
      </c>
      <c r="P163" s="46">
        <f t="shared" ca="1" si="7"/>
        <v>6.679461840500817E-4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input_403010!A$2</f>
        <v>403010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IFERROR(VLOOKUP(B164,input_403010!L:R,7,FALSE),VLOOKUP(tables_403010!C164,input_403010!A:H,8,FALSE))</f>
        <v>8360</v>
      </c>
      <c r="P164" s="46">
        <f t="shared" ca="1" si="7"/>
        <v>2.0652173913308754E-4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input_403010!A$2</f>
        <v>403010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IFERROR(VLOOKUP(B165,input_403010!L:R,7,FALSE),VLOOKUP(tables_403010!C165,input_403010!A:H,8,FALSE))</f>
        <v>440</v>
      </c>
      <c r="P165" s="46">
        <f t="shared" ca="1" si="7"/>
        <v>1.0869565217530923E-5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input_403010!A$2</f>
        <v>403010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IFERROR(VLOOKUP(B166,input_403010!L:R,7,FALSE),VLOOKUP(tables_403010!C166,input_403010!A:H,8,FALSE))</f>
        <v>218500</v>
      </c>
      <c r="P166" s="46">
        <f t="shared" ca="1" si="7"/>
        <v>5.3977272727966062E-3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input_403010!A$2</f>
        <v>403010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IFERROR(VLOOKUP(B167,input_403010!L:R,7,FALSE),VLOOKUP(tables_403010!C167,input_403010!A:H,8,FALSE))</f>
        <v>191461.53846000001</v>
      </c>
      <c r="P167" s="46">
        <f t="shared" ca="1" si="7"/>
        <v>4.7297810884994887E-3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input_403010!A$2</f>
        <v>403010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IFERROR(VLOOKUP(B168,input_403010!L:R,7,FALSE),VLOOKUP(tables_403010!C168,input_403010!A:H,8,FALSE))</f>
        <v>27038.46153</v>
      </c>
      <c r="P168" s="46">
        <f t="shared" ca="1" si="7"/>
        <v>6.679461840500817E-4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input_403010!A$2</f>
        <v>403010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IFERROR(VLOOKUP(B169,input_403010!L:R,7,FALSE),VLOOKUP(tables_403010!C169,input_403010!A:H,8,FALSE))</f>
        <v>8360</v>
      </c>
      <c r="P169" s="46">
        <f t="shared" ca="1" si="7"/>
        <v>2.0652173913308754E-4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input_403010!A$2</f>
        <v>403010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IFERROR(VLOOKUP(B170,input_403010!L:R,7,FALSE),VLOOKUP(tables_403010!C170,input_403010!A:H,8,FALSE))</f>
        <v>440</v>
      </c>
      <c r="P170" s="46">
        <f t="shared" ca="1" si="7"/>
        <v>1.0869565217530923E-5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input_403010!A$2</f>
        <v>403010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IFERROR(VLOOKUP(B171,input_403010!L:R,7,FALSE),VLOOKUP(tables_403010!C171,input_403010!A:H,8,FALSE))</f>
        <v>218500</v>
      </c>
      <c r="P171" s="46">
        <f t="shared" ca="1" si="7"/>
        <v>5.3977272727966062E-3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input_403010!A$2</f>
        <v>403010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IFERROR(VLOOKUP(B172,input_403010!L:R,7,FALSE),VLOOKUP(tables_403010!C172,input_403010!A:H,8,FALSE))</f>
        <v>191461.53846000001</v>
      </c>
      <c r="P172" s="46">
        <f t="shared" ca="1" si="7"/>
        <v>4.7297810884994887E-3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input_403010!A$2</f>
        <v>403010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IFERROR(VLOOKUP(B173,input_403010!L:R,7,FALSE),VLOOKUP(tables_403010!C173,input_403010!A:H,8,FALSE))</f>
        <v>27038.46153</v>
      </c>
      <c r="P173" s="46">
        <f t="shared" ca="1" si="7"/>
        <v>6.679461840500817E-4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input_403010!A$2</f>
        <v>403010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IFERROR(VLOOKUP(B174,input_403010!L:R,7,FALSE),VLOOKUP(tables_403010!C174,input_403010!A:H,8,FALSE))</f>
        <v>8360</v>
      </c>
      <c r="P174" s="46">
        <f t="shared" ca="1" si="7"/>
        <v>2.0652173913308754E-4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input_403010!A$2</f>
        <v>403010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IFERROR(VLOOKUP(B175,input_403010!L:R,7,FALSE),VLOOKUP(tables_403010!C175,input_403010!A:H,8,FALSE))</f>
        <v>440</v>
      </c>
      <c r="P175" s="46">
        <f t="shared" ca="1" si="7"/>
        <v>1.0869565217530923E-5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input_403010!A$2</f>
        <v>403010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IFERROR(VLOOKUP(B176,input_403010!L:R,7,FALSE),VLOOKUP(tables_403010!C176,input_403010!A:H,8,FALSE))</f>
        <v>8360</v>
      </c>
      <c r="P176" s="46">
        <f t="shared" ca="1" si="7"/>
        <v>2.0652173913308754E-4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input_403010!A$2</f>
        <v>403010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IFERROR(VLOOKUP(B177,input_403010!L:R,7,FALSE),VLOOKUP(tables_403010!C177,input_403010!A:H,8,FALSE))</f>
        <v>440</v>
      </c>
      <c r="P177" s="46">
        <f t="shared" ca="1" si="7"/>
        <v>1.0869565217530923E-5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input_403010!A$2</f>
        <v>403010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IFERROR(VLOOKUP(B178,input_403010!L:R,7,FALSE),VLOOKUP(tables_403010!C178,input_403010!A:H,8,FALSE))</f>
        <v>218500</v>
      </c>
      <c r="P178" s="46">
        <f t="shared" ca="1" si="7"/>
        <v>5.3977272727966062E-3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input_403010!A$2</f>
        <v>403010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IFERROR(VLOOKUP(B179,input_403010!L:R,7,FALSE),VLOOKUP(tables_403010!C179,input_403010!A:H,8,FALSE))</f>
        <v>191461.53846000001</v>
      </c>
      <c r="P179" s="46">
        <f t="shared" ca="1" si="7"/>
        <v>4.7297810884994887E-3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input_403010!A$2</f>
        <v>403010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IFERROR(VLOOKUP(B180,input_403010!L:R,7,FALSE),VLOOKUP(tables_403010!C180,input_403010!A:H,8,FALSE))</f>
        <v>27038.46153</v>
      </c>
      <c r="P180" s="46">
        <f t="shared" ca="1" si="7"/>
        <v>6.679461840500817E-4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input_403010!A$2</f>
        <v>403010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IFERROR(VLOOKUP(B181,input_403010!L:R,7,FALSE),VLOOKUP(tables_403010!C181,input_403010!A:H,8,FALSE))</f>
        <v>218500</v>
      </c>
      <c r="P181" s="46">
        <f t="shared" ca="1" si="7"/>
        <v>5.3977272727966062E-3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input_403010!A$2</f>
        <v>403010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IFERROR(VLOOKUP(B182,input_403010!L:R,7,FALSE),VLOOKUP(tables_403010!C182,input_403010!A:H,8,FALSE))</f>
        <v>191461.53846000001</v>
      </c>
      <c r="P182" s="46">
        <f t="shared" ca="1" si="7"/>
        <v>4.7297810884994887E-3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input_403010!A$2</f>
        <v>403010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IFERROR(VLOOKUP(B183,input_403010!L:R,7,FALSE),VLOOKUP(tables_403010!C183,input_403010!A:H,8,FALSE))</f>
        <v>27038.46153</v>
      </c>
      <c r="P183" s="46">
        <f t="shared" ca="1" si="7"/>
        <v>6.679461840500817E-4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input_403010!A$2</f>
        <v>403010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IFERROR(VLOOKUP(B184,input_403010!L:R,7,FALSE),VLOOKUP(tables_403010!C184,input_403010!A:H,8,FALSE))</f>
        <v>8360</v>
      </c>
      <c r="P184" s="46">
        <f t="shared" ca="1" si="7"/>
        <v>2.0652173913308754E-4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input_403010!A$2</f>
        <v>403010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IFERROR(VLOOKUP(B185,input_403010!L:R,7,FALSE),VLOOKUP(tables_403010!C185,input_403010!A:H,8,FALSE))</f>
        <v>440</v>
      </c>
      <c r="P185" s="46">
        <f t="shared" ca="1" si="7"/>
        <v>1.0869565217530923E-5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input_403010!A$2</f>
        <v>403010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IFERROR(VLOOKUP(B186,input_403010!L:R,7,FALSE),VLOOKUP(tables_403010!C186,input_403010!A:H,8,FALSE))</f>
        <v>218500</v>
      </c>
      <c r="P186" s="46">
        <f t="shared" ca="1" si="7"/>
        <v>5.3977272727966062E-3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input_403010!A$2</f>
        <v>403010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IFERROR(VLOOKUP(B187,input_403010!L:R,7,FALSE),VLOOKUP(tables_403010!C187,input_403010!A:H,8,FALSE))</f>
        <v>191461.53846000001</v>
      </c>
      <c r="P187" s="46">
        <f t="shared" ca="1" si="7"/>
        <v>4.7297810884994887E-3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input_403010!A$2</f>
        <v>403010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IFERROR(VLOOKUP(B188,input_403010!L:R,7,FALSE),VLOOKUP(tables_403010!C188,input_403010!A:H,8,FALSE))</f>
        <v>27038.46153</v>
      </c>
      <c r="P188" s="46">
        <f t="shared" ca="1" si="7"/>
        <v>6.679461840500817E-4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input_403010!A$2</f>
        <v>403010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IFERROR(VLOOKUP(B189,input_403010!L:R,7,FALSE),VLOOKUP(tables_403010!C189,input_403010!A:H,8,FALSE))</f>
        <v>8360</v>
      </c>
      <c r="P189" s="46">
        <f t="shared" ca="1" si="7"/>
        <v>2.0652173913308754E-4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input_403010!A$2</f>
        <v>403010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IFERROR(VLOOKUP(B190,input_403010!L:R,7,FALSE),VLOOKUP(tables_403010!C190,input_403010!A:H,8,FALSE))</f>
        <v>440</v>
      </c>
      <c r="P190" s="46">
        <f t="shared" ca="1" si="7"/>
        <v>1.0869565217530923E-5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input_403010!A$2</f>
        <v>403010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IFERROR(VLOOKUP(B191,input_403010!L:R,7,FALSE),VLOOKUP(tables_403010!C191,input_403010!A:H,8,FALSE))</f>
        <v>8360</v>
      </c>
      <c r="P191" s="46">
        <f t="shared" ca="1" si="7"/>
        <v>2.0652173913308754E-4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input_403010!A$2</f>
        <v>403010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IFERROR(VLOOKUP(B192,input_403010!L:R,7,FALSE),VLOOKUP(tables_403010!C192,input_403010!A:H,8,FALSE))</f>
        <v>440</v>
      </c>
      <c r="P192" s="46">
        <f t="shared" ca="1" si="7"/>
        <v>1.0869565217530923E-5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input_403010!A$2</f>
        <v>403010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IFERROR(VLOOKUP(B193,input_403010!L:R,7,FALSE),VLOOKUP(tables_403010!C193,input_403010!A:H,8,FALSE))</f>
        <v>218500</v>
      </c>
      <c r="P193" s="46">
        <f t="shared" ca="1" si="7"/>
        <v>5.3977272727966062E-3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input_403010!A$2</f>
        <v>403010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IFERROR(VLOOKUP(B194,input_403010!L:R,7,FALSE),VLOOKUP(tables_403010!C194,input_403010!A:H,8,FALSE))</f>
        <v>191461.53846000001</v>
      </c>
      <c r="P194" s="46">
        <f t="shared" ref="P194:P257" ca="1" si="10">O194/SUM(O:O)</f>
        <v>4.7297810884994887E-3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input_403010!A$2</f>
        <v>403010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IFERROR(VLOOKUP(B195,input_403010!L:R,7,FALSE),VLOOKUP(tables_403010!C195,input_403010!A:H,8,FALSE))</f>
        <v>27038.46153</v>
      </c>
      <c r="P195" s="46">
        <f t="shared" ca="1" si="10"/>
        <v>6.679461840500817E-4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input_403010!A$2</f>
        <v>403010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IFERROR(VLOOKUP(B196,input_403010!L:R,7,FALSE),VLOOKUP(tables_403010!C196,input_403010!A:H,8,FALSE))</f>
        <v>8360</v>
      </c>
      <c r="P196" s="46">
        <f t="shared" ca="1" si="10"/>
        <v>2.0652173913308754E-4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input_403010!A$2</f>
        <v>403010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IFERROR(VLOOKUP(B197,input_403010!L:R,7,FALSE),VLOOKUP(tables_403010!C197,input_403010!A:H,8,FALSE))</f>
        <v>440</v>
      </c>
      <c r="P197" s="46">
        <f t="shared" ca="1" si="10"/>
        <v>1.0869565217530923E-5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input_403010!A$2</f>
        <v>403010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IFERROR(VLOOKUP(B198,input_403010!L:R,7,FALSE),VLOOKUP(tables_403010!C198,input_403010!A:H,8,FALSE))</f>
        <v>218500</v>
      </c>
      <c r="P198" s="46">
        <f t="shared" ca="1" si="10"/>
        <v>5.3977272727966062E-3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input_403010!A$2</f>
        <v>403010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IFERROR(VLOOKUP(B199,input_403010!L:R,7,FALSE),VLOOKUP(tables_403010!C199,input_403010!A:H,8,FALSE))</f>
        <v>191461.53846000001</v>
      </c>
      <c r="P199" s="46">
        <f t="shared" ca="1" si="10"/>
        <v>4.7297810884994887E-3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input_403010!A$2</f>
        <v>403010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IFERROR(VLOOKUP(B200,input_403010!L:R,7,FALSE),VLOOKUP(tables_403010!C200,input_403010!A:H,8,FALSE))</f>
        <v>27038.46153</v>
      </c>
      <c r="P200" s="46">
        <f t="shared" ca="1" si="10"/>
        <v>6.679461840500817E-4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input_403010!A$2</f>
        <v>403010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IFERROR(VLOOKUP(B201,input_403010!L:R,7,FALSE),VLOOKUP(tables_403010!C201,input_403010!A:H,8,FALSE))</f>
        <v>8360</v>
      </c>
      <c r="P201" s="46">
        <f t="shared" ca="1" si="10"/>
        <v>2.0652173913308754E-4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input_403010!A$2</f>
        <v>403010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IFERROR(VLOOKUP(B202,input_403010!L:R,7,FALSE),VLOOKUP(tables_403010!C202,input_403010!A:H,8,FALSE))</f>
        <v>440</v>
      </c>
      <c r="P202" s="46">
        <f t="shared" ca="1" si="10"/>
        <v>1.0869565217530923E-5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input_403010!A$2</f>
        <v>403010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IFERROR(VLOOKUP(B203,input_403010!L:R,7,FALSE),VLOOKUP(tables_403010!C203,input_403010!A:H,8,FALSE))</f>
        <v>218500</v>
      </c>
      <c r="P203" s="46">
        <f t="shared" ca="1" si="10"/>
        <v>5.3977272727966062E-3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input_403010!A$2</f>
        <v>403010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IFERROR(VLOOKUP(B204,input_403010!L:R,7,FALSE),VLOOKUP(tables_403010!C204,input_403010!A:H,8,FALSE))</f>
        <v>191461.53846000001</v>
      </c>
      <c r="P204" s="46">
        <f t="shared" ca="1" si="10"/>
        <v>4.7297810884994887E-3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input_403010!A$2</f>
        <v>403010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IFERROR(VLOOKUP(B205,input_403010!L:R,7,FALSE),VLOOKUP(tables_403010!C205,input_403010!A:H,8,FALSE))</f>
        <v>27038.46153</v>
      </c>
      <c r="P205" s="46">
        <f t="shared" ca="1" si="10"/>
        <v>6.679461840500817E-4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input_403010!A$2</f>
        <v>403010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IFERROR(VLOOKUP(B206,input_403010!L:R,7,FALSE),VLOOKUP(tables_403010!C206,input_403010!A:H,8,FALSE))</f>
        <v>8360</v>
      </c>
      <c r="P206" s="46">
        <f t="shared" ca="1" si="10"/>
        <v>2.0652173913308754E-4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input_403010!A$2</f>
        <v>403010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IFERROR(VLOOKUP(B207,input_403010!L:R,7,FALSE),VLOOKUP(tables_403010!C207,input_403010!A:H,8,FALSE))</f>
        <v>440</v>
      </c>
      <c r="P207" s="46">
        <f t="shared" ca="1" si="10"/>
        <v>1.0869565217530923E-5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input_403010!A$2</f>
        <v>403010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IFERROR(VLOOKUP(B208,input_403010!L:R,7,FALSE),VLOOKUP(tables_403010!C208,input_403010!A:H,8,FALSE))</f>
        <v>8360</v>
      </c>
      <c r="P208" s="46">
        <f t="shared" ca="1" si="10"/>
        <v>2.0652173913308754E-4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input_403010!A$2</f>
        <v>403010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IFERROR(VLOOKUP(B209,input_403010!L:R,7,FALSE),VLOOKUP(tables_403010!C209,input_403010!A:H,8,FALSE))</f>
        <v>440</v>
      </c>
      <c r="P209" s="46">
        <f t="shared" ca="1" si="10"/>
        <v>1.0869565217530923E-5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input_403010!A$2</f>
        <v>403010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IFERROR(VLOOKUP(B210,input_403010!L:R,7,FALSE),VLOOKUP(tables_403010!C210,input_403010!A:H,8,FALSE))</f>
        <v>218500</v>
      </c>
      <c r="P210" s="46">
        <f t="shared" ca="1" si="10"/>
        <v>5.3977272727966062E-3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input_403010!A$2</f>
        <v>403010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IFERROR(VLOOKUP(B211,input_403010!L:R,7,FALSE),VLOOKUP(tables_403010!C211,input_403010!A:H,8,FALSE))</f>
        <v>191461.53846000001</v>
      </c>
      <c r="P211" s="46">
        <f t="shared" ca="1" si="10"/>
        <v>4.7297810884994887E-3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input_403010!A$2</f>
        <v>403010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IFERROR(VLOOKUP(B212,input_403010!L:R,7,FALSE),VLOOKUP(tables_403010!C212,input_403010!A:H,8,FALSE))</f>
        <v>27038.46153</v>
      </c>
      <c r="P212" s="46">
        <f t="shared" ca="1" si="10"/>
        <v>6.679461840500817E-4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input_403010!A$2</f>
        <v>403010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IFERROR(VLOOKUP(B213,input_403010!L:R,7,FALSE),VLOOKUP(tables_403010!C213,input_403010!A:H,8,FALSE))</f>
        <v>8360</v>
      </c>
      <c r="P213" s="46">
        <f t="shared" ca="1" si="10"/>
        <v>2.0652173913308754E-4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input_403010!A$2</f>
        <v>403010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IFERROR(VLOOKUP(B214,input_403010!L:R,7,FALSE),VLOOKUP(tables_403010!C214,input_403010!A:H,8,FALSE))</f>
        <v>440</v>
      </c>
      <c r="P214" s="46">
        <f t="shared" ca="1" si="10"/>
        <v>1.0869565217530923E-5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input_403010!A$2</f>
        <v>403010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IFERROR(VLOOKUP(B215,input_403010!L:R,7,FALSE),VLOOKUP(tables_403010!C215,input_403010!A:H,8,FALSE))</f>
        <v>8360</v>
      </c>
      <c r="P215" s="46">
        <f t="shared" ca="1" si="10"/>
        <v>2.0652173913308754E-4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input_403010!A$2</f>
        <v>403010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IFERROR(VLOOKUP(B216,input_403010!L:R,7,FALSE),VLOOKUP(tables_403010!C216,input_403010!A:H,8,FALSE))</f>
        <v>440</v>
      </c>
      <c r="P216" s="46">
        <f t="shared" ca="1" si="10"/>
        <v>1.0869565217530923E-5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input_403010!A$2</f>
        <v>403010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IFERROR(VLOOKUP(B217,input_403010!L:R,7,FALSE),VLOOKUP(tables_403010!C217,input_403010!A:H,8,FALSE))</f>
        <v>218500</v>
      </c>
      <c r="P217" s="46">
        <f t="shared" ca="1" si="10"/>
        <v>5.3977272727966062E-3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input_403010!A$2</f>
        <v>403010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IFERROR(VLOOKUP(B218,input_403010!L:R,7,FALSE),VLOOKUP(tables_403010!C218,input_403010!A:H,8,FALSE))</f>
        <v>191461.53846000001</v>
      </c>
      <c r="P218" s="46">
        <f t="shared" ca="1" si="10"/>
        <v>4.7297810884994887E-3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input_403010!A$2</f>
        <v>403010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IFERROR(VLOOKUP(B219,input_403010!L:R,7,FALSE),VLOOKUP(tables_403010!C219,input_403010!A:H,8,FALSE))</f>
        <v>27038.46153</v>
      </c>
      <c r="P219" s="46">
        <f t="shared" ca="1" si="10"/>
        <v>6.679461840500817E-4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input_403010!A$2</f>
        <v>403010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IFERROR(VLOOKUP(B220,input_403010!L:R,7,FALSE),VLOOKUP(tables_403010!C220,input_403010!A:H,8,FALSE))</f>
        <v>218500</v>
      </c>
      <c r="P220" s="46">
        <f t="shared" ca="1" si="10"/>
        <v>5.3977272727966062E-3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input_403010!A$2</f>
        <v>403010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IFERROR(VLOOKUP(B221,input_403010!L:R,7,FALSE),VLOOKUP(tables_403010!C221,input_403010!A:H,8,FALSE))</f>
        <v>191461.53846000001</v>
      </c>
      <c r="P221" s="46">
        <f t="shared" ca="1" si="10"/>
        <v>4.7297810884994887E-3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input_403010!A$2</f>
        <v>403010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IFERROR(VLOOKUP(B222,input_403010!L:R,7,FALSE),VLOOKUP(tables_403010!C222,input_403010!A:H,8,FALSE))</f>
        <v>27038.46153</v>
      </c>
      <c r="P222" s="46">
        <f t="shared" ca="1" si="10"/>
        <v>6.679461840500817E-4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input_403010!A$2</f>
        <v>403010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IFERROR(VLOOKUP(B223,input_403010!L:R,7,FALSE),VLOOKUP(tables_403010!C223,input_403010!A:H,8,FALSE))</f>
        <v>8360</v>
      </c>
      <c r="P223" s="46">
        <f t="shared" ca="1" si="10"/>
        <v>2.0652173913308754E-4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input_403010!A$2</f>
        <v>403010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IFERROR(VLOOKUP(B224,input_403010!L:R,7,FALSE),VLOOKUP(tables_403010!C224,input_403010!A:H,8,FALSE))</f>
        <v>440</v>
      </c>
      <c r="P224" s="46">
        <f t="shared" ca="1" si="10"/>
        <v>1.0869565217530923E-5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input_403010!A$2</f>
        <v>403010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IFERROR(VLOOKUP(B225,input_403010!L:R,7,FALSE),VLOOKUP(tables_403010!C225,input_403010!A:H,8,FALSE))</f>
        <v>218500</v>
      </c>
      <c r="P225" s="46">
        <f t="shared" ca="1" si="10"/>
        <v>5.3977272727966062E-3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input_403010!A$2</f>
        <v>403010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IFERROR(VLOOKUP(B226,input_403010!L:R,7,FALSE),VLOOKUP(tables_403010!C226,input_403010!A:H,8,FALSE))</f>
        <v>191461.53846000001</v>
      </c>
      <c r="P226" s="46">
        <f t="shared" ca="1" si="10"/>
        <v>4.7297810884994887E-3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input_403010!A$2</f>
        <v>403010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IFERROR(VLOOKUP(B227,input_403010!L:R,7,FALSE),VLOOKUP(tables_403010!C227,input_403010!A:H,8,FALSE))</f>
        <v>27038.46153</v>
      </c>
      <c r="P227" s="46">
        <f t="shared" ca="1" si="10"/>
        <v>6.679461840500817E-4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input_403010!A$2</f>
        <v>403010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IFERROR(VLOOKUP(B228,input_403010!L:R,7,FALSE),VLOOKUP(tables_403010!C228,input_403010!A:H,8,FALSE))</f>
        <v>218500</v>
      </c>
      <c r="P228" s="46">
        <f t="shared" ca="1" si="10"/>
        <v>5.3977272727966062E-3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input_403010!A$2</f>
        <v>403010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IFERROR(VLOOKUP(B229,input_403010!L:R,7,FALSE),VLOOKUP(tables_403010!C229,input_403010!A:H,8,FALSE))</f>
        <v>191461.53846000001</v>
      </c>
      <c r="P229" s="46">
        <f t="shared" ca="1" si="10"/>
        <v>4.7297810884994887E-3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input_403010!A$2</f>
        <v>403010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IFERROR(VLOOKUP(B230,input_403010!L:R,7,FALSE),VLOOKUP(tables_403010!C230,input_403010!A:H,8,FALSE))</f>
        <v>27038.46153</v>
      </c>
      <c r="P230" s="46">
        <f t="shared" ca="1" si="10"/>
        <v>6.679461840500817E-4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input_403010!A$2</f>
        <v>403010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IFERROR(VLOOKUP(B231,input_403010!L:R,7,FALSE),VLOOKUP(tables_403010!C231,input_403010!A:H,8,FALSE))</f>
        <v>8360</v>
      </c>
      <c r="P231" s="46">
        <f t="shared" ca="1" si="10"/>
        <v>2.0652173913308754E-4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input_403010!A$2</f>
        <v>403010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IFERROR(VLOOKUP(B232,input_403010!L:R,7,FALSE),VLOOKUP(tables_403010!C232,input_403010!A:H,8,FALSE))</f>
        <v>440</v>
      </c>
      <c r="P232" s="46">
        <f t="shared" ca="1" si="10"/>
        <v>1.0869565217530923E-5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input_403010!A$2</f>
        <v>403010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IFERROR(VLOOKUP(B233,input_403010!L:R,7,FALSE),VLOOKUP(tables_403010!C233,input_403010!A:H,8,FALSE))</f>
        <v>218500</v>
      </c>
      <c r="P233" s="46">
        <f t="shared" ca="1" si="10"/>
        <v>5.3977272727966062E-3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input_403010!A$2</f>
        <v>403010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IFERROR(VLOOKUP(B234,input_403010!L:R,7,FALSE),VLOOKUP(tables_403010!C234,input_403010!A:H,8,FALSE))</f>
        <v>191461.53846000001</v>
      </c>
      <c r="P234" s="46">
        <f t="shared" ca="1" si="10"/>
        <v>4.7297810884994887E-3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input_403010!A$2</f>
        <v>403010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IFERROR(VLOOKUP(B235,input_403010!L:R,7,FALSE),VLOOKUP(tables_403010!C235,input_403010!A:H,8,FALSE))</f>
        <v>27038.46153</v>
      </c>
      <c r="P235" s="46">
        <f t="shared" ca="1" si="10"/>
        <v>6.679461840500817E-4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input_403010!A$2</f>
        <v>403010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IFERROR(VLOOKUP(B236,input_403010!L:R,7,FALSE),VLOOKUP(tables_403010!C236,input_403010!A:H,8,FALSE))</f>
        <v>8360</v>
      </c>
      <c r="P236" s="46">
        <f t="shared" ca="1" si="10"/>
        <v>2.0652173913308754E-4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input_403010!A$2</f>
        <v>403010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IFERROR(VLOOKUP(B237,input_403010!L:R,7,FALSE),VLOOKUP(tables_403010!C237,input_403010!A:H,8,FALSE))</f>
        <v>440</v>
      </c>
      <c r="P237" s="46">
        <f t="shared" ca="1" si="10"/>
        <v>1.0869565217530923E-5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input_403010!A$2</f>
        <v>403010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IFERROR(VLOOKUP(B238,input_403010!L:R,7,FALSE),VLOOKUP(tables_403010!C238,input_403010!A:H,8,FALSE))</f>
        <v>8360</v>
      </c>
      <c r="P238" s="46">
        <f t="shared" ca="1" si="10"/>
        <v>2.0652173913308754E-4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input_403010!A$2</f>
        <v>403010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IFERROR(VLOOKUP(B239,input_403010!L:R,7,FALSE),VLOOKUP(tables_403010!C239,input_403010!A:H,8,FALSE))</f>
        <v>440</v>
      </c>
      <c r="P239" s="46">
        <f t="shared" ca="1" si="10"/>
        <v>1.0869565217530923E-5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input_403010!A$2</f>
        <v>403010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IFERROR(VLOOKUP(B240,input_403010!L:R,7,FALSE),VLOOKUP(tables_403010!C240,input_403010!A:H,8,FALSE))</f>
        <v>218500</v>
      </c>
      <c r="P240" s="46">
        <f t="shared" ca="1" si="10"/>
        <v>5.3977272727966062E-3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input_403010!A$2</f>
        <v>403010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IFERROR(VLOOKUP(B241,input_403010!L:R,7,FALSE),VLOOKUP(tables_403010!C241,input_403010!A:H,8,FALSE))</f>
        <v>191461.53846000001</v>
      </c>
      <c r="P241" s="46">
        <f t="shared" ca="1" si="10"/>
        <v>4.7297810884994887E-3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input_403010!A$2</f>
        <v>403010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IFERROR(VLOOKUP(B242,input_403010!L:R,7,FALSE),VLOOKUP(tables_403010!C242,input_403010!A:H,8,FALSE))</f>
        <v>27038.46153</v>
      </c>
      <c r="P242" s="46">
        <f t="shared" ca="1" si="10"/>
        <v>6.679461840500817E-4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input_403010!A$2</f>
        <v>403010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IFERROR(VLOOKUP(B243,input_403010!L:R,7,FALSE),VLOOKUP(tables_403010!C243,input_403010!A:H,8,FALSE))</f>
        <v>218500</v>
      </c>
      <c r="P243" s="46">
        <f t="shared" ca="1" si="10"/>
        <v>5.3977272727966062E-3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input_403010!A$2</f>
        <v>403010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IFERROR(VLOOKUP(B244,input_403010!L:R,7,FALSE),VLOOKUP(tables_403010!C244,input_403010!A:H,8,FALSE))</f>
        <v>191461.53846000001</v>
      </c>
      <c r="P244" s="46">
        <f t="shared" ca="1" si="10"/>
        <v>4.7297810884994887E-3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input_403010!A$2</f>
        <v>403010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IFERROR(VLOOKUP(B245,input_403010!L:R,7,FALSE),VLOOKUP(tables_403010!C245,input_403010!A:H,8,FALSE))</f>
        <v>27038.46153</v>
      </c>
      <c r="P245" s="46">
        <f t="shared" ca="1" si="10"/>
        <v>6.679461840500817E-4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input_403010!A$2</f>
        <v>403010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IFERROR(VLOOKUP(B246,input_403010!L:R,7,FALSE),VLOOKUP(tables_403010!C246,input_403010!A:H,8,FALSE))</f>
        <v>218500</v>
      </c>
      <c r="P246" s="46">
        <f t="shared" ca="1" si="10"/>
        <v>5.3977272727966062E-3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input_403010!A$2</f>
        <v>403010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IFERROR(VLOOKUP(B247,input_403010!L:R,7,FALSE),VLOOKUP(tables_403010!C247,input_403010!A:H,8,FALSE))</f>
        <v>191461.53846000001</v>
      </c>
      <c r="P247" s="46">
        <f t="shared" ca="1" si="10"/>
        <v>4.7297810884994887E-3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input_403010!A$2</f>
        <v>403010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IFERROR(VLOOKUP(B248,input_403010!L:R,7,FALSE),VLOOKUP(tables_403010!C248,input_403010!A:H,8,FALSE))</f>
        <v>27038.46153</v>
      </c>
      <c r="P248" s="46">
        <f t="shared" ca="1" si="10"/>
        <v>6.679461840500817E-4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input_403010!A$2</f>
        <v>403010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IFERROR(VLOOKUP(B249,input_403010!L:R,7,FALSE),VLOOKUP(tables_403010!C249,input_403010!A:H,8,FALSE))</f>
        <v>218500</v>
      </c>
      <c r="P249" s="46">
        <f t="shared" ca="1" si="10"/>
        <v>5.3977272727966062E-3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input_403010!A$2</f>
        <v>403010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IFERROR(VLOOKUP(B250,input_403010!L:R,7,FALSE),VLOOKUP(tables_403010!C250,input_403010!A:H,8,FALSE))</f>
        <v>191461.53846000001</v>
      </c>
      <c r="P250" s="46">
        <f t="shared" ca="1" si="10"/>
        <v>4.7297810884994887E-3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input_403010!A$2</f>
        <v>403010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IFERROR(VLOOKUP(B251,input_403010!L:R,7,FALSE),VLOOKUP(tables_403010!C251,input_403010!A:H,8,FALSE))</f>
        <v>27038.46153</v>
      </c>
      <c r="P251" s="46">
        <f t="shared" ca="1" si="10"/>
        <v>6.679461840500817E-4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input_403010!A$2</f>
        <v>403010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IFERROR(VLOOKUP(B252,input_403010!L:R,7,FALSE),VLOOKUP(tables_403010!C252,input_403010!A:H,8,FALSE))</f>
        <v>8360</v>
      </c>
      <c r="P252" s="46">
        <f t="shared" ca="1" si="10"/>
        <v>2.0652173913308754E-4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input_403010!A$2</f>
        <v>403010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IFERROR(VLOOKUP(B253,input_403010!L:R,7,FALSE),VLOOKUP(tables_403010!C253,input_403010!A:H,8,FALSE))</f>
        <v>440</v>
      </c>
      <c r="P253" s="46">
        <f t="shared" ca="1" si="10"/>
        <v>1.0869565217530923E-5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input_403010!A$2</f>
        <v>403010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IFERROR(VLOOKUP(B254,input_403010!L:R,7,FALSE),VLOOKUP(tables_403010!C254,input_403010!A:H,8,FALSE))</f>
        <v>8360</v>
      </c>
      <c r="P254" s="46">
        <f t="shared" ca="1" si="10"/>
        <v>2.0652173913308754E-4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input_403010!A$2</f>
        <v>403010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IFERROR(VLOOKUP(B255,input_403010!L:R,7,FALSE),VLOOKUP(tables_403010!C255,input_403010!A:H,8,FALSE))</f>
        <v>440</v>
      </c>
      <c r="P255" s="46">
        <f t="shared" ca="1" si="10"/>
        <v>1.0869565217530923E-5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input_403010!A$2</f>
        <v>403010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IFERROR(VLOOKUP(B256,input_403010!L:R,7,FALSE),VLOOKUP(tables_403010!C256,input_403010!A:H,8,FALSE))</f>
        <v>415150</v>
      </c>
      <c r="P256" s="46">
        <f t="shared" ca="1" si="10"/>
        <v>1.0255681818313551E-2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input_403010!A$2</f>
        <v>403010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IFERROR(VLOOKUP(B257,input_403010!L:R,7,FALSE),VLOOKUP(tables_403010!C257,input_403010!A:H,8,FALSE))</f>
        <v>21850</v>
      </c>
      <c r="P257" s="46">
        <f t="shared" ca="1" si="10"/>
        <v>5.3977272727966064E-4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input_403010!A$2</f>
        <v>403010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IFERROR(VLOOKUP(B258,input_403010!L:R,7,FALSE),VLOOKUP(tables_403010!C258,input_403010!A:H,8,FALSE))</f>
        <v>415150</v>
      </c>
      <c r="P258" s="46">
        <f t="shared" ref="P258:P294" ca="1" si="13">O258/SUM(O:O)</f>
        <v>1.0255681818313551E-2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input_403010!A$2</f>
        <v>403010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IFERROR(VLOOKUP(B259,input_403010!L:R,7,FALSE),VLOOKUP(tables_403010!C259,input_403010!A:H,8,FALSE))</f>
        <v>21850</v>
      </c>
      <c r="P259" s="46">
        <f t="shared" ca="1" si="13"/>
        <v>5.3977272727966064E-4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input_403010!A$2</f>
        <v>403010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IFERROR(VLOOKUP(B260,input_403010!L:R,7,FALSE),VLOOKUP(tables_403010!C260,input_403010!A:H,8,FALSE))</f>
        <v>8800</v>
      </c>
      <c r="P260" s="46">
        <f t="shared" ca="1" si="13"/>
        <v>2.1739130435061846E-4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input_403010!A$2</f>
        <v>403010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IFERROR(VLOOKUP(B261,input_403010!L:R,7,FALSE),VLOOKUP(tables_403010!C261,input_403010!A:H,8,FALSE))</f>
        <v>8800</v>
      </c>
      <c r="P261" s="46">
        <f t="shared" ca="1" si="13"/>
        <v>2.1739130435061846E-4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input_403010!A$2</f>
        <v>403010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IFERROR(VLOOKUP(B262,input_403010!L:R,7,FALSE),VLOOKUP(tables_403010!C262,input_403010!A:H,8,FALSE))</f>
        <v>8360</v>
      </c>
      <c r="P262" s="46">
        <f t="shared" ca="1" si="13"/>
        <v>2.0652173913308754E-4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input_403010!A$2</f>
        <v>403010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IFERROR(VLOOKUP(B263,input_403010!L:R,7,FALSE),VLOOKUP(tables_403010!C263,input_403010!A:H,8,FALSE))</f>
        <v>440</v>
      </c>
      <c r="P263" s="46">
        <f t="shared" ca="1" si="13"/>
        <v>1.0869565217530923E-5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input_403010!A$2</f>
        <v>403010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IFERROR(VLOOKUP(B264,input_403010!L:R,7,FALSE),VLOOKUP(tables_403010!C264,input_403010!A:H,8,FALSE))</f>
        <v>8360</v>
      </c>
      <c r="P264" s="46">
        <f t="shared" ca="1" si="13"/>
        <v>2.0652173913308754E-4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input_403010!A$2</f>
        <v>403010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IFERROR(VLOOKUP(B265,input_403010!L:R,7,FALSE),VLOOKUP(tables_403010!C265,input_403010!A:H,8,FALSE))</f>
        <v>440</v>
      </c>
      <c r="P265" s="46">
        <f t="shared" ca="1" si="13"/>
        <v>1.0869565217530923E-5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input_403010!A$2</f>
        <v>403010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IFERROR(VLOOKUP(B266,input_403010!L:R,7,FALSE),VLOOKUP(tables_403010!C266,input_403010!A:H,8,FALSE))</f>
        <v>218500</v>
      </c>
      <c r="P266" s="46">
        <f t="shared" ca="1" si="13"/>
        <v>5.3977272727966062E-3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input_403010!A$2</f>
        <v>403010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IFERROR(VLOOKUP(B267,input_403010!L:R,7,FALSE),VLOOKUP(tables_403010!C267,input_403010!A:H,8,FALSE))</f>
        <v>191461.53846000001</v>
      </c>
      <c r="P267" s="46">
        <f t="shared" ca="1" si="13"/>
        <v>4.7297810884994887E-3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input_403010!A$2</f>
        <v>403010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IFERROR(VLOOKUP(B268,input_403010!L:R,7,FALSE),VLOOKUP(tables_403010!C268,input_403010!A:H,8,FALSE))</f>
        <v>27038.46153</v>
      </c>
      <c r="P268" s="46">
        <f t="shared" ca="1" si="13"/>
        <v>6.679461840500817E-4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input_403010!A$2</f>
        <v>403010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IFERROR(VLOOKUP(B269,input_403010!L:R,7,FALSE),VLOOKUP(tables_403010!C269,input_403010!A:H,8,FALSE))</f>
        <v>218500</v>
      </c>
      <c r="P269" s="46">
        <f t="shared" ca="1" si="13"/>
        <v>5.3977272727966062E-3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input_403010!A$2</f>
        <v>403010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IFERROR(VLOOKUP(B270,input_403010!L:R,7,FALSE),VLOOKUP(tables_403010!C270,input_403010!A:H,8,FALSE))</f>
        <v>191461.53846000001</v>
      </c>
      <c r="P270" s="46">
        <f t="shared" ca="1" si="13"/>
        <v>4.7297810884994887E-3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input_403010!A$2</f>
        <v>403010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IFERROR(VLOOKUP(B271,input_403010!L:R,7,FALSE),VLOOKUP(tables_403010!C271,input_403010!A:H,8,FALSE))</f>
        <v>27038.46153</v>
      </c>
      <c r="P271" s="46">
        <f t="shared" ca="1" si="13"/>
        <v>6.679461840500817E-4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input_403010!A$2</f>
        <v>403010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IFERROR(VLOOKUP(B272,input_403010!L:R,7,FALSE),VLOOKUP(tables_403010!C272,input_403010!A:H,8,FALSE))</f>
        <v>8800</v>
      </c>
      <c r="P272" s="46">
        <f t="shared" ca="1" si="13"/>
        <v>2.1739130435061846E-4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input_403010!A$2</f>
        <v>403010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IFERROR(VLOOKUP(B273,input_403010!L:R,7,FALSE),VLOOKUP(tables_403010!C273,input_403010!A:H,8,FALSE))</f>
        <v>8800</v>
      </c>
      <c r="P273" s="46">
        <f t="shared" ca="1" si="13"/>
        <v>2.1739130435061846E-4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input_403010!A$2</f>
        <v>403010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IFERROR(VLOOKUP(B274,input_403010!L:R,7,FALSE),VLOOKUP(tables_403010!C274,input_403010!A:H,8,FALSE))</f>
        <v>415150</v>
      </c>
      <c r="P274" s="46">
        <f t="shared" ca="1" si="13"/>
        <v>1.0255681818313551E-2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input_403010!A$2</f>
        <v>403010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IFERROR(VLOOKUP(B275,input_403010!L:R,7,FALSE),VLOOKUP(tables_403010!C275,input_403010!A:H,8,FALSE))</f>
        <v>21850</v>
      </c>
      <c r="P275" s="46">
        <f t="shared" ca="1" si="13"/>
        <v>5.3977272727966064E-4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input_403010!A$2</f>
        <v>403010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IFERROR(VLOOKUP(B276,input_403010!L:R,7,FALSE),VLOOKUP(tables_403010!C276,input_403010!A:H,8,FALSE))</f>
        <v>415150</v>
      </c>
      <c r="P276" s="46">
        <f t="shared" ca="1" si="13"/>
        <v>1.0255681818313551E-2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input_403010!A$2</f>
        <v>403010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IFERROR(VLOOKUP(B277,input_403010!L:R,7,FALSE),VLOOKUP(tables_403010!C277,input_403010!A:H,8,FALSE))</f>
        <v>21850</v>
      </c>
      <c r="P277" s="46">
        <f t="shared" ca="1" si="13"/>
        <v>5.3977272727966064E-4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input_403010!A$2</f>
        <v>403010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IFERROR(VLOOKUP(B278,input_403010!L:R,7,FALSE),VLOOKUP(tables_403010!C278,input_403010!A:H,8,FALSE))</f>
        <v>415150</v>
      </c>
      <c r="P278" s="46">
        <f t="shared" ca="1" si="13"/>
        <v>1.0255681818313551E-2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input_403010!A$2</f>
        <v>403010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IFERROR(VLOOKUP(B279,input_403010!L:R,7,FALSE),VLOOKUP(tables_403010!C279,input_403010!A:H,8,FALSE))</f>
        <v>21850</v>
      </c>
      <c r="P279" s="46">
        <f t="shared" ca="1" si="13"/>
        <v>5.3977272727966064E-4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input_403010!A$2</f>
        <v>403010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IFERROR(VLOOKUP(B280,input_403010!L:R,7,FALSE),VLOOKUP(tables_403010!C280,input_403010!A:H,8,FALSE))</f>
        <v>415150</v>
      </c>
      <c r="P280" s="46">
        <f t="shared" ca="1" si="13"/>
        <v>1.0255681818313551E-2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input_403010!A$2</f>
        <v>403010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IFERROR(VLOOKUP(B281,input_403010!L:R,7,FALSE),VLOOKUP(tables_403010!C281,input_403010!A:H,8,FALSE))</f>
        <v>21850</v>
      </c>
      <c r="P281" s="46">
        <f t="shared" ca="1" si="13"/>
        <v>5.3977272727966064E-4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input_403010!A$2</f>
        <v>403010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IFERROR(VLOOKUP(B282,input_403010!L:R,7,FALSE),VLOOKUP(tables_403010!C282,input_403010!A:H,8,FALSE))</f>
        <v>8800</v>
      </c>
      <c r="P282" s="46">
        <f t="shared" ca="1" si="13"/>
        <v>2.1739130435061846E-4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input_403010!A$2</f>
        <v>403010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IFERROR(VLOOKUP(B283,input_403010!L:R,7,FALSE),VLOOKUP(tables_403010!C283,input_403010!A:H,8,FALSE))</f>
        <v>8800</v>
      </c>
      <c r="P283" s="46">
        <f t="shared" ca="1" si="13"/>
        <v>2.1739130435061846E-4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input_403010!A$2</f>
        <v>403010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IFERROR(VLOOKUP(B284,input_403010!L:R,7,FALSE),VLOOKUP(tables_403010!C284,input_403010!A:H,8,FALSE))</f>
        <v>8800</v>
      </c>
      <c r="P284" s="46">
        <f t="shared" ca="1" si="13"/>
        <v>2.1739130435061846E-4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input_403010!A$2</f>
        <v>403010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IFERROR(VLOOKUP(B285,input_403010!L:R,7,FALSE),VLOOKUP(tables_403010!C285,input_403010!A:H,8,FALSE))</f>
        <v>8800</v>
      </c>
      <c r="P285" s="46">
        <f t="shared" ca="1" si="13"/>
        <v>2.1739130435061846E-4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input_403010!A$2</f>
        <v>403010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IFERROR(VLOOKUP(B286,input_403010!L:R,7,FALSE),VLOOKUP(tables_403010!C286,input_403010!A:H,8,FALSE))</f>
        <v>415150</v>
      </c>
      <c r="P286" s="46">
        <f t="shared" ca="1" si="13"/>
        <v>1.0255681818313551E-2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input_403010!A$2</f>
        <v>403010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IFERROR(VLOOKUP(B287,input_403010!L:R,7,FALSE),VLOOKUP(tables_403010!C287,input_403010!A:H,8,FALSE))</f>
        <v>21850</v>
      </c>
      <c r="P287" s="46">
        <f t="shared" ca="1" si="13"/>
        <v>5.3977272727966064E-4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input_403010!A$2</f>
        <v>403010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IFERROR(VLOOKUP(B288,input_403010!L:R,7,FALSE),VLOOKUP(tables_403010!C288,input_403010!A:H,8,FALSE))</f>
        <v>415150</v>
      </c>
      <c r="P288" s="46">
        <f t="shared" ca="1" si="13"/>
        <v>1.0255681818313551E-2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input_403010!A$2</f>
        <v>403010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IFERROR(VLOOKUP(B289,input_403010!L:R,7,FALSE),VLOOKUP(tables_403010!C289,input_403010!A:H,8,FALSE))</f>
        <v>21850</v>
      </c>
      <c r="P289" s="46">
        <f t="shared" ca="1" si="13"/>
        <v>5.3977272727966064E-4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input_403010!A$2</f>
        <v>403010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IFERROR(VLOOKUP(B290,input_403010!L:R,7,FALSE),VLOOKUP(tables_403010!C290,input_403010!A:H,8,FALSE))</f>
        <v>8800</v>
      </c>
      <c r="P290" s="46">
        <f t="shared" ca="1" si="13"/>
        <v>2.1739130435061846E-4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input_403010!A$2</f>
        <v>403010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IFERROR(VLOOKUP(B291,input_403010!L:R,7,FALSE),VLOOKUP(tables_403010!C291,input_403010!A:H,8,FALSE))</f>
        <v>415150</v>
      </c>
      <c r="P291" s="46">
        <f t="shared" ca="1" si="13"/>
        <v>1.0255681818313551E-2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input_403010!A$2</f>
        <v>403010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IFERROR(VLOOKUP(B292,input_403010!L:R,7,FALSE),VLOOKUP(tables_403010!C292,input_403010!A:H,8,FALSE))</f>
        <v>21850</v>
      </c>
      <c r="P292" s="46">
        <f t="shared" ca="1" si="13"/>
        <v>5.3977272727966064E-4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input_403010!A$2</f>
        <v>403010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IFERROR(VLOOKUP(B293,input_403010!L:R,7,FALSE),VLOOKUP(tables_403010!C293,input_403010!A:H,8,FALSE))</f>
        <v>8800</v>
      </c>
      <c r="P293" s="46">
        <f t="shared" ca="1" si="13"/>
        <v>2.1739130435061846E-4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input_403010!A$2</f>
        <v>403010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IFERROR(VLOOKUP(B294,input_403010!L:R,7,FALSE),VLOOKUP(tables_403010!C294,input_403010!A:H,8,FALSE))</f>
        <v>8800</v>
      </c>
      <c r="P294" s="46">
        <f t="shared" ca="1" si="13"/>
        <v>2.1739130435061846E-4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input_403010!A$2</f>
        <v>403010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IFERROR(VLOOKUP(B295,input_403010!L:R,7,FALSE),VLOOKUP(tables_403010!C295,input_403010!A:H,8,FALSE))</f>
        <v>8800</v>
      </c>
      <c r="P295" s="46">
        <f t="shared" ref="P295:P299" ca="1" si="18">O295/SUM(O:O)</f>
        <v>2.1739130435061846E-4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input_403010!A$2</f>
        <v>403010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IFERROR(VLOOKUP(B296,input_403010!L:R,7,FALSE),VLOOKUP(tables_403010!C296,input_403010!A:H,8,FALSE))</f>
        <v>8800</v>
      </c>
      <c r="P296" s="46">
        <f t="shared" ca="1" si="18"/>
        <v>2.1739130435061846E-4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input_403010!A$2</f>
        <v>403010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IFERROR(VLOOKUP(B297,input_403010!L:R,7,FALSE),VLOOKUP(tables_403010!C297,input_403010!A:H,8,FALSE))</f>
        <v>415150</v>
      </c>
      <c r="P297" s="46">
        <f t="shared" ca="1" si="18"/>
        <v>1.0255681818313551E-2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input_403010!A$2</f>
        <v>403010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IFERROR(VLOOKUP(B298,input_403010!L:R,7,FALSE),VLOOKUP(tables_403010!C298,input_403010!A:H,8,FALSE))</f>
        <v>21850</v>
      </c>
      <c r="P298" s="46">
        <f t="shared" ca="1" si="18"/>
        <v>5.3977272727966064E-4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input_403010!A$2</f>
        <v>403010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IFERROR(VLOOKUP(B299,input_403010!L:R,7,FALSE),VLOOKUP(tables_403010!C299,input_403010!A:H,8,FALSE))</f>
        <v>8800</v>
      </c>
      <c r="P299" s="46">
        <f t="shared" ca="1" si="18"/>
        <v>2.1739130435061846E-4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input_403010!A$2</f>
        <v>403010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IFERROR(VLOOKUP(B300,input_403010!L:R,7,FALSE),VLOOKUP(tables_403010!C300,input_403010!A:H,8,FALSE))</f>
        <v>415150</v>
      </c>
      <c r="P300" s="46">
        <f t="shared" ref="P300:P304" ca="1" si="20">O300/SUM(O:O)</f>
        <v>1.0255681818313551E-2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input_403010!A$2</f>
        <v>403010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IFERROR(VLOOKUP(B301,input_403010!L:R,7,FALSE),VLOOKUP(tables_403010!C301,input_403010!A:H,8,FALSE))</f>
        <v>21850</v>
      </c>
      <c r="P301" s="46">
        <f t="shared" ca="1" si="20"/>
        <v>5.3977272727966064E-4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input_403010!A$2</f>
        <v>403010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IFERROR(VLOOKUP(B302,input_403010!L:R,7,FALSE),VLOOKUP(tables_403010!C302,input_403010!A:H,8,FALSE))</f>
        <v>8800</v>
      </c>
      <c r="P302" s="46">
        <f t="shared" ca="1" si="20"/>
        <v>2.1739130435061846E-4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input_403010!A$2</f>
        <v>403010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IFERROR(VLOOKUP(B303,input_403010!L:R,7,FALSE),VLOOKUP(tables_403010!C303,input_403010!A:H,8,FALSE))</f>
        <v>8800</v>
      </c>
      <c r="P303" s="46">
        <f t="shared" ca="1" si="20"/>
        <v>2.1739130435061846E-4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input_403010!A$2</f>
        <v>403010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IFERROR(VLOOKUP(B304,input_403010!L:R,7,FALSE),VLOOKUP(tables_403010!C304,input_403010!A:H,8,FALSE))</f>
        <v>8800</v>
      </c>
      <c r="P304" s="46">
        <f t="shared" ca="1" si="20"/>
        <v>2.1739130435061846E-4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input_403010!A$2</f>
        <v>403010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IFERROR(VLOOKUP(B305,input_403010!L:R,7,FALSE),VLOOKUP(tables_403010!C305,input_403010!A:H,8,FALSE))</f>
        <v>415150</v>
      </c>
      <c r="P305" s="46">
        <f t="shared" ref="P305:P309" ca="1" si="22">O305/SUM(O:O)</f>
        <v>1.0255681818313551E-2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input_403010!A$2</f>
        <v>403010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IFERROR(VLOOKUP(B306,input_403010!L:R,7,FALSE),VLOOKUP(tables_403010!C306,input_403010!A:H,8,FALSE))</f>
        <v>21850</v>
      </c>
      <c r="P306" s="46">
        <f t="shared" ca="1" si="22"/>
        <v>5.3977272727966064E-4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input_403010!A$2</f>
        <v>403010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IFERROR(VLOOKUP(B307,input_403010!L:R,7,FALSE),VLOOKUP(tables_403010!C307,input_403010!A:H,8,FALSE))</f>
        <v>8800</v>
      </c>
      <c r="P307" s="46">
        <f t="shared" ca="1" si="22"/>
        <v>2.1739130435061846E-4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input_403010!A$2</f>
        <v>403010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IFERROR(VLOOKUP(B308,input_403010!L:R,7,FALSE),VLOOKUP(tables_403010!C308,input_403010!A:H,8,FALSE))</f>
        <v>8800</v>
      </c>
      <c r="P308" s="46">
        <f t="shared" ca="1" si="22"/>
        <v>2.1739130435061846E-4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input_403010!A$2</f>
        <v>403010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IFERROR(VLOOKUP(B309,input_403010!L:R,7,FALSE),VLOOKUP(tables_403010!C309,input_403010!A:H,8,FALSE))</f>
        <v>8800</v>
      </c>
      <c r="P309" s="46">
        <f t="shared" ca="1" si="22"/>
        <v>2.1739130435061846E-4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workbookViewId="0">
      <selection activeCell="K7" sqref="K7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403100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>
        <v>383</v>
      </c>
      <c r="M3" s="37" t="str">
        <f>VLOOKUP(L3,[1]characters!$A:$C,3,FALSE)</f>
        <v>酒宴の蟒蛇 ヤマタノオロチ</v>
      </c>
      <c r="N3" s="63">
        <v>1.9E-2</v>
      </c>
      <c r="O3" s="37">
        <f>VLOOKUP(L3,[1]characters!$A:$I,9,FALSE)</f>
        <v>4</v>
      </c>
      <c r="P3" s="37" t="str">
        <f>VLOOKUP(L3,[1]characters!$A:$J,10,FALSE)</f>
        <v>PremiumSS</v>
      </c>
      <c r="Q3" s="37" t="str">
        <f>VLOOKUP(L3,tables_403100!B:C,2,FALSE)</f>
        <v>PremiumSS4</v>
      </c>
      <c r="R3" s="62">
        <f t="shared" ref="R3:R20" si="1">N3*A$36</f>
        <v>769120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>
        <v>384</v>
      </c>
      <c r="M4" s="37" t="str">
        <f>VLOOKUP(L4,[1]characters!$A:$C,3,FALSE)</f>
        <v>破国の呑龍 ヤマタノオロチ</v>
      </c>
      <c r="N4" s="63">
        <v>1E-3</v>
      </c>
      <c r="O4" s="37">
        <f>VLOOKUP(L4,[1]characters!$A:$I,9,FALSE)</f>
        <v>5</v>
      </c>
      <c r="P4" s="37" t="str">
        <f>VLOOKUP(L4,[1]characters!$A:$J,10,FALSE)</f>
        <v>PremiumSS</v>
      </c>
      <c r="Q4" s="37" t="str">
        <f>VLOOKUP(L4,tables_403100!B:C,2,FALSE)</f>
        <v>PremiumSS5</v>
      </c>
      <c r="R4" s="62">
        <f t="shared" si="1"/>
        <v>40480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2.1739130434782612E-4</v>
      </c>
      <c r="F5">
        <f>(COUNTIF(tables_403100!C:C,input_403100!A28)+COUNTIF(tables_403100!C:C,input_403100!A29))</f>
        <v>48</v>
      </c>
      <c r="H5" s="84">
        <v>0.04</v>
      </c>
      <c r="I5" s="31">
        <v>2</v>
      </c>
      <c r="L5" s="60">
        <v>385</v>
      </c>
      <c r="M5" s="37" t="str">
        <f>VLOOKUP(L5,[1]characters!$A:$C,3,FALSE)</f>
        <v>波烈の出奔 リヴァイアサン</v>
      </c>
      <c r="N5" s="63">
        <v>1.9E-2</v>
      </c>
      <c r="O5" s="37">
        <f>VLOOKUP(L5,[1]characters!$A:$I,9,FALSE)</f>
        <v>4</v>
      </c>
      <c r="P5" s="37" t="str">
        <f>VLOOKUP(L5,[1]characters!$A:$J,10,FALSE)</f>
        <v>PremiumSS</v>
      </c>
      <c r="Q5" s="37" t="str">
        <f>VLOOKUP(L5,tables_403100!B:C,2,FALSE)</f>
        <v>PremiumSS4</v>
      </c>
      <c r="R5" s="62">
        <f t="shared" si="1"/>
        <v>769120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1.0795454545454546E-2</v>
      </c>
      <c r="F6">
        <f>(COUNTIF(tables_403100!C:C,input_403100!A25)+COUNTIF(tables_403100!C:C,input_403100!A18)+COUNTIF(tables_403100!C:C,input_403100!A20)+COUNTIF(tables_403100!C:C,input_403100!A22))</f>
        <v>88</v>
      </c>
      <c r="H6" s="89">
        <v>0</v>
      </c>
      <c r="I6" s="31">
        <v>0</v>
      </c>
      <c r="L6" s="94">
        <v>386</v>
      </c>
      <c r="M6" s="37" t="str">
        <f>VLOOKUP(L6,[1]characters!$A:$C,3,FALSE)</f>
        <v>氾乱の海龍 リヴァイアサン</v>
      </c>
      <c r="N6" s="63">
        <v>1E-3</v>
      </c>
      <c r="O6" s="37">
        <f>VLOOKUP(L6,[1]characters!$A:$I,9,FALSE)</f>
        <v>5</v>
      </c>
      <c r="P6" s="37" t="str">
        <f>VLOOKUP(L6,[1]characters!$A:$J,10,FALSE)</f>
        <v>PremiumSS</v>
      </c>
      <c r="Q6" s="37" t="str">
        <f>VLOOKUP(L6,tables_403100!B:C,2,FALSE)</f>
        <v>PremiumSS5</v>
      </c>
      <c r="R6" s="62">
        <f t="shared" si="1"/>
        <v>40480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VLOOKUP(L7,tables_403100!B:C,2,FALSE)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VLOOKUP(L8,tables_403100!B:C,2,FALSE)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VLOOKUP(L9,tables_403100!B:C,2,FALSE)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VLOOKUP(L10,tables_403100!B:C,2,FALSE)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VLOOKUP(L11,tables_403100!B:C,2,FALSE)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VLOOKUP(L12,tables_403100!B:C,2,FALSE)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3.7999999999999999E-2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VLOOKUP(L13,tables_403100!B:C,2,FALSE)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2E-3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VLOOKUP(L14,tables_403100!B:C,2,FALSE)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VLOOKUP(L15,tables_403100!B:C,2,FALSE)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VLOOKUP(L16,tables_403100!B:C,2,FALSE)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COUNTIF(tables_403100!C:C,input_403100!A17)-COUNTIF(Q:Q,A17)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VLOOKUP(L17,tables_403100!B:C,2,FALSE)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0.21590909090909091</v>
      </c>
      <c r="C18" s="85">
        <f t="shared" si="2"/>
        <v>0</v>
      </c>
      <c r="D18" s="74">
        <f t="shared" si="3"/>
        <v>0.21590909090909091</v>
      </c>
      <c r="E18">
        <f>COUNTIF(tables_403100!C:C,input_403100!A18)-COUNTIF(Q:Q,A18)</f>
        <v>20</v>
      </c>
      <c r="F18" s="43">
        <f>IFERROR(B18/E18,0)</f>
        <v>1.0795454545454546E-2</v>
      </c>
      <c r="G18">
        <f t="shared" si="4"/>
        <v>8740000</v>
      </c>
      <c r="H18">
        <f t="shared" si="5"/>
        <v>437000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VLOOKUP(L18,tables_403100!B:C,2,FALSE)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COUNTIF(tables_403100!C:C,input_403100!A19)-COUNTIF(Q:Q,A19)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VLOOKUP(L19,tables_403100!B:C,2,FALSE)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E$6*E20*B$6-E35</f>
        <v>0.52663043478260874</v>
      </c>
      <c r="C20" s="85">
        <f t="shared" si="2"/>
        <v>0</v>
      </c>
      <c r="D20" s="74">
        <f t="shared" si="3"/>
        <v>0.52663043478260874</v>
      </c>
      <c r="E20">
        <f>COUNTIF(tables_403100!C:C,input_403100!A20)-COUNTIF(Q:Q,A20)</f>
        <v>52</v>
      </c>
      <c r="F20" s="43">
        <f t="shared" si="8"/>
        <v>1.0127508361204015E-2</v>
      </c>
      <c r="G20">
        <f t="shared" si="4"/>
        <v>21318000</v>
      </c>
      <c r="H20">
        <f t="shared" si="5"/>
        <v>409961.53846000001</v>
      </c>
      <c r="I20">
        <f t="shared" si="6"/>
        <v>0.53846000001067296</v>
      </c>
      <c r="J20">
        <f t="shared" si="7"/>
        <v>1.8571481632436555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VLOOKUP(L20,tables_403100!B:C,2,FALSE)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B7-B23-B26-B28-B29-E34</f>
        <v>3.4733201575098842E-2</v>
      </c>
      <c r="C21" s="85">
        <f t="shared" si="2"/>
        <v>0</v>
      </c>
      <c r="D21" s="74">
        <f t="shared" si="3"/>
        <v>3.4733201575098842E-2</v>
      </c>
      <c r="E21">
        <f>COUNTIF(tables_403100!C:C,input_403100!A21)-COUNTIF(Q:Q,A21)</f>
        <v>52</v>
      </c>
      <c r="F21" s="43">
        <f t="shared" si="8"/>
        <v>6.6794618413651614E-4</v>
      </c>
      <c r="G21">
        <f t="shared" si="4"/>
        <v>1405999.9997600012</v>
      </c>
      <c r="H21">
        <f t="shared" si="5"/>
        <v>27038.46153</v>
      </c>
      <c r="I21">
        <f t="shared" si="6"/>
        <v>0.4615300000004936</v>
      </c>
      <c r="J21">
        <f t="shared" si="7"/>
        <v>2.1667063896148258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0.12306818181818183</v>
      </c>
      <c r="C22" s="85">
        <f t="shared" si="2"/>
        <v>0</v>
      </c>
      <c r="D22" s="74">
        <f t="shared" si="3"/>
        <v>0.12306818181818183</v>
      </c>
      <c r="E22">
        <f>COUNTIF(tables_403100!C:C,input_403100!A22)-COUNTIF(Q:Q,A22)</f>
        <v>12</v>
      </c>
      <c r="F22" s="43">
        <f t="shared" si="8"/>
        <v>1.0255681818181818E-2</v>
      </c>
      <c r="G22">
        <f t="shared" si="4"/>
        <v>4981800</v>
      </c>
      <c r="H22">
        <f t="shared" si="5"/>
        <v>415150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6.4772727272727273E-3</v>
      </c>
      <c r="C23" s="85">
        <f t="shared" si="2"/>
        <v>0</v>
      </c>
      <c r="D23" s="74">
        <f t="shared" si="3"/>
        <v>6.4772727272727273E-3</v>
      </c>
      <c r="E23">
        <f>COUNTIF(tables_403100!C:C,input_403100!A23)-COUNTIF(Q:Q,A23)</f>
        <v>12</v>
      </c>
      <c r="F23" s="43">
        <f t="shared" si="8"/>
        <v>5.3977272727272728E-4</v>
      </c>
      <c r="G23">
        <f t="shared" si="4"/>
        <v>262200</v>
      </c>
      <c r="H23">
        <f t="shared" si="5"/>
        <v>21850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COUNTIF(tables_403100!C:C,input_403100!A24)-COUNTIF(Q:Q,A24)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4.1022727272727273E-2</v>
      </c>
      <c r="C25" s="85">
        <f t="shared" si="2"/>
        <v>0</v>
      </c>
      <c r="D25" s="74">
        <f t="shared" si="3"/>
        <v>4.1022727272727273E-2</v>
      </c>
      <c r="E25">
        <f>COUNTIF(tables_403100!C:C,input_403100!A25)-COUNTIF(Q:Q,A25)</f>
        <v>4</v>
      </c>
      <c r="F25" s="43">
        <f t="shared" si="8"/>
        <v>1.0255681818181818E-2</v>
      </c>
      <c r="G25">
        <f t="shared" si="4"/>
        <v>1660600</v>
      </c>
      <c r="H25">
        <f t="shared" si="5"/>
        <v>415150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2.1590909090909091E-3</v>
      </c>
      <c r="C26" s="85">
        <f t="shared" si="2"/>
        <v>0</v>
      </c>
      <c r="D26" s="74">
        <f t="shared" si="3"/>
        <v>2.1590909090909091E-3</v>
      </c>
      <c r="E26">
        <f>COUNTIF(tables_403100!C:C,input_403100!A26)-COUNTIF(Q:Q,A26)</f>
        <v>4</v>
      </c>
      <c r="F26" s="43">
        <f t="shared" si="8"/>
        <v>5.3977272727272728E-4</v>
      </c>
      <c r="G26">
        <f t="shared" si="4"/>
        <v>87400</v>
      </c>
      <c r="H26">
        <f t="shared" si="5"/>
        <v>21850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5.3695652173913052E-3</v>
      </c>
      <c r="C27" s="85">
        <f t="shared" si="2"/>
        <v>3.7999999999999999E-2</v>
      </c>
      <c r="D27" s="74">
        <f t="shared" si="3"/>
        <v>-3.2630434782608693E-2</v>
      </c>
      <c r="E27">
        <f>COUNTIF(tables_403100!C:C,input_403100!A27)-COUNTIF(Q:Q,A27)</f>
        <v>26</v>
      </c>
      <c r="F27" s="43">
        <f>IFERROR(B27/E27,0)</f>
        <v>2.0652173913043482E-4</v>
      </c>
      <c r="G27">
        <f t="shared" si="4"/>
        <v>217360.00000000003</v>
      </c>
      <c r="H27">
        <f t="shared" si="5"/>
        <v>8360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2.82608695652174E-4</v>
      </c>
      <c r="C28" s="85">
        <f t="shared" si="2"/>
        <v>2E-3</v>
      </c>
      <c r="D28" s="74">
        <f t="shared" si="3"/>
        <v>-1.717391304347826E-3</v>
      </c>
      <c r="E28">
        <f>COUNTIF(tables_403100!C:C,input_403100!A28)-COUNTIF(Q:Q,A28)</f>
        <v>26</v>
      </c>
      <c r="F28" s="43">
        <f t="shared" si="8"/>
        <v>1.0869565217391307E-5</v>
      </c>
      <c r="G28">
        <f t="shared" si="4"/>
        <v>11440.000000000004</v>
      </c>
      <c r="H28">
        <f t="shared" si="5"/>
        <v>440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4.3478260869565227E-3</v>
      </c>
      <c r="C29" s="85">
        <f t="shared" si="2"/>
        <v>0</v>
      </c>
      <c r="D29" s="74">
        <f t="shared" si="3"/>
        <v>4.3478260869565227E-3</v>
      </c>
      <c r="E29">
        <f>COUNTIF(tables_403100!C:C,input_403100!A29)-COUNTIF(Q:Q,A29)</f>
        <v>20</v>
      </c>
      <c r="F29" s="43">
        <f t="shared" si="8"/>
        <v>2.1739130434782612E-4</v>
      </c>
      <c r="G29">
        <f t="shared" si="4"/>
        <v>176000.00000000003</v>
      </c>
      <c r="H29">
        <f t="shared" si="5"/>
        <v>8800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COUNTIF(tables_403100!C:C,input_403100!A30)-COUNTIF(Q:Q,A30)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COUNTIF(tables_403100!C:C,input_403100!A31)-COUNTIF(Q:Q,A31)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0.95999999999407126</v>
      </c>
      <c r="C32" s="41">
        <f>SUM(C19:C31)</f>
        <v>0.04</v>
      </c>
      <c r="D32" s="42">
        <f t="shared" si="3"/>
        <v>0.91999999999407123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2.0000000059288287E-3</v>
      </c>
    </row>
    <row r="35" spans="1:7" x14ac:dyDescent="0.15">
      <c r="A35" t="s">
        <v>73</v>
      </c>
      <c r="E35">
        <v>6.6650197628458363E-3</v>
      </c>
    </row>
    <row r="36" spans="1:7" x14ac:dyDescent="0.15">
      <c r="A36" s="31">
        <f>LCM(F5-I5,F6-I6)*1000*2*2*5</f>
        <v>40480000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SUMIF(tables_403100!C:C,input_403100!A40,tables_403100!O:O)</f>
        <v>0</v>
      </c>
      <c r="C40" s="54">
        <f t="shared" ref="C40:C46" ca="1" si="9">B40/B$47</f>
        <v>0</v>
      </c>
      <c r="E40">
        <v>3</v>
      </c>
      <c r="F40">
        <f ca="1">SUMIF(tables_403100!J:J,input_403100!E40,tables_403100!O:O)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SUMIF(tables_403100!C:C,input_403100!A41,tables_403100!O:O)</f>
        <v>21317999.999920011</v>
      </c>
      <c r="C41" s="54">
        <f t="shared" ca="1" si="9"/>
        <v>0.86757284715819394</v>
      </c>
      <c r="E41">
        <v>4</v>
      </c>
      <c r="F41">
        <f ca="1">SUMIF(tables_403100!J:J,input_403100!E41,tables_403100!O:O)</f>
        <v>38455999.99992004</v>
      </c>
      <c r="G41">
        <f ca="1">F41/A36</f>
        <v>0.94999999999802476</v>
      </c>
    </row>
    <row r="42" spans="1:7" x14ac:dyDescent="0.15">
      <c r="A42" s="33" t="s">
        <v>106</v>
      </c>
      <c r="B42">
        <f ca="1">SUMIF(tables_403100!C:C,input_403100!A42,tables_403100!O:O)</f>
        <v>1755600</v>
      </c>
      <c r="C42" s="54">
        <f t="shared" ca="1" si="9"/>
        <v>7.1447175648589933E-2</v>
      </c>
      <c r="E42">
        <v>5</v>
      </c>
      <c r="F42">
        <f ca="1">SUMIF(tables_403100!J:J,input_403100!E42,tables_403100!O:O)</f>
        <v>2023999.9995599987</v>
      </c>
      <c r="G42">
        <f ca="1">F42/A36</f>
        <v>4.9999999989130406E-2</v>
      </c>
    </row>
    <row r="43" spans="1:7" x14ac:dyDescent="0.15">
      <c r="A43" s="33" t="s">
        <v>109</v>
      </c>
      <c r="B43">
        <f>SUMIF(tables_403100!C:C,input_403100!A43,tables_403100!O:O)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SUMIF(tables_403100!C:C,input_403100!A44,tables_403100!O:O)</f>
        <v>1405999.999559999</v>
      </c>
      <c r="C44" s="54">
        <f t="shared" ca="1" si="9"/>
        <v>5.7219599527500921E-2</v>
      </c>
      <c r="E44" t="s">
        <v>54</v>
      </c>
      <c r="F44" s="55"/>
    </row>
    <row r="45" spans="1:7" x14ac:dyDescent="0.15">
      <c r="A45" s="33" t="s">
        <v>107</v>
      </c>
      <c r="B45">
        <f ca="1">SUMIF(tables_403100!C:C,input_403100!A45,tables_403100!O:O)</f>
        <v>92400</v>
      </c>
      <c r="C45" s="54">
        <f t="shared" ca="1" si="9"/>
        <v>3.7603776657152599E-3</v>
      </c>
      <c r="E45" t="s">
        <v>204</v>
      </c>
      <c r="F45" s="55">
        <f ca="1">SUMIF(tables_403100!I:I,input_403100!E45,tables_403100!P:P)</f>
        <v>0.21590909091186433</v>
      </c>
    </row>
    <row r="46" spans="1:7" x14ac:dyDescent="0.15">
      <c r="A46" s="33" t="s">
        <v>108</v>
      </c>
      <c r="B46">
        <f>SUMIF(tables_403100!C:C,input_403100!A46,tables_403100!O:O)</f>
        <v>0</v>
      </c>
      <c r="C46" s="54">
        <f t="shared" ca="1" si="9"/>
        <v>0</v>
      </c>
      <c r="E46" t="s">
        <v>205</v>
      </c>
      <c r="F46" s="55">
        <f ca="1">SUMIF(tables_403100!I:I,input_403100!E46,tables_403100!P:P)</f>
        <v>0.21590909090766458</v>
      </c>
    </row>
    <row r="47" spans="1:7" x14ac:dyDescent="0.15">
      <c r="A47" s="39" t="s">
        <v>59</v>
      </c>
      <c r="B47">
        <f ca="1">SUM(B40:B46)</f>
        <v>24571999.999480009</v>
      </c>
      <c r="C47" s="55">
        <f ca="1">SUM(C40:C46)</f>
        <v>1</v>
      </c>
      <c r="E47" t="s">
        <v>206</v>
      </c>
      <c r="F47" s="55">
        <f ca="1">SUMIF(tables_403100!I:I,input_403100!E47,tables_403100!P:P)</f>
        <v>0.51818181817982822</v>
      </c>
    </row>
    <row r="48" spans="1:7" x14ac:dyDescent="0.15">
      <c r="E48" t="s">
        <v>207</v>
      </c>
      <c r="F48" s="55">
        <f ca="1">SUMIF(tables_403100!I:I,input_403100!E48,tables_403100!P:P)</f>
        <v>4.9782608696291628E-2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09"/>
  <sheetViews>
    <sheetView showGridLines="0" zoomScale="75" zoomScaleNormal="75" zoomScalePageLayoutView="75" workbookViewId="0">
      <pane ySplit="1" topLeftCell="A144" activePane="bottomLeft" state="frozen"/>
      <selection activeCell="D34" sqref="D34"/>
      <selection pane="bottomLeft" activeCell="D2" sqref="D2:E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input_403100!A$2</f>
        <v>403100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IFERROR(VLOOKUP(B2,input_403100!L:R,7,FALSE),VLOOKUP(tables_403100!C2,input_403100!A:H,8,FALSE))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input_403100!A$2</f>
        <v>403100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IFERROR(VLOOKUP(B3,input_403100!L:R,7,FALSE),VLOOKUP(tables_403100!C3,input_403100!A:H,8,FALSE))</f>
        <v>437000</v>
      </c>
      <c r="P3" s="46">
        <f t="shared" ca="1" si="1"/>
        <v>1.0795454545593212E-2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input_403100!A$2</f>
        <v>403100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IFERROR(VLOOKUP(B4,input_403100!L:R,7,FALSE),VLOOKUP(tables_403100!C4,input_403100!A:H,8,FALSE))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input_403100!A$2</f>
        <v>403100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IFERROR(VLOOKUP(B5,input_403100!L:R,7,FALSE),VLOOKUP(tables_403100!C5,input_403100!A:H,8,FALSE))</f>
        <v>437000</v>
      </c>
      <c r="P5" s="46">
        <f t="shared" ca="1" si="1"/>
        <v>1.0795454545593212E-2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input_403100!A$2</f>
        <v>403100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IFERROR(VLOOKUP(B6,input_403100!L:R,7,FALSE),VLOOKUP(tables_403100!C6,input_403100!A:H,8,FALSE))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input_403100!A$2</f>
        <v>403100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IFERROR(VLOOKUP(B7,input_403100!L:R,7,FALSE),VLOOKUP(tables_403100!C7,input_403100!A:H,8,FALSE))</f>
        <v>437000</v>
      </c>
      <c r="P7" s="46">
        <f t="shared" ca="1" si="1"/>
        <v>1.0795454545593212E-2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input_403100!A$2</f>
        <v>403100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IFERROR(VLOOKUP(B8,input_403100!L:R,7,FALSE),VLOOKUP(tables_403100!C8,input_403100!A:H,8,FALSE))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input_403100!A$2</f>
        <v>403100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IFERROR(VLOOKUP(B9,input_403100!L:R,7,FALSE),VLOOKUP(tables_403100!C9,input_403100!A:H,8,FALSE))</f>
        <v>437000</v>
      </c>
      <c r="P9" s="46">
        <f t="shared" ca="1" si="1"/>
        <v>1.0795454545593212E-2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input_403100!A$2</f>
        <v>403100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IFERROR(VLOOKUP(B10,input_403100!L:R,7,FALSE),VLOOKUP(tables_403100!C10,input_403100!A:H,8,FALSE))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input_403100!A$2</f>
        <v>403100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IFERROR(VLOOKUP(B11,input_403100!L:R,7,FALSE),VLOOKUP(tables_403100!C11,input_403100!A:H,8,FALSE))</f>
        <v>437000</v>
      </c>
      <c r="P11" s="46">
        <f t="shared" ca="1" si="1"/>
        <v>1.0795454545593212E-2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input_403100!A$2</f>
        <v>403100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IFERROR(VLOOKUP(B12,input_403100!L:R,7,FALSE),VLOOKUP(tables_403100!C12,input_403100!A:H,8,FALSE))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input_403100!A$2</f>
        <v>403100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IFERROR(VLOOKUP(B13,input_403100!L:R,7,FALSE),VLOOKUP(tables_403100!C13,input_403100!A:H,8,FALSE))</f>
        <v>437000</v>
      </c>
      <c r="P13" s="46">
        <f t="shared" ca="1" si="1"/>
        <v>1.0795454545593212E-2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input_403100!A$2</f>
        <v>403100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IFERROR(VLOOKUP(B14,input_403100!L:R,7,FALSE),VLOOKUP(tables_403100!C14,input_403100!A:H,8,FALSE))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input_403100!A$2</f>
        <v>403100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IFERROR(VLOOKUP(B15,input_403100!L:R,7,FALSE),VLOOKUP(tables_403100!C15,input_403100!A:H,8,FALSE))</f>
        <v>437000</v>
      </c>
      <c r="P15" s="46">
        <f t="shared" ca="1" si="1"/>
        <v>1.0795454545593212E-2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input_403100!A$2</f>
        <v>403100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IFERROR(VLOOKUP(B16,input_403100!L:R,7,FALSE),VLOOKUP(tables_403100!C16,input_403100!A:H,8,FALSE))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input_403100!A$2</f>
        <v>403100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IFERROR(VLOOKUP(B17,input_403100!L:R,7,FALSE),VLOOKUP(tables_403100!C17,input_403100!A:H,8,FALSE))</f>
        <v>437000</v>
      </c>
      <c r="P17" s="46">
        <f t="shared" ca="1" si="1"/>
        <v>1.0795454545593212E-2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input_403100!A$2</f>
        <v>403100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IFERROR(VLOOKUP(B18,input_403100!L:R,7,FALSE),VLOOKUP(tables_403100!C18,input_403100!A:H,8,FALSE))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input_403100!A$2</f>
        <v>403100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IFERROR(VLOOKUP(B19,input_403100!L:R,7,FALSE),VLOOKUP(tables_403100!C19,input_403100!A:H,8,FALSE))</f>
        <v>437000</v>
      </c>
      <c r="P19" s="46">
        <f t="shared" ca="1" si="1"/>
        <v>1.0795454545593212E-2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input_403100!A$2</f>
        <v>403100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IFERROR(VLOOKUP(B20,input_403100!L:R,7,FALSE),VLOOKUP(tables_403100!C20,input_403100!A:H,8,FALSE))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input_403100!A$2</f>
        <v>403100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IFERROR(VLOOKUP(B21,input_403100!L:R,7,FALSE),VLOOKUP(tables_403100!C21,input_403100!A:H,8,FALSE))</f>
        <v>437000</v>
      </c>
      <c r="P21" s="46">
        <f t="shared" ca="1" si="1"/>
        <v>1.0795454545593212E-2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input_403100!A$2</f>
        <v>403100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IFERROR(VLOOKUP(B22,input_403100!L:R,7,FALSE),VLOOKUP(tables_403100!C22,input_403100!A:H,8,FALSE))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input_403100!A$2</f>
        <v>403100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IFERROR(VLOOKUP(B23,input_403100!L:R,7,FALSE),VLOOKUP(tables_403100!C23,input_403100!A:H,8,FALSE))</f>
        <v>437000</v>
      </c>
      <c r="P23" s="46">
        <f t="shared" ca="1" si="1"/>
        <v>1.0795454545593212E-2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input_403100!A$2</f>
        <v>403100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IFERROR(VLOOKUP(B24,input_403100!L:R,7,FALSE),VLOOKUP(tables_403100!C24,input_403100!A:H,8,FALSE))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input_403100!A$2</f>
        <v>403100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IFERROR(VLOOKUP(B25,input_403100!L:R,7,FALSE),VLOOKUP(tables_403100!C25,input_403100!A:H,8,FALSE))</f>
        <v>437000</v>
      </c>
      <c r="P25" s="46">
        <f t="shared" ca="1" si="1"/>
        <v>1.0795454545593212E-2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input_403100!A$2</f>
        <v>403100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IFERROR(VLOOKUP(B26,input_403100!L:R,7,FALSE),VLOOKUP(tables_403100!C26,input_403100!A:H,8,FALSE))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input_403100!A$2</f>
        <v>403100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IFERROR(VLOOKUP(B27,input_403100!L:R,7,FALSE),VLOOKUP(tables_403100!C27,input_403100!A:H,8,FALSE))</f>
        <v>437000</v>
      </c>
      <c r="P27" s="46">
        <f t="shared" ca="1" si="1"/>
        <v>1.0795454545593212E-2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input_403100!A$2</f>
        <v>403100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IFERROR(VLOOKUP(B28,input_403100!L:R,7,FALSE),VLOOKUP(tables_403100!C28,input_403100!A:H,8,FALSE))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input_403100!A$2</f>
        <v>403100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IFERROR(VLOOKUP(B29,input_403100!L:R,7,FALSE),VLOOKUP(tables_403100!C29,input_403100!A:H,8,FALSE))</f>
        <v>437000</v>
      </c>
      <c r="P29" s="46">
        <f t="shared" ca="1" si="1"/>
        <v>1.0795454545593212E-2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input_403100!A$2</f>
        <v>403100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IFERROR(VLOOKUP(B30,input_403100!L:R,7,FALSE),VLOOKUP(tables_403100!C30,input_403100!A:H,8,FALSE))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input_403100!A$2</f>
        <v>403100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IFERROR(VLOOKUP(B31,input_403100!L:R,7,FALSE),VLOOKUP(tables_403100!C31,input_403100!A:H,8,FALSE))</f>
        <v>437000</v>
      </c>
      <c r="P31" s="46">
        <f t="shared" ca="1" si="1"/>
        <v>1.0795454545593212E-2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input_403100!A$2</f>
        <v>403100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IFERROR(VLOOKUP(B32,input_403100!L:R,7,FALSE),VLOOKUP(tables_403100!C32,input_403100!A:H,8,FALSE))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input_403100!A$2</f>
        <v>403100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IFERROR(VLOOKUP(B33,input_403100!L:R,7,FALSE),VLOOKUP(tables_403100!C33,input_403100!A:H,8,FALSE))</f>
        <v>437000</v>
      </c>
      <c r="P33" s="46">
        <f t="shared" ca="1" si="1"/>
        <v>1.0795454545593212E-2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input_403100!A$2</f>
        <v>403100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IFERROR(VLOOKUP(B34,input_403100!L:R,7,FALSE),VLOOKUP(tables_403100!C34,input_403100!A:H,8,FALSE))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input_403100!A$2</f>
        <v>403100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IFERROR(VLOOKUP(B35,input_403100!L:R,7,FALSE),VLOOKUP(tables_403100!C35,input_403100!A:H,8,FALSE))</f>
        <v>437000</v>
      </c>
      <c r="P35" s="46">
        <f t="shared" ca="1" si="1"/>
        <v>1.0795454545593212E-2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input_403100!A$2</f>
        <v>403100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IFERROR(VLOOKUP(B36,input_403100!L:R,7,FALSE),VLOOKUP(tables_403100!C36,input_403100!A:H,8,FALSE))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input_403100!A$2</f>
        <v>403100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IFERROR(VLOOKUP(B37,input_403100!L:R,7,FALSE),VLOOKUP(tables_403100!C37,input_403100!A:H,8,FALSE))</f>
        <v>437000</v>
      </c>
      <c r="P37" s="46">
        <f t="shared" ca="1" si="1"/>
        <v>1.0795454545593212E-2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input_403100!A$2</f>
        <v>403100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IFERROR(VLOOKUP(B38,input_403100!L:R,7,FALSE),VLOOKUP(tables_403100!C38,input_403100!A:H,8,FALSE))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input_403100!A$2</f>
        <v>403100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IFERROR(VLOOKUP(B39,input_403100!L:R,7,FALSE),VLOOKUP(tables_403100!C39,input_403100!A:H,8,FALSE))</f>
        <v>437000</v>
      </c>
      <c r="P39" s="46">
        <f t="shared" ca="1" si="1"/>
        <v>1.0795454545593212E-2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input_403100!A$2</f>
        <v>403100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IFERROR(VLOOKUP(B40,input_403100!L:R,7,FALSE),VLOOKUP(tables_403100!C40,input_403100!A:H,8,FALSE))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input_403100!A$2</f>
        <v>403100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IFERROR(VLOOKUP(B41,input_403100!L:R,7,FALSE),VLOOKUP(tables_403100!C41,input_403100!A:H,8,FALSE))</f>
        <v>437000</v>
      </c>
      <c r="P41" s="46">
        <f t="shared" ca="1" si="1"/>
        <v>1.0795454545593212E-2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input_403100!A$2</f>
        <v>403100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IFERROR(VLOOKUP(B42,input_403100!L:R,7,FALSE),VLOOKUP(tables_403100!C42,input_403100!A:H,8,FALSE))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input_403100!A$2</f>
        <v>403100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IFERROR(VLOOKUP(B43,input_403100!L:R,7,FALSE),VLOOKUP(tables_403100!C43,input_403100!A:H,8,FALSE))</f>
        <v>415150</v>
      </c>
      <c r="P43" s="46">
        <f t="shared" ca="1" si="1"/>
        <v>1.0255681818313551E-2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input_403100!A$2</f>
        <v>403100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IFERROR(VLOOKUP(B44,input_403100!L:R,7,FALSE),VLOOKUP(tables_403100!C44,input_403100!A:H,8,FALSE))</f>
        <v>21850</v>
      </c>
      <c r="P44" s="46">
        <f t="shared" ca="1" si="1"/>
        <v>5.3977272727966064E-4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input_403100!A$2</f>
        <v>403100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IFERROR(VLOOKUP(B45,input_403100!L:R,7,FALSE),VLOOKUP(tables_403100!C45,input_403100!A:H,8,FALSE))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input_403100!A$2</f>
        <v>403100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IFERROR(VLOOKUP(B46,input_403100!L:R,7,FALSE),VLOOKUP(tables_403100!C46,input_403100!A:H,8,FALSE))</f>
        <v>415150</v>
      </c>
      <c r="P46" s="46">
        <f t="shared" ca="1" si="1"/>
        <v>1.0255681818313551E-2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input_403100!A$2</f>
        <v>403100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IFERROR(VLOOKUP(B47,input_403100!L:R,7,FALSE),VLOOKUP(tables_403100!C47,input_403100!A:H,8,FALSE))</f>
        <v>21850</v>
      </c>
      <c r="P47" s="46">
        <f t="shared" ca="1" si="1"/>
        <v>5.3977272727966064E-4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input_403100!A$2</f>
        <v>403100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IFERROR(VLOOKUP(B48,input_403100!L:R,7,FALSE),VLOOKUP(tables_403100!C48,input_403100!A:H,8,FALSE))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input_403100!A$2</f>
        <v>403100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IFERROR(VLOOKUP(B49,input_403100!L:R,7,FALSE),VLOOKUP(tables_403100!C49,input_403100!A:H,8,FALSE))</f>
        <v>415150</v>
      </c>
      <c r="P49" s="46">
        <f t="shared" ca="1" si="1"/>
        <v>1.0255681818313551E-2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input_403100!A$2</f>
        <v>403100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IFERROR(VLOOKUP(B50,input_403100!L:R,7,FALSE),VLOOKUP(tables_403100!C50,input_403100!A:H,8,FALSE))</f>
        <v>21850</v>
      </c>
      <c r="P50" s="46">
        <f t="shared" ca="1" si="1"/>
        <v>5.3977272727966064E-4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input_403100!A$2</f>
        <v>403100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IFERROR(VLOOKUP(B51,input_403100!L:R,7,FALSE),VLOOKUP(tables_403100!C51,input_403100!A:H,8,FALSE))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input_403100!A$2</f>
        <v>403100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IFERROR(VLOOKUP(B52,input_403100!L:R,7,FALSE),VLOOKUP(tables_403100!C52,input_403100!A:H,8,FALSE))</f>
        <v>409961.53846000001</v>
      </c>
      <c r="P52" s="46">
        <f t="shared" ca="1" si="1"/>
        <v>1.0127508361296094E-2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input_403100!A$2</f>
        <v>403100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IFERROR(VLOOKUP(B53,input_403100!L:R,7,FALSE),VLOOKUP(tables_403100!C53,input_403100!A:H,8,FALSE))</f>
        <v>27038.46153</v>
      </c>
      <c r="P53" s="46">
        <f t="shared" ca="1" si="1"/>
        <v>6.679461840500817E-4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input_403100!A$2</f>
        <v>403100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IFERROR(VLOOKUP(B54,input_403100!L:R,7,FALSE),VLOOKUP(tables_403100!C54,input_403100!A:H,8,FALSE))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input_403100!A$2</f>
        <v>403100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IFERROR(VLOOKUP(B55,input_403100!L:R,7,FALSE),VLOOKUP(tables_403100!C55,input_403100!A:H,8,FALSE))</f>
        <v>409961.53846000001</v>
      </c>
      <c r="P55" s="46">
        <f t="shared" ca="1" si="1"/>
        <v>1.0127508361296094E-2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input_403100!A$2</f>
        <v>403100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IFERROR(VLOOKUP(B56,input_403100!L:R,7,FALSE),VLOOKUP(tables_403100!C56,input_403100!A:H,8,FALSE))</f>
        <v>27038.46153</v>
      </c>
      <c r="P56" s="46">
        <f t="shared" ca="1" si="1"/>
        <v>6.679461840500817E-4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input_403100!A$2</f>
        <v>403100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IFERROR(VLOOKUP(B57,input_403100!L:R,7,FALSE),VLOOKUP(tables_403100!C57,input_403100!A:H,8,FALSE))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input_403100!A$2</f>
        <v>403100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IFERROR(VLOOKUP(B58,input_403100!L:R,7,FALSE),VLOOKUP(tables_403100!C58,input_403100!A:H,8,FALSE))</f>
        <v>409961.53846000001</v>
      </c>
      <c r="P58" s="46">
        <f t="shared" ca="1" si="1"/>
        <v>1.0127508361296094E-2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input_403100!A$2</f>
        <v>403100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IFERROR(VLOOKUP(B59,input_403100!L:R,7,FALSE),VLOOKUP(tables_403100!C59,input_403100!A:H,8,FALSE))</f>
        <v>27038.46153</v>
      </c>
      <c r="P59" s="46">
        <f t="shared" ca="1" si="1"/>
        <v>6.679461840500817E-4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input_403100!A$2</f>
        <v>403100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IFERROR(VLOOKUP(B60,input_403100!L:R,7,FALSE),VLOOKUP(tables_403100!C60,input_403100!A:H,8,FALSE))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input_403100!A$2</f>
        <v>403100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IFERROR(VLOOKUP(B61,input_403100!L:R,7,FALSE),VLOOKUP(tables_403100!C61,input_403100!A:H,8,FALSE))</f>
        <v>409961.53846000001</v>
      </c>
      <c r="P61" s="46">
        <f t="shared" ca="1" si="1"/>
        <v>1.0127508361296094E-2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input_403100!A$2</f>
        <v>403100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IFERROR(VLOOKUP(B62,input_403100!L:R,7,FALSE),VLOOKUP(tables_403100!C62,input_403100!A:H,8,FALSE))</f>
        <v>27038.46153</v>
      </c>
      <c r="P62" s="46">
        <f t="shared" ca="1" si="1"/>
        <v>6.679461840500817E-4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input_403100!A$2</f>
        <v>403100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IFERROR(VLOOKUP(B63,input_403100!L:R,7,FALSE),VLOOKUP(tables_403100!C63,input_403100!A:H,8,FALSE))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input_403100!A$2</f>
        <v>403100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IFERROR(VLOOKUP(B64,input_403100!L:R,7,FALSE),VLOOKUP(tables_403100!C64,input_403100!A:H,8,FALSE))</f>
        <v>409961.53846000001</v>
      </c>
      <c r="P64" s="46">
        <f t="shared" ca="1" si="1"/>
        <v>1.0127508361296094E-2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input_403100!A$2</f>
        <v>403100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IFERROR(VLOOKUP(B65,input_403100!L:R,7,FALSE),VLOOKUP(tables_403100!C65,input_403100!A:H,8,FALSE))</f>
        <v>27038.46153</v>
      </c>
      <c r="P65" s="46">
        <f t="shared" ca="1" si="1"/>
        <v>6.679461840500817E-4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input_403100!A$2</f>
        <v>403100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IFERROR(VLOOKUP(B66,input_403100!L:R,7,FALSE),VLOOKUP(tables_403100!C66,input_403100!A:H,8,FALSE))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input_403100!A$2</f>
        <v>403100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IFERROR(VLOOKUP(B67,input_403100!L:R,7,FALSE),VLOOKUP(tables_403100!C67,input_403100!A:H,8,FALSE))</f>
        <v>409961.53846000001</v>
      </c>
      <c r="P67" s="46">
        <f t="shared" ca="1" si="4"/>
        <v>1.0127508361296094E-2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input_403100!A$2</f>
        <v>403100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IFERROR(VLOOKUP(B68,input_403100!L:R,7,FALSE),VLOOKUP(tables_403100!C68,input_403100!A:H,8,FALSE))</f>
        <v>27038.46153</v>
      </c>
      <c r="P68" s="46">
        <f t="shared" ca="1" si="4"/>
        <v>6.679461840500817E-4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input_403100!A$2</f>
        <v>403100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IFERROR(VLOOKUP(B69,input_403100!L:R,7,FALSE),VLOOKUP(tables_403100!C69,input_403100!A:H,8,FALSE))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input_403100!A$2</f>
        <v>403100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IFERROR(VLOOKUP(B70,input_403100!L:R,7,FALSE),VLOOKUP(tables_403100!C70,input_403100!A:H,8,FALSE))</f>
        <v>409961.53846000001</v>
      </c>
      <c r="P70" s="46">
        <f t="shared" ca="1" si="4"/>
        <v>1.0127508361296094E-2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input_403100!A$2</f>
        <v>403100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IFERROR(VLOOKUP(B71,input_403100!L:R,7,FALSE),VLOOKUP(tables_403100!C71,input_403100!A:H,8,FALSE))</f>
        <v>27038.46153</v>
      </c>
      <c r="P71" s="46">
        <f t="shared" ca="1" si="4"/>
        <v>6.679461840500817E-4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input_403100!A$2</f>
        <v>403100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IFERROR(VLOOKUP(B72,input_403100!L:R,7,FALSE),VLOOKUP(tables_403100!C72,input_403100!A:H,8,FALSE))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input_403100!A$2</f>
        <v>403100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IFERROR(VLOOKUP(B73,input_403100!L:R,7,FALSE),VLOOKUP(tables_403100!C73,input_403100!A:H,8,FALSE))</f>
        <v>409961.53846000001</v>
      </c>
      <c r="P73" s="46">
        <f t="shared" ca="1" si="4"/>
        <v>1.0127508361296094E-2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input_403100!A$2</f>
        <v>403100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IFERROR(VLOOKUP(B74,input_403100!L:R,7,FALSE),VLOOKUP(tables_403100!C74,input_403100!A:H,8,FALSE))</f>
        <v>27038.46153</v>
      </c>
      <c r="P74" s="46">
        <f t="shared" ca="1" si="4"/>
        <v>6.679461840500817E-4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input_403100!A$2</f>
        <v>403100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IFERROR(VLOOKUP(B75,input_403100!L:R,7,FALSE),VLOOKUP(tables_403100!C75,input_403100!A:H,8,FALSE))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input_403100!A$2</f>
        <v>403100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IFERROR(VLOOKUP(B76,input_403100!L:R,7,FALSE),VLOOKUP(tables_403100!C76,input_403100!A:H,8,FALSE))</f>
        <v>409961.53846000001</v>
      </c>
      <c r="P76" s="46">
        <f t="shared" ca="1" si="4"/>
        <v>1.0127508361296094E-2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input_403100!A$2</f>
        <v>403100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IFERROR(VLOOKUP(B77,input_403100!L:R,7,FALSE),VLOOKUP(tables_403100!C77,input_403100!A:H,8,FALSE))</f>
        <v>27038.46153</v>
      </c>
      <c r="P77" s="46">
        <f t="shared" ca="1" si="4"/>
        <v>6.679461840500817E-4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input_403100!A$2</f>
        <v>403100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IFERROR(VLOOKUP(B78,input_403100!L:R,7,FALSE),VLOOKUP(tables_403100!C78,input_403100!A:H,8,FALSE))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input_403100!A$2</f>
        <v>403100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IFERROR(VLOOKUP(B79,input_403100!L:R,7,FALSE),VLOOKUP(tables_403100!C79,input_403100!A:H,8,FALSE))</f>
        <v>409961.53846000001</v>
      </c>
      <c r="P79" s="46">
        <f t="shared" ca="1" si="4"/>
        <v>1.0127508361296094E-2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input_403100!A$2</f>
        <v>403100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IFERROR(VLOOKUP(B80,input_403100!L:R,7,FALSE),VLOOKUP(tables_403100!C80,input_403100!A:H,8,FALSE))</f>
        <v>27038.46153</v>
      </c>
      <c r="P80" s="46">
        <f t="shared" ca="1" si="4"/>
        <v>6.679461840500817E-4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input_403100!A$2</f>
        <v>403100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IFERROR(VLOOKUP(B81,input_403100!L:R,7,FALSE),VLOOKUP(tables_403100!C81,input_403100!A:H,8,FALSE))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input_403100!A$2</f>
        <v>403100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IFERROR(VLOOKUP(B82,input_403100!L:R,7,FALSE),VLOOKUP(tables_403100!C82,input_403100!A:H,8,FALSE))</f>
        <v>409961.53846000001</v>
      </c>
      <c r="P82" s="46">
        <f t="shared" ca="1" si="4"/>
        <v>1.0127508361296094E-2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input_403100!A$2</f>
        <v>403100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IFERROR(VLOOKUP(B83,input_403100!L:R,7,FALSE),VLOOKUP(tables_403100!C83,input_403100!A:H,8,FALSE))</f>
        <v>27038.46153</v>
      </c>
      <c r="P83" s="46">
        <f t="shared" ca="1" si="4"/>
        <v>6.679461840500817E-4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input_403100!A$2</f>
        <v>403100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IFERROR(VLOOKUP(B84,input_403100!L:R,7,FALSE),VLOOKUP(tables_403100!C84,input_403100!A:H,8,FALSE))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input_403100!A$2</f>
        <v>403100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IFERROR(VLOOKUP(B85,input_403100!L:R,7,FALSE),VLOOKUP(tables_403100!C85,input_403100!A:H,8,FALSE))</f>
        <v>409961.53846000001</v>
      </c>
      <c r="P85" s="46">
        <f t="shared" ca="1" si="4"/>
        <v>1.0127508361296094E-2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input_403100!A$2</f>
        <v>403100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IFERROR(VLOOKUP(B86,input_403100!L:R,7,FALSE),VLOOKUP(tables_403100!C86,input_403100!A:H,8,FALSE))</f>
        <v>27038.46153</v>
      </c>
      <c r="P86" s="46">
        <f t="shared" ca="1" si="4"/>
        <v>6.679461840500817E-4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input_403100!A$2</f>
        <v>403100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IFERROR(VLOOKUP(B87,input_403100!L:R,7,FALSE),VLOOKUP(tables_403100!C87,input_403100!A:H,8,FALSE))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input_403100!A$2</f>
        <v>403100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IFERROR(VLOOKUP(B88,input_403100!L:R,7,FALSE),VLOOKUP(tables_403100!C88,input_403100!A:H,8,FALSE))</f>
        <v>409961.53846000001</v>
      </c>
      <c r="P88" s="46">
        <f t="shared" ca="1" si="4"/>
        <v>1.0127508361296094E-2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input_403100!A$2</f>
        <v>403100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IFERROR(VLOOKUP(B89,input_403100!L:R,7,FALSE),VLOOKUP(tables_403100!C89,input_403100!A:H,8,FALSE))</f>
        <v>27038.46153</v>
      </c>
      <c r="P89" s="46">
        <f t="shared" ca="1" si="4"/>
        <v>6.679461840500817E-4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input_403100!A$2</f>
        <v>403100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IFERROR(VLOOKUP(B90,input_403100!L:R,7,FALSE),VLOOKUP(tables_403100!C90,input_403100!A:H,8,FALSE))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input_403100!A$2</f>
        <v>403100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IFERROR(VLOOKUP(B91,input_403100!L:R,7,FALSE),VLOOKUP(tables_403100!C91,input_403100!A:H,8,FALSE))</f>
        <v>409961.53846000001</v>
      </c>
      <c r="P91" s="46">
        <f t="shared" ca="1" si="4"/>
        <v>1.0127508361296094E-2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input_403100!A$2</f>
        <v>403100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IFERROR(VLOOKUP(B92,input_403100!L:R,7,FALSE),VLOOKUP(tables_403100!C92,input_403100!A:H,8,FALSE))</f>
        <v>27038.46153</v>
      </c>
      <c r="P92" s="46">
        <f t="shared" ca="1" si="4"/>
        <v>6.679461840500817E-4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input_403100!A$2</f>
        <v>403100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IFERROR(VLOOKUP(B93,input_403100!L:R,7,FALSE),VLOOKUP(tables_403100!C93,input_403100!A:H,8,FALSE))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input_403100!A$2</f>
        <v>403100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IFERROR(VLOOKUP(B94,input_403100!L:R,7,FALSE),VLOOKUP(tables_403100!C94,input_403100!A:H,8,FALSE))</f>
        <v>409961.53846000001</v>
      </c>
      <c r="P94" s="46">
        <f t="shared" ca="1" si="4"/>
        <v>1.0127508361296094E-2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input_403100!A$2</f>
        <v>403100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IFERROR(VLOOKUP(B95,input_403100!L:R,7,FALSE),VLOOKUP(tables_403100!C95,input_403100!A:H,8,FALSE))</f>
        <v>27038.46153</v>
      </c>
      <c r="P95" s="46">
        <f t="shared" ca="1" si="4"/>
        <v>6.679461840500817E-4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input_403100!A$2</f>
        <v>403100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IFERROR(VLOOKUP(B96,input_403100!L:R,7,FALSE),VLOOKUP(tables_403100!C96,input_403100!A:H,8,FALSE))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input_403100!A$2</f>
        <v>403100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IFERROR(VLOOKUP(B97,input_403100!L:R,7,FALSE),VLOOKUP(tables_403100!C97,input_403100!A:H,8,FALSE))</f>
        <v>409961.53846000001</v>
      </c>
      <c r="P97" s="46">
        <f t="shared" ca="1" si="4"/>
        <v>1.0127508361296094E-2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input_403100!A$2</f>
        <v>403100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IFERROR(VLOOKUP(B98,input_403100!L:R,7,FALSE),VLOOKUP(tables_403100!C98,input_403100!A:H,8,FALSE))</f>
        <v>27038.46153</v>
      </c>
      <c r="P98" s="46">
        <f t="shared" ca="1" si="4"/>
        <v>6.679461840500817E-4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input_403100!A$2</f>
        <v>403100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IFERROR(VLOOKUP(B99,input_403100!L:R,7,FALSE),VLOOKUP(tables_403100!C99,input_403100!A:H,8,FALSE))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input_403100!A$2</f>
        <v>403100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IFERROR(VLOOKUP(B100,input_403100!L:R,7,FALSE),VLOOKUP(tables_403100!C100,input_403100!A:H,8,FALSE))</f>
        <v>409961.53846000001</v>
      </c>
      <c r="P100" s="46">
        <f t="shared" ca="1" si="4"/>
        <v>1.0127508361296094E-2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input_403100!A$2</f>
        <v>403100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IFERROR(VLOOKUP(B101,input_403100!L:R,7,FALSE),VLOOKUP(tables_403100!C101,input_403100!A:H,8,FALSE))</f>
        <v>27038.46153</v>
      </c>
      <c r="P101" s="46">
        <f t="shared" ca="1" si="4"/>
        <v>6.679461840500817E-4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input_403100!A$2</f>
        <v>403100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IFERROR(VLOOKUP(B102,input_403100!L:R,7,FALSE),VLOOKUP(tables_403100!C102,input_403100!A:H,8,FALSE))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input_403100!A$2</f>
        <v>403100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IFERROR(VLOOKUP(B103,input_403100!L:R,7,FALSE),VLOOKUP(tables_403100!C103,input_403100!A:H,8,FALSE))</f>
        <v>409961.53846000001</v>
      </c>
      <c r="P103" s="46">
        <f t="shared" ca="1" si="4"/>
        <v>1.0127508361296094E-2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input_403100!A$2</f>
        <v>403100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IFERROR(VLOOKUP(B104,input_403100!L:R,7,FALSE),VLOOKUP(tables_403100!C104,input_403100!A:H,8,FALSE))</f>
        <v>27038.46153</v>
      </c>
      <c r="P104" s="46">
        <f t="shared" ca="1" si="4"/>
        <v>6.679461840500817E-4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input_403100!A$2</f>
        <v>403100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IFERROR(VLOOKUP(B105,input_403100!L:R,7,FALSE),VLOOKUP(tables_403100!C105,input_403100!A:H,8,FALSE))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input_403100!A$2</f>
        <v>403100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IFERROR(VLOOKUP(B106,input_403100!L:R,7,FALSE),VLOOKUP(tables_403100!C106,input_403100!A:H,8,FALSE))</f>
        <v>409961.53846000001</v>
      </c>
      <c r="P106" s="46">
        <f t="shared" ca="1" si="4"/>
        <v>1.0127508361296094E-2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input_403100!A$2</f>
        <v>403100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IFERROR(VLOOKUP(B107,input_403100!L:R,7,FALSE),VLOOKUP(tables_403100!C107,input_403100!A:H,8,FALSE))</f>
        <v>27038.46153</v>
      </c>
      <c r="P107" s="46">
        <f t="shared" ca="1" si="4"/>
        <v>6.679461840500817E-4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input_403100!A$2</f>
        <v>403100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IFERROR(VLOOKUP(B108,input_403100!L:R,7,FALSE),VLOOKUP(tables_403100!C108,input_403100!A:H,8,FALSE))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input_403100!A$2</f>
        <v>403100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IFERROR(VLOOKUP(B109,input_403100!L:R,7,FALSE),VLOOKUP(tables_403100!C109,input_403100!A:H,8,FALSE))</f>
        <v>409961.53846000001</v>
      </c>
      <c r="P109" s="46">
        <f t="shared" ca="1" si="4"/>
        <v>1.0127508361296094E-2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input_403100!A$2</f>
        <v>403100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IFERROR(VLOOKUP(B110,input_403100!L:R,7,FALSE),VLOOKUP(tables_403100!C110,input_403100!A:H,8,FALSE))</f>
        <v>27038.46153</v>
      </c>
      <c r="P110" s="46">
        <f t="shared" ca="1" si="4"/>
        <v>6.679461840500817E-4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input_403100!A$2</f>
        <v>403100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IFERROR(VLOOKUP(B111,input_403100!L:R,7,FALSE),VLOOKUP(tables_403100!C111,input_403100!A:H,8,FALSE))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input_403100!A$2</f>
        <v>403100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IFERROR(VLOOKUP(B112,input_403100!L:R,7,FALSE),VLOOKUP(tables_403100!C112,input_403100!A:H,8,FALSE))</f>
        <v>415150</v>
      </c>
      <c r="P112" s="46">
        <f t="shared" ca="1" si="4"/>
        <v>1.0255681818313551E-2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input_403100!A$2</f>
        <v>403100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IFERROR(VLOOKUP(B113,input_403100!L:R,7,FALSE),VLOOKUP(tables_403100!C113,input_403100!A:H,8,FALSE))</f>
        <v>21850</v>
      </c>
      <c r="P113" s="46">
        <f t="shared" ca="1" si="4"/>
        <v>5.3977272727966064E-4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input_403100!A$2</f>
        <v>403100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IFERROR(VLOOKUP(B114,input_403100!L:R,7,FALSE),VLOOKUP(tables_403100!C114,input_403100!A:H,8,FALSE))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input_403100!A$2</f>
        <v>403100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IFERROR(VLOOKUP(B115,input_403100!L:R,7,FALSE),VLOOKUP(tables_403100!C115,input_403100!A:H,8,FALSE))</f>
        <v>409961.53846000001</v>
      </c>
      <c r="P115" s="46">
        <f t="shared" ca="1" si="4"/>
        <v>1.0127508361296094E-2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input_403100!A$2</f>
        <v>403100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IFERROR(VLOOKUP(B116,input_403100!L:R,7,FALSE),VLOOKUP(tables_403100!C116,input_403100!A:H,8,FALSE))</f>
        <v>27038.46153</v>
      </c>
      <c r="P116" s="46">
        <f t="shared" ca="1" si="4"/>
        <v>6.679461840500817E-4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input_403100!A$2</f>
        <v>403100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IFERROR(VLOOKUP(B117,input_403100!L:R,7,FALSE),VLOOKUP(tables_403100!C117,input_403100!A:H,8,FALSE))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input_403100!A$2</f>
        <v>403100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IFERROR(VLOOKUP(B118,input_403100!L:R,7,FALSE),VLOOKUP(tables_403100!C118,input_403100!A:H,8,FALSE))</f>
        <v>409961.53846000001</v>
      </c>
      <c r="P118" s="46">
        <f t="shared" ca="1" si="4"/>
        <v>1.0127508361296094E-2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input_403100!A$2</f>
        <v>403100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IFERROR(VLOOKUP(B119,input_403100!L:R,7,FALSE),VLOOKUP(tables_403100!C119,input_403100!A:H,8,FALSE))</f>
        <v>27038.46153</v>
      </c>
      <c r="P119" s="46">
        <f t="shared" ca="1" si="4"/>
        <v>6.679461840500817E-4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input_403100!A$2</f>
        <v>403100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IFERROR(VLOOKUP(B120,input_403100!L:R,7,FALSE),VLOOKUP(tables_403100!C120,input_403100!A:H,8,FALSE))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input_403100!A$2</f>
        <v>403100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IFERROR(VLOOKUP(B121,input_403100!L:R,7,FALSE),VLOOKUP(tables_403100!C121,input_403100!A:H,8,FALSE))</f>
        <v>409961.53846000001</v>
      </c>
      <c r="P121" s="46">
        <f t="shared" ca="1" si="4"/>
        <v>1.0127508361296094E-2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input_403100!A$2</f>
        <v>403100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IFERROR(VLOOKUP(B122,input_403100!L:R,7,FALSE),VLOOKUP(tables_403100!C122,input_403100!A:H,8,FALSE))</f>
        <v>27038.46153</v>
      </c>
      <c r="P122" s="46">
        <f t="shared" ca="1" si="4"/>
        <v>6.679461840500817E-4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input_403100!A$2</f>
        <v>403100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IFERROR(VLOOKUP(B123,input_403100!L:R,7,FALSE),VLOOKUP(tables_403100!C123,input_403100!A:H,8,FALSE))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input_403100!A$2</f>
        <v>403100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IFERROR(VLOOKUP(B124,input_403100!L:R,7,FALSE),VLOOKUP(tables_403100!C124,input_403100!A:H,8,FALSE))</f>
        <v>409961.53846000001</v>
      </c>
      <c r="P124" s="46">
        <f t="shared" ca="1" si="4"/>
        <v>1.0127508361296094E-2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input_403100!A$2</f>
        <v>403100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IFERROR(VLOOKUP(B125,input_403100!L:R,7,FALSE),VLOOKUP(tables_403100!C125,input_403100!A:H,8,FALSE))</f>
        <v>27038.46153</v>
      </c>
      <c r="P125" s="46">
        <f t="shared" ca="1" si="4"/>
        <v>6.679461840500817E-4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input_403100!A$2</f>
        <v>403100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IFERROR(VLOOKUP(B126,input_403100!L:R,7,FALSE),VLOOKUP(tables_403100!C126,input_403100!A:H,8,FALSE))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input_403100!A$2</f>
        <v>403100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IFERROR(VLOOKUP(B127,input_403100!L:R,7,FALSE),VLOOKUP(tables_403100!C127,input_403100!A:H,8,FALSE))</f>
        <v>409961.53846000001</v>
      </c>
      <c r="P127" s="46">
        <f t="shared" ca="1" si="4"/>
        <v>1.0127508361296094E-2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input_403100!A$2</f>
        <v>403100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IFERROR(VLOOKUP(B128,input_403100!L:R,7,FALSE),VLOOKUP(tables_403100!C128,input_403100!A:H,8,FALSE))</f>
        <v>27038.46153</v>
      </c>
      <c r="P128" s="46">
        <f t="shared" ca="1" si="4"/>
        <v>6.679461840500817E-4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input_403100!A$2</f>
        <v>403100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IFERROR(VLOOKUP(B129,input_403100!L:R,7,FALSE),VLOOKUP(tables_403100!C129,input_403100!A:H,8,FALSE))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input_403100!A$2</f>
        <v>403100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IFERROR(VLOOKUP(B130,input_403100!L:R,7,FALSE),VLOOKUP(tables_403100!C130,input_403100!A:H,8,FALSE))</f>
        <v>409961.53846000001</v>
      </c>
      <c r="P130" s="46">
        <f t="shared" ref="P130:P193" ca="1" si="7">O130/SUM(O:O)</f>
        <v>1.0127508361296094E-2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input_403100!A$2</f>
        <v>403100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IFERROR(VLOOKUP(B131,input_403100!L:R,7,FALSE),VLOOKUP(tables_403100!C131,input_403100!A:H,8,FALSE))</f>
        <v>27038.46153</v>
      </c>
      <c r="P131" s="46">
        <f t="shared" ca="1" si="7"/>
        <v>6.679461840500817E-4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input_403100!A$2</f>
        <v>403100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IFERROR(VLOOKUP(B132,input_403100!L:R,7,FALSE),VLOOKUP(tables_403100!C132,input_403100!A:H,8,FALSE))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input_403100!A$2</f>
        <v>403100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IFERROR(VLOOKUP(B133,input_403100!L:R,7,FALSE),VLOOKUP(tables_403100!C133,input_403100!A:H,8,FALSE))</f>
        <v>409961.53846000001</v>
      </c>
      <c r="P133" s="46">
        <f t="shared" ca="1" si="7"/>
        <v>1.0127508361296094E-2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input_403100!A$2</f>
        <v>403100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IFERROR(VLOOKUP(B134,input_403100!L:R,7,FALSE),VLOOKUP(tables_403100!C134,input_403100!A:H,8,FALSE))</f>
        <v>27038.46153</v>
      </c>
      <c r="P134" s="46">
        <f t="shared" ca="1" si="7"/>
        <v>6.679461840500817E-4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input_403100!A$2</f>
        <v>403100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IFERROR(VLOOKUP(B135,input_403100!L:R,7,FALSE),VLOOKUP(tables_403100!C135,input_403100!A:H,8,FALSE))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input_403100!A$2</f>
        <v>403100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IFERROR(VLOOKUP(B136,input_403100!L:R,7,FALSE),VLOOKUP(tables_403100!C136,input_403100!A:H,8,FALSE))</f>
        <v>409961.53846000001</v>
      </c>
      <c r="P136" s="46">
        <f t="shared" ca="1" si="7"/>
        <v>1.0127508361296094E-2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input_403100!A$2</f>
        <v>403100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IFERROR(VLOOKUP(B137,input_403100!L:R,7,FALSE),VLOOKUP(tables_403100!C137,input_403100!A:H,8,FALSE))</f>
        <v>27038.46153</v>
      </c>
      <c r="P137" s="46">
        <f t="shared" ca="1" si="7"/>
        <v>6.679461840500817E-4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input_403100!A$2</f>
        <v>403100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IFERROR(VLOOKUP(B138,input_403100!L:R,7,FALSE),VLOOKUP(tables_403100!C138,input_403100!A:H,8,FALSE))</f>
        <v>8360</v>
      </c>
      <c r="P138" s="46">
        <f t="shared" ca="1" si="7"/>
        <v>2.0652173913308754E-4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input_403100!A$2</f>
        <v>403100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IFERROR(VLOOKUP(B139,input_403100!L:R,7,FALSE),VLOOKUP(tables_403100!C139,input_403100!A:H,8,FALSE))</f>
        <v>440</v>
      </c>
      <c r="P139" s="46">
        <f t="shared" ca="1" si="7"/>
        <v>1.0869565217530923E-5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input_403100!A$2</f>
        <v>403100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IFERROR(VLOOKUP(B140,input_403100!L:R,7,FALSE),VLOOKUP(tables_403100!C140,input_403100!A:H,8,FALSE))</f>
        <v>8360</v>
      </c>
      <c r="P140" s="46">
        <f t="shared" ca="1" si="7"/>
        <v>2.0652173913308754E-4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input_403100!A$2</f>
        <v>403100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IFERROR(VLOOKUP(B141,input_403100!L:R,7,FALSE),VLOOKUP(tables_403100!C141,input_403100!A:H,8,FALSE))</f>
        <v>440</v>
      </c>
      <c r="P141" s="46">
        <f t="shared" ca="1" si="7"/>
        <v>1.0869565217530923E-5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input_403100!A$2</f>
        <v>403100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IFERROR(VLOOKUP(B142,input_403100!L:R,7,FALSE),VLOOKUP(tables_403100!C142,input_403100!A:H,8,FALSE))</f>
        <v>8360</v>
      </c>
      <c r="P142" s="46">
        <f t="shared" ca="1" si="7"/>
        <v>2.0652173913308754E-4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input_403100!A$2</f>
        <v>403100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IFERROR(VLOOKUP(B143,input_403100!L:R,7,FALSE),VLOOKUP(tables_403100!C143,input_403100!A:H,8,FALSE))</f>
        <v>440</v>
      </c>
      <c r="P143" s="46">
        <f t="shared" ca="1" si="7"/>
        <v>1.0869565217530923E-5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input_403100!A$2</f>
        <v>403100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IFERROR(VLOOKUP(B144,input_403100!L:R,7,FALSE),VLOOKUP(tables_403100!C144,input_403100!A:H,8,FALSE))</f>
        <v>8360</v>
      </c>
      <c r="P144" s="46">
        <f t="shared" ca="1" si="7"/>
        <v>2.0652173913308754E-4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input_403100!A$2</f>
        <v>403100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IFERROR(VLOOKUP(B145,input_403100!L:R,7,FALSE),VLOOKUP(tables_403100!C145,input_403100!A:H,8,FALSE))</f>
        <v>440</v>
      </c>
      <c r="P145" s="46">
        <f t="shared" ca="1" si="7"/>
        <v>1.0869565217530923E-5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input_403100!A$2</f>
        <v>403100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IFERROR(VLOOKUP(B146,input_403100!L:R,7,FALSE),VLOOKUP(tables_403100!C146,input_403100!A:H,8,FALSE))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input_403100!A$2</f>
        <v>403100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IFERROR(VLOOKUP(B147,input_403100!L:R,7,FALSE),VLOOKUP(tables_403100!C147,input_403100!A:H,8,FALSE))</f>
        <v>409961.53846000001</v>
      </c>
      <c r="P147" s="46">
        <f t="shared" ca="1" si="7"/>
        <v>1.0127508361296094E-2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input_403100!A$2</f>
        <v>403100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IFERROR(VLOOKUP(B148,input_403100!L:R,7,FALSE),VLOOKUP(tables_403100!C148,input_403100!A:H,8,FALSE))</f>
        <v>27038.46153</v>
      </c>
      <c r="P148" s="46">
        <f t="shared" ca="1" si="7"/>
        <v>6.679461840500817E-4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input_403100!A$2</f>
        <v>403100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>IFERROR(VLOOKUP(B149,input_403100!L:R,7,FALSE),VLOOKUP(tables_403100!C149,input_403100!A:H,8,FALSE))</f>
        <v>769120</v>
      </c>
      <c r="P149" s="46">
        <f t="shared" ca="1" si="7"/>
        <v>1.9000000000244054E-2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input_403100!A$2</f>
        <v>403100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>IFERROR(VLOOKUP(B150,input_403100!L:R,7,FALSE),VLOOKUP(tables_403100!C150,input_403100!A:H,8,FALSE))</f>
        <v>40480</v>
      </c>
      <c r="P150" s="46">
        <f t="shared" ca="1" si="7"/>
        <v>1.000000000012845E-3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input_403100!A$2</f>
        <v>403100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>IFERROR(VLOOKUP(B151,input_403100!L:R,7,FALSE),VLOOKUP(tables_403100!C151,input_403100!A:H,8,FALSE))</f>
        <v>769120</v>
      </c>
      <c r="P151" s="46">
        <f t="shared" ca="1" si="7"/>
        <v>1.9000000000244054E-2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input_403100!A$2</f>
        <v>403100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>IFERROR(VLOOKUP(B152,input_403100!L:R,7,FALSE),VLOOKUP(tables_403100!C152,input_403100!A:H,8,FALSE))</f>
        <v>40480</v>
      </c>
      <c r="P152" s="46">
        <f t="shared" ca="1" si="7"/>
        <v>1.000000000012845E-3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input_403100!A$2</f>
        <v>403100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IFERROR(VLOOKUP(B153,input_403100!L:R,7,FALSE),VLOOKUP(tables_403100!C153,input_403100!A:H,8,FALSE))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input_403100!A$2</f>
        <v>403100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IFERROR(VLOOKUP(B154,input_403100!L:R,7,FALSE),VLOOKUP(tables_403100!C154,input_403100!A:H,8,FALSE))</f>
        <v>409961.53846000001</v>
      </c>
      <c r="P154" s="46">
        <f t="shared" ca="1" si="7"/>
        <v>1.0127508361296094E-2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input_403100!A$2</f>
        <v>403100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IFERROR(VLOOKUP(B155,input_403100!L:R,7,FALSE),VLOOKUP(tables_403100!C155,input_403100!A:H,8,FALSE))</f>
        <v>27038.46153</v>
      </c>
      <c r="P155" s="46">
        <f t="shared" ca="1" si="7"/>
        <v>6.679461840500817E-4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input_403100!A$2</f>
        <v>403100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IFERROR(VLOOKUP(B156,input_403100!L:R,7,FALSE),VLOOKUP(tables_403100!C156,input_403100!A:H,8,FALSE))</f>
        <v>8360</v>
      </c>
      <c r="P156" s="46">
        <f t="shared" ca="1" si="7"/>
        <v>2.0652173913308754E-4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input_403100!A$2</f>
        <v>403100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IFERROR(VLOOKUP(B157,input_403100!L:R,7,FALSE),VLOOKUP(tables_403100!C157,input_403100!A:H,8,FALSE))</f>
        <v>440</v>
      </c>
      <c r="P157" s="46">
        <f t="shared" ca="1" si="7"/>
        <v>1.0869565217530923E-5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input_403100!A$2</f>
        <v>403100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IFERROR(VLOOKUP(B158,input_403100!L:R,7,FALSE),VLOOKUP(tables_403100!C158,input_403100!A:H,8,FALSE))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input_403100!A$2</f>
        <v>403100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IFERROR(VLOOKUP(B159,input_403100!L:R,7,FALSE),VLOOKUP(tables_403100!C159,input_403100!A:H,8,FALSE))</f>
        <v>409961.53846000001</v>
      </c>
      <c r="P159" s="46">
        <f t="shared" ca="1" si="7"/>
        <v>1.0127508361296094E-2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input_403100!A$2</f>
        <v>403100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IFERROR(VLOOKUP(B160,input_403100!L:R,7,FALSE),VLOOKUP(tables_403100!C160,input_403100!A:H,8,FALSE))</f>
        <v>27038.46153</v>
      </c>
      <c r="P160" s="46">
        <f t="shared" ca="1" si="7"/>
        <v>6.679461840500817E-4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input_403100!A$2</f>
        <v>403100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IFERROR(VLOOKUP(B161,input_403100!L:R,7,FALSE),VLOOKUP(tables_403100!C161,input_403100!A:H,8,FALSE))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input_403100!A$2</f>
        <v>403100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IFERROR(VLOOKUP(B162,input_403100!L:R,7,FALSE),VLOOKUP(tables_403100!C162,input_403100!A:H,8,FALSE))</f>
        <v>409961.53846000001</v>
      </c>
      <c r="P162" s="46">
        <f t="shared" ca="1" si="7"/>
        <v>1.0127508361296094E-2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input_403100!A$2</f>
        <v>403100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IFERROR(VLOOKUP(B163,input_403100!L:R,7,FALSE),VLOOKUP(tables_403100!C163,input_403100!A:H,8,FALSE))</f>
        <v>27038.46153</v>
      </c>
      <c r="P163" s="46">
        <f t="shared" ca="1" si="7"/>
        <v>6.679461840500817E-4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input_403100!A$2</f>
        <v>403100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IFERROR(VLOOKUP(B164,input_403100!L:R,7,FALSE),VLOOKUP(tables_403100!C164,input_403100!A:H,8,FALSE))</f>
        <v>8360</v>
      </c>
      <c r="P164" s="46">
        <f t="shared" ca="1" si="7"/>
        <v>2.0652173913308754E-4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input_403100!A$2</f>
        <v>403100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IFERROR(VLOOKUP(B165,input_403100!L:R,7,FALSE),VLOOKUP(tables_403100!C165,input_403100!A:H,8,FALSE))</f>
        <v>440</v>
      </c>
      <c r="P165" s="46">
        <f t="shared" ca="1" si="7"/>
        <v>1.0869565217530923E-5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input_403100!A$2</f>
        <v>403100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IFERROR(VLOOKUP(B166,input_403100!L:R,7,FALSE),VLOOKUP(tables_403100!C166,input_403100!A:H,8,FALSE))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input_403100!A$2</f>
        <v>403100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IFERROR(VLOOKUP(B167,input_403100!L:R,7,FALSE),VLOOKUP(tables_403100!C167,input_403100!A:H,8,FALSE))</f>
        <v>409961.53846000001</v>
      </c>
      <c r="P167" s="46">
        <f t="shared" ca="1" si="7"/>
        <v>1.0127508361296094E-2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input_403100!A$2</f>
        <v>403100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IFERROR(VLOOKUP(B168,input_403100!L:R,7,FALSE),VLOOKUP(tables_403100!C168,input_403100!A:H,8,FALSE))</f>
        <v>27038.46153</v>
      </c>
      <c r="P168" s="46">
        <f t="shared" ca="1" si="7"/>
        <v>6.679461840500817E-4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input_403100!A$2</f>
        <v>403100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IFERROR(VLOOKUP(B169,input_403100!L:R,7,FALSE),VLOOKUP(tables_403100!C169,input_403100!A:H,8,FALSE))</f>
        <v>8360</v>
      </c>
      <c r="P169" s="46">
        <f t="shared" ca="1" si="7"/>
        <v>2.0652173913308754E-4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input_403100!A$2</f>
        <v>403100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IFERROR(VLOOKUP(B170,input_403100!L:R,7,FALSE),VLOOKUP(tables_403100!C170,input_403100!A:H,8,FALSE))</f>
        <v>440</v>
      </c>
      <c r="P170" s="46">
        <f t="shared" ca="1" si="7"/>
        <v>1.0869565217530923E-5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input_403100!A$2</f>
        <v>403100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IFERROR(VLOOKUP(B171,input_403100!L:R,7,FALSE),VLOOKUP(tables_403100!C171,input_403100!A:H,8,FALSE))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input_403100!A$2</f>
        <v>403100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IFERROR(VLOOKUP(B172,input_403100!L:R,7,FALSE),VLOOKUP(tables_403100!C172,input_403100!A:H,8,FALSE))</f>
        <v>409961.53846000001</v>
      </c>
      <c r="P172" s="46">
        <f t="shared" ca="1" si="7"/>
        <v>1.0127508361296094E-2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input_403100!A$2</f>
        <v>403100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IFERROR(VLOOKUP(B173,input_403100!L:R,7,FALSE),VLOOKUP(tables_403100!C173,input_403100!A:H,8,FALSE))</f>
        <v>27038.46153</v>
      </c>
      <c r="P173" s="46">
        <f t="shared" ca="1" si="7"/>
        <v>6.679461840500817E-4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input_403100!A$2</f>
        <v>403100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IFERROR(VLOOKUP(B174,input_403100!L:R,7,FALSE),VLOOKUP(tables_403100!C174,input_403100!A:H,8,FALSE))</f>
        <v>8360</v>
      </c>
      <c r="P174" s="46">
        <f t="shared" ca="1" si="7"/>
        <v>2.0652173913308754E-4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input_403100!A$2</f>
        <v>403100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IFERROR(VLOOKUP(B175,input_403100!L:R,7,FALSE),VLOOKUP(tables_403100!C175,input_403100!A:H,8,FALSE))</f>
        <v>440</v>
      </c>
      <c r="P175" s="46">
        <f t="shared" ca="1" si="7"/>
        <v>1.0869565217530923E-5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input_403100!A$2</f>
        <v>403100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IFERROR(VLOOKUP(B176,input_403100!L:R,7,FALSE),VLOOKUP(tables_403100!C176,input_403100!A:H,8,FALSE))</f>
        <v>8360</v>
      </c>
      <c r="P176" s="46">
        <f t="shared" ca="1" si="7"/>
        <v>2.0652173913308754E-4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input_403100!A$2</f>
        <v>403100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IFERROR(VLOOKUP(B177,input_403100!L:R,7,FALSE),VLOOKUP(tables_403100!C177,input_403100!A:H,8,FALSE))</f>
        <v>440</v>
      </c>
      <c r="P177" s="46">
        <f t="shared" ca="1" si="7"/>
        <v>1.0869565217530923E-5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input_403100!A$2</f>
        <v>403100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IFERROR(VLOOKUP(B178,input_403100!L:R,7,FALSE),VLOOKUP(tables_403100!C178,input_403100!A:H,8,FALSE))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input_403100!A$2</f>
        <v>403100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IFERROR(VLOOKUP(B179,input_403100!L:R,7,FALSE),VLOOKUP(tables_403100!C179,input_403100!A:H,8,FALSE))</f>
        <v>409961.53846000001</v>
      </c>
      <c r="P179" s="46">
        <f t="shared" ca="1" si="7"/>
        <v>1.0127508361296094E-2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input_403100!A$2</f>
        <v>403100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IFERROR(VLOOKUP(B180,input_403100!L:R,7,FALSE),VLOOKUP(tables_403100!C180,input_403100!A:H,8,FALSE))</f>
        <v>27038.46153</v>
      </c>
      <c r="P180" s="46">
        <f t="shared" ca="1" si="7"/>
        <v>6.679461840500817E-4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input_403100!A$2</f>
        <v>403100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IFERROR(VLOOKUP(B181,input_403100!L:R,7,FALSE),VLOOKUP(tables_403100!C181,input_403100!A:H,8,FALSE))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input_403100!A$2</f>
        <v>403100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IFERROR(VLOOKUP(B182,input_403100!L:R,7,FALSE),VLOOKUP(tables_403100!C182,input_403100!A:H,8,FALSE))</f>
        <v>409961.53846000001</v>
      </c>
      <c r="P182" s="46">
        <f t="shared" ca="1" si="7"/>
        <v>1.0127508361296094E-2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input_403100!A$2</f>
        <v>403100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IFERROR(VLOOKUP(B183,input_403100!L:R,7,FALSE),VLOOKUP(tables_403100!C183,input_403100!A:H,8,FALSE))</f>
        <v>27038.46153</v>
      </c>
      <c r="P183" s="46">
        <f t="shared" ca="1" si="7"/>
        <v>6.679461840500817E-4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input_403100!A$2</f>
        <v>403100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IFERROR(VLOOKUP(B184,input_403100!L:R,7,FALSE),VLOOKUP(tables_403100!C184,input_403100!A:H,8,FALSE))</f>
        <v>8360</v>
      </c>
      <c r="P184" s="46">
        <f t="shared" ca="1" si="7"/>
        <v>2.0652173913308754E-4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input_403100!A$2</f>
        <v>403100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IFERROR(VLOOKUP(B185,input_403100!L:R,7,FALSE),VLOOKUP(tables_403100!C185,input_403100!A:H,8,FALSE))</f>
        <v>440</v>
      </c>
      <c r="P185" s="46">
        <f t="shared" ca="1" si="7"/>
        <v>1.0869565217530923E-5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input_403100!A$2</f>
        <v>403100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IFERROR(VLOOKUP(B186,input_403100!L:R,7,FALSE),VLOOKUP(tables_403100!C186,input_403100!A:H,8,FALSE))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input_403100!A$2</f>
        <v>403100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IFERROR(VLOOKUP(B187,input_403100!L:R,7,FALSE),VLOOKUP(tables_403100!C187,input_403100!A:H,8,FALSE))</f>
        <v>409961.53846000001</v>
      </c>
      <c r="P187" s="46">
        <f t="shared" ca="1" si="7"/>
        <v>1.0127508361296094E-2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input_403100!A$2</f>
        <v>403100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IFERROR(VLOOKUP(B188,input_403100!L:R,7,FALSE),VLOOKUP(tables_403100!C188,input_403100!A:H,8,FALSE))</f>
        <v>27038.46153</v>
      </c>
      <c r="P188" s="46">
        <f t="shared" ca="1" si="7"/>
        <v>6.679461840500817E-4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input_403100!A$2</f>
        <v>403100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IFERROR(VLOOKUP(B189,input_403100!L:R,7,FALSE),VLOOKUP(tables_403100!C189,input_403100!A:H,8,FALSE))</f>
        <v>8360</v>
      </c>
      <c r="P189" s="46">
        <f t="shared" ca="1" si="7"/>
        <v>2.0652173913308754E-4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input_403100!A$2</f>
        <v>403100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IFERROR(VLOOKUP(B190,input_403100!L:R,7,FALSE),VLOOKUP(tables_403100!C190,input_403100!A:H,8,FALSE))</f>
        <v>440</v>
      </c>
      <c r="P190" s="46">
        <f t="shared" ca="1" si="7"/>
        <v>1.0869565217530923E-5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input_403100!A$2</f>
        <v>403100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IFERROR(VLOOKUP(B191,input_403100!L:R,7,FALSE),VLOOKUP(tables_403100!C191,input_403100!A:H,8,FALSE))</f>
        <v>8360</v>
      </c>
      <c r="P191" s="46">
        <f t="shared" ca="1" si="7"/>
        <v>2.0652173913308754E-4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input_403100!A$2</f>
        <v>403100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IFERROR(VLOOKUP(B192,input_403100!L:R,7,FALSE),VLOOKUP(tables_403100!C192,input_403100!A:H,8,FALSE))</f>
        <v>440</v>
      </c>
      <c r="P192" s="46">
        <f t="shared" ca="1" si="7"/>
        <v>1.0869565217530923E-5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input_403100!A$2</f>
        <v>403100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IFERROR(VLOOKUP(B193,input_403100!L:R,7,FALSE),VLOOKUP(tables_403100!C193,input_403100!A:H,8,FALSE))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input_403100!A$2</f>
        <v>403100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IFERROR(VLOOKUP(B194,input_403100!L:R,7,FALSE),VLOOKUP(tables_403100!C194,input_403100!A:H,8,FALSE))</f>
        <v>409961.53846000001</v>
      </c>
      <c r="P194" s="46">
        <f t="shared" ref="P194:P257" ca="1" si="10">O194/SUM(O:O)</f>
        <v>1.0127508361296094E-2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input_403100!A$2</f>
        <v>403100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IFERROR(VLOOKUP(B195,input_403100!L:R,7,FALSE),VLOOKUP(tables_403100!C195,input_403100!A:H,8,FALSE))</f>
        <v>27038.46153</v>
      </c>
      <c r="P195" s="46">
        <f t="shared" ca="1" si="10"/>
        <v>6.679461840500817E-4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input_403100!A$2</f>
        <v>403100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IFERROR(VLOOKUP(B196,input_403100!L:R,7,FALSE),VLOOKUP(tables_403100!C196,input_403100!A:H,8,FALSE))</f>
        <v>8360</v>
      </c>
      <c r="P196" s="46">
        <f t="shared" ca="1" si="10"/>
        <v>2.0652173913308754E-4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input_403100!A$2</f>
        <v>403100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IFERROR(VLOOKUP(B197,input_403100!L:R,7,FALSE),VLOOKUP(tables_403100!C197,input_403100!A:H,8,FALSE))</f>
        <v>440</v>
      </c>
      <c r="P197" s="46">
        <f t="shared" ca="1" si="10"/>
        <v>1.0869565217530923E-5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input_403100!A$2</f>
        <v>403100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IFERROR(VLOOKUP(B198,input_403100!L:R,7,FALSE),VLOOKUP(tables_403100!C198,input_403100!A:H,8,FALSE))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input_403100!A$2</f>
        <v>403100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IFERROR(VLOOKUP(B199,input_403100!L:R,7,FALSE),VLOOKUP(tables_403100!C199,input_403100!A:H,8,FALSE))</f>
        <v>409961.53846000001</v>
      </c>
      <c r="P199" s="46">
        <f t="shared" ca="1" si="10"/>
        <v>1.0127508361296094E-2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input_403100!A$2</f>
        <v>403100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IFERROR(VLOOKUP(B200,input_403100!L:R,7,FALSE),VLOOKUP(tables_403100!C200,input_403100!A:H,8,FALSE))</f>
        <v>27038.46153</v>
      </c>
      <c r="P200" s="46">
        <f t="shared" ca="1" si="10"/>
        <v>6.679461840500817E-4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input_403100!A$2</f>
        <v>403100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IFERROR(VLOOKUP(B201,input_403100!L:R,7,FALSE),VLOOKUP(tables_403100!C201,input_403100!A:H,8,FALSE))</f>
        <v>8360</v>
      </c>
      <c r="P201" s="46">
        <f t="shared" ca="1" si="10"/>
        <v>2.0652173913308754E-4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input_403100!A$2</f>
        <v>403100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IFERROR(VLOOKUP(B202,input_403100!L:R,7,FALSE),VLOOKUP(tables_403100!C202,input_403100!A:H,8,FALSE))</f>
        <v>440</v>
      </c>
      <c r="P202" s="46">
        <f t="shared" ca="1" si="10"/>
        <v>1.0869565217530923E-5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input_403100!A$2</f>
        <v>403100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IFERROR(VLOOKUP(B203,input_403100!L:R,7,FALSE),VLOOKUP(tables_403100!C203,input_403100!A:H,8,FALSE))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input_403100!A$2</f>
        <v>403100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IFERROR(VLOOKUP(B204,input_403100!L:R,7,FALSE),VLOOKUP(tables_403100!C204,input_403100!A:H,8,FALSE))</f>
        <v>409961.53846000001</v>
      </c>
      <c r="P204" s="46">
        <f t="shared" ca="1" si="10"/>
        <v>1.0127508361296094E-2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input_403100!A$2</f>
        <v>403100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IFERROR(VLOOKUP(B205,input_403100!L:R,7,FALSE),VLOOKUP(tables_403100!C205,input_403100!A:H,8,FALSE))</f>
        <v>27038.46153</v>
      </c>
      <c r="P205" s="46">
        <f t="shared" ca="1" si="10"/>
        <v>6.679461840500817E-4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input_403100!A$2</f>
        <v>403100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IFERROR(VLOOKUP(B206,input_403100!L:R,7,FALSE),VLOOKUP(tables_403100!C206,input_403100!A:H,8,FALSE))</f>
        <v>8360</v>
      </c>
      <c r="P206" s="46">
        <f t="shared" ca="1" si="10"/>
        <v>2.0652173913308754E-4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input_403100!A$2</f>
        <v>403100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IFERROR(VLOOKUP(B207,input_403100!L:R,7,FALSE),VLOOKUP(tables_403100!C207,input_403100!A:H,8,FALSE))</f>
        <v>440</v>
      </c>
      <c r="P207" s="46">
        <f t="shared" ca="1" si="10"/>
        <v>1.0869565217530923E-5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input_403100!A$2</f>
        <v>403100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IFERROR(VLOOKUP(B208,input_403100!L:R,7,FALSE),VLOOKUP(tables_403100!C208,input_403100!A:H,8,FALSE))</f>
        <v>8360</v>
      </c>
      <c r="P208" s="46">
        <f t="shared" ca="1" si="10"/>
        <v>2.0652173913308754E-4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input_403100!A$2</f>
        <v>403100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IFERROR(VLOOKUP(B209,input_403100!L:R,7,FALSE),VLOOKUP(tables_403100!C209,input_403100!A:H,8,FALSE))</f>
        <v>440</v>
      </c>
      <c r="P209" s="46">
        <f t="shared" ca="1" si="10"/>
        <v>1.0869565217530923E-5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input_403100!A$2</f>
        <v>403100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IFERROR(VLOOKUP(B210,input_403100!L:R,7,FALSE),VLOOKUP(tables_403100!C210,input_403100!A:H,8,FALSE))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input_403100!A$2</f>
        <v>403100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IFERROR(VLOOKUP(B211,input_403100!L:R,7,FALSE),VLOOKUP(tables_403100!C211,input_403100!A:H,8,FALSE))</f>
        <v>409961.53846000001</v>
      </c>
      <c r="P211" s="46">
        <f t="shared" ca="1" si="10"/>
        <v>1.0127508361296094E-2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input_403100!A$2</f>
        <v>403100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IFERROR(VLOOKUP(B212,input_403100!L:R,7,FALSE),VLOOKUP(tables_403100!C212,input_403100!A:H,8,FALSE))</f>
        <v>27038.46153</v>
      </c>
      <c r="P212" s="46">
        <f t="shared" ca="1" si="10"/>
        <v>6.679461840500817E-4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input_403100!A$2</f>
        <v>403100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IFERROR(VLOOKUP(B213,input_403100!L:R,7,FALSE),VLOOKUP(tables_403100!C213,input_403100!A:H,8,FALSE))</f>
        <v>8360</v>
      </c>
      <c r="P213" s="46">
        <f t="shared" ca="1" si="10"/>
        <v>2.0652173913308754E-4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input_403100!A$2</f>
        <v>403100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IFERROR(VLOOKUP(B214,input_403100!L:R,7,FALSE),VLOOKUP(tables_403100!C214,input_403100!A:H,8,FALSE))</f>
        <v>440</v>
      </c>
      <c r="P214" s="46">
        <f t="shared" ca="1" si="10"/>
        <v>1.0869565217530923E-5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input_403100!A$2</f>
        <v>403100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IFERROR(VLOOKUP(B215,input_403100!L:R,7,FALSE),VLOOKUP(tables_403100!C215,input_403100!A:H,8,FALSE))</f>
        <v>8360</v>
      </c>
      <c r="P215" s="46">
        <f t="shared" ca="1" si="10"/>
        <v>2.0652173913308754E-4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input_403100!A$2</f>
        <v>403100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IFERROR(VLOOKUP(B216,input_403100!L:R,7,FALSE),VLOOKUP(tables_403100!C216,input_403100!A:H,8,FALSE))</f>
        <v>440</v>
      </c>
      <c r="P216" s="46">
        <f t="shared" ca="1" si="10"/>
        <v>1.0869565217530923E-5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input_403100!A$2</f>
        <v>403100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IFERROR(VLOOKUP(B217,input_403100!L:R,7,FALSE),VLOOKUP(tables_403100!C217,input_403100!A:H,8,FALSE))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input_403100!A$2</f>
        <v>403100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IFERROR(VLOOKUP(B218,input_403100!L:R,7,FALSE),VLOOKUP(tables_403100!C218,input_403100!A:H,8,FALSE))</f>
        <v>409961.53846000001</v>
      </c>
      <c r="P218" s="46">
        <f t="shared" ca="1" si="10"/>
        <v>1.0127508361296094E-2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input_403100!A$2</f>
        <v>403100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IFERROR(VLOOKUP(B219,input_403100!L:R,7,FALSE),VLOOKUP(tables_403100!C219,input_403100!A:H,8,FALSE))</f>
        <v>27038.46153</v>
      </c>
      <c r="P219" s="46">
        <f t="shared" ca="1" si="10"/>
        <v>6.679461840500817E-4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input_403100!A$2</f>
        <v>403100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IFERROR(VLOOKUP(B220,input_403100!L:R,7,FALSE),VLOOKUP(tables_403100!C220,input_403100!A:H,8,FALSE))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input_403100!A$2</f>
        <v>403100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IFERROR(VLOOKUP(B221,input_403100!L:R,7,FALSE),VLOOKUP(tables_403100!C221,input_403100!A:H,8,FALSE))</f>
        <v>409961.53846000001</v>
      </c>
      <c r="P221" s="46">
        <f t="shared" ca="1" si="10"/>
        <v>1.0127508361296094E-2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input_403100!A$2</f>
        <v>403100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IFERROR(VLOOKUP(B222,input_403100!L:R,7,FALSE),VLOOKUP(tables_403100!C222,input_403100!A:H,8,FALSE))</f>
        <v>27038.46153</v>
      </c>
      <c r="P222" s="46">
        <f t="shared" ca="1" si="10"/>
        <v>6.679461840500817E-4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input_403100!A$2</f>
        <v>403100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IFERROR(VLOOKUP(B223,input_403100!L:R,7,FALSE),VLOOKUP(tables_403100!C223,input_403100!A:H,8,FALSE))</f>
        <v>8360</v>
      </c>
      <c r="P223" s="46">
        <f t="shared" ca="1" si="10"/>
        <v>2.0652173913308754E-4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input_403100!A$2</f>
        <v>403100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IFERROR(VLOOKUP(B224,input_403100!L:R,7,FALSE),VLOOKUP(tables_403100!C224,input_403100!A:H,8,FALSE))</f>
        <v>440</v>
      </c>
      <c r="P224" s="46">
        <f t="shared" ca="1" si="10"/>
        <v>1.0869565217530923E-5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input_403100!A$2</f>
        <v>403100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IFERROR(VLOOKUP(B225,input_403100!L:R,7,FALSE),VLOOKUP(tables_403100!C225,input_403100!A:H,8,FALSE))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input_403100!A$2</f>
        <v>403100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IFERROR(VLOOKUP(B226,input_403100!L:R,7,FALSE),VLOOKUP(tables_403100!C226,input_403100!A:H,8,FALSE))</f>
        <v>409961.53846000001</v>
      </c>
      <c r="P226" s="46">
        <f t="shared" ca="1" si="10"/>
        <v>1.0127508361296094E-2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input_403100!A$2</f>
        <v>403100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IFERROR(VLOOKUP(B227,input_403100!L:R,7,FALSE),VLOOKUP(tables_403100!C227,input_403100!A:H,8,FALSE))</f>
        <v>27038.46153</v>
      </c>
      <c r="P227" s="46">
        <f t="shared" ca="1" si="10"/>
        <v>6.679461840500817E-4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input_403100!A$2</f>
        <v>403100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IFERROR(VLOOKUP(B228,input_403100!L:R,7,FALSE),VLOOKUP(tables_403100!C228,input_403100!A:H,8,FALSE))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input_403100!A$2</f>
        <v>403100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IFERROR(VLOOKUP(B229,input_403100!L:R,7,FALSE),VLOOKUP(tables_403100!C229,input_403100!A:H,8,FALSE))</f>
        <v>409961.53846000001</v>
      </c>
      <c r="P229" s="46">
        <f t="shared" ca="1" si="10"/>
        <v>1.0127508361296094E-2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input_403100!A$2</f>
        <v>403100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IFERROR(VLOOKUP(B230,input_403100!L:R,7,FALSE),VLOOKUP(tables_403100!C230,input_403100!A:H,8,FALSE))</f>
        <v>27038.46153</v>
      </c>
      <c r="P230" s="46">
        <f t="shared" ca="1" si="10"/>
        <v>6.679461840500817E-4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input_403100!A$2</f>
        <v>403100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IFERROR(VLOOKUP(B231,input_403100!L:R,7,FALSE),VLOOKUP(tables_403100!C231,input_403100!A:H,8,FALSE))</f>
        <v>8360</v>
      </c>
      <c r="P231" s="46">
        <f t="shared" ca="1" si="10"/>
        <v>2.0652173913308754E-4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input_403100!A$2</f>
        <v>403100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IFERROR(VLOOKUP(B232,input_403100!L:R,7,FALSE),VLOOKUP(tables_403100!C232,input_403100!A:H,8,FALSE))</f>
        <v>440</v>
      </c>
      <c r="P232" s="46">
        <f t="shared" ca="1" si="10"/>
        <v>1.0869565217530923E-5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input_403100!A$2</f>
        <v>403100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IFERROR(VLOOKUP(B233,input_403100!L:R,7,FALSE),VLOOKUP(tables_403100!C233,input_403100!A:H,8,FALSE))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input_403100!A$2</f>
        <v>403100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IFERROR(VLOOKUP(B234,input_403100!L:R,7,FALSE),VLOOKUP(tables_403100!C234,input_403100!A:H,8,FALSE))</f>
        <v>409961.53846000001</v>
      </c>
      <c r="P234" s="46">
        <f t="shared" ca="1" si="10"/>
        <v>1.0127508361296094E-2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input_403100!A$2</f>
        <v>403100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IFERROR(VLOOKUP(B235,input_403100!L:R,7,FALSE),VLOOKUP(tables_403100!C235,input_403100!A:H,8,FALSE))</f>
        <v>27038.46153</v>
      </c>
      <c r="P235" s="46">
        <f t="shared" ca="1" si="10"/>
        <v>6.679461840500817E-4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input_403100!A$2</f>
        <v>403100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IFERROR(VLOOKUP(B236,input_403100!L:R,7,FALSE),VLOOKUP(tables_403100!C236,input_403100!A:H,8,FALSE))</f>
        <v>8360</v>
      </c>
      <c r="P236" s="46">
        <f t="shared" ca="1" si="10"/>
        <v>2.0652173913308754E-4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input_403100!A$2</f>
        <v>403100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IFERROR(VLOOKUP(B237,input_403100!L:R,7,FALSE),VLOOKUP(tables_403100!C237,input_403100!A:H,8,FALSE))</f>
        <v>440</v>
      </c>
      <c r="P237" s="46">
        <f t="shared" ca="1" si="10"/>
        <v>1.0869565217530923E-5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input_403100!A$2</f>
        <v>403100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IFERROR(VLOOKUP(B238,input_403100!L:R,7,FALSE),VLOOKUP(tables_403100!C238,input_403100!A:H,8,FALSE))</f>
        <v>8360</v>
      </c>
      <c r="P238" s="46">
        <f t="shared" ca="1" si="10"/>
        <v>2.0652173913308754E-4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input_403100!A$2</f>
        <v>403100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IFERROR(VLOOKUP(B239,input_403100!L:R,7,FALSE),VLOOKUP(tables_403100!C239,input_403100!A:H,8,FALSE))</f>
        <v>440</v>
      </c>
      <c r="P239" s="46">
        <f t="shared" ca="1" si="10"/>
        <v>1.0869565217530923E-5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input_403100!A$2</f>
        <v>403100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IFERROR(VLOOKUP(B240,input_403100!L:R,7,FALSE),VLOOKUP(tables_403100!C240,input_403100!A:H,8,FALSE))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input_403100!A$2</f>
        <v>403100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IFERROR(VLOOKUP(B241,input_403100!L:R,7,FALSE),VLOOKUP(tables_403100!C241,input_403100!A:H,8,FALSE))</f>
        <v>409961.53846000001</v>
      </c>
      <c r="P241" s="46">
        <f t="shared" ca="1" si="10"/>
        <v>1.0127508361296094E-2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input_403100!A$2</f>
        <v>403100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IFERROR(VLOOKUP(B242,input_403100!L:R,7,FALSE),VLOOKUP(tables_403100!C242,input_403100!A:H,8,FALSE))</f>
        <v>27038.46153</v>
      </c>
      <c r="P242" s="46">
        <f t="shared" ca="1" si="10"/>
        <v>6.679461840500817E-4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input_403100!A$2</f>
        <v>403100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IFERROR(VLOOKUP(B243,input_403100!L:R,7,FALSE),VLOOKUP(tables_403100!C243,input_403100!A:H,8,FALSE))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input_403100!A$2</f>
        <v>403100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IFERROR(VLOOKUP(B244,input_403100!L:R,7,FALSE),VLOOKUP(tables_403100!C244,input_403100!A:H,8,FALSE))</f>
        <v>409961.53846000001</v>
      </c>
      <c r="P244" s="46">
        <f t="shared" ca="1" si="10"/>
        <v>1.0127508361296094E-2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input_403100!A$2</f>
        <v>403100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IFERROR(VLOOKUP(B245,input_403100!L:R,7,FALSE),VLOOKUP(tables_403100!C245,input_403100!A:H,8,FALSE))</f>
        <v>27038.46153</v>
      </c>
      <c r="P245" s="46">
        <f t="shared" ca="1" si="10"/>
        <v>6.679461840500817E-4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input_403100!A$2</f>
        <v>403100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IFERROR(VLOOKUP(B246,input_403100!L:R,7,FALSE),VLOOKUP(tables_403100!C246,input_403100!A:H,8,FALSE))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input_403100!A$2</f>
        <v>403100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IFERROR(VLOOKUP(B247,input_403100!L:R,7,FALSE),VLOOKUP(tables_403100!C247,input_403100!A:H,8,FALSE))</f>
        <v>409961.53846000001</v>
      </c>
      <c r="P247" s="46">
        <f t="shared" ca="1" si="10"/>
        <v>1.0127508361296094E-2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input_403100!A$2</f>
        <v>403100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IFERROR(VLOOKUP(B248,input_403100!L:R,7,FALSE),VLOOKUP(tables_403100!C248,input_403100!A:H,8,FALSE))</f>
        <v>27038.46153</v>
      </c>
      <c r="P248" s="46">
        <f t="shared" ca="1" si="10"/>
        <v>6.679461840500817E-4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input_403100!A$2</f>
        <v>403100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IFERROR(VLOOKUP(B249,input_403100!L:R,7,FALSE),VLOOKUP(tables_403100!C249,input_403100!A:H,8,FALSE))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input_403100!A$2</f>
        <v>403100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IFERROR(VLOOKUP(B250,input_403100!L:R,7,FALSE),VLOOKUP(tables_403100!C250,input_403100!A:H,8,FALSE))</f>
        <v>409961.53846000001</v>
      </c>
      <c r="P250" s="46">
        <f t="shared" ca="1" si="10"/>
        <v>1.0127508361296094E-2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input_403100!A$2</f>
        <v>403100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IFERROR(VLOOKUP(B251,input_403100!L:R,7,FALSE),VLOOKUP(tables_403100!C251,input_403100!A:H,8,FALSE))</f>
        <v>27038.46153</v>
      </c>
      <c r="P251" s="46">
        <f t="shared" ca="1" si="10"/>
        <v>6.679461840500817E-4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input_403100!A$2</f>
        <v>403100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IFERROR(VLOOKUP(B252,input_403100!L:R,7,FALSE),VLOOKUP(tables_403100!C252,input_403100!A:H,8,FALSE))</f>
        <v>8360</v>
      </c>
      <c r="P252" s="46">
        <f t="shared" ca="1" si="10"/>
        <v>2.0652173913308754E-4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input_403100!A$2</f>
        <v>403100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IFERROR(VLOOKUP(B253,input_403100!L:R,7,FALSE),VLOOKUP(tables_403100!C253,input_403100!A:H,8,FALSE))</f>
        <v>440</v>
      </c>
      <c r="P253" s="46">
        <f t="shared" ca="1" si="10"/>
        <v>1.0869565217530923E-5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input_403100!A$2</f>
        <v>403100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IFERROR(VLOOKUP(B254,input_403100!L:R,7,FALSE),VLOOKUP(tables_403100!C254,input_403100!A:H,8,FALSE))</f>
        <v>8360</v>
      </c>
      <c r="P254" s="46">
        <f t="shared" ca="1" si="10"/>
        <v>2.0652173913308754E-4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input_403100!A$2</f>
        <v>403100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IFERROR(VLOOKUP(B255,input_403100!L:R,7,FALSE),VLOOKUP(tables_403100!C255,input_403100!A:H,8,FALSE))</f>
        <v>440</v>
      </c>
      <c r="P255" s="46">
        <f t="shared" ca="1" si="10"/>
        <v>1.0869565217530923E-5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input_403100!A$2</f>
        <v>403100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IFERROR(VLOOKUP(B256,input_403100!L:R,7,FALSE),VLOOKUP(tables_403100!C256,input_403100!A:H,8,FALSE))</f>
        <v>415150</v>
      </c>
      <c r="P256" s="46">
        <f t="shared" ca="1" si="10"/>
        <v>1.0255681818313551E-2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input_403100!A$2</f>
        <v>403100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IFERROR(VLOOKUP(B257,input_403100!L:R,7,FALSE),VLOOKUP(tables_403100!C257,input_403100!A:H,8,FALSE))</f>
        <v>21850</v>
      </c>
      <c r="P257" s="46">
        <f t="shared" ca="1" si="10"/>
        <v>5.3977272727966064E-4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input_403100!A$2</f>
        <v>403100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IFERROR(VLOOKUP(B258,input_403100!L:R,7,FALSE),VLOOKUP(tables_403100!C258,input_403100!A:H,8,FALSE))</f>
        <v>415150</v>
      </c>
      <c r="P258" s="46">
        <f t="shared" ref="P258:P294" ca="1" si="13">O258/SUM(O:O)</f>
        <v>1.0255681818313551E-2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input_403100!A$2</f>
        <v>403100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IFERROR(VLOOKUP(B259,input_403100!L:R,7,FALSE),VLOOKUP(tables_403100!C259,input_403100!A:H,8,FALSE))</f>
        <v>21850</v>
      </c>
      <c r="P259" s="46">
        <f t="shared" ca="1" si="13"/>
        <v>5.3977272727966064E-4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input_403100!A$2</f>
        <v>403100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IFERROR(VLOOKUP(B260,input_403100!L:R,7,FALSE),VLOOKUP(tables_403100!C260,input_403100!A:H,8,FALSE))</f>
        <v>8800</v>
      </c>
      <c r="P260" s="46">
        <f t="shared" ca="1" si="13"/>
        <v>2.1739130435061846E-4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input_403100!A$2</f>
        <v>403100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IFERROR(VLOOKUP(B261,input_403100!L:R,7,FALSE),VLOOKUP(tables_403100!C261,input_403100!A:H,8,FALSE))</f>
        <v>8800</v>
      </c>
      <c r="P261" s="46">
        <f t="shared" ca="1" si="13"/>
        <v>2.1739130435061846E-4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input_403100!A$2</f>
        <v>403100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IFERROR(VLOOKUP(B262,input_403100!L:R,7,FALSE),VLOOKUP(tables_403100!C262,input_403100!A:H,8,FALSE))</f>
        <v>8360</v>
      </c>
      <c r="P262" s="46">
        <f t="shared" ca="1" si="13"/>
        <v>2.0652173913308754E-4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input_403100!A$2</f>
        <v>403100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IFERROR(VLOOKUP(B263,input_403100!L:R,7,FALSE),VLOOKUP(tables_403100!C263,input_403100!A:H,8,FALSE))</f>
        <v>440</v>
      </c>
      <c r="P263" s="46">
        <f t="shared" ca="1" si="13"/>
        <v>1.0869565217530923E-5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input_403100!A$2</f>
        <v>403100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IFERROR(VLOOKUP(B264,input_403100!L:R,7,FALSE),VLOOKUP(tables_403100!C264,input_403100!A:H,8,FALSE))</f>
        <v>8360</v>
      </c>
      <c r="P264" s="46">
        <f t="shared" ca="1" si="13"/>
        <v>2.0652173913308754E-4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input_403100!A$2</f>
        <v>403100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IFERROR(VLOOKUP(B265,input_403100!L:R,7,FALSE),VLOOKUP(tables_403100!C265,input_403100!A:H,8,FALSE))</f>
        <v>440</v>
      </c>
      <c r="P265" s="46">
        <f t="shared" ca="1" si="13"/>
        <v>1.0869565217530923E-5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input_403100!A$2</f>
        <v>403100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IFERROR(VLOOKUP(B266,input_403100!L:R,7,FALSE),VLOOKUP(tables_403100!C266,input_403100!A:H,8,FALSE))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input_403100!A$2</f>
        <v>403100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IFERROR(VLOOKUP(B267,input_403100!L:R,7,FALSE),VLOOKUP(tables_403100!C267,input_403100!A:H,8,FALSE))</f>
        <v>409961.53846000001</v>
      </c>
      <c r="P267" s="46">
        <f t="shared" ca="1" si="13"/>
        <v>1.0127508361296094E-2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input_403100!A$2</f>
        <v>403100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IFERROR(VLOOKUP(B268,input_403100!L:R,7,FALSE),VLOOKUP(tables_403100!C268,input_403100!A:H,8,FALSE))</f>
        <v>27038.46153</v>
      </c>
      <c r="P268" s="46">
        <f t="shared" ca="1" si="13"/>
        <v>6.679461840500817E-4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input_403100!A$2</f>
        <v>403100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IFERROR(VLOOKUP(B269,input_403100!L:R,7,FALSE),VLOOKUP(tables_403100!C269,input_403100!A:H,8,FALSE))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input_403100!A$2</f>
        <v>403100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IFERROR(VLOOKUP(B270,input_403100!L:R,7,FALSE),VLOOKUP(tables_403100!C270,input_403100!A:H,8,FALSE))</f>
        <v>409961.53846000001</v>
      </c>
      <c r="P270" s="46">
        <f t="shared" ca="1" si="13"/>
        <v>1.0127508361296094E-2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input_403100!A$2</f>
        <v>403100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IFERROR(VLOOKUP(B271,input_403100!L:R,7,FALSE),VLOOKUP(tables_403100!C271,input_403100!A:H,8,FALSE))</f>
        <v>27038.46153</v>
      </c>
      <c r="P271" s="46">
        <f t="shared" ca="1" si="13"/>
        <v>6.679461840500817E-4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input_403100!A$2</f>
        <v>403100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IFERROR(VLOOKUP(B272,input_403100!L:R,7,FALSE),VLOOKUP(tables_403100!C272,input_403100!A:H,8,FALSE))</f>
        <v>8800</v>
      </c>
      <c r="P272" s="46">
        <f t="shared" ca="1" si="13"/>
        <v>2.1739130435061846E-4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input_403100!A$2</f>
        <v>403100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IFERROR(VLOOKUP(B273,input_403100!L:R,7,FALSE),VLOOKUP(tables_403100!C273,input_403100!A:H,8,FALSE))</f>
        <v>8800</v>
      </c>
      <c r="P273" s="46">
        <f t="shared" ca="1" si="13"/>
        <v>2.1739130435061846E-4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input_403100!A$2</f>
        <v>403100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IFERROR(VLOOKUP(B274,input_403100!L:R,7,FALSE),VLOOKUP(tables_403100!C274,input_403100!A:H,8,FALSE))</f>
        <v>415150</v>
      </c>
      <c r="P274" s="46">
        <f t="shared" ca="1" si="13"/>
        <v>1.0255681818313551E-2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input_403100!A$2</f>
        <v>403100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IFERROR(VLOOKUP(B275,input_403100!L:R,7,FALSE),VLOOKUP(tables_403100!C275,input_403100!A:H,8,FALSE))</f>
        <v>21850</v>
      </c>
      <c r="P275" s="46">
        <f t="shared" ca="1" si="13"/>
        <v>5.3977272727966064E-4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input_403100!A$2</f>
        <v>403100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IFERROR(VLOOKUP(B276,input_403100!L:R,7,FALSE),VLOOKUP(tables_403100!C276,input_403100!A:H,8,FALSE))</f>
        <v>415150</v>
      </c>
      <c r="P276" s="46">
        <f t="shared" ca="1" si="13"/>
        <v>1.0255681818313551E-2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input_403100!A$2</f>
        <v>403100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IFERROR(VLOOKUP(B277,input_403100!L:R,7,FALSE),VLOOKUP(tables_403100!C277,input_403100!A:H,8,FALSE))</f>
        <v>21850</v>
      </c>
      <c r="P277" s="46">
        <f t="shared" ca="1" si="13"/>
        <v>5.3977272727966064E-4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input_403100!A$2</f>
        <v>403100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IFERROR(VLOOKUP(B278,input_403100!L:R,7,FALSE),VLOOKUP(tables_403100!C278,input_403100!A:H,8,FALSE))</f>
        <v>415150</v>
      </c>
      <c r="P278" s="46">
        <f t="shared" ca="1" si="13"/>
        <v>1.0255681818313551E-2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input_403100!A$2</f>
        <v>403100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IFERROR(VLOOKUP(B279,input_403100!L:R,7,FALSE),VLOOKUP(tables_403100!C279,input_403100!A:H,8,FALSE))</f>
        <v>21850</v>
      </c>
      <c r="P279" s="46">
        <f t="shared" ca="1" si="13"/>
        <v>5.3977272727966064E-4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input_403100!A$2</f>
        <v>403100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IFERROR(VLOOKUP(B280,input_403100!L:R,7,FALSE),VLOOKUP(tables_403100!C280,input_403100!A:H,8,FALSE))</f>
        <v>415150</v>
      </c>
      <c r="P280" s="46">
        <f t="shared" ca="1" si="13"/>
        <v>1.0255681818313551E-2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input_403100!A$2</f>
        <v>403100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IFERROR(VLOOKUP(B281,input_403100!L:R,7,FALSE),VLOOKUP(tables_403100!C281,input_403100!A:H,8,FALSE))</f>
        <v>21850</v>
      </c>
      <c r="P281" s="46">
        <f t="shared" ca="1" si="13"/>
        <v>5.3977272727966064E-4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input_403100!A$2</f>
        <v>403100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IFERROR(VLOOKUP(B282,input_403100!L:R,7,FALSE),VLOOKUP(tables_403100!C282,input_403100!A:H,8,FALSE))</f>
        <v>8800</v>
      </c>
      <c r="P282" s="46">
        <f t="shared" ca="1" si="13"/>
        <v>2.1739130435061846E-4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input_403100!A$2</f>
        <v>403100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IFERROR(VLOOKUP(B283,input_403100!L:R,7,FALSE),VLOOKUP(tables_403100!C283,input_403100!A:H,8,FALSE))</f>
        <v>8800</v>
      </c>
      <c r="P283" s="46">
        <f t="shared" ca="1" si="13"/>
        <v>2.1739130435061846E-4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input_403100!A$2</f>
        <v>403100</v>
      </c>
      <c r="B284" s="91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IFERROR(VLOOKUP(B284,input_403100!L:R,7,FALSE),VLOOKUP(tables_403100!C284,input_403100!A:H,8,FALSE))</f>
        <v>8800</v>
      </c>
      <c r="P284" s="46">
        <f t="shared" ca="1" si="13"/>
        <v>2.1739130435061846E-4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input_403100!A$2</f>
        <v>403100</v>
      </c>
      <c r="B285" s="91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IFERROR(VLOOKUP(B285,input_403100!L:R,7,FALSE),VLOOKUP(tables_403100!C285,input_403100!A:H,8,FALSE))</f>
        <v>8800</v>
      </c>
      <c r="P285" s="46">
        <f t="shared" ca="1" si="13"/>
        <v>2.1739130435061846E-4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input_403100!A$2</f>
        <v>403100</v>
      </c>
      <c r="B286" s="91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IFERROR(VLOOKUP(B286,input_403100!L:R,7,FALSE),VLOOKUP(tables_403100!C286,input_403100!A:H,8,FALSE))</f>
        <v>415150</v>
      </c>
      <c r="P286" s="46">
        <f t="shared" ca="1" si="13"/>
        <v>1.0255681818313551E-2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input_403100!A$2</f>
        <v>403100</v>
      </c>
      <c r="B287" s="91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IFERROR(VLOOKUP(B287,input_403100!L:R,7,FALSE),VLOOKUP(tables_403100!C287,input_403100!A:H,8,FALSE))</f>
        <v>21850</v>
      </c>
      <c r="P287" s="46">
        <f t="shared" ca="1" si="13"/>
        <v>5.3977272727966064E-4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input_403100!A$2</f>
        <v>403100</v>
      </c>
      <c r="B288" s="91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IFERROR(VLOOKUP(B288,input_403100!L:R,7,FALSE),VLOOKUP(tables_403100!C288,input_403100!A:H,8,FALSE))</f>
        <v>415150</v>
      </c>
      <c r="P288" s="46">
        <f t="shared" ca="1" si="13"/>
        <v>1.0255681818313551E-2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input_403100!A$2</f>
        <v>403100</v>
      </c>
      <c r="B289" s="91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IFERROR(VLOOKUP(B289,input_403100!L:R,7,FALSE),VLOOKUP(tables_403100!C289,input_403100!A:H,8,FALSE))</f>
        <v>21850</v>
      </c>
      <c r="P289" s="46">
        <f t="shared" ca="1" si="13"/>
        <v>5.3977272727966064E-4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input_403100!A$2</f>
        <v>403100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IFERROR(VLOOKUP(B290,input_403100!L:R,7,FALSE),VLOOKUP(tables_403100!C290,input_403100!A:H,8,FALSE))</f>
        <v>8800</v>
      </c>
      <c r="P290" s="46">
        <f t="shared" ca="1" si="13"/>
        <v>2.1739130435061846E-4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input_403100!A$2</f>
        <v>403100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IFERROR(VLOOKUP(B291,input_403100!L:R,7,FALSE),VLOOKUP(tables_403100!C291,input_403100!A:H,8,FALSE))</f>
        <v>415150</v>
      </c>
      <c r="P291" s="46">
        <f t="shared" ca="1" si="13"/>
        <v>1.0255681818313551E-2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input_403100!A$2</f>
        <v>403100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IFERROR(VLOOKUP(B292,input_403100!L:R,7,FALSE),VLOOKUP(tables_403100!C292,input_403100!A:H,8,FALSE))</f>
        <v>21850</v>
      </c>
      <c r="P292" s="46">
        <f t="shared" ca="1" si="13"/>
        <v>5.3977272727966064E-4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input_403100!A$2</f>
        <v>403100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IFERROR(VLOOKUP(B293,input_403100!L:R,7,FALSE),VLOOKUP(tables_403100!C293,input_403100!A:H,8,FALSE))</f>
        <v>8800</v>
      </c>
      <c r="P293" s="46">
        <f t="shared" ca="1" si="13"/>
        <v>2.1739130435061846E-4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input_403100!A$2</f>
        <v>403100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IFERROR(VLOOKUP(B294,input_403100!L:R,7,FALSE),VLOOKUP(tables_403100!C294,input_403100!A:H,8,FALSE))</f>
        <v>8800</v>
      </c>
      <c r="P294" s="46">
        <f t="shared" ca="1" si="13"/>
        <v>2.1739130435061846E-4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input_403100!A$2</f>
        <v>403100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IFERROR(VLOOKUP(B295,input_403100!L:R,7,FALSE),VLOOKUP(tables_403100!C295,input_403100!A:H,8,FALSE))</f>
        <v>8800</v>
      </c>
      <c r="P295" s="46">
        <f t="shared" ref="P295:P299" ca="1" si="20">O295/SUM(O:O)</f>
        <v>2.1739130435061846E-4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input_403100!A$2</f>
        <v>403100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IFERROR(VLOOKUP(B296,input_403100!L:R,7,FALSE),VLOOKUP(tables_403100!C296,input_403100!A:H,8,FALSE))</f>
        <v>8800</v>
      </c>
      <c r="P296" s="46">
        <f t="shared" ca="1" si="20"/>
        <v>2.1739130435061846E-4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input_403100!A$2</f>
        <v>403100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IFERROR(VLOOKUP(B297,input_403100!L:R,7,FALSE),VLOOKUP(tables_403100!C297,input_403100!A:H,8,FALSE))</f>
        <v>415150</v>
      </c>
      <c r="P297" s="46">
        <f t="shared" ca="1" si="20"/>
        <v>1.0255681818313551E-2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input_403100!A$2</f>
        <v>403100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IFERROR(VLOOKUP(B298,input_403100!L:R,7,FALSE),VLOOKUP(tables_403100!C298,input_403100!A:H,8,FALSE))</f>
        <v>21850</v>
      </c>
      <c r="P298" s="46">
        <f t="shared" ca="1" si="20"/>
        <v>5.3977272727966064E-4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input_403100!A$2</f>
        <v>403100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IFERROR(VLOOKUP(B299,input_403100!L:R,7,FALSE),VLOOKUP(tables_403100!C299,input_403100!A:H,8,FALSE))</f>
        <v>8800</v>
      </c>
      <c r="P299" s="46">
        <f t="shared" ca="1" si="20"/>
        <v>2.1739130435061846E-4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input_403100!A$2</f>
        <v>403100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IFERROR(VLOOKUP(B300,input_403100!L:R,7,FALSE),VLOOKUP(tables_403100!C300,input_403100!A:H,8,FALSE))</f>
        <v>415150</v>
      </c>
      <c r="P300" s="46">
        <f t="shared" ref="P300:P304" ca="1" si="22">O300/SUM(O:O)</f>
        <v>1.0255681818313551E-2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input_403100!A$2</f>
        <v>403100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IFERROR(VLOOKUP(B301,input_403100!L:R,7,FALSE),VLOOKUP(tables_403100!C301,input_403100!A:H,8,FALSE))</f>
        <v>21850</v>
      </c>
      <c r="P301" s="46">
        <f t="shared" ca="1" si="22"/>
        <v>5.3977272727966064E-4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input_403100!A$2</f>
        <v>403100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IFERROR(VLOOKUP(B302,input_403100!L:R,7,FALSE),VLOOKUP(tables_403100!C302,input_403100!A:H,8,FALSE))</f>
        <v>8800</v>
      </c>
      <c r="P302" s="46">
        <f t="shared" ca="1" si="22"/>
        <v>2.1739130435061846E-4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input_403100!A$2</f>
        <v>403100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IFERROR(VLOOKUP(B303,input_403100!L:R,7,FALSE),VLOOKUP(tables_403100!C303,input_403100!A:H,8,FALSE))</f>
        <v>8800</v>
      </c>
      <c r="P303" s="46">
        <f t="shared" ca="1" si="22"/>
        <v>2.1739130435061846E-4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input_403100!A$2</f>
        <v>403100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IFERROR(VLOOKUP(B304,input_403100!L:R,7,FALSE),VLOOKUP(tables_403100!C304,input_403100!A:H,8,FALSE))</f>
        <v>8800</v>
      </c>
      <c r="P304" s="46">
        <f t="shared" ca="1" si="22"/>
        <v>2.1739130435061846E-4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input_403100!A$2</f>
        <v>403100</v>
      </c>
      <c r="B305" s="5">
        <v>1067</v>
      </c>
      <c r="C305" s="7" t="str">
        <f t="shared" ref="C305:C308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IFERROR(VLOOKUP(B305,input_403100!L:R,7,FALSE),VLOOKUP(tables_403100!C305,input_403100!A:H,8,FALSE))</f>
        <v>415150</v>
      </c>
      <c r="P305" s="46">
        <f t="shared" ref="P305:P308" ca="1" si="24">O305/SUM(O:O)</f>
        <v>1.0255681818313551E-2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input_403100!A$2</f>
        <v>403100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IFERROR(VLOOKUP(B306,input_403100!L:R,7,FALSE),VLOOKUP(tables_403100!C306,input_403100!A:H,8,FALSE))</f>
        <v>21850</v>
      </c>
      <c r="P306" s="46">
        <f t="shared" ca="1" si="24"/>
        <v>5.3977272727966064E-4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input_403100!A$2</f>
        <v>403100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IFERROR(VLOOKUP(B307,input_403100!L:R,7,FALSE),VLOOKUP(tables_403100!C307,input_403100!A:H,8,FALSE))</f>
        <v>8800</v>
      </c>
      <c r="P307" s="46">
        <f t="shared" ca="1" si="24"/>
        <v>2.1739130435061846E-4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input_403100!A$2</f>
        <v>403100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IFERROR(VLOOKUP(B308,input_403100!L:R,7,FALSE),VLOOKUP(tables_403100!C308,input_403100!A:H,8,FALSE))</f>
        <v>8800</v>
      </c>
      <c r="P308" s="46">
        <f t="shared" ca="1" si="24"/>
        <v>2.1739130435061846E-4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input_403100!A$2</f>
        <v>403100</v>
      </c>
      <c r="B309" s="5">
        <v>1074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IFERROR(VLOOKUP(B309,input_403100!L:R,7,FALSE),VLOOKUP(tables_403100!C309,input_403100!A:H,8,FALSE))</f>
        <v>8800</v>
      </c>
      <c r="P309" s="46">
        <f t="shared" ref="P309" ca="1" si="26">O309/SUM(O:O)</f>
        <v>2.1739130435061846E-4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B1:C3"/>
  <sheetViews>
    <sheetView workbookViewId="0">
      <selection activeCell="E8" sqref="E8"/>
    </sheetView>
  </sheetViews>
  <sheetFormatPr baseColWidth="12" defaultRowHeight="14" x14ac:dyDescent="0.15"/>
  <cols>
    <col min="2" max="2" width="16" bestFit="1" customWidth="1"/>
  </cols>
  <sheetData>
    <row r="1" spans="2:3" x14ac:dyDescent="0.15">
      <c r="B1" t="s">
        <v>250</v>
      </c>
    </row>
    <row r="2" spans="2:3" x14ac:dyDescent="0.15">
      <c r="B2" s="99" t="s">
        <v>251</v>
      </c>
      <c r="C2" t="str">
        <f ca="1">input_403010!A2</f>
        <v>403010</v>
      </c>
    </row>
    <row r="3" spans="2:3" x14ac:dyDescent="0.15">
      <c r="B3" s="99"/>
      <c r="C3" t="str">
        <f ca="1">input_403100!A2</f>
        <v>403100</v>
      </c>
    </row>
  </sheetData>
  <mergeCells count="1">
    <mergeCell ref="B2:B3"/>
  </mergeCells>
  <phoneticPr fontId="21"/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input_403010</vt:lpstr>
      <vt:lpstr>tables_403010</vt:lpstr>
      <vt:lpstr>input_403100</vt:lpstr>
      <vt:lpstr>tables_403100</vt:lpstr>
      <vt:lpstr>gacha_bonus_tables</vt:lpstr>
      <vt:lpstr>R6追加前</vt:lpstr>
      <vt:lpstr>R6開放</vt:lpstr>
      <vt:lpstr>check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2016-09-13T07:17:05Z</dcterms:modified>
</cp:coreProperties>
</file>