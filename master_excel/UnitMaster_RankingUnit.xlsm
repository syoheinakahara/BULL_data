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80" yWindow="460" windowWidth="28720" windowHeight="162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6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チェックシート" sheetId="55" r:id="rId14"/>
  </sheets>
  <externalReferences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14" i="23"/>
  <c r="BR14" i="23"/>
  <c r="H15" i="23"/>
  <c r="BR15" i="23"/>
  <c r="H16" i="23"/>
  <c r="BR16" i="23"/>
  <c r="H17" i="23"/>
  <c r="BR17" i="23"/>
  <c r="H18" i="23"/>
  <c r="BR18" i="23"/>
  <c r="H19" i="23"/>
  <c r="BR19" i="23"/>
  <c r="H20" i="23"/>
  <c r="BR20" i="23"/>
  <c r="H21" i="23"/>
  <c r="BR21" i="23"/>
  <c r="H2" i="23"/>
  <c r="BR2" i="23"/>
  <c r="B21" i="23"/>
  <c r="C21" i="23"/>
  <c r="D21" i="23"/>
  <c r="E21" i="23"/>
  <c r="F21" i="23"/>
  <c r="G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F21" i="23"/>
  <c r="AG21" i="23"/>
  <c r="AH21" i="23"/>
  <c r="AI21" i="23"/>
  <c r="AK21" i="23"/>
  <c r="AL21" i="23"/>
  <c r="AM21" i="23"/>
  <c r="AN21" i="23"/>
  <c r="J2" i="52"/>
  <c r="C2" i="52"/>
  <c r="AQ21" i="23"/>
  <c r="AR21" i="23"/>
  <c r="AS21" i="23"/>
  <c r="G2" i="53"/>
  <c r="C2" i="53"/>
  <c r="AU21" i="23"/>
  <c r="AV21" i="23"/>
  <c r="AW21" i="23"/>
  <c r="AX21" i="23"/>
  <c r="BC21" i="23"/>
  <c r="BD21" i="23"/>
  <c r="BE21" i="23"/>
  <c r="BF21" i="23"/>
  <c r="BK21" i="23"/>
  <c r="BG21" i="23"/>
  <c r="BL21" i="23"/>
  <c r="BH21" i="23"/>
  <c r="BM21" i="23"/>
  <c r="BI21" i="23"/>
  <c r="BN21" i="23"/>
  <c r="BJ21" i="23"/>
  <c r="B12" i="23"/>
  <c r="C12" i="23"/>
  <c r="D12" i="23"/>
  <c r="E12" i="23"/>
  <c r="F12" i="23"/>
  <c r="G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C12" i="23"/>
  <c r="BD12" i="23"/>
  <c r="BE12" i="23"/>
  <c r="BF12" i="23"/>
  <c r="BK12" i="23"/>
  <c r="BG12" i="23"/>
  <c r="BL12" i="23"/>
  <c r="BH12" i="23"/>
  <c r="BM12" i="23"/>
  <c r="BI12" i="23"/>
  <c r="BN12" i="23"/>
  <c r="BJ12" i="23"/>
  <c r="B13" i="23"/>
  <c r="C13" i="23"/>
  <c r="D13" i="23"/>
  <c r="E13" i="23"/>
  <c r="F13" i="23"/>
  <c r="G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C13" i="23"/>
  <c r="BD13" i="23"/>
  <c r="BE13" i="23"/>
  <c r="BF13" i="23"/>
  <c r="BK13" i="23"/>
  <c r="BG13" i="23"/>
  <c r="BL13" i="23"/>
  <c r="BH13" i="23"/>
  <c r="BM13" i="23"/>
  <c r="BI13" i="23"/>
  <c r="BN13" i="23"/>
  <c r="BJ13" i="23"/>
  <c r="B14" i="23"/>
  <c r="C14" i="23"/>
  <c r="D14" i="23"/>
  <c r="E14" i="23"/>
  <c r="F14" i="23"/>
  <c r="G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F14" i="23"/>
  <c r="AG14" i="23"/>
  <c r="AH14" i="23"/>
  <c r="AI14" i="23"/>
  <c r="AK14" i="23"/>
  <c r="AL14" i="23"/>
  <c r="AM14" i="23"/>
  <c r="AN14" i="23"/>
  <c r="AQ14" i="23"/>
  <c r="AR14" i="23"/>
  <c r="AS14" i="23"/>
  <c r="AU14" i="23"/>
  <c r="AV14" i="23"/>
  <c r="AW14" i="23"/>
  <c r="AX14" i="23"/>
  <c r="BC14" i="23"/>
  <c r="BD14" i="23"/>
  <c r="BE14" i="23"/>
  <c r="BF14" i="23"/>
  <c r="BK14" i="23"/>
  <c r="BG14" i="23"/>
  <c r="BL14" i="23"/>
  <c r="BH14" i="23"/>
  <c r="BM14" i="23"/>
  <c r="BI14" i="23"/>
  <c r="BN14" i="23"/>
  <c r="BJ14" i="23"/>
  <c r="B15" i="23"/>
  <c r="C15" i="23"/>
  <c r="D15" i="23"/>
  <c r="E15" i="23"/>
  <c r="F15" i="23"/>
  <c r="G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F15" i="23"/>
  <c r="AG15" i="23"/>
  <c r="AH15" i="23"/>
  <c r="AI15" i="23"/>
  <c r="AK15" i="23"/>
  <c r="AL15" i="23"/>
  <c r="AM15" i="23"/>
  <c r="AN15" i="23"/>
  <c r="AQ15" i="23"/>
  <c r="AR15" i="23"/>
  <c r="AS15" i="23"/>
  <c r="AU15" i="23"/>
  <c r="AV15" i="23"/>
  <c r="AW15" i="23"/>
  <c r="AX15" i="23"/>
  <c r="BC15" i="23"/>
  <c r="BD15" i="23"/>
  <c r="BE15" i="23"/>
  <c r="BF15" i="23"/>
  <c r="BK15" i="23"/>
  <c r="BG15" i="23"/>
  <c r="BL15" i="23"/>
  <c r="BH15" i="23"/>
  <c r="BM15" i="23"/>
  <c r="BI15" i="23"/>
  <c r="BN15" i="23"/>
  <c r="BJ15" i="23"/>
  <c r="B16" i="23"/>
  <c r="C16" i="23"/>
  <c r="D16" i="23"/>
  <c r="E16" i="23"/>
  <c r="F16" i="23"/>
  <c r="G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F16" i="23"/>
  <c r="AG16" i="23"/>
  <c r="AH16" i="23"/>
  <c r="AI16" i="23"/>
  <c r="AK16" i="23"/>
  <c r="AL16" i="23"/>
  <c r="AM16" i="23"/>
  <c r="AN16" i="23"/>
  <c r="AQ16" i="23"/>
  <c r="AR16" i="23"/>
  <c r="AS16" i="23"/>
  <c r="AU16" i="23"/>
  <c r="AV16" i="23"/>
  <c r="AW16" i="23"/>
  <c r="AX16" i="23"/>
  <c r="BC16" i="23"/>
  <c r="BD16" i="23"/>
  <c r="BE16" i="23"/>
  <c r="BF16" i="23"/>
  <c r="BK16" i="23"/>
  <c r="BG16" i="23"/>
  <c r="BL16" i="23"/>
  <c r="BH16" i="23"/>
  <c r="BM16" i="23"/>
  <c r="BI16" i="23"/>
  <c r="BN16" i="23"/>
  <c r="BJ16" i="23"/>
  <c r="B17" i="23"/>
  <c r="C17" i="23"/>
  <c r="D17" i="23"/>
  <c r="E17" i="23"/>
  <c r="F17" i="23"/>
  <c r="G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F17" i="23"/>
  <c r="AG17" i="23"/>
  <c r="AH17" i="23"/>
  <c r="AI17" i="23"/>
  <c r="AK17" i="23"/>
  <c r="AL17" i="23"/>
  <c r="AM17" i="23"/>
  <c r="AN17" i="23"/>
  <c r="AQ17" i="23"/>
  <c r="AR17" i="23"/>
  <c r="AS17" i="23"/>
  <c r="AU17" i="23"/>
  <c r="AV17" i="23"/>
  <c r="AW17" i="23"/>
  <c r="AX17" i="23"/>
  <c r="BC17" i="23"/>
  <c r="BD17" i="23"/>
  <c r="BE17" i="23"/>
  <c r="BF17" i="23"/>
  <c r="BK17" i="23"/>
  <c r="BG17" i="23"/>
  <c r="BL17" i="23"/>
  <c r="BH17" i="23"/>
  <c r="BM17" i="23"/>
  <c r="BI17" i="23"/>
  <c r="BN17" i="23"/>
  <c r="BJ17" i="23"/>
  <c r="B18" i="23"/>
  <c r="C18" i="23"/>
  <c r="D18" i="23"/>
  <c r="E18" i="23"/>
  <c r="F18" i="23"/>
  <c r="G18" i="23"/>
  <c r="I18" i="23"/>
  <c r="J18" i="23"/>
  <c r="K18" i="23"/>
  <c r="L18" i="23"/>
  <c r="M18" i="23"/>
  <c r="G8" i="1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F18" i="23"/>
  <c r="AG18" i="23"/>
  <c r="AH18" i="23"/>
  <c r="AI18" i="23"/>
  <c r="AK18" i="23"/>
  <c r="AL18" i="23"/>
  <c r="AM18" i="23"/>
  <c r="AN18" i="23"/>
  <c r="AQ18" i="23"/>
  <c r="AR18" i="23"/>
  <c r="AS18" i="23"/>
  <c r="AU18" i="23"/>
  <c r="AV18" i="23"/>
  <c r="AW18" i="23"/>
  <c r="AX18" i="23"/>
  <c r="BC18" i="23"/>
  <c r="BD18" i="23"/>
  <c r="BE18" i="23"/>
  <c r="BF18" i="23"/>
  <c r="BK18" i="23"/>
  <c r="BG18" i="23"/>
  <c r="BL18" i="23"/>
  <c r="BH18" i="23"/>
  <c r="BM18" i="23"/>
  <c r="BI18" i="23"/>
  <c r="BN18" i="23"/>
  <c r="BJ18" i="23"/>
  <c r="B19" i="23"/>
  <c r="C19" i="23"/>
  <c r="D19" i="23"/>
  <c r="E19" i="23"/>
  <c r="F19" i="23"/>
  <c r="G19" i="23"/>
  <c r="I19" i="23"/>
  <c r="J19" i="23"/>
  <c r="K19" i="23"/>
  <c r="L19" i="23"/>
  <c r="M19" i="23"/>
  <c r="N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F19" i="23"/>
  <c r="AG19" i="23"/>
  <c r="AH19" i="23"/>
  <c r="AI19" i="23"/>
  <c r="AK19" i="23"/>
  <c r="AL19" i="23"/>
  <c r="AM19" i="23"/>
  <c r="AN19" i="23"/>
  <c r="AQ19" i="23"/>
  <c r="AR19" i="23"/>
  <c r="AS19" i="23"/>
  <c r="AU19" i="23"/>
  <c r="AV19" i="23"/>
  <c r="AW19" i="23"/>
  <c r="AX19" i="23"/>
  <c r="BC19" i="23"/>
  <c r="BD19" i="23"/>
  <c r="BE19" i="23"/>
  <c r="BF19" i="23"/>
  <c r="BK19" i="23"/>
  <c r="BG19" i="23"/>
  <c r="BL19" i="23"/>
  <c r="BH19" i="23"/>
  <c r="BM19" i="23"/>
  <c r="BI19" i="23"/>
  <c r="BN19" i="23"/>
  <c r="BJ19" i="23"/>
  <c r="B20" i="23"/>
  <c r="C20" i="23"/>
  <c r="D20" i="23"/>
  <c r="E20" i="23"/>
  <c r="F20" i="23"/>
  <c r="G20" i="23"/>
  <c r="I20" i="23"/>
  <c r="J20" i="23"/>
  <c r="K20" i="23"/>
  <c r="L20" i="23"/>
  <c r="M20" i="23"/>
  <c r="N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F20" i="23"/>
  <c r="AG20" i="23"/>
  <c r="AH20" i="23"/>
  <c r="AI20" i="23"/>
  <c r="AK20" i="23"/>
  <c r="AL20" i="23"/>
  <c r="AM20" i="23"/>
  <c r="AN20" i="23"/>
  <c r="AQ20" i="23"/>
  <c r="AR20" i="23"/>
  <c r="AS20" i="23"/>
  <c r="AU20" i="23"/>
  <c r="AV20" i="23"/>
  <c r="AW20" i="23"/>
  <c r="AX20" i="23"/>
  <c r="BC20" i="23"/>
  <c r="BD20" i="23"/>
  <c r="BE20" i="23"/>
  <c r="BF20" i="23"/>
  <c r="BK20" i="23"/>
  <c r="BG20" i="23"/>
  <c r="BL20" i="23"/>
  <c r="BH20" i="23"/>
  <c r="BM20" i="23"/>
  <c r="BI20" i="23"/>
  <c r="BN20" i="23"/>
  <c r="BJ20" i="23"/>
  <c r="E10" i="49"/>
  <c r="E9" i="49"/>
  <c r="E8" i="49"/>
  <c r="E7" i="49"/>
  <c r="E6" i="49"/>
  <c r="E5" i="49"/>
  <c r="E4" i="49"/>
  <c r="E3" i="49"/>
  <c r="E2" i="49"/>
  <c r="B4" i="23"/>
  <c r="C4" i="23"/>
  <c r="D4" i="23"/>
  <c r="E4" i="23"/>
  <c r="F4" i="23"/>
  <c r="G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5" i="23"/>
  <c r="C5" i="23"/>
  <c r="D5" i="23"/>
  <c r="E5" i="23"/>
  <c r="F5" i="23"/>
  <c r="G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6" i="23"/>
  <c r="C6" i="23"/>
  <c r="D6" i="23"/>
  <c r="E6" i="23"/>
  <c r="F6" i="23"/>
  <c r="G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7" i="23"/>
  <c r="C7" i="23"/>
  <c r="D7" i="23"/>
  <c r="E7" i="23"/>
  <c r="F7" i="23"/>
  <c r="G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8" i="23"/>
  <c r="C8" i="23"/>
  <c r="D8" i="23"/>
  <c r="E8" i="23"/>
  <c r="F8" i="23"/>
  <c r="G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B9" i="23"/>
  <c r="C9" i="23"/>
  <c r="D9" i="23"/>
  <c r="E9" i="23"/>
  <c r="F9" i="23"/>
  <c r="G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B10" i="23"/>
  <c r="C10" i="23"/>
  <c r="D10" i="23"/>
  <c r="E10" i="23"/>
  <c r="F10" i="23"/>
  <c r="G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G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G3" i="23"/>
  <c r="P3" i="23"/>
  <c r="G2" i="23"/>
  <c r="P2" i="23"/>
  <c r="G10" i="13"/>
  <c r="G9" i="13"/>
  <c r="G4" i="13"/>
  <c r="G3" i="13"/>
  <c r="G2" i="13"/>
  <c r="B2" i="23"/>
  <c r="C2" i="23"/>
  <c r="D2" i="23"/>
  <c r="E2" i="23"/>
  <c r="F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I3" i="23"/>
  <c r="J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D3" i="54"/>
  <c r="D2" i="54"/>
  <c r="E3" i="54"/>
  <c r="B3" i="54"/>
  <c r="E2" i="54"/>
  <c r="B2" i="54"/>
  <c r="E2" i="53"/>
  <c r="H2" i="52"/>
  <c r="E2" i="52"/>
  <c r="G2" i="3"/>
  <c r="C2" i="3"/>
  <c r="E2" i="3"/>
  <c r="D2" i="3"/>
</calcChain>
</file>

<file path=xl/sharedStrings.xml><?xml version="1.0" encoding="utf-8"?>
<sst xmlns="http://schemas.openxmlformats.org/spreadsheetml/2006/main" count="757" uniqueCount="283">
  <si>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</si>
  <si>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</si>
  <si>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</si>
  <si>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</si>
  <si>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</si>
  <si>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</si>
  <si>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</si>
  <si>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</si>
  <si>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</si>
  <si>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</si>
  <si>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</si>
  <si>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</si>
  <si>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</si>
  <si>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</si>
  <si>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</si>
  <si>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</si>
  <si>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</si>
  <si>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</si>
  <si>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</si>
  <si>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</si>
  <si>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</si>
  <si>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</si>
  <si>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</si>
  <si>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</si>
  <si>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</si>
  <si>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</si>
  <si>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</si>
  <si>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</si>
  <si>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</si>
  <si>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</si>
  <si>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</si>
  <si>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</si>
  <si>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</si>
  <si>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</si>
  <si>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</si>
  <si>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</si>
  <si>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</si>
  <si>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</si>
  <si>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</si>
  <si>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</si>
  <si>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</si>
  <si>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</si>
  <si>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</si>
  <si>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</si>
  <si>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</si>
  <si>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</si>
  <si>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</si>
  <si>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</si>
  <si>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</si>
  <si>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</si>
  <si>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</si>
  <si>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</si>
  <si>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</si>
  <si>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</si>
  <si>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</si>
  <si>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</si>
  <si>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</si>
  <si>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</si>
  <si>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</si>
  <si>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</si>
  <si>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</si>
  <si>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</si>
  <si>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</si>
  <si>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</si>
  <si>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</si>
  <si>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</si>
  <si>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</si>
  <si>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</si>
  <si>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</si>
  <si>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</si>
  <si>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</si>
  <si>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</si>
  <si>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</si>
  <si>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</si>
  <si>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</si>
  <si>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</si>
  <si>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</si>
  <si>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</si>
  <si>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</si>
  <si>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</si>
  <si>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</si>
  <si>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</si>
  <si>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</si>
  <si>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</si>
  <si>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</si>
  <si>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</si>
  <si>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</si>
  <si>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</si>
  <si>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</si>
  <si>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</si>
  <si>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</si>
  <si>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</si>
  <si>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</si>
  <si>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</si>
  <si>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</si>
  <si>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</si>
  <si>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</si>
  <si>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</si>
  <si>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</si>
  <si>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</si>
  <si>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</si>
  <si>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</si>
  <si>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</si>
  <si>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</si>
  <si>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</si>
  <si>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</si>
  <si>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</si>
  <si>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</si>
  <si>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</si>
  <si>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</si>
  <si>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</si>
  <si>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</si>
  <si>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</si>
  <si>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</si>
  <si>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</si>
  <si>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</si>
  <si>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</si>
  <si>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</si>
  <si>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</si>
  <si>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</si>
  <si>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</si>
  <si>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</si>
  <si>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</si>
  <si>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</si>
  <si>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</si>
  <si>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</si>
  <si>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</si>
  <si>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</si>
  <si>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</si>
  <si>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</si>
  <si>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</si>
  <si>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</si>
  <si>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</si>
  <si>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</si>
  <si>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</si>
  <si>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</si>
  <si>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</si>
  <si>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</si>
  <si>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</si>
  <si>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</si>
  <si>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</si>
  <si>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</si>
  <si>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</si>
  <si>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</si>
  <si>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</si>
  <si>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</si>
  <si>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</si>
  <si>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</si>
  <si>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</si>
  <si>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</si>
  <si>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</si>
  <si>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</si>
  <si>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</si>
  <si>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</si>
  <si>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</si>
  <si>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</si>
  <si>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</si>
  <si>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</si>
  <si>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</si>
  <si>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</si>
  <si>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</si>
  <si>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</si>
  <si>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</si>
  <si>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</si>
  <si>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</si>
  <si>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</si>
  <si>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</si>
  <si>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</si>
  <si>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</si>
  <si>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</si>
  <si>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</si>
  <si>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</si>
  <si>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</si>
  <si>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</si>
  <si>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</si>
  <si>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</si>
  <si>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</si>
  <si>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</si>
  <si>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</si>
  <si>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</si>
  <si>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</si>
  <si>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</si>
  <si>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</si>
  <si>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</si>
  <si>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</si>
  <si>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</si>
  <si>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</si>
  <si>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3ターンの間体力タイプの攻撃力と防御力を大UP+自身の最大HPで攻撃</t>
    <rPh sb="5" eb="6">
      <t>ア</t>
    </rPh>
    <rPh sb="6" eb="8">
      <t>タイリョk</t>
    </rPh>
    <rPh sb="12" eb="15">
      <t>コウゲk</t>
    </rPh>
    <rPh sb="16" eb="19">
      <t>ボ</t>
    </rPh>
    <rPh sb="20" eb="21">
      <t>ダ</t>
    </rPh>
    <rPh sb="24" eb="26">
      <t>ジシン</t>
    </rPh>
    <rPh sb="27" eb="29">
      <t>サイダイ</t>
    </rPh>
    <rPh sb="32" eb="34">
      <t>コウゲk</t>
    </rPh>
    <phoneticPr fontId="22"/>
  </si>
  <si>
    <t>[effect:enhance_unit, target:unit_hp, turn:4, status:attack, val:0.25, calc:add, animation:enhance_unit_all_attack04],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</si>
  <si>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</si>
  <si>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</si>
  <si>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</si>
  <si>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</si>
  <si>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</si>
  <si>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</si>
  <si>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</si>
  <si>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</si>
  <si>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</si>
  <si>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</si>
  <si>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</si>
  <si>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</si>
  <si>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あああ</t>
    <phoneticPr fontId="22"/>
  </si>
  <si>
    <t>cskill</t>
  </si>
  <si>
    <t>いいい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</si>
  <si>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</si>
  <si>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</si>
  <si>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</si>
  <si>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</si>
  <si>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</si>
  <si>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</si>
  <si>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</si>
  <si>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</si>
  <si>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</si>
  <si>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</si>
  <si>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</si>
  <si>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</si>
  <si>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</si>
  <si>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</si>
  <si>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</si>
  <si>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</si>
  <si>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</si>
  <si>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</si>
  <si>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</si>
  <si>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</si>
  <si>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</si>
  <si>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</si>
  <si>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</si>
  <si>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</si>
  <si>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</si>
  <si>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</si>
  <si>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</si>
  <si>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</si>
  <si>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</si>
  <si>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</si>
  <si>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</si>
  <si>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</si>
  <si>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</si>
  <si>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</si>
  <si>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</si>
  <si>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</si>
  <si>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</si>
  <si>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</si>
  <si>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</si>
  <si>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</si>
  <si>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</si>
  <si>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</si>
  <si>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</si>
  <si>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</si>
  <si>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</si>
  <si>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</si>
  <si>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</si>
  <si>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</si>
  <si>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</si>
  <si>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</si>
  <si>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</si>
  <si>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</si>
  <si>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</si>
  <si>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</si>
  <si>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rankingunit</t>
    <phoneticPr fontId="22"/>
  </si>
  <si>
    <t>old</t>
    <phoneticPr fontId="22"/>
  </si>
  <si>
    <t>skip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</si>
  <si>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</si>
  <si>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</si>
  <si>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</si>
  <si>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</si>
  <si>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</si>
  <si>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</si>
  <si>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</si>
  <si>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</si>
  <si>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</si>
  <si>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</si>
  <si>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</si>
  <si>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</si>
  <si>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</si>
  <si>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</si>
  <si>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</si>
  <si>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</si>
  <si>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</si>
  <si>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</si>
  <si>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</si>
  <si>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</si>
  <si>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</si>
  <si>
    <t>sell_ghosts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</si>
</sst>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7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6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28" fillId="0" borderId="0" xfId="0" applyFont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25" borderId="21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  <xf numFmtId="0" fontId="0" fillId="15" borderId="4" xfId="0" applyFill="1" applyBorder="1"/>
  </cellXfs>
  <cellStyles count="457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赤字強調" xfId="4"/>
    <cellStyle name="青字強調" xfId="3"/>
  </cellStyles>
  <dxfs count="2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P13" sqref="P13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3" x14ac:dyDescent="0.15">
      <c r="A2" s="109" t="s">
        <v>259</v>
      </c>
      <c r="B2" s="109" t="s">
        <v>129</v>
      </c>
      <c r="C2" s="168" t="s">
        <v>258</v>
      </c>
      <c r="D2" s="109" t="s">
        <v>128</v>
      </c>
      <c r="E2" s="108" t="str">
        <f t="shared" ref="E2:E10" si="0">B2&amp;C2&amp;D2</f>
        <v>units_rankingunit.tmp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282</v>
      </c>
      <c r="S2" s="109"/>
      <c r="T2" s="109"/>
      <c r="U2" s="109"/>
      <c r="V2" s="109"/>
      <c r="W2" s="109"/>
    </row>
    <row r="3" spans="1:23" x14ac:dyDescent="0.15">
      <c r="A3" s="109" t="s">
        <v>184</v>
      </c>
      <c r="B3" s="109" t="s">
        <v>130</v>
      </c>
      <c r="C3" s="168" t="s">
        <v>258</v>
      </c>
      <c r="D3" s="109" t="s">
        <v>128</v>
      </c>
      <c r="E3" s="108" t="str">
        <f t="shared" si="0"/>
        <v>awake_materials_rankingunit.tmp</v>
      </c>
      <c r="F3" s="109" t="s">
        <v>123</v>
      </c>
      <c r="G3" s="110" t="s">
        <v>38</v>
      </c>
      <c r="H3" s="111" t="s">
        <v>36</v>
      </c>
      <c r="I3" s="111" t="s">
        <v>37</v>
      </c>
      <c r="J3" s="113" t="s">
        <v>126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3" x14ac:dyDescent="0.15">
      <c r="A4" s="109" t="s">
        <v>260</v>
      </c>
      <c r="B4" s="109" t="s">
        <v>131</v>
      </c>
      <c r="C4" s="168" t="s">
        <v>258</v>
      </c>
      <c r="D4" s="109" t="s">
        <v>132</v>
      </c>
      <c r="E4" s="108" t="str">
        <f t="shared" si="0"/>
        <v>unit_levels_calc_rankingunit.tmp</v>
      </c>
      <c r="F4" s="109" t="s">
        <v>122</v>
      </c>
      <c r="G4" s="59" t="s">
        <v>17</v>
      </c>
      <c r="H4" s="60" t="s">
        <v>2</v>
      </c>
      <c r="I4" s="61" t="s">
        <v>79</v>
      </c>
      <c r="J4" s="61" t="s">
        <v>80</v>
      </c>
      <c r="K4" s="61" t="s">
        <v>81</v>
      </c>
      <c r="L4" s="61" t="s">
        <v>82</v>
      </c>
      <c r="M4" s="61" t="s">
        <v>87</v>
      </c>
      <c r="N4" s="61" t="s">
        <v>88</v>
      </c>
      <c r="O4" s="61" t="s">
        <v>89</v>
      </c>
      <c r="P4" s="61" t="s">
        <v>90</v>
      </c>
      <c r="Q4" s="61" t="s">
        <v>91</v>
      </c>
      <c r="R4" s="61" t="s">
        <v>94</v>
      </c>
      <c r="S4" s="61" t="s">
        <v>92</v>
      </c>
      <c r="T4" s="61" t="s">
        <v>93</v>
      </c>
      <c r="U4" s="61" t="s">
        <v>83</v>
      </c>
      <c r="V4" s="61" t="s">
        <v>84</v>
      </c>
      <c r="W4" s="61" t="s">
        <v>85</v>
      </c>
    </row>
    <row r="5" spans="1:23" x14ac:dyDescent="0.15">
      <c r="A5" s="109" t="s">
        <v>184</v>
      </c>
      <c r="B5" s="109" t="s">
        <v>143</v>
      </c>
      <c r="C5" s="168" t="s">
        <v>258</v>
      </c>
      <c r="D5" s="109" t="s">
        <v>144</v>
      </c>
      <c r="E5" s="108" t="str">
        <f t="shared" si="0"/>
        <v>unit_skills_data_rankingunit.tmp</v>
      </c>
      <c r="F5" s="109" t="s">
        <v>145</v>
      </c>
      <c r="G5" s="118" t="s">
        <v>20</v>
      </c>
      <c r="H5" s="118" t="s">
        <v>146</v>
      </c>
      <c r="I5" s="118" t="s">
        <v>2</v>
      </c>
      <c r="J5" s="118" t="s">
        <v>147</v>
      </c>
      <c r="K5" s="118" t="s">
        <v>148</v>
      </c>
      <c r="L5" s="118" t="s">
        <v>4</v>
      </c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x14ac:dyDescent="0.15">
      <c r="A6" s="109" t="s">
        <v>184</v>
      </c>
      <c r="B6" s="109" t="s">
        <v>149</v>
      </c>
      <c r="C6" s="168" t="s">
        <v>258</v>
      </c>
      <c r="D6" s="109" t="s">
        <v>128</v>
      </c>
      <c r="E6" s="108" t="str">
        <f t="shared" si="0"/>
        <v>unit_skills_i18n_rankingunit.tmp</v>
      </c>
      <c r="F6" s="109" t="s">
        <v>145</v>
      </c>
      <c r="G6" s="118" t="s">
        <v>150</v>
      </c>
      <c r="H6" s="118" t="s">
        <v>134</v>
      </c>
      <c r="I6" s="118" t="s">
        <v>151</v>
      </c>
      <c r="J6" s="118" t="s">
        <v>152</v>
      </c>
      <c r="K6" s="112"/>
      <c r="L6" s="112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</row>
    <row r="7" spans="1:23" x14ac:dyDescent="0.15">
      <c r="A7" s="109" t="s">
        <v>184</v>
      </c>
      <c r="B7" s="109" t="s">
        <v>153</v>
      </c>
      <c r="C7" s="168" t="s">
        <v>258</v>
      </c>
      <c r="D7" s="109" t="s">
        <v>154</v>
      </c>
      <c r="E7" s="108" t="str">
        <f t="shared" si="0"/>
        <v>crash_skills_data_rankingunit.tmp</v>
      </c>
      <c r="F7" s="109" t="s">
        <v>155</v>
      </c>
      <c r="G7" s="118" t="s">
        <v>156</v>
      </c>
      <c r="H7" s="118" t="s">
        <v>148</v>
      </c>
      <c r="I7" s="118" t="s">
        <v>4</v>
      </c>
      <c r="J7" s="112"/>
      <c r="K7" s="112"/>
      <c r="L7" s="112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3" x14ac:dyDescent="0.15">
      <c r="A8" s="109" t="s">
        <v>184</v>
      </c>
      <c r="B8" s="109" t="s">
        <v>157</v>
      </c>
      <c r="C8" s="168" t="s">
        <v>258</v>
      </c>
      <c r="D8" s="109" t="s">
        <v>158</v>
      </c>
      <c r="E8" s="108" t="str">
        <f t="shared" si="0"/>
        <v>crash_skills_i18n_rankingunit.tmp</v>
      </c>
      <c r="F8" s="109" t="s">
        <v>155</v>
      </c>
      <c r="G8" s="118" t="s">
        <v>159</v>
      </c>
      <c r="H8" s="118" t="s">
        <v>160</v>
      </c>
      <c r="I8" s="118" t="s">
        <v>161</v>
      </c>
      <c r="J8" s="118" t="s">
        <v>162</v>
      </c>
      <c r="K8" s="119"/>
      <c r="L8" s="119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3" x14ac:dyDescent="0.15">
      <c r="A9" s="109" t="s">
        <v>184</v>
      </c>
      <c r="B9" s="112" t="s">
        <v>135</v>
      </c>
      <c r="C9" s="168" t="s">
        <v>258</v>
      </c>
      <c r="D9" s="109" t="s">
        <v>158</v>
      </c>
      <c r="E9" s="108" t="str">
        <f t="shared" si="0"/>
        <v>unit_serifs_data_rankingunit.tmp</v>
      </c>
      <c r="F9" s="112" t="s">
        <v>137</v>
      </c>
      <c r="G9" s="117" t="s">
        <v>138</v>
      </c>
      <c r="H9" s="118" t="s">
        <v>139</v>
      </c>
      <c r="I9" s="118" t="s">
        <v>133</v>
      </c>
      <c r="J9" s="116" t="s">
        <v>193</v>
      </c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3" x14ac:dyDescent="0.15">
      <c r="A10" s="109" t="s">
        <v>184</v>
      </c>
      <c r="B10" s="112" t="s">
        <v>136</v>
      </c>
      <c r="C10" s="168" t="s">
        <v>258</v>
      </c>
      <c r="D10" s="109" t="s">
        <v>158</v>
      </c>
      <c r="E10" s="108" t="str">
        <f t="shared" si="0"/>
        <v>unit_serifs_i18n_rankingunit.tmp</v>
      </c>
      <c r="F10" s="112" t="s">
        <v>137</v>
      </c>
      <c r="G10" s="117" t="s">
        <v>140</v>
      </c>
      <c r="H10" s="118" t="s">
        <v>141</v>
      </c>
      <c r="I10" s="118" t="s">
        <v>142</v>
      </c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21"/>
  <sheetViews>
    <sheetView showGridLines="0" workbookViewId="0">
      <pane xSplit="9" ySplit="1" topLeftCell="BL2" activePane="bottomRight" state="frozen"/>
      <selection pane="topRight" activeCell="J1" sqref="J1"/>
      <selection pane="bottomLeft" activeCell="A3" sqref="A3"/>
      <selection pane="bottomRight" activeCell="I4" sqref="I4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104" t="s">
        <v>86</v>
      </c>
      <c r="BR1" s="10" t="s">
        <v>281</v>
      </c>
    </row>
    <row r="2" spans="1:70" ht="26" customHeight="1" x14ac:dyDescent="0.15">
      <c r="A2" s="12">
        <v>6001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ジェリー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ノーマルクエスト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QoH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1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Drop1T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INDEX(コスト!$A$1:$I$20,MATCH(H2,コスト!$A$1:$A$20,FALSE),MATCH(G2,コスト!$A$1:$I$1,FALSE))</f>
        <v>1</v>
      </c>
      <c r="O2" s="11">
        <f ca="1">INDEX(レベル!$A$1:$I$21,MATCH(H2,レベル!$A$1:$A$21,FALSE),MATCH(G2,レベル!$A$1:$I$1,FALSE))</f>
        <v>10</v>
      </c>
      <c r="P2" s="48">
        <f ca="1">IF(G2 &gt;= 6, 99,G2*15)</f>
        <v>15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 t="s">
        <v>183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t="shared" ref="AG2:AG11" ca="1" si="0">IF(ISNA(MATCH(A2,AE:AE,0)),A2,INDIRECT(ADDRESS(MATCH(A2,AE:AE,0),COLUMN())))</f>
        <v>6001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ジェリー</v>
      </c>
      <c r="AI2" s="11" t="str">
        <f>IF(AE2="NULL","NULL",VLOOKUP(G2,ビット!$A$2:$B$7,2))</f>
        <v>NULL</v>
      </c>
      <c r="AJ2" s="6">
        <v>2</v>
      </c>
      <c r="AK2" s="7" t="str">
        <f t="shared" ref="AK2:AK3" si="1">IF(AJ2=1,"早熟",IF(AJ2=2,"普通",IF(AJ2=3,"晩成","")))</f>
        <v>普通</v>
      </c>
      <c r="AL2" s="11" t="str">
        <f ca="1">INDEX(経験値!$A$1:$I$20,MATCH(H2,経験値!$A$1:$A$20,FALSE),MATCH(G2,経験値!$A$1:$I$1,FALSE))</f>
        <v>required_exp_50</v>
      </c>
      <c r="AM2" s="8">
        <f ca="1">VLOOKUP(G2,経験値!$A$27:$B$31,2)</f>
        <v>200</v>
      </c>
      <c r="AN2" s="17">
        <f ca="1">VLOOKUP(G2,ビット!$G$2:$H$7,2)</f>
        <v>75</v>
      </c>
      <c r="AO2" s="45"/>
      <c r="AP2" s="67">
        <v>0</v>
      </c>
      <c r="AQ2" s="57" t="e">
        <f ca="1">VLOOKUP($AP2,OFFSET(unit_skills!$A$1,0,0,COUNTA(unit_skills!$A:$A),MATCH(AQ$1,unit_skills!$1:$1,0)-MATCH($AP$1,unit_skills!$1:$1,0)+1),MATCH(AQ$1,unit_skills!$1:$1,0)-MATCH($AP$1,unit_skills!$1:$1,0)+1,FALSE)</f>
        <v>#N/A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v>0</v>
      </c>
      <c r="AU2" s="57" t="e">
        <f ca="1">VLOOKUP($AT2,OFFSET(crash_skills!$A$1,0,0,COUNTA(crash_skills!$A:$A),MATCH(AU$1,crash_skills!$1:$1,0)-MATCH($AT$1,crash_skills!$1:$1,0)+1),MATCH(AU$1,crash_skills!$1:$1,0)-MATCH($AT$1,crash_skills!$1:$1,0)+1,FALSE)</f>
        <v>#N/A</v>
      </c>
      <c r="AV2" s="57">
        <f ca="1">VLOOKUP($AT2,OFFSET(crash_skills!$A$1,0,0,COUNTA(crash_skills!$A:$A),MATCH(AV$1,crash_skills!$1:$1,0)-MATCH($AT$1,crash_skills!$1:$1,0)+1),MATCH(AV$1,crash_skills!$1:$1,0)-MATCH($AT$1,crash_skills!$1:$1,0)+1,FALSE)</f>
        <v>0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</v>
      </c>
      <c r="AZ2" s="68">
        <v>1</v>
      </c>
      <c r="BA2" s="68">
        <v>0</v>
      </c>
      <c r="BB2" s="68">
        <v>1</v>
      </c>
      <c r="BC2" s="11">
        <f ca="1">INDEX('RC6SV'!$A$1:$G$20,MATCH(H2,'RC6SV'!$A$1:$A$20,FALSE),MATCH(G2,'RC6SV'!$A$1:$G$1,FALSE))</f>
        <v>1500</v>
      </c>
      <c r="BD2" s="48">
        <f t="shared" ref="BD2:BD3" ca="1" si="2">ROUND(BC2*IF(AJ2=1,0.95,IF(AJ2=2,1,IF(AJ2,1.05,0))),0)</f>
        <v>1500</v>
      </c>
      <c r="BE2" s="11">
        <f t="shared" ref="BE2:BE21" ca="1" si="3">ROUND(IFERROR(INDIRECT(ADDRESS(MATCH($A2,$AE:$AE,0),MATCH($BC$1,$1:$1,0))),0),0)</f>
        <v>0</v>
      </c>
      <c r="BF2" s="11">
        <f t="shared" ref="BF2:BF21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375</v>
      </c>
      <c r="BH2" s="16">
        <f ca="1">IF($BE2&lt;=0,ROUND(BL2*0.5,0), ROUND($BE2*T2*AB2*K2*AZ2*0.8*[1]ステータス!$C$2,0))</f>
        <v>305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123</v>
      </c>
      <c r="BK2" s="11">
        <f ca="1">ROUND(BD2*S2*AA2*J2*AY2*[1]ステータス!$B$2,0)</f>
        <v>750</v>
      </c>
      <c r="BL2" s="11">
        <f ca="1">ROUND(BD2*T2*AB2*K2*AZ2*[1]ステータス!$C$2,0)</f>
        <v>610</v>
      </c>
      <c r="BM2" s="11">
        <f ca="1">ROUND(BD2*U2*AC2*L2*BA2*[1]ステータス!$D$2,0)</f>
        <v>0</v>
      </c>
      <c r="BN2" s="11">
        <f ca="1">ROUND(BD2*V2*AD2*M2*BB2*[1]ステータス!$E$2,0)</f>
        <v>246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  <row r="3" spans="1:70" ht="26" customHeight="1" x14ac:dyDescent="0.15">
      <c r="A3" s="12">
        <v>6002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ヨシタカ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ノーマルクエスト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アバター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2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Drop1N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INDEX(コスト!$A$1:$I$20,MATCH(H3,コスト!$A$1:$A$20,FALSE),MATCH(G3,コスト!$A$1:$I$1,FALSE))</f>
        <v>4</v>
      </c>
      <c r="O3" s="11">
        <f ca="1">INDEX(レベル!$A$1:$I$21,MATCH(H3,レベル!$A$1:$A$21,FALSE),MATCH(G3,レベル!$A$1:$I$1,FALSE))</f>
        <v>30</v>
      </c>
      <c r="P3" s="48">
        <f t="shared" ref="P3:P4" ca="1" si="5">IF(G3 &gt;= 6, 99,G3*15)</f>
        <v>30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1">
        <f ca="1">VLOOKUP(Q3,[1]character_type_i18n!$A:$H,4,FALSE)</f>
        <v>1.45</v>
      </c>
      <c r="T3" s="11">
        <f ca="1">VLOOKUP(Q3,[1]character_type_i18n!$A:$H,5,FALSE)</f>
        <v>0.85</v>
      </c>
      <c r="U3" s="11">
        <f ca="1">VLOOKUP(Q3,[1]character_type_i18n!$A:$H,6,FALSE)</f>
        <v>1</v>
      </c>
      <c r="V3" s="11">
        <f ca="1">VLOOKUP(Q3,[1]character_type_i18n!$A:$H,7,FALSE)</f>
        <v>0.7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 t="s">
        <v>183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0"/>
        <v>6002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ヨシタカ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INDEX(経験値!$A$1:$I$20,MATCH(H3,経験値!$A$1:$A$20,FALSE),MATCH(G3,経験値!$A$1:$I$1,FALSE))</f>
        <v>required_exp_100</v>
      </c>
      <c r="AM3" s="8">
        <f ca="1">VLOOKUP(G3,経験値!$A$27:$B$31,2)</f>
        <v>600</v>
      </c>
      <c r="AN3" s="17">
        <f ca="1">VLOOKUP(G3,ビット!$G$2:$H$7,2)</f>
        <v>150</v>
      </c>
      <c r="AO3" s="45"/>
      <c r="AP3" s="67">
        <v>0</v>
      </c>
      <c r="AQ3" s="57" t="e">
        <f ca="1">VLOOKUP($AP3,OFFSET(unit_skills!$A$1,0,0,COUNTA(unit_skills!$A:$A),MATCH(AQ$1,unit_skills!$1:$1,0)-MATCH($AP$1,unit_skills!$1:$1,0)+1),MATCH(AQ$1,unit_skills!$1:$1,0)-MATCH($AP$1,unit_skills!$1:$1,0)+1,FALSE)</f>
        <v>#N/A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v>0</v>
      </c>
      <c r="AU3" s="57" t="e">
        <f ca="1">VLOOKUP($AT3,OFFSET(crash_skills!$A$1,0,0,COUNTA(crash_skills!$A:$A),MATCH(AU$1,crash_skills!$1:$1,0)-MATCH($AT$1,crash_skills!$1:$1,0)+1),MATCH(AU$1,crash_skills!$1:$1,0)-MATCH($AT$1,crash_skills!$1:$1,0)+1,FALSE)</f>
        <v>#N/A</v>
      </c>
      <c r="AV3" s="57">
        <f ca="1">VLOOKUP($AT3,OFFSET(crash_skills!$A$1,0,0,COUNTA(crash_skills!$A:$A),MATCH(AV$1,crash_skills!$1:$1,0)-MATCH($AT$1,crash_skills!$1:$1,0)+1),MATCH(AV$1,crash_skills!$1:$1,0)-MATCH($AT$1,crash_skills!$1:$1,0)+1,FALSE)</f>
        <v>0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</v>
      </c>
      <c r="AZ3" s="68">
        <v>1</v>
      </c>
      <c r="BA3" s="68">
        <v>0</v>
      </c>
      <c r="BB3" s="68">
        <v>1</v>
      </c>
      <c r="BC3" s="11">
        <f ca="1">INDEX('RC6SV'!$A$1:$G$20,MATCH(H3,'RC6SV'!$A$1:$A$20,FALSE),MATCH(G3,'RC6SV'!$A$1:$G$1,FALSE))</f>
        <v>2800</v>
      </c>
      <c r="BD3" s="48">
        <f t="shared" ca="1" si="2"/>
        <v>2800</v>
      </c>
      <c r="BE3" s="11">
        <f t="shared" ca="1" si="3"/>
        <v>0</v>
      </c>
      <c r="BF3" s="11">
        <f t="shared" ca="1" si="4"/>
        <v>1</v>
      </c>
      <c r="BG3" s="16">
        <f ca="1">IF($BE3&lt;=0,ROUND(BK3*0.5,0), ROUND($BE3*S3*AA3*J3*AY3*0.8*[1]ステータス!$B$2,0))</f>
        <v>954</v>
      </c>
      <c r="BH3" s="16">
        <f ca="1">IF($BE3&lt;=0,ROUND(BL3*0.5,0), ROUND($BE3*T3*AB3*K3*AZ3*0.8*[1]ステータス!$C$2,0))</f>
        <v>361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257</v>
      </c>
      <c r="BK3" s="11">
        <f ca="1">ROUND(BD3*S3*AA3*J3*AY3*[1]ステータス!$B$2,0)</f>
        <v>1908</v>
      </c>
      <c r="BL3" s="11">
        <f ca="1">ROUND(BD3*T3*AB3*K3*AZ3*[1]ステータス!$C$2,0)</f>
        <v>721</v>
      </c>
      <c r="BM3" s="11">
        <f ca="1">ROUND(BD3*U3*AC3*L3*BA3*[1]ステータス!$D$2,0)</f>
        <v>0</v>
      </c>
      <c r="BN3" s="11">
        <f ca="1">ROUND(BD3*V3*AD3*M3*BB3*[1]ステータス!$E$2,0)</f>
        <v>514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1</v>
      </c>
    </row>
    <row r="4" spans="1:70" ht="26" customHeight="1" x14ac:dyDescent="0.15">
      <c r="A4" s="12">
        <v>6003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朱雀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リンクガチャ:4神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守護神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3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INDEX(コスト!$A$1:$I$20,MATCH(H4,コスト!$A$1:$A$20,FALSE),MATCH(G4,コスト!$A$1:$I$1,FALSE))</f>
        <v>8</v>
      </c>
      <c r="O4" s="11">
        <f ca="1">INDEX(レベル!$A$1:$I$21,MATCH(H4,レベル!$A$1:$A$21,FALSE),MATCH(G4,レベル!$A$1:$I$1,FALSE))</f>
        <v>40</v>
      </c>
      <c r="P4" s="48">
        <f t="shared" ca="1" si="5"/>
        <v>45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animal</v>
      </c>
      <c r="X4" s="5" t="str">
        <f ca="1">VLOOKUP(W4,[1]character_tribe_i18n!$A:$H,3,FALSE)</f>
        <v>アニマル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god</v>
      </c>
      <c r="Z4" s="5" t="str">
        <f ca="1">VLOOKUP(Y4,[1]character_tribe_i18n!$A:$H,3,FALSE)</f>
        <v>ゴッド</v>
      </c>
      <c r="AA4" s="11">
        <f ca="1">VLOOKUP(W4,[1]character_tribe_i18n!$A:$H,4,FALSE)</f>
        <v>1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0.9</v>
      </c>
      <c r="AE4" s="9" t="s">
        <v>183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f t="shared" ca="1" si="0"/>
        <v>6003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朱雀</v>
      </c>
      <c r="AI4" s="11" t="str">
        <f>IF(AE4="NULL","NULL",VLOOKUP(G4,ビット!$A$2:$B$7,2))</f>
        <v>NULL</v>
      </c>
      <c r="AJ4" s="6">
        <v>2</v>
      </c>
      <c r="AK4" s="7" t="str">
        <f t="shared" ref="AK4:AK11" si="6">IF(AJ4=1,"早熟",IF(AJ4=2,"普通",IF(AJ4=3,"晩成","")))</f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1500</v>
      </c>
      <c r="AN4" s="17">
        <f ca="1">VLOOKUP(G4,ビット!$G$2:$H$7,2)</f>
        <v>300</v>
      </c>
      <c r="AO4" s="45"/>
      <c r="AP4" s="67">
        <v>0</v>
      </c>
      <c r="AQ4" s="57" t="e">
        <f ca="1">VLOOKUP($AP4,OFFSET(unit_skills!$A$1,0,0,COUNTA(unit_skills!$A:$A),MATCH(AQ$1,unit_skills!$1:$1,0)-MATCH($AP$1,unit_skills!$1:$1,0)+1),MATCH(AQ$1,unit_skills!$1:$1,0)-MATCH($AP$1,unit_skills!$1:$1,0)+1,FALSE)</f>
        <v>#N/A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v>0</v>
      </c>
      <c r="AU4" s="57" t="e">
        <f ca="1">VLOOKUP($AT4,OFFSET(crash_skills!$A$1,0,0,COUNTA(crash_skills!$A:$A),MATCH(AU$1,crash_skills!$1:$1,0)-MATCH($AT$1,crash_skills!$1:$1,0)+1),MATCH(AU$1,crash_skills!$1:$1,0)-MATCH($AT$1,crash_skills!$1:$1,0)+1,FALSE)</f>
        <v>#N/A</v>
      </c>
      <c r="AV4" s="57">
        <f ca="1">VLOOKUP($AT4,OFFSET(crash_skills!$A$1,0,0,COUNTA(crash_skills!$A:$A),MATCH(AV$1,crash_skills!$1:$1,0)-MATCH($AT$1,crash_skills!$1:$1,0)+1),MATCH(AV$1,crash_skills!$1:$1,0)-MATCH($AT$1,crash_skills!$1:$1,0)+1,FALSE)</f>
        <v>0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1</v>
      </c>
      <c r="AZ4" s="68">
        <v>1</v>
      </c>
      <c r="BA4" s="68">
        <v>0</v>
      </c>
      <c r="BB4" s="68">
        <v>1</v>
      </c>
      <c r="BC4" s="11">
        <f ca="1">INDEX('RC6SV'!$A$1:$G$20,MATCH(H4,'RC6SV'!$A$1:$A$20,FALSE),MATCH(G4,'RC6SV'!$A$1:$G$1,FALSE))</f>
        <v>4600</v>
      </c>
      <c r="BD4" s="48">
        <f t="shared" ref="BD4:BD11" ca="1" si="7">ROUND(BC4*IF(AJ4=1,0.95,IF(AJ4=2,1,IF(AJ4,1.05,0))),0)</f>
        <v>4600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1150</v>
      </c>
      <c r="BH4" s="16">
        <f ca="1">IF($BE4&lt;=0,ROUND(BL4*0.5,0), ROUND($BE4*T4*AB4*K4*AZ4*0.8*[1]ステータス!$C$2,0))</f>
        <v>774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507</v>
      </c>
      <c r="BK4" s="11">
        <f ca="1">ROUND(BD4*S4*AA4*J4*AY4*[1]ステータス!$B$2,0)</f>
        <v>2300</v>
      </c>
      <c r="BL4" s="11">
        <f ca="1">ROUND(BD4*T4*AB4*K4*AZ4*[1]ステータス!$C$2,0)</f>
        <v>1548</v>
      </c>
      <c r="BM4" s="11">
        <f ca="1">ROUND(BD4*U4*AC4*L4*BA4*[1]ステータス!$D$2,0)</f>
        <v>0</v>
      </c>
      <c r="BN4" s="11">
        <f ca="1">ROUND(BD4*V4*AD4*M4*BB4*[1]ステータス!$E$2,0)</f>
        <v>1014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1</v>
      </c>
    </row>
    <row r="5" spans="1:70" ht="26" customHeight="1" x14ac:dyDescent="0.15">
      <c r="A5" s="12">
        <v>6004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ブレット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ノーマルクエスト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アバター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1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Drop1W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1">
        <f ca="1">VLOOKUP(I5,[1]属性!$A:$E,2,FALSE)</f>
        <v>1</v>
      </c>
      <c r="K5" s="11">
        <f ca="1">VLOOKUP(I5,[1]属性!$A:$E,3,FALSE)</f>
        <v>1.02</v>
      </c>
      <c r="L5" s="11">
        <f ca="1">VLOOKUP(I5,[1]属性!$A:$E,4,FALSE)</f>
        <v>1</v>
      </c>
      <c r="M5" s="11">
        <f ca="1">VLOOKUP(I5,[1]属性!$A:$E,5,FALSE)</f>
        <v>0.98</v>
      </c>
      <c r="N5" s="11">
        <f ca="1">INDEX(コスト!$A$1:$I$20,MATCH(H5,コスト!$A$1:$A$20,FALSE),MATCH(G5,コスト!$A$1:$I$1,FALSE))</f>
        <v>1</v>
      </c>
      <c r="O5" s="11">
        <f ca="1">INDEX(レベル!$A$1:$I$21,MATCH(H5,レベル!$A$1:$A$21,FALSE),MATCH(G5,レベル!$A$1:$I$1,FALSE))</f>
        <v>15</v>
      </c>
      <c r="P5" s="48">
        <f t="shared" ref="P5:P11" ca="1" si="8">IF(G5 &gt;= 6, 99,G5*15)</f>
        <v>15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animal</v>
      </c>
      <c r="X5" s="5" t="str">
        <f ca="1">VLOOKUP(W5,[1]character_tribe_i18n!$A:$H,3,FALSE)</f>
        <v>アニマル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0.9</v>
      </c>
      <c r="AE5" s="9" t="s">
        <v>183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0"/>
        <v>6004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ブレット</v>
      </c>
      <c r="AI5" s="11" t="str">
        <f>IF(AE5="NULL","NULL",VLOOKUP(G5,ビット!$A$2:$B$7,2))</f>
        <v>NULL</v>
      </c>
      <c r="AJ5" s="6">
        <v>2</v>
      </c>
      <c r="AK5" s="7" t="str">
        <f t="shared" si="6"/>
        <v>普通</v>
      </c>
      <c r="AL5" s="11" t="str">
        <f ca="1">INDEX(経験値!$A$1:$I$20,MATCH(H5,経験値!$A$1:$A$20,FALSE),MATCH(G5,経験値!$A$1:$I$1,FALSE))</f>
        <v>required_exp_70</v>
      </c>
      <c r="AM5" s="8">
        <f ca="1">VLOOKUP(G5,経験値!$A$27:$B$31,2)</f>
        <v>200</v>
      </c>
      <c r="AN5" s="17">
        <f ca="1">VLOOKUP(G5,ビット!$G$2:$H$7,2)</f>
        <v>75</v>
      </c>
      <c r="AO5" s="45"/>
      <c r="AP5" s="67">
        <v>0</v>
      </c>
      <c r="AQ5" s="57" t="e">
        <f ca="1">VLOOKUP($AP5,OFFSET(unit_skills!$A$1,0,0,COUNTA(unit_skills!$A:$A),MATCH(AQ$1,unit_skills!$1:$1,0)-MATCH($AP$1,unit_skills!$1:$1,0)+1),MATCH(AQ$1,unit_skills!$1:$1,0)-MATCH($AP$1,unit_skills!$1:$1,0)+1,FALSE)</f>
        <v>#N/A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v>0</v>
      </c>
      <c r="AU5" s="57" t="e">
        <f ca="1">VLOOKUP($AT5,OFFSET(crash_skills!$A$1,0,0,COUNTA(crash_skills!$A:$A),MATCH(AU$1,crash_skills!$1:$1,0)-MATCH($AT$1,crash_skills!$1:$1,0)+1),MATCH(AU$1,crash_skills!$1:$1,0)-MATCH($AT$1,crash_skills!$1:$1,0)+1,FALSE)</f>
        <v>#N/A</v>
      </c>
      <c r="AV5" s="57">
        <f ca="1">VLOOKUP($AT5,OFFSET(crash_skills!$A$1,0,0,COUNTA(crash_skills!$A:$A),MATCH(AV$1,crash_skills!$1:$1,0)-MATCH($AT$1,crash_skills!$1:$1,0)+1),MATCH(AV$1,crash_skills!$1:$1,0)-MATCH($AT$1,crash_skills!$1:$1,0)+1,FALSE)</f>
        <v>0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1</v>
      </c>
      <c r="AZ5" s="68">
        <v>1</v>
      </c>
      <c r="BA5" s="68">
        <v>0</v>
      </c>
      <c r="BB5" s="68">
        <v>1</v>
      </c>
      <c r="BC5" s="11">
        <f ca="1">INDEX('RC6SV'!$A$1:$G$20,MATCH(H5,'RC6SV'!$A$1:$A$20,FALSE),MATCH(G5,'RC6SV'!$A$1:$G$1,FALSE))</f>
        <v>1750</v>
      </c>
      <c r="BD5" s="48">
        <f t="shared" ca="1" si="7"/>
        <v>1750</v>
      </c>
      <c r="BE5" s="11">
        <f t="shared" ca="1" si="3"/>
        <v>0</v>
      </c>
      <c r="BF5" s="11">
        <f t="shared" ca="1" si="4"/>
        <v>1</v>
      </c>
      <c r="BG5" s="16">
        <f ca="1">IF($BE5&lt;=0,ROUND(BK5*0.5,0), ROUND($BE5*S5*AA5*J5*AY5*0.8*[1]ステータス!$B$2,0))</f>
        <v>438</v>
      </c>
      <c r="BH5" s="16">
        <f ca="1">IF($BE5&lt;=0,ROUND(BL5*0.5,0), ROUND($BE5*T5*AB5*K5*AZ5*0.8*[1]ステータス!$C$2,0))</f>
        <v>392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130</v>
      </c>
      <c r="BK5" s="11">
        <f ca="1">ROUND(BD5*S5*AA5*J5*AY5*[1]ステータス!$B$2,0)</f>
        <v>875</v>
      </c>
      <c r="BL5" s="11">
        <f ca="1">ROUND(BD5*T5*AB5*K5*AZ5*[1]ステータス!$C$2,0)</f>
        <v>783</v>
      </c>
      <c r="BM5" s="11">
        <f ca="1">ROUND(BD5*U5*AC5*L5*BA5*[1]ステータス!$D$2,0)</f>
        <v>0</v>
      </c>
      <c r="BN5" s="11">
        <f ca="1">ROUND(BD5*V5*AD5*M5*BB5*[1]ステータス!$E$2,0)</f>
        <v>259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1</v>
      </c>
    </row>
    <row r="6" spans="1:70" ht="26" customHeight="1" x14ac:dyDescent="0.15">
      <c r="A6" s="12">
        <v>6005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孤神 テティス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初期ガチャ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管理者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美しい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PremiumN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INDEX(コスト!$A$1:$I$20,MATCH(H6,コスト!$A$1:$A$20,FALSE),MATCH(G6,コスト!$A$1:$I$1,FALSE))</f>
        <v>18</v>
      </c>
      <c r="O6" s="11">
        <f ca="1">INDEX(レベル!$A$1:$I$21,MATCH(H6,レベル!$A$1:$A$21,FALSE),MATCH(G6,レベル!$A$1:$I$1,FALSE))</f>
        <v>60</v>
      </c>
      <c r="P6" s="48">
        <f t="shared" ca="1" si="8"/>
        <v>60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1">
        <f ca="1">VLOOKUP(Q6,[1]character_type_i18n!$A:$H,4,FALSE)</f>
        <v>1.45</v>
      </c>
      <c r="T6" s="11">
        <f ca="1">VLOOKUP(Q6,[1]character_type_i18n!$A:$H,5,FALSE)</f>
        <v>0.85</v>
      </c>
      <c r="U6" s="11">
        <f ca="1">VLOOKUP(Q6,[1]character_type_i18n!$A:$H,6,FALSE)</f>
        <v>1</v>
      </c>
      <c r="V6" s="11">
        <f ca="1">VLOOKUP(Q6,[1]character_type_i18n!$A:$H,7,FALSE)</f>
        <v>0.7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god</v>
      </c>
      <c r="X6" s="5" t="str">
        <f ca="1">VLOOKUP(W6,[1]character_tribe_i18n!$A:$H,3,FALSE)</f>
        <v>ゴッド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0.96</v>
      </c>
      <c r="AB6" s="11">
        <f ca="1">VLOOKUP(W6,[1]character_tribe_i18n!$A:$H,5,FALSE)</f>
        <v>1.02</v>
      </c>
      <c r="AC6" s="11">
        <f ca="1">VLOOKUP(W6,[1]character_tribe_i18n!$A:$H,6,FALSE)</f>
        <v>1</v>
      </c>
      <c r="AD6" s="11">
        <f ca="1">VLOOKUP(W6,[1]character_tribe_i18n!$A:$H,7,FALSE)</f>
        <v>1.02</v>
      </c>
      <c r="AE6" s="9" t="s">
        <v>183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f t="shared" ca="1" si="0"/>
        <v>6005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孤神 テティス</v>
      </c>
      <c r="AI6" s="11" t="str">
        <f>IF(AE6="NULL","NULL",VLOOKUP(G6,ビット!$A$2:$B$7,2))</f>
        <v>NULL</v>
      </c>
      <c r="AJ6" s="6">
        <v>2</v>
      </c>
      <c r="AK6" s="7" t="str">
        <f t="shared" si="6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5"/>
      <c r="AP6" s="67">
        <v>0</v>
      </c>
      <c r="AQ6" s="57" t="e">
        <f ca="1">VLOOKUP($AP6,OFFSET(unit_skills!$A$1,0,0,COUNTA(unit_skills!$A:$A),MATCH(AQ$1,unit_skills!$1:$1,0)-MATCH($AP$1,unit_skills!$1:$1,0)+1),MATCH(AQ$1,unit_skills!$1:$1,0)-MATCH($AP$1,unit_skills!$1:$1,0)+1,FALSE)</f>
        <v>#N/A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v>0</v>
      </c>
      <c r="AU6" s="57" t="e">
        <f ca="1">VLOOKUP($AT6,OFFSET(crash_skills!$A$1,0,0,COUNTA(crash_skills!$A:$A),MATCH(AU$1,crash_skills!$1:$1,0)-MATCH($AT$1,crash_skills!$1:$1,0)+1),MATCH(AU$1,crash_skills!$1:$1,0)-MATCH($AT$1,crash_skills!$1:$1,0)+1,FALSE)</f>
        <v>#N/A</v>
      </c>
      <c r="AV6" s="57">
        <f ca="1">VLOOKUP($AT6,OFFSET(crash_skills!$A$1,0,0,COUNTA(crash_skills!$A:$A),MATCH(AV$1,crash_skills!$1:$1,0)-MATCH($AT$1,crash_skills!$1:$1,0)+1),MATCH(AV$1,crash_skills!$1:$1,0)-MATCH($AT$1,crash_skills!$1:$1,0)+1,FALSE)</f>
        <v>0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1</v>
      </c>
      <c r="AZ6" s="68">
        <v>1</v>
      </c>
      <c r="BA6" s="68">
        <v>0</v>
      </c>
      <c r="BB6" s="68">
        <v>1</v>
      </c>
      <c r="BC6" s="11">
        <f ca="1">INDEX('RC6SV'!$A$1:$G$20,MATCH(H6,'RC6SV'!$A$1:$A$20,FALSE),MATCH(G6,'RC6SV'!$A$1:$G$1,FALSE))</f>
        <v>6700</v>
      </c>
      <c r="BD6" s="48">
        <f t="shared" ca="1" si="7"/>
        <v>6700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2332</v>
      </c>
      <c r="BH6" s="16">
        <f ca="1">IF($BE6&lt;=0,ROUND(BL6*0.5,0), ROUND($BE6*T6*AB6*K6*AZ6*0.8*[1]ステータス!$C$2,0))</f>
        <v>854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610</v>
      </c>
      <c r="BK6" s="11">
        <f ca="1">ROUND(BD6*S6*AA6*J6*AY6*[1]ステータス!$B$2,0)</f>
        <v>4663</v>
      </c>
      <c r="BL6" s="11">
        <f ca="1">ROUND(BD6*T6*AB6*K6*AZ6*[1]ステータス!$C$2,0)</f>
        <v>1708</v>
      </c>
      <c r="BM6" s="11">
        <f ca="1">ROUND(BD6*U6*AC6*L6*BA6*[1]ステータス!$D$2,0)</f>
        <v>0</v>
      </c>
      <c r="BN6" s="11">
        <f ca="1">ROUND(BD6*V6*AD6*M6*BB6*[1]ステータス!$E$2,0)</f>
        <v>1220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600</v>
      </c>
    </row>
    <row r="7" spans="1:70" ht="26" customHeight="1" x14ac:dyDescent="0.15">
      <c r="A7" s="12">
        <v>6006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海底の孤高神 テティス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初期ガチャ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管理者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美しい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PremiumN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INDEX(コスト!$A$1:$I$20,MATCH(H7,コスト!$A$1:$A$20,FALSE),MATCH(G7,コスト!$A$1:$I$1,FALSE))</f>
        <v>28</v>
      </c>
      <c r="O7" s="11">
        <f ca="1">INDEX(レベル!$A$1:$I$21,MATCH(H7,レベル!$A$1:$A$21,FALSE),MATCH(G7,レベル!$A$1:$I$1,FALSE))</f>
        <v>80</v>
      </c>
      <c r="P7" s="48">
        <f t="shared" ca="1" si="8"/>
        <v>75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1">
        <f ca="1">VLOOKUP(Q7,[1]character_type_i18n!$A:$H,4,FALSE)</f>
        <v>1.45</v>
      </c>
      <c r="T7" s="11">
        <f ca="1">VLOOKUP(Q7,[1]character_type_i18n!$A:$H,5,FALSE)</f>
        <v>0.85</v>
      </c>
      <c r="U7" s="11">
        <f ca="1">VLOOKUP(Q7,[1]character_type_i18n!$A:$H,6,FALSE)</f>
        <v>1</v>
      </c>
      <c r="V7" s="11">
        <f ca="1">VLOOKUP(Q7,[1]character_type_i18n!$A:$H,7,FALSE)</f>
        <v>0.7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god</v>
      </c>
      <c r="X7" s="5" t="str">
        <f ca="1">VLOOKUP(W7,[1]character_tribe_i18n!$A:$H,3,FALSE)</f>
        <v>ゴッド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0.96</v>
      </c>
      <c r="AB7" s="11">
        <f ca="1">VLOOKUP(W7,[1]character_tribe_i18n!$A:$H,5,FALSE)</f>
        <v>1.02</v>
      </c>
      <c r="AC7" s="11">
        <f ca="1">VLOOKUP(W7,[1]character_tribe_i18n!$A:$H,6,FALSE)</f>
        <v>1</v>
      </c>
      <c r="AD7" s="11">
        <f ca="1">VLOOKUP(W7,[1]character_tribe_i18n!$A:$H,7,FALSE)</f>
        <v>1.02</v>
      </c>
      <c r="AE7" s="9" t="s">
        <v>183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0"/>
        <v>6006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海底の孤高神 テティス</v>
      </c>
      <c r="AI7" s="11" t="str">
        <f>IF(AE7="NULL","NULL",VLOOKUP(G7,ビット!$A$2:$B$7,2))</f>
        <v>NULL</v>
      </c>
      <c r="AJ7" s="6">
        <v>2</v>
      </c>
      <c r="AK7" s="7" t="str">
        <f t="shared" si="6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5"/>
      <c r="AP7" s="67">
        <v>0</v>
      </c>
      <c r="AQ7" s="57" t="e">
        <f ca="1">VLOOKUP($AP7,OFFSET(unit_skills!$A$1,0,0,COUNTA(unit_skills!$A:$A),MATCH(AQ$1,unit_skills!$1:$1,0)-MATCH($AP$1,unit_skills!$1:$1,0)+1),MATCH(AQ$1,unit_skills!$1:$1,0)-MATCH($AP$1,unit_skills!$1:$1,0)+1,FALSE)</f>
        <v>#N/A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v>0</v>
      </c>
      <c r="AU7" s="57" t="e">
        <f ca="1">VLOOKUP($AT7,OFFSET(crash_skills!$A$1,0,0,COUNTA(crash_skills!$A:$A),MATCH(AU$1,crash_skills!$1:$1,0)-MATCH($AT$1,crash_skills!$1:$1,0)+1),MATCH(AU$1,crash_skills!$1:$1,0)-MATCH($AT$1,crash_skills!$1:$1,0)+1,FALSE)</f>
        <v>#N/A</v>
      </c>
      <c r="AV7" s="57">
        <f ca="1">VLOOKUP($AT7,OFFSET(crash_skills!$A$1,0,0,COUNTA(crash_skills!$A:$A),MATCH(AV$1,crash_skills!$1:$1,0)-MATCH($AT$1,crash_skills!$1:$1,0)+1),MATCH(AV$1,crash_skills!$1:$1,0)-MATCH($AT$1,crash_skills!$1:$1,0)+1,FALSE)</f>
        <v>0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1</v>
      </c>
      <c r="AZ7" s="68">
        <v>1</v>
      </c>
      <c r="BA7" s="68">
        <v>0</v>
      </c>
      <c r="BB7" s="68">
        <v>1</v>
      </c>
      <c r="BC7" s="11">
        <f ca="1">INDEX('RC6SV'!$A$1:$G$20,MATCH(H7,'RC6SV'!$A$1:$A$20,FALSE),MATCH(G7,'RC6SV'!$A$1:$G$1,FALSE))</f>
        <v>8500</v>
      </c>
      <c r="BD7" s="48">
        <f t="shared" ca="1" si="7"/>
        <v>8500</v>
      </c>
      <c r="BE7" s="11">
        <f t="shared" ca="1" si="3"/>
        <v>0</v>
      </c>
      <c r="BF7" s="11">
        <f t="shared" ca="1" si="4"/>
        <v>1</v>
      </c>
      <c r="BG7" s="16">
        <f ca="1">IF($BE7&lt;=0,ROUND(BK7*0.5,0), ROUND($BE7*S7*AA7*J7*AY7*0.8*[1]ステータス!$B$2,0))</f>
        <v>2958</v>
      </c>
      <c r="BH7" s="16">
        <f ca="1">IF($BE7&lt;=0,ROUND(BL7*0.5,0), ROUND($BE7*T7*AB7*K7*AZ7*0.8*[1]ステータス!$C$2,0))</f>
        <v>1084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774</v>
      </c>
      <c r="BK7" s="11">
        <f ca="1">ROUND(BD7*S7*AA7*J7*AY7*[1]ステータス!$B$2,0)</f>
        <v>5916</v>
      </c>
      <c r="BL7" s="11">
        <f ca="1">ROUND(BD7*T7*AB7*K7*AZ7*[1]ステータス!$C$2,0)</f>
        <v>2167</v>
      </c>
      <c r="BM7" s="11">
        <f ca="1">ROUND(BD7*U7*AC7*L7*BA7*[1]ステータス!$D$2,0)</f>
        <v>0</v>
      </c>
      <c r="BN7" s="11">
        <f ca="1">ROUND(BD7*V7*AD7*M7*BB7*[1]ステータス!$E$2,0)</f>
        <v>1548</v>
      </c>
      <c r="BO7" s="10">
        <v>0</v>
      </c>
      <c r="BP7" s="10">
        <v>1</v>
      </c>
      <c r="BQ7" s="10" t="s">
        <v>47</v>
      </c>
      <c r="BR7" s="10">
        <f ca="1">VLOOKUP(H7,ghosts_label!$A$2:$B$19,2,FALSE)</f>
        <v>600</v>
      </c>
    </row>
    <row r="8" spans="1:70" ht="26" customHeight="1" x14ac:dyDescent="0.15">
      <c r="A8" s="12">
        <v>6007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番犬 ケルベロス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初期ガチャ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破界者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可愛い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PremiumN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INDEX(コスト!$A$1:$I$20,MATCH(H8,コスト!$A$1:$A$20,FALSE),MATCH(G8,コスト!$A$1:$I$1,FALSE))</f>
        <v>18</v>
      </c>
      <c r="O8" s="11">
        <f ca="1">INDEX(レベル!$A$1:$I$21,MATCH(H8,レベル!$A$1:$A$21,FALSE),MATCH(G8,レベル!$A$1:$I$1,FALSE))</f>
        <v>60</v>
      </c>
      <c r="P8" s="48">
        <f t="shared" ca="1" si="8"/>
        <v>60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animal</v>
      </c>
      <c r="X8" s="5" t="str">
        <f ca="1">VLOOKUP(W8,[1]character_tribe_i18n!$A:$H,3,FALSE)</f>
        <v>アニマル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1.1000000000000001</v>
      </c>
      <c r="AC8" s="11">
        <f ca="1">VLOOKUP(W8,[1]character_tribe_i18n!$A:$H,6,FALSE)</f>
        <v>1</v>
      </c>
      <c r="AD8" s="11">
        <f ca="1">VLOOKUP(W8,[1]character_tribe_i18n!$A:$H,7,FALSE)</f>
        <v>0.9</v>
      </c>
      <c r="AE8" s="9" t="s">
        <v>183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0"/>
        <v>6007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番犬 ケルベロス</v>
      </c>
      <c r="AI8" s="11" t="str">
        <f>IF(AE8="NULL","NULL",VLOOKUP(G8,ビット!$A$2:$B$7,2))</f>
        <v>NULL</v>
      </c>
      <c r="AJ8" s="6">
        <v>2</v>
      </c>
      <c r="AK8" s="7" t="str">
        <f t="shared" si="6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5"/>
      <c r="AP8" s="67">
        <v>0</v>
      </c>
      <c r="AQ8" s="57" t="e">
        <f ca="1">VLOOKUP($AP8,OFFSET(unit_skills!$A$1,0,0,COUNTA(unit_skills!$A:$A),MATCH(AQ$1,unit_skills!$1:$1,0)-MATCH($AP$1,unit_skills!$1:$1,0)+1),MATCH(AQ$1,unit_skills!$1:$1,0)-MATCH($AP$1,unit_skills!$1:$1,0)+1,FALSE)</f>
        <v>#N/A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v>0</v>
      </c>
      <c r="AU8" s="57" t="e">
        <f ca="1">VLOOKUP($AT8,OFFSET(crash_skills!$A$1,0,0,COUNTA(crash_skills!$A:$A),MATCH(AU$1,crash_skills!$1:$1,0)-MATCH($AT$1,crash_skills!$1:$1,0)+1),MATCH(AU$1,crash_skills!$1:$1,0)-MATCH($AT$1,crash_skills!$1:$1,0)+1,FALSE)</f>
        <v>#N/A</v>
      </c>
      <c r="AV8" s="57">
        <f ca="1">VLOOKUP($AT8,OFFSET(crash_skills!$A$1,0,0,COUNTA(crash_skills!$A:$A),MATCH(AV$1,crash_skills!$1:$1,0)-MATCH($AT$1,crash_skills!$1:$1,0)+1),MATCH(AV$1,crash_skills!$1:$1,0)-MATCH($AT$1,crash_skills!$1:$1,0)+1,FALSE)</f>
        <v>0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8">
        <v>1</v>
      </c>
      <c r="AZ8" s="68">
        <v>1</v>
      </c>
      <c r="BA8" s="68">
        <v>0</v>
      </c>
      <c r="BB8" s="68">
        <v>1</v>
      </c>
      <c r="BC8" s="11">
        <f ca="1">INDEX('RC6SV'!$A$1:$G$20,MATCH(H8,'RC6SV'!$A$1:$A$20,FALSE),MATCH(G8,'RC6SV'!$A$1:$G$1,FALSE))</f>
        <v>6700</v>
      </c>
      <c r="BD8" s="48">
        <f t="shared" ca="1" si="7"/>
        <v>6700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1675</v>
      </c>
      <c r="BH8" s="16">
        <f ca="1">IF($BE8&lt;=0,ROUND(BL8*0.5,0), ROUND($BE8*T8*AB8*K8*AZ8*0.8*[1]ステータス!$C$2,0))</f>
        <v>1128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739</v>
      </c>
      <c r="BK8" s="11">
        <f ca="1">ROUND(BD8*S8*AA8*J8*AY8*[1]ステータス!$B$2,0)</f>
        <v>3350</v>
      </c>
      <c r="BL8" s="11">
        <f ca="1">ROUND(BD8*T8*AB8*K8*AZ8*[1]ステータス!$C$2,0)</f>
        <v>2255</v>
      </c>
      <c r="BM8" s="11">
        <f ca="1">ROUND(BD8*U8*AC8*L8*BA8*[1]ステータス!$D$2,0)</f>
        <v>0</v>
      </c>
      <c r="BN8" s="11">
        <f ca="1">ROUND(BD8*V8*AD8*M8*BB8*[1]ステータス!$E$2,0)</f>
        <v>1477</v>
      </c>
      <c r="BO8" s="10">
        <v>0</v>
      </c>
      <c r="BP8" s="10">
        <v>1</v>
      </c>
      <c r="BQ8" s="10" t="s">
        <v>47</v>
      </c>
      <c r="BR8" s="10">
        <f ca="1">VLOOKUP(H8,ghosts_label!$A$2:$B$19,2,FALSE)</f>
        <v>600</v>
      </c>
    </row>
    <row r="9" spans="1:70" ht="26" customHeight="1" x14ac:dyDescent="0.15">
      <c r="A9" s="12">
        <v>6008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焔神 プロメテウス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初期ガチャ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管理者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4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PremiumN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INDEX(コスト!$A$1:$I$20,MATCH(H9,コスト!$A$1:$A$20,FALSE),MATCH(G9,コスト!$A$1:$I$1,FALSE))</f>
        <v>18</v>
      </c>
      <c r="O9" s="11">
        <f ca="1">INDEX(レベル!$A$1:$I$21,MATCH(H9,レベル!$A$1:$A$21,FALSE),MATCH(G9,レベル!$A$1:$I$1,FALSE))</f>
        <v>60</v>
      </c>
      <c r="P9" s="48">
        <f t="shared" ca="1" si="8"/>
        <v>60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hp</v>
      </c>
      <c r="R9" s="5" t="str">
        <f ca="1">VLOOKUP(Q9,[1]character_type_i18n!$A:$H,3,FALSE)</f>
        <v>体力タイプ</v>
      </c>
      <c r="S9" s="11">
        <f ca="1">VLOOKUP(Q9,[1]character_type_i18n!$A:$H,4,FALSE)</f>
        <v>1.45</v>
      </c>
      <c r="T9" s="11">
        <f ca="1">VLOOKUP(Q9,[1]character_type_i18n!$A:$H,5,FALSE)</f>
        <v>0.85</v>
      </c>
      <c r="U9" s="11">
        <f ca="1">VLOOKUP(Q9,[1]character_type_i18n!$A:$H,6,FALSE)</f>
        <v>1</v>
      </c>
      <c r="V9" s="11">
        <f ca="1">VLOOKUP(Q9,[1]character_type_i18n!$A:$H,7,FALSE)</f>
        <v>0.7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0.96</v>
      </c>
      <c r="AB9" s="11">
        <f ca="1">VLOOKUP(W9,[1]character_tribe_i18n!$A:$H,5,FALSE)</f>
        <v>1.02</v>
      </c>
      <c r="AC9" s="11">
        <f ca="1">VLOOKUP(W9,[1]character_tribe_i18n!$A:$H,6,FALSE)</f>
        <v>1</v>
      </c>
      <c r="AD9" s="11">
        <f ca="1">VLOOKUP(W9,[1]character_tribe_i18n!$A:$H,7,FALSE)</f>
        <v>1.02</v>
      </c>
      <c r="AE9" s="9" t="s">
        <v>183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0"/>
        <v>6008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焔神 プロメテウス</v>
      </c>
      <c r="AI9" s="11" t="str">
        <f>IF(AE9="NULL","NULL",VLOOKUP(G9,ビット!$A$2:$B$7,2))</f>
        <v>NULL</v>
      </c>
      <c r="AJ9" s="6">
        <v>2</v>
      </c>
      <c r="AK9" s="7" t="str">
        <f t="shared" si="6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3400</v>
      </c>
      <c r="AN9" s="17">
        <f ca="1">VLOOKUP(G9,ビット!$G$2:$H$7,2)</f>
        <v>600</v>
      </c>
      <c r="AO9" s="45"/>
      <c r="AP9" s="67">
        <v>0</v>
      </c>
      <c r="AQ9" s="57" t="e">
        <f ca="1">VLOOKUP($AP9,OFFSET(unit_skills!$A$1,0,0,COUNTA(unit_skills!$A:$A),MATCH(AQ$1,unit_skills!$1:$1,0)-MATCH($AP$1,unit_skills!$1:$1,0)+1),MATCH(AQ$1,unit_skills!$1:$1,0)-MATCH($AP$1,unit_skills!$1:$1,0)+1,FALSE)</f>
        <v>#N/A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v>0</v>
      </c>
      <c r="AU9" s="57" t="e">
        <f ca="1">VLOOKUP($AT9,OFFSET(crash_skills!$A$1,0,0,COUNTA(crash_skills!$A:$A),MATCH(AU$1,crash_skills!$1:$1,0)-MATCH($AT$1,crash_skills!$1:$1,0)+1),MATCH(AU$1,crash_skills!$1:$1,0)-MATCH($AT$1,crash_skills!$1:$1,0)+1,FALSE)</f>
        <v>#N/A</v>
      </c>
      <c r="AV9" s="57">
        <f ca="1">VLOOKUP($AT9,OFFSET(crash_skills!$A$1,0,0,COUNTA(crash_skills!$A:$A),MATCH(AV$1,crash_skills!$1:$1,0)-MATCH($AT$1,crash_skills!$1:$1,0)+1),MATCH(AV$1,crash_skills!$1:$1,0)-MATCH($AT$1,crash_skills!$1:$1,0)+1,FALSE)</f>
        <v>0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8">
        <v>1</v>
      </c>
      <c r="AZ9" s="68">
        <v>1</v>
      </c>
      <c r="BA9" s="68">
        <v>0</v>
      </c>
      <c r="BB9" s="68">
        <v>1</v>
      </c>
      <c r="BC9" s="11">
        <f ca="1">INDEX('RC6SV'!$A$1:$G$20,MATCH(H9,'RC6SV'!$A$1:$A$20,FALSE),MATCH(G9,'RC6SV'!$A$1:$G$1,FALSE))</f>
        <v>6700</v>
      </c>
      <c r="BD9" s="48">
        <f t="shared" ca="1" si="7"/>
        <v>6700</v>
      </c>
      <c r="BE9" s="11">
        <f t="shared" ca="1" si="3"/>
        <v>0</v>
      </c>
      <c r="BF9" s="11">
        <f t="shared" ca="1" si="4"/>
        <v>1</v>
      </c>
      <c r="BG9" s="16">
        <f ca="1">IF($BE9&lt;=0,ROUND(BK9*0.5,0), ROUND($BE9*S9*AA9*J9*AY9*0.8*[1]ステータス!$B$2,0))</f>
        <v>2332</v>
      </c>
      <c r="BH9" s="16">
        <f ca="1">IF($BE9&lt;=0,ROUND(BL9*0.5,0), ROUND($BE9*T9*AB9*K9*AZ9*0.8*[1]ステータス!$C$2,0))</f>
        <v>889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586</v>
      </c>
      <c r="BK9" s="11">
        <f ca="1">ROUND(BD9*S9*AA9*J9*AY9*[1]ステータス!$B$2,0)</f>
        <v>4663</v>
      </c>
      <c r="BL9" s="11">
        <f ca="1">ROUND(BD9*T9*AB9*K9*AZ9*[1]ステータス!$C$2,0)</f>
        <v>1778</v>
      </c>
      <c r="BM9" s="11">
        <f ca="1">ROUND(BD9*U9*AC9*L9*BA9*[1]ステータス!$D$2,0)</f>
        <v>0</v>
      </c>
      <c r="BN9" s="11">
        <f ca="1">ROUND(BD9*V9*AD9*M9*BB9*[1]ステータス!$E$2,0)</f>
        <v>1172</v>
      </c>
      <c r="BO9" s="10">
        <v>0</v>
      </c>
      <c r="BP9" s="10">
        <v>1</v>
      </c>
      <c r="BQ9" s="10" t="s">
        <v>47</v>
      </c>
      <c r="BR9" s="10">
        <f ca="1">VLOOKUP(H9,ghosts_label!$A$2:$B$19,2,FALSE)</f>
        <v>600</v>
      </c>
    </row>
    <row r="10" spans="1:70" ht="26" customHeight="1" x14ac:dyDescent="0.15">
      <c r="A10" s="12">
        <v>6009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超越自我 ラグランジュ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女性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PremiumSSS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INDEX(コスト!$A$1:$I$20,MATCH(H10,コスト!$A$1:$A$20,FALSE),MATCH(G10,コスト!$A$1:$I$1,FALSE))</f>
        <v>40</v>
      </c>
      <c r="O10" s="11">
        <f ca="1">INDEX(レベル!$A$1:$I$21,MATCH(H10,レベル!$A$1:$A$21,FALSE),MATCH(G10,レベル!$A$1:$I$1,FALSE))</f>
        <v>80</v>
      </c>
      <c r="P10" s="48">
        <f t="shared" ca="1" si="8"/>
        <v>75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technical</v>
      </c>
      <c r="R10" s="5" t="str">
        <f ca="1">VLOOKUP(Q10,[1]character_type_i18n!$A:$H,3,FALSE)</f>
        <v>テクニカルタイプ</v>
      </c>
      <c r="S10" s="11">
        <f ca="1">VLOOKUP(Q10,[1]character_type_i18n!$A:$H,4,FALSE)</f>
        <v>0.9</v>
      </c>
      <c r="T10" s="11">
        <f ca="1">VLOOKUP(Q10,[1]character_type_i18n!$A:$H,5,FALSE)</f>
        <v>0.9</v>
      </c>
      <c r="U10" s="11">
        <f ca="1">VLOOKUP(Q10,[1]character_type_i18n!$A:$H,6,FALSE)</f>
        <v>1</v>
      </c>
      <c r="V10" s="11">
        <f ca="1">VLOOKUP(Q10,[1]character_type_i18n!$A:$H,7,FALSE)</f>
        <v>0.9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human</v>
      </c>
      <c r="X10" s="5" t="str">
        <f ca="1">VLOOKUP(W10,[1]character_tribe_i18n!$A:$H,3,FALSE)</f>
        <v>ヒューマン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0.94</v>
      </c>
      <c r="AB10" s="11">
        <f ca="1">VLOOKUP(W10,[1]character_tribe_i18n!$A:$H,5,FALSE)</f>
        <v>0.99</v>
      </c>
      <c r="AC10" s="11">
        <f ca="1">VLOOKUP(W10,[1]character_tribe_i18n!$A:$H,6,FALSE)</f>
        <v>1</v>
      </c>
      <c r="AD10" s="11">
        <f ca="1">VLOOKUP(W10,[1]character_tribe_i18n!$A:$H,7,FALSE)</f>
        <v>1.07</v>
      </c>
      <c r="AE10" s="9" t="s">
        <v>183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t="shared" ca="1" si="0"/>
        <v>6009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超越自我 ラグランジュ</v>
      </c>
      <c r="AI10" s="11" t="str">
        <f>IF(AE10="NULL","NULL",VLOOKUP(G10,ビット!$A$2:$B$7,2))</f>
        <v>NULL</v>
      </c>
      <c r="AJ10" s="6">
        <v>2</v>
      </c>
      <c r="AK10" s="7" t="str">
        <f t="shared" si="6"/>
        <v>普通</v>
      </c>
      <c r="AL10" s="11" t="str">
        <f ca="1">INDEX(経験値!$A$1:$I$20,MATCH(H10,経験値!$A$1:$A$20,FALSE),MATCH(G10,経験値!$A$1:$I$1,FALSE))</f>
        <v>required_exp_250</v>
      </c>
      <c r="AM10" s="8">
        <f ca="1">VLOOKUP(G10,経験値!$A$27:$B$31,2)</f>
        <v>6400</v>
      </c>
      <c r="AN10" s="17">
        <f ca="1">VLOOKUP(G10,ビット!$G$2:$H$7,2)</f>
        <v>900</v>
      </c>
      <c r="AO10" s="45"/>
      <c r="AP10" s="67">
        <v>0</v>
      </c>
      <c r="AQ10" s="57" t="e">
        <f ca="1">VLOOKUP($AP10,OFFSET(unit_skills!$A$1,0,0,COUNTA(unit_skills!$A:$A),MATCH(AQ$1,unit_skills!$1:$1,0)-MATCH($AP$1,unit_skills!$1:$1,0)+1),MATCH(AQ$1,unit_skills!$1:$1,0)-MATCH($AP$1,unit_skills!$1:$1,0)+1,FALSE)</f>
        <v>#N/A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v>0</v>
      </c>
      <c r="AU10" s="57" t="e">
        <f ca="1">VLOOKUP($AT10,OFFSET(crash_skills!$A$1,0,0,COUNTA(crash_skills!$A:$A),MATCH(AU$1,crash_skills!$1:$1,0)-MATCH($AT$1,crash_skills!$1:$1,0)+1),MATCH(AU$1,crash_skills!$1:$1,0)-MATCH($AT$1,crash_skills!$1:$1,0)+1,FALSE)</f>
        <v>#N/A</v>
      </c>
      <c r="AV10" s="57">
        <f ca="1">VLOOKUP($AT10,OFFSET(crash_skills!$A$1,0,0,COUNTA(crash_skills!$A:$A),MATCH(AV$1,crash_skills!$1:$1,0)-MATCH($AT$1,crash_skills!$1:$1,0)+1),MATCH(AV$1,crash_skills!$1:$1,0)-MATCH($AT$1,crash_skills!$1:$1,0)+1,FALSE)</f>
        <v>0</v>
      </c>
      <c r="AW10" s="57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8">
        <v>1</v>
      </c>
      <c r="AZ10" s="68">
        <v>1</v>
      </c>
      <c r="BA10" s="68">
        <v>0</v>
      </c>
      <c r="BB10" s="68">
        <v>1</v>
      </c>
      <c r="BC10" s="11">
        <f ca="1">INDEX('RC6SV'!$A$1:$G$20,MATCH(H10,'RC6SV'!$A$1:$A$20,FALSE),MATCH(G10,'RC6SV'!$A$1:$G$1,FALSE))</f>
        <v>10000</v>
      </c>
      <c r="BD10" s="48">
        <f t="shared" ca="1" si="7"/>
        <v>10000</v>
      </c>
      <c r="BE10" s="11">
        <f t="shared" ca="1" si="3"/>
        <v>0</v>
      </c>
      <c r="BF10" s="11">
        <f t="shared" ca="1" si="4"/>
        <v>1</v>
      </c>
      <c r="BG10" s="16">
        <f ca="1">IF($BE10&lt;=0,ROUND(BK10*0.5,0), ROUND($BE10*S10*AA10*J10*AY10*0.8*[1]ステータス!$B$2,0))</f>
        <v>2115</v>
      </c>
      <c r="BH10" s="16">
        <f ca="1">IF($BE10&lt;=0,ROUND(BL10*0.5,0), ROUND($BE10*T10*AB10*K10*AZ10*0.8*[1]ステータス!$C$2,0))</f>
        <v>1363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1180</v>
      </c>
      <c r="BK10" s="11">
        <f ca="1">ROUND(BD10*S10*AA10*J10*AY10*[1]ステータス!$B$2,0)</f>
        <v>4230</v>
      </c>
      <c r="BL10" s="11">
        <f ca="1">ROUND(BD10*T10*AB10*K10*AZ10*[1]ステータス!$C$2,0)</f>
        <v>2726</v>
      </c>
      <c r="BM10" s="11">
        <f ca="1">ROUND(BD10*U10*AC10*L10*BA10*[1]ステータス!$D$2,0)</f>
        <v>0</v>
      </c>
      <c r="BN10" s="11">
        <f ca="1">ROUND(BD10*V10*AD10*M10*BB10*[1]ステータス!$E$2,0)</f>
        <v>2359</v>
      </c>
      <c r="BO10" s="10">
        <v>0</v>
      </c>
      <c r="BP10" s="10">
        <v>1</v>
      </c>
      <c r="BQ10" s="10" t="s">
        <v>47</v>
      </c>
      <c r="BR10" s="10">
        <f ca="1">VLOOKUP(H10,ghosts_label!$A$2:$B$19,2,FALSE)</f>
        <v>30000</v>
      </c>
    </row>
    <row r="11" spans="1:70" ht="26" customHeight="1" x14ac:dyDescent="0.15">
      <c r="A11" s="12">
        <v>6010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超越凌駕 ラグランジュ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女性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PremiumSSS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11">
        <f ca="1">VLOOKUP(I11,[1]属性!$A:$E,2,FALSE)</f>
        <v>1</v>
      </c>
      <c r="K11" s="11">
        <f ca="1">VLOOKUP(I11,[1]属性!$A:$E,3,FALSE)</f>
        <v>1.02</v>
      </c>
      <c r="L11" s="11">
        <f ca="1">VLOOKUP(I11,[1]属性!$A:$E,4,FALSE)</f>
        <v>1</v>
      </c>
      <c r="M11" s="11">
        <f ca="1">VLOOKUP(I11,[1]属性!$A:$E,5,FALSE)</f>
        <v>0.98</v>
      </c>
      <c r="N11" s="11">
        <f ca="1">INDEX(コスト!$A$1:$I$20,MATCH(H11,コスト!$A$1:$A$20,FALSE),MATCH(G11,コスト!$A$1:$I$1,FALSE))</f>
        <v>55</v>
      </c>
      <c r="O11" s="11">
        <f ca="1">INDEX(レベル!$A$1:$I$21,MATCH(H11,レベル!$A$1:$A$21,FALSE),MATCH(G11,レベル!$A$1:$I$1,FALSE))</f>
        <v>99</v>
      </c>
      <c r="P11" s="48">
        <f t="shared" ca="1" si="8"/>
        <v>99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technical</v>
      </c>
      <c r="R11" s="5" t="str">
        <f ca="1">VLOOKUP(Q11,[1]character_type_i18n!$A:$H,3,FALSE)</f>
        <v>テクニカルタイプ</v>
      </c>
      <c r="S11" s="11">
        <f ca="1">VLOOKUP(Q11,[1]character_type_i18n!$A:$H,4,FALSE)</f>
        <v>0.9</v>
      </c>
      <c r="T11" s="11">
        <f ca="1">VLOOKUP(Q11,[1]character_type_i18n!$A:$H,5,FALSE)</f>
        <v>0.9</v>
      </c>
      <c r="U11" s="11">
        <f ca="1">VLOOKUP(Q11,[1]character_type_i18n!$A:$H,6,FALSE)</f>
        <v>1</v>
      </c>
      <c r="V11" s="11">
        <f ca="1">VLOOKUP(Q11,[1]character_type_i18n!$A:$H,7,FALSE)</f>
        <v>0.9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human</v>
      </c>
      <c r="X11" s="5" t="str">
        <f ca="1">VLOOKUP(W11,[1]character_tribe_i18n!$A:$H,3,FALSE)</f>
        <v>ヒューマン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0.94</v>
      </c>
      <c r="AB11" s="11">
        <f ca="1">VLOOKUP(W11,[1]character_tribe_i18n!$A:$H,5,FALSE)</f>
        <v>0.99</v>
      </c>
      <c r="AC11" s="11">
        <f ca="1">VLOOKUP(W11,[1]character_tribe_i18n!$A:$H,6,FALSE)</f>
        <v>1</v>
      </c>
      <c r="AD11" s="11">
        <f ca="1">VLOOKUP(W11,[1]character_tribe_i18n!$A:$H,7,FALSE)</f>
        <v>1.07</v>
      </c>
      <c r="AE11" s="9" t="s">
        <v>183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0"/>
        <v>6010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超越凌駕 ラグランジュ</v>
      </c>
      <c r="AI11" s="11" t="str">
        <f>IF(AE11="NULL","NULL",VLOOKUP(G11,ビット!$A$2:$B$7,2))</f>
        <v>NULL</v>
      </c>
      <c r="AJ11" s="6">
        <v>2</v>
      </c>
      <c r="AK11" s="7" t="str">
        <f t="shared" si="6"/>
        <v>普通</v>
      </c>
      <c r="AL11" s="11" t="str">
        <f ca="1">INDEX(経験値!$A$1:$I$20,MATCH(H11,経験値!$A$1:$A$20,FALSE),MATCH(G11,経験値!$A$1:$I$1,FALSE))</f>
        <v>required_exp_300</v>
      </c>
      <c r="AM11" s="8">
        <f ca="1">VLOOKUP(G11,経験値!$A$27:$B$31,2)</f>
        <v>6400</v>
      </c>
      <c r="AN11" s="17">
        <f ca="1">VLOOKUP(G11,ビット!$G$2:$H$7,2)</f>
        <v>900</v>
      </c>
      <c r="AO11" s="45"/>
      <c r="AP11" s="67">
        <v>0</v>
      </c>
      <c r="AQ11" s="57" t="e">
        <f ca="1">VLOOKUP($AP11,OFFSET(unit_skills!$A$1,0,0,COUNTA(unit_skills!$A:$A),MATCH(AQ$1,unit_skills!$1:$1,0)-MATCH($AP$1,unit_skills!$1:$1,0)+1),MATCH(AQ$1,unit_skills!$1:$1,0)-MATCH($AP$1,unit_skills!$1:$1,0)+1,FALSE)</f>
        <v>#N/A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v>0</v>
      </c>
      <c r="AU11" s="57" t="e">
        <f ca="1">VLOOKUP($AT11,OFFSET(crash_skills!$A$1,0,0,COUNTA(crash_skills!$A:$A),MATCH(AU$1,crash_skills!$1:$1,0)-MATCH($AT$1,crash_skills!$1:$1,0)+1),MATCH(AU$1,crash_skills!$1:$1,0)-MATCH($AT$1,crash_skills!$1:$1,0)+1,FALSE)</f>
        <v>#N/A</v>
      </c>
      <c r="AV11" s="57">
        <f ca="1">VLOOKUP($AT11,OFFSET(crash_skills!$A$1,0,0,COUNTA(crash_skills!$A:$A),MATCH(AV$1,crash_skills!$1:$1,0)-MATCH($AT$1,crash_skills!$1:$1,0)+1),MATCH(AV$1,crash_skills!$1:$1,0)-MATCH($AT$1,crash_skills!$1:$1,0)+1,FALSE)</f>
        <v>0</v>
      </c>
      <c r="AW11" s="57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8">
        <v>1</v>
      </c>
      <c r="AZ11" s="68">
        <v>1</v>
      </c>
      <c r="BA11" s="68">
        <v>0</v>
      </c>
      <c r="BB11" s="68">
        <v>1</v>
      </c>
      <c r="BC11" s="11">
        <f ca="1">INDEX('RC6SV'!$A$1:$G$20,MATCH(H11,'RC6SV'!$A$1:$A$20,FALSE),MATCH(G11,'RC6SV'!$A$1:$G$1,FALSE))</f>
        <v>14000</v>
      </c>
      <c r="BD11" s="48">
        <f t="shared" ca="1" si="7"/>
        <v>14000</v>
      </c>
      <c r="BE11" s="11">
        <f t="shared" ca="1" si="3"/>
        <v>0</v>
      </c>
      <c r="BF11" s="11">
        <f t="shared" ca="1" si="4"/>
        <v>1</v>
      </c>
      <c r="BG11" s="16">
        <f ca="1">IF($BE11&lt;=0,ROUND(BK11*0.5,0), ROUND($BE11*S11*AA11*J11*AY11*0.8*[1]ステータス!$B$2,0))</f>
        <v>2961</v>
      </c>
      <c r="BH11" s="16">
        <f ca="1">IF($BE11&lt;=0,ROUND(BL11*0.5,0), ROUND($BE11*T11*AB11*K11*AZ11*0.8*[1]ステータス!$C$2,0))</f>
        <v>1909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1652</v>
      </c>
      <c r="BK11" s="11">
        <f ca="1">ROUND(BD11*S11*AA11*J11*AY11*[1]ステータス!$B$2,0)</f>
        <v>5922</v>
      </c>
      <c r="BL11" s="11">
        <f ca="1">ROUND(BD11*T11*AB11*K11*AZ11*[1]ステータス!$C$2,0)</f>
        <v>3817</v>
      </c>
      <c r="BM11" s="11">
        <f ca="1">ROUND(BD11*U11*AC11*L11*BA11*[1]ステータス!$D$2,0)</f>
        <v>0</v>
      </c>
      <c r="BN11" s="11">
        <f ca="1">ROUND(BD11*V11*AD11*M11*BB11*[1]ステータス!$E$2,0)</f>
        <v>3303</v>
      </c>
      <c r="BO11" s="10">
        <v>0</v>
      </c>
      <c r="BP11" s="10">
        <v>1</v>
      </c>
      <c r="BQ11" s="10" t="s">
        <v>47</v>
      </c>
      <c r="BR11" s="10">
        <f ca="1">VLOOKUP(H11,ghosts_label!$A$2:$B$19,2,FALSE)</f>
        <v>30000</v>
      </c>
    </row>
    <row r="12" spans="1:70" ht="26" customHeight="1" x14ac:dyDescent="0.15">
      <c r="A12" s="12">
        <v>6011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パトドッグリーダー ポチ</v>
      </c>
      <c r="C12" s="57" t="str">
        <f ca="1">VLOOKUP($A12,OFFSET([1]characters!$A$1,0,0,COUNTA([1]characters!$A:$A),MATCH(C$1,[1]characters!$1:$1,0)-MATCH($A$1,[1]characters!$1:$1,0)+1),MATCH(C$1,[1]characters!$1:$1,0)-MATCH($A$1,[1]characters!$1:$1,0)+1,FALSE)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2" s="57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7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7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7">
        <f ca="1">VLOOKUP($A12,OFFSET([1]characters!$A$1,0,0,COUNTA([1]characters!$A:$A),MATCH(G$1,[1]characters!$1:$1,0)-MATCH($A$1,[1]characters!$1:$1,0)+1),MATCH(G$1,[1]characters!$1:$1,0)-MATCH($A$1,[1]characters!$1:$1,0)+1,FALSE)</f>
        <v>2</v>
      </c>
      <c r="H12" s="57" t="str">
        <f ca="1">VLOOKUP($A12,OFFSET([1]characters!$A$1,0,0,COUNTA([1]characters!$A:$A),MATCH(H$1,[1]characters!$1:$1,0)-MATCH($A$1,[1]characters!$1:$1,0)+1),MATCH(H$1,[1]characters!$1:$1,0)-MATCH($A$1,[1]characters!$1:$1,0)+1,FALSE)</f>
        <v>Drop1T</v>
      </c>
      <c r="I12" s="57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1">
        <f ca="1">VLOOKUP(I12,[1]属性!$A:$E,2,FALSE)</f>
        <v>1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1.02</v>
      </c>
      <c r="N12" s="11">
        <f ca="1">INDEX(コスト!$A$1:$I$20,MATCH(H12,コスト!$A$1:$A$20,FALSE),MATCH(G12,コスト!$A$1:$I$1,FALSE))</f>
        <v>1</v>
      </c>
      <c r="O12" s="11">
        <f ca="1">INDEX(レベル!$A$1:$I$21,MATCH(H12,レベル!$A$1:$A$21,FALSE),MATCH(G12,レベル!$A$1:$I$1,FALSE))</f>
        <v>20</v>
      </c>
      <c r="P12" s="48">
        <f t="shared" ref="P12:P20" ca="1" si="9">IF(G12 &gt;= 6, 99,G12*15)</f>
        <v>30</v>
      </c>
      <c r="Q12" s="57" t="str">
        <f ca="1">VLOOKUP($A12,OFFSET([1]characters!$A$1,0,0,COUNTA([1]characters!$A:$A),MATCH(Q$1,[1]characters!$1:$1,0)-MATCH($A$1,[1]characters!$1:$1,0)+1),MATCH(Q$1,[1]characters!$1:$1,0)-MATCH($A$1,[1]characters!$1:$1,0)+1,FALSE)</f>
        <v>ra002</v>
      </c>
      <c r="R12" s="5" t="str">
        <f ca="1">VLOOKUP(Q12,[1]character_type_i18n!$A:$H,3,FALSE)</f>
        <v>ユークリッドチャレンジ</v>
      </c>
      <c r="S12" s="11">
        <f ca="1">VLOOKUP(Q12,[1]character_type_i18n!$A:$H,4,FALSE)</f>
        <v>1</v>
      </c>
      <c r="T12" s="11">
        <f ca="1">VLOOKUP(Q12,[1]character_type_i18n!$A:$H,5,FALSE)</f>
        <v>1</v>
      </c>
      <c r="U12" s="11">
        <f ca="1">VLOOKUP(Q12,[1]character_type_i18n!$A:$H,6,FALSE)</f>
        <v>1</v>
      </c>
      <c r="V12" s="11">
        <f ca="1">VLOOKUP(Q12,[1]character_type_i18n!$A:$H,7,FALSE)</f>
        <v>1</v>
      </c>
      <c r="W12" s="57" t="str">
        <f ca="1">VLOOKUP($A12,OFFSET([1]characters!$A$1,0,0,COUNTA([1]characters!$A:$A),MATCH(W$1,[1]characters!$1:$1,0)-MATCH($A$1,[1]characters!$1:$1,0)+1),MATCH(W$1,[1]characters!$1:$1,0)-MATCH($A$1,[1]characters!$1:$1,0)+1,FALSE)</f>
        <v>unknown</v>
      </c>
      <c r="X12" s="5" t="str">
        <f ca="1">VLOOKUP(W12,[1]character_tribe_i18n!$A:$H,3,FALSE)</f>
        <v>Unknown</v>
      </c>
      <c r="Y12" s="57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1</v>
      </c>
      <c r="AB12" s="11">
        <f ca="1">VLOOKUP(W12,[1]character_tribe_i18n!$A:$H,5,FALSE)</f>
        <v>1</v>
      </c>
      <c r="AC12" s="11">
        <f ca="1">VLOOKUP(W12,[1]character_tribe_i18n!$A:$H,6,FALSE)</f>
        <v>1</v>
      </c>
      <c r="AD12" s="11">
        <f ca="1">VLOOKUP(W12,[1]character_tribe_i18n!$A:$H,7,FALSE)</f>
        <v>1</v>
      </c>
      <c r="AE12" s="9" t="s">
        <v>183</v>
      </c>
      <c r="AF12" s="62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f t="shared" ref="AG12:AG20" ca="1" si="10">IF(ISNA(MATCH(A12,AE:AE,0)),A12,INDIRECT(ADDRESS(MATCH(A12,AE:AE,0),COLUMN())))</f>
        <v>6011</v>
      </c>
      <c r="AH12" s="62" t="str">
        <f ca="1">VLOOKUP($AG12,OFFSET([1]characters!$A$1,0,0,COUNTA([1]characters!$A:$A),MATCH(AH$1,[1]characters!$1:$1,0)-MATCH($A$1,[1]characters!$1:$1,0)+1),MATCH(AH$1,[1]characters!$1:$1,0)-MATCH($A$1,[1]characters!$1:$1,0)+1,FALSE)</f>
        <v>パトドッグリーダー ポチ</v>
      </c>
      <c r="AI12" s="11" t="str">
        <f>IF(AE12="NULL","NULL",VLOOKUP(G12,ビット!$A$2:$B$7,2))</f>
        <v>NULL</v>
      </c>
      <c r="AJ12" s="6">
        <v>2</v>
      </c>
      <c r="AK12" s="7" t="str">
        <f t="shared" ref="AK12:AK20" si="11">IF(AJ12=1,"早熟",IF(AJ12=2,"普通",IF(AJ12=3,"晩成","")))</f>
        <v>普通</v>
      </c>
      <c r="AL12" s="11" t="str">
        <f ca="1">INDEX(経験値!$A$1:$I$20,MATCH(H12,経験値!$A$1:$A$20,FALSE),MATCH(G12,経験値!$A$1:$I$1,FALSE))</f>
        <v>required_exp_50</v>
      </c>
      <c r="AM12" s="8">
        <f ca="1">VLOOKUP(G12,経験値!$A$27:$B$31,2)</f>
        <v>600</v>
      </c>
      <c r="AN12" s="17">
        <f ca="1">VLOOKUP(G12,ビット!$G$2:$H$7,2)</f>
        <v>150</v>
      </c>
      <c r="AO12" s="45"/>
      <c r="AP12" s="67">
        <v>0</v>
      </c>
      <c r="AQ12" s="57" t="e">
        <f ca="1">VLOOKUP($AP12,OFFSET(unit_skills!$A$1,0,0,COUNTA(unit_skills!$A:$A),MATCH(AQ$1,unit_skills!$1:$1,0)-MATCH($AP$1,unit_skills!$1:$1,0)+1),MATCH(AQ$1,unit_skills!$1:$1,0)-MATCH($AP$1,unit_skills!$1:$1,0)+1,FALSE)</f>
        <v>#N/A</v>
      </c>
      <c r="AR12" s="57" t="str">
        <f ca="1">VLOOKUP($AP12,OFFSET(unit_skills!$A$1,0,0,COUNTA(unit_skills!$A:$A),MATCH(AR$1,unit_skills!$1:$1,0)-MATCH($AP$1,unit_skills!$1:$1,0)+1),MATCH(AR$1,unit_skills!$1:$1,0)-MATCH($AP$1,unit_skills!$1:$1,0)+1,FALSE)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2" s="57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1">
        <v>0</v>
      </c>
      <c r="AU12" s="57" t="e">
        <f ca="1">VLOOKUP($AT12,OFFSET(crash_skills!$A$1,0,0,COUNTA(crash_skills!$A:$A),MATCH(AU$1,crash_skills!$1:$1,0)-MATCH($AT$1,crash_skills!$1:$1,0)+1),MATCH(AU$1,crash_skills!$1:$1,0)-MATCH($AT$1,crash_skills!$1:$1,0)+1,FALSE)</f>
        <v>#N/A</v>
      </c>
      <c r="AV12" s="57">
        <f ca="1">VLOOKUP($AT12,OFFSET(crash_skills!$A$1,0,0,COUNTA(crash_skills!$A:$A),MATCH(AV$1,crash_skills!$1:$1,0)-MATCH($AT$1,crash_skills!$1:$1,0)+1),MATCH(AV$1,crash_skills!$1:$1,0)-MATCH($AT$1,crash_skills!$1:$1,0)+1,FALSE)</f>
        <v>0</v>
      </c>
      <c r="AW12" s="57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8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8">
        <v>1</v>
      </c>
      <c r="AZ12" s="68">
        <v>1</v>
      </c>
      <c r="BA12" s="68">
        <v>0</v>
      </c>
      <c r="BB12" s="68">
        <v>1</v>
      </c>
      <c r="BC12" s="11">
        <f ca="1">INDEX('RC6SV'!$A$1:$G$20,MATCH(H12,'RC6SV'!$A$1:$A$20,FALSE),MATCH(G12,'RC6SV'!$A$1:$G$1,FALSE))</f>
        <v>2300</v>
      </c>
      <c r="BD12" s="48">
        <f t="shared" ref="BD12:BD20" ca="1" si="12">ROUND(BC12*IF(AJ12=1,0.95,IF(AJ12=2,1,IF(AJ12,1.05,0))),0)</f>
        <v>2300</v>
      </c>
      <c r="BE12" s="11">
        <f t="shared" ca="1" si="3"/>
        <v>0</v>
      </c>
      <c r="BF12" s="11">
        <f t="shared" ca="1" si="4"/>
        <v>1</v>
      </c>
      <c r="BG12" s="16">
        <f ca="1">IF($BE12&lt;=0,ROUND(BK12*0.5,0), ROUND($BE12*S12*AA12*J12*AY12*0.8*[1]ステータス!$B$2,0))</f>
        <v>575</v>
      </c>
      <c r="BH12" s="16">
        <f ca="1">IF($BE12&lt;=0,ROUND(BL12*0.5,0), ROUND($BE12*T12*AB12*K12*AZ12*0.8*[1]ステータス!$C$2,0))</f>
        <v>338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294</v>
      </c>
      <c r="BK12" s="11">
        <f ca="1">ROUND(BD12*S12*AA12*J12*AY12*[1]ステータス!$B$2,0)</f>
        <v>1150</v>
      </c>
      <c r="BL12" s="11">
        <f ca="1">ROUND(BD12*T12*AB12*K12*AZ12*[1]ステータス!$C$2,0)</f>
        <v>676</v>
      </c>
      <c r="BM12" s="11">
        <f ca="1">ROUND(BD12*U12*AC12*L12*BA12*[1]ステータス!$D$2,0)</f>
        <v>0</v>
      </c>
      <c r="BN12" s="11">
        <f ca="1">ROUND(BD12*V12*AD12*M12*BB12*[1]ステータス!$E$2,0)</f>
        <v>587</v>
      </c>
      <c r="BO12" s="10">
        <v>0</v>
      </c>
      <c r="BP12" s="10">
        <v>1</v>
      </c>
      <c r="BQ12" s="10" t="s">
        <v>47</v>
      </c>
      <c r="BR12" s="10">
        <f ca="1">VLOOKUP(H12,ghosts_label!$A$2:$B$19,2,FALSE)</f>
        <v>1</v>
      </c>
    </row>
    <row r="13" spans="1:70" ht="26" customHeight="1" x14ac:dyDescent="0.15">
      <c r="A13" s="12">
        <v>6012</v>
      </c>
      <c r="B13" s="57" t="str">
        <f ca="1">VLOOKUP($A13,OFFSET([1]characters!$A$1,0,0,COUNTA([1]characters!$A:$A),MATCH(B$1,[1]characters!$1:$1,0)-MATCH($A$1,[1]characters!$1:$1,0)+1),MATCH(B$1,[1]characters!$1:$1,0)-MATCH($A$1,[1]characters!$1:$1,0)+1,FALSE)</f>
        <v>ミミ</v>
      </c>
      <c r="C13" s="57" t="str">
        <f ca="1">VLOOKUP($A13,OFFSET([1]characters!$A$1,0,0,COUNTA([1]characters!$A:$A),MATCH(C$1,[1]characters!$1:$1,0)-MATCH($A$1,[1]characters!$1:$1,0)+1),MATCH(C$1,[1]characters!$1:$1,0)-MATCH($A$1,[1]characters!$1:$1,0)+1,FALSE)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3" s="57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7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7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7">
        <f ca="1">VLOOKUP($A13,OFFSET([1]characters!$A$1,0,0,COUNTA([1]characters!$A:$A),MATCH(G$1,[1]characters!$1:$1,0)-MATCH($A$1,[1]characters!$1:$1,0)+1),MATCH(G$1,[1]characters!$1:$1,0)-MATCH($A$1,[1]characters!$1:$1,0)+1,FALSE)</f>
        <v>1</v>
      </c>
      <c r="H13" s="57" t="str">
        <f ca="1">VLOOKUP($A13,OFFSET([1]characters!$A$1,0,0,COUNTA([1]characters!$A:$A),MATCH(H$1,[1]characters!$1:$1,0)-MATCH($A$1,[1]characters!$1:$1,0)+1),MATCH(H$1,[1]characters!$1:$1,0)-MATCH($A$1,[1]characters!$1:$1,0)+1,FALSE)</f>
        <v>Drop1W</v>
      </c>
      <c r="I13" s="57" t="str">
        <f ca="1">VLOOKUP($A13,OFFSET([1]characters!$A$1,0,0,COUNTA([1]characters!$A:$A),MATCH(I$1,[1]characters!$1:$1,0)-MATCH($A$1,[1]characters!$1:$1,0)+1),MATCH(I$1,[1]characters!$1:$1,0)-MATCH($A$1,[1]characters!$1:$1,0)+1,FALSE)</f>
        <v>yellow</v>
      </c>
      <c r="J13" s="11">
        <f ca="1">VLOOKUP(I13,[1]属性!$A:$E,2,FALSE)</f>
        <v>0.98</v>
      </c>
      <c r="K13" s="11">
        <f ca="1">VLOOKUP(I13,[1]属性!$A:$E,3,FALSE)</f>
        <v>1.01</v>
      </c>
      <c r="L13" s="11">
        <f ca="1">VLOOKUP(I13,[1]属性!$A:$E,4,FALSE)</f>
        <v>1</v>
      </c>
      <c r="M13" s="11">
        <f ca="1">VLOOKUP(I13,[1]属性!$A:$E,5,FALSE)</f>
        <v>1.01</v>
      </c>
      <c r="N13" s="11">
        <f ca="1">INDEX(コスト!$A$1:$I$20,MATCH(H13,コスト!$A$1:$A$20,FALSE),MATCH(G13,コスト!$A$1:$I$1,FALSE))</f>
        <v>1</v>
      </c>
      <c r="O13" s="11">
        <f ca="1">INDEX(レベル!$A$1:$I$21,MATCH(H13,レベル!$A$1:$A$21,FALSE),MATCH(G13,レベル!$A$1:$I$1,FALSE))</f>
        <v>15</v>
      </c>
      <c r="P13" s="48">
        <f t="shared" ca="1" si="9"/>
        <v>15</v>
      </c>
      <c r="Q13" s="57" t="str">
        <f ca="1">VLOOKUP($A13,OFFSET([1]characters!$A$1,0,0,COUNTA([1]characters!$A:$A),MATCH(Q$1,[1]characters!$1:$1,0)-MATCH($A$1,[1]characters!$1:$1,0)+1),MATCH(Q$1,[1]characters!$1:$1,0)-MATCH($A$1,[1]characters!$1:$1,0)+1,FALSE)</f>
        <v>ra002</v>
      </c>
      <c r="R13" s="5" t="str">
        <f ca="1">VLOOKUP(Q13,[1]character_type_i18n!$A:$H,3,FALSE)</f>
        <v>ユークリッドチャレンジ</v>
      </c>
      <c r="S13" s="11">
        <f ca="1">VLOOKUP(Q13,[1]character_type_i18n!$A:$H,4,FALSE)</f>
        <v>1</v>
      </c>
      <c r="T13" s="11">
        <f ca="1">VLOOKUP(Q13,[1]character_type_i18n!$A:$H,5,FALSE)</f>
        <v>1</v>
      </c>
      <c r="U13" s="11">
        <f ca="1">VLOOKUP(Q13,[1]character_type_i18n!$A:$H,6,FALSE)</f>
        <v>1</v>
      </c>
      <c r="V13" s="11">
        <f ca="1">VLOOKUP(Q13,[1]character_type_i18n!$A:$H,7,FALSE)</f>
        <v>1</v>
      </c>
      <c r="W13" s="57" t="str">
        <f ca="1">VLOOKUP($A13,OFFSET([1]characters!$A$1,0,0,COUNTA([1]characters!$A:$A),MATCH(W$1,[1]characters!$1:$1,0)-MATCH($A$1,[1]characters!$1:$1,0)+1),MATCH(W$1,[1]characters!$1:$1,0)-MATCH($A$1,[1]characters!$1:$1,0)+1,FALSE)</f>
        <v>animal</v>
      </c>
      <c r="X13" s="5" t="str">
        <f ca="1">VLOOKUP(W13,[1]character_tribe_i18n!$A:$H,3,FALSE)</f>
        <v>アニマル</v>
      </c>
      <c r="Y13" s="57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1</v>
      </c>
      <c r="AB13" s="11">
        <f ca="1">VLOOKUP(W13,[1]character_tribe_i18n!$A:$H,5,FALSE)</f>
        <v>1.1000000000000001</v>
      </c>
      <c r="AC13" s="11">
        <f ca="1">VLOOKUP(W13,[1]character_tribe_i18n!$A:$H,6,FALSE)</f>
        <v>1</v>
      </c>
      <c r="AD13" s="11">
        <f ca="1">VLOOKUP(W13,[1]character_tribe_i18n!$A:$H,7,FALSE)</f>
        <v>0.9</v>
      </c>
      <c r="AE13" s="9" t="s">
        <v>183</v>
      </c>
      <c r="AF13" s="62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10"/>
        <v>6012</v>
      </c>
      <c r="AH13" s="62" t="str">
        <f ca="1">VLOOKUP($AG13,OFFSET([1]characters!$A$1,0,0,COUNTA([1]characters!$A:$A),MATCH(AH$1,[1]characters!$1:$1,0)-MATCH($A$1,[1]characters!$1:$1,0)+1),MATCH(AH$1,[1]characters!$1:$1,0)-MATCH($A$1,[1]characters!$1:$1,0)+1,FALSE)</f>
        <v>ミミ</v>
      </c>
      <c r="AI13" s="11" t="str">
        <f>IF(AE13="NULL","NULL",VLOOKUP(G13,ビット!$A$2:$B$7,2))</f>
        <v>NULL</v>
      </c>
      <c r="AJ13" s="6">
        <v>2</v>
      </c>
      <c r="AK13" s="7" t="str">
        <f t="shared" si="11"/>
        <v>普通</v>
      </c>
      <c r="AL13" s="11" t="str">
        <f ca="1">INDEX(経験値!$A$1:$I$20,MATCH(H13,経験値!$A$1:$A$20,FALSE),MATCH(G13,経験値!$A$1:$I$1,FALSE))</f>
        <v>required_exp_70</v>
      </c>
      <c r="AM13" s="8">
        <f ca="1">VLOOKUP(G13,経験値!$A$27:$B$31,2)</f>
        <v>200</v>
      </c>
      <c r="AN13" s="17">
        <f ca="1">VLOOKUP(G13,ビット!$G$2:$H$7,2)</f>
        <v>75</v>
      </c>
      <c r="AO13" s="45"/>
      <c r="AP13" s="67">
        <v>0</v>
      </c>
      <c r="AQ13" s="57" t="e">
        <f ca="1">VLOOKUP($AP13,OFFSET(unit_skills!$A$1,0,0,COUNTA(unit_skills!$A:$A),MATCH(AQ$1,unit_skills!$1:$1,0)-MATCH($AP$1,unit_skills!$1:$1,0)+1),MATCH(AQ$1,unit_skills!$1:$1,0)-MATCH($AP$1,unit_skills!$1:$1,0)+1,FALSE)</f>
        <v>#N/A</v>
      </c>
      <c r="AR13" s="57" t="str">
        <f ca="1">VLOOKUP($AP13,OFFSET(unit_skills!$A$1,0,0,COUNTA(unit_skills!$A:$A),MATCH(AR$1,unit_skills!$1:$1,0)-MATCH($AP$1,unit_skills!$1:$1,0)+1),MATCH(AR$1,unit_skills!$1:$1,0)-MATCH($AP$1,unit_skills!$1:$1,0)+1,FALSE)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3" s="57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1">
        <v>0</v>
      </c>
      <c r="AU13" s="57" t="e">
        <f ca="1">VLOOKUP($AT13,OFFSET(crash_skills!$A$1,0,0,COUNTA(crash_skills!$A:$A),MATCH(AU$1,crash_skills!$1:$1,0)-MATCH($AT$1,crash_skills!$1:$1,0)+1),MATCH(AU$1,crash_skills!$1:$1,0)-MATCH($AT$1,crash_skills!$1:$1,0)+1,FALSE)</f>
        <v>#N/A</v>
      </c>
      <c r="AV13" s="57">
        <f ca="1">VLOOKUP($AT13,OFFSET(crash_skills!$A$1,0,0,COUNTA(crash_skills!$A:$A),MATCH(AV$1,crash_skills!$1:$1,0)-MATCH($AT$1,crash_skills!$1:$1,0)+1),MATCH(AV$1,crash_skills!$1:$1,0)-MATCH($AT$1,crash_skills!$1:$1,0)+1,FALSE)</f>
        <v>0</v>
      </c>
      <c r="AW13" s="57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8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8">
        <v>1</v>
      </c>
      <c r="AZ13" s="68">
        <v>1</v>
      </c>
      <c r="BA13" s="68">
        <v>0</v>
      </c>
      <c r="BB13" s="68">
        <v>1</v>
      </c>
      <c r="BC13" s="11">
        <f ca="1">INDEX('RC6SV'!$A$1:$G$20,MATCH(H13,'RC6SV'!$A$1:$A$20,FALSE),MATCH(G13,'RC6SV'!$A$1:$G$1,FALSE))</f>
        <v>1750</v>
      </c>
      <c r="BD13" s="48">
        <f t="shared" ca="1" si="12"/>
        <v>1750</v>
      </c>
      <c r="BE13" s="11">
        <f t="shared" ca="1" si="3"/>
        <v>0</v>
      </c>
      <c r="BF13" s="11">
        <f t="shared" ca="1" si="4"/>
        <v>1</v>
      </c>
      <c r="BG13" s="16">
        <f ca="1">IF($BE13&lt;=0,ROUND(BK13*0.5,0), ROUND($BE13*S13*AA13*J13*AY13*0.8*[1]ステータス!$B$2,0))</f>
        <v>429</v>
      </c>
      <c r="BH13" s="16">
        <f ca="1">IF($BE13&lt;=0,ROUND(BL13*0.5,0), ROUND($BE13*T13*AB13*K13*AZ13*0.8*[1]ステータス!$C$2,0))</f>
        <v>292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199</v>
      </c>
      <c r="BK13" s="11">
        <f ca="1">ROUND(BD13*S13*AA13*J13*AY13*[1]ステータス!$B$2,0)</f>
        <v>858</v>
      </c>
      <c r="BL13" s="11">
        <f ca="1">ROUND(BD13*T13*AB13*K13*AZ13*[1]ステータス!$C$2,0)</f>
        <v>583</v>
      </c>
      <c r="BM13" s="11">
        <f ca="1">ROUND(BD13*U13*AC13*L13*BA13*[1]ステータス!$D$2,0)</f>
        <v>0</v>
      </c>
      <c r="BN13" s="11">
        <f ca="1">ROUND(BD13*V13*AD13*M13*BB13*[1]ステータス!$E$2,0)</f>
        <v>398</v>
      </c>
      <c r="BO13" s="10">
        <v>0</v>
      </c>
      <c r="BP13" s="10">
        <v>1</v>
      </c>
      <c r="BQ13" s="10" t="s">
        <v>47</v>
      </c>
      <c r="BR13" s="10">
        <f ca="1">VLOOKUP(H13,ghosts_label!$A$2:$B$19,2,FALSE)</f>
        <v>1</v>
      </c>
    </row>
    <row r="14" spans="1:70" ht="26" customHeight="1" x14ac:dyDescent="0.15">
      <c r="A14" s="12">
        <v>6013</v>
      </c>
      <c r="B14" s="57" t="str">
        <f ca="1">VLOOKUP($A14,OFFSET([1]characters!$A$1,0,0,COUNTA([1]characters!$A:$A),MATCH(B$1,[1]characters!$1:$1,0)-MATCH($A$1,[1]characters!$1:$1,0)+1),MATCH(B$1,[1]characters!$1:$1,0)-MATCH($A$1,[1]characters!$1:$1,0)+1,FALSE)</f>
        <v>護衛機人 スケアクロウ</v>
      </c>
      <c r="C14" s="57" t="str">
        <f ca="1">VLOOKUP($A14,OFFSET([1]characters!$A$1,0,0,COUNTA([1]characters!$A:$A),MATCH(C$1,[1]characters!$1:$1,0)-MATCH($A$1,[1]characters!$1:$1,0)+1),MATCH(C$1,[1]characters!$1:$1,0)-MATCH($A$1,[1]characters!$1:$1,0)+1,FALSE)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4" s="57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7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7" t="str">
        <f ca="1">VLOOKUP($A14,OFFSET([1]characters!$A$1,0,0,COUNTA([1]characters!$A:$A),MATCH(F$1,[1]characters!$1:$1,0)-MATCH($A$1,[1]characters!$1:$1,0)+1),MATCH(F$1,[1]characters!$1:$1,0)-MATCH($A$1,[1]characters!$1:$1,0)+1,FALSE)</f>
        <v>男性</v>
      </c>
      <c r="G14" s="57">
        <f ca="1">VLOOKUP($A14,OFFSET([1]characters!$A$1,0,0,COUNTA([1]characters!$A:$A),MATCH(G$1,[1]characters!$1:$1,0)-MATCH($A$1,[1]characters!$1:$1,0)+1),MATCH(G$1,[1]characters!$1:$1,0)-MATCH($A$1,[1]characters!$1:$1,0)+1,FALSE)</f>
        <v>2</v>
      </c>
      <c r="H14" s="57" t="str">
        <f ca="1">VLOOKUP($A14,OFFSET([1]characters!$A$1,0,0,COUNTA([1]characters!$A:$A),MATCH(H$1,[1]characters!$1:$1,0)-MATCH($A$1,[1]characters!$1:$1,0)+1),MATCH(H$1,[1]characters!$1:$1,0)-MATCH($A$1,[1]characters!$1:$1,0)+1,FALSE)</f>
        <v>Drop1N</v>
      </c>
      <c r="I14" s="57" t="str">
        <f ca="1">VLOOKUP($A14,OFFSET([1]characters!$A$1,0,0,COUNTA([1]characters!$A:$A),MATCH(I$1,[1]characters!$1:$1,0)-MATCH($A$1,[1]characters!$1:$1,0)+1),MATCH(I$1,[1]characters!$1:$1,0)-MATCH($A$1,[1]characters!$1:$1,0)+1,FALSE)</f>
        <v>blue</v>
      </c>
      <c r="J14" s="11">
        <f ca="1">VLOOKUP(I14,[1]属性!$A:$E,2,FALSE)</f>
        <v>1</v>
      </c>
      <c r="K14" s="11">
        <f ca="1">VLOOKUP(I14,[1]属性!$A:$E,3,FALSE)</f>
        <v>0.98</v>
      </c>
      <c r="L14" s="11">
        <f ca="1">VLOOKUP(I14,[1]属性!$A:$E,4,FALSE)</f>
        <v>1</v>
      </c>
      <c r="M14" s="11">
        <f ca="1">VLOOKUP(I14,[1]属性!$A:$E,5,FALSE)</f>
        <v>1.02</v>
      </c>
      <c r="N14" s="11">
        <f ca="1">INDEX(コスト!$A$1:$I$20,MATCH(H14,コスト!$A$1:$A$20,FALSE),MATCH(G14,コスト!$A$1:$I$1,FALSE))</f>
        <v>4</v>
      </c>
      <c r="O14" s="11">
        <f ca="1">INDEX(レベル!$A$1:$I$21,MATCH(H14,レベル!$A$1:$A$21,FALSE),MATCH(G14,レベル!$A$1:$I$1,FALSE))</f>
        <v>30</v>
      </c>
      <c r="P14" s="48">
        <f t="shared" ca="1" si="9"/>
        <v>30</v>
      </c>
      <c r="Q14" s="57" t="str">
        <f ca="1">VLOOKUP($A14,OFFSET([1]characters!$A$1,0,0,COUNTA([1]characters!$A:$A),MATCH(Q$1,[1]characters!$1:$1,0)-MATCH($A$1,[1]characters!$1:$1,0)+1),MATCH(Q$1,[1]characters!$1:$1,0)-MATCH($A$1,[1]characters!$1:$1,0)+1,FALSE)</f>
        <v>ra002</v>
      </c>
      <c r="R14" s="5" t="str">
        <f ca="1">VLOOKUP(Q14,[1]character_type_i18n!$A:$H,3,FALSE)</f>
        <v>ユークリッドチャレンジ</v>
      </c>
      <c r="S14" s="11">
        <f ca="1">VLOOKUP(Q14,[1]character_type_i18n!$A:$H,4,FALSE)</f>
        <v>1</v>
      </c>
      <c r="T14" s="11">
        <f ca="1">VLOOKUP(Q14,[1]character_type_i18n!$A:$H,5,FALSE)</f>
        <v>1</v>
      </c>
      <c r="U14" s="11">
        <f ca="1">VLOOKUP(Q14,[1]character_type_i18n!$A:$H,6,FALSE)</f>
        <v>1</v>
      </c>
      <c r="V14" s="11">
        <f ca="1">VLOOKUP(Q14,[1]character_type_i18n!$A:$H,7,FALSE)</f>
        <v>1</v>
      </c>
      <c r="W14" s="57" t="str">
        <f ca="1">VLOOKUP($A14,OFFSET([1]characters!$A$1,0,0,COUNTA([1]characters!$A:$A),MATCH(W$1,[1]characters!$1:$1,0)-MATCH($A$1,[1]characters!$1:$1,0)+1),MATCH(W$1,[1]characters!$1:$1,0)-MATCH($A$1,[1]characters!$1:$1,0)+1,FALSE)</f>
        <v>machine</v>
      </c>
      <c r="X14" s="5" t="str">
        <f ca="1">VLOOKUP(W14,[1]character_tribe_i18n!$A:$H,3,FALSE)</f>
        <v>マシン</v>
      </c>
      <c r="Y14" s="57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1</v>
      </c>
      <c r="AB14" s="11">
        <f ca="1">VLOOKUP(W14,[1]character_tribe_i18n!$A:$H,5,FALSE)</f>
        <v>1</v>
      </c>
      <c r="AC14" s="11">
        <f ca="1">VLOOKUP(W14,[1]character_tribe_i18n!$A:$H,6,FALSE)</f>
        <v>1</v>
      </c>
      <c r="AD14" s="11">
        <f ca="1">VLOOKUP(W14,[1]character_tribe_i18n!$A:$H,7,FALSE)</f>
        <v>1</v>
      </c>
      <c r="AE14" s="9" t="s">
        <v>183</v>
      </c>
      <c r="AF14" s="62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/>
      </c>
      <c r="AG14" s="5">
        <f t="shared" ca="1" si="10"/>
        <v>6013</v>
      </c>
      <c r="AH14" s="62" t="str">
        <f ca="1">VLOOKUP($AG14,OFFSET([1]characters!$A$1,0,0,COUNTA([1]characters!$A:$A),MATCH(AH$1,[1]characters!$1:$1,0)-MATCH($A$1,[1]characters!$1:$1,0)+1),MATCH(AH$1,[1]characters!$1:$1,0)-MATCH($A$1,[1]characters!$1:$1,0)+1,FALSE)</f>
        <v>護衛機人 スケアクロウ</v>
      </c>
      <c r="AI14" s="11" t="str">
        <f>IF(AE14="NULL","NULL",VLOOKUP(G14,ビット!$A$2:$B$7,2))</f>
        <v>NULL</v>
      </c>
      <c r="AJ14" s="6">
        <v>2</v>
      </c>
      <c r="AK14" s="7" t="str">
        <f t="shared" si="11"/>
        <v>普通</v>
      </c>
      <c r="AL14" s="11" t="str">
        <f ca="1">INDEX(経験値!$A$1:$I$20,MATCH(H14,経験値!$A$1:$A$20,FALSE),MATCH(G14,経験値!$A$1:$I$1,FALSE))</f>
        <v>required_exp_100</v>
      </c>
      <c r="AM14" s="8">
        <f ca="1">VLOOKUP(G14,経験値!$A$27:$B$31,2)</f>
        <v>600</v>
      </c>
      <c r="AN14" s="17">
        <f ca="1">VLOOKUP(G14,ビット!$G$2:$H$7,2)</f>
        <v>150</v>
      </c>
      <c r="AO14" s="45"/>
      <c r="AP14" s="67">
        <v>0</v>
      </c>
      <c r="AQ14" s="57" t="e">
        <f ca="1">VLOOKUP($AP14,OFFSET(unit_skills!$A$1,0,0,COUNTA(unit_skills!$A:$A),MATCH(AQ$1,unit_skills!$1:$1,0)-MATCH($AP$1,unit_skills!$1:$1,0)+1),MATCH(AQ$1,unit_skills!$1:$1,0)-MATCH($AP$1,unit_skills!$1:$1,0)+1,FALSE)</f>
        <v>#N/A</v>
      </c>
      <c r="AR14" s="57" t="str">
        <f ca="1">VLOOKUP($AP14,OFFSET(unit_skills!$A$1,0,0,COUNTA(unit_skills!$A:$A),MATCH(AR$1,unit_skills!$1:$1,0)-MATCH($AP$1,unit_skills!$1:$1,0)+1),MATCH(AR$1,unit_skills!$1:$1,0)-MATCH($AP$1,unit_skills!$1:$1,0)+1,FALSE)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4" s="57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1">
        <v>0</v>
      </c>
      <c r="AU14" s="57" t="e">
        <f ca="1">VLOOKUP($AT14,OFFSET(crash_skills!$A$1,0,0,COUNTA(crash_skills!$A:$A),MATCH(AU$1,crash_skills!$1:$1,0)-MATCH($AT$1,crash_skills!$1:$1,0)+1),MATCH(AU$1,crash_skills!$1:$1,0)-MATCH($AT$1,crash_skills!$1:$1,0)+1,FALSE)</f>
        <v>#N/A</v>
      </c>
      <c r="AV14" s="57">
        <f ca="1">VLOOKUP($AT14,OFFSET(crash_skills!$A$1,0,0,COUNTA(crash_skills!$A:$A),MATCH(AV$1,crash_skills!$1:$1,0)-MATCH($AT$1,crash_skills!$1:$1,0)+1),MATCH(AV$1,crash_skills!$1:$1,0)-MATCH($AT$1,crash_skills!$1:$1,0)+1,FALSE)</f>
        <v>0</v>
      </c>
      <c r="AW14" s="57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8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8">
        <v>1</v>
      </c>
      <c r="AZ14" s="68">
        <v>1</v>
      </c>
      <c r="BA14" s="68">
        <v>0</v>
      </c>
      <c r="BB14" s="68">
        <v>1</v>
      </c>
      <c r="BC14" s="11">
        <f ca="1">INDEX('RC6SV'!$A$1:$G$20,MATCH(H14,'RC6SV'!$A$1:$A$20,FALSE),MATCH(G14,'RC6SV'!$A$1:$G$1,FALSE))</f>
        <v>2800</v>
      </c>
      <c r="BD14" s="48">
        <f t="shared" ca="1" si="12"/>
        <v>2800</v>
      </c>
      <c r="BE14" s="11">
        <f t="shared" ca="1" si="3"/>
        <v>0</v>
      </c>
      <c r="BF14" s="11">
        <f t="shared" ca="1" si="4"/>
        <v>1</v>
      </c>
      <c r="BG14" s="16">
        <f ca="1">IF($BE14&lt;=0,ROUND(BK14*0.5,0), ROUND($BE14*S14*AA14*J14*AY14*0.8*[1]ステータス!$B$2,0))</f>
        <v>700</v>
      </c>
      <c r="BH14" s="16">
        <f ca="1">IF($BE14&lt;=0,ROUND(BL14*0.5,0), ROUND($BE14*T14*AB14*K14*AZ14*0.8*[1]ステータス!$C$2,0))</f>
        <v>412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357</v>
      </c>
      <c r="BK14" s="11">
        <f ca="1">ROUND(BD14*S14*AA14*J14*AY14*[1]ステータス!$B$2,0)</f>
        <v>1400</v>
      </c>
      <c r="BL14" s="11">
        <f ca="1">ROUND(BD14*T14*AB14*K14*AZ14*[1]ステータス!$C$2,0)</f>
        <v>823</v>
      </c>
      <c r="BM14" s="11">
        <f ca="1">ROUND(BD14*U14*AC14*L14*BA14*[1]ステータス!$D$2,0)</f>
        <v>0</v>
      </c>
      <c r="BN14" s="11">
        <f ca="1">ROUND(BD14*V14*AD14*M14*BB14*[1]ステータス!$E$2,0)</f>
        <v>714</v>
      </c>
      <c r="BO14" s="10">
        <v>0</v>
      </c>
      <c r="BP14" s="10">
        <v>1</v>
      </c>
      <c r="BQ14" s="10" t="s">
        <v>47</v>
      </c>
      <c r="BR14" s="10">
        <f ca="1">VLOOKUP(H14,ghosts_label!$A$2:$B$19,2,FALSE)</f>
        <v>1</v>
      </c>
    </row>
    <row r="15" spans="1:70" ht="26" customHeight="1" x14ac:dyDescent="0.15">
      <c r="A15" s="12">
        <v>6014</v>
      </c>
      <c r="B15" s="57" t="str">
        <f ca="1">VLOOKUP($A15,OFFSET([1]characters!$A$1,0,0,COUNTA([1]characters!$A:$A),MATCH(B$1,[1]characters!$1:$1,0)-MATCH($A$1,[1]characters!$1:$1,0)+1),MATCH(B$1,[1]characters!$1:$1,0)-MATCH($A$1,[1]characters!$1:$1,0)+1,FALSE)</f>
        <v>月下の人狼 ローレンス</v>
      </c>
      <c r="C15" s="57" t="str">
        <f ca="1">VLOOKUP($A15,OFFSET([1]characters!$A$1,0,0,COUNTA([1]characters!$A:$A),MATCH(C$1,[1]characters!$1:$1,0)-MATCH($A$1,[1]characters!$1:$1,0)+1),MATCH(C$1,[1]characters!$1:$1,0)-MATCH($A$1,[1]characters!$1:$1,0)+1,FALSE)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5" s="57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7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7" t="str">
        <f ca="1">VLOOKUP($A15,OFFSET([1]characters!$A$1,0,0,COUNTA([1]characters!$A:$A),MATCH(F$1,[1]characters!$1:$1,0)-MATCH($A$1,[1]characters!$1:$1,0)+1),MATCH(F$1,[1]characters!$1:$1,0)-MATCH($A$1,[1]characters!$1:$1,0)+1,FALSE)</f>
        <v>男性</v>
      </c>
      <c r="G15" s="57">
        <f ca="1">VLOOKUP($A15,OFFSET([1]characters!$A$1,0,0,COUNTA([1]characters!$A:$A),MATCH(G$1,[1]characters!$1:$1,0)-MATCH($A$1,[1]characters!$1:$1,0)+1),MATCH(G$1,[1]characters!$1:$1,0)-MATCH($A$1,[1]characters!$1:$1,0)+1,FALSE)</f>
        <v>4</v>
      </c>
      <c r="H15" s="57" t="str">
        <f ca="1">VLOOKUP($A15,OFFSET([1]characters!$A$1,0,0,COUNTA([1]characters!$A:$A),MATCH(H$1,[1]characters!$1:$1,0)-MATCH($A$1,[1]characters!$1:$1,0)+1),MATCH(H$1,[1]characters!$1:$1,0)-MATCH($A$1,[1]characters!$1:$1,0)+1,FALSE)</f>
        <v>PremiumW</v>
      </c>
      <c r="I15" s="57" t="str">
        <f ca="1">VLOOKUP($A15,OFFSET([1]characters!$A$1,0,0,COUNTA([1]characters!$A:$A),MATCH(I$1,[1]characters!$1:$1,0)-MATCH($A$1,[1]characters!$1:$1,0)+1),MATCH(I$1,[1]characters!$1:$1,0)-MATCH($A$1,[1]characters!$1:$1,0)+1,FALSE)</f>
        <v>blue</v>
      </c>
      <c r="J15" s="11">
        <f ca="1">VLOOKUP(I15,[1]属性!$A:$E,2,FALSE)</f>
        <v>1</v>
      </c>
      <c r="K15" s="11">
        <f ca="1">VLOOKUP(I15,[1]属性!$A:$E,3,FALSE)</f>
        <v>0.98</v>
      </c>
      <c r="L15" s="11">
        <f ca="1">VLOOKUP(I15,[1]属性!$A:$E,4,FALSE)</f>
        <v>1</v>
      </c>
      <c r="M15" s="11">
        <f ca="1">VLOOKUP(I15,[1]属性!$A:$E,5,FALSE)</f>
        <v>1.02</v>
      </c>
      <c r="N15" s="11">
        <f ca="1">INDEX(コスト!$A$1:$I$20,MATCH(H15,コスト!$A$1:$A$20,FALSE),MATCH(G15,コスト!$A$1:$I$1,FALSE))</f>
        <v>16</v>
      </c>
      <c r="O15" s="11">
        <f ca="1">INDEX(レベル!$A$1:$I$21,MATCH(H15,レベル!$A$1:$A$21,FALSE),MATCH(G15,レベル!$A$1:$I$1,FALSE))</f>
        <v>60</v>
      </c>
      <c r="P15" s="48">
        <f t="shared" ca="1" si="9"/>
        <v>60</v>
      </c>
      <c r="Q15" s="57" t="str">
        <f ca="1">VLOOKUP($A15,OFFSET([1]characters!$A$1,0,0,COUNTA([1]characters!$A:$A),MATCH(Q$1,[1]characters!$1:$1,0)-MATCH($A$1,[1]characters!$1:$1,0)+1),MATCH(Q$1,[1]characters!$1:$1,0)-MATCH($A$1,[1]characters!$1:$1,0)+1,FALSE)</f>
        <v>ra002</v>
      </c>
      <c r="R15" s="5" t="str">
        <f ca="1">VLOOKUP(Q15,[1]character_type_i18n!$A:$H,3,FALSE)</f>
        <v>ユークリッドチャレンジ</v>
      </c>
      <c r="S15" s="11">
        <f ca="1">VLOOKUP(Q15,[1]character_type_i18n!$A:$H,4,FALSE)</f>
        <v>1</v>
      </c>
      <c r="T15" s="11">
        <f ca="1">VLOOKUP(Q15,[1]character_type_i18n!$A:$H,5,FALSE)</f>
        <v>1</v>
      </c>
      <c r="U15" s="11">
        <f ca="1">VLOOKUP(Q15,[1]character_type_i18n!$A:$H,6,FALSE)</f>
        <v>1</v>
      </c>
      <c r="V15" s="11">
        <f ca="1">VLOOKUP(Q15,[1]character_type_i18n!$A:$H,7,FALSE)</f>
        <v>1</v>
      </c>
      <c r="W15" s="57" t="str">
        <f ca="1">VLOOKUP($A15,OFFSET([1]characters!$A$1,0,0,COUNTA([1]characters!$A:$A),MATCH(W$1,[1]characters!$1:$1,0)-MATCH($A$1,[1]characters!$1:$1,0)+1),MATCH(W$1,[1]characters!$1:$1,0)-MATCH($A$1,[1]characters!$1:$1,0)+1,FALSE)</f>
        <v>animal</v>
      </c>
      <c r="X15" s="5" t="str">
        <f ca="1">VLOOKUP(W15,[1]character_tribe_i18n!$A:$H,3,FALSE)</f>
        <v>アニマル</v>
      </c>
      <c r="Y15" s="57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1</v>
      </c>
      <c r="AB15" s="11">
        <f ca="1">VLOOKUP(W15,[1]character_tribe_i18n!$A:$H,5,FALSE)</f>
        <v>1.1000000000000001</v>
      </c>
      <c r="AC15" s="11">
        <f ca="1">VLOOKUP(W15,[1]character_tribe_i18n!$A:$H,6,FALSE)</f>
        <v>1</v>
      </c>
      <c r="AD15" s="11">
        <f ca="1">VLOOKUP(W15,[1]character_tribe_i18n!$A:$H,7,FALSE)</f>
        <v>0.9</v>
      </c>
      <c r="AE15" s="9" t="s">
        <v>183</v>
      </c>
      <c r="AF15" s="62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t="shared" ca="1" si="10"/>
        <v>6014</v>
      </c>
      <c r="AH15" s="62" t="str">
        <f ca="1">VLOOKUP($AG15,OFFSET([1]characters!$A$1,0,0,COUNTA([1]characters!$A:$A),MATCH(AH$1,[1]characters!$1:$1,0)-MATCH($A$1,[1]characters!$1:$1,0)+1),MATCH(AH$1,[1]characters!$1:$1,0)-MATCH($A$1,[1]characters!$1:$1,0)+1,FALSE)</f>
        <v>月下の人狼 ローレンス</v>
      </c>
      <c r="AI15" s="11" t="str">
        <f>IF(AE15="NULL","NULL",VLOOKUP(G15,ビット!$A$2:$B$7,2))</f>
        <v>NULL</v>
      </c>
      <c r="AJ15" s="6">
        <v>2</v>
      </c>
      <c r="AK15" s="7" t="str">
        <f t="shared" si="11"/>
        <v>普通</v>
      </c>
      <c r="AL15" s="11" t="str">
        <f ca="1">INDEX(経験値!$A$1:$I$20,MATCH(H15,経験値!$A$1:$A$20,FALSE),MATCH(G15,経験値!$A$1:$I$1,FALSE))</f>
        <v>required_exp_150</v>
      </c>
      <c r="AM15" s="8">
        <f ca="1">VLOOKUP(G15,経験値!$A$27:$B$31,2)</f>
        <v>3400</v>
      </c>
      <c r="AN15" s="17">
        <f ca="1">VLOOKUP(G15,ビット!$G$2:$H$7,2)</f>
        <v>600</v>
      </c>
      <c r="AO15" s="45"/>
      <c r="AP15" s="67">
        <v>0</v>
      </c>
      <c r="AQ15" s="57" t="e">
        <f ca="1">VLOOKUP($AP15,OFFSET(unit_skills!$A$1,0,0,COUNTA(unit_skills!$A:$A),MATCH(AQ$1,unit_skills!$1:$1,0)-MATCH($AP$1,unit_skills!$1:$1,0)+1),MATCH(AQ$1,unit_skills!$1:$1,0)-MATCH($AP$1,unit_skills!$1:$1,0)+1,FALSE)</f>
        <v>#N/A</v>
      </c>
      <c r="AR15" s="57" t="str">
        <f ca="1">VLOOKUP($AP15,OFFSET(unit_skills!$A$1,0,0,COUNTA(unit_skills!$A:$A),MATCH(AR$1,unit_skills!$1:$1,0)-MATCH($AP$1,unit_skills!$1:$1,0)+1),MATCH(AR$1,unit_skills!$1:$1,0)-MATCH($AP$1,unit_skills!$1:$1,0)+1,FALSE)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5" s="57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1">
        <v>0</v>
      </c>
      <c r="AU15" s="57" t="e">
        <f ca="1">VLOOKUP($AT15,OFFSET(crash_skills!$A$1,0,0,COUNTA(crash_skills!$A:$A),MATCH(AU$1,crash_skills!$1:$1,0)-MATCH($AT$1,crash_skills!$1:$1,0)+1),MATCH(AU$1,crash_skills!$1:$1,0)-MATCH($AT$1,crash_skills!$1:$1,0)+1,FALSE)</f>
        <v>#N/A</v>
      </c>
      <c r="AV15" s="57">
        <f ca="1">VLOOKUP($AT15,OFFSET(crash_skills!$A$1,0,0,COUNTA(crash_skills!$A:$A),MATCH(AV$1,crash_skills!$1:$1,0)-MATCH($AT$1,crash_skills!$1:$1,0)+1),MATCH(AV$1,crash_skills!$1:$1,0)-MATCH($AT$1,crash_skills!$1:$1,0)+1,FALSE)</f>
        <v>0</v>
      </c>
      <c r="AW15" s="57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8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8">
        <v>1</v>
      </c>
      <c r="AZ15" s="68">
        <v>1</v>
      </c>
      <c r="BA15" s="68">
        <v>0</v>
      </c>
      <c r="BB15" s="68">
        <v>1</v>
      </c>
      <c r="BC15" s="11">
        <f ca="1">INDEX('RC6SV'!$A$1:$G$20,MATCH(H15,'RC6SV'!$A$1:$A$20,FALSE),MATCH(G15,'RC6SV'!$A$1:$G$1,FALSE))</f>
        <v>6600</v>
      </c>
      <c r="BD15" s="48">
        <f t="shared" ca="1" si="12"/>
        <v>6600</v>
      </c>
      <c r="BE15" s="11">
        <f t="shared" ca="1" si="3"/>
        <v>0</v>
      </c>
      <c r="BF15" s="11">
        <f t="shared" ca="1" si="4"/>
        <v>1</v>
      </c>
      <c r="BG15" s="16">
        <f ca="1">IF($BE15&lt;=0,ROUND(BK15*0.5,0), ROUND($BE15*S15*AA15*J15*AY15*0.8*[1]ステータス!$B$2,0))</f>
        <v>1650</v>
      </c>
      <c r="BH15" s="16">
        <f ca="1">IF($BE15&lt;=0,ROUND(BL15*0.5,0), ROUND($BE15*T15*AB15*K15*AZ15*0.8*[1]ステータス!$C$2,0))</f>
        <v>1067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758</v>
      </c>
      <c r="BK15" s="11">
        <f ca="1">ROUND(BD15*S15*AA15*J15*AY15*[1]ステータス!$B$2,0)</f>
        <v>3300</v>
      </c>
      <c r="BL15" s="11">
        <f ca="1">ROUND(BD15*T15*AB15*K15*AZ15*[1]ステータス!$C$2,0)</f>
        <v>2134</v>
      </c>
      <c r="BM15" s="11">
        <f ca="1">ROUND(BD15*U15*AC15*L15*BA15*[1]ステータス!$D$2,0)</f>
        <v>0</v>
      </c>
      <c r="BN15" s="11">
        <f ca="1">ROUND(BD15*V15*AD15*M15*BB15*[1]ステータス!$E$2,0)</f>
        <v>1515</v>
      </c>
      <c r="BO15" s="10">
        <v>0</v>
      </c>
      <c r="BP15" s="10">
        <v>1</v>
      </c>
      <c r="BQ15" s="10" t="s">
        <v>47</v>
      </c>
      <c r="BR15" s="10">
        <f ca="1">VLOOKUP(H15,ghosts_label!$A$2:$B$19,2,FALSE)</f>
        <v>500</v>
      </c>
    </row>
    <row r="16" spans="1:70" ht="26" customHeight="1" x14ac:dyDescent="0.15">
      <c r="A16" s="12">
        <v>6015</v>
      </c>
      <c r="B16" s="57" t="str">
        <f ca="1">VLOOKUP($A16,OFFSET([1]characters!$A$1,0,0,COUNTA([1]characters!$A:$A),MATCH(B$1,[1]characters!$1:$1,0)-MATCH($A$1,[1]characters!$1:$1,0)+1),MATCH(B$1,[1]characters!$1:$1,0)-MATCH($A$1,[1]characters!$1:$1,0)+1,FALSE)</f>
        <v>フレイヤ</v>
      </c>
      <c r="C16" s="57" t="str">
        <f ca="1">VLOOKUP($A16,OFFSET([1]characters!$A$1,0,0,COUNTA([1]characters!$A:$A),MATCH(C$1,[1]characters!$1:$1,0)-MATCH($A$1,[1]characters!$1:$1,0)+1),MATCH(C$1,[1]characters!$1:$1,0)-MATCH($A$1,[1]characters!$1:$1,0)+1,FALSE)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6" s="57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7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7" t="str">
        <f ca="1">VLOOKUP($A16,OFFSET([1]characters!$A$1,0,0,COUNTA([1]characters!$A:$A),MATCH(F$1,[1]characters!$1:$1,0)-MATCH($A$1,[1]characters!$1:$1,0)+1),MATCH(F$1,[1]characters!$1:$1,0)-MATCH($A$1,[1]characters!$1:$1,0)+1,FALSE)</f>
        <v>男性</v>
      </c>
      <c r="G16" s="57">
        <f ca="1">VLOOKUP($A16,OFFSET([1]characters!$A$1,0,0,COUNTA([1]characters!$A:$A),MATCH(G$1,[1]characters!$1:$1,0)-MATCH($A$1,[1]characters!$1:$1,0)+1),MATCH(G$1,[1]characters!$1:$1,0)-MATCH($A$1,[1]characters!$1:$1,0)+1,FALSE)</f>
        <v>4</v>
      </c>
      <c r="H16" s="57" t="str">
        <f ca="1">VLOOKUP($A16,OFFSET([1]characters!$A$1,0,0,COUNTA([1]characters!$A:$A),MATCH(H$1,[1]characters!$1:$1,0)-MATCH($A$1,[1]characters!$1:$1,0)+1),MATCH(H$1,[1]characters!$1:$1,0)-MATCH($A$1,[1]characters!$1:$1,0)+1,FALSE)</f>
        <v>PremiumSS</v>
      </c>
      <c r="I16" s="57" t="str">
        <f ca="1">VLOOKUP($A16,OFFSET([1]characters!$A$1,0,0,COUNTA([1]characters!$A:$A),MATCH(I$1,[1]characters!$1:$1,0)-MATCH($A$1,[1]characters!$1:$1,0)+1),MATCH(I$1,[1]characters!$1:$1,0)-MATCH($A$1,[1]characters!$1:$1,0)+1,FALSE)</f>
        <v>blue</v>
      </c>
      <c r="J16" s="11">
        <f ca="1">VLOOKUP(I16,[1]属性!$A:$E,2,FALSE)</f>
        <v>1</v>
      </c>
      <c r="K16" s="11">
        <f ca="1">VLOOKUP(I16,[1]属性!$A:$E,3,FALSE)</f>
        <v>0.98</v>
      </c>
      <c r="L16" s="11">
        <f ca="1">VLOOKUP(I16,[1]属性!$A:$E,4,FALSE)</f>
        <v>1</v>
      </c>
      <c r="M16" s="11">
        <f ca="1">VLOOKUP(I16,[1]属性!$A:$E,5,FALSE)</f>
        <v>1.02</v>
      </c>
      <c r="N16" s="11">
        <f ca="1">INDEX(コスト!$A$1:$I$20,MATCH(H16,コスト!$A$1:$A$20,FALSE),MATCH(G16,コスト!$A$1:$I$1,FALSE))</f>
        <v>25</v>
      </c>
      <c r="O16" s="11">
        <f ca="1">INDEX(レベル!$A$1:$I$21,MATCH(H16,レベル!$A$1:$A$21,FALSE),MATCH(G16,レベル!$A$1:$I$1,FALSE))</f>
        <v>60</v>
      </c>
      <c r="P16" s="48">
        <f t="shared" ca="1" si="9"/>
        <v>60</v>
      </c>
      <c r="Q16" s="57" t="str">
        <f ca="1">VLOOKUP($A16,OFFSET([1]characters!$A$1,0,0,COUNTA([1]characters!$A:$A),MATCH(Q$1,[1]characters!$1:$1,0)-MATCH($A$1,[1]characters!$1:$1,0)+1),MATCH(Q$1,[1]characters!$1:$1,0)-MATCH($A$1,[1]characters!$1:$1,0)+1,FALSE)</f>
        <v>ra002</v>
      </c>
      <c r="R16" s="5" t="str">
        <f ca="1">VLOOKUP(Q16,[1]character_type_i18n!$A:$H,3,FALSE)</f>
        <v>ユークリッドチャレンジ</v>
      </c>
      <c r="S16" s="11">
        <f ca="1">VLOOKUP(Q16,[1]character_type_i18n!$A:$H,4,FALSE)</f>
        <v>1</v>
      </c>
      <c r="T16" s="11">
        <f ca="1">VLOOKUP(Q16,[1]character_type_i18n!$A:$H,5,FALSE)</f>
        <v>1</v>
      </c>
      <c r="U16" s="11">
        <f ca="1">VLOOKUP(Q16,[1]character_type_i18n!$A:$H,6,FALSE)</f>
        <v>1</v>
      </c>
      <c r="V16" s="11">
        <f ca="1">VLOOKUP(Q16,[1]character_type_i18n!$A:$H,7,FALSE)</f>
        <v>1</v>
      </c>
      <c r="W16" s="57" t="str">
        <f ca="1">VLOOKUP($A16,OFFSET([1]characters!$A$1,0,0,COUNTA([1]characters!$A:$A),MATCH(W$1,[1]characters!$1:$1,0)-MATCH($A$1,[1]characters!$1:$1,0)+1),MATCH(W$1,[1]characters!$1:$1,0)-MATCH($A$1,[1]characters!$1:$1,0)+1,FALSE)</f>
        <v>animal</v>
      </c>
      <c r="X16" s="5" t="str">
        <f ca="1">VLOOKUP(W16,[1]character_tribe_i18n!$A:$H,3,FALSE)</f>
        <v>アニマル</v>
      </c>
      <c r="Y16" s="57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 ca="1">VLOOKUP(W16,[1]character_tribe_i18n!$A:$H,4,FALSE)</f>
        <v>1</v>
      </c>
      <c r="AB16" s="11">
        <f ca="1">VLOOKUP(W16,[1]character_tribe_i18n!$A:$H,5,FALSE)</f>
        <v>1.1000000000000001</v>
      </c>
      <c r="AC16" s="11">
        <f ca="1">VLOOKUP(W16,[1]character_tribe_i18n!$A:$H,6,FALSE)</f>
        <v>1</v>
      </c>
      <c r="AD16" s="11">
        <f ca="1">VLOOKUP(W16,[1]character_tribe_i18n!$A:$H,7,FALSE)</f>
        <v>0.9</v>
      </c>
      <c r="AE16" s="9" t="s">
        <v>183</v>
      </c>
      <c r="AF16" s="62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/>
      </c>
      <c r="AG16" s="5">
        <f t="shared" ca="1" si="10"/>
        <v>6015</v>
      </c>
      <c r="AH16" s="62" t="str">
        <f ca="1">VLOOKUP($AG16,OFFSET([1]characters!$A$1,0,0,COUNTA([1]characters!$A:$A),MATCH(AH$1,[1]characters!$1:$1,0)-MATCH($A$1,[1]characters!$1:$1,0)+1),MATCH(AH$1,[1]characters!$1:$1,0)-MATCH($A$1,[1]characters!$1:$1,0)+1,FALSE)</f>
        <v>フレイヤ</v>
      </c>
      <c r="AI16" s="11" t="str">
        <f>IF(AE16="NULL","NULL",VLOOKUP(G16,ビット!$A$2:$B$7,2))</f>
        <v>NULL</v>
      </c>
      <c r="AJ16" s="6">
        <v>2</v>
      </c>
      <c r="AK16" s="7" t="str">
        <f t="shared" si="11"/>
        <v>普通</v>
      </c>
      <c r="AL16" s="11" t="str">
        <f ca="1">INDEX(経験値!$A$1:$I$20,MATCH(H16,経験値!$A$1:$A$20,FALSE),MATCH(G16,経験値!$A$1:$I$1,FALSE))</f>
        <v>required_exp_200</v>
      </c>
      <c r="AM16" s="8">
        <f ca="1">VLOOKUP(G16,経験値!$A$27:$B$31,2)</f>
        <v>3400</v>
      </c>
      <c r="AN16" s="17">
        <f ca="1">VLOOKUP(G16,ビット!$G$2:$H$7,2)</f>
        <v>600</v>
      </c>
      <c r="AO16" s="45"/>
      <c r="AP16" s="67">
        <v>0</v>
      </c>
      <c r="AQ16" s="57" t="e">
        <f ca="1">VLOOKUP($AP16,OFFSET(unit_skills!$A$1,0,0,COUNTA(unit_skills!$A:$A),MATCH(AQ$1,unit_skills!$1:$1,0)-MATCH($AP$1,unit_skills!$1:$1,0)+1),MATCH(AQ$1,unit_skills!$1:$1,0)-MATCH($AP$1,unit_skills!$1:$1,0)+1,FALSE)</f>
        <v>#N/A</v>
      </c>
      <c r="AR16" s="57" t="str">
        <f ca="1">VLOOKUP($AP16,OFFSET(unit_skills!$A$1,0,0,COUNTA(unit_skills!$A:$A),MATCH(AR$1,unit_skills!$1:$1,0)-MATCH($AP$1,unit_skills!$1:$1,0)+1),MATCH(AR$1,unit_skills!$1:$1,0)-MATCH($AP$1,unit_skills!$1:$1,0)+1,FALSE)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6" s="57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41">
        <v>0</v>
      </c>
      <c r="AU16" s="57" t="e">
        <f ca="1">VLOOKUP($AT16,OFFSET(crash_skills!$A$1,0,0,COUNTA(crash_skills!$A:$A),MATCH(AU$1,crash_skills!$1:$1,0)-MATCH($AT$1,crash_skills!$1:$1,0)+1),MATCH(AU$1,crash_skills!$1:$1,0)-MATCH($AT$1,crash_skills!$1:$1,0)+1,FALSE)</f>
        <v>#N/A</v>
      </c>
      <c r="AV16" s="57">
        <f ca="1">VLOOKUP($AT16,OFFSET(crash_skills!$A$1,0,0,COUNTA(crash_skills!$A:$A),MATCH(AV$1,crash_skills!$1:$1,0)-MATCH($AT$1,crash_skills!$1:$1,0)+1),MATCH(AV$1,crash_skills!$1:$1,0)-MATCH($AT$1,crash_skills!$1:$1,0)+1,FALSE)</f>
        <v>0</v>
      </c>
      <c r="AW16" s="57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8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8">
        <v>1</v>
      </c>
      <c r="AZ16" s="68">
        <v>1</v>
      </c>
      <c r="BA16" s="68">
        <v>0</v>
      </c>
      <c r="BB16" s="68">
        <v>1</v>
      </c>
      <c r="BC16" s="11">
        <f ca="1">INDEX('RC6SV'!$A$1:$G$20,MATCH(H16,'RC6SV'!$A$1:$A$20,FALSE),MATCH(G16,'RC6SV'!$A$1:$G$1,FALSE))</f>
        <v>7500</v>
      </c>
      <c r="BD16" s="48">
        <f t="shared" ca="1" si="12"/>
        <v>7500</v>
      </c>
      <c r="BE16" s="11">
        <f t="shared" ca="1" si="3"/>
        <v>0</v>
      </c>
      <c r="BF16" s="11">
        <f t="shared" ca="1" si="4"/>
        <v>1</v>
      </c>
      <c r="BG16" s="16">
        <f ca="1">IF($BE16&lt;=0,ROUND(BK16*0.5,0), ROUND($BE16*S16*AA16*J16*AY16*0.8*[1]ステータス!$B$2,0))</f>
        <v>1875</v>
      </c>
      <c r="BH16" s="16">
        <f ca="1">IF($BE16&lt;=0,ROUND(BL16*0.5,0), ROUND($BE16*T16*AB16*K16*AZ16*0.8*[1]ステータス!$C$2,0))</f>
        <v>1213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861</v>
      </c>
      <c r="BK16" s="11">
        <f ca="1">ROUND(BD16*S16*AA16*J16*AY16*[1]ステータス!$B$2,0)</f>
        <v>3750</v>
      </c>
      <c r="BL16" s="11">
        <f ca="1">ROUND(BD16*T16*AB16*K16*AZ16*[1]ステータス!$C$2,0)</f>
        <v>2426</v>
      </c>
      <c r="BM16" s="11">
        <f ca="1">ROUND(BD16*U16*AC16*L16*BA16*[1]ステータス!$D$2,0)</f>
        <v>0</v>
      </c>
      <c r="BN16" s="11">
        <f ca="1">ROUND(BD16*V16*AD16*M16*BB16*[1]ステータス!$E$2,0)</f>
        <v>1721</v>
      </c>
      <c r="BO16" s="10">
        <v>0</v>
      </c>
      <c r="BP16" s="10">
        <v>1</v>
      </c>
      <c r="BQ16" s="10" t="s">
        <v>47</v>
      </c>
      <c r="BR16" s="10">
        <f ca="1">VLOOKUP(H16,ghosts_label!$A$2:$B$19,2,FALSE)</f>
        <v>5500</v>
      </c>
    </row>
    <row r="17" spans="1:70" ht="26" customHeight="1" x14ac:dyDescent="0.15">
      <c r="A17" s="12">
        <v>6016</v>
      </c>
      <c r="B17" s="57" t="str">
        <f ca="1">VLOOKUP($A17,OFFSET([1]characters!$A$1,0,0,COUNTA([1]characters!$A:$A),MATCH(B$1,[1]characters!$1:$1,0)-MATCH($A$1,[1]characters!$1:$1,0)+1),MATCH(B$1,[1]characters!$1:$1,0)-MATCH($A$1,[1]characters!$1:$1,0)+1,FALSE)</f>
        <v>根原論理 ユークリッド</v>
      </c>
      <c r="C17" s="57" t="str">
        <f ca="1">VLOOKUP($A17,OFFSET([1]characters!$A$1,0,0,COUNTA([1]characters!$A:$A),MATCH(C$1,[1]characters!$1:$1,0)-MATCH($A$1,[1]characters!$1:$1,0)+1),MATCH(C$1,[1]characters!$1:$1,0)-MATCH($A$1,[1]characters!$1:$1,0)+1,FALSE)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7" s="57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7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7" t="str">
        <f ca="1">VLOOKUP($A17,OFFSET([1]characters!$A$1,0,0,COUNTA([1]characters!$A:$A),MATCH(F$1,[1]characters!$1:$1,0)-MATCH($A$1,[1]characters!$1:$1,0)+1),MATCH(F$1,[1]characters!$1:$1,0)-MATCH($A$1,[1]characters!$1:$1,0)+1,FALSE)</f>
        <v>男性</v>
      </c>
      <c r="G17" s="57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7" t="str">
        <f ca="1">VLOOKUP($A17,OFFSET([1]characters!$A$1,0,0,COUNTA([1]characters!$A:$A),MATCH(H$1,[1]characters!$1:$1,0)-MATCH($A$1,[1]characters!$1:$1,0)+1),MATCH(H$1,[1]characters!$1:$1,0)-MATCH($A$1,[1]characters!$1:$1,0)+1,FALSE)</f>
        <v>PremiumSSS</v>
      </c>
      <c r="I17" s="57" t="str">
        <f ca="1">VLOOKUP($A17,OFFSET([1]characters!$A$1,0,0,COUNTA([1]characters!$A:$A),MATCH(I$1,[1]characters!$1:$1,0)-MATCH($A$1,[1]characters!$1:$1,0)+1),MATCH(I$1,[1]characters!$1:$1,0)-MATCH($A$1,[1]characters!$1:$1,0)+1,FALSE)</f>
        <v>blue</v>
      </c>
      <c r="J17" s="11">
        <f ca="1">VLOOKUP(I17,[1]属性!$A:$E,2,FALSE)</f>
        <v>1</v>
      </c>
      <c r="K17" s="11">
        <f ca="1">VLOOKUP(I17,[1]属性!$A:$E,3,FALSE)</f>
        <v>0.98</v>
      </c>
      <c r="L17" s="11">
        <f ca="1">VLOOKUP(I17,[1]属性!$A:$E,4,FALSE)</f>
        <v>1</v>
      </c>
      <c r="M17" s="11">
        <f ca="1">VLOOKUP(I17,[1]属性!$A:$E,5,FALSE)</f>
        <v>1.02</v>
      </c>
      <c r="N17" s="11">
        <f ca="1">INDEX(コスト!$A$1:$I$20,MATCH(H17,コスト!$A$1:$A$20,FALSE),MATCH(G17,コスト!$A$1:$I$1,FALSE))</f>
        <v>40</v>
      </c>
      <c r="O17" s="11">
        <f ca="1">INDEX(レベル!$A$1:$I$21,MATCH(H17,レベル!$A$1:$A$21,FALSE),MATCH(G17,レベル!$A$1:$I$1,FALSE))</f>
        <v>80</v>
      </c>
      <c r="P17" s="48">
        <f t="shared" ca="1" si="9"/>
        <v>75</v>
      </c>
      <c r="Q17" s="57" t="str">
        <f ca="1">VLOOKUP($A17,OFFSET([1]characters!$A$1,0,0,COUNTA([1]characters!$A:$A),MATCH(Q$1,[1]characters!$1:$1,0)-MATCH($A$1,[1]characters!$1:$1,0)+1),MATCH(Q$1,[1]characters!$1:$1,0)-MATCH($A$1,[1]characters!$1:$1,0)+1,FALSE)</f>
        <v>ra002</v>
      </c>
      <c r="R17" s="5" t="str">
        <f ca="1">VLOOKUP(Q17,[1]character_type_i18n!$A:$H,3,FALSE)</f>
        <v>ユークリッドチャレンジ</v>
      </c>
      <c r="S17" s="11">
        <f ca="1">VLOOKUP(Q17,[1]character_type_i18n!$A:$H,4,FALSE)</f>
        <v>1</v>
      </c>
      <c r="T17" s="11">
        <f ca="1">VLOOKUP(Q17,[1]character_type_i18n!$A:$H,5,FALSE)</f>
        <v>1</v>
      </c>
      <c r="U17" s="11">
        <f ca="1">VLOOKUP(Q17,[1]character_type_i18n!$A:$H,6,FALSE)</f>
        <v>1</v>
      </c>
      <c r="V17" s="11">
        <f ca="1">VLOOKUP(Q17,[1]character_type_i18n!$A:$H,7,FALSE)</f>
        <v>1</v>
      </c>
      <c r="W17" s="57" t="str">
        <f ca="1">VLOOKUP($A17,OFFSET([1]characters!$A$1,0,0,COUNTA([1]characters!$A:$A),MATCH(W$1,[1]characters!$1:$1,0)-MATCH($A$1,[1]characters!$1:$1,0)+1),MATCH(W$1,[1]characters!$1:$1,0)-MATCH($A$1,[1]characters!$1:$1,0)+1,FALSE)</f>
        <v>human</v>
      </c>
      <c r="X17" s="5" t="str">
        <f ca="1">VLOOKUP(W17,[1]character_tribe_i18n!$A:$H,3,FALSE)</f>
        <v>ヒューマン</v>
      </c>
      <c r="Y17" s="57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 ca="1">VLOOKUP(W17,[1]character_tribe_i18n!$A:$H,4,FALSE)</f>
        <v>0.94</v>
      </c>
      <c r="AB17" s="11">
        <f ca="1">VLOOKUP(W17,[1]character_tribe_i18n!$A:$H,5,FALSE)</f>
        <v>0.99</v>
      </c>
      <c r="AC17" s="11">
        <f ca="1">VLOOKUP(W17,[1]character_tribe_i18n!$A:$H,6,FALSE)</f>
        <v>1</v>
      </c>
      <c r="AD17" s="11">
        <f ca="1">VLOOKUP(W17,[1]character_tribe_i18n!$A:$H,7,FALSE)</f>
        <v>1.07</v>
      </c>
      <c r="AE17" s="9" t="s">
        <v>183</v>
      </c>
      <c r="AF17" s="62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10"/>
        <v>6016</v>
      </c>
      <c r="AH17" s="62" t="str">
        <f ca="1">VLOOKUP($AG17,OFFSET([1]characters!$A$1,0,0,COUNTA([1]characters!$A:$A),MATCH(AH$1,[1]characters!$1:$1,0)-MATCH($A$1,[1]characters!$1:$1,0)+1),MATCH(AH$1,[1]characters!$1:$1,0)-MATCH($A$1,[1]characters!$1:$1,0)+1,FALSE)</f>
        <v>根原論理 ユークリッド</v>
      </c>
      <c r="AI17" s="11" t="str">
        <f>IF(AE17="NULL","NULL",VLOOKUP(G17,ビット!$A$2:$B$7,2))</f>
        <v>NULL</v>
      </c>
      <c r="AJ17" s="6">
        <v>2</v>
      </c>
      <c r="AK17" s="7" t="str">
        <f t="shared" si="11"/>
        <v>普通</v>
      </c>
      <c r="AL17" s="11" t="str">
        <f ca="1">INDEX(経験値!$A$1:$I$20,MATCH(H17,経験値!$A$1:$A$20,FALSE),MATCH(G17,経験値!$A$1:$I$1,FALSE))</f>
        <v>required_exp_250</v>
      </c>
      <c r="AM17" s="8">
        <f ca="1">VLOOKUP(G17,経験値!$A$27:$B$31,2)</f>
        <v>6400</v>
      </c>
      <c r="AN17" s="17">
        <f ca="1">VLOOKUP(G17,ビット!$G$2:$H$7,2)</f>
        <v>900</v>
      </c>
      <c r="AO17" s="45"/>
      <c r="AP17" s="67">
        <v>0</v>
      </c>
      <c r="AQ17" s="57" t="e">
        <f ca="1">VLOOKUP($AP17,OFFSET(unit_skills!$A$1,0,0,COUNTA(unit_skills!$A:$A),MATCH(AQ$1,unit_skills!$1:$1,0)-MATCH($AP$1,unit_skills!$1:$1,0)+1),MATCH(AQ$1,unit_skills!$1:$1,0)-MATCH($AP$1,unit_skills!$1:$1,0)+1,FALSE)</f>
        <v>#N/A</v>
      </c>
      <c r="AR17" s="57" t="str">
        <f ca="1">VLOOKUP($AP17,OFFSET(unit_skills!$A$1,0,0,COUNTA(unit_skills!$A:$A),MATCH(AR$1,unit_skills!$1:$1,0)-MATCH($AP$1,unit_skills!$1:$1,0)+1),MATCH(AR$1,unit_skills!$1:$1,0)-MATCH($AP$1,unit_skills!$1:$1,0)+1,FALSE)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7" s="57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41">
        <v>0</v>
      </c>
      <c r="AU17" s="57" t="e">
        <f ca="1">VLOOKUP($AT17,OFFSET(crash_skills!$A$1,0,0,COUNTA(crash_skills!$A:$A),MATCH(AU$1,crash_skills!$1:$1,0)-MATCH($AT$1,crash_skills!$1:$1,0)+1),MATCH(AU$1,crash_skills!$1:$1,0)-MATCH($AT$1,crash_skills!$1:$1,0)+1,FALSE)</f>
        <v>#N/A</v>
      </c>
      <c r="AV17" s="57">
        <f ca="1">VLOOKUP($AT17,OFFSET(crash_skills!$A$1,0,0,COUNTA(crash_skills!$A:$A),MATCH(AV$1,crash_skills!$1:$1,0)-MATCH($AT$1,crash_skills!$1:$1,0)+1),MATCH(AV$1,crash_skills!$1:$1,0)-MATCH($AT$1,crash_skills!$1:$1,0)+1,FALSE)</f>
        <v>0</v>
      </c>
      <c r="AW17" s="57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8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8">
        <v>1</v>
      </c>
      <c r="AZ17" s="68">
        <v>1</v>
      </c>
      <c r="BA17" s="68">
        <v>0</v>
      </c>
      <c r="BB17" s="68">
        <v>1</v>
      </c>
      <c r="BC17" s="11">
        <f ca="1">INDEX('RC6SV'!$A$1:$G$20,MATCH(H17,'RC6SV'!$A$1:$A$20,FALSE),MATCH(G17,'RC6SV'!$A$1:$G$1,FALSE))</f>
        <v>10000</v>
      </c>
      <c r="BD17" s="48">
        <f t="shared" ca="1" si="12"/>
        <v>10000</v>
      </c>
      <c r="BE17" s="11">
        <f t="shared" ca="1" si="3"/>
        <v>0</v>
      </c>
      <c r="BF17" s="11">
        <f t="shared" ca="1" si="4"/>
        <v>1</v>
      </c>
      <c r="BG17" s="16">
        <f ca="1">IF($BE17&lt;=0,ROUND(BK17*0.5,0), ROUND($BE17*S17*AA17*J17*AY17*0.8*[1]ステータス!$B$2,0))</f>
        <v>2350</v>
      </c>
      <c r="BH17" s="16">
        <f ca="1">IF($BE17&lt;=0,ROUND(BL17*0.5,0), ROUND($BE17*T17*AB17*K17*AZ17*0.8*[1]ステータス!$C$2,0))</f>
        <v>1456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1365</v>
      </c>
      <c r="BK17" s="11">
        <f ca="1">ROUND(BD17*S17*AA17*J17*AY17*[1]ステータス!$B$2,0)</f>
        <v>4700</v>
      </c>
      <c r="BL17" s="11">
        <f ca="1">ROUND(BD17*T17*AB17*K17*AZ17*[1]ステータス!$C$2,0)</f>
        <v>2911</v>
      </c>
      <c r="BM17" s="11">
        <f ca="1">ROUND(BD17*U17*AC17*L17*BA17*[1]ステータス!$D$2,0)</f>
        <v>0</v>
      </c>
      <c r="BN17" s="11">
        <f ca="1">ROUND(BD17*V17*AD17*M17*BB17*[1]ステータス!$E$2,0)</f>
        <v>2729</v>
      </c>
      <c r="BO17" s="10">
        <v>0</v>
      </c>
      <c r="BP17" s="10">
        <v>1</v>
      </c>
      <c r="BQ17" s="10" t="s">
        <v>47</v>
      </c>
      <c r="BR17" s="10">
        <f ca="1">VLOOKUP(H17,ghosts_label!$A$2:$B$19,2,FALSE)</f>
        <v>30000</v>
      </c>
    </row>
    <row r="18" spans="1:70" ht="26" customHeight="1" x14ac:dyDescent="0.15">
      <c r="A18" s="12">
        <v>6017</v>
      </c>
      <c r="B18" s="57" t="str">
        <f ca="1">VLOOKUP($A18,OFFSET([1]characters!$A$1,0,0,COUNTA([1]characters!$A:$A),MATCH(B$1,[1]characters!$1:$1,0)-MATCH($A$1,[1]characters!$1:$1,0)+1),MATCH(B$1,[1]characters!$1:$1,0)-MATCH($A$1,[1]characters!$1:$1,0)+1,FALSE)</f>
        <v>不朽の極論 ユークリッド</v>
      </c>
      <c r="C18" s="57" t="str">
        <f ca="1">VLOOKUP($A18,OFFSET([1]characters!$A$1,0,0,COUNTA([1]characters!$A:$A),MATCH(C$1,[1]characters!$1:$1,0)-MATCH($A$1,[1]characters!$1:$1,0)+1),MATCH(C$1,[1]characters!$1:$1,0)-MATCH($A$1,[1]characters!$1:$1,0)+1,FALSE)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8" s="57" t="str">
        <f ca="1">VLOOKUP($A18,OFFSET([1]characters!$A$1,0,0,COUNTA([1]characters!$A:$A),MATCH(D$1,[1]characters!$1:$1,0)-MATCH($A$1,[1]characters!$1:$1,0)+1),MATCH(D$1,[1]characters!$1:$1,0)-MATCH($A$1,[1]characters!$1:$1,0)+1,FALSE)</f>
        <v>執行者</v>
      </c>
      <c r="E18" s="57" t="str">
        <f ca="1">VLOOKUP($A18,OFFSET([1]characters!$A$1,0,0,COUNTA([1]characters!$A:$A),MATCH(E$1,[1]characters!$1:$1,0)-MATCH($A$1,[1]characters!$1:$1,0)+1),MATCH(E$1,[1]characters!$1:$1,0)-MATCH($A$1,[1]characters!$1:$1,0)+1,FALSE)</f>
        <v>格好いい</v>
      </c>
      <c r="F18" s="57" t="str">
        <f ca="1">VLOOKUP($A18,OFFSET([1]characters!$A$1,0,0,COUNTA([1]characters!$A:$A),MATCH(F$1,[1]characters!$1:$1,0)-MATCH($A$1,[1]characters!$1:$1,0)+1),MATCH(F$1,[1]characters!$1:$1,0)-MATCH($A$1,[1]characters!$1:$1,0)+1,FALSE)</f>
        <v>男性</v>
      </c>
      <c r="G18" s="57">
        <f ca="1">VLOOKUP($A18,OFFSET([1]characters!$A$1,0,0,COUNTA([1]characters!$A:$A),MATCH(G$1,[1]characters!$1:$1,0)-MATCH($A$1,[1]characters!$1:$1,0)+1),MATCH(G$1,[1]characters!$1:$1,0)-MATCH($A$1,[1]characters!$1:$1,0)+1,FALSE)</f>
        <v>6</v>
      </c>
      <c r="H18" s="57" t="str">
        <f ca="1">VLOOKUP($A18,OFFSET([1]characters!$A$1,0,0,COUNTA([1]characters!$A:$A),MATCH(H$1,[1]characters!$1:$1,0)-MATCH($A$1,[1]characters!$1:$1,0)+1),MATCH(H$1,[1]characters!$1:$1,0)-MATCH($A$1,[1]characters!$1:$1,0)+1,FALSE)</f>
        <v>PremiumSSS</v>
      </c>
      <c r="I18" s="57" t="str">
        <f ca="1">VLOOKUP($A18,OFFSET([1]characters!$A$1,0,0,COUNTA([1]characters!$A:$A),MATCH(I$1,[1]characters!$1:$1,0)-MATCH($A$1,[1]characters!$1:$1,0)+1),MATCH(I$1,[1]characters!$1:$1,0)-MATCH($A$1,[1]characters!$1:$1,0)+1,FALSE)</f>
        <v>blue</v>
      </c>
      <c r="J18" s="11">
        <f ca="1">VLOOKUP(I18,[1]属性!$A:$E,2,FALSE)</f>
        <v>1</v>
      </c>
      <c r="K18" s="11">
        <f ca="1">VLOOKUP(I18,[1]属性!$A:$E,3,FALSE)</f>
        <v>0.98</v>
      </c>
      <c r="L18" s="11">
        <f ca="1">VLOOKUP(I18,[1]属性!$A:$E,4,FALSE)</f>
        <v>1</v>
      </c>
      <c r="M18" s="11">
        <f ca="1">VLOOKUP(I18,[1]属性!$A:$E,5,FALSE)</f>
        <v>1.02</v>
      </c>
      <c r="N18" s="11">
        <f ca="1">INDEX(コスト!$A$1:$I$20,MATCH(H18,コスト!$A$1:$A$20,FALSE),MATCH(G18,コスト!$A$1:$I$1,FALSE))</f>
        <v>55</v>
      </c>
      <c r="O18" s="11">
        <f ca="1">INDEX(レベル!$A$1:$I$21,MATCH(H18,レベル!$A$1:$A$21,FALSE),MATCH(G18,レベル!$A$1:$I$1,FALSE))</f>
        <v>99</v>
      </c>
      <c r="P18" s="48">
        <f t="shared" ca="1" si="9"/>
        <v>99</v>
      </c>
      <c r="Q18" s="57" t="str">
        <f ca="1">VLOOKUP($A18,OFFSET([1]characters!$A$1,0,0,COUNTA([1]characters!$A:$A),MATCH(Q$1,[1]characters!$1:$1,0)-MATCH($A$1,[1]characters!$1:$1,0)+1),MATCH(Q$1,[1]characters!$1:$1,0)-MATCH($A$1,[1]characters!$1:$1,0)+1,FALSE)</f>
        <v>ra002</v>
      </c>
      <c r="R18" s="5" t="str">
        <f ca="1">VLOOKUP(Q18,[1]character_type_i18n!$A:$H,3,FALSE)</f>
        <v>ユークリッドチャレンジ</v>
      </c>
      <c r="S18" s="11">
        <f ca="1">VLOOKUP(Q18,[1]character_type_i18n!$A:$H,4,FALSE)</f>
        <v>1</v>
      </c>
      <c r="T18" s="11">
        <f ca="1">VLOOKUP(Q18,[1]character_type_i18n!$A:$H,5,FALSE)</f>
        <v>1</v>
      </c>
      <c r="U18" s="11">
        <f ca="1">VLOOKUP(Q18,[1]character_type_i18n!$A:$H,6,FALSE)</f>
        <v>1</v>
      </c>
      <c r="V18" s="11">
        <f ca="1">VLOOKUP(Q18,[1]character_type_i18n!$A:$H,7,FALSE)</f>
        <v>1</v>
      </c>
      <c r="W18" s="57" t="str">
        <f ca="1">VLOOKUP($A18,OFFSET([1]characters!$A$1,0,0,COUNTA([1]characters!$A:$A),MATCH(W$1,[1]characters!$1:$1,0)-MATCH($A$1,[1]characters!$1:$1,0)+1),MATCH(W$1,[1]characters!$1:$1,0)-MATCH($A$1,[1]characters!$1:$1,0)+1,FALSE)</f>
        <v>human</v>
      </c>
      <c r="X18" s="5" t="str">
        <f ca="1">VLOOKUP(W18,[1]character_tribe_i18n!$A:$H,3,FALSE)</f>
        <v>ヒューマン</v>
      </c>
      <c r="Y18" s="57" t="str">
        <f ca="1">VLOOKUP($A18,OFFSET([1]characters!$A$1,0,0,COUNTA([1]characters!$A:$A),MATCH(Y$1,[1]characters!$1:$1,0)-MATCH($A$1,[1]characters!$1:$1,0)+1),MATCH(Y$1,[1]characters!$1:$1,0)-MATCH($A$1,[1]characters!$1:$1,0)+1,FALSE)</f>
        <v>none</v>
      </c>
      <c r="Z18" s="5" t="str">
        <f ca="1">VLOOKUP(Y18,[1]character_tribe_i18n!$A:$H,3,FALSE)</f>
        <v>種族なし</v>
      </c>
      <c r="AA18" s="11">
        <f ca="1">VLOOKUP(W18,[1]character_tribe_i18n!$A:$H,4,FALSE)</f>
        <v>0.94</v>
      </c>
      <c r="AB18" s="11">
        <f ca="1">VLOOKUP(W18,[1]character_tribe_i18n!$A:$H,5,FALSE)</f>
        <v>0.99</v>
      </c>
      <c r="AC18" s="11">
        <f ca="1">VLOOKUP(W18,[1]character_tribe_i18n!$A:$H,6,FALSE)</f>
        <v>1</v>
      </c>
      <c r="AD18" s="11">
        <f ca="1">VLOOKUP(W18,[1]character_tribe_i18n!$A:$H,7,FALSE)</f>
        <v>1.07</v>
      </c>
      <c r="AE18" s="9" t="s">
        <v>183</v>
      </c>
      <c r="AF18" s="62" t="str">
        <f ca="1">IF(AE18="NULL","",VLOOKUP($AE18,OFFSET([1]characters!$A$1,0,0,COUNTA([1]characters!$A:$A),MATCH(AF$1,[1]characters!$1:$1,0)-MATCH($A$1,[1]characters!$1:$1,0)+1),MATCH(AF$1,[1]characters!$1:$1,0)-MATCH($A$1,[1]characters!$1:$1,0)+1,FALSE))</f>
        <v/>
      </c>
      <c r="AG18" s="5">
        <f t="shared" ca="1" si="10"/>
        <v>6017</v>
      </c>
      <c r="AH18" s="62" t="str">
        <f ca="1">VLOOKUP($AG18,OFFSET([1]characters!$A$1,0,0,COUNTA([1]characters!$A:$A),MATCH(AH$1,[1]characters!$1:$1,0)-MATCH($A$1,[1]characters!$1:$1,0)+1),MATCH(AH$1,[1]characters!$1:$1,0)-MATCH($A$1,[1]characters!$1:$1,0)+1,FALSE)</f>
        <v>不朽の極論 ユークリッド</v>
      </c>
      <c r="AI18" s="11" t="str">
        <f>IF(AE18="NULL","NULL",VLOOKUP(G18,ビット!$A$2:$B$7,2))</f>
        <v>NULL</v>
      </c>
      <c r="AJ18" s="6">
        <v>2</v>
      </c>
      <c r="AK18" s="7" t="str">
        <f t="shared" si="11"/>
        <v>普通</v>
      </c>
      <c r="AL18" s="11" t="str">
        <f ca="1">INDEX(経験値!$A$1:$I$20,MATCH(H18,経験値!$A$1:$A$20,FALSE),MATCH(G18,経験値!$A$1:$I$1,FALSE))</f>
        <v>required_exp_300</v>
      </c>
      <c r="AM18" s="8">
        <f ca="1">VLOOKUP(G18,経験値!$A$27:$B$31,2)</f>
        <v>6400</v>
      </c>
      <c r="AN18" s="17">
        <f ca="1">VLOOKUP(G18,ビット!$G$2:$H$7,2)</f>
        <v>900</v>
      </c>
      <c r="AO18" s="45"/>
      <c r="AP18" s="67">
        <v>0</v>
      </c>
      <c r="AQ18" s="57" t="e">
        <f ca="1">VLOOKUP($AP18,OFFSET(unit_skills!$A$1,0,0,COUNTA(unit_skills!$A:$A),MATCH(AQ$1,unit_skills!$1:$1,0)-MATCH($AP$1,unit_skills!$1:$1,0)+1),MATCH(AQ$1,unit_skills!$1:$1,0)-MATCH($AP$1,unit_skills!$1:$1,0)+1,FALSE)</f>
        <v>#N/A</v>
      </c>
      <c r="AR18" s="57" t="str">
        <f ca="1">VLOOKUP($AP18,OFFSET(unit_skills!$A$1,0,0,COUNTA(unit_skills!$A:$A),MATCH(AR$1,unit_skills!$1:$1,0)-MATCH($AP$1,unit_skills!$1:$1,0)+1),MATCH(AR$1,unit_skills!$1:$1,0)-MATCH($AP$1,unit_skills!$1:$1,0)+1,FALSE)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8" s="57">
        <f ca="1">VLOOKUP($AP18,OFFSET(unit_skills!$A$1,0,0,COUNTA(unit_skills!$A:$A),MATCH(AS$1,unit_skills!$1:$1,0)-MATCH($AP$1,unit_skills!$1:$1,0)+1),MATCH(AS$1,unit_skills!$1:$1,0)-MATCH($AP$1,unit_skills!$1:$1,0)+1,FALSE)</f>
        <v>0</v>
      </c>
      <c r="AT18" s="41">
        <v>0</v>
      </c>
      <c r="AU18" s="57" t="e">
        <f ca="1">VLOOKUP($AT18,OFFSET(crash_skills!$A$1,0,0,COUNTA(crash_skills!$A:$A),MATCH(AU$1,crash_skills!$1:$1,0)-MATCH($AT$1,crash_skills!$1:$1,0)+1),MATCH(AU$1,crash_skills!$1:$1,0)-MATCH($AT$1,crash_skills!$1:$1,0)+1,FALSE)</f>
        <v>#N/A</v>
      </c>
      <c r="AV18" s="57">
        <f ca="1">VLOOKUP($AT18,OFFSET(crash_skills!$A$1,0,0,COUNTA(crash_skills!$A:$A),MATCH(AV$1,crash_skills!$1:$1,0)-MATCH($AT$1,crash_skills!$1:$1,0)+1),MATCH(AV$1,crash_skills!$1:$1,0)-MATCH($AT$1,crash_skills!$1:$1,0)+1,FALSE)</f>
        <v>0</v>
      </c>
      <c r="AW18" s="57">
        <f ca="1">VLOOKUP($AT18,OFFSET(crash_skills!$A$1,0,0,COUNTA(crash_skills!$A:$A),MATCH(AW$1,crash_skills!$1:$1,0)-MATCH($AT$1,crash_skills!$1:$1,0)+1),MATCH(AW$1,crash_skills!$1:$1,0)-MATCH($AT$1,crash_skills!$1:$1,0)+1,FALSE)</f>
        <v>0</v>
      </c>
      <c r="AX18" s="58">
        <f ca="1">VLOOKUP($A18,OFFSET([1]characters!$A$1,0,0,COUNTA([1]characters!$A:$A),MATCH(AX$1,[1]characters!$1:$1,0)-MATCH($A$1,[1]characters!$1:$1,0)+1),MATCH(AX$1,[1]characters!$1:$1,0)-MATCH($A$1,[1]characters!$1:$1,0)+1,FALSE)</f>
        <v>3</v>
      </c>
      <c r="AY18" s="68">
        <v>1</v>
      </c>
      <c r="AZ18" s="68">
        <v>1</v>
      </c>
      <c r="BA18" s="68">
        <v>0</v>
      </c>
      <c r="BB18" s="68">
        <v>1</v>
      </c>
      <c r="BC18" s="11">
        <f ca="1">INDEX('RC6SV'!$A$1:$G$20,MATCH(H18,'RC6SV'!$A$1:$A$20,FALSE),MATCH(G18,'RC6SV'!$A$1:$G$1,FALSE))</f>
        <v>14000</v>
      </c>
      <c r="BD18" s="48">
        <f t="shared" ca="1" si="12"/>
        <v>14000</v>
      </c>
      <c r="BE18" s="11">
        <f t="shared" ca="1" si="3"/>
        <v>0</v>
      </c>
      <c r="BF18" s="11">
        <f t="shared" ca="1" si="4"/>
        <v>1</v>
      </c>
      <c r="BG18" s="16">
        <f ca="1">IF($BE18&lt;=0,ROUND(BK18*0.5,0), ROUND($BE18*S18*AA18*J18*AY18*0.8*[1]ステータス!$B$2,0))</f>
        <v>3290</v>
      </c>
      <c r="BH18" s="16">
        <f ca="1">IF($BE18&lt;=0,ROUND(BL18*0.5,0), ROUND($BE18*T18*AB18*K18*AZ18*0.8*[1]ステータス!$C$2,0))</f>
        <v>2038</v>
      </c>
      <c r="BI18" s="16">
        <f ca="1">IF($BE18&lt;=0,ROUND(BM18*0.5,0), ROUND($BE18*U18*AC18*L18*BA18*0.8*[1]ステータス!$D$2,0))</f>
        <v>0</v>
      </c>
      <c r="BJ18" s="16">
        <f ca="1">IF($BE18&lt;=0,ROUND(BN18*0.5,0), ROUND($BE18*V18*AD18*M18*BB18*0.8*[1]ステータス!$E$2,0))</f>
        <v>1910</v>
      </c>
      <c r="BK18" s="11">
        <f ca="1">ROUND(BD18*S18*AA18*J18*AY18*[1]ステータス!$B$2,0)</f>
        <v>6580</v>
      </c>
      <c r="BL18" s="11">
        <f ca="1">ROUND(BD18*T18*AB18*K18*AZ18*[1]ステータス!$C$2,0)</f>
        <v>4075</v>
      </c>
      <c r="BM18" s="11">
        <f ca="1">ROUND(BD18*U18*AC18*L18*BA18*[1]ステータス!$D$2,0)</f>
        <v>0</v>
      </c>
      <c r="BN18" s="11">
        <f ca="1">ROUND(BD18*V18*AD18*M18*BB18*[1]ステータス!$E$2,0)</f>
        <v>3820</v>
      </c>
      <c r="BO18" s="10">
        <v>0</v>
      </c>
      <c r="BP18" s="10">
        <v>1</v>
      </c>
      <c r="BQ18" s="10" t="s">
        <v>47</v>
      </c>
      <c r="BR18" s="10">
        <f ca="1">VLOOKUP(H18,ghosts_label!$A$2:$B$19,2,FALSE)</f>
        <v>30000</v>
      </c>
    </row>
    <row r="19" spans="1:70" ht="26" customHeight="1" x14ac:dyDescent="0.15">
      <c r="A19" s="12">
        <v>6018</v>
      </c>
      <c r="B19" s="57" t="str">
        <f ca="1">VLOOKUP($A19,OFFSET([1]characters!$A$1,0,0,COUNTA([1]characters!$A:$A),MATCH(B$1,[1]characters!$1:$1,0)-MATCH($A$1,[1]characters!$1:$1,0)+1),MATCH(B$1,[1]characters!$1:$1,0)-MATCH($A$1,[1]characters!$1:$1,0)+1,FALSE)</f>
        <v>ハヅル</v>
      </c>
      <c r="C19" s="57" t="str">
        <f ca="1">VLOOKUP($A19,OFFSET([1]characters!$A$1,0,0,COUNTA([1]characters!$A:$A),MATCH(C$1,[1]characters!$1:$1,0)-MATCH($A$1,[1]characters!$1:$1,0)+1),MATCH(C$1,[1]characters!$1:$1,0)-MATCH($A$1,[1]characters!$1:$1,0)+1,FALSE)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19" s="57" t="str">
        <f ca="1">VLOOKUP($A19,OFFSET([1]characters!$A$1,0,0,COUNTA([1]characters!$A:$A),MATCH(D$1,[1]characters!$1:$1,0)-MATCH($A$1,[1]characters!$1:$1,0)+1),MATCH(D$1,[1]characters!$1:$1,0)-MATCH($A$1,[1]characters!$1:$1,0)+1,FALSE)</f>
        <v>執行者</v>
      </c>
      <c r="E19" s="57" t="str">
        <f ca="1">VLOOKUP($A19,OFFSET([1]characters!$A$1,0,0,COUNTA([1]characters!$A:$A),MATCH(E$1,[1]characters!$1:$1,0)-MATCH($A$1,[1]characters!$1:$1,0)+1),MATCH(E$1,[1]characters!$1:$1,0)-MATCH($A$1,[1]characters!$1:$1,0)+1,FALSE)</f>
        <v>格好いい</v>
      </c>
      <c r="F19" s="57" t="str">
        <f ca="1">VLOOKUP($A19,OFFSET([1]characters!$A$1,0,0,COUNTA([1]characters!$A:$A),MATCH(F$1,[1]characters!$1:$1,0)-MATCH($A$1,[1]characters!$1:$1,0)+1),MATCH(F$1,[1]characters!$1:$1,0)-MATCH($A$1,[1]characters!$1:$1,0)+1,FALSE)</f>
        <v>男性</v>
      </c>
      <c r="G19" s="57">
        <f ca="1">VLOOKUP($A19,OFFSET([1]characters!$A$1,0,0,COUNTA([1]characters!$A:$A),MATCH(G$1,[1]characters!$1:$1,0)-MATCH($A$1,[1]characters!$1:$1,0)+1),MATCH(G$1,[1]characters!$1:$1,0)-MATCH($A$1,[1]characters!$1:$1,0)+1,FALSE)</f>
        <v>4</v>
      </c>
      <c r="H19" s="57" t="str">
        <f ca="1">VLOOKUP($A19,OFFSET([1]characters!$A$1,0,0,COUNTA([1]characters!$A:$A),MATCH(H$1,[1]characters!$1:$1,0)-MATCH($A$1,[1]characters!$1:$1,0)+1),MATCH(H$1,[1]characters!$1:$1,0)-MATCH($A$1,[1]characters!$1:$1,0)+1,FALSE)</f>
        <v>PremiumSS</v>
      </c>
      <c r="I19" s="57" t="str">
        <f ca="1">VLOOKUP($A19,OFFSET([1]characters!$A$1,0,0,COUNTA([1]characters!$A:$A),MATCH(I$1,[1]characters!$1:$1,0)-MATCH($A$1,[1]characters!$1:$1,0)+1),MATCH(I$1,[1]characters!$1:$1,0)-MATCH($A$1,[1]characters!$1:$1,0)+1,FALSE)</f>
        <v>red</v>
      </c>
      <c r="J19" s="11">
        <f ca="1">VLOOKUP(I19,[1]属性!$A:$E,2,FALSE)</f>
        <v>1</v>
      </c>
      <c r="K19" s="11">
        <f ca="1">VLOOKUP(I19,[1]属性!$A:$E,3,FALSE)</f>
        <v>1.02</v>
      </c>
      <c r="L19" s="11">
        <f ca="1">VLOOKUP(I19,[1]属性!$A:$E,4,FALSE)</f>
        <v>1</v>
      </c>
      <c r="M19" s="11">
        <f ca="1">VLOOKUP(I19,[1]属性!$A:$E,5,FALSE)</f>
        <v>0.98</v>
      </c>
      <c r="N19" s="11">
        <f ca="1">INDEX(コスト!$A$1:$I$20,MATCH(H19,コスト!$A$1:$A$20,FALSE),MATCH(G19,コスト!$A$1:$I$1,FALSE))</f>
        <v>25</v>
      </c>
      <c r="O19" s="11">
        <f ca="1">INDEX(レベル!$A$1:$I$21,MATCH(H19,レベル!$A$1:$A$21,FALSE),MATCH(G19,レベル!$A$1:$I$1,FALSE))</f>
        <v>60</v>
      </c>
      <c r="P19" s="48">
        <f t="shared" ca="1" si="9"/>
        <v>60</v>
      </c>
      <c r="Q19" s="57" t="str">
        <f ca="1">VLOOKUP($A19,OFFSET([1]characters!$A$1,0,0,COUNTA([1]characters!$A:$A),MATCH(Q$1,[1]characters!$1:$1,0)-MATCH($A$1,[1]characters!$1:$1,0)+1),MATCH(Q$1,[1]characters!$1:$1,0)-MATCH($A$1,[1]characters!$1:$1,0)+1,FALSE)</f>
        <v>ra002</v>
      </c>
      <c r="R19" s="5" t="str">
        <f ca="1">VLOOKUP(Q19,[1]character_type_i18n!$A:$H,3,FALSE)</f>
        <v>ユークリッドチャレンジ</v>
      </c>
      <c r="S19" s="11">
        <f ca="1">VLOOKUP(Q19,[1]character_type_i18n!$A:$H,4,FALSE)</f>
        <v>1</v>
      </c>
      <c r="T19" s="11">
        <f ca="1">VLOOKUP(Q19,[1]character_type_i18n!$A:$H,5,FALSE)</f>
        <v>1</v>
      </c>
      <c r="U19" s="11">
        <f ca="1">VLOOKUP(Q19,[1]character_type_i18n!$A:$H,6,FALSE)</f>
        <v>1</v>
      </c>
      <c r="V19" s="11">
        <f ca="1">VLOOKUP(Q19,[1]character_type_i18n!$A:$H,7,FALSE)</f>
        <v>1</v>
      </c>
      <c r="W19" s="57" t="str">
        <f ca="1">VLOOKUP($A19,OFFSET([1]characters!$A$1,0,0,COUNTA([1]characters!$A:$A),MATCH(W$1,[1]characters!$1:$1,0)-MATCH($A$1,[1]characters!$1:$1,0)+1),MATCH(W$1,[1]characters!$1:$1,0)-MATCH($A$1,[1]characters!$1:$1,0)+1,FALSE)</f>
        <v>animal</v>
      </c>
      <c r="X19" s="5" t="str">
        <f ca="1">VLOOKUP(W19,[1]character_tribe_i18n!$A:$H,3,FALSE)</f>
        <v>アニマル</v>
      </c>
      <c r="Y19" s="57" t="str">
        <f ca="1">VLOOKUP($A19,OFFSET([1]characters!$A$1,0,0,COUNTA([1]characters!$A:$A),MATCH(Y$1,[1]characters!$1:$1,0)-MATCH($A$1,[1]characters!$1:$1,0)+1),MATCH(Y$1,[1]characters!$1:$1,0)-MATCH($A$1,[1]characters!$1:$1,0)+1,FALSE)</f>
        <v>none</v>
      </c>
      <c r="Z19" s="5" t="str">
        <f ca="1">VLOOKUP(Y19,[1]character_tribe_i18n!$A:$H,3,FALSE)</f>
        <v>種族なし</v>
      </c>
      <c r="AA19" s="11">
        <f ca="1">VLOOKUP(W19,[1]character_tribe_i18n!$A:$H,4,FALSE)</f>
        <v>1</v>
      </c>
      <c r="AB19" s="11">
        <f ca="1">VLOOKUP(W19,[1]character_tribe_i18n!$A:$H,5,FALSE)</f>
        <v>1.1000000000000001</v>
      </c>
      <c r="AC19" s="11">
        <f ca="1">VLOOKUP(W19,[1]character_tribe_i18n!$A:$H,6,FALSE)</f>
        <v>1</v>
      </c>
      <c r="AD19" s="11">
        <f ca="1">VLOOKUP(W19,[1]character_tribe_i18n!$A:$H,7,FALSE)</f>
        <v>0.9</v>
      </c>
      <c r="AE19" s="9" t="s">
        <v>183</v>
      </c>
      <c r="AF19" s="62" t="str">
        <f ca="1">IF(AE19="NULL","",VLOOKUP($AE19,OFFSET([1]characters!$A$1,0,0,COUNTA([1]characters!$A:$A),MATCH(AF$1,[1]characters!$1:$1,0)-MATCH($A$1,[1]characters!$1:$1,0)+1),MATCH(AF$1,[1]characters!$1:$1,0)-MATCH($A$1,[1]characters!$1:$1,0)+1,FALSE))</f>
        <v/>
      </c>
      <c r="AG19" s="5">
        <f t="shared" ca="1" si="10"/>
        <v>6018</v>
      </c>
      <c r="AH19" s="62" t="str">
        <f ca="1">VLOOKUP($AG19,OFFSET([1]characters!$A$1,0,0,COUNTA([1]characters!$A:$A),MATCH(AH$1,[1]characters!$1:$1,0)-MATCH($A$1,[1]characters!$1:$1,0)+1),MATCH(AH$1,[1]characters!$1:$1,0)-MATCH($A$1,[1]characters!$1:$1,0)+1,FALSE)</f>
        <v>ハヅル</v>
      </c>
      <c r="AI19" s="11" t="str">
        <f>IF(AE19="NULL","NULL",VLOOKUP(G19,ビット!$A$2:$B$7,2))</f>
        <v>NULL</v>
      </c>
      <c r="AJ19" s="6">
        <v>2</v>
      </c>
      <c r="AK19" s="7" t="str">
        <f t="shared" si="11"/>
        <v>普通</v>
      </c>
      <c r="AL19" s="11" t="str">
        <f ca="1">INDEX(経験値!$A$1:$I$20,MATCH(H19,経験値!$A$1:$A$20,FALSE),MATCH(G19,経験値!$A$1:$I$1,FALSE))</f>
        <v>required_exp_200</v>
      </c>
      <c r="AM19" s="8">
        <f ca="1">VLOOKUP(G19,経験値!$A$27:$B$31,2)</f>
        <v>3400</v>
      </c>
      <c r="AN19" s="17">
        <f ca="1">VLOOKUP(G19,ビット!$G$2:$H$7,2)</f>
        <v>600</v>
      </c>
      <c r="AO19" s="45"/>
      <c r="AP19" s="67">
        <v>0</v>
      </c>
      <c r="AQ19" s="57" t="e">
        <f ca="1">VLOOKUP($AP19,OFFSET(unit_skills!$A$1,0,0,COUNTA(unit_skills!$A:$A),MATCH(AQ$1,unit_skills!$1:$1,0)-MATCH($AP$1,unit_skills!$1:$1,0)+1),MATCH(AQ$1,unit_skills!$1:$1,0)-MATCH($AP$1,unit_skills!$1:$1,0)+1,FALSE)</f>
        <v>#N/A</v>
      </c>
      <c r="AR19" s="57" t="str">
        <f ca="1">VLOOKUP($AP19,OFFSET(unit_skills!$A$1,0,0,COUNTA(unit_skills!$A:$A),MATCH(AR$1,unit_skills!$1:$1,0)-MATCH($AP$1,unit_skills!$1:$1,0)+1),MATCH(AR$1,unit_skills!$1:$1,0)-MATCH($AP$1,unit_skills!$1:$1,0)+1,FALSE)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19" s="57">
        <f ca="1">VLOOKUP($AP19,OFFSET(unit_skills!$A$1,0,0,COUNTA(unit_skills!$A:$A),MATCH(AS$1,unit_skills!$1:$1,0)-MATCH($AP$1,unit_skills!$1:$1,0)+1),MATCH(AS$1,unit_skills!$1:$1,0)-MATCH($AP$1,unit_skills!$1:$1,0)+1,FALSE)</f>
        <v>0</v>
      </c>
      <c r="AT19" s="41">
        <v>0</v>
      </c>
      <c r="AU19" s="57" t="e">
        <f ca="1">VLOOKUP($AT19,OFFSET(crash_skills!$A$1,0,0,COUNTA(crash_skills!$A:$A),MATCH(AU$1,crash_skills!$1:$1,0)-MATCH($AT$1,crash_skills!$1:$1,0)+1),MATCH(AU$1,crash_skills!$1:$1,0)-MATCH($AT$1,crash_skills!$1:$1,0)+1,FALSE)</f>
        <v>#N/A</v>
      </c>
      <c r="AV19" s="57">
        <f ca="1">VLOOKUP($AT19,OFFSET(crash_skills!$A$1,0,0,COUNTA(crash_skills!$A:$A),MATCH(AV$1,crash_skills!$1:$1,0)-MATCH($AT$1,crash_skills!$1:$1,0)+1),MATCH(AV$1,crash_skills!$1:$1,0)-MATCH($AT$1,crash_skills!$1:$1,0)+1,FALSE)</f>
        <v>0</v>
      </c>
      <c r="AW19" s="57">
        <f ca="1">VLOOKUP($AT19,OFFSET(crash_skills!$A$1,0,0,COUNTA(crash_skills!$A:$A),MATCH(AW$1,crash_skills!$1:$1,0)-MATCH($AT$1,crash_skills!$1:$1,0)+1),MATCH(AW$1,crash_skills!$1:$1,0)-MATCH($AT$1,crash_skills!$1:$1,0)+1,FALSE)</f>
        <v>0</v>
      </c>
      <c r="AX19" s="58">
        <f ca="1">VLOOKUP($A19,OFFSET([1]characters!$A$1,0,0,COUNTA([1]characters!$A:$A),MATCH(AX$1,[1]characters!$1:$1,0)-MATCH($A$1,[1]characters!$1:$1,0)+1),MATCH(AX$1,[1]characters!$1:$1,0)-MATCH($A$1,[1]characters!$1:$1,0)+1,FALSE)</f>
        <v>3</v>
      </c>
      <c r="AY19" s="68">
        <v>1</v>
      </c>
      <c r="AZ19" s="68">
        <v>1</v>
      </c>
      <c r="BA19" s="68">
        <v>0</v>
      </c>
      <c r="BB19" s="68">
        <v>1</v>
      </c>
      <c r="BC19" s="11">
        <f ca="1">INDEX('RC6SV'!$A$1:$G$20,MATCH(H19,'RC6SV'!$A$1:$A$20,FALSE),MATCH(G19,'RC6SV'!$A$1:$G$1,FALSE))</f>
        <v>7500</v>
      </c>
      <c r="BD19" s="48">
        <f t="shared" ca="1" si="12"/>
        <v>7500</v>
      </c>
      <c r="BE19" s="11">
        <f t="shared" ca="1" si="3"/>
        <v>0</v>
      </c>
      <c r="BF19" s="11">
        <f t="shared" ca="1" si="4"/>
        <v>1</v>
      </c>
      <c r="BG19" s="16">
        <f ca="1">IF($BE19&lt;=0,ROUND(BK19*0.5,0), ROUND($BE19*S19*AA19*J19*AY19*0.8*[1]ステータス!$B$2,0))</f>
        <v>1875</v>
      </c>
      <c r="BH19" s="16">
        <f ca="1">IF($BE19&lt;=0,ROUND(BL19*0.5,0), ROUND($BE19*T19*AB19*K19*AZ19*0.8*[1]ステータス!$C$2,0))</f>
        <v>1263</v>
      </c>
      <c r="BI19" s="16">
        <f ca="1">IF($BE19&lt;=0,ROUND(BM19*0.5,0), ROUND($BE19*U19*AC19*L19*BA19*0.8*[1]ステータス!$D$2,0))</f>
        <v>0</v>
      </c>
      <c r="BJ19" s="16">
        <f ca="1">IF($BE19&lt;=0,ROUND(BN19*0.5,0), ROUND($BE19*V19*AD19*M19*BB19*0.8*[1]ステータス!$E$2,0))</f>
        <v>827</v>
      </c>
      <c r="BK19" s="11">
        <f ca="1">ROUND(BD19*S19*AA19*J19*AY19*[1]ステータス!$B$2,0)</f>
        <v>3750</v>
      </c>
      <c r="BL19" s="11">
        <f ca="1">ROUND(BD19*T19*AB19*K19*AZ19*[1]ステータス!$C$2,0)</f>
        <v>2525</v>
      </c>
      <c r="BM19" s="11">
        <f ca="1">ROUND(BD19*U19*AC19*L19*BA19*[1]ステータス!$D$2,0)</f>
        <v>0</v>
      </c>
      <c r="BN19" s="11">
        <f ca="1">ROUND(BD19*V19*AD19*M19*BB19*[1]ステータス!$E$2,0)</f>
        <v>1654</v>
      </c>
      <c r="BO19" s="10">
        <v>0</v>
      </c>
      <c r="BP19" s="10">
        <v>1</v>
      </c>
      <c r="BQ19" s="10" t="s">
        <v>47</v>
      </c>
      <c r="BR19" s="10">
        <f ca="1">VLOOKUP(H19,ghosts_label!$A$2:$B$19,2,FALSE)</f>
        <v>5500</v>
      </c>
    </row>
    <row r="20" spans="1:70" ht="26" customHeight="1" x14ac:dyDescent="0.15">
      <c r="A20" s="12">
        <v>6019</v>
      </c>
      <c r="B20" s="57" t="str">
        <f ca="1">VLOOKUP($A20,OFFSET([1]characters!$A$1,0,0,COUNTA([1]characters!$A:$A),MATCH(B$1,[1]characters!$1:$1,0)-MATCH($A$1,[1]characters!$1:$1,0)+1),MATCH(B$1,[1]characters!$1:$1,0)-MATCH($A$1,[1]characters!$1:$1,0)+1,FALSE)</f>
        <v>天織羽鶴 ハヅル</v>
      </c>
      <c r="C20" s="57" t="str">
        <f ca="1">VLOOKUP($A20,OFFSET([1]characters!$A$1,0,0,COUNTA([1]characters!$A:$A),MATCH(C$1,[1]characters!$1:$1,0)-MATCH($A$1,[1]characters!$1:$1,0)+1),MATCH(C$1,[1]characters!$1:$1,0)-MATCH($A$1,[1]characters!$1:$1,0)+1,FALSE)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20" s="57" t="str">
        <f ca="1">VLOOKUP($A20,OFFSET([1]characters!$A$1,0,0,COUNTA([1]characters!$A:$A),MATCH(D$1,[1]characters!$1:$1,0)-MATCH($A$1,[1]characters!$1:$1,0)+1),MATCH(D$1,[1]characters!$1:$1,0)-MATCH($A$1,[1]characters!$1:$1,0)+1,FALSE)</f>
        <v>執行者</v>
      </c>
      <c r="E20" s="57" t="str">
        <f ca="1">VLOOKUP($A20,OFFSET([1]characters!$A$1,0,0,COUNTA([1]characters!$A:$A),MATCH(E$1,[1]characters!$1:$1,0)-MATCH($A$1,[1]characters!$1:$1,0)+1),MATCH(E$1,[1]characters!$1:$1,0)-MATCH($A$1,[1]characters!$1:$1,0)+1,FALSE)</f>
        <v>格好いい</v>
      </c>
      <c r="F20" s="57" t="str">
        <f ca="1">VLOOKUP($A20,OFFSET([1]characters!$A$1,0,0,COUNTA([1]characters!$A:$A),MATCH(F$1,[1]characters!$1:$1,0)-MATCH($A$1,[1]characters!$1:$1,0)+1),MATCH(F$1,[1]characters!$1:$1,0)-MATCH($A$1,[1]characters!$1:$1,0)+1,FALSE)</f>
        <v>男性</v>
      </c>
      <c r="G20" s="57">
        <f ca="1">VLOOKUP($A20,OFFSET([1]characters!$A$1,0,0,COUNTA([1]characters!$A:$A),MATCH(G$1,[1]characters!$1:$1,0)-MATCH($A$1,[1]characters!$1:$1,0)+1),MATCH(G$1,[1]characters!$1:$1,0)-MATCH($A$1,[1]characters!$1:$1,0)+1,FALSE)</f>
        <v>5</v>
      </c>
      <c r="H20" s="57" t="str">
        <f ca="1">VLOOKUP($A20,OFFSET([1]characters!$A$1,0,0,COUNTA([1]characters!$A:$A),MATCH(H$1,[1]characters!$1:$1,0)-MATCH($A$1,[1]characters!$1:$1,0)+1),MATCH(H$1,[1]characters!$1:$1,0)-MATCH($A$1,[1]characters!$1:$1,0)+1,FALSE)</f>
        <v>PremiumSS</v>
      </c>
      <c r="I20" s="57" t="str">
        <f ca="1">VLOOKUP($A20,OFFSET([1]characters!$A$1,0,0,COUNTA([1]characters!$A:$A),MATCH(I$1,[1]characters!$1:$1,0)-MATCH($A$1,[1]characters!$1:$1,0)+1),MATCH(I$1,[1]characters!$1:$1,0)-MATCH($A$1,[1]characters!$1:$1,0)+1,FALSE)</f>
        <v>red</v>
      </c>
      <c r="J20" s="11">
        <f ca="1">VLOOKUP(I20,[1]属性!$A:$E,2,FALSE)</f>
        <v>1</v>
      </c>
      <c r="K20" s="11">
        <f ca="1">VLOOKUP(I20,[1]属性!$A:$E,3,FALSE)</f>
        <v>1.02</v>
      </c>
      <c r="L20" s="11">
        <f ca="1">VLOOKUP(I20,[1]属性!$A:$E,4,FALSE)</f>
        <v>1</v>
      </c>
      <c r="M20" s="11">
        <f ca="1">VLOOKUP(I20,[1]属性!$A:$E,5,FALSE)</f>
        <v>0.98</v>
      </c>
      <c r="N20" s="11">
        <f ca="1">INDEX(コスト!$A$1:$I$20,MATCH(H20,コスト!$A$1:$A$20,FALSE),MATCH(G20,コスト!$A$1:$I$1,FALSE))</f>
        <v>35</v>
      </c>
      <c r="O20" s="11">
        <f ca="1">INDEX(レベル!$A$1:$I$21,MATCH(H20,レベル!$A$1:$A$21,FALSE),MATCH(G20,レベル!$A$1:$I$1,FALSE))</f>
        <v>80</v>
      </c>
      <c r="P20" s="48">
        <f t="shared" ca="1" si="9"/>
        <v>75</v>
      </c>
      <c r="Q20" s="57" t="str">
        <f ca="1">VLOOKUP($A20,OFFSET([1]characters!$A$1,0,0,COUNTA([1]characters!$A:$A),MATCH(Q$1,[1]characters!$1:$1,0)-MATCH($A$1,[1]characters!$1:$1,0)+1),MATCH(Q$1,[1]characters!$1:$1,0)-MATCH($A$1,[1]characters!$1:$1,0)+1,FALSE)</f>
        <v>ra002</v>
      </c>
      <c r="R20" s="5" t="str">
        <f ca="1">VLOOKUP(Q20,[1]character_type_i18n!$A:$H,3,FALSE)</f>
        <v>ユークリッドチャレンジ</v>
      </c>
      <c r="S20" s="11">
        <f ca="1">VLOOKUP(Q20,[1]character_type_i18n!$A:$H,4,FALSE)</f>
        <v>1</v>
      </c>
      <c r="T20" s="11">
        <f ca="1">VLOOKUP(Q20,[1]character_type_i18n!$A:$H,5,FALSE)</f>
        <v>1</v>
      </c>
      <c r="U20" s="11">
        <f ca="1">VLOOKUP(Q20,[1]character_type_i18n!$A:$H,6,FALSE)</f>
        <v>1</v>
      </c>
      <c r="V20" s="11">
        <f ca="1">VLOOKUP(Q20,[1]character_type_i18n!$A:$H,7,FALSE)</f>
        <v>1</v>
      </c>
      <c r="W20" s="57" t="str">
        <f ca="1">VLOOKUP($A20,OFFSET([1]characters!$A$1,0,0,COUNTA([1]characters!$A:$A),MATCH(W$1,[1]characters!$1:$1,0)-MATCH($A$1,[1]characters!$1:$1,0)+1),MATCH(W$1,[1]characters!$1:$1,0)-MATCH($A$1,[1]characters!$1:$1,0)+1,FALSE)</f>
        <v>animal</v>
      </c>
      <c r="X20" s="5" t="str">
        <f ca="1">VLOOKUP(W20,[1]character_tribe_i18n!$A:$H,3,FALSE)</f>
        <v>アニマル</v>
      </c>
      <c r="Y20" s="57" t="str">
        <f ca="1">VLOOKUP($A20,OFFSET([1]characters!$A$1,0,0,COUNTA([1]characters!$A:$A),MATCH(Y$1,[1]characters!$1:$1,0)-MATCH($A$1,[1]characters!$1:$1,0)+1),MATCH(Y$1,[1]characters!$1:$1,0)-MATCH($A$1,[1]characters!$1:$1,0)+1,FALSE)</f>
        <v>none</v>
      </c>
      <c r="Z20" s="5" t="str">
        <f ca="1">VLOOKUP(Y20,[1]character_tribe_i18n!$A:$H,3,FALSE)</f>
        <v>種族なし</v>
      </c>
      <c r="AA20" s="11">
        <f ca="1">VLOOKUP(W20,[1]character_tribe_i18n!$A:$H,4,FALSE)</f>
        <v>1</v>
      </c>
      <c r="AB20" s="11">
        <f ca="1">VLOOKUP(W20,[1]character_tribe_i18n!$A:$H,5,FALSE)</f>
        <v>1.1000000000000001</v>
      </c>
      <c r="AC20" s="11">
        <f ca="1">VLOOKUP(W20,[1]character_tribe_i18n!$A:$H,6,FALSE)</f>
        <v>1</v>
      </c>
      <c r="AD20" s="11">
        <f ca="1">VLOOKUP(W20,[1]character_tribe_i18n!$A:$H,7,FALSE)</f>
        <v>0.9</v>
      </c>
      <c r="AE20" s="9" t="s">
        <v>183</v>
      </c>
      <c r="AF20" s="62" t="str">
        <f ca="1">IF(AE20="NULL","",VLOOKUP($AE20,OFFSET([1]characters!$A$1,0,0,COUNTA([1]characters!$A:$A),MATCH(AF$1,[1]characters!$1:$1,0)-MATCH($A$1,[1]characters!$1:$1,0)+1),MATCH(AF$1,[1]characters!$1:$1,0)-MATCH($A$1,[1]characters!$1:$1,0)+1,FALSE))</f>
        <v/>
      </c>
      <c r="AG20" s="5">
        <f t="shared" ca="1" si="10"/>
        <v>6019</v>
      </c>
      <c r="AH20" s="62" t="str">
        <f ca="1">VLOOKUP($AG20,OFFSET([1]characters!$A$1,0,0,COUNTA([1]characters!$A:$A),MATCH(AH$1,[1]characters!$1:$1,0)-MATCH($A$1,[1]characters!$1:$1,0)+1),MATCH(AH$1,[1]characters!$1:$1,0)-MATCH($A$1,[1]characters!$1:$1,0)+1,FALSE)</f>
        <v>天織羽鶴 ハヅル</v>
      </c>
      <c r="AI20" s="11" t="str">
        <f>IF(AE20="NULL","NULL",VLOOKUP(G20,ビット!$A$2:$B$7,2))</f>
        <v>NULL</v>
      </c>
      <c r="AJ20" s="6">
        <v>2</v>
      </c>
      <c r="AK20" s="7" t="str">
        <f t="shared" si="11"/>
        <v>普通</v>
      </c>
      <c r="AL20" s="11" t="str">
        <f ca="1">INDEX(経験値!$A$1:$I$20,MATCH(H20,経験値!$A$1:$A$20,FALSE),MATCH(G20,経験値!$A$1:$I$1,FALSE))</f>
        <v>required_exp_200</v>
      </c>
      <c r="AM20" s="8">
        <f ca="1">VLOOKUP(G20,経験値!$A$27:$B$31,2)</f>
        <v>6400</v>
      </c>
      <c r="AN20" s="17">
        <f ca="1">VLOOKUP(G20,ビット!$G$2:$H$7,2)</f>
        <v>900</v>
      </c>
      <c r="AO20" s="45"/>
      <c r="AP20" s="67">
        <v>0</v>
      </c>
      <c r="AQ20" s="57" t="e">
        <f ca="1">VLOOKUP($AP20,OFFSET(unit_skills!$A$1,0,0,COUNTA(unit_skills!$A:$A),MATCH(AQ$1,unit_skills!$1:$1,0)-MATCH($AP$1,unit_skills!$1:$1,0)+1),MATCH(AQ$1,unit_skills!$1:$1,0)-MATCH($AP$1,unit_skills!$1:$1,0)+1,FALSE)</f>
        <v>#N/A</v>
      </c>
      <c r="AR20" s="57" t="str">
        <f ca="1">VLOOKUP($AP20,OFFSET(unit_skills!$A$1,0,0,COUNTA(unit_skills!$A:$A),MATCH(AR$1,unit_skills!$1:$1,0)-MATCH($AP$1,unit_skills!$1:$1,0)+1),MATCH(AR$1,unit_skills!$1:$1,0)-MATCH($AP$1,unit_skills!$1:$1,0)+1,FALSE)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20" s="57">
        <f ca="1">VLOOKUP($AP20,OFFSET(unit_skills!$A$1,0,0,COUNTA(unit_skills!$A:$A),MATCH(AS$1,unit_skills!$1:$1,0)-MATCH($AP$1,unit_skills!$1:$1,0)+1),MATCH(AS$1,unit_skills!$1:$1,0)-MATCH($AP$1,unit_skills!$1:$1,0)+1,FALSE)</f>
        <v>0</v>
      </c>
      <c r="AT20" s="41">
        <v>0</v>
      </c>
      <c r="AU20" s="57" t="e">
        <f ca="1">VLOOKUP($AT20,OFFSET(crash_skills!$A$1,0,0,COUNTA(crash_skills!$A:$A),MATCH(AU$1,crash_skills!$1:$1,0)-MATCH($AT$1,crash_skills!$1:$1,0)+1),MATCH(AU$1,crash_skills!$1:$1,0)-MATCH($AT$1,crash_skills!$1:$1,0)+1,FALSE)</f>
        <v>#N/A</v>
      </c>
      <c r="AV20" s="57">
        <f ca="1">VLOOKUP($AT20,OFFSET(crash_skills!$A$1,0,0,COUNTA(crash_skills!$A:$A),MATCH(AV$1,crash_skills!$1:$1,0)-MATCH($AT$1,crash_skills!$1:$1,0)+1),MATCH(AV$1,crash_skills!$1:$1,0)-MATCH($AT$1,crash_skills!$1:$1,0)+1,FALSE)</f>
        <v>0</v>
      </c>
      <c r="AW20" s="57">
        <f ca="1">VLOOKUP($AT20,OFFSET(crash_skills!$A$1,0,0,COUNTA(crash_skills!$A:$A),MATCH(AW$1,crash_skills!$1:$1,0)-MATCH($AT$1,crash_skills!$1:$1,0)+1),MATCH(AW$1,crash_skills!$1:$1,0)-MATCH($AT$1,crash_skills!$1:$1,0)+1,FALSE)</f>
        <v>0</v>
      </c>
      <c r="AX20" s="58">
        <f ca="1">VLOOKUP($A20,OFFSET([1]characters!$A$1,0,0,COUNTA([1]characters!$A:$A),MATCH(AX$1,[1]characters!$1:$1,0)-MATCH($A$1,[1]characters!$1:$1,0)+1),MATCH(AX$1,[1]characters!$1:$1,0)-MATCH($A$1,[1]characters!$1:$1,0)+1,FALSE)</f>
        <v>3</v>
      </c>
      <c r="AY20" s="68">
        <v>1</v>
      </c>
      <c r="AZ20" s="68">
        <v>1</v>
      </c>
      <c r="BA20" s="68">
        <v>0</v>
      </c>
      <c r="BB20" s="68">
        <v>1</v>
      </c>
      <c r="BC20" s="11">
        <f ca="1">INDEX('RC6SV'!$A$1:$G$20,MATCH(H20,'RC6SV'!$A$1:$A$20,FALSE),MATCH(G20,'RC6SV'!$A$1:$G$1,FALSE))</f>
        <v>9500</v>
      </c>
      <c r="BD20" s="48">
        <f t="shared" ca="1" si="12"/>
        <v>9500</v>
      </c>
      <c r="BE20" s="11">
        <f t="shared" ca="1" si="3"/>
        <v>0</v>
      </c>
      <c r="BF20" s="11">
        <f t="shared" ca="1" si="4"/>
        <v>1</v>
      </c>
      <c r="BG20" s="16">
        <f ca="1">IF($BE20&lt;=0,ROUND(BK20*0.5,0), ROUND($BE20*S20*AA20*J20*AY20*0.8*[1]ステータス!$B$2,0))</f>
        <v>2375</v>
      </c>
      <c r="BH20" s="16">
        <f ca="1">IF($BE20&lt;=0,ROUND(BL20*0.5,0), ROUND($BE20*T20*AB20*K20*AZ20*0.8*[1]ステータス!$C$2,0))</f>
        <v>1599</v>
      </c>
      <c r="BI20" s="16">
        <f ca="1">IF($BE20&lt;=0,ROUND(BM20*0.5,0), ROUND($BE20*U20*AC20*L20*BA20*0.8*[1]ステータス!$D$2,0))</f>
        <v>0</v>
      </c>
      <c r="BJ20" s="16">
        <f ca="1">IF($BE20&lt;=0,ROUND(BN20*0.5,0), ROUND($BE20*V20*AD20*M20*BB20*0.8*[1]ステータス!$E$2,0))</f>
        <v>1048</v>
      </c>
      <c r="BK20" s="11">
        <f ca="1">ROUND(BD20*S20*AA20*J20*AY20*[1]ステータス!$B$2,0)</f>
        <v>4750</v>
      </c>
      <c r="BL20" s="11">
        <f ca="1">ROUND(BD20*T20*AB20*K20*AZ20*[1]ステータス!$C$2,0)</f>
        <v>3198</v>
      </c>
      <c r="BM20" s="11">
        <f ca="1">ROUND(BD20*U20*AC20*L20*BA20*[1]ステータス!$D$2,0)</f>
        <v>0</v>
      </c>
      <c r="BN20" s="11">
        <f ca="1">ROUND(BD20*V20*AD20*M20*BB20*[1]ステータス!$E$2,0)</f>
        <v>2095</v>
      </c>
      <c r="BO20" s="10">
        <v>0</v>
      </c>
      <c r="BP20" s="10">
        <v>1</v>
      </c>
      <c r="BQ20" s="10" t="s">
        <v>47</v>
      </c>
      <c r="BR20" s="10">
        <f ca="1">VLOOKUP(H20,ghosts_label!$A$2:$B$19,2,FALSE)</f>
        <v>5500</v>
      </c>
    </row>
    <row r="21" spans="1:70" ht="26" customHeight="1" x14ac:dyDescent="0.15">
      <c r="A21" s="12">
        <v>6020</v>
      </c>
      <c r="B21" s="57" t="str">
        <f ca="1">VLOOKUP($A21,OFFSET([1]characters!$A$1,0,0,COUNTA([1]characters!$A:$A),MATCH(B$1,[1]characters!$1:$1,0)-MATCH($A$1,[1]characters!$1:$1,0)+1),MATCH(B$1,[1]characters!$1:$1,0)-MATCH($A$1,[1]characters!$1:$1,0)+1,FALSE)</f>
        <v>ミズチ</v>
      </c>
      <c r="C21" s="57" t="str">
        <f ca="1">VLOOKUP($A21,OFFSET([1]characters!$A$1,0,0,COUNTA([1]characters!$A:$A),MATCH(C$1,[1]characters!$1:$1,0)-MATCH($A$1,[1]characters!$1:$1,0)+1),MATCH(C$1,[1]characters!$1:$1,0)-MATCH($A$1,[1]characters!$1:$1,0)+1,FALSE)</f>
        <v>ガチャ:フィーバーフェス02</v>
      </c>
      <c r="D21" s="57" t="str">
        <f ca="1">VLOOKUP($A21,OFFSET([1]characters!$A$1,0,0,COUNTA([1]characters!$A:$A),MATCH(D$1,[1]characters!$1:$1,0)-MATCH($A$1,[1]characters!$1:$1,0)+1),MATCH(D$1,[1]characters!$1:$1,0)-MATCH($A$1,[1]characters!$1:$1,0)+1,FALSE)</f>
        <v>執行者</v>
      </c>
      <c r="E21" s="57" t="str">
        <f ca="1">VLOOKUP($A21,OFFSET([1]characters!$A$1,0,0,COUNTA([1]characters!$A:$A),MATCH(E$1,[1]characters!$1:$1,0)-MATCH($A$1,[1]characters!$1:$1,0)+1),MATCH(E$1,[1]characters!$1:$1,0)-MATCH($A$1,[1]characters!$1:$1,0)+1,FALSE)</f>
        <v>格好いい</v>
      </c>
      <c r="F21" s="57" t="str">
        <f ca="1">VLOOKUP($A21,OFFSET([1]characters!$A$1,0,0,COUNTA([1]characters!$A:$A),MATCH(F$1,[1]characters!$1:$1,0)-MATCH($A$1,[1]characters!$1:$1,0)+1),MATCH(F$1,[1]characters!$1:$1,0)-MATCH($A$1,[1]characters!$1:$1,0)+1,FALSE)</f>
        <v>男性</v>
      </c>
      <c r="G21" s="57">
        <f ca="1">VLOOKUP($A21,OFFSET([1]characters!$A$1,0,0,COUNTA([1]characters!$A:$A),MATCH(G$1,[1]characters!$1:$1,0)-MATCH($A$1,[1]characters!$1:$1,0)+1),MATCH(G$1,[1]characters!$1:$1,0)-MATCH($A$1,[1]characters!$1:$1,0)+1,FALSE)</f>
        <v>4</v>
      </c>
      <c r="H21" s="57" t="str">
        <f ca="1">VLOOKUP($A21,OFFSET([1]characters!$A$1,0,0,COUNTA([1]characters!$A:$A),MATCH(H$1,[1]characters!$1:$1,0)-MATCH($A$1,[1]characters!$1:$1,0)+1),MATCH(H$1,[1]characters!$1:$1,0)-MATCH($A$1,[1]characters!$1:$1,0)+1,FALSE)</f>
        <v>PremiumS</v>
      </c>
      <c r="I21" s="57" t="str">
        <f ca="1">VLOOKUP($A21,OFFSET([1]characters!$A$1,0,0,COUNTA([1]characters!$A:$A),MATCH(I$1,[1]characters!$1:$1,0)-MATCH($A$1,[1]characters!$1:$1,0)+1),MATCH(I$1,[1]characters!$1:$1,0)-MATCH($A$1,[1]characters!$1:$1,0)+1,FALSE)</f>
        <v>blue</v>
      </c>
      <c r="J21" s="11">
        <f ca="1">VLOOKUP(I21,[1]属性!$A:$E,2,FALSE)</f>
        <v>1</v>
      </c>
      <c r="K21" s="11">
        <f ca="1">VLOOKUP(I21,[1]属性!$A:$E,3,FALSE)</f>
        <v>0.98</v>
      </c>
      <c r="L21" s="11">
        <f ca="1">VLOOKUP(I21,[1]属性!$A:$E,4,FALSE)</f>
        <v>1</v>
      </c>
      <c r="M21" s="11">
        <f ca="1">VLOOKUP(I21,[1]属性!$A:$E,5,FALSE)</f>
        <v>1.02</v>
      </c>
      <c r="N21" s="11">
        <f ca="1">INDEX(コスト!$A$1:$I$20,MATCH(H21,コスト!$A$1:$A$20,FALSE),MATCH(G21,コスト!$A$1:$I$1,FALSE))</f>
        <v>20</v>
      </c>
      <c r="O21" s="11">
        <f ca="1">INDEX(レベル!$A$1:$I$21,MATCH(H21,レベル!$A$1:$A$21,FALSE),MATCH(G21,レベル!$A$1:$I$1,FALSE))</f>
        <v>60</v>
      </c>
      <c r="P21" s="48">
        <f t="shared" ref="P21" ca="1" si="13">IF(G21 &gt;= 6, 99,G21*15)</f>
        <v>60</v>
      </c>
      <c r="Q21" s="57" t="str">
        <f ca="1">VLOOKUP($A21,OFFSET([1]characters!$A$1,0,0,COUNTA([1]characters!$A:$A),MATCH(Q$1,[1]characters!$1:$1,0)-MATCH($A$1,[1]characters!$1:$1,0)+1),MATCH(Q$1,[1]characters!$1:$1,0)-MATCH($A$1,[1]characters!$1:$1,0)+1,FALSE)</f>
        <v>ra002</v>
      </c>
      <c r="R21" s="5" t="str">
        <f ca="1">VLOOKUP(Q21,[1]character_type_i18n!$A:$H,3,FALSE)</f>
        <v>ユークリッドチャレンジ</v>
      </c>
      <c r="S21" s="11">
        <f ca="1">VLOOKUP(Q21,[1]character_type_i18n!$A:$H,4,FALSE)</f>
        <v>1</v>
      </c>
      <c r="T21" s="11">
        <f ca="1">VLOOKUP(Q21,[1]character_type_i18n!$A:$H,5,FALSE)</f>
        <v>1</v>
      </c>
      <c r="U21" s="11">
        <f ca="1">VLOOKUP(Q21,[1]character_type_i18n!$A:$H,6,FALSE)</f>
        <v>1</v>
      </c>
      <c r="V21" s="11">
        <f ca="1">VLOOKUP(Q21,[1]character_type_i18n!$A:$H,7,FALSE)</f>
        <v>1</v>
      </c>
      <c r="W21" s="57" t="str">
        <f ca="1">VLOOKUP($A21,OFFSET([1]characters!$A$1,0,0,COUNTA([1]characters!$A:$A),MATCH(W$1,[1]characters!$1:$1,0)-MATCH($A$1,[1]characters!$1:$1,0)+1),MATCH(W$1,[1]characters!$1:$1,0)-MATCH($A$1,[1]characters!$1:$1,0)+1,FALSE)</f>
        <v>dragon</v>
      </c>
      <c r="X21" s="5" t="str">
        <f ca="1">VLOOKUP(W21,[1]character_tribe_i18n!$A:$H,3,FALSE)</f>
        <v>ドラゴン</v>
      </c>
      <c r="Y21" s="57" t="str">
        <f ca="1">VLOOKUP($A21,OFFSET([1]characters!$A$1,0,0,COUNTA([1]characters!$A:$A),MATCH(Y$1,[1]characters!$1:$1,0)-MATCH($A$1,[1]characters!$1:$1,0)+1),MATCH(Y$1,[1]characters!$1:$1,0)-MATCH($A$1,[1]characters!$1:$1,0)+1,FALSE)</f>
        <v>none</v>
      </c>
      <c r="Z21" s="5" t="str">
        <f ca="1">VLOOKUP(Y21,[1]character_tribe_i18n!$A:$H,3,FALSE)</f>
        <v>種族なし</v>
      </c>
      <c r="AA21" s="11">
        <f ca="1">VLOOKUP(W21,[1]character_tribe_i18n!$A:$H,4,FALSE)</f>
        <v>1.1499999999999999</v>
      </c>
      <c r="AB21" s="11">
        <f ca="1">VLOOKUP(W21,[1]character_tribe_i18n!$A:$H,5,FALSE)</f>
        <v>1.1000000000000001</v>
      </c>
      <c r="AC21" s="11">
        <f ca="1">VLOOKUP(W21,[1]character_tribe_i18n!$A:$H,6,FALSE)</f>
        <v>1</v>
      </c>
      <c r="AD21" s="11">
        <f ca="1">VLOOKUP(W21,[1]character_tribe_i18n!$A:$H,7,FALSE)</f>
        <v>0.75</v>
      </c>
      <c r="AE21" s="9" t="s">
        <v>183</v>
      </c>
      <c r="AF21" s="62" t="str">
        <f ca="1">IF(AE21="NULL","",VLOOKUP($AE21,OFFSET([1]characters!$A$1,0,0,COUNTA([1]characters!$A:$A),MATCH(AF$1,[1]characters!$1:$1,0)-MATCH($A$1,[1]characters!$1:$1,0)+1),MATCH(AF$1,[1]characters!$1:$1,0)-MATCH($A$1,[1]characters!$1:$1,0)+1,FALSE))</f>
        <v/>
      </c>
      <c r="AG21" s="5">
        <f t="shared" ref="AG21" ca="1" si="14">IF(ISNA(MATCH(A21,AE:AE,0)),A21,INDIRECT(ADDRESS(MATCH(A21,AE:AE,0),COLUMN())))</f>
        <v>6020</v>
      </c>
      <c r="AH21" s="62" t="str">
        <f ca="1">VLOOKUP($AG21,OFFSET([1]characters!$A$1,0,0,COUNTA([1]characters!$A:$A),MATCH(AH$1,[1]characters!$1:$1,0)-MATCH($A$1,[1]characters!$1:$1,0)+1),MATCH(AH$1,[1]characters!$1:$1,0)-MATCH($A$1,[1]characters!$1:$1,0)+1,FALSE)</f>
        <v>ミズチ</v>
      </c>
      <c r="AI21" s="11" t="str">
        <f>IF(AE21="NULL","NULL",VLOOKUP(G21,ビット!$A$2:$B$7,2))</f>
        <v>NULL</v>
      </c>
      <c r="AJ21" s="6">
        <v>2</v>
      </c>
      <c r="AK21" s="7" t="str">
        <f t="shared" ref="AK21" si="15">IF(AJ21=1,"早熟",IF(AJ21=2,"普通",IF(AJ21=3,"晩成","")))</f>
        <v>普通</v>
      </c>
      <c r="AL21" s="11" t="str">
        <f ca="1">INDEX(経験値!$A$1:$I$20,MATCH(H21,経験値!$A$1:$A$20,FALSE),MATCH(G21,経験値!$A$1:$I$1,FALSE))</f>
        <v>required_exp_200</v>
      </c>
      <c r="AM21" s="8">
        <f ca="1">VLOOKUP(G21,経験値!$A$27:$B$31,2)</f>
        <v>3400</v>
      </c>
      <c r="AN21" s="17">
        <f ca="1">VLOOKUP(G21,ビット!$G$2:$H$7,2)</f>
        <v>600</v>
      </c>
      <c r="AO21" s="45"/>
      <c r="AP21" s="67">
        <v>0</v>
      </c>
      <c r="AQ21" s="57" t="e">
        <f ca="1">VLOOKUP($AP21,OFFSET(unit_skills!$A$1,0,0,COUNTA(unit_skills!$A:$A),MATCH(AQ$1,unit_skills!$1:$1,0)-MATCH($AP$1,unit_skills!$1:$1,0)+1),MATCH(AQ$1,unit_skills!$1:$1,0)-MATCH($AP$1,unit_skills!$1:$1,0)+1,FALSE)</f>
        <v>#N/A</v>
      </c>
      <c r="AR21" s="57" t="str">
        <f ca="1">VLOOKUP($AP21,OFFSET(unit_skills!$A$1,0,0,COUNTA(unit_skills!$A:$A),MATCH(AR$1,unit_skills!$1:$1,0)-MATCH($AP$1,unit_skills!$1:$1,0)+1),MATCH(AR$1,unit_skills!$1:$1,0)-MATCH($AP$1,unit_skills!$1:$1,0)+1,FALSE)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21" s="57">
        <f ca="1">VLOOKUP($AP21,OFFSET(unit_skills!$A$1,0,0,COUNTA(unit_skills!$A:$A),MATCH(AS$1,unit_skills!$1:$1,0)-MATCH($AP$1,unit_skills!$1:$1,0)+1),MATCH(AS$1,unit_skills!$1:$1,0)-MATCH($AP$1,unit_skills!$1:$1,0)+1,FALSE)</f>
        <v>0</v>
      </c>
      <c r="AT21" s="41">
        <v>0</v>
      </c>
      <c r="AU21" s="57" t="e">
        <f ca="1">VLOOKUP($AT21,OFFSET(crash_skills!$A$1,0,0,COUNTA(crash_skills!$A:$A),MATCH(AU$1,crash_skills!$1:$1,0)-MATCH($AT$1,crash_skills!$1:$1,0)+1),MATCH(AU$1,crash_skills!$1:$1,0)-MATCH($AT$1,crash_skills!$1:$1,0)+1,FALSE)</f>
        <v>#N/A</v>
      </c>
      <c r="AV21" s="57">
        <f ca="1">VLOOKUP($AT21,OFFSET(crash_skills!$A$1,0,0,COUNTA(crash_skills!$A:$A),MATCH(AV$1,crash_skills!$1:$1,0)-MATCH($AT$1,crash_skills!$1:$1,0)+1),MATCH(AV$1,crash_skills!$1:$1,0)-MATCH($AT$1,crash_skills!$1:$1,0)+1,FALSE)</f>
        <v>0</v>
      </c>
      <c r="AW21" s="57">
        <f ca="1">VLOOKUP($AT21,OFFSET(crash_skills!$A$1,0,0,COUNTA(crash_skills!$A:$A),MATCH(AW$1,crash_skills!$1:$1,0)-MATCH($AT$1,crash_skills!$1:$1,0)+1),MATCH(AW$1,crash_skills!$1:$1,0)-MATCH($AT$1,crash_skills!$1:$1,0)+1,FALSE)</f>
        <v>0</v>
      </c>
      <c r="AX21" s="58">
        <f ca="1">VLOOKUP($A21,OFFSET([1]characters!$A$1,0,0,COUNTA([1]characters!$A:$A),MATCH(AX$1,[1]characters!$1:$1,0)-MATCH($A$1,[1]characters!$1:$1,0)+1),MATCH(AX$1,[1]characters!$1:$1,0)-MATCH($A$1,[1]characters!$1:$1,0)+1,FALSE)</f>
        <v>3</v>
      </c>
      <c r="AY21" s="68">
        <v>1</v>
      </c>
      <c r="AZ21" s="68">
        <v>1</v>
      </c>
      <c r="BA21" s="68">
        <v>0</v>
      </c>
      <c r="BB21" s="68">
        <v>1</v>
      </c>
      <c r="BC21" s="11">
        <f ca="1">INDEX('RC6SV'!$A$1:$G$20,MATCH(H21,'RC6SV'!$A$1:$A$20,FALSE),MATCH(G21,'RC6SV'!$A$1:$G$1,FALSE))</f>
        <v>7000</v>
      </c>
      <c r="BD21" s="48">
        <f t="shared" ref="BD21" ca="1" si="16">ROUND(BC21*IF(AJ21=1,0.95,IF(AJ21=2,1,IF(AJ21,1.05,0))),0)</f>
        <v>7000</v>
      </c>
      <c r="BE21" s="11">
        <f t="shared" ca="1" si="3"/>
        <v>0</v>
      </c>
      <c r="BF21" s="11">
        <f t="shared" ca="1" si="4"/>
        <v>1</v>
      </c>
      <c r="BG21" s="16">
        <f ca="1">IF($BE21&lt;=0,ROUND(BK21*0.5,0), ROUND($BE21*S21*AA21*J21*AY21*0.8*[1]ステータス!$B$2,0))</f>
        <v>2013</v>
      </c>
      <c r="BH21" s="16">
        <f ca="1">IF($BE21&lt;=0,ROUND(BL21*0.5,0), ROUND($BE21*T21*AB21*K21*AZ21*0.8*[1]ステータス!$C$2,0))</f>
        <v>1132</v>
      </c>
      <c r="BI21" s="16">
        <f ca="1">IF($BE21&lt;=0,ROUND(BM21*0.5,0), ROUND($BE21*U21*AC21*L21*BA21*0.8*[1]ステータス!$D$2,0))</f>
        <v>0</v>
      </c>
      <c r="BJ21" s="16">
        <f ca="1">IF($BE21&lt;=0,ROUND(BN21*0.5,0), ROUND($BE21*V21*AD21*M21*BB21*0.8*[1]ステータス!$E$2,0))</f>
        <v>670</v>
      </c>
      <c r="BK21" s="11">
        <f ca="1">ROUND(BD21*S21*AA21*J21*AY21*[1]ステータス!$B$2,0)</f>
        <v>4025</v>
      </c>
      <c r="BL21" s="11">
        <f ca="1">ROUND(BD21*T21*AB21*K21*AZ21*[1]ステータス!$C$2,0)</f>
        <v>2264</v>
      </c>
      <c r="BM21" s="11">
        <f ca="1">ROUND(BD21*U21*AC21*L21*BA21*[1]ステータス!$D$2,0)</f>
        <v>0</v>
      </c>
      <c r="BN21" s="11">
        <f ca="1">ROUND(BD21*V21*AD21*M21*BB21*[1]ステータス!$E$2,0)</f>
        <v>1339</v>
      </c>
      <c r="BO21" s="10">
        <v>0</v>
      </c>
      <c r="BP21" s="10">
        <v>1</v>
      </c>
      <c r="BQ21" s="10" t="s">
        <v>47</v>
      </c>
      <c r="BR21" s="10">
        <f ca="1">VLOOKUP(H21,ghosts_label!$A$2:$B$19,2,FALSE)</f>
        <v>700</v>
      </c>
    </row>
  </sheetData>
  <autoFilter ref="A1:BQ1"/>
  <phoneticPr fontId="10"/>
  <conditionalFormatting sqref="BO1">
    <cfRule type="cellIs" dxfId="27" priority="120" stopIfTrue="1" operator="equal">
      <formula>1</formula>
    </cfRule>
  </conditionalFormatting>
  <conditionalFormatting sqref="BQ1">
    <cfRule type="cellIs" dxfId="2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2"/>
  <sheetViews>
    <sheetView showGridLines="0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C24" sqref="C24"/>
    </sheetView>
  </sheetViews>
  <sheetFormatPr baseColWidth="12" defaultColWidth="13" defaultRowHeight="21" customHeight="1" outlineLevelCol="1" x14ac:dyDescent="0.15"/>
  <cols>
    <col min="1" max="1" width="16.1640625" style="132" bestFit="1" customWidth="1"/>
    <col min="2" max="2" width="13" style="132" bestFit="1" customWidth="1"/>
    <col min="3" max="3" width="21.83203125" style="132" customWidth="1"/>
    <col min="4" max="4" width="41.83203125" style="132" customWidth="1"/>
    <col min="5" max="5" width="9" style="132" customWidth="1"/>
    <col min="6" max="6" width="7.83203125" style="132" bestFit="1" customWidth="1"/>
    <col min="7" max="7" width="8.1640625" style="132" bestFit="1" customWidth="1"/>
    <col min="8" max="8" width="13.6640625" style="132" bestFit="1" customWidth="1"/>
    <col min="9" max="10" width="51.6640625" style="132" customWidth="1"/>
    <col min="11" max="11" width="10.83203125" style="132" customWidth="1" outlineLevel="1"/>
    <col min="12" max="17" width="9.5" style="131" customWidth="1" outlineLevel="1"/>
    <col min="18" max="18" width="20.33203125" style="132" customWidth="1" outlineLevel="1"/>
    <col min="19" max="19" width="10.33203125" style="132" bestFit="1" customWidth="1"/>
    <col min="20" max="16384" width="13" style="132"/>
  </cols>
  <sheetData>
    <row r="1" spans="1:19" s="131" customFormat="1" ht="21" customHeight="1" x14ac:dyDescent="0.15">
      <c r="A1" s="120" t="s">
        <v>20</v>
      </c>
      <c r="B1" s="121" t="s">
        <v>134</v>
      </c>
      <c r="C1" s="122" t="s">
        <v>40</v>
      </c>
      <c r="D1" s="123" t="s">
        <v>163</v>
      </c>
      <c r="E1" s="123" t="s">
        <v>164</v>
      </c>
      <c r="F1" s="120" t="s">
        <v>146</v>
      </c>
      <c r="G1" s="124" t="s">
        <v>2</v>
      </c>
      <c r="H1" s="124" t="s">
        <v>165</v>
      </c>
      <c r="I1" s="124" t="s">
        <v>166</v>
      </c>
      <c r="J1" s="125" t="s">
        <v>185</v>
      </c>
      <c r="K1" s="124" t="s">
        <v>4</v>
      </c>
      <c r="L1" s="126" t="s">
        <v>167</v>
      </c>
      <c r="M1" s="127" t="s">
        <v>168</v>
      </c>
      <c r="N1" s="127" t="s">
        <v>169</v>
      </c>
      <c r="O1" s="127" t="s">
        <v>170</v>
      </c>
      <c r="P1" s="127" t="s">
        <v>171</v>
      </c>
      <c r="Q1" s="128" t="s">
        <v>172</v>
      </c>
      <c r="R1" s="129" t="s">
        <v>173</v>
      </c>
      <c r="S1" s="130" t="s">
        <v>174</v>
      </c>
    </row>
    <row r="2" spans="1:19" ht="21" customHeight="1" x14ac:dyDescent="0.15">
      <c r="A2" s="12">
        <v>0</v>
      </c>
      <c r="B2" s="135" t="s">
        <v>186</v>
      </c>
      <c r="C2" s="136" t="e">
        <f ca="1">J2&amp;"の技"</f>
        <v>#N/A</v>
      </c>
      <c r="D2" s="136" t="s">
        <v>187</v>
      </c>
      <c r="E2" s="137">
        <f t="shared" ref="E2" si="0">LEN(D2)</f>
        <v>34</v>
      </c>
      <c r="F2" s="119">
        <v>18</v>
      </c>
      <c r="G2" s="119">
        <v>5</v>
      </c>
      <c r="H2" s="138">
        <f>2001</f>
        <v>2001</v>
      </c>
      <c r="I2" s="138" t="s">
        <v>188</v>
      </c>
      <c r="J2" s="57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K2" s="139">
        <v>1</v>
      </c>
      <c r="L2" s="140"/>
      <c r="M2" s="141"/>
      <c r="N2" s="141"/>
      <c r="O2" s="141"/>
      <c r="P2" s="141"/>
      <c r="Q2" s="141"/>
      <c r="R2" s="136"/>
      <c r="S2" s="14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3:E1048576">
    <cfRule type="cellIs" dxfId="25" priority="7" operator="greaterThan">
      <formula>41</formula>
    </cfRule>
  </conditionalFormatting>
  <conditionalFormatting sqref="E2">
    <cfRule type="cellIs" dxfId="24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2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7" sqref="C17"/>
    </sheetView>
  </sheetViews>
  <sheetFormatPr baseColWidth="12" defaultColWidth="13" defaultRowHeight="21" customHeight="1" x14ac:dyDescent="0.15"/>
  <cols>
    <col min="1" max="2" width="12.1640625" style="132" customWidth="1"/>
    <col min="3" max="3" width="48.83203125" style="133" customWidth="1"/>
    <col min="4" max="4" width="23.83203125" style="133" customWidth="1"/>
    <col min="5" max="5" width="10.5" style="133" customWidth="1"/>
    <col min="6" max="7" width="59.1640625" style="133" customWidth="1"/>
    <col min="8" max="8" width="6.83203125" style="132" bestFit="1" customWidth="1"/>
    <col min="9" max="9" width="20.33203125" style="132" customWidth="1"/>
    <col min="10" max="10" width="5" style="132" bestFit="1" customWidth="1"/>
    <col min="11" max="16384" width="13" style="132"/>
  </cols>
  <sheetData>
    <row r="1" spans="1:19" ht="21" customHeight="1" x14ac:dyDescent="0.15">
      <c r="A1" s="120" t="s">
        <v>182</v>
      </c>
      <c r="B1" s="121" t="s">
        <v>181</v>
      </c>
      <c r="C1" s="122" t="s">
        <v>180</v>
      </c>
      <c r="D1" s="123" t="s">
        <v>179</v>
      </c>
      <c r="E1" s="123" t="s">
        <v>178</v>
      </c>
      <c r="F1" s="124" t="s">
        <v>177</v>
      </c>
      <c r="G1" s="125" t="s">
        <v>185</v>
      </c>
      <c r="H1" s="124" t="s">
        <v>176</v>
      </c>
      <c r="I1" s="125" t="s">
        <v>175</v>
      </c>
      <c r="J1" s="129" t="s">
        <v>174</v>
      </c>
    </row>
    <row r="2" spans="1:19" ht="21" customHeight="1" x14ac:dyDescent="0.15">
      <c r="A2" s="12">
        <v>0</v>
      </c>
      <c r="B2" s="135" t="s">
        <v>189</v>
      </c>
      <c r="C2" s="136" t="e">
        <f ca="1">G2&amp;"の技"</f>
        <v>#N/A</v>
      </c>
      <c r="D2" s="136"/>
      <c r="E2" s="137">
        <f t="shared" ref="E2" si="0">LEN(D2)</f>
        <v>0</v>
      </c>
      <c r="F2" s="119"/>
      <c r="G2" s="57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H2" s="138">
        <v>1</v>
      </c>
      <c r="I2" s="138"/>
      <c r="J2" s="143"/>
      <c r="K2" s="139">
        <v>1</v>
      </c>
      <c r="L2" s="140"/>
      <c r="M2" s="141"/>
      <c r="N2" s="141"/>
      <c r="O2" s="141"/>
      <c r="P2" s="141"/>
      <c r="Q2" s="141"/>
      <c r="R2" s="136"/>
      <c r="S2" s="142"/>
    </row>
  </sheetData>
  <sheetProtection selectLockedCells="1" selectUnlockedCells="1"/>
  <autoFilter ref="A1:J1"/>
  <phoneticPr fontId="22"/>
  <conditionalFormatting sqref="E2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5"/>
  <sheetViews>
    <sheetView workbookViewId="0">
      <selection activeCell="L28" sqref="L28"/>
    </sheetView>
  </sheetViews>
  <sheetFormatPr baseColWidth="12" defaultRowHeight="15" outlineLevelCol="1" x14ac:dyDescent="0.15"/>
  <cols>
    <col min="2" max="2" width="12.83203125" style="145"/>
    <col min="4" max="4" width="12.83203125" style="145" customWidth="1" outlineLevel="1"/>
    <col min="5" max="5" width="12.83203125" style="145"/>
  </cols>
  <sheetData>
    <row r="1" spans="1:8" x14ac:dyDescent="0.15">
      <c r="A1" s="116" t="s">
        <v>190</v>
      </c>
      <c r="B1" s="144" t="s">
        <v>191</v>
      </c>
      <c r="C1" s="116" t="s">
        <v>192</v>
      </c>
      <c r="D1" s="144" t="s">
        <v>194</v>
      </c>
      <c r="E1" s="144" t="s">
        <v>195</v>
      </c>
      <c r="F1" s="113" t="s">
        <v>196</v>
      </c>
      <c r="G1" s="116" t="s">
        <v>193</v>
      </c>
      <c r="H1" s="113" t="s">
        <v>197</v>
      </c>
    </row>
    <row r="2" spans="1:8" x14ac:dyDescent="0.15">
      <c r="A2" s="109">
        <v>1</v>
      </c>
      <c r="B2" s="144" t="str">
        <f>VLOOKUP(A2,[1]characters!$A:$C,3,FALSE)</f>
        <v>ジェリー</v>
      </c>
      <c r="C2" s="109" t="s">
        <v>198</v>
      </c>
      <c r="D2" s="144" t="str">
        <f>A2&amp;C2</f>
        <v>1skill</v>
      </c>
      <c r="E2" s="144">
        <f>COUNTIF(D$2:D2,D2)</f>
        <v>1</v>
      </c>
      <c r="F2" s="109" t="s">
        <v>200</v>
      </c>
      <c r="G2" s="109" t="s">
        <v>199</v>
      </c>
      <c r="H2" s="109" t="s">
        <v>201</v>
      </c>
    </row>
    <row r="3" spans="1:8" x14ac:dyDescent="0.15">
      <c r="A3" s="109">
        <v>1</v>
      </c>
      <c r="B3" s="144" t="str">
        <f>VLOOKUP(A3,[1]characters!$A:$C,3,FALSE)</f>
        <v>ジェリー</v>
      </c>
      <c r="C3" s="109" t="s">
        <v>202</v>
      </c>
      <c r="D3" s="144" t="str">
        <f>A3&amp;C3</f>
        <v>1cskill</v>
      </c>
      <c r="E3" s="144">
        <f>COUNTIF(D$2:D3,D3)</f>
        <v>1</v>
      </c>
      <c r="F3" s="109" t="s">
        <v>200</v>
      </c>
      <c r="G3" s="109" t="s">
        <v>199</v>
      </c>
      <c r="H3" s="109" t="s">
        <v>203</v>
      </c>
    </row>
    <row r="4" spans="1:8" x14ac:dyDescent="0.15">
      <c r="A4" s="109"/>
      <c r="B4" s="144"/>
      <c r="C4" s="109"/>
      <c r="D4" s="144"/>
      <c r="E4" s="144"/>
      <c r="F4" s="109"/>
      <c r="G4" s="109"/>
      <c r="H4" s="109"/>
    </row>
    <row r="5" spans="1:8" x14ac:dyDescent="0.15">
      <c r="A5" s="109"/>
      <c r="B5" s="144"/>
      <c r="C5" s="109"/>
      <c r="D5" s="144"/>
      <c r="E5" s="144"/>
      <c r="F5" s="109"/>
      <c r="G5" s="109"/>
      <c r="H5" s="109"/>
    </row>
    <row r="6" spans="1:8" x14ac:dyDescent="0.15">
      <c r="A6" s="109"/>
      <c r="B6" s="144"/>
      <c r="C6" s="109"/>
      <c r="D6" s="144"/>
      <c r="E6" s="144"/>
      <c r="F6" s="109"/>
      <c r="G6" s="109"/>
      <c r="H6" s="109"/>
    </row>
    <row r="7" spans="1:8" x14ac:dyDescent="0.15">
      <c r="A7" s="109"/>
      <c r="B7" s="144"/>
      <c r="C7" s="109"/>
      <c r="D7" s="144"/>
      <c r="E7" s="144"/>
      <c r="F7" s="109"/>
      <c r="G7" s="109"/>
      <c r="H7" s="109"/>
    </row>
    <row r="8" spans="1:8" x14ac:dyDescent="0.15">
      <c r="A8" s="109"/>
      <c r="B8" s="144"/>
      <c r="C8" s="109"/>
      <c r="D8" s="144"/>
      <c r="E8" s="144"/>
      <c r="F8" s="109"/>
      <c r="G8" s="109"/>
      <c r="H8" s="109"/>
    </row>
    <row r="9" spans="1:8" x14ac:dyDescent="0.15">
      <c r="A9" s="109"/>
      <c r="B9" s="144"/>
      <c r="C9" s="109"/>
      <c r="D9" s="144"/>
      <c r="E9" s="144"/>
      <c r="F9" s="109"/>
      <c r="G9" s="109"/>
      <c r="H9" s="109"/>
    </row>
    <row r="10" spans="1:8" x14ac:dyDescent="0.15">
      <c r="A10" s="109"/>
      <c r="B10" s="144"/>
      <c r="C10" s="109"/>
      <c r="D10" s="144"/>
      <c r="E10" s="144"/>
      <c r="F10" s="109"/>
      <c r="G10" s="109"/>
      <c r="H10" s="109"/>
    </row>
    <row r="11" spans="1:8" x14ac:dyDescent="0.15">
      <c r="A11" s="109"/>
      <c r="B11" s="144"/>
      <c r="C11" s="109"/>
      <c r="D11" s="144"/>
      <c r="E11" s="144"/>
      <c r="F11" s="109"/>
      <c r="G11" s="109"/>
      <c r="H11" s="109"/>
    </row>
    <row r="12" spans="1:8" x14ac:dyDescent="0.15">
      <c r="A12" s="109"/>
      <c r="B12" s="144"/>
      <c r="C12" s="109"/>
      <c r="D12" s="144"/>
      <c r="E12" s="144"/>
      <c r="F12" s="109"/>
      <c r="G12" s="109"/>
      <c r="H12" s="109"/>
    </row>
    <row r="13" spans="1:8" x14ac:dyDescent="0.15">
      <c r="A13" s="109"/>
      <c r="B13" s="144"/>
      <c r="C13" s="109"/>
      <c r="D13" s="144"/>
      <c r="E13" s="144"/>
      <c r="F13" s="109"/>
      <c r="G13" s="109"/>
      <c r="H13" s="109"/>
    </row>
    <row r="14" spans="1:8" x14ac:dyDescent="0.15">
      <c r="A14" s="109"/>
      <c r="B14" s="144"/>
      <c r="C14" s="109"/>
      <c r="D14" s="144"/>
      <c r="E14" s="144"/>
      <c r="F14" s="109"/>
      <c r="G14" s="109"/>
      <c r="H14" s="109"/>
    </row>
    <row r="15" spans="1:8" x14ac:dyDescent="0.15">
      <c r="A15" s="109"/>
      <c r="B15" s="144"/>
      <c r="C15" s="109"/>
      <c r="D15" s="144"/>
      <c r="E15" s="144"/>
      <c r="F15" s="109"/>
      <c r="G15" s="109"/>
      <c r="H15" s="109"/>
    </row>
    <row r="16" spans="1:8" x14ac:dyDescent="0.15">
      <c r="A16" s="109"/>
      <c r="B16" s="144"/>
      <c r="C16" s="109"/>
      <c r="D16" s="144"/>
      <c r="E16" s="144"/>
      <c r="F16" s="109"/>
      <c r="G16" s="109"/>
      <c r="H16" s="109"/>
    </row>
    <row r="17" spans="1:8" x14ac:dyDescent="0.15">
      <c r="A17" s="109"/>
      <c r="B17" s="144"/>
      <c r="C17" s="109"/>
      <c r="D17" s="144"/>
      <c r="E17" s="144"/>
      <c r="F17" s="109"/>
      <c r="G17" s="109"/>
      <c r="H17" s="109"/>
    </row>
    <row r="18" spans="1:8" x14ac:dyDescent="0.15">
      <c r="A18" s="109"/>
      <c r="B18" s="144"/>
      <c r="C18" s="109"/>
      <c r="D18" s="144"/>
      <c r="E18" s="144"/>
      <c r="F18" s="109"/>
      <c r="G18" s="109"/>
      <c r="H18" s="109"/>
    </row>
    <row r="19" spans="1:8" x14ac:dyDescent="0.15">
      <c r="A19" s="109"/>
      <c r="B19" s="144"/>
      <c r="C19" s="109"/>
      <c r="D19" s="144"/>
      <c r="E19" s="144"/>
      <c r="F19" s="109"/>
      <c r="G19" s="109"/>
      <c r="H19" s="109"/>
    </row>
    <row r="20" spans="1:8" x14ac:dyDescent="0.15">
      <c r="A20" s="109"/>
      <c r="B20" s="144"/>
      <c r="C20" s="109"/>
      <c r="D20" s="144"/>
      <c r="E20" s="144"/>
      <c r="F20" s="109"/>
      <c r="G20" s="109"/>
      <c r="H20" s="109"/>
    </row>
    <row r="21" spans="1:8" x14ac:dyDescent="0.15">
      <c r="A21" s="109"/>
      <c r="B21" s="144"/>
      <c r="C21" s="109"/>
      <c r="D21" s="144"/>
      <c r="E21" s="144"/>
      <c r="F21" s="109"/>
      <c r="G21" s="109"/>
      <c r="H21" s="109"/>
    </row>
    <row r="22" spans="1:8" x14ac:dyDescent="0.15">
      <c r="A22" s="109"/>
      <c r="B22" s="144"/>
      <c r="C22" s="109"/>
      <c r="D22" s="144"/>
      <c r="E22" s="144"/>
      <c r="F22" s="109"/>
      <c r="G22" s="109"/>
      <c r="H22" s="109"/>
    </row>
    <row r="23" spans="1:8" x14ac:dyDescent="0.15">
      <c r="A23" s="109"/>
      <c r="B23" s="144"/>
      <c r="C23" s="109"/>
      <c r="D23" s="144"/>
      <c r="E23" s="144"/>
      <c r="F23" s="109"/>
      <c r="G23" s="109"/>
      <c r="H23" s="109"/>
    </row>
    <row r="24" spans="1:8" x14ac:dyDescent="0.15">
      <c r="A24" s="109"/>
      <c r="B24" s="144"/>
      <c r="C24" s="109"/>
      <c r="D24" s="144"/>
      <c r="E24" s="144"/>
      <c r="F24" s="109"/>
      <c r="G24" s="109"/>
      <c r="H24" s="109"/>
    </row>
    <row r="25" spans="1:8" x14ac:dyDescent="0.15">
      <c r="A25" s="109"/>
      <c r="B25" s="144"/>
      <c r="C25" s="109"/>
      <c r="D25" s="144"/>
      <c r="E25" s="144"/>
      <c r="F25" s="109"/>
      <c r="G25" s="109"/>
      <c r="H25" s="109"/>
    </row>
  </sheetData>
  <phoneticPr fontId="22"/>
  <dataValidations count="2">
    <dataValidation type="list" allowBlank="1" showInputMessage="1" showErrorMessage="1" sqref="G2:G3">
      <formula1>"maru,giza,kumo"</formula1>
    </dataValidation>
    <dataValidation type="list" allowBlank="1" showInputMessage="1" showErrorMessage="1" sqref="C2:C3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"/>
  <sheetViews>
    <sheetView showGridLines="0" topLeftCell="B1" workbookViewId="0">
      <pane ySplit="1" topLeftCell="A2" activePane="bottomLeft" state="frozen"/>
      <selection pane="bottomLeft" activeCell="I16" sqref="I16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5" t="s">
        <v>99</v>
      </c>
      <c r="B1" s="42" t="s">
        <v>38</v>
      </c>
      <c r="C1" s="20" t="s">
        <v>40</v>
      </c>
      <c r="D1" s="20" t="s">
        <v>42</v>
      </c>
      <c r="E1" s="20" t="s">
        <v>43</v>
      </c>
      <c r="F1" s="43" t="s">
        <v>36</v>
      </c>
      <c r="G1" s="20" t="s">
        <v>41</v>
      </c>
      <c r="H1" s="19" t="s">
        <v>37</v>
      </c>
      <c r="I1" s="114" t="s">
        <v>127</v>
      </c>
    </row>
    <row r="2" spans="1:9" ht="21" customHeight="1" x14ac:dyDescent="0.15">
      <c r="A2" s="65" t="str">
        <f>B2&amp;"_"&amp;F2</f>
        <v>410_101</v>
      </c>
      <c r="B2" s="44">
        <v>410</v>
      </c>
      <c r="C2" s="21" t="e">
        <f ca="1">VLOOKUP($B2,OFFSET(units!$A$1,0,0,COUNTA(units!$A:$A),MATCH(C$1,units!$1:$1,0)-COLUMN(INDIRECT("character_id"))+1),MATCH(C$1,units!$1:$1,0)-COLUMN(INDIRECT("character_id"))+1,FALSE)</f>
        <v>#N/A</v>
      </c>
      <c r="D2" s="21" t="e">
        <f ca="1">VLOOKUP($B2,OFFSET(units!$A$1,0,0,COUNTA(units!$A:$A),MATCH(D$1,units!$1:$1,0)-COLUMN(INDIRECT("character_id"))+1),MATCH(D$1,units!$1:$1,0)-COLUMN(INDIRECT("character_id"))+1,FALSE)</f>
        <v>#N/A</v>
      </c>
      <c r="E2" s="21" t="e">
        <f ca="1">VLOOKUP($B2,OFFSET(units!$A$1,0,0,COUNTA(units!$A:$A),MATCH(E$1,units!$1:$1,0)-COLUMN(INDIRECT("character_id"))+1),MATCH(E$1,units!$1:$1,0)-COLUMN(INDIRECT("character_id"))+1,FALSE)</f>
        <v>#N/A</v>
      </c>
      <c r="F2" s="44">
        <v>101</v>
      </c>
      <c r="G2" s="21" t="str">
        <f>VLOOKUP(F2,[1]characters!$A:$C,3,FALSE)</f>
        <v>レッドチェシャ</v>
      </c>
      <c r="H2" s="18">
        <v>1</v>
      </c>
      <c r="I2" s="115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>
      <selection activeCell="H34" sqref="H34"/>
    </sheetView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D11" sqref="D11"/>
    </sheetView>
  </sheetViews>
  <sheetFormatPr baseColWidth="12" defaultRowHeight="15" x14ac:dyDescent="0.15"/>
  <sheetData>
    <row r="1" spans="1:2" x14ac:dyDescent="0.15">
      <c r="A1" t="s">
        <v>261</v>
      </c>
      <c r="B1" t="s">
        <v>262</v>
      </c>
    </row>
    <row r="2" spans="1:2" x14ac:dyDescent="0.15">
      <c r="A2" t="s">
        <v>263</v>
      </c>
      <c r="B2">
        <v>1</v>
      </c>
    </row>
    <row r="3" spans="1:2" x14ac:dyDescent="0.15">
      <c r="A3" t="s">
        <v>264</v>
      </c>
      <c r="B3">
        <v>1</v>
      </c>
    </row>
    <row r="4" spans="1:2" x14ac:dyDescent="0.15">
      <c r="A4" t="s">
        <v>265</v>
      </c>
      <c r="B4">
        <v>1</v>
      </c>
    </row>
    <row r="5" spans="1:2" x14ac:dyDescent="0.15">
      <c r="A5" t="s">
        <v>266</v>
      </c>
      <c r="B5">
        <v>1</v>
      </c>
    </row>
    <row r="6" spans="1:2" x14ac:dyDescent="0.15">
      <c r="A6" t="s">
        <v>267</v>
      </c>
      <c r="B6">
        <v>1</v>
      </c>
    </row>
    <row r="7" spans="1:2" x14ac:dyDescent="0.15">
      <c r="A7" t="s">
        <v>268</v>
      </c>
      <c r="B7">
        <v>1</v>
      </c>
    </row>
    <row r="8" spans="1:2" x14ac:dyDescent="0.15">
      <c r="A8" t="s">
        <v>269</v>
      </c>
      <c r="B8">
        <v>1</v>
      </c>
    </row>
    <row r="9" spans="1:2" x14ac:dyDescent="0.15">
      <c r="A9" t="s">
        <v>270</v>
      </c>
      <c r="B9">
        <v>1</v>
      </c>
    </row>
    <row r="10" spans="1:2" x14ac:dyDescent="0.15">
      <c r="A10" t="s">
        <v>271</v>
      </c>
      <c r="B10">
        <v>1</v>
      </c>
    </row>
    <row r="11" spans="1:2" x14ac:dyDescent="0.15">
      <c r="A11" t="s">
        <v>272</v>
      </c>
      <c r="B11">
        <v>1</v>
      </c>
    </row>
    <row r="12" spans="1:2" x14ac:dyDescent="0.15">
      <c r="A12" t="s">
        <v>273</v>
      </c>
      <c r="B12">
        <v>1</v>
      </c>
    </row>
    <row r="13" spans="1:2" x14ac:dyDescent="0.15">
      <c r="A13" t="s">
        <v>274</v>
      </c>
      <c r="B13">
        <v>0</v>
      </c>
    </row>
    <row r="14" spans="1:2" x14ac:dyDescent="0.15">
      <c r="A14" t="s">
        <v>275</v>
      </c>
      <c r="B14">
        <v>500</v>
      </c>
    </row>
    <row r="15" spans="1:2" x14ac:dyDescent="0.15">
      <c r="A15" t="s">
        <v>276</v>
      </c>
      <c r="B15">
        <v>600</v>
      </c>
    </row>
    <row r="16" spans="1:2" x14ac:dyDescent="0.15">
      <c r="A16" t="s">
        <v>277</v>
      </c>
      <c r="B16">
        <v>700</v>
      </c>
    </row>
    <row r="17" spans="1:2" x14ac:dyDescent="0.15">
      <c r="A17" t="s">
        <v>278</v>
      </c>
      <c r="B17">
        <v>5500</v>
      </c>
    </row>
    <row r="18" spans="1:2" x14ac:dyDescent="0.15">
      <c r="A18" t="s">
        <v>279</v>
      </c>
      <c r="B18">
        <v>6000</v>
      </c>
    </row>
    <row r="19" spans="1:2" x14ac:dyDescent="0.15">
      <c r="A19" t="s">
        <v>280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H22" sqref="H22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239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240</v>
      </c>
      <c r="B2" s="148"/>
      <c r="C2" s="149"/>
      <c r="D2" s="150" t="s">
        <v>241</v>
      </c>
      <c r="E2" s="150">
        <v>30</v>
      </c>
      <c r="F2" s="150">
        <v>40</v>
      </c>
      <c r="G2" s="150">
        <f>15+F2</f>
        <v>55</v>
      </c>
      <c r="H2" s="149"/>
      <c r="I2" s="149"/>
    </row>
    <row r="3" spans="1:9" s="4" customFormat="1" ht="21" customHeight="1" x14ac:dyDescent="0.15">
      <c r="A3" s="147" t="s">
        <v>242</v>
      </c>
      <c r="B3" s="151"/>
      <c r="C3" s="152"/>
      <c r="D3" s="153" t="s">
        <v>241</v>
      </c>
      <c r="E3" s="153">
        <v>25</v>
      </c>
      <c r="F3" s="153">
        <v>35</v>
      </c>
      <c r="G3" s="150">
        <f t="shared" ref="G3:G4" si="0">15+F3</f>
        <v>50</v>
      </c>
      <c r="H3" s="152"/>
      <c r="I3" s="152"/>
    </row>
    <row r="4" spans="1:9" s="4" customFormat="1" ht="21" customHeight="1" x14ac:dyDescent="0.15">
      <c r="A4" s="147" t="s">
        <v>243</v>
      </c>
      <c r="B4" s="154"/>
      <c r="C4" s="155"/>
      <c r="D4" s="156">
        <v>10</v>
      </c>
      <c r="E4" s="156">
        <v>20</v>
      </c>
      <c r="F4" s="156">
        <v>30</v>
      </c>
      <c r="G4" s="156">
        <f t="shared" si="0"/>
        <v>45</v>
      </c>
      <c r="H4" s="155"/>
      <c r="I4" s="155"/>
    </row>
    <row r="5" spans="1:9" s="4" customFormat="1" ht="21" customHeight="1" x14ac:dyDescent="0.15">
      <c r="A5" s="166" t="s">
        <v>244</v>
      </c>
      <c r="B5" s="161"/>
      <c r="C5" s="162"/>
      <c r="D5" s="29">
        <v>9</v>
      </c>
      <c r="E5" s="29">
        <v>18</v>
      </c>
      <c r="F5" s="29">
        <v>28</v>
      </c>
      <c r="G5" s="39">
        <v>38</v>
      </c>
      <c r="H5" s="162"/>
      <c r="I5" s="162"/>
    </row>
    <row r="6" spans="1:9" s="4" customFormat="1" ht="21" customHeight="1" x14ac:dyDescent="0.15">
      <c r="A6" s="166" t="s">
        <v>245</v>
      </c>
      <c r="B6" s="161"/>
      <c r="C6" s="162"/>
      <c r="D6" s="29">
        <v>7</v>
      </c>
      <c r="E6" s="29">
        <v>16</v>
      </c>
      <c r="F6" s="69" t="s">
        <v>11</v>
      </c>
      <c r="G6" s="69" t="s">
        <v>11</v>
      </c>
      <c r="H6" s="162"/>
      <c r="I6" s="162"/>
    </row>
    <row r="7" spans="1:9" ht="21" customHeight="1" x14ac:dyDescent="0.15">
      <c r="A7" s="74" t="s">
        <v>246</v>
      </c>
      <c r="B7" s="47" t="s">
        <v>11</v>
      </c>
      <c r="C7" s="47" t="s">
        <v>11</v>
      </c>
      <c r="D7" s="39" t="s">
        <v>241</v>
      </c>
      <c r="E7" s="39" t="s">
        <v>241</v>
      </c>
      <c r="F7" s="39" t="s">
        <v>241</v>
      </c>
      <c r="G7" s="39" t="s">
        <v>241</v>
      </c>
      <c r="H7" s="39" t="s">
        <v>241</v>
      </c>
      <c r="I7" s="39" t="s">
        <v>241</v>
      </c>
    </row>
    <row r="8" spans="1:9" ht="21" customHeight="1" x14ac:dyDescent="0.15">
      <c r="A8" s="75" t="s">
        <v>247</v>
      </c>
      <c r="B8" s="47" t="s">
        <v>11</v>
      </c>
      <c r="C8" s="47" t="s">
        <v>11</v>
      </c>
      <c r="D8" s="39" t="s">
        <v>241</v>
      </c>
      <c r="E8" s="39">
        <v>30</v>
      </c>
      <c r="F8" s="39">
        <v>40</v>
      </c>
      <c r="G8" s="39">
        <f>15+F8</f>
        <v>55</v>
      </c>
      <c r="H8" s="39" t="s">
        <v>241</v>
      </c>
      <c r="I8" s="39" t="s">
        <v>241</v>
      </c>
    </row>
    <row r="9" spans="1:9" s="46" customFormat="1" ht="21" customHeight="1" x14ac:dyDescent="0.15">
      <c r="A9" s="76" t="s">
        <v>248</v>
      </c>
      <c r="B9" s="29" t="s">
        <v>11</v>
      </c>
      <c r="C9" s="29" t="s">
        <v>11</v>
      </c>
      <c r="D9" s="106" t="s">
        <v>241</v>
      </c>
      <c r="E9" s="106">
        <v>25</v>
      </c>
      <c r="F9" s="106">
        <v>35</v>
      </c>
      <c r="G9" s="39">
        <f t="shared" ref="G9:G10" si="1">15+F9</f>
        <v>50</v>
      </c>
      <c r="H9" s="106" t="s">
        <v>241</v>
      </c>
      <c r="I9" s="106" t="s">
        <v>241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10</v>
      </c>
      <c r="E10" s="29">
        <v>20</v>
      </c>
      <c r="F10" s="29">
        <v>30</v>
      </c>
      <c r="G10" s="39">
        <f t="shared" si="1"/>
        <v>45</v>
      </c>
      <c r="H10" s="69" t="s">
        <v>11</v>
      </c>
      <c r="I10" s="69" t="s">
        <v>11</v>
      </c>
    </row>
    <row r="11" spans="1:9" ht="21" customHeight="1" x14ac:dyDescent="0.15">
      <c r="A11" s="76" t="s">
        <v>249</v>
      </c>
      <c r="B11" s="69" t="s">
        <v>11</v>
      </c>
      <c r="C11" s="69" t="s">
        <v>11</v>
      </c>
      <c r="D11" s="29">
        <v>9</v>
      </c>
      <c r="E11" s="29">
        <v>18</v>
      </c>
      <c r="F11" s="29">
        <v>28</v>
      </c>
      <c r="G11" s="39">
        <v>38</v>
      </c>
      <c r="H11" s="69" t="s">
        <v>11</v>
      </c>
      <c r="I11" s="69" t="s">
        <v>11</v>
      </c>
    </row>
    <row r="12" spans="1:9" ht="21" customHeight="1" x14ac:dyDescent="0.15">
      <c r="A12" s="76" t="s">
        <v>250</v>
      </c>
      <c r="B12" s="69" t="s">
        <v>11</v>
      </c>
      <c r="C12" s="69" t="s">
        <v>11</v>
      </c>
      <c r="D12" s="29">
        <v>7</v>
      </c>
      <c r="E12" s="29">
        <v>16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105" t="s">
        <v>251</v>
      </c>
      <c r="B13" s="69" t="s">
        <v>11</v>
      </c>
      <c r="C13" s="69" t="s">
        <v>11</v>
      </c>
      <c r="D13" s="29">
        <v>8</v>
      </c>
      <c r="E13" s="29">
        <v>17</v>
      </c>
      <c r="F13" s="29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252</v>
      </c>
      <c r="B14" s="69" t="s">
        <v>11</v>
      </c>
      <c r="C14" s="69" t="s">
        <v>11</v>
      </c>
      <c r="D14" s="29">
        <v>8</v>
      </c>
      <c r="E14" s="29">
        <v>17</v>
      </c>
      <c r="F14" s="29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253</v>
      </c>
      <c r="B15" s="69" t="s">
        <v>11</v>
      </c>
      <c r="C15" s="69" t="s">
        <v>11</v>
      </c>
      <c r="D15" s="29">
        <v>6</v>
      </c>
      <c r="E15" s="29">
        <v>14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254</v>
      </c>
      <c r="B16" s="69" t="s">
        <v>11</v>
      </c>
      <c r="C16" s="29">
        <v>4</v>
      </c>
      <c r="D16" s="29">
        <v>6</v>
      </c>
      <c r="E16" s="29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</v>
      </c>
      <c r="C17" s="29">
        <v>4</v>
      </c>
      <c r="D17" s="29">
        <v>6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32">
        <v>1</v>
      </c>
      <c r="C18" s="32">
        <v>2</v>
      </c>
      <c r="D18" s="70" t="s">
        <v>11</v>
      </c>
      <c r="E18" s="70" t="s">
        <v>11</v>
      </c>
      <c r="F18" s="70" t="s">
        <v>11</v>
      </c>
      <c r="G18" s="70" t="s">
        <v>11</v>
      </c>
      <c r="H18" s="70" t="s">
        <v>11</v>
      </c>
      <c r="I18" s="70" t="s">
        <v>11</v>
      </c>
    </row>
    <row r="19" spans="1:9" ht="21" customHeight="1" x14ac:dyDescent="0.15">
      <c r="A19" s="78" t="s">
        <v>255</v>
      </c>
      <c r="B19" s="27">
        <v>1</v>
      </c>
      <c r="C19" s="27">
        <v>1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38" t="s">
        <v>256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I24" sqref="I2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47" t="s">
        <v>240</v>
      </c>
      <c r="B2" s="163"/>
      <c r="C2" s="149"/>
      <c r="D2" s="157" t="s">
        <v>109</v>
      </c>
      <c r="E2" s="157">
        <v>60</v>
      </c>
      <c r="F2" s="157">
        <v>80</v>
      </c>
      <c r="G2" s="157">
        <v>99</v>
      </c>
      <c r="H2" s="149"/>
      <c r="I2" s="149"/>
    </row>
    <row r="3" spans="1:9" s="4" customFormat="1" ht="21" customHeight="1" x14ac:dyDescent="0.15">
      <c r="A3" s="147" t="s">
        <v>242</v>
      </c>
      <c r="B3" s="164"/>
      <c r="C3" s="152"/>
      <c r="D3" s="157" t="s">
        <v>109</v>
      </c>
      <c r="E3" s="157">
        <v>60</v>
      </c>
      <c r="F3" s="157">
        <v>80</v>
      </c>
      <c r="G3" s="157">
        <v>99</v>
      </c>
      <c r="H3" s="152"/>
      <c r="I3" s="152"/>
    </row>
    <row r="4" spans="1:9" s="4" customFormat="1" ht="21" customHeight="1" x14ac:dyDescent="0.15">
      <c r="A4" s="147" t="s">
        <v>236</v>
      </c>
      <c r="B4" s="165"/>
      <c r="C4" s="155"/>
      <c r="D4" s="157">
        <v>40</v>
      </c>
      <c r="E4" s="157">
        <v>60</v>
      </c>
      <c r="F4" s="157">
        <v>80</v>
      </c>
      <c r="G4" s="157">
        <v>99</v>
      </c>
      <c r="H4" s="155"/>
      <c r="I4" s="155"/>
    </row>
    <row r="5" spans="1:9" s="4" customFormat="1" ht="21" customHeight="1" x14ac:dyDescent="0.15">
      <c r="A5" s="166" t="s">
        <v>244</v>
      </c>
      <c r="B5" s="161"/>
      <c r="C5" s="162"/>
      <c r="D5" s="157">
        <v>40</v>
      </c>
      <c r="E5" s="157">
        <v>60</v>
      </c>
      <c r="F5" s="157">
        <v>80</v>
      </c>
      <c r="G5" s="157">
        <v>99</v>
      </c>
      <c r="H5" s="162"/>
      <c r="I5" s="162"/>
    </row>
    <row r="6" spans="1:9" s="4" customFormat="1" ht="21" customHeight="1" x14ac:dyDescent="0.15">
      <c r="A6" s="166" t="s">
        <v>245</v>
      </c>
      <c r="B6" s="161"/>
      <c r="C6" s="162"/>
      <c r="D6" s="157">
        <v>40</v>
      </c>
      <c r="E6" s="157">
        <v>60</v>
      </c>
      <c r="F6" s="157" t="s">
        <v>109</v>
      </c>
      <c r="G6" s="157" t="s">
        <v>109</v>
      </c>
      <c r="H6" s="162"/>
      <c r="I6" s="162"/>
    </row>
    <row r="7" spans="1:9" ht="21" customHeight="1" x14ac:dyDescent="0.15">
      <c r="A7" s="74" t="s">
        <v>212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247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248</v>
      </c>
      <c r="B9" s="66" t="s">
        <v>109</v>
      </c>
      <c r="C9" s="66" t="s">
        <v>109</v>
      </c>
      <c r="D9" s="66" t="s">
        <v>109</v>
      </c>
      <c r="E9" s="66">
        <v>60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ht="21" customHeight="1" x14ac:dyDescent="0.15">
      <c r="A10" s="76" t="s">
        <v>9</v>
      </c>
      <c r="B10" s="71" t="s">
        <v>109</v>
      </c>
      <c r="C10" s="71" t="s">
        <v>109</v>
      </c>
      <c r="D10" s="37">
        <v>40</v>
      </c>
      <c r="E10" s="37">
        <v>60</v>
      </c>
      <c r="F10" s="37">
        <v>80</v>
      </c>
      <c r="G10" s="40">
        <v>99</v>
      </c>
      <c r="H10" s="71" t="s">
        <v>109</v>
      </c>
      <c r="I10" s="71" t="s">
        <v>109</v>
      </c>
    </row>
    <row r="11" spans="1:9" ht="21" customHeight="1" x14ac:dyDescent="0.15">
      <c r="A11" s="76" t="s">
        <v>215</v>
      </c>
      <c r="B11" s="71" t="s">
        <v>109</v>
      </c>
      <c r="C11" s="71" t="s">
        <v>109</v>
      </c>
      <c r="D11" s="37">
        <v>40</v>
      </c>
      <c r="E11" s="37">
        <v>60</v>
      </c>
      <c r="F11" s="37">
        <v>80</v>
      </c>
      <c r="G11" s="66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211</v>
      </c>
      <c r="B12" s="71" t="s">
        <v>109</v>
      </c>
      <c r="C12" s="71" t="s">
        <v>109</v>
      </c>
      <c r="D12" s="37">
        <v>40</v>
      </c>
      <c r="E12" s="37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</row>
    <row r="13" spans="1:9" ht="21" customHeight="1" x14ac:dyDescent="0.15">
      <c r="A13" s="105" t="s">
        <v>251</v>
      </c>
      <c r="B13" s="71" t="s">
        <v>109</v>
      </c>
      <c r="C13" s="71" t="s">
        <v>109</v>
      </c>
      <c r="D13" s="37">
        <v>40</v>
      </c>
      <c r="E13" s="37">
        <v>60</v>
      </c>
      <c r="F13" s="37">
        <v>80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76" t="s">
        <v>252</v>
      </c>
      <c r="B14" s="71" t="s">
        <v>109</v>
      </c>
      <c r="C14" s="71" t="s">
        <v>109</v>
      </c>
      <c r="D14" s="37">
        <v>40</v>
      </c>
      <c r="E14" s="37">
        <v>60</v>
      </c>
      <c r="F14" s="37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105</v>
      </c>
      <c r="B15" s="71" t="s">
        <v>109</v>
      </c>
      <c r="C15" s="37">
        <v>30</v>
      </c>
      <c r="D15" s="37">
        <v>40</v>
      </c>
      <c r="E15" s="37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254</v>
      </c>
      <c r="B16" s="71" t="s">
        <v>109</v>
      </c>
      <c r="C16" s="37">
        <v>30</v>
      </c>
      <c r="D16" s="37">
        <v>40</v>
      </c>
      <c r="E16" s="37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37">
        <v>15</v>
      </c>
      <c r="C17" s="37">
        <v>30</v>
      </c>
      <c r="D17" s="37">
        <v>40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37">
        <v>15</v>
      </c>
      <c r="C18" s="37">
        <v>30</v>
      </c>
      <c r="D18" s="37">
        <v>40</v>
      </c>
      <c r="E18" s="71" t="s">
        <v>221</v>
      </c>
      <c r="F18" s="71" t="s">
        <v>221</v>
      </c>
      <c r="G18" s="71" t="s">
        <v>221</v>
      </c>
      <c r="H18" s="71" t="s">
        <v>221</v>
      </c>
      <c r="I18" s="71" t="s">
        <v>221</v>
      </c>
    </row>
    <row r="19" spans="1:9" ht="21" customHeight="1" x14ac:dyDescent="0.15">
      <c r="A19" s="78" t="s">
        <v>255</v>
      </c>
      <c r="B19" s="37">
        <v>10</v>
      </c>
      <c r="C19" s="37">
        <v>20</v>
      </c>
      <c r="D19" s="71" t="s">
        <v>221</v>
      </c>
      <c r="E19" s="71" t="s">
        <v>221</v>
      </c>
      <c r="F19" s="71" t="s">
        <v>221</v>
      </c>
      <c r="G19" s="71" t="s">
        <v>221</v>
      </c>
      <c r="H19" s="71" t="s">
        <v>221</v>
      </c>
      <c r="I19" s="71" t="s">
        <v>221</v>
      </c>
    </row>
    <row r="20" spans="1:9" ht="21" customHeight="1" x14ac:dyDescent="0.15">
      <c r="A20" s="38" t="s">
        <v>256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H23" sqref="H2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7" t="s">
        <v>240</v>
      </c>
      <c r="B2" s="148"/>
      <c r="C2" s="149"/>
      <c r="D2" s="157" t="s">
        <v>109</v>
      </c>
      <c r="E2" s="158" t="s">
        <v>59</v>
      </c>
      <c r="F2" s="158" t="s">
        <v>59</v>
      </c>
      <c r="G2" s="158" t="s">
        <v>257</v>
      </c>
      <c r="H2" s="149"/>
      <c r="I2" s="149"/>
    </row>
    <row r="3" spans="1:11" s="4" customFormat="1" ht="21" customHeight="1" x14ac:dyDescent="0.15">
      <c r="A3" s="147" t="s">
        <v>242</v>
      </c>
      <c r="B3" s="151"/>
      <c r="C3" s="152"/>
      <c r="D3" s="158" t="s">
        <v>59</v>
      </c>
      <c r="E3" s="158" t="s">
        <v>59</v>
      </c>
      <c r="F3" s="158" t="s">
        <v>59</v>
      </c>
      <c r="G3" s="158" t="s">
        <v>235</v>
      </c>
      <c r="H3" s="152"/>
      <c r="I3" s="152"/>
    </row>
    <row r="4" spans="1:11" s="4" customFormat="1" ht="21" customHeight="1" x14ac:dyDescent="0.15">
      <c r="A4" s="147" t="s">
        <v>236</v>
      </c>
      <c r="B4" s="154"/>
      <c r="C4" s="155"/>
      <c r="D4" s="159" t="s">
        <v>59</v>
      </c>
      <c r="E4" s="159" t="s">
        <v>59</v>
      </c>
      <c r="F4" s="159" t="s">
        <v>59</v>
      </c>
      <c r="G4" s="158" t="s">
        <v>235</v>
      </c>
      <c r="H4" s="155"/>
      <c r="I4" s="155"/>
    </row>
    <row r="5" spans="1:11" s="4" customFormat="1" ht="21" customHeight="1" x14ac:dyDescent="0.15">
      <c r="A5" s="166" t="s">
        <v>244</v>
      </c>
      <c r="B5" s="161"/>
      <c r="C5" s="162"/>
      <c r="D5" s="159" t="s">
        <v>59</v>
      </c>
      <c r="E5" s="159" t="s">
        <v>59</v>
      </c>
      <c r="F5" s="159" t="s">
        <v>59</v>
      </c>
      <c r="G5" s="158" t="s">
        <v>225</v>
      </c>
      <c r="H5" s="162"/>
      <c r="I5" s="162"/>
    </row>
    <row r="6" spans="1:11" s="4" customFormat="1" ht="21" customHeight="1" x14ac:dyDescent="0.15">
      <c r="A6" s="166" t="s">
        <v>245</v>
      </c>
      <c r="B6" s="161"/>
      <c r="C6" s="162"/>
      <c r="D6" s="167" t="s">
        <v>60</v>
      </c>
      <c r="E6" s="167" t="s">
        <v>60</v>
      </c>
      <c r="F6" s="157" t="s">
        <v>109</v>
      </c>
      <c r="G6" s="157" t="s">
        <v>109</v>
      </c>
      <c r="H6" s="162"/>
      <c r="I6" s="162"/>
    </row>
    <row r="7" spans="1:11" ht="21" customHeight="1" x14ac:dyDescent="0.15">
      <c r="A7" s="74" t="s">
        <v>212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247</v>
      </c>
      <c r="B8" s="40" t="s">
        <v>109</v>
      </c>
      <c r="C8" s="40" t="s">
        <v>109</v>
      </c>
      <c r="D8" s="40" t="s">
        <v>222</v>
      </c>
      <c r="E8" s="52" t="s">
        <v>115</v>
      </c>
      <c r="F8" s="52" t="s">
        <v>115</v>
      </c>
      <c r="G8" s="52" t="s">
        <v>223</v>
      </c>
      <c r="H8" s="40" t="s">
        <v>222</v>
      </c>
      <c r="I8" s="40" t="s">
        <v>109</v>
      </c>
    </row>
    <row r="9" spans="1:11" s="46" customFormat="1" ht="21" customHeight="1" x14ac:dyDescent="0.15">
      <c r="A9" s="76" t="s">
        <v>248</v>
      </c>
      <c r="B9" s="66" t="s">
        <v>109</v>
      </c>
      <c r="C9" s="66" t="s">
        <v>109</v>
      </c>
      <c r="D9" s="66" t="s">
        <v>109</v>
      </c>
      <c r="E9" s="52" t="s">
        <v>59</v>
      </c>
      <c r="F9" s="52" t="s">
        <v>59</v>
      </c>
      <c r="G9" s="52" t="s">
        <v>115</v>
      </c>
      <c r="H9" s="66" t="s">
        <v>224</v>
      </c>
      <c r="I9" s="66" t="s">
        <v>224</v>
      </c>
    </row>
    <row r="10" spans="1:11" ht="21" customHeight="1" x14ac:dyDescent="0.15">
      <c r="A10" s="76" t="s">
        <v>9</v>
      </c>
      <c r="B10" s="71" t="s">
        <v>109</v>
      </c>
      <c r="C10" s="71" t="s">
        <v>109</v>
      </c>
      <c r="D10" s="52" t="s">
        <v>59</v>
      </c>
      <c r="E10" s="52" t="s">
        <v>59</v>
      </c>
      <c r="F10" s="52" t="s">
        <v>59</v>
      </c>
      <c r="G10" s="52" t="s">
        <v>225</v>
      </c>
      <c r="H10" s="71" t="s">
        <v>224</v>
      </c>
      <c r="I10" s="71" t="s">
        <v>224</v>
      </c>
      <c r="K10" s="28" t="s">
        <v>12</v>
      </c>
    </row>
    <row r="11" spans="1:11" ht="21" customHeight="1" x14ac:dyDescent="0.15">
      <c r="A11" s="76" t="s">
        <v>215</v>
      </c>
      <c r="B11" s="71" t="s">
        <v>109</v>
      </c>
      <c r="C11" s="71" t="s">
        <v>109</v>
      </c>
      <c r="D11" s="53" t="s">
        <v>59</v>
      </c>
      <c r="E11" s="53" t="s">
        <v>59</v>
      </c>
      <c r="F11" s="53" t="s">
        <v>59</v>
      </c>
      <c r="G11" s="52" t="s">
        <v>225</v>
      </c>
      <c r="H11" s="71" t="s">
        <v>224</v>
      </c>
      <c r="I11" s="71" t="s">
        <v>224</v>
      </c>
      <c r="K11" s="30" t="s">
        <v>13</v>
      </c>
    </row>
    <row r="12" spans="1:11" ht="21" customHeight="1" x14ac:dyDescent="0.15">
      <c r="A12" s="76" t="s">
        <v>211</v>
      </c>
      <c r="B12" s="71" t="s">
        <v>109</v>
      </c>
      <c r="C12" s="71" t="s">
        <v>109</v>
      </c>
      <c r="D12" s="54" t="s">
        <v>60</v>
      </c>
      <c r="E12" s="54" t="s">
        <v>60</v>
      </c>
      <c r="F12" s="71" t="s">
        <v>109</v>
      </c>
      <c r="G12" s="71" t="s">
        <v>109</v>
      </c>
      <c r="H12" s="71" t="s">
        <v>109</v>
      </c>
      <c r="I12" s="71" t="s">
        <v>109</v>
      </c>
      <c r="K12" s="72" t="s">
        <v>35</v>
      </c>
    </row>
    <row r="13" spans="1:11" ht="21" customHeight="1" x14ac:dyDescent="0.15">
      <c r="A13" s="105" t="s">
        <v>251</v>
      </c>
      <c r="B13" s="71" t="s">
        <v>109</v>
      </c>
      <c r="C13" s="71" t="s">
        <v>109</v>
      </c>
      <c r="D13" s="55" t="s">
        <v>59</v>
      </c>
      <c r="E13" s="55" t="s">
        <v>59</v>
      </c>
      <c r="F13" s="55" t="s">
        <v>59</v>
      </c>
      <c r="G13" s="71" t="s">
        <v>109</v>
      </c>
      <c r="H13" s="71" t="s">
        <v>109</v>
      </c>
      <c r="I13" s="71" t="s">
        <v>109</v>
      </c>
      <c r="K13" s="73"/>
    </row>
    <row r="14" spans="1:11" ht="21" customHeight="1" x14ac:dyDescent="0.15">
      <c r="A14" s="76" t="s">
        <v>252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</row>
    <row r="15" spans="1:11" ht="21" customHeight="1" x14ac:dyDescent="0.15">
      <c r="A15" s="76" t="s">
        <v>105</v>
      </c>
      <c r="B15" s="71" t="s">
        <v>109</v>
      </c>
      <c r="C15" s="71" t="s">
        <v>109</v>
      </c>
      <c r="D15" s="55" t="s">
        <v>60</v>
      </c>
      <c r="E15" s="55" t="s">
        <v>60</v>
      </c>
      <c r="F15" s="71" t="s">
        <v>109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254</v>
      </c>
      <c r="B16" s="71" t="s">
        <v>109</v>
      </c>
      <c r="C16" s="55" t="s">
        <v>60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8</v>
      </c>
      <c r="B17" s="56" t="s">
        <v>61</v>
      </c>
      <c r="C17" s="56" t="s">
        <v>61</v>
      </c>
      <c r="D17" s="56" t="s">
        <v>61</v>
      </c>
      <c r="E17" s="71" t="s">
        <v>109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7" t="s">
        <v>7</v>
      </c>
      <c r="B18" s="51" t="s">
        <v>62</v>
      </c>
      <c r="C18" s="51" t="s">
        <v>62</v>
      </c>
      <c r="D18" s="71" t="s">
        <v>109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8" t="s">
        <v>255</v>
      </c>
      <c r="B19" s="53" t="s">
        <v>63</v>
      </c>
      <c r="C19" s="53" t="s">
        <v>63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38" t="s">
        <v>256</v>
      </c>
      <c r="B20" s="79" t="s">
        <v>47</v>
      </c>
      <c r="C20" s="79" t="s">
        <v>47</v>
      </c>
      <c r="D20" s="79" t="s">
        <v>47</v>
      </c>
      <c r="E20" s="79" t="s">
        <v>47</v>
      </c>
      <c r="F20" s="79" t="s">
        <v>47</v>
      </c>
      <c r="G20" s="79" t="s">
        <v>47</v>
      </c>
      <c r="H20" s="79" t="s">
        <v>47</v>
      </c>
      <c r="I20" s="79" t="s">
        <v>47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64</v>
      </c>
      <c r="B26" s="22" t="s">
        <v>65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D20" sqref="D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47" t="s">
        <v>233</v>
      </c>
      <c r="B2" s="148"/>
      <c r="C2" s="149"/>
      <c r="D2" s="160" t="s">
        <v>11</v>
      </c>
      <c r="E2" s="160">
        <v>8000</v>
      </c>
      <c r="F2" s="160">
        <v>10000</v>
      </c>
      <c r="G2" s="160">
        <v>14000</v>
      </c>
      <c r="H2" s="149"/>
      <c r="I2" s="149"/>
    </row>
    <row r="3" spans="1:9" s="4" customFormat="1" ht="21" customHeight="1" x14ac:dyDescent="0.15">
      <c r="A3" s="147" t="s">
        <v>234</v>
      </c>
      <c r="B3" s="151"/>
      <c r="C3" s="152"/>
      <c r="D3" s="160" t="s">
        <v>11</v>
      </c>
      <c r="E3" s="160">
        <v>7500</v>
      </c>
      <c r="F3" s="160">
        <v>9500</v>
      </c>
      <c r="G3" s="160">
        <v>13000</v>
      </c>
      <c r="H3" s="152"/>
      <c r="I3" s="152"/>
    </row>
    <row r="4" spans="1:9" s="4" customFormat="1" ht="21" customHeight="1" x14ac:dyDescent="0.15">
      <c r="A4" s="147" t="s">
        <v>236</v>
      </c>
      <c r="B4" s="154"/>
      <c r="C4" s="155"/>
      <c r="D4" s="160">
        <v>5000</v>
      </c>
      <c r="E4" s="160">
        <v>7000</v>
      </c>
      <c r="F4" s="160">
        <v>9000</v>
      </c>
      <c r="G4" s="160">
        <v>12000</v>
      </c>
      <c r="H4" s="155"/>
      <c r="I4" s="155"/>
    </row>
    <row r="5" spans="1:9" s="4" customFormat="1" ht="21" customHeight="1" x14ac:dyDescent="0.15">
      <c r="A5" s="166" t="s">
        <v>237</v>
      </c>
      <c r="B5" s="161"/>
      <c r="C5" s="162"/>
      <c r="D5" s="160">
        <v>4900</v>
      </c>
      <c r="E5" s="160">
        <v>6700</v>
      </c>
      <c r="F5" s="160">
        <v>8500</v>
      </c>
      <c r="G5" s="160">
        <v>11000</v>
      </c>
      <c r="H5" s="162"/>
      <c r="I5" s="162"/>
    </row>
    <row r="6" spans="1:9" s="4" customFormat="1" ht="21" customHeight="1" x14ac:dyDescent="0.15">
      <c r="A6" s="166" t="s">
        <v>238</v>
      </c>
      <c r="B6" s="161"/>
      <c r="C6" s="162"/>
      <c r="D6" s="160">
        <v>4800</v>
      </c>
      <c r="E6" s="160">
        <v>6600</v>
      </c>
      <c r="F6" s="160" t="s">
        <v>11</v>
      </c>
      <c r="G6" s="160" t="s">
        <v>11</v>
      </c>
      <c r="H6" s="162"/>
      <c r="I6" s="162"/>
    </row>
    <row r="7" spans="1:9" ht="21" customHeight="1" x14ac:dyDescent="0.15">
      <c r="A7" s="74" t="s">
        <v>212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213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76" t="s">
        <v>214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47">
        <v>13000</v>
      </c>
      <c r="H9" s="29" t="s">
        <v>11</v>
      </c>
      <c r="I9" s="29" t="s">
        <v>11</v>
      </c>
    </row>
    <row r="10" spans="1:9" ht="21" customHeight="1" x14ac:dyDescent="0.15">
      <c r="A10" s="76" t="s">
        <v>9</v>
      </c>
      <c r="B10" s="69" t="s">
        <v>11</v>
      </c>
      <c r="C10" s="69" t="s">
        <v>11</v>
      </c>
      <c r="D10" s="29">
        <v>5000</v>
      </c>
      <c r="E10" s="29">
        <v>7000</v>
      </c>
      <c r="F10" s="29">
        <v>9000</v>
      </c>
      <c r="G10" s="47">
        <v>12000</v>
      </c>
      <c r="H10" s="69" t="s">
        <v>11</v>
      </c>
      <c r="I10" s="69" t="s">
        <v>11</v>
      </c>
    </row>
    <row r="11" spans="1:9" ht="21" customHeight="1" x14ac:dyDescent="0.15">
      <c r="A11" s="76" t="s">
        <v>215</v>
      </c>
      <c r="B11" s="69" t="s">
        <v>11</v>
      </c>
      <c r="C11" s="69" t="s">
        <v>11</v>
      </c>
      <c r="D11" s="29">
        <v>4900</v>
      </c>
      <c r="E11" s="29">
        <v>6700</v>
      </c>
      <c r="F11" s="29">
        <v>8500</v>
      </c>
      <c r="G11" s="47">
        <v>11000</v>
      </c>
      <c r="H11" s="69" t="s">
        <v>11</v>
      </c>
      <c r="I11" s="69" t="s">
        <v>11</v>
      </c>
    </row>
    <row r="12" spans="1:9" ht="21" customHeight="1" x14ac:dyDescent="0.15">
      <c r="A12" s="76" t="s">
        <v>106</v>
      </c>
      <c r="B12" s="69" t="s">
        <v>11</v>
      </c>
      <c r="C12" s="69" t="s">
        <v>11</v>
      </c>
      <c r="D12" s="29">
        <v>4800</v>
      </c>
      <c r="E12" s="29">
        <v>6600</v>
      </c>
      <c r="F12" s="69" t="s">
        <v>11</v>
      </c>
      <c r="G12" s="69" t="s">
        <v>11</v>
      </c>
      <c r="H12" s="69" t="s">
        <v>11</v>
      </c>
      <c r="I12" s="69" t="s">
        <v>11</v>
      </c>
    </row>
    <row r="13" spans="1:9" ht="21" customHeight="1" x14ac:dyDescent="0.15">
      <c r="A13" s="76" t="s">
        <v>216</v>
      </c>
      <c r="B13" s="69" t="s">
        <v>11</v>
      </c>
      <c r="C13" s="69" t="s">
        <v>11</v>
      </c>
      <c r="D13" s="69" t="s">
        <v>11</v>
      </c>
      <c r="E13" s="29">
        <v>6300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217</v>
      </c>
      <c r="B14" s="69" t="s">
        <v>11</v>
      </c>
      <c r="C14" s="69" t="s">
        <v>11</v>
      </c>
      <c r="D14" s="29">
        <v>4600</v>
      </c>
      <c r="E14" s="29">
        <v>5800</v>
      </c>
      <c r="F14" s="29">
        <v>7600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105</v>
      </c>
      <c r="B15" s="69" t="s">
        <v>11</v>
      </c>
      <c r="C15" s="69" t="s">
        <v>11</v>
      </c>
      <c r="D15" s="29">
        <v>4400</v>
      </c>
      <c r="E15" s="29">
        <v>5600</v>
      </c>
      <c r="F15" s="69" t="s">
        <v>11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218</v>
      </c>
      <c r="B16" s="69" t="s">
        <v>11</v>
      </c>
      <c r="C16" s="29">
        <v>3000</v>
      </c>
      <c r="D16" s="29">
        <v>4200</v>
      </c>
      <c r="E16" s="29">
        <v>5400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8</v>
      </c>
      <c r="B17" s="29">
        <v>2000</v>
      </c>
      <c r="C17" s="29">
        <v>2800</v>
      </c>
      <c r="D17" s="29">
        <v>4000</v>
      </c>
      <c r="E17" s="69" t="s">
        <v>11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7" t="s">
        <v>7</v>
      </c>
      <c r="B18" s="29">
        <v>1750</v>
      </c>
      <c r="C18" s="29">
        <v>2550</v>
      </c>
      <c r="D18" s="69" t="s">
        <v>11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219</v>
      </c>
      <c r="B19" s="29">
        <v>1500</v>
      </c>
      <c r="C19" s="29">
        <v>2300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38" t="s">
        <v>220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111</v>
      </c>
      <c r="G1" s="24" t="s">
        <v>112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>
        <v>0</v>
      </c>
      <c r="G8" s="25">
        <v>6</v>
      </c>
      <c r="H8" s="36">
        <v>1200</v>
      </c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204</v>
      </c>
      <c r="B2" s="12">
        <v>591</v>
      </c>
    </row>
    <row r="3" spans="1:4" x14ac:dyDescent="0.15">
      <c r="A3" t="s">
        <v>205</v>
      </c>
      <c r="B3" s="134">
        <v>592</v>
      </c>
    </row>
    <row r="4" spans="1:4" x14ac:dyDescent="0.15">
      <c r="A4" t="s">
        <v>206</v>
      </c>
      <c r="B4" s="134">
        <v>593</v>
      </c>
    </row>
    <row r="7" spans="1:4" x14ac:dyDescent="0.15">
      <c r="A7" t="s">
        <v>207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226</v>
      </c>
    </row>
    <row r="13" spans="1:4" x14ac:dyDescent="0.15">
      <c r="B13" t="s">
        <v>230</v>
      </c>
      <c r="C13" t="s">
        <v>231</v>
      </c>
      <c r="D13" t="s">
        <v>232</v>
      </c>
    </row>
    <row r="14" spans="1:4" x14ac:dyDescent="0.15">
      <c r="A14" t="s">
        <v>228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229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227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208</v>
      </c>
    </row>
    <row r="20" spans="1:1" x14ac:dyDescent="0.15">
      <c r="A20" t="str">
        <f ca="1">IFERROR(VLOOKUP($B$2,unit_skills!A:I,3),"なし")</f>
        <v>なし</v>
      </c>
    </row>
    <row r="21" spans="1:1" x14ac:dyDescent="0.15">
      <c r="A21" t="str">
        <f>IFERROR(VLOOKUP($B$2,unit_skills!A:I,4),"なし")</f>
        <v>3ターンの間体力タイプの攻撃力と防御力を大UP+自身の最大HPで攻撃</v>
      </c>
    </row>
    <row r="22" spans="1:1" x14ac:dyDescent="0.15">
      <c r="A22" t="str">
        <f>"cost:"&amp;IFERROR(VLOOKUP($B$2,unit_skills!A:I,6),"なし")</f>
        <v>cost:18</v>
      </c>
    </row>
    <row r="23" spans="1:1" x14ac:dyDescent="0.15">
      <c r="A23" t="str">
        <f>IFERROR(VLOOKUP($B$2,unit_skills!A:I,9),"なし")</f>
        <v>[effect:enhance_unit, target:unit_hp, turn:4, status:attack, val:0.25, calc:add, animation:enhance_unit_all_attack04],</v>
      </c>
    </row>
    <row r="25" spans="1:1" x14ac:dyDescent="0.15">
      <c r="A25" t="str">
        <f ca="1">IFERROR(VLOOKUP($B$3,unit_skills!A:I,3),"なし")</f>
        <v>なし</v>
      </c>
    </row>
    <row r="26" spans="1:1" x14ac:dyDescent="0.15">
      <c r="A26" t="str">
        <f>IFERROR(VLOOKUP($B$3,unit_skills!A:I,4),"なし")</f>
        <v>3ターンの間体力タイプの攻撃力と防御力を大UP+自身の最大HPで攻撃</v>
      </c>
    </row>
    <row r="27" spans="1:1" x14ac:dyDescent="0.15">
      <c r="A27" t="str">
        <f>"cost:"&amp;IFERROR(VLOOKUP($B$3,unit_skills!A:I,6),"なし")</f>
        <v>cost:18</v>
      </c>
    </row>
    <row r="28" spans="1:1" x14ac:dyDescent="0.15">
      <c r="A28" t="str">
        <f>IFERROR(VLOOKUP($B$3,unit_skills!A:I,9),"なし")</f>
        <v>[effect:enhance_unit, target:unit_hp, turn:4, status:attack, val:0.25, calc:add, animation:enhance_unit_all_attack04],</v>
      </c>
    </row>
    <row r="30" spans="1:1" x14ac:dyDescent="0.15">
      <c r="A30" t="str">
        <f ca="1">IFERROR(VLOOKUP($B$4,unit_skills!A:I,3),"なし")</f>
        <v>なし</v>
      </c>
    </row>
    <row r="31" spans="1:1" x14ac:dyDescent="0.15">
      <c r="A31" t="str">
        <f>IFERROR(VLOOKUP($B$4,unit_skills!A:I,4),"なし")</f>
        <v>3ターンの間体力タイプの攻撃力と防御力を大UP+自身の最大HPで攻撃</v>
      </c>
    </row>
    <row r="32" spans="1:1" x14ac:dyDescent="0.15">
      <c r="A32" t="str">
        <f>"cost:"&amp;IFERROR(VLOOKUP($B$4,unit_skills!A:I,6),"なし")</f>
        <v>cost:18</v>
      </c>
    </row>
    <row r="33" spans="1:1" x14ac:dyDescent="0.15">
      <c r="A33" t="str">
        <f>IFERROR(VLOOKUP($B$4,unit_skills!A:I,9),"なし")</f>
        <v>[effect:enhance_unit, target:unit_hp, turn:4, status:attack, val:0.25, calc:add, animation:enhance_unit_all_attack04],</v>
      </c>
    </row>
    <row r="35" spans="1:1" x14ac:dyDescent="0.15">
      <c r="A35" t="s">
        <v>209</v>
      </c>
    </row>
    <row r="36" spans="1:1" x14ac:dyDescent="0.15">
      <c r="A36" t="str">
        <f ca="1">IFERROR(VLOOKUP($B$2,crash_skills!A:I,3),"なし")</f>
        <v>なし</v>
      </c>
    </row>
    <row r="37" spans="1:1" x14ac:dyDescent="0.15">
      <c r="A37">
        <f>IFERROR(VLOOKUP($B$2,crash_skills!A:I,4),"なし")</f>
        <v>0</v>
      </c>
    </row>
    <row r="38" spans="1:1" x14ac:dyDescent="0.15">
      <c r="A38">
        <f>IFERROR(VLOOKUP($B$2,crash_skills!A:I,6),"なし")</f>
        <v>0</v>
      </c>
    </row>
    <row r="40" spans="1:1" x14ac:dyDescent="0.15">
      <c r="A40" t="str">
        <f ca="1">IFERROR(VLOOKUP($B$3,crash_skills!A:I,3),"なし")</f>
        <v>なし</v>
      </c>
    </row>
    <row r="41" spans="1:1" x14ac:dyDescent="0.15">
      <c r="A41">
        <f>IFERROR(VLOOKUP($B$3,crash_skills!A:I,4),"なし")</f>
        <v>0</v>
      </c>
    </row>
    <row r="42" spans="1:1" x14ac:dyDescent="0.15">
      <c r="A42">
        <f>IFERROR(VLOOKUP($B$3,crash_skills!A:I,6),"なし")</f>
        <v>0</v>
      </c>
    </row>
    <row r="44" spans="1:1" x14ac:dyDescent="0.15">
      <c r="A44" t="str">
        <f ca="1">IFERROR(VLOOKUP($B$4,crash_skills!A:I,3),"なし")</f>
        <v>なし</v>
      </c>
    </row>
    <row r="45" spans="1:1" x14ac:dyDescent="0.15">
      <c r="A45">
        <f>IFERROR(VLOOKUP($B$4,crash_skills!A:I,4),"なし")</f>
        <v>0</v>
      </c>
    </row>
    <row r="46" spans="1:1" x14ac:dyDescent="0.15">
      <c r="A46">
        <f>IFERROR(VLOOKUP($B$4,crash_skills!A:I,6),"なし")</f>
        <v>0</v>
      </c>
    </row>
    <row r="48" spans="1:1" x14ac:dyDescent="0.15">
      <c r="A48" t="s">
        <v>210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6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2017-06-06T09:50:43Z</dcterms:modified>
</cp:coreProperties>
</file>