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640" yWindow="680" windowWidth="25100" windowHeight="14640" tabRatio="943" activeTab="8"/>
  </bookViews>
  <sheets>
    <sheet name="確率の考え方" sheetId="110" r:id="rId1"/>
    <sheet name="Sheet1" sheetId="107" r:id="rId2"/>
    <sheet name="output" sheetId="103" r:id="rId3"/>
    <sheet name="input_351101" sheetId="106" r:id="rId4"/>
    <sheet name="tables_351101" sheetId="82" r:id="rId5"/>
    <sheet name="input_351100" sheetId="140" r:id="rId6"/>
    <sheet name="tables_351100" sheetId="141" r:id="rId7"/>
    <sheet name="tables_settle_351100" sheetId="146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tables_351100!$A$1:$V$271</definedName>
    <definedName name="_xlnm._FilterDatabase" localSheetId="4" hidden="1">tables_351101!$A$1:$V$283</definedName>
    <definedName name="_xlnm._FilterDatabase" localSheetId="7" hidden="1">tables_settle_351100!$A$1:$V$2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46" l="1"/>
  <c r="P4" i="146"/>
  <c r="P5" i="146"/>
  <c r="P6" i="146"/>
  <c r="P7" i="146"/>
  <c r="P8" i="146"/>
  <c r="P9" i="146"/>
  <c r="P10" i="146"/>
  <c r="P11" i="146"/>
  <c r="P12" i="146"/>
  <c r="P13" i="146"/>
  <c r="P14" i="146"/>
  <c r="P15" i="146"/>
  <c r="P16" i="146"/>
  <c r="P17" i="146"/>
  <c r="P2" i="146"/>
  <c r="A2" i="140"/>
  <c r="I263" i="141"/>
  <c r="D263" i="141"/>
  <c r="J263" i="141"/>
  <c r="E263" i="141"/>
  <c r="C263" i="141"/>
  <c r="I2" i="141"/>
  <c r="D2" i="141"/>
  <c r="J2" i="141"/>
  <c r="E2" i="141"/>
  <c r="C2" i="141"/>
  <c r="I3" i="141"/>
  <c r="D3" i="141"/>
  <c r="J3" i="141"/>
  <c r="E3" i="141"/>
  <c r="C3" i="141"/>
  <c r="I4" i="141"/>
  <c r="D4" i="141"/>
  <c r="J4" i="141"/>
  <c r="E4" i="141"/>
  <c r="C4" i="141"/>
  <c r="I5" i="141"/>
  <c r="D5" i="141"/>
  <c r="J5" i="141"/>
  <c r="E5" i="141"/>
  <c r="C5" i="141"/>
  <c r="I6" i="141"/>
  <c r="D6" i="141"/>
  <c r="J6" i="141"/>
  <c r="E6" i="141"/>
  <c r="C6" i="141"/>
  <c r="I7" i="141"/>
  <c r="D7" i="141"/>
  <c r="J7" i="141"/>
  <c r="E7" i="141"/>
  <c r="C7" i="141"/>
  <c r="I8" i="141"/>
  <c r="D8" i="141"/>
  <c r="J8" i="141"/>
  <c r="E8" i="141"/>
  <c r="C8" i="141"/>
  <c r="I9" i="141"/>
  <c r="D9" i="141"/>
  <c r="J9" i="141"/>
  <c r="E9" i="141"/>
  <c r="C9" i="141"/>
  <c r="I10" i="141"/>
  <c r="D10" i="141"/>
  <c r="J10" i="141"/>
  <c r="E10" i="141"/>
  <c r="C10" i="141"/>
  <c r="I11" i="141"/>
  <c r="D11" i="141"/>
  <c r="J11" i="141"/>
  <c r="E11" i="141"/>
  <c r="C11" i="141"/>
  <c r="I12" i="141"/>
  <c r="D12" i="141"/>
  <c r="J12" i="141"/>
  <c r="E12" i="141"/>
  <c r="C12" i="141"/>
  <c r="I13" i="141"/>
  <c r="D13" i="141"/>
  <c r="J13" i="141"/>
  <c r="E13" i="141"/>
  <c r="C13" i="141"/>
  <c r="I14" i="141"/>
  <c r="D14" i="141"/>
  <c r="J14" i="141"/>
  <c r="E14" i="141"/>
  <c r="C14" i="141"/>
  <c r="I15" i="141"/>
  <c r="D15" i="141"/>
  <c r="J15" i="141"/>
  <c r="E15" i="141"/>
  <c r="C15" i="141"/>
  <c r="I16" i="141"/>
  <c r="D16" i="141"/>
  <c r="J16" i="141"/>
  <c r="E16" i="141"/>
  <c r="C16" i="141"/>
  <c r="I17" i="141"/>
  <c r="D17" i="141"/>
  <c r="J17" i="141"/>
  <c r="E17" i="141"/>
  <c r="C17" i="141"/>
  <c r="I18" i="141"/>
  <c r="D18" i="141"/>
  <c r="J18" i="141"/>
  <c r="E18" i="141"/>
  <c r="C18" i="141"/>
  <c r="I19" i="141"/>
  <c r="D19" i="141"/>
  <c r="J19" i="141"/>
  <c r="E19" i="141"/>
  <c r="C19" i="141"/>
  <c r="I20" i="141"/>
  <c r="D20" i="141"/>
  <c r="J20" i="141"/>
  <c r="E20" i="141"/>
  <c r="C20" i="141"/>
  <c r="I21" i="141"/>
  <c r="D21" i="141"/>
  <c r="J21" i="141"/>
  <c r="E21" i="141"/>
  <c r="C21" i="141"/>
  <c r="I22" i="141"/>
  <c r="D22" i="141"/>
  <c r="J22" i="141"/>
  <c r="E22" i="141"/>
  <c r="C22" i="141"/>
  <c r="I23" i="141"/>
  <c r="D23" i="141"/>
  <c r="J23" i="141"/>
  <c r="E23" i="141"/>
  <c r="C23" i="141"/>
  <c r="I24" i="141"/>
  <c r="D24" i="141"/>
  <c r="J24" i="141"/>
  <c r="E24" i="141"/>
  <c r="C24" i="141"/>
  <c r="I25" i="141"/>
  <c r="D25" i="141"/>
  <c r="J25" i="141"/>
  <c r="E25" i="141"/>
  <c r="C25" i="141"/>
  <c r="I26" i="141"/>
  <c r="D26" i="141"/>
  <c r="J26" i="141"/>
  <c r="E26" i="141"/>
  <c r="C26" i="141"/>
  <c r="I27" i="141"/>
  <c r="D27" i="141"/>
  <c r="J27" i="141"/>
  <c r="E27" i="141"/>
  <c r="C27" i="141"/>
  <c r="I28" i="141"/>
  <c r="D28" i="141"/>
  <c r="J28" i="141"/>
  <c r="E28" i="141"/>
  <c r="C28" i="141"/>
  <c r="I29" i="141"/>
  <c r="D29" i="141"/>
  <c r="J29" i="141"/>
  <c r="E29" i="141"/>
  <c r="C29" i="141"/>
  <c r="I30" i="141"/>
  <c r="D30" i="141"/>
  <c r="J30" i="141"/>
  <c r="E30" i="141"/>
  <c r="C30" i="141"/>
  <c r="I31" i="141"/>
  <c r="D31" i="141"/>
  <c r="J31" i="141"/>
  <c r="E31" i="141"/>
  <c r="C31" i="141"/>
  <c r="I32" i="141"/>
  <c r="D32" i="141"/>
  <c r="J32" i="141"/>
  <c r="E32" i="141"/>
  <c r="C32" i="141"/>
  <c r="I33" i="141"/>
  <c r="D33" i="141"/>
  <c r="J33" i="141"/>
  <c r="E33" i="141"/>
  <c r="C33" i="141"/>
  <c r="I34" i="141"/>
  <c r="D34" i="141"/>
  <c r="J34" i="141"/>
  <c r="E34" i="141"/>
  <c r="C34" i="141"/>
  <c r="I35" i="141"/>
  <c r="D35" i="141"/>
  <c r="J35" i="141"/>
  <c r="E35" i="141"/>
  <c r="C35" i="141"/>
  <c r="I36" i="141"/>
  <c r="D36" i="141"/>
  <c r="J36" i="141"/>
  <c r="E36" i="141"/>
  <c r="C36" i="141"/>
  <c r="I37" i="141"/>
  <c r="D37" i="141"/>
  <c r="J37" i="141"/>
  <c r="E37" i="141"/>
  <c r="C37" i="141"/>
  <c r="I38" i="141"/>
  <c r="D38" i="141"/>
  <c r="J38" i="141"/>
  <c r="E38" i="141"/>
  <c r="C38" i="141"/>
  <c r="I39" i="141"/>
  <c r="D39" i="141"/>
  <c r="J39" i="141"/>
  <c r="E39" i="141"/>
  <c r="C39" i="141"/>
  <c r="I40" i="141"/>
  <c r="D40" i="141"/>
  <c r="J40" i="141"/>
  <c r="E40" i="141"/>
  <c r="C40" i="141"/>
  <c r="I41" i="141"/>
  <c r="D41" i="141"/>
  <c r="J41" i="141"/>
  <c r="E41" i="141"/>
  <c r="C41" i="141"/>
  <c r="I42" i="141"/>
  <c r="D42" i="141"/>
  <c r="J42" i="141"/>
  <c r="E42" i="141"/>
  <c r="C42" i="141"/>
  <c r="I43" i="141"/>
  <c r="D43" i="141"/>
  <c r="J43" i="141"/>
  <c r="E43" i="141"/>
  <c r="C43" i="141"/>
  <c r="I44" i="141"/>
  <c r="D44" i="141"/>
  <c r="J44" i="141"/>
  <c r="E44" i="141"/>
  <c r="C44" i="141"/>
  <c r="I45" i="141"/>
  <c r="D45" i="141"/>
  <c r="J45" i="141"/>
  <c r="E45" i="141"/>
  <c r="C45" i="141"/>
  <c r="I46" i="141"/>
  <c r="D46" i="141"/>
  <c r="J46" i="141"/>
  <c r="E46" i="141"/>
  <c r="C46" i="141"/>
  <c r="I47" i="141"/>
  <c r="D47" i="141"/>
  <c r="J47" i="141"/>
  <c r="E47" i="141"/>
  <c r="C47" i="141"/>
  <c r="I48" i="141"/>
  <c r="D48" i="141"/>
  <c r="J48" i="141"/>
  <c r="E48" i="141"/>
  <c r="C48" i="141"/>
  <c r="I49" i="141"/>
  <c r="D49" i="141"/>
  <c r="J49" i="141"/>
  <c r="E49" i="141"/>
  <c r="C49" i="141"/>
  <c r="I50" i="141"/>
  <c r="D50" i="141"/>
  <c r="J50" i="141"/>
  <c r="E50" i="141"/>
  <c r="C50" i="141"/>
  <c r="I51" i="141"/>
  <c r="D51" i="141"/>
  <c r="J51" i="141"/>
  <c r="E51" i="141"/>
  <c r="C51" i="141"/>
  <c r="I52" i="141"/>
  <c r="D52" i="141"/>
  <c r="J52" i="141"/>
  <c r="E52" i="141"/>
  <c r="C52" i="141"/>
  <c r="I53" i="141"/>
  <c r="D53" i="141"/>
  <c r="J53" i="141"/>
  <c r="E53" i="141"/>
  <c r="C53" i="141"/>
  <c r="I54" i="141"/>
  <c r="D54" i="141"/>
  <c r="J54" i="141"/>
  <c r="E54" i="141"/>
  <c r="C54" i="141"/>
  <c r="I55" i="141"/>
  <c r="D55" i="141"/>
  <c r="J55" i="141"/>
  <c r="E55" i="141"/>
  <c r="C55" i="141"/>
  <c r="I56" i="141"/>
  <c r="D56" i="141"/>
  <c r="J56" i="141"/>
  <c r="E56" i="141"/>
  <c r="C56" i="141"/>
  <c r="I57" i="141"/>
  <c r="D57" i="141"/>
  <c r="J57" i="141"/>
  <c r="E57" i="141"/>
  <c r="C57" i="141"/>
  <c r="I58" i="141"/>
  <c r="D58" i="141"/>
  <c r="J58" i="141"/>
  <c r="E58" i="141"/>
  <c r="C58" i="141"/>
  <c r="I59" i="141"/>
  <c r="D59" i="141"/>
  <c r="J59" i="141"/>
  <c r="E59" i="141"/>
  <c r="C59" i="141"/>
  <c r="I60" i="141"/>
  <c r="D60" i="141"/>
  <c r="J60" i="141"/>
  <c r="E60" i="141"/>
  <c r="C60" i="141"/>
  <c r="I61" i="141"/>
  <c r="D61" i="141"/>
  <c r="J61" i="141"/>
  <c r="E61" i="141"/>
  <c r="C61" i="141"/>
  <c r="I62" i="141"/>
  <c r="D62" i="141"/>
  <c r="J62" i="141"/>
  <c r="E62" i="141"/>
  <c r="C62" i="141"/>
  <c r="I63" i="141"/>
  <c r="D63" i="141"/>
  <c r="J63" i="141"/>
  <c r="E63" i="141"/>
  <c r="C63" i="141"/>
  <c r="I64" i="141"/>
  <c r="D64" i="141"/>
  <c r="J64" i="141"/>
  <c r="E64" i="141"/>
  <c r="C64" i="141"/>
  <c r="I65" i="141"/>
  <c r="D65" i="141"/>
  <c r="J65" i="141"/>
  <c r="E65" i="141"/>
  <c r="C65" i="141"/>
  <c r="I66" i="141"/>
  <c r="D66" i="141"/>
  <c r="J66" i="141"/>
  <c r="E66" i="141"/>
  <c r="C66" i="141"/>
  <c r="I67" i="141"/>
  <c r="D67" i="141"/>
  <c r="J67" i="141"/>
  <c r="E67" i="141"/>
  <c r="C67" i="141"/>
  <c r="I68" i="141"/>
  <c r="D68" i="141"/>
  <c r="J68" i="141"/>
  <c r="E68" i="141"/>
  <c r="C68" i="141"/>
  <c r="I69" i="141"/>
  <c r="D69" i="141"/>
  <c r="J69" i="141"/>
  <c r="E69" i="141"/>
  <c r="C69" i="141"/>
  <c r="I70" i="141"/>
  <c r="D70" i="141"/>
  <c r="J70" i="141"/>
  <c r="E70" i="141"/>
  <c r="C70" i="141"/>
  <c r="I71" i="141"/>
  <c r="D71" i="141"/>
  <c r="J71" i="141"/>
  <c r="E71" i="141"/>
  <c r="C71" i="141"/>
  <c r="I72" i="141"/>
  <c r="D72" i="141"/>
  <c r="J72" i="141"/>
  <c r="E72" i="141"/>
  <c r="C72" i="141"/>
  <c r="I73" i="141"/>
  <c r="D73" i="141"/>
  <c r="J73" i="141"/>
  <c r="E73" i="141"/>
  <c r="C73" i="141"/>
  <c r="I74" i="141"/>
  <c r="D74" i="141"/>
  <c r="J74" i="141"/>
  <c r="E74" i="141"/>
  <c r="C74" i="141"/>
  <c r="I75" i="141"/>
  <c r="D75" i="141"/>
  <c r="J75" i="141"/>
  <c r="E75" i="141"/>
  <c r="C75" i="141"/>
  <c r="I76" i="141"/>
  <c r="D76" i="141"/>
  <c r="J76" i="141"/>
  <c r="E76" i="141"/>
  <c r="C76" i="141"/>
  <c r="I77" i="141"/>
  <c r="D77" i="141"/>
  <c r="J77" i="141"/>
  <c r="E77" i="141"/>
  <c r="C77" i="141"/>
  <c r="I78" i="141"/>
  <c r="D78" i="141"/>
  <c r="J78" i="141"/>
  <c r="E78" i="141"/>
  <c r="C78" i="141"/>
  <c r="I79" i="141"/>
  <c r="D79" i="141"/>
  <c r="J79" i="141"/>
  <c r="E79" i="141"/>
  <c r="C79" i="141"/>
  <c r="I80" i="141"/>
  <c r="D80" i="141"/>
  <c r="J80" i="141"/>
  <c r="E80" i="141"/>
  <c r="C80" i="141"/>
  <c r="I81" i="141"/>
  <c r="D81" i="141"/>
  <c r="J81" i="141"/>
  <c r="E81" i="141"/>
  <c r="C81" i="141"/>
  <c r="I82" i="141"/>
  <c r="D82" i="141"/>
  <c r="J82" i="141"/>
  <c r="E82" i="141"/>
  <c r="C82" i="141"/>
  <c r="I83" i="141"/>
  <c r="D83" i="141"/>
  <c r="J83" i="141"/>
  <c r="E83" i="141"/>
  <c r="C83" i="141"/>
  <c r="I84" i="141"/>
  <c r="D84" i="141"/>
  <c r="J84" i="141"/>
  <c r="E84" i="141"/>
  <c r="C84" i="141"/>
  <c r="I85" i="141"/>
  <c r="D85" i="141"/>
  <c r="J85" i="141"/>
  <c r="E85" i="141"/>
  <c r="C85" i="141"/>
  <c r="I86" i="141"/>
  <c r="D86" i="141"/>
  <c r="J86" i="141"/>
  <c r="E86" i="141"/>
  <c r="C86" i="141"/>
  <c r="I87" i="141"/>
  <c r="D87" i="141"/>
  <c r="J87" i="141"/>
  <c r="E87" i="141"/>
  <c r="C87" i="141"/>
  <c r="I88" i="141"/>
  <c r="D88" i="141"/>
  <c r="J88" i="141"/>
  <c r="E88" i="141"/>
  <c r="C88" i="141"/>
  <c r="I89" i="141"/>
  <c r="D89" i="141"/>
  <c r="J89" i="141"/>
  <c r="E89" i="141"/>
  <c r="C89" i="141"/>
  <c r="I90" i="141"/>
  <c r="D90" i="141"/>
  <c r="J90" i="141"/>
  <c r="E90" i="141"/>
  <c r="C90" i="141"/>
  <c r="I91" i="141"/>
  <c r="D91" i="141"/>
  <c r="J91" i="141"/>
  <c r="E91" i="141"/>
  <c r="C91" i="141"/>
  <c r="I92" i="141"/>
  <c r="D92" i="141"/>
  <c r="J92" i="141"/>
  <c r="E92" i="141"/>
  <c r="C92" i="141"/>
  <c r="I93" i="141"/>
  <c r="D93" i="141"/>
  <c r="J93" i="141"/>
  <c r="E93" i="141"/>
  <c r="C93" i="141"/>
  <c r="I94" i="141"/>
  <c r="D94" i="141"/>
  <c r="J94" i="141"/>
  <c r="E94" i="141"/>
  <c r="C94" i="141"/>
  <c r="I95" i="141"/>
  <c r="D95" i="141"/>
  <c r="J95" i="141"/>
  <c r="E95" i="141"/>
  <c r="C95" i="141"/>
  <c r="I96" i="141"/>
  <c r="D96" i="141"/>
  <c r="J96" i="141"/>
  <c r="E96" i="141"/>
  <c r="C96" i="141"/>
  <c r="I97" i="141"/>
  <c r="D97" i="141"/>
  <c r="J97" i="141"/>
  <c r="E97" i="141"/>
  <c r="C97" i="141"/>
  <c r="I98" i="141"/>
  <c r="D98" i="141"/>
  <c r="J98" i="141"/>
  <c r="E98" i="141"/>
  <c r="C98" i="141"/>
  <c r="I99" i="141"/>
  <c r="D99" i="141"/>
  <c r="J99" i="141"/>
  <c r="E99" i="141"/>
  <c r="C99" i="141"/>
  <c r="I100" i="141"/>
  <c r="D100" i="141"/>
  <c r="J100" i="141"/>
  <c r="E100" i="141"/>
  <c r="C100" i="141"/>
  <c r="I101" i="141"/>
  <c r="D101" i="141"/>
  <c r="J101" i="141"/>
  <c r="E101" i="141"/>
  <c r="C101" i="141"/>
  <c r="I102" i="141"/>
  <c r="D102" i="141"/>
  <c r="J102" i="141"/>
  <c r="E102" i="141"/>
  <c r="C102" i="141"/>
  <c r="I103" i="141"/>
  <c r="D103" i="141"/>
  <c r="J103" i="141"/>
  <c r="E103" i="141"/>
  <c r="C103" i="141"/>
  <c r="I104" i="141"/>
  <c r="D104" i="141"/>
  <c r="J104" i="141"/>
  <c r="E104" i="141"/>
  <c r="C104" i="141"/>
  <c r="I105" i="141"/>
  <c r="D105" i="141"/>
  <c r="J105" i="141"/>
  <c r="E105" i="141"/>
  <c r="C105" i="141"/>
  <c r="I106" i="141"/>
  <c r="D106" i="141"/>
  <c r="J106" i="141"/>
  <c r="E106" i="141"/>
  <c r="C106" i="141"/>
  <c r="I107" i="141"/>
  <c r="D107" i="141"/>
  <c r="J107" i="141"/>
  <c r="E107" i="141"/>
  <c r="C107" i="141"/>
  <c r="I108" i="141"/>
  <c r="D108" i="141"/>
  <c r="J108" i="141"/>
  <c r="E108" i="141"/>
  <c r="C108" i="141"/>
  <c r="I109" i="141"/>
  <c r="D109" i="141"/>
  <c r="J109" i="141"/>
  <c r="E109" i="141"/>
  <c r="C109" i="141"/>
  <c r="I110" i="141"/>
  <c r="D110" i="141"/>
  <c r="J110" i="141"/>
  <c r="E110" i="141"/>
  <c r="C110" i="141"/>
  <c r="I111" i="141"/>
  <c r="D111" i="141"/>
  <c r="J111" i="141"/>
  <c r="E111" i="141"/>
  <c r="C111" i="141"/>
  <c r="I112" i="141"/>
  <c r="D112" i="141"/>
  <c r="J112" i="141"/>
  <c r="E112" i="141"/>
  <c r="C112" i="141"/>
  <c r="I113" i="141"/>
  <c r="D113" i="141"/>
  <c r="J113" i="141"/>
  <c r="E113" i="141"/>
  <c r="C113" i="141"/>
  <c r="I114" i="141"/>
  <c r="D114" i="141"/>
  <c r="J114" i="141"/>
  <c r="E114" i="141"/>
  <c r="C114" i="141"/>
  <c r="I115" i="141"/>
  <c r="D115" i="141"/>
  <c r="J115" i="141"/>
  <c r="E115" i="141"/>
  <c r="C115" i="141"/>
  <c r="I116" i="141"/>
  <c r="D116" i="141"/>
  <c r="J116" i="141"/>
  <c r="E116" i="141"/>
  <c r="C116" i="141"/>
  <c r="I117" i="141"/>
  <c r="D117" i="141"/>
  <c r="J117" i="141"/>
  <c r="E117" i="141"/>
  <c r="C117" i="141"/>
  <c r="I118" i="141"/>
  <c r="D118" i="141"/>
  <c r="J118" i="141"/>
  <c r="E118" i="141"/>
  <c r="C118" i="141"/>
  <c r="I119" i="141"/>
  <c r="D119" i="141"/>
  <c r="J119" i="141"/>
  <c r="E119" i="141"/>
  <c r="C119" i="141"/>
  <c r="I120" i="141"/>
  <c r="D120" i="141"/>
  <c r="J120" i="141"/>
  <c r="E120" i="141"/>
  <c r="C120" i="141"/>
  <c r="I121" i="141"/>
  <c r="D121" i="141"/>
  <c r="J121" i="141"/>
  <c r="E121" i="141"/>
  <c r="C121" i="141"/>
  <c r="I122" i="141"/>
  <c r="D122" i="141"/>
  <c r="J122" i="141"/>
  <c r="E122" i="141"/>
  <c r="C122" i="141"/>
  <c r="I123" i="141"/>
  <c r="D123" i="141"/>
  <c r="J123" i="141"/>
  <c r="E123" i="141"/>
  <c r="C123" i="141"/>
  <c r="I124" i="141"/>
  <c r="D124" i="141"/>
  <c r="J124" i="141"/>
  <c r="E124" i="141"/>
  <c r="C124" i="141"/>
  <c r="I125" i="141"/>
  <c r="D125" i="141"/>
  <c r="J125" i="141"/>
  <c r="E125" i="141"/>
  <c r="C125" i="141"/>
  <c r="I126" i="141"/>
  <c r="D126" i="141"/>
  <c r="J126" i="141"/>
  <c r="E126" i="141"/>
  <c r="C126" i="141"/>
  <c r="I127" i="141"/>
  <c r="D127" i="141"/>
  <c r="J127" i="141"/>
  <c r="E127" i="141"/>
  <c r="C127" i="141"/>
  <c r="I128" i="141"/>
  <c r="D128" i="141"/>
  <c r="J128" i="141"/>
  <c r="E128" i="141"/>
  <c r="C128" i="141"/>
  <c r="I129" i="141"/>
  <c r="D129" i="141"/>
  <c r="J129" i="141"/>
  <c r="E129" i="141"/>
  <c r="C129" i="141"/>
  <c r="I130" i="141"/>
  <c r="D130" i="141"/>
  <c r="J130" i="141"/>
  <c r="E130" i="141"/>
  <c r="C130" i="141"/>
  <c r="I131" i="141"/>
  <c r="D131" i="141"/>
  <c r="J131" i="141"/>
  <c r="E131" i="141"/>
  <c r="C131" i="141"/>
  <c r="I132" i="141"/>
  <c r="D132" i="141"/>
  <c r="J132" i="141"/>
  <c r="E132" i="141"/>
  <c r="C132" i="141"/>
  <c r="I133" i="141"/>
  <c r="D133" i="141"/>
  <c r="J133" i="141"/>
  <c r="E133" i="141"/>
  <c r="C133" i="141"/>
  <c r="I134" i="141"/>
  <c r="D134" i="141"/>
  <c r="J134" i="141"/>
  <c r="E134" i="141"/>
  <c r="C134" i="141"/>
  <c r="I135" i="141"/>
  <c r="D135" i="141"/>
  <c r="J135" i="141"/>
  <c r="E135" i="141"/>
  <c r="C135" i="141"/>
  <c r="I136" i="141"/>
  <c r="D136" i="141"/>
  <c r="J136" i="141"/>
  <c r="E136" i="141"/>
  <c r="C136" i="141"/>
  <c r="I137" i="141"/>
  <c r="D137" i="141"/>
  <c r="J137" i="141"/>
  <c r="E137" i="141"/>
  <c r="C137" i="141"/>
  <c r="I138" i="141"/>
  <c r="D138" i="141"/>
  <c r="J138" i="141"/>
  <c r="E138" i="141"/>
  <c r="C138" i="141"/>
  <c r="I139" i="141"/>
  <c r="D139" i="141"/>
  <c r="J139" i="141"/>
  <c r="E139" i="141"/>
  <c r="C139" i="141"/>
  <c r="I140" i="141"/>
  <c r="D140" i="141"/>
  <c r="J140" i="141"/>
  <c r="E140" i="141"/>
  <c r="C140" i="141"/>
  <c r="I141" i="141"/>
  <c r="D141" i="141"/>
  <c r="J141" i="141"/>
  <c r="E141" i="141"/>
  <c r="C141" i="141"/>
  <c r="I142" i="141"/>
  <c r="D142" i="141"/>
  <c r="J142" i="141"/>
  <c r="E142" i="141"/>
  <c r="C142" i="141"/>
  <c r="I143" i="141"/>
  <c r="D143" i="141"/>
  <c r="J143" i="141"/>
  <c r="E143" i="141"/>
  <c r="C143" i="141"/>
  <c r="I144" i="141"/>
  <c r="D144" i="141"/>
  <c r="J144" i="141"/>
  <c r="E144" i="141"/>
  <c r="C144" i="141"/>
  <c r="I145" i="141"/>
  <c r="D145" i="141"/>
  <c r="J145" i="141"/>
  <c r="E145" i="141"/>
  <c r="C145" i="141"/>
  <c r="I146" i="141"/>
  <c r="D146" i="141"/>
  <c r="J146" i="141"/>
  <c r="E146" i="141"/>
  <c r="C146" i="141"/>
  <c r="I147" i="141"/>
  <c r="D147" i="141"/>
  <c r="J147" i="141"/>
  <c r="E147" i="141"/>
  <c r="C147" i="141"/>
  <c r="I148" i="141"/>
  <c r="D148" i="141"/>
  <c r="J148" i="141"/>
  <c r="E148" i="141"/>
  <c r="C148" i="141"/>
  <c r="I149" i="141"/>
  <c r="D149" i="141"/>
  <c r="J149" i="141"/>
  <c r="E149" i="141"/>
  <c r="C149" i="141"/>
  <c r="I150" i="141"/>
  <c r="D150" i="141"/>
  <c r="J150" i="141"/>
  <c r="E150" i="141"/>
  <c r="C150" i="141"/>
  <c r="I151" i="141"/>
  <c r="D151" i="141"/>
  <c r="J151" i="141"/>
  <c r="E151" i="141"/>
  <c r="C151" i="141"/>
  <c r="I152" i="141"/>
  <c r="D152" i="141"/>
  <c r="J152" i="141"/>
  <c r="E152" i="141"/>
  <c r="C152" i="141"/>
  <c r="I153" i="141"/>
  <c r="D153" i="141"/>
  <c r="J153" i="141"/>
  <c r="E153" i="141"/>
  <c r="C153" i="141"/>
  <c r="I154" i="141"/>
  <c r="D154" i="141"/>
  <c r="J154" i="141"/>
  <c r="E154" i="141"/>
  <c r="C154" i="141"/>
  <c r="I155" i="141"/>
  <c r="D155" i="141"/>
  <c r="J155" i="141"/>
  <c r="E155" i="141"/>
  <c r="C155" i="141"/>
  <c r="I156" i="141"/>
  <c r="D156" i="141"/>
  <c r="J156" i="141"/>
  <c r="E156" i="141"/>
  <c r="C156" i="141"/>
  <c r="I157" i="141"/>
  <c r="D157" i="141"/>
  <c r="J157" i="141"/>
  <c r="E157" i="141"/>
  <c r="C157" i="141"/>
  <c r="I158" i="141"/>
  <c r="D158" i="141"/>
  <c r="J158" i="141"/>
  <c r="E158" i="141"/>
  <c r="C158" i="141"/>
  <c r="I159" i="141"/>
  <c r="D159" i="141"/>
  <c r="J159" i="141"/>
  <c r="E159" i="141"/>
  <c r="C159" i="141"/>
  <c r="I160" i="141"/>
  <c r="D160" i="141"/>
  <c r="J160" i="141"/>
  <c r="E160" i="141"/>
  <c r="C160" i="141"/>
  <c r="I161" i="141"/>
  <c r="D161" i="141"/>
  <c r="J161" i="141"/>
  <c r="E161" i="141"/>
  <c r="C161" i="141"/>
  <c r="I162" i="141"/>
  <c r="D162" i="141"/>
  <c r="J162" i="141"/>
  <c r="E162" i="141"/>
  <c r="C162" i="141"/>
  <c r="I163" i="141"/>
  <c r="D163" i="141"/>
  <c r="J163" i="141"/>
  <c r="E163" i="141"/>
  <c r="C163" i="141"/>
  <c r="I164" i="141"/>
  <c r="D164" i="141"/>
  <c r="J164" i="141"/>
  <c r="E164" i="141"/>
  <c r="C164" i="141"/>
  <c r="I165" i="141"/>
  <c r="D165" i="141"/>
  <c r="J165" i="141"/>
  <c r="E165" i="141"/>
  <c r="C165" i="141"/>
  <c r="I166" i="141"/>
  <c r="D166" i="141"/>
  <c r="J166" i="141"/>
  <c r="E166" i="141"/>
  <c r="C166" i="141"/>
  <c r="I167" i="141"/>
  <c r="D167" i="141"/>
  <c r="J167" i="141"/>
  <c r="E167" i="141"/>
  <c r="C167" i="141"/>
  <c r="I168" i="141"/>
  <c r="D168" i="141"/>
  <c r="J168" i="141"/>
  <c r="E168" i="141"/>
  <c r="C168" i="141"/>
  <c r="I169" i="141"/>
  <c r="D169" i="141"/>
  <c r="J169" i="141"/>
  <c r="E169" i="141"/>
  <c r="C169" i="141"/>
  <c r="I170" i="141"/>
  <c r="D170" i="141"/>
  <c r="J170" i="141"/>
  <c r="E170" i="141"/>
  <c r="C170" i="141"/>
  <c r="I171" i="141"/>
  <c r="D171" i="141"/>
  <c r="J171" i="141"/>
  <c r="E171" i="141"/>
  <c r="C171" i="141"/>
  <c r="I172" i="141"/>
  <c r="D172" i="141"/>
  <c r="J172" i="141"/>
  <c r="E172" i="141"/>
  <c r="C172" i="141"/>
  <c r="I173" i="141"/>
  <c r="D173" i="141"/>
  <c r="J173" i="141"/>
  <c r="E173" i="141"/>
  <c r="C173" i="141"/>
  <c r="I174" i="141"/>
  <c r="D174" i="141"/>
  <c r="J174" i="141"/>
  <c r="E174" i="141"/>
  <c r="C174" i="141"/>
  <c r="I175" i="141"/>
  <c r="D175" i="141"/>
  <c r="J175" i="141"/>
  <c r="E175" i="141"/>
  <c r="C175" i="141"/>
  <c r="I176" i="141"/>
  <c r="D176" i="141"/>
  <c r="J176" i="141"/>
  <c r="E176" i="141"/>
  <c r="C176" i="141"/>
  <c r="I177" i="141"/>
  <c r="D177" i="141"/>
  <c r="J177" i="141"/>
  <c r="E177" i="141"/>
  <c r="C177" i="141"/>
  <c r="I178" i="141"/>
  <c r="D178" i="141"/>
  <c r="J178" i="141"/>
  <c r="E178" i="141"/>
  <c r="C178" i="141"/>
  <c r="I179" i="141"/>
  <c r="D179" i="141"/>
  <c r="J179" i="141"/>
  <c r="E179" i="141"/>
  <c r="C179" i="141"/>
  <c r="I180" i="141"/>
  <c r="D180" i="141"/>
  <c r="J180" i="141"/>
  <c r="E180" i="141"/>
  <c r="C180" i="141"/>
  <c r="I181" i="141"/>
  <c r="D181" i="141"/>
  <c r="J181" i="141"/>
  <c r="E181" i="141"/>
  <c r="C181" i="141"/>
  <c r="I182" i="141"/>
  <c r="D182" i="141"/>
  <c r="J182" i="141"/>
  <c r="E182" i="141"/>
  <c r="C182" i="141"/>
  <c r="I183" i="141"/>
  <c r="D183" i="141"/>
  <c r="J183" i="141"/>
  <c r="E183" i="141"/>
  <c r="C183" i="141"/>
  <c r="I184" i="141"/>
  <c r="D184" i="141"/>
  <c r="J184" i="141"/>
  <c r="E184" i="141"/>
  <c r="C184" i="141"/>
  <c r="I185" i="141"/>
  <c r="D185" i="141"/>
  <c r="J185" i="141"/>
  <c r="E185" i="141"/>
  <c r="C185" i="141"/>
  <c r="I186" i="141"/>
  <c r="D186" i="141"/>
  <c r="J186" i="141"/>
  <c r="E186" i="141"/>
  <c r="C186" i="141"/>
  <c r="I187" i="141"/>
  <c r="D187" i="141"/>
  <c r="J187" i="141"/>
  <c r="E187" i="141"/>
  <c r="C187" i="141"/>
  <c r="I188" i="141"/>
  <c r="D188" i="141"/>
  <c r="J188" i="141"/>
  <c r="E188" i="141"/>
  <c r="C188" i="141"/>
  <c r="I189" i="141"/>
  <c r="D189" i="141"/>
  <c r="J189" i="141"/>
  <c r="E189" i="141"/>
  <c r="C189" i="141"/>
  <c r="I190" i="141"/>
  <c r="D190" i="141"/>
  <c r="J190" i="141"/>
  <c r="E190" i="141"/>
  <c r="C190" i="141"/>
  <c r="I191" i="141"/>
  <c r="D191" i="141"/>
  <c r="J191" i="141"/>
  <c r="E191" i="141"/>
  <c r="C191" i="141"/>
  <c r="I192" i="141"/>
  <c r="D192" i="141"/>
  <c r="J192" i="141"/>
  <c r="E192" i="141"/>
  <c r="C192" i="141"/>
  <c r="I193" i="141"/>
  <c r="D193" i="141"/>
  <c r="J193" i="141"/>
  <c r="E193" i="141"/>
  <c r="C193" i="141"/>
  <c r="I194" i="141"/>
  <c r="D194" i="141"/>
  <c r="J194" i="141"/>
  <c r="E194" i="141"/>
  <c r="C194" i="141"/>
  <c r="I195" i="141"/>
  <c r="D195" i="141"/>
  <c r="J195" i="141"/>
  <c r="E195" i="141"/>
  <c r="C195" i="141"/>
  <c r="I196" i="141"/>
  <c r="D196" i="141"/>
  <c r="J196" i="141"/>
  <c r="E196" i="141"/>
  <c r="C196" i="141"/>
  <c r="I197" i="141"/>
  <c r="D197" i="141"/>
  <c r="J197" i="141"/>
  <c r="E197" i="141"/>
  <c r="C197" i="141"/>
  <c r="I198" i="141"/>
  <c r="D198" i="141"/>
  <c r="J198" i="141"/>
  <c r="E198" i="141"/>
  <c r="C198" i="141"/>
  <c r="I199" i="141"/>
  <c r="D199" i="141"/>
  <c r="J199" i="141"/>
  <c r="E199" i="141"/>
  <c r="C199" i="141"/>
  <c r="I200" i="141"/>
  <c r="D200" i="141"/>
  <c r="J200" i="141"/>
  <c r="E200" i="141"/>
  <c r="C200" i="141"/>
  <c r="I201" i="141"/>
  <c r="D201" i="141"/>
  <c r="J201" i="141"/>
  <c r="E201" i="141"/>
  <c r="C201" i="141"/>
  <c r="I202" i="141"/>
  <c r="D202" i="141"/>
  <c r="J202" i="141"/>
  <c r="E202" i="141"/>
  <c r="C202" i="141"/>
  <c r="I203" i="141"/>
  <c r="D203" i="141"/>
  <c r="J203" i="141"/>
  <c r="E203" i="141"/>
  <c r="C203" i="141"/>
  <c r="I204" i="141"/>
  <c r="D204" i="141"/>
  <c r="J204" i="141"/>
  <c r="E204" i="141"/>
  <c r="C204" i="141"/>
  <c r="I205" i="141"/>
  <c r="D205" i="141"/>
  <c r="J205" i="141"/>
  <c r="E205" i="141"/>
  <c r="C205" i="141"/>
  <c r="I206" i="141"/>
  <c r="D206" i="141"/>
  <c r="J206" i="141"/>
  <c r="E206" i="141"/>
  <c r="C206" i="141"/>
  <c r="I207" i="141"/>
  <c r="D207" i="141"/>
  <c r="J207" i="141"/>
  <c r="E207" i="141"/>
  <c r="C207" i="141"/>
  <c r="I208" i="141"/>
  <c r="D208" i="141"/>
  <c r="J208" i="141"/>
  <c r="E208" i="141"/>
  <c r="C208" i="141"/>
  <c r="I209" i="141"/>
  <c r="D209" i="141"/>
  <c r="J209" i="141"/>
  <c r="E209" i="141"/>
  <c r="C209" i="141"/>
  <c r="I210" i="141"/>
  <c r="D210" i="141"/>
  <c r="J210" i="141"/>
  <c r="E210" i="141"/>
  <c r="C210" i="141"/>
  <c r="I211" i="141"/>
  <c r="D211" i="141"/>
  <c r="J211" i="141"/>
  <c r="E211" i="141"/>
  <c r="C211" i="141"/>
  <c r="I212" i="141"/>
  <c r="D212" i="141"/>
  <c r="J212" i="141"/>
  <c r="E212" i="141"/>
  <c r="C212" i="141"/>
  <c r="I213" i="141"/>
  <c r="D213" i="141"/>
  <c r="J213" i="141"/>
  <c r="E213" i="141"/>
  <c r="C213" i="141"/>
  <c r="I214" i="141"/>
  <c r="D214" i="141"/>
  <c r="J214" i="141"/>
  <c r="E214" i="141"/>
  <c r="C214" i="141"/>
  <c r="I215" i="141"/>
  <c r="D215" i="141"/>
  <c r="J215" i="141"/>
  <c r="E215" i="141"/>
  <c r="C215" i="141"/>
  <c r="I216" i="141"/>
  <c r="D216" i="141"/>
  <c r="J216" i="141"/>
  <c r="E216" i="141"/>
  <c r="C216" i="141"/>
  <c r="I217" i="141"/>
  <c r="D217" i="141"/>
  <c r="J217" i="141"/>
  <c r="E217" i="141"/>
  <c r="C217" i="141"/>
  <c r="I218" i="141"/>
  <c r="D218" i="141"/>
  <c r="J218" i="141"/>
  <c r="E218" i="141"/>
  <c r="C218" i="141"/>
  <c r="I219" i="141"/>
  <c r="D219" i="141"/>
  <c r="J219" i="141"/>
  <c r="E219" i="141"/>
  <c r="C219" i="141"/>
  <c r="I220" i="141"/>
  <c r="D220" i="141"/>
  <c r="J220" i="141"/>
  <c r="E220" i="141"/>
  <c r="C220" i="141"/>
  <c r="I221" i="141"/>
  <c r="D221" i="141"/>
  <c r="J221" i="141"/>
  <c r="E221" i="141"/>
  <c r="C221" i="141"/>
  <c r="I222" i="141"/>
  <c r="D222" i="141"/>
  <c r="J222" i="141"/>
  <c r="E222" i="141"/>
  <c r="C222" i="141"/>
  <c r="I223" i="141"/>
  <c r="D223" i="141"/>
  <c r="J223" i="141"/>
  <c r="E223" i="141"/>
  <c r="C223" i="141"/>
  <c r="I224" i="141"/>
  <c r="D224" i="141"/>
  <c r="J224" i="141"/>
  <c r="E224" i="141"/>
  <c r="C224" i="141"/>
  <c r="I225" i="141"/>
  <c r="D225" i="141"/>
  <c r="J225" i="141"/>
  <c r="E225" i="141"/>
  <c r="C225" i="141"/>
  <c r="I226" i="141"/>
  <c r="D226" i="141"/>
  <c r="J226" i="141"/>
  <c r="E226" i="141"/>
  <c r="C226" i="141"/>
  <c r="I227" i="141"/>
  <c r="D227" i="141"/>
  <c r="J227" i="141"/>
  <c r="E227" i="141"/>
  <c r="C227" i="141"/>
  <c r="I228" i="141"/>
  <c r="D228" i="141"/>
  <c r="J228" i="141"/>
  <c r="E228" i="141"/>
  <c r="C228" i="141"/>
  <c r="I229" i="141"/>
  <c r="D229" i="141"/>
  <c r="J229" i="141"/>
  <c r="E229" i="141"/>
  <c r="C229" i="141"/>
  <c r="I230" i="141"/>
  <c r="D230" i="141"/>
  <c r="J230" i="141"/>
  <c r="E230" i="141"/>
  <c r="C230" i="141"/>
  <c r="I231" i="141"/>
  <c r="D231" i="141"/>
  <c r="J231" i="141"/>
  <c r="E231" i="141"/>
  <c r="C231" i="141"/>
  <c r="I232" i="141"/>
  <c r="D232" i="141"/>
  <c r="J232" i="141"/>
  <c r="E232" i="141"/>
  <c r="C232" i="141"/>
  <c r="I233" i="141"/>
  <c r="D233" i="141"/>
  <c r="J233" i="141"/>
  <c r="E233" i="141"/>
  <c r="C233" i="141"/>
  <c r="I234" i="141"/>
  <c r="D234" i="141"/>
  <c r="J234" i="141"/>
  <c r="E234" i="141"/>
  <c r="C234" i="141"/>
  <c r="I235" i="141"/>
  <c r="D235" i="141"/>
  <c r="J235" i="141"/>
  <c r="E235" i="141"/>
  <c r="C235" i="141"/>
  <c r="I236" i="141"/>
  <c r="D236" i="141"/>
  <c r="J236" i="141"/>
  <c r="E236" i="141"/>
  <c r="C236" i="141"/>
  <c r="I237" i="141"/>
  <c r="D237" i="141"/>
  <c r="J237" i="141"/>
  <c r="E237" i="141"/>
  <c r="C237" i="141"/>
  <c r="I238" i="141"/>
  <c r="D238" i="141"/>
  <c r="J238" i="141"/>
  <c r="E238" i="141"/>
  <c r="C238" i="141"/>
  <c r="I239" i="141"/>
  <c r="D239" i="141"/>
  <c r="J239" i="141"/>
  <c r="E239" i="141"/>
  <c r="C239" i="141"/>
  <c r="I240" i="141"/>
  <c r="D240" i="141"/>
  <c r="J240" i="141"/>
  <c r="E240" i="141"/>
  <c r="C240" i="141"/>
  <c r="I241" i="141"/>
  <c r="D241" i="141"/>
  <c r="J241" i="141"/>
  <c r="E241" i="141"/>
  <c r="C241" i="141"/>
  <c r="I242" i="141"/>
  <c r="D242" i="141"/>
  <c r="J242" i="141"/>
  <c r="E242" i="141"/>
  <c r="C242" i="141"/>
  <c r="I243" i="141"/>
  <c r="D243" i="141"/>
  <c r="J243" i="141"/>
  <c r="E243" i="141"/>
  <c r="C243" i="141"/>
  <c r="I244" i="141"/>
  <c r="D244" i="141"/>
  <c r="J244" i="141"/>
  <c r="E244" i="141"/>
  <c r="C244" i="141"/>
  <c r="I245" i="141"/>
  <c r="D245" i="141"/>
  <c r="J245" i="141"/>
  <c r="E245" i="141"/>
  <c r="C245" i="141"/>
  <c r="I246" i="141"/>
  <c r="D246" i="141"/>
  <c r="J246" i="141"/>
  <c r="E246" i="141"/>
  <c r="C246" i="141"/>
  <c r="I247" i="141"/>
  <c r="D247" i="141"/>
  <c r="J247" i="141"/>
  <c r="E247" i="141"/>
  <c r="C247" i="141"/>
  <c r="I248" i="141"/>
  <c r="D248" i="141"/>
  <c r="J248" i="141"/>
  <c r="E248" i="141"/>
  <c r="C248" i="141"/>
  <c r="I249" i="141"/>
  <c r="D249" i="141"/>
  <c r="J249" i="141"/>
  <c r="E249" i="141"/>
  <c r="C249" i="141"/>
  <c r="I250" i="141"/>
  <c r="D250" i="141"/>
  <c r="J250" i="141"/>
  <c r="E250" i="141"/>
  <c r="C250" i="141"/>
  <c r="I251" i="141"/>
  <c r="D251" i="141"/>
  <c r="J251" i="141"/>
  <c r="E251" i="141"/>
  <c r="C251" i="141"/>
  <c r="I252" i="141"/>
  <c r="D252" i="141"/>
  <c r="J252" i="141"/>
  <c r="E252" i="141"/>
  <c r="C252" i="141"/>
  <c r="I253" i="141"/>
  <c r="D253" i="141"/>
  <c r="J253" i="141"/>
  <c r="E253" i="141"/>
  <c r="C253" i="141"/>
  <c r="I254" i="141"/>
  <c r="D254" i="141"/>
  <c r="J254" i="141"/>
  <c r="E254" i="141"/>
  <c r="C254" i="141"/>
  <c r="I255" i="141"/>
  <c r="D255" i="141"/>
  <c r="J255" i="141"/>
  <c r="E255" i="141"/>
  <c r="C255" i="141"/>
  <c r="I256" i="141"/>
  <c r="D256" i="141"/>
  <c r="J256" i="141"/>
  <c r="E256" i="141"/>
  <c r="C256" i="141"/>
  <c r="I257" i="141"/>
  <c r="D257" i="141"/>
  <c r="J257" i="141"/>
  <c r="E257" i="141"/>
  <c r="C257" i="141"/>
  <c r="I258" i="141"/>
  <c r="D258" i="141"/>
  <c r="J258" i="141"/>
  <c r="E258" i="141"/>
  <c r="C258" i="141"/>
  <c r="I259" i="141"/>
  <c r="D259" i="141"/>
  <c r="J259" i="141"/>
  <c r="E259" i="141"/>
  <c r="C259" i="141"/>
  <c r="I260" i="141"/>
  <c r="D260" i="141"/>
  <c r="J260" i="141"/>
  <c r="E260" i="141"/>
  <c r="C260" i="141"/>
  <c r="I261" i="141"/>
  <c r="D261" i="141"/>
  <c r="J261" i="141"/>
  <c r="E261" i="141"/>
  <c r="C261" i="141"/>
  <c r="I262" i="141"/>
  <c r="D262" i="141"/>
  <c r="J262" i="141"/>
  <c r="E262" i="141"/>
  <c r="C262" i="141"/>
  <c r="I264" i="141"/>
  <c r="D264" i="141"/>
  <c r="J264" i="141"/>
  <c r="E264" i="141"/>
  <c r="C264" i="141"/>
  <c r="I265" i="141"/>
  <c r="D265" i="141"/>
  <c r="J265" i="141"/>
  <c r="E265" i="141"/>
  <c r="C265" i="141"/>
  <c r="I266" i="141"/>
  <c r="D266" i="141"/>
  <c r="J266" i="141"/>
  <c r="E266" i="141"/>
  <c r="C266" i="141"/>
  <c r="I267" i="141"/>
  <c r="D267" i="141"/>
  <c r="J267" i="141"/>
  <c r="E267" i="141"/>
  <c r="C267" i="141"/>
  <c r="I268" i="141"/>
  <c r="D268" i="141"/>
  <c r="J268" i="141"/>
  <c r="E268" i="141"/>
  <c r="C268" i="141"/>
  <c r="I269" i="141"/>
  <c r="D269" i="141"/>
  <c r="J269" i="141"/>
  <c r="E269" i="141"/>
  <c r="C269" i="141"/>
  <c r="I270" i="141"/>
  <c r="D270" i="141"/>
  <c r="J270" i="141"/>
  <c r="E270" i="141"/>
  <c r="C270" i="141"/>
  <c r="I271" i="141"/>
  <c r="D271" i="141"/>
  <c r="J271" i="141"/>
  <c r="E271" i="141"/>
  <c r="C271" i="141"/>
  <c r="I272" i="141"/>
  <c r="D272" i="141"/>
  <c r="J272" i="141"/>
  <c r="E272" i="141"/>
  <c r="C272" i="141"/>
  <c r="I273" i="141"/>
  <c r="D273" i="141"/>
  <c r="J273" i="141"/>
  <c r="E273" i="141"/>
  <c r="C273" i="141"/>
  <c r="I274" i="141"/>
  <c r="D274" i="141"/>
  <c r="J274" i="141"/>
  <c r="E274" i="141"/>
  <c r="C274" i="141"/>
  <c r="I275" i="141"/>
  <c r="D275" i="141"/>
  <c r="J275" i="141"/>
  <c r="E275" i="141"/>
  <c r="C275" i="141"/>
  <c r="I276" i="141"/>
  <c r="D276" i="141"/>
  <c r="J276" i="141"/>
  <c r="E276" i="141"/>
  <c r="C276" i="141"/>
  <c r="I277" i="141"/>
  <c r="D277" i="141"/>
  <c r="J277" i="141"/>
  <c r="E277" i="141"/>
  <c r="C277" i="141"/>
  <c r="I278" i="141"/>
  <c r="D278" i="141"/>
  <c r="J278" i="141"/>
  <c r="E278" i="141"/>
  <c r="C278" i="141"/>
  <c r="I279" i="141"/>
  <c r="D279" i="141"/>
  <c r="J279" i="141"/>
  <c r="E279" i="141"/>
  <c r="C279" i="141"/>
  <c r="I280" i="141"/>
  <c r="D280" i="141"/>
  <c r="J280" i="141"/>
  <c r="E280" i="141"/>
  <c r="C280" i="141"/>
  <c r="I281" i="141"/>
  <c r="D281" i="141"/>
  <c r="J281" i="141"/>
  <c r="E281" i="141"/>
  <c r="C281" i="141"/>
  <c r="I282" i="141"/>
  <c r="D282" i="141"/>
  <c r="J282" i="141"/>
  <c r="E282" i="141"/>
  <c r="C282" i="141"/>
  <c r="I283" i="141"/>
  <c r="D283" i="141"/>
  <c r="J283" i="141"/>
  <c r="E283" i="141"/>
  <c r="C283" i="141"/>
  <c r="F5" i="140"/>
  <c r="F6" i="140"/>
  <c r="A36" i="140"/>
  <c r="E5" i="140"/>
  <c r="Q3" i="140"/>
  <c r="E28" i="140"/>
  <c r="B28" i="140"/>
  <c r="G28" i="140"/>
  <c r="H28" i="140"/>
  <c r="O263" i="141"/>
  <c r="E6" i="140"/>
  <c r="E19" i="140"/>
  <c r="B19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E29" i="140"/>
  <c r="B29" i="140"/>
  <c r="B23" i="140"/>
  <c r="B22" i="140"/>
  <c r="G22" i="140"/>
  <c r="H22" i="140"/>
  <c r="O256" i="141"/>
  <c r="G23" i="140"/>
  <c r="E23" i="140"/>
  <c r="H23" i="140"/>
  <c r="O257" i="141"/>
  <c r="O258" i="141"/>
  <c r="O259" i="141"/>
  <c r="G29" i="140"/>
  <c r="H29" i="140"/>
  <c r="O260" i="141"/>
  <c r="O261" i="141"/>
  <c r="O262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P263" i="141"/>
  <c r="A3" i="146"/>
  <c r="I3" i="146"/>
  <c r="D3" i="146"/>
  <c r="J3" i="146"/>
  <c r="E3" i="146"/>
  <c r="F3" i="146"/>
  <c r="C3" i="146"/>
  <c r="H3" i="146"/>
  <c r="K3" i="146"/>
  <c r="L3" i="146"/>
  <c r="M3" i="146"/>
  <c r="N3" i="146"/>
  <c r="A4" i="146"/>
  <c r="I4" i="146"/>
  <c r="D4" i="146"/>
  <c r="J4" i="146"/>
  <c r="E4" i="146"/>
  <c r="F4" i="146"/>
  <c r="C4" i="146"/>
  <c r="H4" i="146"/>
  <c r="K4" i="146"/>
  <c r="L4" i="146"/>
  <c r="M4" i="146"/>
  <c r="N4" i="146"/>
  <c r="A5" i="146"/>
  <c r="I5" i="146"/>
  <c r="D5" i="146"/>
  <c r="J5" i="146"/>
  <c r="E5" i="146"/>
  <c r="F5" i="146"/>
  <c r="C5" i="146"/>
  <c r="H5" i="146"/>
  <c r="K5" i="146"/>
  <c r="L5" i="146"/>
  <c r="M5" i="146"/>
  <c r="N5" i="146"/>
  <c r="A6" i="146"/>
  <c r="I6" i="146"/>
  <c r="D6" i="146"/>
  <c r="J6" i="146"/>
  <c r="E6" i="146"/>
  <c r="F6" i="146"/>
  <c r="C6" i="146"/>
  <c r="H6" i="146"/>
  <c r="K6" i="146"/>
  <c r="L6" i="146"/>
  <c r="M6" i="146"/>
  <c r="N6" i="146"/>
  <c r="A7" i="146"/>
  <c r="I7" i="146"/>
  <c r="D7" i="146"/>
  <c r="J7" i="146"/>
  <c r="E7" i="146"/>
  <c r="F7" i="146"/>
  <c r="C7" i="146"/>
  <c r="H7" i="146"/>
  <c r="K7" i="146"/>
  <c r="L7" i="146"/>
  <c r="M7" i="146"/>
  <c r="N7" i="146"/>
  <c r="A8" i="146"/>
  <c r="I8" i="146"/>
  <c r="D8" i="146"/>
  <c r="J8" i="146"/>
  <c r="E8" i="146"/>
  <c r="F8" i="146"/>
  <c r="C8" i="146"/>
  <c r="H8" i="146"/>
  <c r="K8" i="146"/>
  <c r="L8" i="146"/>
  <c r="M8" i="146"/>
  <c r="N8" i="146"/>
  <c r="A9" i="146"/>
  <c r="I9" i="146"/>
  <c r="D9" i="146"/>
  <c r="J9" i="146"/>
  <c r="E9" i="146"/>
  <c r="F9" i="146"/>
  <c r="C9" i="146"/>
  <c r="H9" i="146"/>
  <c r="K9" i="146"/>
  <c r="L9" i="146"/>
  <c r="M9" i="146"/>
  <c r="N9" i="146"/>
  <c r="A10" i="146"/>
  <c r="I10" i="146"/>
  <c r="D10" i="146"/>
  <c r="J10" i="146"/>
  <c r="E10" i="146"/>
  <c r="F10" i="146"/>
  <c r="C10" i="146"/>
  <c r="H10" i="146"/>
  <c r="K10" i="146"/>
  <c r="L10" i="146"/>
  <c r="M10" i="146"/>
  <c r="N10" i="146"/>
  <c r="A11" i="146"/>
  <c r="I11" i="146"/>
  <c r="D11" i="146"/>
  <c r="J11" i="146"/>
  <c r="E11" i="146"/>
  <c r="F11" i="146"/>
  <c r="C11" i="146"/>
  <c r="H11" i="146"/>
  <c r="K11" i="146"/>
  <c r="L11" i="146"/>
  <c r="M11" i="146"/>
  <c r="N11" i="146"/>
  <c r="A12" i="146"/>
  <c r="I12" i="146"/>
  <c r="D12" i="146"/>
  <c r="J12" i="146"/>
  <c r="E12" i="146"/>
  <c r="F12" i="146"/>
  <c r="C12" i="146"/>
  <c r="H12" i="146"/>
  <c r="K12" i="146"/>
  <c r="L12" i="146"/>
  <c r="M12" i="146"/>
  <c r="N12" i="146"/>
  <c r="A13" i="146"/>
  <c r="I13" i="146"/>
  <c r="D13" i="146"/>
  <c r="J13" i="146"/>
  <c r="E13" i="146"/>
  <c r="F13" i="146"/>
  <c r="C13" i="146"/>
  <c r="H13" i="146"/>
  <c r="K13" i="146"/>
  <c r="L13" i="146"/>
  <c r="M13" i="146"/>
  <c r="N13" i="146"/>
  <c r="A14" i="146"/>
  <c r="I14" i="146"/>
  <c r="D14" i="146"/>
  <c r="J14" i="146"/>
  <c r="E14" i="146"/>
  <c r="F14" i="146"/>
  <c r="C14" i="146"/>
  <c r="H14" i="146"/>
  <c r="K14" i="146"/>
  <c r="L14" i="146"/>
  <c r="M14" i="146"/>
  <c r="N14" i="146"/>
  <c r="A15" i="146"/>
  <c r="I15" i="146"/>
  <c r="D15" i="146"/>
  <c r="J15" i="146"/>
  <c r="E15" i="146"/>
  <c r="F15" i="146"/>
  <c r="C15" i="146"/>
  <c r="H15" i="146"/>
  <c r="K15" i="146"/>
  <c r="L15" i="146"/>
  <c r="M15" i="146"/>
  <c r="N15" i="146"/>
  <c r="A16" i="146"/>
  <c r="I16" i="146"/>
  <c r="D16" i="146"/>
  <c r="J16" i="146"/>
  <c r="E16" i="146"/>
  <c r="F16" i="146"/>
  <c r="C16" i="146"/>
  <c r="H16" i="146"/>
  <c r="K16" i="146"/>
  <c r="L16" i="146"/>
  <c r="M16" i="146"/>
  <c r="N16" i="146"/>
  <c r="A17" i="146"/>
  <c r="I17" i="146"/>
  <c r="D17" i="146"/>
  <c r="J17" i="146"/>
  <c r="E17" i="146"/>
  <c r="F17" i="146"/>
  <c r="C17" i="146"/>
  <c r="H17" i="146"/>
  <c r="K17" i="146"/>
  <c r="L17" i="146"/>
  <c r="M17" i="146"/>
  <c r="N17" i="146"/>
  <c r="A2" i="146"/>
  <c r="I2" i="146"/>
  <c r="D2" i="146"/>
  <c r="J2" i="146"/>
  <c r="E2" i="146"/>
  <c r="F2" i="146"/>
  <c r="C2" i="146"/>
  <c r="N2" i="146"/>
  <c r="M2" i="146"/>
  <c r="L2" i="146"/>
  <c r="K2" i="146"/>
  <c r="H2" i="146"/>
  <c r="B6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83" i="141"/>
  <c r="A2" i="141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A2" i="106"/>
  <c r="F273" i="141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7" i="141"/>
  <c r="F28" i="141"/>
  <c r="F29" i="141"/>
  <c r="F30" i="141"/>
  <c r="F31" i="141"/>
  <c r="F32" i="141"/>
  <c r="F33" i="141"/>
  <c r="F34" i="141"/>
  <c r="F35" i="141"/>
  <c r="F36" i="141"/>
  <c r="F37" i="141"/>
  <c r="F38" i="141"/>
  <c r="F39" i="141"/>
  <c r="F40" i="141"/>
  <c r="F41" i="141"/>
  <c r="F42" i="141"/>
  <c r="F43" i="141"/>
  <c r="F44" i="141"/>
  <c r="F45" i="141"/>
  <c r="F46" i="141"/>
  <c r="F47" i="141"/>
  <c r="F48" i="141"/>
  <c r="F49" i="141"/>
  <c r="F50" i="141"/>
  <c r="F51" i="141"/>
  <c r="F52" i="141"/>
  <c r="F53" i="141"/>
  <c r="F54" i="141"/>
  <c r="F55" i="141"/>
  <c r="F56" i="141"/>
  <c r="F57" i="141"/>
  <c r="F58" i="141"/>
  <c r="F59" i="141"/>
  <c r="F60" i="141"/>
  <c r="F61" i="141"/>
  <c r="F62" i="141"/>
  <c r="F63" i="141"/>
  <c r="F64" i="141"/>
  <c r="F65" i="141"/>
  <c r="F66" i="141"/>
  <c r="F67" i="141"/>
  <c r="F68" i="141"/>
  <c r="F69" i="141"/>
  <c r="F70" i="141"/>
  <c r="F71" i="141"/>
  <c r="F72" i="141"/>
  <c r="F73" i="141"/>
  <c r="F74" i="141"/>
  <c r="F75" i="141"/>
  <c r="F76" i="141"/>
  <c r="F77" i="141"/>
  <c r="F78" i="141"/>
  <c r="F79" i="141"/>
  <c r="F80" i="141"/>
  <c r="F81" i="141"/>
  <c r="F82" i="141"/>
  <c r="F83" i="141"/>
  <c r="F84" i="141"/>
  <c r="F85" i="141"/>
  <c r="F86" i="141"/>
  <c r="F87" i="141"/>
  <c r="F88" i="141"/>
  <c r="F89" i="141"/>
  <c r="F90" i="141"/>
  <c r="F91" i="141"/>
  <c r="F92" i="141"/>
  <c r="F93" i="141"/>
  <c r="F94" i="141"/>
  <c r="F95" i="141"/>
  <c r="F96" i="141"/>
  <c r="F97" i="141"/>
  <c r="F98" i="141"/>
  <c r="F99" i="141"/>
  <c r="F100" i="141"/>
  <c r="F101" i="141"/>
  <c r="F102" i="141"/>
  <c r="F103" i="141"/>
  <c r="F104" i="141"/>
  <c r="F105" i="141"/>
  <c r="F106" i="141"/>
  <c r="F107" i="141"/>
  <c r="F108" i="141"/>
  <c r="F109" i="141"/>
  <c r="F110" i="141"/>
  <c r="F111" i="141"/>
  <c r="F112" i="141"/>
  <c r="F113" i="141"/>
  <c r="F114" i="141"/>
  <c r="F115" i="141"/>
  <c r="F116" i="141"/>
  <c r="F117" i="141"/>
  <c r="F118" i="141"/>
  <c r="F119" i="141"/>
  <c r="F120" i="141"/>
  <c r="F121" i="141"/>
  <c r="F122" i="141"/>
  <c r="F123" i="141"/>
  <c r="F124" i="141"/>
  <c r="F125" i="141"/>
  <c r="F126" i="141"/>
  <c r="F127" i="141"/>
  <c r="F128" i="141"/>
  <c r="F129" i="141"/>
  <c r="F130" i="141"/>
  <c r="F131" i="141"/>
  <c r="F132" i="141"/>
  <c r="F133" i="141"/>
  <c r="F134" i="141"/>
  <c r="F135" i="141"/>
  <c r="F136" i="141"/>
  <c r="F137" i="141"/>
  <c r="F138" i="141"/>
  <c r="F139" i="141"/>
  <c r="F140" i="141"/>
  <c r="F141" i="141"/>
  <c r="F142" i="141"/>
  <c r="F143" i="141"/>
  <c r="F144" i="141"/>
  <c r="F145" i="141"/>
  <c r="F146" i="141"/>
  <c r="F147" i="141"/>
  <c r="F148" i="141"/>
  <c r="F149" i="141"/>
  <c r="F150" i="141"/>
  <c r="F151" i="141"/>
  <c r="F152" i="141"/>
  <c r="F153" i="141"/>
  <c r="F154" i="141"/>
  <c r="F155" i="141"/>
  <c r="F156" i="141"/>
  <c r="F157" i="141"/>
  <c r="F158" i="141"/>
  <c r="F159" i="141"/>
  <c r="F160" i="141"/>
  <c r="F161" i="141"/>
  <c r="F162" i="141"/>
  <c r="F163" i="141"/>
  <c r="F164" i="141"/>
  <c r="F165" i="141"/>
  <c r="F166" i="141"/>
  <c r="F167" i="141"/>
  <c r="F168" i="141"/>
  <c r="F169" i="141"/>
  <c r="F170" i="141"/>
  <c r="F171" i="141"/>
  <c r="F172" i="141"/>
  <c r="F173" i="141"/>
  <c r="F174" i="141"/>
  <c r="F175" i="141"/>
  <c r="F176" i="141"/>
  <c r="F177" i="141"/>
  <c r="F178" i="141"/>
  <c r="F179" i="141"/>
  <c r="F180" i="141"/>
  <c r="F181" i="141"/>
  <c r="F182" i="141"/>
  <c r="F183" i="141"/>
  <c r="F184" i="141"/>
  <c r="F185" i="141"/>
  <c r="F186" i="141"/>
  <c r="F187" i="141"/>
  <c r="F188" i="141"/>
  <c r="F189" i="141"/>
  <c r="F190" i="141"/>
  <c r="F191" i="141"/>
  <c r="F192" i="141"/>
  <c r="F193" i="141"/>
  <c r="F194" i="141"/>
  <c r="F195" i="141"/>
  <c r="F196" i="141"/>
  <c r="F197" i="141"/>
  <c r="F198" i="141"/>
  <c r="F199" i="141"/>
  <c r="F200" i="141"/>
  <c r="F201" i="141"/>
  <c r="F202" i="141"/>
  <c r="F203" i="141"/>
  <c r="F204" i="141"/>
  <c r="F205" i="141"/>
  <c r="F206" i="141"/>
  <c r="F207" i="141"/>
  <c r="F208" i="141"/>
  <c r="F209" i="141"/>
  <c r="F210" i="141"/>
  <c r="F211" i="141"/>
  <c r="F212" i="141"/>
  <c r="F213" i="141"/>
  <c r="F214" i="141"/>
  <c r="F215" i="141"/>
  <c r="F216" i="141"/>
  <c r="F217" i="141"/>
  <c r="F218" i="141"/>
  <c r="F219" i="141"/>
  <c r="F220" i="141"/>
  <c r="F221" i="141"/>
  <c r="F222" i="141"/>
  <c r="F223" i="141"/>
  <c r="F224" i="141"/>
  <c r="F225" i="141"/>
  <c r="F226" i="141"/>
  <c r="F227" i="141"/>
  <c r="F228" i="141"/>
  <c r="F229" i="141"/>
  <c r="F230" i="141"/>
  <c r="F231" i="141"/>
  <c r="F232" i="141"/>
  <c r="F233" i="141"/>
  <c r="F234" i="141"/>
  <c r="F235" i="141"/>
  <c r="F236" i="141"/>
  <c r="F237" i="141"/>
  <c r="F238" i="141"/>
  <c r="F239" i="141"/>
  <c r="F240" i="141"/>
  <c r="F241" i="141"/>
  <c r="F242" i="141"/>
  <c r="F243" i="141"/>
  <c r="F244" i="141"/>
  <c r="F245" i="141"/>
  <c r="F246" i="141"/>
  <c r="F247" i="141"/>
  <c r="F248" i="141"/>
  <c r="F249" i="141"/>
  <c r="F250" i="141"/>
  <c r="F251" i="141"/>
  <c r="F252" i="141"/>
  <c r="F253" i="141"/>
  <c r="F254" i="141"/>
  <c r="F255" i="141"/>
  <c r="F256" i="141"/>
  <c r="F257" i="141"/>
  <c r="F258" i="141"/>
  <c r="F259" i="141"/>
  <c r="F260" i="141"/>
  <c r="F261" i="141"/>
  <c r="F262" i="141"/>
  <c r="F263" i="141"/>
  <c r="F264" i="141"/>
  <c r="F265" i="141"/>
  <c r="F266" i="141"/>
  <c r="F267" i="141"/>
  <c r="F268" i="141"/>
  <c r="F269" i="141"/>
  <c r="F270" i="141"/>
  <c r="F271" i="141"/>
  <c r="F272" i="141"/>
  <c r="F274" i="141"/>
  <c r="F275" i="141"/>
  <c r="F276" i="141"/>
  <c r="F277" i="141"/>
  <c r="F278" i="141"/>
  <c r="F279" i="141"/>
  <c r="F280" i="141"/>
  <c r="F281" i="141"/>
  <c r="F282" i="141"/>
  <c r="F283" i="141"/>
  <c r="R3" i="140"/>
  <c r="B10" i="140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R6" i="140"/>
  <c r="P6" i="140"/>
  <c r="O6" i="140"/>
  <c r="M6" i="140"/>
  <c r="V5" i="140"/>
  <c r="R5" i="140"/>
  <c r="P5" i="140"/>
  <c r="O5" i="140"/>
  <c r="M5" i="140"/>
  <c r="V4" i="140"/>
  <c r="R4" i="140"/>
  <c r="P4" i="140"/>
  <c r="O4" i="140"/>
  <c r="M4" i="140"/>
  <c r="V3" i="140"/>
  <c r="P3" i="140"/>
  <c r="O3" i="140"/>
  <c r="M3" i="140"/>
  <c r="V2" i="140"/>
  <c r="Q3" i="106"/>
  <c r="F5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E5" i="106"/>
  <c r="E27" i="106"/>
  <c r="B5" i="106"/>
  <c r="B27" i="106"/>
  <c r="E28" i="106"/>
  <c r="B28" i="106"/>
  <c r="E29" i="106"/>
  <c r="B29" i="106"/>
  <c r="F6" i="106"/>
  <c r="A36" i="106"/>
  <c r="R3" i="106"/>
  <c r="E6" i="106"/>
  <c r="E19" i="106"/>
  <c r="B19" i="106"/>
  <c r="E24" i="106"/>
  <c r="B24" i="106"/>
  <c r="B17" i="106"/>
  <c r="G17" i="106"/>
  <c r="E17" i="106"/>
  <c r="H17" i="106"/>
  <c r="E18" i="106"/>
  <c r="B18" i="106"/>
  <c r="G18" i="106"/>
  <c r="H18" i="106"/>
  <c r="G24" i="106"/>
  <c r="H24" i="106"/>
  <c r="E25" i="106"/>
  <c r="B25" i="106"/>
  <c r="G25" i="106"/>
  <c r="H25" i="106"/>
  <c r="E26" i="106"/>
  <c r="B26" i="106"/>
  <c r="G26" i="106"/>
  <c r="H26" i="106"/>
  <c r="G19" i="106"/>
  <c r="H19" i="106"/>
  <c r="E20" i="106"/>
  <c r="B20" i="106"/>
  <c r="G20" i="106"/>
  <c r="H20" i="106"/>
  <c r="E21" i="106"/>
  <c r="B21" i="106"/>
  <c r="G21" i="106"/>
  <c r="H21" i="106"/>
  <c r="G27" i="106"/>
  <c r="H27" i="106"/>
  <c r="G28" i="106"/>
  <c r="H28" i="106"/>
  <c r="E22" i="106"/>
  <c r="B23" i="106"/>
  <c r="B22" i="106"/>
  <c r="G22" i="106"/>
  <c r="H22" i="106"/>
  <c r="G23" i="106"/>
  <c r="E23" i="106"/>
  <c r="H23" i="106"/>
  <c r="G29" i="106"/>
  <c r="H29" i="106"/>
  <c r="B32" i="106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4" i="103"/>
  <c r="E4" i="103"/>
  <c r="C3" i="103"/>
  <c r="E3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<sst xmlns="http://schemas.openxmlformats.org/spreadsheetml/2006/main" count="522" uniqueCount="274">
  <si>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</si>
  <si>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</si>
  <si>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</si>
  <si>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</si>
  <si>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</si>
  <si>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</si>
  <si>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</si>
  <si>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</si>
  <si>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</si>
  <si>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</si>
  <si>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</si>
  <si>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</si>
  <si>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</si>
  <si>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</si>
  <si>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</si>
  <si>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</si>
  <si>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</si>
  <si>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</si>
  <si>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</si>
  <si>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</si>
  <si>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</si>
  <si>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</si>
  <si>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</si>
  <si>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</si>
  <si>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</si>
  <si>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</si>
  <si>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</si>
  <si>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</si>
  <si>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</si>
  <si>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</si>
  <si>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</si>
  <si>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</si>
  <si>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</si>
  <si>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</si>
  <si>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</si>
  <si>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</si>
  <si>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</si>
  <si>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</si>
  <si>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</si>
  <si>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</si>
  <si>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</si>
  <si>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</si>
  <si>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</si>
  <si>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</si>
  <si>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</si>
  <si>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</si>
  <si>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</si>
  <si>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</si>
  <si>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</si>
  <si>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</si>
  <si>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</si>
  <si>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</si>
  <si>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</si>
  <si>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</si>
  <si>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</si>
  <si>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</si>
  <si>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</si>
  <si>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</si>
  <si>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</si>
  <si>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</si>
  <si>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</si>
  <si>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</si>
  <si>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</si>
  <si>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</si>
  <si>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</si>
  <si>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</si>
  <si>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</si>
  <si>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</si>
  <si>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</si>
  <si>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</si>
  <si>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</si>
  <si>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</si>
  <si>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</si>
  <si>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</si>
  <si>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</si>
  <si>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</si>
  <si>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</si>
  <si>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</si>
  <si>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</si>
  <si>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</si>
  <si>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</si>
  <si>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</si>
  <si>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</si>
  <si>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</si>
  <si>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</si>
  <si>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</si>
  <si>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</si>
  <si>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</si>
  <si>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</si>
  <si>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</si>
  <si>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</si>
  <si>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</si>
  <si>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</si>
  <si>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</si>
  <si>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</si>
  <si>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</si>
  <si>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</si>
  <si>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</si>
  <si>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</si>
  <si>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</si>
  <si>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</si>
  <si>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</si>
  <si>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</si>
  <si>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</si>
  <si>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</si>
  <si>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</si>
  <si>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</si>
  <si>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</si>
  <si>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</si>
  <si>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</si>
  <si>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</si>
  <si>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</si>
  <si>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</si>
  <si>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</si>
  <si>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</si>
  <si>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</si>
  <si>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</si>
  <si>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</si>
  <si>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</si>
  <si>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</si>
  <si>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</si>
  <si>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</si>
  <si>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</si>
  <si>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</si>
  <si>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</si>
  <si>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</si>
  <si>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</si>
  <si>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</si>
  <si>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</si>
  <si>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</si>
  <si>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</si>
  <si>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</si>
  <si>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</si>
  <si>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</si>
  <si>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</si>
  <si>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</si>
  <si>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</si>
  <si>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</si>
  <si>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</si>
  <si>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</si>
  <si>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</si>
  <si>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</si>
  <si>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</si>
  <si>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</si>
  <si>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</si>
  <si>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</si>
  <si>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</si>
  <si>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</si>
  <si>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</si>
  <si>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</si>
  <si>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</si>
  <si>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</si>
  <si>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</si>
  <si>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</si>
  <si>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</si>
  <si>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</si>
  <si>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</si>
  <si>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</si>
  <si>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</si>
  <si>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</si>
  <si>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</si>
  <si>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</si>
  <si>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</si>
  <si>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</si>
  <si>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</si>
  <si>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</si>
  <si>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</si>
  <si>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</si>
  <si>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</si>
  <si>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</si>
  <si>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</si>
  <si>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</si>
  <si>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</si>
  <si>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</si>
  <si>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</si>
  <si>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</si>
  <si>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</si>
  <si>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</si>
  <si>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</si>
  <si>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</si>
  <si>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</si>
  <si>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</si>
  <si>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</si>
  <si>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</si>
  <si>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</si>
  <si>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</si>
  <si>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</si>
  <si>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</si>
  <si>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</si>
  <si>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</si>
  <si>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</si>
  <si>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</si>
  <si>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</si>
  <si>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</si>
  <si>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</si>
  <si>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</si>
  <si>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</si>
  <si>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</si>
  <si>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</si>
  <si>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</si>
  <si>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</si>
  <si>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</si>
  <si>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</si>
  <si>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</si>
  <si>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</si>
  <si>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</si>
  <si>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</si>
  <si>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</si>
  <si>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</si>
  <si>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</si>
  <si>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</si>
  <si>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</si>
  <si>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</si>
  <si>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</si>
  <si>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</si>
  <si>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</si>
  <si>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</si>
  <si>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</si>
  <si>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</si>
  <si>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</si>
  <si>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</si>
  <si>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</si>
  <si>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</si>
  <si>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</si>
  <si>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</si>
  <si>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</si>
  <si>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</si>
  <si>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</si>
  <si>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</si>
  <si>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</si>
  <si>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</si>
  <si>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</si>
  <si>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</si>
  <si>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</si>
  <si>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</si>
  <si>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</si>
  <si>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</si>
  <si>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</si>
  <si>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</si>
  <si>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</si>
  <si>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</si>
  <si>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</si>
  <si>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</si>
  <si>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</si>
  <si>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</si>
  <si>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</si>
  <si>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</si>
  <si>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</si>
  <si>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</si>
  <si>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old</t>
    <phoneticPr fontId="19"/>
  </si>
  <si>
    <t>リトルハンプティx1</t>
    <phoneticPr fontId="19"/>
  </si>
  <si>
    <t>351101</t>
    <phoneticPr fontId="19"/>
  </si>
  <si>
    <t>351102</t>
    <phoneticPr fontId="19"/>
  </si>
  <si>
    <t>351103</t>
    <phoneticPr fontId="19"/>
  </si>
  <si>
    <t>351104</t>
    <phoneticPr fontId="19"/>
  </si>
  <si>
    <t>3511011</t>
    <phoneticPr fontId="19"/>
  </si>
  <si>
    <t>3511021</t>
    <phoneticPr fontId="19"/>
  </si>
  <si>
    <t>3511031</t>
    <phoneticPr fontId="19"/>
  </si>
  <si>
    <t>3511041</t>
    <phoneticPr fontId="19"/>
  </si>
  <si>
    <t>bit</t>
    <phoneticPr fontId="19"/>
  </si>
  <si>
    <t>unit</t>
    <phoneticPr fontId="19"/>
  </si>
  <si>
    <t>unit</t>
    <phoneticPr fontId="19"/>
  </si>
  <si>
    <t>メガ秘術の果実x1</t>
    <phoneticPr fontId="19"/>
  </si>
  <si>
    <t>マスターキーx3</t>
    <phoneticPr fontId="19"/>
  </si>
  <si>
    <t>100万ビット</t>
    <phoneticPr fontId="19"/>
  </si>
  <si>
    <t>tables_351101</t>
    <phoneticPr fontId="19"/>
  </si>
  <si>
    <t>tables_settle_351100</t>
    <phoneticPr fontId="19"/>
  </si>
  <si>
    <t>tables_351100</t>
    <phoneticPr fontId="19"/>
  </si>
  <si>
    <t>item</t>
    <phoneticPr fontId="19"/>
  </si>
  <si>
    <t>300万DL突破記念ガチャ特典</t>
    <rPh sb="13" eb="15">
      <t>トクテン</t>
    </rPh>
    <phoneticPr fontId="19"/>
  </si>
  <si>
    <t>STEP1特典として
100万ビットをプレゼント！</t>
    <phoneticPr fontId="19"/>
  </si>
  <si>
    <t>STEP2特典として
マスターキー3個をプレゼント！</t>
    <phoneticPr fontId="19"/>
  </si>
  <si>
    <t>STEP3特典として
メガ秘術の果実1体をプレゼント！</t>
    <phoneticPr fontId="19"/>
  </si>
  <si>
    <t>STEP4特典として
リトルハンプティ1体をプレゼント！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</si>
</sst>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3" fillId="0" borderId="1" xfId="3036" applyFont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サンリオ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サンリオ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サンリオ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サンリオ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サンリオ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_x000D_りんごの馬車　ハローキティ_x000D_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サンリオ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サンリオ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サンリオ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サンリオ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サンリオ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サンリオ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サンリオ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サンリオ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サンリオ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サンリオ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サンリオ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ss</v>
          </cell>
          <cell r="L918" t="str">
            <v>サンリオ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ss</v>
          </cell>
          <cell r="L919" t="str">
            <v>サンリオ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サンリオ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サンリオ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ss</v>
          </cell>
          <cell r="L922" t="str">
            <v>サンリオ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ss</v>
          </cell>
          <cell r="L923" t="str">
            <v>サンリオ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ss</v>
          </cell>
          <cell r="L924" t="str">
            <v>サンリオ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ss</v>
          </cell>
          <cell r="L925" t="str">
            <v>サンリオ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サンリオ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サンリオ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ss</v>
          </cell>
          <cell r="L928" t="str">
            <v>サンリオ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ss</v>
          </cell>
          <cell r="L929" t="str">
            <v>サンリオ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R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R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R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R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R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R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R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R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R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R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yellow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yellow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red</v>
          </cell>
          <cell r="I1090">
            <v>4</v>
          </cell>
          <cell r="J1090" t="str">
            <v>PremiumS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red</v>
          </cell>
          <cell r="I1091">
            <v>5</v>
          </cell>
          <cell r="J1091" t="str">
            <v>PremiumS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6" t="s">
        <v>223</v>
      </c>
      <c r="K40" s="86" t="s">
        <v>196</v>
      </c>
      <c r="M40" s="86" t="s">
        <v>248</v>
      </c>
    </row>
    <row r="41" spans="1:13" x14ac:dyDescent="0.15">
      <c r="J41" s="86" t="s">
        <v>224</v>
      </c>
      <c r="K41" s="86" t="s">
        <v>225</v>
      </c>
      <c r="M41" s="66" t="s">
        <v>191</v>
      </c>
    </row>
    <row r="42" spans="1:13" x14ac:dyDescent="0.15">
      <c r="J42" s="86" t="s">
        <v>226</v>
      </c>
      <c r="K42" s="86" t="s">
        <v>227</v>
      </c>
    </row>
    <row r="43" spans="1:13" x14ac:dyDescent="0.15">
      <c r="J43" s="86" t="s">
        <v>228</v>
      </c>
      <c r="K43" s="86" t="s">
        <v>229</v>
      </c>
    </row>
    <row r="44" spans="1:13" x14ac:dyDescent="0.15">
      <c r="J44" s="86" t="s">
        <v>230</v>
      </c>
      <c r="K44" s="86" t="s">
        <v>231</v>
      </c>
    </row>
    <row r="45" spans="1:13" x14ac:dyDescent="0.15">
      <c r="J45" s="86" t="s">
        <v>232</v>
      </c>
      <c r="K45" s="86" t="s">
        <v>233</v>
      </c>
    </row>
    <row r="46" spans="1:13" x14ac:dyDescent="0.15">
      <c r="J46" s="86" t="s">
        <v>234</v>
      </c>
      <c r="K46" s="86" t="s">
        <v>235</v>
      </c>
    </row>
    <row r="47" spans="1:13" x14ac:dyDescent="0.15">
      <c r="J47" s="86" t="s">
        <v>236</v>
      </c>
      <c r="K47" s="86" t="s">
        <v>240</v>
      </c>
    </row>
    <row r="48" spans="1:13" x14ac:dyDescent="0.15">
      <c r="J48" s="86" t="s">
        <v>237</v>
      </c>
      <c r="K48" s="86" t="s">
        <v>241</v>
      </c>
    </row>
    <row r="49" spans="10:11" x14ac:dyDescent="0.15">
      <c r="J49" s="86" t="s">
        <v>238</v>
      </c>
      <c r="K49" s="86" t="s">
        <v>242</v>
      </c>
    </row>
    <row r="50" spans="10:11" x14ac:dyDescent="0.15">
      <c r="J50" s="86" t="s">
        <v>239</v>
      </c>
      <c r="K50" s="86" t="s">
        <v>243</v>
      </c>
    </row>
    <row r="51" spans="10:11" x14ac:dyDescent="0.15">
      <c r="J51" s="86" t="s">
        <v>245</v>
      </c>
      <c r="K51" s="86" t="s">
        <v>244</v>
      </c>
    </row>
    <row r="52" spans="10:11" x14ac:dyDescent="0.15">
      <c r="J52" s="86" t="s">
        <v>246</v>
      </c>
      <c r="K52" s="86" t="s">
        <v>247</v>
      </c>
    </row>
    <row r="53" spans="10:11" x14ac:dyDescent="0.15">
      <c r="J53" s="86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E18" sqref="E1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249</v>
      </c>
      <c r="B2" s="61" t="s">
        <v>116</v>
      </c>
      <c r="C2" s="50" t="str">
        <f t="shared" ref="C2:C4" si="0">RIGHT(F2,6)</f>
        <v>351101</v>
      </c>
      <c r="D2" s="19" t="s">
        <v>46</v>
      </c>
      <c r="E2" s="17" t="str">
        <f t="shared" ref="E2:E7" si="1">B2&amp;C2&amp;D2</f>
        <v>gacha_select_tables_351101.tmp</v>
      </c>
      <c r="F2" s="91" t="s">
        <v>265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249</v>
      </c>
      <c r="B3" s="79" t="s">
        <v>220</v>
      </c>
      <c r="C3" s="50" t="str">
        <f t="shared" si="0"/>
        <v>351100</v>
      </c>
      <c r="D3" s="19" t="s">
        <v>46</v>
      </c>
      <c r="E3" s="17" t="str">
        <f t="shared" ref="E3:E4" si="2">B3&amp;C3&amp;D3</f>
        <v>gacha_settle_tables_351100.tmp</v>
      </c>
      <c r="F3" s="91" t="s">
        <v>266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0" t="s">
        <v>249</v>
      </c>
      <c r="B4" s="61" t="s">
        <v>116</v>
      </c>
      <c r="C4" s="50" t="str">
        <f t="shared" si="0"/>
        <v>351100</v>
      </c>
      <c r="D4" s="19" t="s">
        <v>46</v>
      </c>
      <c r="E4" s="17" t="str">
        <f t="shared" si="2"/>
        <v>gacha_select_tables_351100.tmp</v>
      </c>
      <c r="F4" s="91" t="s">
        <v>267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0" t="s">
        <v>249</v>
      </c>
      <c r="B5" s="27" t="s">
        <v>51</v>
      </c>
      <c r="C5" s="32">
        <v>351</v>
      </c>
      <c r="D5" s="19" t="s">
        <v>47</v>
      </c>
      <c r="E5" s="17" t="str">
        <f t="shared" si="1"/>
        <v>gacha_bonus_tables_351.tmp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90" t="s">
        <v>249</v>
      </c>
      <c r="B6" s="19" t="s">
        <v>49</v>
      </c>
      <c r="C6" s="32">
        <v>351</v>
      </c>
      <c r="D6" s="19" t="s">
        <v>47</v>
      </c>
      <c r="E6" s="17" t="str">
        <f t="shared" si="1"/>
        <v>gifts_tmp_351.tmp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1" t="s">
        <v>7</v>
      </c>
      <c r="P6" s="51" t="s">
        <v>9</v>
      </c>
      <c r="Q6" s="51" t="s">
        <v>6</v>
      </c>
      <c r="R6" s="51" t="s">
        <v>88</v>
      </c>
      <c r="S6" s="51" t="s">
        <v>8</v>
      </c>
      <c r="T6" s="51" t="s">
        <v>89</v>
      </c>
      <c r="U6" s="51" t="s">
        <v>5</v>
      </c>
    </row>
    <row r="7" spans="1:21" x14ac:dyDescent="0.15">
      <c r="A7" s="90" t="s">
        <v>249</v>
      </c>
      <c r="B7" s="19" t="s">
        <v>50</v>
      </c>
      <c r="C7" s="32">
        <v>351</v>
      </c>
      <c r="D7" s="19" t="s">
        <v>47</v>
      </c>
      <c r="E7" s="17" t="str">
        <f t="shared" si="1"/>
        <v>gifts_i18n_351.tmp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10" sqref="E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351101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VLOOKUP(L3,tables_351101!B:C,2,FALSE)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VLOOKUP(L4,tables_351101!B:C,2,FALSE)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(COUNTIF(tables_351101!C:C,input_351101!A26)+COUNTIF(tables_351101!C:C,input_351101!A28)+COUNTIF(tables_351101!C:C,input_351101!A29))</f>
        <v>38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VLOOKUP(L5,tables_351101!B:C,2,FALSE)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1.2435897435897436E-2</v>
      </c>
      <c r="F6">
        <f>(COUNTIF(tables_351101!C:C,input_351101!A18)+COUNTIF(tables_351101!C:C,input_351101!A20)+COUNTIF(tables_351101!C:C,input_351101!A22))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VLOOKUP(L6,tables_351101!B:C,2,FALSE)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VLOOKUP(L7,tables_351101!B:C,2,FALSE)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VLOOKUP(L8,tables_351101!B:C,2,FALSE)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VLOOKUP(L9,tables_351101!B:C,2,FALSE)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VLOOKUP(L10,tables_351101!B:C,2,FALSE)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VLOOKUP(L11,tables_351101!B:C,2,FALSE)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VLOOKUP(L12,tables_351101!B:C,2,FALSE)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VLOOKUP(L13,tables_351101!B:C,2,FALSE)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VLOOKUP(L14,tables_351101!B:C,2,FALSE)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VLOOKUP(L15,tables_351101!B:C,2,FALSE)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VLOOKUP(L16,tables_351101!B:C,2,FALSE)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0.17508771929824565</v>
      </c>
      <c r="C17" s="88">
        <f t="shared" ref="C17:C29" si="2">SUMIF(Q:Q,A17,N:N)</f>
        <v>0</v>
      </c>
      <c r="D17" s="76">
        <f t="shared" ref="D17:D26" si="3">B17-C17</f>
        <v>0.17508771929824565</v>
      </c>
      <c r="E17">
        <f>COUNTIF(tables_351101!C:C,input_351101!A17)-COUNTIF(Q:Q,A17)</f>
        <v>20</v>
      </c>
      <c r="F17" s="43">
        <f>IFERROR(B17/E17,0)</f>
        <v>8.754385964912282E-3</v>
      </c>
      <c r="G17">
        <f>A$36*B17</f>
        <v>1037920.0000000002</v>
      </c>
      <c r="H17">
        <f t="shared" ref="H17:H26" si="4">IFERROR(ROUND(G17/E17,5),0)</f>
        <v>51896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VLOOKUP(L17,tables_351101!B:C,2,FALSE)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7.3630229419703069E-2</v>
      </c>
      <c r="C18" s="88">
        <f t="shared" si="2"/>
        <v>0</v>
      </c>
      <c r="D18" s="76">
        <f t="shared" si="3"/>
        <v>7.3630229419703069E-2</v>
      </c>
      <c r="E18">
        <f>COUNTIF(tables_351101!C:C,input_351101!A18)-COUNTIF(Q:Q,A18)</f>
        <v>20</v>
      </c>
      <c r="F18" s="43">
        <f t="shared" ref="F18:F31" si="7">IFERROR(B18/E18,0)</f>
        <v>3.6815114709851534E-3</v>
      </c>
      <c r="G18">
        <f t="shared" ref="G18:G31" si="8">A$36*B18</f>
        <v>436479.99999999977</v>
      </c>
      <c r="H18">
        <f t="shared" si="4"/>
        <v>21824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VLOOKUP(L18,tables_351101!B:C,2,FALSE)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0.32333333333333331</v>
      </c>
      <c r="C19" s="88">
        <f t="shared" si="2"/>
        <v>0</v>
      </c>
      <c r="D19" s="76">
        <f t="shared" si="3"/>
        <v>0.32333333333333331</v>
      </c>
      <c r="E19">
        <f>COUNTIF(tables_351101!C:C,input_351101!A19)-COUNTIF(Q:Q,A19)</f>
        <v>52</v>
      </c>
      <c r="F19" s="43">
        <f t="shared" si="7"/>
        <v>6.217948717948717E-3</v>
      </c>
      <c r="G19">
        <f t="shared" si="8"/>
        <v>1916719.9999999998</v>
      </c>
      <c r="H19">
        <f t="shared" si="4"/>
        <v>36860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VLOOKUP(L19,tables_351101!B:C,2,FALSE)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0.29099999999999998</v>
      </c>
      <c r="C20" s="88">
        <f t="shared" si="2"/>
        <v>0</v>
      </c>
      <c r="D20" s="76">
        <f t="shared" si="3"/>
        <v>0.29099999999999998</v>
      </c>
      <c r="E20">
        <f>COUNTIF(tables_351101!C:C,input_351101!A20)-COUNTIF(Q:Q,A20)</f>
        <v>52</v>
      </c>
      <c r="F20" s="43">
        <f t="shared" si="7"/>
        <v>5.5961538461538462E-3</v>
      </c>
      <c r="G20">
        <f t="shared" si="8"/>
        <v>1725048</v>
      </c>
      <c r="H20">
        <f t="shared" si="4"/>
        <v>33174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VLOOKUP(L20,tables_351101!B:C,2,FALSE)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3.2333333333333332E-2</v>
      </c>
      <c r="C21" s="88">
        <f t="shared" si="2"/>
        <v>0</v>
      </c>
      <c r="D21" s="76">
        <f t="shared" si="3"/>
        <v>3.2333333333333332E-2</v>
      </c>
      <c r="E21">
        <f>COUNTIF(tables_351101!C:C,input_351101!A21)-COUNTIF(Q:Q,A21)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6.2948717948717939E-2</v>
      </c>
      <c r="C22" s="88">
        <f t="shared" si="2"/>
        <v>0</v>
      </c>
      <c r="D22" s="76">
        <f t="shared" si="3"/>
        <v>6.2948717948717939E-2</v>
      </c>
      <c r="E22">
        <f>COUNTIF(tables_351101!C:C,input_351101!A22)-COUNTIF(Q:Q,A22)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1.1666666666666672E-2</v>
      </c>
      <c r="C23" s="88">
        <f t="shared" si="2"/>
        <v>0</v>
      </c>
      <c r="D23" s="76">
        <f t="shared" si="3"/>
        <v>1.1666666666666672E-2</v>
      </c>
      <c r="E23">
        <f>COUNTIF(tables_351101!C:C,input_351101!A23)-COUNTIF(Q:Q,A23)</f>
        <v>6</v>
      </c>
      <c r="F23" s="43">
        <f t="shared" si="7"/>
        <v>1.9444444444444455E-3</v>
      </c>
      <c r="G23">
        <f t="shared" si="8"/>
        <v>69160.000000000029</v>
      </c>
      <c r="H23">
        <f t="shared" si="4"/>
        <v>11526.666670000001</v>
      </c>
      <c r="I23">
        <f t="shared" si="5"/>
        <v>0.66667000000052212</v>
      </c>
      <c r="J23">
        <f t="shared" si="6"/>
        <v>1.499992500036325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1.5789473684210526E-3</v>
      </c>
      <c r="C24" s="88">
        <f t="shared" si="2"/>
        <v>0</v>
      </c>
      <c r="D24" s="76">
        <f t="shared" si="3"/>
        <v>1.5789473684210526E-3</v>
      </c>
      <c r="E24">
        <f>COUNTIF(tables_351101!C:C,input_351101!A24)-COUNTIF(Q:Q,A24)</f>
        <v>4</v>
      </c>
      <c r="F24" s="43">
        <f t="shared" si="7"/>
        <v>3.9473684210526315E-4</v>
      </c>
      <c r="G24">
        <f t="shared" si="8"/>
        <v>9360</v>
      </c>
      <c r="H24">
        <f t="shared" si="4"/>
        <v>2340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1.4210526315789475E-3</v>
      </c>
      <c r="C25" s="88">
        <f t="shared" si="2"/>
        <v>0</v>
      </c>
      <c r="D25" s="76">
        <f t="shared" si="3"/>
        <v>1.4210526315789475E-3</v>
      </c>
      <c r="E25">
        <f>COUNTIF(tables_351101!C:C,input_351101!A25)-COUNTIF(Q:Q,A25)</f>
        <v>4</v>
      </c>
      <c r="F25" s="43">
        <f t="shared" si="7"/>
        <v>3.5526315789473687E-4</v>
      </c>
      <c r="G25">
        <f t="shared" si="8"/>
        <v>8424</v>
      </c>
      <c r="H25">
        <f t="shared" si="4"/>
        <v>2106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88">
        <f t="shared" si="2"/>
        <v>0</v>
      </c>
      <c r="D26" s="76">
        <f t="shared" si="3"/>
        <v>1.5789473684210527E-4</v>
      </c>
      <c r="E26">
        <f>COUNTIF(tables_351101!C:C,input_351101!A26)-COUNTIF(Q:Q,A26)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88">
        <f t="shared" si="2"/>
        <v>0</v>
      </c>
      <c r="D27" s="76">
        <f t="shared" ref="D27:D29" si="9">B27-C27</f>
        <v>2.0999999999999998E-2</v>
      </c>
      <c r="E27">
        <f>COUNTIF(tables_351101!C:C,input_351101!A27)-COUNTIF(Q:Q,A27)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ref="H27:H29" si="10">IFERROR(ROUND(G27/E27,5),0)</f>
        <v>4446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88">
        <f t="shared" si="2"/>
        <v>0</v>
      </c>
      <c r="D28" s="76">
        <f t="shared" si="9"/>
        <v>1.1052631578947368E-3</v>
      </c>
      <c r="E28">
        <f>COUNTIF(tables_351101!C:C,input_351101!A28)-COUNTIF(Q:Q,A28)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10"/>
        <v>234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88">
        <f t="shared" si="2"/>
        <v>0</v>
      </c>
      <c r="D29" s="76">
        <f t="shared" si="9"/>
        <v>4.7368421052631574E-3</v>
      </c>
      <c r="E29">
        <f>COUNTIF(tables_351101!C:C,input_351101!A29)-COUNTIF(Q:Q,A29)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10"/>
        <v>4680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8">
        <f>SUMIF(Q:Q,A30,N:N)</f>
        <v>0</v>
      </c>
      <c r="D30" s="76">
        <f t="shared" ref="D30:D31" si="12">B30-C30</f>
        <v>0</v>
      </c>
      <c r="E30">
        <f>COUNTIF(tables_351101!C:C,input_351101!A30)-COUNTIF(Q:Q,A30)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8">
        <f>SUMIF(Q:Q,A31,N:N)</f>
        <v>0</v>
      </c>
      <c r="D31" s="76">
        <f t="shared" si="12"/>
        <v>0</v>
      </c>
      <c r="E31">
        <f>COUNTIF(tables_351101!C:C,input_351101!A31)-COUNTIF(Q:Q,A31)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ref="D32" si="15">B32-C32</f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SUMIF(tables_351101!C:C,input_351101!A40,tables_351101!O:O)</f>
        <v>1916720</v>
      </c>
      <c r="C40" s="54">
        <f t="shared" ref="C40:C46" ca="1" si="16">B40/B$47</f>
        <v>0.48347324239244494</v>
      </c>
      <c r="E40">
        <v>3</v>
      </c>
      <c r="F40">
        <f ca="1">SUMIF(tables_351101!J:J,input_351101!E40,tables_351101!O:O)</f>
        <v>2964000</v>
      </c>
      <c r="G40">
        <f ca="1">F40/A36</f>
        <v>0.5</v>
      </c>
    </row>
    <row r="41" spans="1:7" x14ac:dyDescent="0.15">
      <c r="A41" s="33" t="s">
        <v>107</v>
      </c>
      <c r="B41">
        <f ca="1">SUMIF(tables_351101!C:C,input_351101!A41,tables_351101!O:O)</f>
        <v>1725048</v>
      </c>
      <c r="C41" s="54">
        <f t="shared" ca="1" si="16"/>
        <v>0.4351259181532004</v>
      </c>
      <c r="E41">
        <v>4</v>
      </c>
      <c r="F41">
        <f ca="1">SUMIF(tables_351101!J:J,input_351101!E41,tables_351101!O:O)</f>
        <v>2667599.9999799989</v>
      </c>
      <c r="G41">
        <f ca="1">F41/A36</f>
        <v>0.44999999999662599</v>
      </c>
    </row>
    <row r="42" spans="1:7" x14ac:dyDescent="0.15">
      <c r="A42" s="33" t="s">
        <v>112</v>
      </c>
      <c r="B42">
        <f ca="1">SUMIF(tables_351101!C:C,input_351101!A42,tables_351101!O:O)</f>
        <v>124488</v>
      </c>
      <c r="C42" s="54">
        <f t="shared" ca="1" si="16"/>
        <v>3.1400839454354672E-2</v>
      </c>
      <c r="E42">
        <v>5</v>
      </c>
      <c r="F42">
        <f ca="1">SUMIF(tables_351101!J:J,input_351101!E42,tables_351101!O:O)</f>
        <v>296400.00002000004</v>
      </c>
      <c r="G42">
        <f ca="1">F42/A36</f>
        <v>5.0000000003373825E-2</v>
      </c>
    </row>
    <row r="43" spans="1:7" x14ac:dyDescent="0.15">
      <c r="A43" s="33" t="s">
        <v>113</v>
      </c>
      <c r="B43">
        <f>SUMIF(tables_351101!C:C,input_351101!A43,tables_351101!O:O)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SUMIF(tables_351101!C:C,input_351101!A44,tables_351101!O:O)</f>
        <v>191672</v>
      </c>
      <c r="C44" s="54">
        <f t="shared" ca="1" si="16"/>
        <v>4.8347324239244489E-2</v>
      </c>
      <c r="E44" t="s">
        <v>104</v>
      </c>
      <c r="F44" s="55"/>
    </row>
    <row r="45" spans="1:7" x14ac:dyDescent="0.15">
      <c r="A45" s="33" t="s">
        <v>114</v>
      </c>
      <c r="B45">
        <f ca="1">SUMIF(tables_351101!C:C,input_351101!A45,tables_351101!O:O)</f>
        <v>6552</v>
      </c>
      <c r="C45" s="54">
        <f t="shared" ca="1" si="16"/>
        <v>1.6526757607555089E-3</v>
      </c>
      <c r="E45" t="s">
        <v>210</v>
      </c>
      <c r="F45" s="55">
        <f ca="1">SUMIF(tables_351101!I:I,input_351101!E45,tables_351101!P:P)</f>
        <v>0.24634817813765203</v>
      </c>
    </row>
    <row r="46" spans="1:7" x14ac:dyDescent="0.15">
      <c r="A46" s="33" t="s">
        <v>115</v>
      </c>
      <c r="B46">
        <f>SUMIF(tables_351101!C:C,input_351101!A46,tables_351101!O:O)</f>
        <v>0</v>
      </c>
      <c r="C46" s="54">
        <f t="shared" ca="1" si="16"/>
        <v>0</v>
      </c>
      <c r="E46" t="s">
        <v>211</v>
      </c>
      <c r="F46" s="55">
        <f ca="1">SUMIF(tables_351101!I:I,input_351101!E46,tables_351101!P:P)</f>
        <v>0.21377867746288792</v>
      </c>
    </row>
    <row r="47" spans="1:7" x14ac:dyDescent="0.15">
      <c r="A47" s="39" t="s">
        <v>60</v>
      </c>
      <c r="B47">
        <f ca="1">SUM(B40:B46)</f>
        <v>3964480</v>
      </c>
      <c r="C47" s="55">
        <f ca="1">SUM(C40:C46)</f>
        <v>1</v>
      </c>
      <c r="E47" t="s">
        <v>212</v>
      </c>
      <c r="F47" s="55">
        <f ca="1">SUMIF(tables_351101!I:I,input_351101!E47,tables_351101!P:P)</f>
        <v>0.5106612685560058</v>
      </c>
    </row>
    <row r="48" spans="1:7" x14ac:dyDescent="0.15">
      <c r="E48" t="s">
        <v>213</v>
      </c>
      <c r="F48" s="55">
        <f ca="1">SUMIF(tables_351101!I:I,input_351101!E48,tables_351101!P:P)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3"/>
  <sheetViews>
    <sheetView showGridLines="0" topLeftCell="B1" zoomScale="75" zoomScaleNormal="75" zoomScalePageLayoutView="75" workbookViewId="0">
      <pane ySplit="1" topLeftCell="A270" activePane="bottomLeft" state="frozen"/>
      <selection activeCell="E10" sqref="E10"/>
      <selection pane="bottomLeft" activeCell="E10" sqref="E1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input_351101!A$2</f>
        <v>351101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IFERROR(VLOOKUP(B2,input_351101!L:R,7,FALSE),VLOOKUP(tables_351101!C2,input_351101!A:H,8,FALSE))</f>
        <v>51896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input_351101!A$2</f>
        <v>351101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IFERROR(VLOOKUP(B3,input_351101!L:R,7,FALSE),VLOOKUP(tables_351101!C3,input_351101!A:H,8,FALSE))</f>
        <v>21824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input_351101!A$2</f>
        <v>351101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IFERROR(VLOOKUP(B4,input_351101!L:R,7,FALSE),VLOOKUP(tables_351101!C4,input_351101!A:H,8,FALSE))</f>
        <v>51896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input_351101!A$2</f>
        <v>351101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IFERROR(VLOOKUP(B5,input_351101!L:R,7,FALSE),VLOOKUP(tables_351101!C5,input_351101!A:H,8,FALSE))</f>
        <v>21824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input_351101!A$2</f>
        <v>351101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IFERROR(VLOOKUP(B6,input_351101!L:R,7,FALSE),VLOOKUP(tables_351101!C6,input_351101!A:H,8,FALSE))</f>
        <v>51896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input_351101!A$2</f>
        <v>351101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IFERROR(VLOOKUP(B7,input_351101!L:R,7,FALSE),VLOOKUP(tables_351101!C7,input_351101!A:H,8,FALSE))</f>
        <v>21824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input_351101!A$2</f>
        <v>351101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IFERROR(VLOOKUP(B8,input_351101!L:R,7,FALSE),VLOOKUP(tables_351101!C8,input_351101!A:H,8,FALSE))</f>
        <v>51896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input_351101!A$2</f>
        <v>351101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IFERROR(VLOOKUP(B9,input_351101!L:R,7,FALSE),VLOOKUP(tables_351101!C9,input_351101!A:H,8,FALSE))</f>
        <v>21824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input_351101!A$2</f>
        <v>351101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IFERROR(VLOOKUP(B10,input_351101!L:R,7,FALSE),VLOOKUP(tables_351101!C10,input_351101!A:H,8,FALSE))</f>
        <v>51896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input_351101!A$2</f>
        <v>351101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IFERROR(VLOOKUP(B11,input_351101!L:R,7,FALSE),VLOOKUP(tables_351101!C11,input_351101!A:H,8,FALSE))</f>
        <v>21824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input_351101!A$2</f>
        <v>351101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IFERROR(VLOOKUP(B12,input_351101!L:R,7,FALSE),VLOOKUP(tables_351101!C12,input_351101!A:H,8,FALSE))</f>
        <v>51896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input_351101!A$2</f>
        <v>351101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IFERROR(VLOOKUP(B13,input_351101!L:R,7,FALSE),VLOOKUP(tables_351101!C13,input_351101!A:H,8,FALSE))</f>
        <v>21824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input_351101!A$2</f>
        <v>351101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IFERROR(VLOOKUP(B14,input_351101!L:R,7,FALSE),VLOOKUP(tables_351101!C14,input_351101!A:H,8,FALSE))</f>
        <v>51896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input_351101!A$2</f>
        <v>351101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IFERROR(VLOOKUP(B15,input_351101!L:R,7,FALSE),VLOOKUP(tables_351101!C15,input_351101!A:H,8,FALSE))</f>
        <v>21824</v>
      </c>
      <c r="P15" s="46">
        <f t="shared" ref="P15:P78" ca="1" si="2">O15/SUM(O:O)</f>
        <v>3.6815114709851551E-3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input_351101!A$2</f>
        <v>351101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IFERROR(VLOOKUP(B16,input_351101!L:R,7,FALSE),VLOOKUP(tables_351101!C16,input_351101!A:H,8,FALSE))</f>
        <v>51896</v>
      </c>
      <c r="P16" s="46">
        <f t="shared" ca="1" si="2"/>
        <v>8.7543859649122802E-3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input_351101!A$2</f>
        <v>351101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IFERROR(VLOOKUP(B17,input_351101!L:R,7,FALSE),VLOOKUP(tables_351101!C17,input_351101!A:H,8,FALSE))</f>
        <v>21824</v>
      </c>
      <c r="P17" s="46">
        <f t="shared" ca="1" si="2"/>
        <v>3.6815114709851551E-3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input_351101!A$2</f>
        <v>351101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IFERROR(VLOOKUP(B18,input_351101!L:R,7,FALSE),VLOOKUP(tables_351101!C18,input_351101!A:H,8,FALSE))</f>
        <v>51896</v>
      </c>
      <c r="P18" s="46">
        <f t="shared" ca="1" si="2"/>
        <v>8.7543859649122802E-3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input_351101!A$2</f>
        <v>351101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IFERROR(VLOOKUP(B19,input_351101!L:R,7,FALSE),VLOOKUP(tables_351101!C19,input_351101!A:H,8,FALSE))</f>
        <v>21824</v>
      </c>
      <c r="P19" s="46">
        <f t="shared" ca="1" si="2"/>
        <v>3.6815114709851551E-3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input_351101!A$2</f>
        <v>351101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IFERROR(VLOOKUP(B20,input_351101!L:R,7,FALSE),VLOOKUP(tables_351101!C20,input_351101!A:H,8,FALSE))</f>
        <v>51896</v>
      </c>
      <c r="P20" s="46">
        <f t="shared" ca="1" si="2"/>
        <v>8.7543859649122802E-3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input_351101!A$2</f>
        <v>351101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IFERROR(VLOOKUP(B21,input_351101!L:R,7,FALSE),VLOOKUP(tables_351101!C21,input_351101!A:H,8,FALSE))</f>
        <v>21824</v>
      </c>
      <c r="P21" s="46">
        <f t="shared" ca="1" si="2"/>
        <v>3.6815114709851551E-3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input_351101!A$2</f>
        <v>351101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IFERROR(VLOOKUP(B22,input_351101!L:R,7,FALSE),VLOOKUP(tables_351101!C22,input_351101!A:H,8,FALSE))</f>
        <v>51896</v>
      </c>
      <c r="P22" s="46">
        <f t="shared" ca="1" si="2"/>
        <v>8.7543859649122802E-3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input_351101!A$2</f>
        <v>351101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IFERROR(VLOOKUP(B23,input_351101!L:R,7,FALSE),VLOOKUP(tables_351101!C23,input_351101!A:H,8,FALSE))</f>
        <v>21824</v>
      </c>
      <c r="P23" s="46">
        <f t="shared" ca="1" si="2"/>
        <v>3.6815114709851551E-3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input_351101!A$2</f>
        <v>351101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IFERROR(VLOOKUP(B24,input_351101!L:R,7,FALSE),VLOOKUP(tables_351101!C24,input_351101!A:H,8,FALSE))</f>
        <v>51896</v>
      </c>
      <c r="P24" s="46">
        <f t="shared" ca="1" si="2"/>
        <v>8.7543859649122802E-3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input_351101!A$2</f>
        <v>351101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IFERROR(VLOOKUP(B25,input_351101!L:R,7,FALSE),VLOOKUP(tables_351101!C25,input_351101!A:H,8,FALSE))</f>
        <v>21824</v>
      </c>
      <c r="P25" s="46">
        <f t="shared" ca="1" si="2"/>
        <v>3.6815114709851551E-3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input_351101!A$2</f>
        <v>351101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IFERROR(VLOOKUP(B26,input_351101!L:R,7,FALSE),VLOOKUP(tables_351101!C26,input_351101!A:H,8,FALSE))</f>
        <v>51896</v>
      </c>
      <c r="P26" s="46">
        <f t="shared" ca="1" si="2"/>
        <v>8.7543859649122802E-3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input_351101!A$2</f>
        <v>351101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IFERROR(VLOOKUP(B27,input_351101!L:R,7,FALSE),VLOOKUP(tables_351101!C27,input_351101!A:H,8,FALSE))</f>
        <v>21824</v>
      </c>
      <c r="P27" s="46">
        <f t="shared" ca="1" si="2"/>
        <v>3.6815114709851551E-3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input_351101!A$2</f>
        <v>351101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IFERROR(VLOOKUP(B28,input_351101!L:R,7,FALSE),VLOOKUP(tables_351101!C28,input_351101!A:H,8,FALSE))</f>
        <v>51896</v>
      </c>
      <c r="P28" s="46">
        <f t="shared" ca="1" si="2"/>
        <v>8.7543859649122802E-3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input_351101!A$2</f>
        <v>351101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IFERROR(VLOOKUP(B29,input_351101!L:R,7,FALSE),VLOOKUP(tables_351101!C29,input_351101!A:H,8,FALSE))</f>
        <v>21824</v>
      </c>
      <c r="P29" s="46">
        <f t="shared" ca="1" si="2"/>
        <v>3.6815114709851551E-3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input_351101!A$2</f>
        <v>351101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IFERROR(VLOOKUP(B30,input_351101!L:R,7,FALSE),VLOOKUP(tables_351101!C30,input_351101!A:H,8,FALSE))</f>
        <v>51896</v>
      </c>
      <c r="P30" s="46">
        <f t="shared" ca="1" si="2"/>
        <v>8.7543859649122802E-3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input_351101!A$2</f>
        <v>351101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IFERROR(VLOOKUP(B31,input_351101!L:R,7,FALSE),VLOOKUP(tables_351101!C31,input_351101!A:H,8,FALSE))</f>
        <v>21824</v>
      </c>
      <c r="P31" s="46">
        <f t="shared" ca="1" si="2"/>
        <v>3.6815114709851551E-3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input_351101!A$2</f>
        <v>351101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IFERROR(VLOOKUP(B32,input_351101!L:R,7,FALSE),VLOOKUP(tables_351101!C32,input_351101!A:H,8,FALSE))</f>
        <v>51896</v>
      </c>
      <c r="P32" s="46">
        <f t="shared" ca="1" si="2"/>
        <v>8.7543859649122802E-3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input_351101!A$2</f>
        <v>351101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IFERROR(VLOOKUP(B33,input_351101!L:R,7,FALSE),VLOOKUP(tables_351101!C33,input_351101!A:H,8,FALSE))</f>
        <v>21824</v>
      </c>
      <c r="P33" s="46">
        <f t="shared" ca="1" si="2"/>
        <v>3.6815114709851551E-3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input_351101!A$2</f>
        <v>351101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IFERROR(VLOOKUP(B34,input_351101!L:R,7,FALSE),VLOOKUP(tables_351101!C34,input_351101!A:H,8,FALSE))</f>
        <v>51896</v>
      </c>
      <c r="P34" s="46">
        <f t="shared" ca="1" si="2"/>
        <v>8.7543859649122802E-3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input_351101!A$2</f>
        <v>351101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IFERROR(VLOOKUP(B35,input_351101!L:R,7,FALSE),VLOOKUP(tables_351101!C35,input_351101!A:H,8,FALSE))</f>
        <v>21824</v>
      </c>
      <c r="P35" s="46">
        <f t="shared" ca="1" si="2"/>
        <v>3.6815114709851551E-3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input_351101!A$2</f>
        <v>351101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IFERROR(VLOOKUP(B36,input_351101!L:R,7,FALSE),VLOOKUP(tables_351101!C36,input_351101!A:H,8,FALSE))</f>
        <v>51896</v>
      </c>
      <c r="P36" s="46">
        <f t="shared" ca="1" si="2"/>
        <v>8.7543859649122802E-3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input_351101!A$2</f>
        <v>351101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IFERROR(VLOOKUP(B37,input_351101!L:R,7,FALSE),VLOOKUP(tables_351101!C37,input_351101!A:H,8,FALSE))</f>
        <v>21824</v>
      </c>
      <c r="P37" s="46">
        <f t="shared" ca="1" si="2"/>
        <v>3.6815114709851551E-3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input_351101!A$2</f>
        <v>351101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IFERROR(VLOOKUP(B38,input_351101!L:R,7,FALSE),VLOOKUP(tables_351101!C38,input_351101!A:H,8,FALSE))</f>
        <v>51896</v>
      </c>
      <c r="P38" s="46">
        <f t="shared" ca="1" si="2"/>
        <v>8.7543859649122802E-3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input_351101!A$2</f>
        <v>351101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IFERROR(VLOOKUP(B39,input_351101!L:R,7,FALSE),VLOOKUP(tables_351101!C39,input_351101!A:H,8,FALSE))</f>
        <v>21824</v>
      </c>
      <c r="P39" s="46">
        <f t="shared" ca="1" si="2"/>
        <v>3.6815114709851551E-3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input_351101!A$2</f>
        <v>351101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IFERROR(VLOOKUP(B40,input_351101!L:R,7,FALSE),VLOOKUP(tables_351101!C40,input_351101!A:H,8,FALSE))</f>
        <v>51896</v>
      </c>
      <c r="P40" s="46">
        <f t="shared" ca="1" si="2"/>
        <v>8.7543859649122802E-3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input_351101!A$2</f>
        <v>351101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IFERROR(VLOOKUP(B41,input_351101!L:R,7,FALSE),VLOOKUP(tables_351101!C41,input_351101!A:H,8,FALSE))</f>
        <v>21824</v>
      </c>
      <c r="P41" s="46">
        <f t="shared" ca="1" si="2"/>
        <v>3.6815114709851551E-3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input_351101!A$2</f>
        <v>351101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IFERROR(VLOOKUP(B42,input_351101!L:R,7,FALSE),VLOOKUP(tables_351101!C42,input_351101!A:H,8,FALSE))</f>
        <v>2340</v>
      </c>
      <c r="P42" s="46">
        <f t="shared" ca="1" si="2"/>
        <v>3.9473684210526315E-4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input_351101!A$2</f>
        <v>351101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IFERROR(VLOOKUP(B43,input_351101!L:R,7,FALSE),VLOOKUP(tables_351101!C43,input_351101!A:H,8,FALSE))</f>
        <v>2106</v>
      </c>
      <c r="P43" s="46">
        <f t="shared" ca="1" si="2"/>
        <v>3.5526315789473687E-4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input_351101!A$2</f>
        <v>351101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IFERROR(VLOOKUP(B44,input_351101!L:R,7,FALSE),VLOOKUP(tables_351101!C44,input_351101!A:H,8,FALSE))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input_351101!A$2</f>
        <v>351101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IFERROR(VLOOKUP(B45,input_351101!L:R,7,FALSE),VLOOKUP(tables_351101!C45,input_351101!A:H,8,FALSE))</f>
        <v>2340</v>
      </c>
      <c r="P45" s="46">
        <f t="shared" ca="1" si="2"/>
        <v>3.9473684210526315E-4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input_351101!A$2</f>
        <v>351101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IFERROR(VLOOKUP(B46,input_351101!L:R,7,FALSE),VLOOKUP(tables_351101!C46,input_351101!A:H,8,FALSE))</f>
        <v>2106</v>
      </c>
      <c r="P46" s="46">
        <f t="shared" ca="1" si="2"/>
        <v>3.5526315789473687E-4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input_351101!A$2</f>
        <v>351101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IFERROR(VLOOKUP(B47,input_351101!L:R,7,FALSE),VLOOKUP(tables_351101!C47,input_351101!A:H,8,FALSE))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input_351101!A$2</f>
        <v>351101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IFERROR(VLOOKUP(B48,input_351101!L:R,7,FALSE),VLOOKUP(tables_351101!C48,input_351101!A:H,8,FALSE))</f>
        <v>2340</v>
      </c>
      <c r="P48" s="46">
        <f t="shared" ca="1" si="2"/>
        <v>3.9473684210526315E-4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input_351101!A$2</f>
        <v>351101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IFERROR(VLOOKUP(B49,input_351101!L:R,7,FALSE),VLOOKUP(tables_351101!C49,input_351101!A:H,8,FALSE))</f>
        <v>2106</v>
      </c>
      <c r="P49" s="46">
        <f t="shared" ca="1" si="2"/>
        <v>3.5526315789473687E-4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input_351101!A$2</f>
        <v>351101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IFERROR(VLOOKUP(B50,input_351101!L:R,7,FALSE),VLOOKUP(tables_351101!C50,input_351101!A:H,8,FALSE))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input_351101!A$2</f>
        <v>351101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IFERROR(VLOOKUP(B51,input_351101!L:R,7,FALSE),VLOOKUP(tables_351101!C51,input_351101!A:H,8,FALSE))</f>
        <v>36860</v>
      </c>
      <c r="P51" s="46">
        <f t="shared" ca="1" si="2"/>
        <v>6.2179487179487179E-3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input_351101!A$2</f>
        <v>351101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IFERROR(VLOOKUP(B52,input_351101!L:R,7,FALSE),VLOOKUP(tables_351101!C52,input_351101!A:H,8,FALSE))</f>
        <v>33174</v>
      </c>
      <c r="P52" s="46">
        <f t="shared" ca="1" si="2"/>
        <v>5.5961538461538462E-3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input_351101!A$2</f>
        <v>351101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IFERROR(VLOOKUP(B53,input_351101!L:R,7,FALSE),VLOOKUP(tables_351101!C53,input_351101!A:H,8,FALSE))</f>
        <v>3686</v>
      </c>
      <c r="P53" s="46">
        <f t="shared" ca="1" si="2"/>
        <v>6.2179487179487181E-4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input_351101!A$2</f>
        <v>351101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IFERROR(VLOOKUP(B54,input_351101!L:R,7,FALSE),VLOOKUP(tables_351101!C54,input_351101!A:H,8,FALSE))</f>
        <v>36860</v>
      </c>
      <c r="P54" s="46">
        <f t="shared" ca="1" si="2"/>
        <v>6.2179487179487179E-3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input_351101!A$2</f>
        <v>351101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IFERROR(VLOOKUP(B55,input_351101!L:R,7,FALSE),VLOOKUP(tables_351101!C55,input_351101!A:H,8,FALSE))</f>
        <v>33174</v>
      </c>
      <c r="P55" s="46">
        <f t="shared" ca="1" si="2"/>
        <v>5.5961538461538462E-3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input_351101!A$2</f>
        <v>351101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IFERROR(VLOOKUP(B56,input_351101!L:R,7,FALSE),VLOOKUP(tables_351101!C56,input_351101!A:H,8,FALSE))</f>
        <v>3686</v>
      </c>
      <c r="P56" s="46">
        <f t="shared" ca="1" si="2"/>
        <v>6.2179487179487181E-4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input_351101!A$2</f>
        <v>351101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IFERROR(VLOOKUP(B57,input_351101!L:R,7,FALSE),VLOOKUP(tables_351101!C57,input_351101!A:H,8,FALSE))</f>
        <v>36860</v>
      </c>
      <c r="P57" s="46">
        <f t="shared" ca="1" si="2"/>
        <v>6.2179487179487179E-3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input_351101!A$2</f>
        <v>351101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IFERROR(VLOOKUP(B58,input_351101!L:R,7,FALSE),VLOOKUP(tables_351101!C58,input_351101!A:H,8,FALSE))</f>
        <v>33174</v>
      </c>
      <c r="P58" s="46">
        <f t="shared" ca="1" si="2"/>
        <v>5.5961538461538462E-3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input_351101!A$2</f>
        <v>351101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IFERROR(VLOOKUP(B59,input_351101!L:R,7,FALSE),VLOOKUP(tables_351101!C59,input_351101!A:H,8,FALSE))</f>
        <v>3686</v>
      </c>
      <c r="P59" s="46">
        <f t="shared" ca="1" si="2"/>
        <v>6.2179487179487181E-4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input_351101!A$2</f>
        <v>351101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IFERROR(VLOOKUP(B60,input_351101!L:R,7,FALSE),VLOOKUP(tables_351101!C60,input_351101!A:H,8,FALSE))</f>
        <v>36860</v>
      </c>
      <c r="P60" s="46">
        <f t="shared" ca="1" si="2"/>
        <v>6.2179487179487179E-3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input_351101!A$2</f>
        <v>351101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IFERROR(VLOOKUP(B61,input_351101!L:R,7,FALSE),VLOOKUP(tables_351101!C61,input_351101!A:H,8,FALSE))</f>
        <v>33174</v>
      </c>
      <c r="P61" s="46">
        <f t="shared" ca="1" si="2"/>
        <v>5.5961538461538462E-3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input_351101!A$2</f>
        <v>351101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IFERROR(VLOOKUP(B62,input_351101!L:R,7,FALSE),VLOOKUP(tables_351101!C62,input_351101!A:H,8,FALSE))</f>
        <v>3686</v>
      </c>
      <c r="P62" s="46">
        <f t="shared" ca="1" si="2"/>
        <v>6.2179487179487181E-4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input_351101!A$2</f>
        <v>351101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IFERROR(VLOOKUP(B63,input_351101!L:R,7,FALSE),VLOOKUP(tables_351101!C63,input_351101!A:H,8,FALSE))</f>
        <v>36860</v>
      </c>
      <c r="P63" s="46">
        <f t="shared" ca="1" si="2"/>
        <v>6.2179487179487179E-3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input_351101!A$2</f>
        <v>351101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IFERROR(VLOOKUP(B64,input_351101!L:R,7,FALSE),VLOOKUP(tables_351101!C64,input_351101!A:H,8,FALSE))</f>
        <v>33174</v>
      </c>
      <c r="P64" s="46">
        <f t="shared" ca="1" si="2"/>
        <v>5.5961538461538462E-3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input_351101!A$2</f>
        <v>351101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IFERROR(VLOOKUP(B65,input_351101!L:R,7,FALSE),VLOOKUP(tables_351101!C65,input_351101!A:H,8,FALSE))</f>
        <v>3686</v>
      </c>
      <c r="P65" s="46">
        <f t="shared" ca="1" si="2"/>
        <v>6.2179487179487181E-4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input_351101!A$2</f>
        <v>351101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IFERROR(VLOOKUP(B66,input_351101!L:R,7,FALSE),VLOOKUP(tables_351101!C66,input_351101!A:H,8,FALSE))</f>
        <v>36860</v>
      </c>
      <c r="P66" s="46">
        <f t="shared" ca="1" si="2"/>
        <v>6.2179487179487179E-3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input_351101!A$2</f>
        <v>351101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IFERROR(VLOOKUP(B67,input_351101!L:R,7,FALSE),VLOOKUP(tables_351101!C67,input_351101!A:H,8,FALSE))</f>
        <v>33174</v>
      </c>
      <c r="P67" s="46">
        <f t="shared" ca="1" si="2"/>
        <v>5.5961538461538462E-3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input_351101!A$2</f>
        <v>351101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IFERROR(VLOOKUP(B68,input_351101!L:R,7,FALSE),VLOOKUP(tables_351101!C68,input_351101!A:H,8,FALSE))</f>
        <v>3686</v>
      </c>
      <c r="P68" s="46">
        <f t="shared" ca="1" si="2"/>
        <v>6.2179487179487181E-4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input_351101!A$2</f>
        <v>351101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IFERROR(VLOOKUP(B69,input_351101!L:R,7,FALSE),VLOOKUP(tables_351101!C69,input_351101!A:H,8,FALSE))</f>
        <v>36860</v>
      </c>
      <c r="P69" s="46">
        <f t="shared" ca="1" si="2"/>
        <v>6.2179487179487179E-3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input_351101!A$2</f>
        <v>351101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IFERROR(VLOOKUP(B70,input_351101!L:R,7,FALSE),VLOOKUP(tables_351101!C70,input_351101!A:H,8,FALSE))</f>
        <v>33174</v>
      </c>
      <c r="P70" s="46">
        <f t="shared" ca="1" si="2"/>
        <v>5.5961538461538462E-3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input_351101!A$2</f>
        <v>351101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IFERROR(VLOOKUP(B71,input_351101!L:R,7,FALSE),VLOOKUP(tables_351101!C71,input_351101!A:H,8,FALSE))</f>
        <v>3686</v>
      </c>
      <c r="P71" s="46">
        <f t="shared" ca="1" si="2"/>
        <v>6.2179487179487181E-4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input_351101!A$2</f>
        <v>351101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IFERROR(VLOOKUP(B72,input_351101!L:R,7,FALSE),VLOOKUP(tables_351101!C72,input_351101!A:H,8,FALSE))</f>
        <v>36860</v>
      </c>
      <c r="P72" s="46">
        <f t="shared" ca="1" si="2"/>
        <v>6.2179487179487179E-3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input_351101!A$2</f>
        <v>351101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IFERROR(VLOOKUP(B73,input_351101!L:R,7,FALSE),VLOOKUP(tables_351101!C73,input_351101!A:H,8,FALSE))</f>
        <v>33174</v>
      </c>
      <c r="P73" s="46">
        <f t="shared" ca="1" si="2"/>
        <v>5.5961538461538462E-3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input_351101!A$2</f>
        <v>351101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IFERROR(VLOOKUP(B74,input_351101!L:R,7,FALSE),VLOOKUP(tables_351101!C74,input_351101!A:H,8,FALSE))</f>
        <v>3686</v>
      </c>
      <c r="P74" s="46">
        <f t="shared" ca="1" si="2"/>
        <v>6.2179487179487181E-4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input_351101!A$2</f>
        <v>351101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IFERROR(VLOOKUP(B75,input_351101!L:R,7,FALSE),VLOOKUP(tables_351101!C75,input_351101!A:H,8,FALSE))</f>
        <v>36860</v>
      </c>
      <c r="P75" s="46">
        <f t="shared" ca="1" si="2"/>
        <v>6.2179487179487179E-3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input_351101!A$2</f>
        <v>351101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IFERROR(VLOOKUP(B76,input_351101!L:R,7,FALSE),VLOOKUP(tables_351101!C76,input_351101!A:H,8,FALSE))</f>
        <v>33174</v>
      </c>
      <c r="P76" s="46">
        <f t="shared" ca="1" si="2"/>
        <v>5.5961538461538462E-3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input_351101!A$2</f>
        <v>351101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IFERROR(VLOOKUP(B77,input_351101!L:R,7,FALSE),VLOOKUP(tables_351101!C77,input_351101!A:H,8,FALSE))</f>
        <v>3686</v>
      </c>
      <c r="P77" s="46">
        <f t="shared" ca="1" si="2"/>
        <v>6.2179487179487181E-4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input_351101!A$2</f>
        <v>351101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IFERROR(VLOOKUP(B78,input_351101!L:R,7,FALSE),VLOOKUP(tables_351101!C78,input_351101!A:H,8,FALSE))</f>
        <v>36860</v>
      </c>
      <c r="P78" s="46">
        <f t="shared" ca="1" si="2"/>
        <v>6.2179487179487179E-3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input_351101!A$2</f>
        <v>351101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IFERROR(VLOOKUP(B79,input_351101!L:R,7,FALSE),VLOOKUP(tables_351101!C79,input_351101!A:H,8,FALSE))</f>
        <v>33174</v>
      </c>
      <c r="P79" s="46">
        <f t="shared" ref="P79:P142" ca="1" si="5">O79/SUM(O:O)</f>
        <v>5.5961538461538462E-3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input_351101!A$2</f>
        <v>351101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IFERROR(VLOOKUP(B80,input_351101!L:R,7,FALSE),VLOOKUP(tables_351101!C80,input_351101!A:H,8,FALSE))</f>
        <v>3686</v>
      </c>
      <c r="P80" s="46">
        <f t="shared" ca="1" si="5"/>
        <v>6.2179487179487181E-4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input_351101!A$2</f>
        <v>351101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IFERROR(VLOOKUP(B81,input_351101!L:R,7,FALSE),VLOOKUP(tables_351101!C81,input_351101!A:H,8,FALSE))</f>
        <v>36860</v>
      </c>
      <c r="P81" s="46">
        <f t="shared" ca="1" si="5"/>
        <v>6.2179487179487179E-3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input_351101!A$2</f>
        <v>351101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IFERROR(VLOOKUP(B82,input_351101!L:R,7,FALSE),VLOOKUP(tables_351101!C82,input_351101!A:H,8,FALSE))</f>
        <v>33174</v>
      </c>
      <c r="P82" s="46">
        <f t="shared" ca="1" si="5"/>
        <v>5.5961538461538462E-3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input_351101!A$2</f>
        <v>351101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IFERROR(VLOOKUP(B83,input_351101!L:R,7,FALSE),VLOOKUP(tables_351101!C83,input_351101!A:H,8,FALSE))</f>
        <v>3686</v>
      </c>
      <c r="P83" s="46">
        <f t="shared" ca="1" si="5"/>
        <v>6.2179487179487181E-4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input_351101!A$2</f>
        <v>351101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IFERROR(VLOOKUP(B84,input_351101!L:R,7,FALSE),VLOOKUP(tables_351101!C84,input_351101!A:H,8,FALSE))</f>
        <v>36860</v>
      </c>
      <c r="P84" s="46">
        <f t="shared" ca="1" si="5"/>
        <v>6.2179487179487179E-3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input_351101!A$2</f>
        <v>351101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IFERROR(VLOOKUP(B85,input_351101!L:R,7,FALSE),VLOOKUP(tables_351101!C85,input_351101!A:H,8,FALSE))</f>
        <v>33174</v>
      </c>
      <c r="P85" s="46">
        <f t="shared" ca="1" si="5"/>
        <v>5.5961538461538462E-3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input_351101!A$2</f>
        <v>351101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IFERROR(VLOOKUP(B86,input_351101!L:R,7,FALSE),VLOOKUP(tables_351101!C86,input_351101!A:H,8,FALSE))</f>
        <v>3686</v>
      </c>
      <c r="P86" s="46">
        <f t="shared" ca="1" si="5"/>
        <v>6.2179487179487181E-4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input_351101!A$2</f>
        <v>351101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IFERROR(VLOOKUP(B87,input_351101!L:R,7,FALSE),VLOOKUP(tables_351101!C87,input_351101!A:H,8,FALSE))</f>
        <v>36860</v>
      </c>
      <c r="P87" s="46">
        <f t="shared" ca="1" si="5"/>
        <v>6.2179487179487179E-3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input_351101!A$2</f>
        <v>351101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IFERROR(VLOOKUP(B88,input_351101!L:R,7,FALSE),VLOOKUP(tables_351101!C88,input_351101!A:H,8,FALSE))</f>
        <v>33174</v>
      </c>
      <c r="P88" s="46">
        <f t="shared" ca="1" si="5"/>
        <v>5.5961538461538462E-3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input_351101!A$2</f>
        <v>351101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IFERROR(VLOOKUP(B89,input_351101!L:R,7,FALSE),VLOOKUP(tables_351101!C89,input_351101!A:H,8,FALSE))</f>
        <v>3686</v>
      </c>
      <c r="P89" s="46">
        <f t="shared" ca="1" si="5"/>
        <v>6.2179487179487181E-4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input_351101!A$2</f>
        <v>351101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IFERROR(VLOOKUP(B90,input_351101!L:R,7,FALSE),VLOOKUP(tables_351101!C90,input_351101!A:H,8,FALSE))</f>
        <v>36860</v>
      </c>
      <c r="P90" s="46">
        <f t="shared" ca="1" si="5"/>
        <v>6.2179487179487179E-3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input_351101!A$2</f>
        <v>351101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IFERROR(VLOOKUP(B91,input_351101!L:R,7,FALSE),VLOOKUP(tables_351101!C91,input_351101!A:H,8,FALSE))</f>
        <v>33174</v>
      </c>
      <c r="P91" s="46">
        <f t="shared" ca="1" si="5"/>
        <v>5.5961538461538462E-3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input_351101!A$2</f>
        <v>351101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IFERROR(VLOOKUP(B92,input_351101!L:R,7,FALSE),VLOOKUP(tables_351101!C92,input_351101!A:H,8,FALSE))</f>
        <v>3686</v>
      </c>
      <c r="P92" s="46">
        <f t="shared" ca="1" si="5"/>
        <v>6.2179487179487181E-4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input_351101!A$2</f>
        <v>351101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IFERROR(VLOOKUP(B93,input_351101!L:R,7,FALSE),VLOOKUP(tables_351101!C93,input_351101!A:H,8,FALSE))</f>
        <v>36860</v>
      </c>
      <c r="P93" s="46">
        <f t="shared" ca="1" si="5"/>
        <v>6.2179487179487179E-3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input_351101!A$2</f>
        <v>351101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IFERROR(VLOOKUP(B94,input_351101!L:R,7,FALSE),VLOOKUP(tables_351101!C94,input_351101!A:H,8,FALSE))</f>
        <v>33174</v>
      </c>
      <c r="P94" s="46">
        <f t="shared" ca="1" si="5"/>
        <v>5.5961538461538462E-3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input_351101!A$2</f>
        <v>351101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IFERROR(VLOOKUP(B95,input_351101!L:R,7,FALSE),VLOOKUP(tables_351101!C95,input_351101!A:H,8,FALSE))</f>
        <v>3686</v>
      </c>
      <c r="P95" s="46">
        <f t="shared" ca="1" si="5"/>
        <v>6.2179487179487181E-4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input_351101!A$2</f>
        <v>351101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IFERROR(VLOOKUP(B96,input_351101!L:R,7,FALSE),VLOOKUP(tables_351101!C96,input_351101!A:H,8,FALSE))</f>
        <v>36860</v>
      </c>
      <c r="P96" s="46">
        <f t="shared" ca="1" si="5"/>
        <v>6.2179487179487179E-3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input_351101!A$2</f>
        <v>351101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IFERROR(VLOOKUP(B97,input_351101!L:R,7,FALSE),VLOOKUP(tables_351101!C97,input_351101!A:H,8,FALSE))</f>
        <v>33174</v>
      </c>
      <c r="P97" s="46">
        <f t="shared" ca="1" si="5"/>
        <v>5.5961538461538462E-3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input_351101!A$2</f>
        <v>351101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IFERROR(VLOOKUP(B98,input_351101!L:R,7,FALSE),VLOOKUP(tables_351101!C98,input_351101!A:H,8,FALSE))</f>
        <v>3686</v>
      </c>
      <c r="P98" s="46">
        <f t="shared" ca="1" si="5"/>
        <v>6.2179487179487181E-4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input_351101!A$2</f>
        <v>351101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IFERROR(VLOOKUP(B99,input_351101!L:R,7,FALSE),VLOOKUP(tables_351101!C99,input_351101!A:H,8,FALSE))</f>
        <v>36860</v>
      </c>
      <c r="P99" s="46">
        <f t="shared" ca="1" si="5"/>
        <v>6.2179487179487179E-3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input_351101!A$2</f>
        <v>351101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IFERROR(VLOOKUP(B100,input_351101!L:R,7,FALSE),VLOOKUP(tables_351101!C100,input_351101!A:H,8,FALSE))</f>
        <v>33174</v>
      </c>
      <c r="P100" s="46">
        <f t="shared" ca="1" si="5"/>
        <v>5.5961538461538462E-3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input_351101!A$2</f>
        <v>351101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IFERROR(VLOOKUP(B101,input_351101!L:R,7,FALSE),VLOOKUP(tables_351101!C101,input_351101!A:H,8,FALSE))</f>
        <v>3686</v>
      </c>
      <c r="P101" s="46">
        <f t="shared" ca="1" si="5"/>
        <v>6.2179487179487181E-4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input_351101!A$2</f>
        <v>351101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IFERROR(VLOOKUP(B102,input_351101!L:R,7,FALSE),VLOOKUP(tables_351101!C102,input_351101!A:H,8,FALSE))</f>
        <v>36860</v>
      </c>
      <c r="P102" s="46">
        <f t="shared" ca="1" si="5"/>
        <v>6.2179487179487179E-3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input_351101!A$2</f>
        <v>351101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IFERROR(VLOOKUP(B103,input_351101!L:R,7,FALSE),VLOOKUP(tables_351101!C103,input_351101!A:H,8,FALSE))</f>
        <v>33174</v>
      </c>
      <c r="P103" s="46">
        <f t="shared" ca="1" si="5"/>
        <v>5.5961538461538462E-3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input_351101!A$2</f>
        <v>351101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IFERROR(VLOOKUP(B104,input_351101!L:R,7,FALSE),VLOOKUP(tables_351101!C104,input_351101!A:H,8,FALSE))</f>
        <v>3686</v>
      </c>
      <c r="P104" s="46">
        <f t="shared" ca="1" si="5"/>
        <v>6.2179487179487181E-4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input_351101!A$2</f>
        <v>351101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IFERROR(VLOOKUP(B105,input_351101!L:R,7,FALSE),VLOOKUP(tables_351101!C105,input_351101!A:H,8,FALSE))</f>
        <v>36860</v>
      </c>
      <c r="P105" s="46">
        <f t="shared" ca="1" si="5"/>
        <v>6.2179487179487179E-3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input_351101!A$2</f>
        <v>351101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IFERROR(VLOOKUP(B106,input_351101!L:R,7,FALSE),VLOOKUP(tables_351101!C106,input_351101!A:H,8,FALSE))</f>
        <v>33174</v>
      </c>
      <c r="P106" s="46">
        <f t="shared" ca="1" si="5"/>
        <v>5.5961538461538462E-3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input_351101!A$2</f>
        <v>351101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IFERROR(VLOOKUP(B107,input_351101!L:R,7,FALSE),VLOOKUP(tables_351101!C107,input_351101!A:H,8,FALSE))</f>
        <v>3686</v>
      </c>
      <c r="P107" s="46">
        <f t="shared" ca="1" si="5"/>
        <v>6.2179487179487181E-4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input_351101!A$2</f>
        <v>351101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IFERROR(VLOOKUP(B108,input_351101!L:R,7,FALSE),VLOOKUP(tables_351101!C108,input_351101!A:H,8,FALSE))</f>
        <v>36860</v>
      </c>
      <c r="P108" s="46">
        <f t="shared" ca="1" si="5"/>
        <v>6.2179487179487179E-3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input_351101!A$2</f>
        <v>351101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IFERROR(VLOOKUP(B109,input_351101!L:R,7,FALSE),VLOOKUP(tables_351101!C109,input_351101!A:H,8,FALSE))</f>
        <v>33174</v>
      </c>
      <c r="P109" s="46">
        <f t="shared" ca="1" si="5"/>
        <v>5.5961538461538462E-3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input_351101!A$2</f>
        <v>351101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IFERROR(VLOOKUP(B110,input_351101!L:R,7,FALSE),VLOOKUP(tables_351101!C110,input_351101!A:H,8,FALSE))</f>
        <v>3686</v>
      </c>
      <c r="P110" s="46">
        <f t="shared" ca="1" si="5"/>
        <v>6.2179487179487181E-4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input_351101!A$2</f>
        <v>351101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IFERROR(VLOOKUP(B111,input_351101!L:R,7,FALSE),VLOOKUP(tables_351101!C111,input_351101!A:H,8,FALSE))</f>
        <v>2340</v>
      </c>
      <c r="P111" s="46">
        <f t="shared" ca="1" si="5"/>
        <v>3.9473684210526315E-4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input_351101!A$2</f>
        <v>351101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IFERROR(VLOOKUP(B112,input_351101!L:R,7,FALSE),VLOOKUP(tables_351101!C112,input_351101!A:H,8,FALSE))</f>
        <v>2106</v>
      </c>
      <c r="P112" s="46">
        <f t="shared" ca="1" si="5"/>
        <v>3.5526315789473687E-4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input_351101!A$2</f>
        <v>351101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IFERROR(VLOOKUP(B113,input_351101!L:R,7,FALSE),VLOOKUP(tables_351101!C113,input_351101!A:H,8,FALSE))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input_351101!A$2</f>
        <v>351101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IFERROR(VLOOKUP(B114,input_351101!L:R,7,FALSE),VLOOKUP(tables_351101!C114,input_351101!A:H,8,FALSE))</f>
        <v>36860</v>
      </c>
      <c r="P114" s="46">
        <f t="shared" ca="1" si="5"/>
        <v>6.2179487179487179E-3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input_351101!A$2</f>
        <v>351101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IFERROR(VLOOKUP(B115,input_351101!L:R,7,FALSE),VLOOKUP(tables_351101!C115,input_351101!A:H,8,FALSE))</f>
        <v>33174</v>
      </c>
      <c r="P115" s="46">
        <f t="shared" ca="1" si="5"/>
        <v>5.5961538461538462E-3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input_351101!A$2</f>
        <v>351101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IFERROR(VLOOKUP(B116,input_351101!L:R,7,FALSE),VLOOKUP(tables_351101!C116,input_351101!A:H,8,FALSE))</f>
        <v>3686</v>
      </c>
      <c r="P116" s="46">
        <f t="shared" ca="1" si="5"/>
        <v>6.2179487179487181E-4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input_351101!A$2</f>
        <v>351101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IFERROR(VLOOKUP(B117,input_351101!L:R,7,FALSE),VLOOKUP(tables_351101!C117,input_351101!A:H,8,FALSE))</f>
        <v>36860</v>
      </c>
      <c r="P117" s="46">
        <f t="shared" ca="1" si="5"/>
        <v>6.2179487179487179E-3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input_351101!A$2</f>
        <v>351101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IFERROR(VLOOKUP(B118,input_351101!L:R,7,FALSE),VLOOKUP(tables_351101!C118,input_351101!A:H,8,FALSE))</f>
        <v>33174</v>
      </c>
      <c r="P118" s="46">
        <f t="shared" ca="1" si="5"/>
        <v>5.5961538461538462E-3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input_351101!A$2</f>
        <v>351101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IFERROR(VLOOKUP(B119,input_351101!L:R,7,FALSE),VLOOKUP(tables_351101!C119,input_351101!A:H,8,FALSE))</f>
        <v>3686</v>
      </c>
      <c r="P119" s="46">
        <f t="shared" ca="1" si="5"/>
        <v>6.2179487179487181E-4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input_351101!A$2</f>
        <v>351101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IFERROR(VLOOKUP(B120,input_351101!L:R,7,FALSE),VLOOKUP(tables_351101!C120,input_351101!A:H,8,FALSE))</f>
        <v>36860</v>
      </c>
      <c r="P120" s="46">
        <f t="shared" ca="1" si="5"/>
        <v>6.2179487179487179E-3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input_351101!A$2</f>
        <v>351101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IFERROR(VLOOKUP(B121,input_351101!L:R,7,FALSE),VLOOKUP(tables_351101!C121,input_351101!A:H,8,FALSE))</f>
        <v>33174</v>
      </c>
      <c r="P121" s="46">
        <f t="shared" ca="1" si="5"/>
        <v>5.5961538461538462E-3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input_351101!A$2</f>
        <v>351101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IFERROR(VLOOKUP(B122,input_351101!L:R,7,FALSE),VLOOKUP(tables_351101!C122,input_351101!A:H,8,FALSE))</f>
        <v>3686</v>
      </c>
      <c r="P122" s="46">
        <f t="shared" ca="1" si="5"/>
        <v>6.2179487179487181E-4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input_351101!A$2</f>
        <v>351101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IFERROR(VLOOKUP(B123,input_351101!L:R,7,FALSE),VLOOKUP(tables_351101!C123,input_351101!A:H,8,FALSE))</f>
        <v>36860</v>
      </c>
      <c r="P123" s="46">
        <f t="shared" ca="1" si="5"/>
        <v>6.2179487179487179E-3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input_351101!A$2</f>
        <v>351101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IFERROR(VLOOKUP(B124,input_351101!L:R,7,FALSE),VLOOKUP(tables_351101!C124,input_351101!A:H,8,FALSE))</f>
        <v>33174</v>
      </c>
      <c r="P124" s="46">
        <f t="shared" ca="1" si="5"/>
        <v>5.5961538461538462E-3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input_351101!A$2</f>
        <v>351101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IFERROR(VLOOKUP(B125,input_351101!L:R,7,FALSE),VLOOKUP(tables_351101!C125,input_351101!A:H,8,FALSE))</f>
        <v>3686</v>
      </c>
      <c r="P125" s="46">
        <f t="shared" ca="1" si="5"/>
        <v>6.2179487179487181E-4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input_351101!A$2</f>
        <v>351101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IFERROR(VLOOKUP(B126,input_351101!L:R,7,FALSE),VLOOKUP(tables_351101!C126,input_351101!A:H,8,FALSE))</f>
        <v>36860</v>
      </c>
      <c r="P126" s="46">
        <f t="shared" ca="1" si="5"/>
        <v>6.2179487179487179E-3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input_351101!A$2</f>
        <v>351101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IFERROR(VLOOKUP(B127,input_351101!L:R,7,FALSE),VLOOKUP(tables_351101!C127,input_351101!A:H,8,FALSE))</f>
        <v>33174</v>
      </c>
      <c r="P127" s="46">
        <f t="shared" ca="1" si="5"/>
        <v>5.5961538461538462E-3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input_351101!A$2</f>
        <v>351101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IFERROR(VLOOKUP(B128,input_351101!L:R,7,FALSE),VLOOKUP(tables_351101!C128,input_351101!A:H,8,FALSE))</f>
        <v>3686</v>
      </c>
      <c r="P128" s="46">
        <f t="shared" ca="1" si="5"/>
        <v>6.2179487179487181E-4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input_351101!A$2</f>
        <v>351101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IFERROR(VLOOKUP(B129,input_351101!L:R,7,FALSE),VLOOKUP(tables_351101!C129,input_351101!A:H,8,FALSE))</f>
        <v>36860</v>
      </c>
      <c r="P129" s="46">
        <f t="shared" ca="1" si="5"/>
        <v>6.2179487179487179E-3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input_351101!A$2</f>
        <v>351101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IFERROR(VLOOKUP(B130,input_351101!L:R,7,FALSE),VLOOKUP(tables_351101!C130,input_351101!A:H,8,FALSE))</f>
        <v>33174</v>
      </c>
      <c r="P130" s="46">
        <f t="shared" ca="1" si="5"/>
        <v>5.5961538461538462E-3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input_351101!A$2</f>
        <v>351101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IFERROR(VLOOKUP(B131,input_351101!L:R,7,FALSE),VLOOKUP(tables_351101!C131,input_351101!A:H,8,FALSE))</f>
        <v>3686</v>
      </c>
      <c r="P131" s="46">
        <f t="shared" ca="1" si="5"/>
        <v>6.2179487179487181E-4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input_351101!A$2</f>
        <v>351101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IFERROR(VLOOKUP(B132,input_351101!L:R,7,FALSE),VLOOKUP(tables_351101!C132,input_351101!A:H,8,FALSE))</f>
        <v>36860</v>
      </c>
      <c r="P132" s="46">
        <f t="shared" ca="1" si="5"/>
        <v>6.2179487179487179E-3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input_351101!A$2</f>
        <v>351101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IFERROR(VLOOKUP(B133,input_351101!L:R,7,FALSE),VLOOKUP(tables_351101!C133,input_351101!A:H,8,FALSE))</f>
        <v>33174</v>
      </c>
      <c r="P133" s="46">
        <f t="shared" ca="1" si="5"/>
        <v>5.5961538461538462E-3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input_351101!A$2</f>
        <v>351101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IFERROR(VLOOKUP(B134,input_351101!L:R,7,FALSE),VLOOKUP(tables_351101!C134,input_351101!A:H,8,FALSE))</f>
        <v>3686</v>
      </c>
      <c r="P134" s="46">
        <f t="shared" ca="1" si="5"/>
        <v>6.2179487179487181E-4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input_351101!A$2</f>
        <v>351101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IFERROR(VLOOKUP(B135,input_351101!L:R,7,FALSE),VLOOKUP(tables_351101!C135,input_351101!A:H,8,FALSE))</f>
        <v>36860</v>
      </c>
      <c r="P135" s="46">
        <f t="shared" ca="1" si="5"/>
        <v>6.2179487179487179E-3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input_351101!A$2</f>
        <v>351101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IFERROR(VLOOKUP(B136,input_351101!L:R,7,FALSE),VLOOKUP(tables_351101!C136,input_351101!A:H,8,FALSE))</f>
        <v>33174</v>
      </c>
      <c r="P136" s="46">
        <f t="shared" ca="1" si="5"/>
        <v>5.5961538461538462E-3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input_351101!A$2</f>
        <v>351101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IFERROR(VLOOKUP(B137,input_351101!L:R,7,FALSE),VLOOKUP(tables_351101!C137,input_351101!A:H,8,FALSE))</f>
        <v>3686</v>
      </c>
      <c r="P137" s="46">
        <f t="shared" ca="1" si="5"/>
        <v>6.2179487179487181E-4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input_351101!A$2</f>
        <v>351101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IFERROR(VLOOKUP(B138,input_351101!L:R,7,FALSE),VLOOKUP(tables_351101!C138,input_351101!A:H,8,FALSE))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input_351101!A$2</f>
        <v>351101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IFERROR(VLOOKUP(B139,input_351101!L:R,7,FALSE),VLOOKUP(tables_351101!C139,input_351101!A:H,8,FALSE))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input_351101!A$2</f>
        <v>351101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IFERROR(VLOOKUP(B140,input_351101!L:R,7,FALSE),VLOOKUP(tables_351101!C140,input_351101!A:H,8,FALSE))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input_351101!A$2</f>
        <v>351101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IFERROR(VLOOKUP(B141,input_351101!L:R,7,FALSE),VLOOKUP(tables_351101!C141,input_351101!A:H,8,FALSE))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input_351101!A$2</f>
        <v>351101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IFERROR(VLOOKUP(B142,input_351101!L:R,7,FALSE),VLOOKUP(tables_351101!C142,input_351101!A:H,8,FALSE))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input_351101!A$2</f>
        <v>351101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IFERROR(VLOOKUP(B143,input_351101!L:R,7,FALSE),VLOOKUP(tables_351101!C143,input_351101!A:H,8,FALSE))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input_351101!A$2</f>
        <v>351101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IFERROR(VLOOKUP(B144,input_351101!L:R,7,FALSE),VLOOKUP(tables_351101!C144,input_351101!A:H,8,FALSE))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input_351101!A$2</f>
        <v>351101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IFERROR(VLOOKUP(B145,input_351101!L:R,7,FALSE),VLOOKUP(tables_351101!C145,input_351101!A:H,8,FALSE))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input_351101!A$2</f>
        <v>351101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IFERROR(VLOOKUP(B146,input_351101!L:R,7,FALSE),VLOOKUP(tables_351101!C146,input_351101!A:H,8,FALSE))</f>
        <v>36860</v>
      </c>
      <c r="P146" s="46">
        <f t="shared" ca="1" si="8"/>
        <v>6.2179487179487179E-3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input_351101!A$2</f>
        <v>351101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IFERROR(VLOOKUP(B147,input_351101!L:R,7,FALSE),VLOOKUP(tables_351101!C147,input_351101!A:H,8,FALSE))</f>
        <v>33174</v>
      </c>
      <c r="P147" s="46">
        <f t="shared" ca="1" si="8"/>
        <v>5.5961538461538462E-3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input_351101!A$2</f>
        <v>351101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IFERROR(VLOOKUP(B148,input_351101!L:R,7,FALSE),VLOOKUP(tables_351101!C148,input_351101!A:H,8,FALSE))</f>
        <v>3686</v>
      </c>
      <c r="P148" s="46">
        <f t="shared" ca="1" si="8"/>
        <v>6.2179487179487181E-4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input_351101!A$2</f>
        <v>351101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IFERROR(VLOOKUP(B149,input_351101!L:R,7,FALSE),VLOOKUP(tables_351101!C149,input_351101!A:H,8,FALSE))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input_351101!A$2</f>
        <v>351101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IFERROR(VLOOKUP(B150,input_351101!L:R,7,FALSE),VLOOKUP(tables_351101!C150,input_351101!A:H,8,FALSE))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input_351101!A$2</f>
        <v>351101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IFERROR(VLOOKUP(B151,input_351101!L:R,7,FALSE),VLOOKUP(tables_351101!C151,input_351101!A:H,8,FALSE))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input_351101!A$2</f>
        <v>351101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IFERROR(VLOOKUP(B152,input_351101!L:R,7,FALSE),VLOOKUP(tables_351101!C152,input_351101!A:H,8,FALSE))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input_351101!A$2</f>
        <v>351101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IFERROR(VLOOKUP(B153,input_351101!L:R,7,FALSE),VLOOKUP(tables_351101!C153,input_351101!A:H,8,FALSE))</f>
        <v>36860</v>
      </c>
      <c r="P153" s="46">
        <f t="shared" ca="1" si="8"/>
        <v>6.2179487179487179E-3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input_351101!A$2</f>
        <v>351101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IFERROR(VLOOKUP(B154,input_351101!L:R,7,FALSE),VLOOKUP(tables_351101!C154,input_351101!A:H,8,FALSE))</f>
        <v>33174</v>
      </c>
      <c r="P154" s="46">
        <f t="shared" ca="1" si="8"/>
        <v>5.5961538461538462E-3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input_351101!A$2</f>
        <v>351101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IFERROR(VLOOKUP(B155,input_351101!L:R,7,FALSE),VLOOKUP(tables_351101!C155,input_351101!A:H,8,FALSE))</f>
        <v>3686</v>
      </c>
      <c r="P155" s="46">
        <f t="shared" ca="1" si="8"/>
        <v>6.2179487179487181E-4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input_351101!A$2</f>
        <v>351101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IFERROR(VLOOKUP(B156,input_351101!L:R,7,FALSE),VLOOKUP(tables_351101!C156,input_351101!A:H,8,FALSE))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input_351101!A$2</f>
        <v>351101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IFERROR(VLOOKUP(B157,input_351101!L:R,7,FALSE),VLOOKUP(tables_351101!C157,input_351101!A:H,8,FALSE))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input_351101!A$2</f>
        <v>351101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IFERROR(VLOOKUP(B158,input_351101!L:R,7,FALSE),VLOOKUP(tables_351101!C158,input_351101!A:H,8,FALSE))</f>
        <v>36860</v>
      </c>
      <c r="P158" s="46">
        <f t="shared" ca="1" si="8"/>
        <v>6.2179487179487179E-3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input_351101!A$2</f>
        <v>351101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IFERROR(VLOOKUP(B159,input_351101!L:R,7,FALSE),VLOOKUP(tables_351101!C159,input_351101!A:H,8,FALSE))</f>
        <v>33174</v>
      </c>
      <c r="P159" s="46">
        <f t="shared" ca="1" si="8"/>
        <v>5.5961538461538462E-3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input_351101!A$2</f>
        <v>351101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IFERROR(VLOOKUP(B160,input_351101!L:R,7,FALSE),VLOOKUP(tables_351101!C160,input_351101!A:H,8,FALSE))</f>
        <v>3686</v>
      </c>
      <c r="P160" s="46">
        <f t="shared" ca="1" si="8"/>
        <v>6.2179487179487181E-4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input_351101!A$2</f>
        <v>351101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IFERROR(VLOOKUP(B161,input_351101!L:R,7,FALSE),VLOOKUP(tables_351101!C161,input_351101!A:H,8,FALSE))</f>
        <v>36860</v>
      </c>
      <c r="P161" s="46">
        <f t="shared" ca="1" si="8"/>
        <v>6.2179487179487179E-3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input_351101!A$2</f>
        <v>351101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IFERROR(VLOOKUP(B162,input_351101!L:R,7,FALSE),VLOOKUP(tables_351101!C162,input_351101!A:H,8,FALSE))</f>
        <v>33174</v>
      </c>
      <c r="P162" s="46">
        <f t="shared" ca="1" si="8"/>
        <v>5.5961538461538462E-3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input_351101!A$2</f>
        <v>351101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IFERROR(VLOOKUP(B163,input_351101!L:R,7,FALSE),VLOOKUP(tables_351101!C163,input_351101!A:H,8,FALSE))</f>
        <v>3686</v>
      </c>
      <c r="P163" s="46">
        <f t="shared" ca="1" si="8"/>
        <v>6.2179487179487181E-4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input_351101!A$2</f>
        <v>351101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IFERROR(VLOOKUP(B164,input_351101!L:R,7,FALSE),VLOOKUP(tables_351101!C164,input_351101!A:H,8,FALSE))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input_351101!A$2</f>
        <v>351101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IFERROR(VLOOKUP(B165,input_351101!L:R,7,FALSE),VLOOKUP(tables_351101!C165,input_351101!A:H,8,FALSE))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input_351101!A$2</f>
        <v>351101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IFERROR(VLOOKUP(B166,input_351101!L:R,7,FALSE),VLOOKUP(tables_351101!C166,input_351101!A:H,8,FALSE))</f>
        <v>36860</v>
      </c>
      <c r="P166" s="46">
        <f t="shared" ca="1" si="8"/>
        <v>6.2179487179487179E-3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input_351101!A$2</f>
        <v>351101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IFERROR(VLOOKUP(B167,input_351101!L:R,7,FALSE),VLOOKUP(tables_351101!C167,input_351101!A:H,8,FALSE))</f>
        <v>33174</v>
      </c>
      <c r="P167" s="46">
        <f t="shared" ca="1" si="8"/>
        <v>5.5961538461538462E-3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input_351101!A$2</f>
        <v>351101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IFERROR(VLOOKUP(B168,input_351101!L:R,7,FALSE),VLOOKUP(tables_351101!C168,input_351101!A:H,8,FALSE))</f>
        <v>3686</v>
      </c>
      <c r="P168" s="46">
        <f t="shared" ca="1" si="8"/>
        <v>6.2179487179487181E-4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input_351101!A$2</f>
        <v>351101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IFERROR(VLOOKUP(B169,input_351101!L:R,7,FALSE),VLOOKUP(tables_351101!C169,input_351101!A:H,8,FALSE))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input_351101!A$2</f>
        <v>351101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IFERROR(VLOOKUP(B170,input_351101!L:R,7,FALSE),VLOOKUP(tables_351101!C170,input_351101!A:H,8,FALSE))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input_351101!A$2</f>
        <v>351101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IFERROR(VLOOKUP(B171,input_351101!L:R,7,FALSE),VLOOKUP(tables_351101!C171,input_351101!A:H,8,FALSE))</f>
        <v>36860</v>
      </c>
      <c r="P171" s="46">
        <f t="shared" ca="1" si="8"/>
        <v>6.2179487179487179E-3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input_351101!A$2</f>
        <v>351101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IFERROR(VLOOKUP(B172,input_351101!L:R,7,FALSE),VLOOKUP(tables_351101!C172,input_351101!A:H,8,FALSE))</f>
        <v>33174</v>
      </c>
      <c r="P172" s="46">
        <f t="shared" ca="1" si="8"/>
        <v>5.5961538461538462E-3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input_351101!A$2</f>
        <v>351101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IFERROR(VLOOKUP(B173,input_351101!L:R,7,FALSE),VLOOKUP(tables_351101!C173,input_351101!A:H,8,FALSE))</f>
        <v>3686</v>
      </c>
      <c r="P173" s="46">
        <f t="shared" ca="1" si="8"/>
        <v>6.2179487179487181E-4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input_351101!A$2</f>
        <v>351101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IFERROR(VLOOKUP(B174,input_351101!L:R,7,FALSE),VLOOKUP(tables_351101!C174,input_351101!A:H,8,FALSE))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input_351101!A$2</f>
        <v>351101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IFERROR(VLOOKUP(B175,input_351101!L:R,7,FALSE),VLOOKUP(tables_351101!C175,input_351101!A:H,8,FALSE))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input_351101!A$2</f>
        <v>351101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IFERROR(VLOOKUP(B176,input_351101!L:R,7,FALSE),VLOOKUP(tables_351101!C176,input_351101!A:H,8,FALSE))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input_351101!A$2</f>
        <v>351101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IFERROR(VLOOKUP(B177,input_351101!L:R,7,FALSE),VLOOKUP(tables_351101!C177,input_351101!A:H,8,FALSE))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input_351101!A$2</f>
        <v>351101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IFERROR(VLOOKUP(B178,input_351101!L:R,7,FALSE),VLOOKUP(tables_351101!C178,input_351101!A:H,8,FALSE))</f>
        <v>36860</v>
      </c>
      <c r="P178" s="46">
        <f t="shared" ca="1" si="8"/>
        <v>6.2179487179487179E-3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input_351101!A$2</f>
        <v>351101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IFERROR(VLOOKUP(B179,input_351101!L:R,7,FALSE),VLOOKUP(tables_351101!C179,input_351101!A:H,8,FALSE))</f>
        <v>33174</v>
      </c>
      <c r="P179" s="46">
        <f t="shared" ca="1" si="8"/>
        <v>5.5961538461538462E-3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input_351101!A$2</f>
        <v>351101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IFERROR(VLOOKUP(B180,input_351101!L:R,7,FALSE),VLOOKUP(tables_351101!C180,input_351101!A:H,8,FALSE))</f>
        <v>3686</v>
      </c>
      <c r="P180" s="46">
        <f t="shared" ca="1" si="8"/>
        <v>6.2179487179487181E-4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input_351101!A$2</f>
        <v>351101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IFERROR(VLOOKUP(B181,input_351101!L:R,7,FALSE),VLOOKUP(tables_351101!C181,input_351101!A:H,8,FALSE))</f>
        <v>36860</v>
      </c>
      <c r="P181" s="46">
        <f t="shared" ca="1" si="8"/>
        <v>6.2179487179487179E-3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input_351101!A$2</f>
        <v>351101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IFERROR(VLOOKUP(B182,input_351101!L:R,7,FALSE),VLOOKUP(tables_351101!C182,input_351101!A:H,8,FALSE))</f>
        <v>33174</v>
      </c>
      <c r="P182" s="46">
        <f t="shared" ca="1" si="8"/>
        <v>5.5961538461538462E-3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input_351101!A$2</f>
        <v>351101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IFERROR(VLOOKUP(B183,input_351101!L:R,7,FALSE),VLOOKUP(tables_351101!C183,input_351101!A:H,8,FALSE))</f>
        <v>3686</v>
      </c>
      <c r="P183" s="46">
        <f t="shared" ca="1" si="8"/>
        <v>6.2179487179487181E-4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input_351101!A$2</f>
        <v>351101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IFERROR(VLOOKUP(B184,input_351101!L:R,7,FALSE),VLOOKUP(tables_351101!C184,input_351101!A:H,8,FALSE))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input_351101!A$2</f>
        <v>351101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IFERROR(VLOOKUP(B185,input_351101!L:R,7,FALSE),VLOOKUP(tables_351101!C185,input_351101!A:H,8,FALSE))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input_351101!A$2</f>
        <v>351101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IFERROR(VLOOKUP(B186,input_351101!L:R,7,FALSE),VLOOKUP(tables_351101!C186,input_351101!A:H,8,FALSE))</f>
        <v>36860</v>
      </c>
      <c r="P186" s="46">
        <f t="shared" ca="1" si="8"/>
        <v>6.2179487179487179E-3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input_351101!A$2</f>
        <v>351101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IFERROR(VLOOKUP(B187,input_351101!L:R,7,FALSE),VLOOKUP(tables_351101!C187,input_351101!A:H,8,FALSE))</f>
        <v>33174</v>
      </c>
      <c r="P187" s="46">
        <f t="shared" ca="1" si="8"/>
        <v>5.5961538461538462E-3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input_351101!A$2</f>
        <v>351101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IFERROR(VLOOKUP(B188,input_351101!L:R,7,FALSE),VLOOKUP(tables_351101!C188,input_351101!A:H,8,FALSE))</f>
        <v>3686</v>
      </c>
      <c r="P188" s="46">
        <f t="shared" ca="1" si="8"/>
        <v>6.2179487179487181E-4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input_351101!A$2</f>
        <v>351101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IFERROR(VLOOKUP(B189,input_351101!L:R,7,FALSE),VLOOKUP(tables_351101!C189,input_351101!A:H,8,FALSE))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input_351101!A$2</f>
        <v>351101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IFERROR(VLOOKUP(B190,input_351101!L:R,7,FALSE),VLOOKUP(tables_351101!C190,input_351101!A:H,8,FALSE))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input_351101!A$2</f>
        <v>351101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IFERROR(VLOOKUP(B191,input_351101!L:R,7,FALSE),VLOOKUP(tables_351101!C191,input_351101!A:H,8,FALSE))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input_351101!A$2</f>
        <v>351101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IFERROR(VLOOKUP(B192,input_351101!L:R,7,FALSE),VLOOKUP(tables_351101!C192,input_351101!A:H,8,FALSE))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input_351101!A$2</f>
        <v>351101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IFERROR(VLOOKUP(B193,input_351101!L:R,7,FALSE),VLOOKUP(tables_351101!C193,input_351101!A:H,8,FALSE))</f>
        <v>36860</v>
      </c>
      <c r="P193" s="46">
        <f t="shared" ca="1" si="8"/>
        <v>6.2179487179487179E-3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input_351101!A$2</f>
        <v>351101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IFERROR(VLOOKUP(B194,input_351101!L:R,7,FALSE),VLOOKUP(tables_351101!C194,input_351101!A:H,8,FALSE))</f>
        <v>33174</v>
      </c>
      <c r="P194" s="46">
        <f t="shared" ca="1" si="8"/>
        <v>5.5961538461538462E-3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input_351101!A$2</f>
        <v>351101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IFERROR(VLOOKUP(B195,input_351101!L:R,7,FALSE),VLOOKUP(tables_351101!C195,input_351101!A:H,8,FALSE))</f>
        <v>3686</v>
      </c>
      <c r="P195" s="46">
        <f t="shared" ca="1" si="8"/>
        <v>6.2179487179487181E-4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input_351101!A$2</f>
        <v>351101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IFERROR(VLOOKUP(B196,input_351101!L:R,7,FALSE),VLOOKUP(tables_351101!C196,input_351101!A:H,8,FALSE))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input_351101!A$2</f>
        <v>351101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IFERROR(VLOOKUP(B197,input_351101!L:R,7,FALSE),VLOOKUP(tables_351101!C197,input_351101!A:H,8,FALSE))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input_351101!A$2</f>
        <v>351101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IFERROR(VLOOKUP(B198,input_351101!L:R,7,FALSE),VLOOKUP(tables_351101!C198,input_351101!A:H,8,FALSE))</f>
        <v>36860</v>
      </c>
      <c r="P198" s="46">
        <f t="shared" ca="1" si="8"/>
        <v>6.2179487179487179E-3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input_351101!A$2</f>
        <v>351101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IFERROR(VLOOKUP(B199,input_351101!L:R,7,FALSE),VLOOKUP(tables_351101!C199,input_351101!A:H,8,FALSE))</f>
        <v>33174</v>
      </c>
      <c r="P199" s="46">
        <f t="shared" ca="1" si="8"/>
        <v>5.5961538461538462E-3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input_351101!A$2</f>
        <v>351101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IFERROR(VLOOKUP(B200,input_351101!L:R,7,FALSE),VLOOKUP(tables_351101!C200,input_351101!A:H,8,FALSE))</f>
        <v>3686</v>
      </c>
      <c r="P200" s="46">
        <f t="shared" ca="1" si="8"/>
        <v>6.2179487179487181E-4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input_351101!A$2</f>
        <v>351101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IFERROR(VLOOKUP(B201,input_351101!L:R,7,FALSE),VLOOKUP(tables_351101!C201,input_351101!A:H,8,FALSE))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input_351101!A$2</f>
        <v>351101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IFERROR(VLOOKUP(B202,input_351101!L:R,7,FALSE),VLOOKUP(tables_351101!C202,input_351101!A:H,8,FALSE))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input_351101!A$2</f>
        <v>351101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IFERROR(VLOOKUP(B203,input_351101!L:R,7,FALSE),VLOOKUP(tables_351101!C203,input_351101!A:H,8,FALSE))</f>
        <v>36860</v>
      </c>
      <c r="P203" s="46">
        <f t="shared" ca="1" si="8"/>
        <v>6.2179487179487179E-3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input_351101!A$2</f>
        <v>351101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IFERROR(VLOOKUP(B204,input_351101!L:R,7,FALSE),VLOOKUP(tables_351101!C204,input_351101!A:H,8,FALSE))</f>
        <v>33174</v>
      </c>
      <c r="P204" s="46">
        <f t="shared" ca="1" si="8"/>
        <v>5.5961538461538462E-3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input_351101!A$2</f>
        <v>351101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IFERROR(VLOOKUP(B205,input_351101!L:R,7,FALSE),VLOOKUP(tables_351101!C205,input_351101!A:H,8,FALSE))</f>
        <v>3686</v>
      </c>
      <c r="P205" s="46">
        <f t="shared" ca="1" si="8"/>
        <v>6.2179487179487181E-4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input_351101!A$2</f>
        <v>351101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IFERROR(VLOOKUP(B206,input_351101!L:R,7,FALSE),VLOOKUP(tables_351101!C206,input_351101!A:H,8,FALSE))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input_351101!A$2</f>
        <v>351101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IFERROR(VLOOKUP(B207,input_351101!L:R,7,FALSE),VLOOKUP(tables_351101!C207,input_351101!A:H,8,FALSE))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input_351101!A$2</f>
        <v>351101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IFERROR(VLOOKUP(B208,input_351101!L:R,7,FALSE),VLOOKUP(tables_351101!C208,input_351101!A:H,8,FALSE))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input_351101!A$2</f>
        <v>351101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IFERROR(VLOOKUP(B209,input_351101!L:R,7,FALSE),VLOOKUP(tables_351101!C209,input_351101!A:H,8,FALSE))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input_351101!A$2</f>
        <v>351101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IFERROR(VLOOKUP(B210,input_351101!L:R,7,FALSE),VLOOKUP(tables_351101!C210,input_351101!A:H,8,FALSE))</f>
        <v>36860</v>
      </c>
      <c r="P210" s="46">
        <f t="shared" ca="1" si="11"/>
        <v>6.2179487179487179E-3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input_351101!A$2</f>
        <v>351101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IFERROR(VLOOKUP(B211,input_351101!L:R,7,FALSE),VLOOKUP(tables_351101!C211,input_351101!A:H,8,FALSE))</f>
        <v>33174</v>
      </c>
      <c r="P211" s="46">
        <f t="shared" ca="1" si="11"/>
        <v>5.5961538461538462E-3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input_351101!A$2</f>
        <v>351101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IFERROR(VLOOKUP(B212,input_351101!L:R,7,FALSE),VLOOKUP(tables_351101!C212,input_351101!A:H,8,FALSE))</f>
        <v>3686</v>
      </c>
      <c r="P212" s="46">
        <f t="shared" ca="1" si="11"/>
        <v>6.2179487179487181E-4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input_351101!A$2</f>
        <v>351101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IFERROR(VLOOKUP(B213,input_351101!L:R,7,FALSE),VLOOKUP(tables_351101!C213,input_351101!A:H,8,FALSE))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input_351101!A$2</f>
        <v>351101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IFERROR(VLOOKUP(B214,input_351101!L:R,7,FALSE),VLOOKUP(tables_351101!C214,input_351101!A:H,8,FALSE))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input_351101!A$2</f>
        <v>351101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IFERROR(VLOOKUP(B215,input_351101!L:R,7,FALSE),VLOOKUP(tables_351101!C215,input_351101!A:H,8,FALSE))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input_351101!A$2</f>
        <v>351101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IFERROR(VLOOKUP(B216,input_351101!L:R,7,FALSE),VLOOKUP(tables_351101!C216,input_351101!A:H,8,FALSE))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input_351101!A$2</f>
        <v>351101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IFERROR(VLOOKUP(B217,input_351101!L:R,7,FALSE),VLOOKUP(tables_351101!C217,input_351101!A:H,8,FALSE))</f>
        <v>36860</v>
      </c>
      <c r="P217" s="46">
        <f t="shared" ca="1" si="11"/>
        <v>6.2179487179487179E-3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input_351101!A$2</f>
        <v>351101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IFERROR(VLOOKUP(B218,input_351101!L:R,7,FALSE),VLOOKUP(tables_351101!C218,input_351101!A:H,8,FALSE))</f>
        <v>33174</v>
      </c>
      <c r="P218" s="46">
        <f t="shared" ca="1" si="11"/>
        <v>5.5961538461538462E-3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input_351101!A$2</f>
        <v>351101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IFERROR(VLOOKUP(B219,input_351101!L:R,7,FALSE),VLOOKUP(tables_351101!C219,input_351101!A:H,8,FALSE))</f>
        <v>3686</v>
      </c>
      <c r="P219" s="46">
        <f t="shared" ca="1" si="11"/>
        <v>6.2179487179487181E-4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input_351101!A$2</f>
        <v>351101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IFERROR(VLOOKUP(B220,input_351101!L:R,7,FALSE),VLOOKUP(tables_351101!C220,input_351101!A:H,8,FALSE))</f>
        <v>36860</v>
      </c>
      <c r="P220" s="46">
        <f t="shared" ca="1" si="11"/>
        <v>6.2179487179487179E-3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input_351101!A$2</f>
        <v>351101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IFERROR(VLOOKUP(B221,input_351101!L:R,7,FALSE),VLOOKUP(tables_351101!C221,input_351101!A:H,8,FALSE))</f>
        <v>33174</v>
      </c>
      <c r="P221" s="46">
        <f t="shared" ca="1" si="11"/>
        <v>5.5961538461538462E-3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input_351101!A$2</f>
        <v>351101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IFERROR(VLOOKUP(B222,input_351101!L:R,7,FALSE),VLOOKUP(tables_351101!C222,input_351101!A:H,8,FALSE))</f>
        <v>3686</v>
      </c>
      <c r="P222" s="46">
        <f t="shared" ca="1" si="11"/>
        <v>6.2179487179487181E-4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input_351101!A$2</f>
        <v>351101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IFERROR(VLOOKUP(B223,input_351101!L:R,7,FALSE),VLOOKUP(tables_351101!C223,input_351101!A:H,8,FALSE))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input_351101!A$2</f>
        <v>351101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IFERROR(VLOOKUP(B224,input_351101!L:R,7,FALSE),VLOOKUP(tables_351101!C224,input_351101!A:H,8,FALSE))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input_351101!A$2</f>
        <v>351101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IFERROR(VLOOKUP(B225,input_351101!L:R,7,FALSE),VLOOKUP(tables_351101!C225,input_351101!A:H,8,FALSE))</f>
        <v>36860</v>
      </c>
      <c r="P225" s="46">
        <f t="shared" ca="1" si="11"/>
        <v>6.2179487179487179E-3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input_351101!A$2</f>
        <v>351101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IFERROR(VLOOKUP(B226,input_351101!L:R,7,FALSE),VLOOKUP(tables_351101!C226,input_351101!A:H,8,FALSE))</f>
        <v>33174</v>
      </c>
      <c r="P226" s="46">
        <f t="shared" ca="1" si="11"/>
        <v>5.5961538461538462E-3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input_351101!A$2</f>
        <v>351101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IFERROR(VLOOKUP(B227,input_351101!L:R,7,FALSE),VLOOKUP(tables_351101!C227,input_351101!A:H,8,FALSE))</f>
        <v>3686</v>
      </c>
      <c r="P227" s="46">
        <f t="shared" ca="1" si="11"/>
        <v>6.2179487179487181E-4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input_351101!A$2</f>
        <v>351101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IFERROR(VLOOKUP(B228,input_351101!L:R,7,FALSE),VLOOKUP(tables_351101!C228,input_351101!A:H,8,FALSE))</f>
        <v>36860</v>
      </c>
      <c r="P228" s="46">
        <f t="shared" ca="1" si="11"/>
        <v>6.2179487179487179E-3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input_351101!A$2</f>
        <v>351101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IFERROR(VLOOKUP(B229,input_351101!L:R,7,FALSE),VLOOKUP(tables_351101!C229,input_351101!A:H,8,FALSE))</f>
        <v>33174</v>
      </c>
      <c r="P229" s="46">
        <f t="shared" ca="1" si="11"/>
        <v>5.5961538461538462E-3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input_351101!A$2</f>
        <v>351101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IFERROR(VLOOKUP(B230,input_351101!L:R,7,FALSE),VLOOKUP(tables_351101!C230,input_351101!A:H,8,FALSE))</f>
        <v>3686</v>
      </c>
      <c r="P230" s="46">
        <f t="shared" ca="1" si="11"/>
        <v>6.2179487179487181E-4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input_351101!A$2</f>
        <v>351101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IFERROR(VLOOKUP(B231,input_351101!L:R,7,FALSE),VLOOKUP(tables_351101!C231,input_351101!A:H,8,FALSE))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input_351101!A$2</f>
        <v>351101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IFERROR(VLOOKUP(B232,input_351101!L:R,7,FALSE),VLOOKUP(tables_351101!C232,input_351101!A:H,8,FALSE))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input_351101!A$2</f>
        <v>351101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IFERROR(VLOOKUP(B233,input_351101!L:R,7,FALSE),VLOOKUP(tables_351101!C233,input_351101!A:H,8,FALSE))</f>
        <v>36860</v>
      </c>
      <c r="P233" s="46">
        <f t="shared" ca="1" si="11"/>
        <v>6.2179487179487179E-3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input_351101!A$2</f>
        <v>351101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IFERROR(VLOOKUP(B234,input_351101!L:R,7,FALSE),VLOOKUP(tables_351101!C234,input_351101!A:H,8,FALSE))</f>
        <v>33174</v>
      </c>
      <c r="P234" s="46">
        <f t="shared" ca="1" si="11"/>
        <v>5.5961538461538462E-3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input_351101!A$2</f>
        <v>351101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IFERROR(VLOOKUP(B235,input_351101!L:R,7,FALSE),VLOOKUP(tables_351101!C235,input_351101!A:H,8,FALSE))</f>
        <v>3686</v>
      </c>
      <c r="P235" s="46">
        <f t="shared" ca="1" si="11"/>
        <v>6.2179487179487181E-4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input_351101!A$2</f>
        <v>351101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IFERROR(VLOOKUP(B236,input_351101!L:R,7,FALSE),VLOOKUP(tables_351101!C236,input_351101!A:H,8,FALSE))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input_351101!A$2</f>
        <v>351101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IFERROR(VLOOKUP(B237,input_351101!L:R,7,FALSE),VLOOKUP(tables_351101!C237,input_351101!A:H,8,FALSE))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input_351101!A$2</f>
        <v>351101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IFERROR(VLOOKUP(B238,input_351101!L:R,7,FALSE),VLOOKUP(tables_351101!C238,input_351101!A:H,8,FALSE))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input_351101!A$2</f>
        <v>351101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IFERROR(VLOOKUP(B239,input_351101!L:R,7,FALSE),VLOOKUP(tables_351101!C239,input_351101!A:H,8,FALSE))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input_351101!A$2</f>
        <v>351101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IFERROR(VLOOKUP(B240,input_351101!L:R,7,FALSE),VLOOKUP(tables_351101!C240,input_351101!A:H,8,FALSE))</f>
        <v>36860</v>
      </c>
      <c r="P240" s="46">
        <f t="shared" ca="1" si="11"/>
        <v>6.2179487179487179E-3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input_351101!A$2</f>
        <v>351101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IFERROR(VLOOKUP(B241,input_351101!L:R,7,FALSE),VLOOKUP(tables_351101!C241,input_351101!A:H,8,FALSE))</f>
        <v>33174</v>
      </c>
      <c r="P241" s="46">
        <f t="shared" ca="1" si="11"/>
        <v>5.5961538461538462E-3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input_351101!A$2</f>
        <v>351101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IFERROR(VLOOKUP(B242,input_351101!L:R,7,FALSE),VLOOKUP(tables_351101!C242,input_351101!A:H,8,FALSE))</f>
        <v>3686</v>
      </c>
      <c r="P242" s="46">
        <f t="shared" ca="1" si="11"/>
        <v>6.2179487179487181E-4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input_351101!A$2</f>
        <v>351101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IFERROR(VLOOKUP(B243,input_351101!L:R,7,FALSE),VLOOKUP(tables_351101!C243,input_351101!A:H,8,FALSE))</f>
        <v>36860</v>
      </c>
      <c r="P243" s="46">
        <f t="shared" ca="1" si="11"/>
        <v>6.2179487179487179E-3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input_351101!A$2</f>
        <v>351101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IFERROR(VLOOKUP(B244,input_351101!L:R,7,FALSE),VLOOKUP(tables_351101!C244,input_351101!A:H,8,FALSE))</f>
        <v>33174</v>
      </c>
      <c r="P244" s="46">
        <f t="shared" ca="1" si="11"/>
        <v>5.5961538461538462E-3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input_351101!A$2</f>
        <v>351101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IFERROR(VLOOKUP(B245,input_351101!L:R,7,FALSE),VLOOKUP(tables_351101!C245,input_351101!A:H,8,FALSE))</f>
        <v>3686</v>
      </c>
      <c r="P245" s="46">
        <f t="shared" ca="1" si="11"/>
        <v>6.2179487179487181E-4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input_351101!A$2</f>
        <v>351101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IFERROR(VLOOKUP(B246,input_351101!L:R,7,FALSE),VLOOKUP(tables_351101!C246,input_351101!A:H,8,FALSE))</f>
        <v>36860</v>
      </c>
      <c r="P246" s="46">
        <f t="shared" ca="1" si="11"/>
        <v>6.2179487179487179E-3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input_351101!A$2</f>
        <v>351101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IFERROR(VLOOKUP(B247,input_351101!L:R,7,FALSE),VLOOKUP(tables_351101!C247,input_351101!A:H,8,FALSE))</f>
        <v>33174</v>
      </c>
      <c r="P247" s="46">
        <f t="shared" ca="1" si="11"/>
        <v>5.5961538461538462E-3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input_351101!A$2</f>
        <v>351101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IFERROR(VLOOKUP(B248,input_351101!L:R,7,FALSE),VLOOKUP(tables_351101!C248,input_351101!A:H,8,FALSE))</f>
        <v>3686</v>
      </c>
      <c r="P248" s="46">
        <f t="shared" ca="1" si="11"/>
        <v>6.2179487179487181E-4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input_351101!A$2</f>
        <v>351101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IFERROR(VLOOKUP(B249,input_351101!L:R,7,FALSE),VLOOKUP(tables_351101!C249,input_351101!A:H,8,FALSE))</f>
        <v>36860</v>
      </c>
      <c r="P249" s="46">
        <f t="shared" ca="1" si="11"/>
        <v>6.2179487179487179E-3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input_351101!A$2</f>
        <v>351101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IFERROR(VLOOKUP(B250,input_351101!L:R,7,FALSE),VLOOKUP(tables_351101!C250,input_351101!A:H,8,FALSE))</f>
        <v>33174</v>
      </c>
      <c r="P250" s="46">
        <f t="shared" ca="1" si="11"/>
        <v>5.5961538461538462E-3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input_351101!A$2</f>
        <v>351101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IFERROR(VLOOKUP(B251,input_351101!L:R,7,FALSE),VLOOKUP(tables_351101!C251,input_351101!A:H,8,FALSE))</f>
        <v>3686</v>
      </c>
      <c r="P251" s="46">
        <f t="shared" ca="1" si="11"/>
        <v>6.2179487179487181E-4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input_351101!A$2</f>
        <v>351101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IFERROR(VLOOKUP(B252,input_351101!L:R,7,FALSE),VLOOKUP(tables_351101!C252,input_351101!A:H,8,FALSE))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input_351101!A$2</f>
        <v>351101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IFERROR(VLOOKUP(B253,input_351101!L:R,7,FALSE),VLOOKUP(tables_351101!C253,input_351101!A:H,8,FALSE))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input_351101!A$2</f>
        <v>351101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IFERROR(VLOOKUP(B254,input_351101!L:R,7,FALSE),VLOOKUP(tables_351101!C254,input_351101!A:H,8,FALSE))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input_351101!A$2</f>
        <v>351101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IFERROR(VLOOKUP(B255,input_351101!L:R,7,FALSE),VLOOKUP(tables_351101!C255,input_351101!A:H,8,FALSE))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input_351101!A$2</f>
        <v>351101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IFERROR(VLOOKUP(B256,input_351101!L:R,7,FALSE),VLOOKUP(tables_351101!C256,input_351101!A:H,8,FALSE))</f>
        <v>62193.333330000001</v>
      </c>
      <c r="P256" s="46">
        <f t="shared" ca="1" si="11"/>
        <v>1.0491452990890689E-2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input_351101!A$2</f>
        <v>351101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IFERROR(VLOOKUP(B257,input_351101!L:R,7,FALSE),VLOOKUP(tables_351101!C257,input_351101!A:H,8,FALSE))</f>
        <v>11526.666670000001</v>
      </c>
      <c r="P257" s="46">
        <f t="shared" ca="1" si="11"/>
        <v>1.9444444450067476E-3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input_351101!A$2</f>
        <v>351101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IFERROR(VLOOKUP(B258,input_351101!L:R,7,FALSE),VLOOKUP(tables_351101!C258,input_351101!A:H,8,FALSE))</f>
        <v>62193.333330000001</v>
      </c>
      <c r="P258" s="46">
        <f t="shared" ca="1" si="11"/>
        <v>1.0491452990890689E-2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input_351101!A$2</f>
        <v>351101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IFERROR(VLOOKUP(B259,input_351101!L:R,7,FALSE),VLOOKUP(tables_351101!C259,input_351101!A:H,8,FALSE))</f>
        <v>11526.666670000001</v>
      </c>
      <c r="P259" s="46">
        <f t="shared" ca="1" si="11"/>
        <v>1.9444444450067476E-3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input_351101!A$2</f>
        <v>351101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IFERROR(VLOOKUP(B260,input_351101!L:R,7,FALSE),VLOOKUP(tables_351101!C260,input_351101!A:H,8,FALSE))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input_351101!A$2</f>
        <v>351101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IFERROR(VLOOKUP(B261,input_351101!L:R,7,FALSE),VLOOKUP(tables_351101!C261,input_351101!A:H,8,FALSE))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input_351101!A$2</f>
        <v>351101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IFERROR(VLOOKUP(B262,input_351101!L:R,7,FALSE),VLOOKUP(tables_351101!C262,input_351101!A:H,8,FALSE))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input_351101!A$2</f>
        <v>351101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IFERROR(VLOOKUP(B263,input_351101!L:R,7,FALSE),VLOOKUP(tables_351101!C263,input_351101!A:H,8,FALSE))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input_351101!A$2</f>
        <v>351101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IFERROR(VLOOKUP(B264,input_351101!L:R,7,FALSE),VLOOKUP(tables_351101!C264,input_351101!A:H,8,FALSE))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input_351101!A$2</f>
        <v>351101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IFERROR(VLOOKUP(B265,input_351101!L:R,7,FALSE),VLOOKUP(tables_351101!C265,input_351101!A:H,8,FALSE))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input_351101!A$2</f>
        <v>351101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IFERROR(VLOOKUP(B266,input_351101!L:R,7,FALSE),VLOOKUP(tables_351101!C266,input_351101!A:H,8,FALSE))</f>
        <v>36860</v>
      </c>
      <c r="P266" s="46">
        <f t="shared" ca="1" si="11"/>
        <v>6.2179487179487179E-3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input_351101!A$2</f>
        <v>351101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IFERROR(VLOOKUP(B267,input_351101!L:R,7,FALSE),VLOOKUP(tables_351101!C267,input_351101!A:H,8,FALSE))</f>
        <v>33174</v>
      </c>
      <c r="P267" s="46">
        <f t="shared" ca="1" si="11"/>
        <v>5.5961538461538462E-3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input_351101!A$2</f>
        <v>351101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IFERROR(VLOOKUP(B268,input_351101!L:R,7,FALSE),VLOOKUP(tables_351101!C268,input_351101!A:H,8,FALSE))</f>
        <v>3686</v>
      </c>
      <c r="P268" s="46">
        <f t="shared" ca="1" si="11"/>
        <v>6.2179487179487181E-4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input_351101!A$2</f>
        <v>351101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IFERROR(VLOOKUP(B269,input_351101!L:R,7,FALSE),VLOOKUP(tables_351101!C269,input_351101!A:H,8,FALSE))</f>
        <v>36860</v>
      </c>
      <c r="P269" s="46">
        <f t="shared" ca="1" si="11"/>
        <v>6.2179487179487179E-3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input_351101!A$2</f>
        <v>351101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IFERROR(VLOOKUP(B270,input_351101!L:R,7,FALSE),VLOOKUP(tables_351101!C270,input_351101!A:H,8,FALSE))</f>
        <v>33174</v>
      </c>
      <c r="P270" s="46">
        <f t="shared" ca="1" si="11"/>
        <v>5.5961538461538462E-3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input_351101!A$2</f>
        <v>351101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IFERROR(VLOOKUP(B271,input_351101!L:R,7,FALSE),VLOOKUP(tables_351101!C271,input_351101!A:H,8,FALSE))</f>
        <v>3686</v>
      </c>
      <c r="P271" s="46">
        <f t="shared" ref="P271:P283" ca="1" si="14">O271/SUM(O:O)</f>
        <v>6.2179487179487181E-4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input_351101!A$2</f>
        <v>351101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IFERROR(VLOOKUP(B272,input_351101!L:R,7,FALSE),VLOOKUP(tables_351101!C272,input_351101!A:H,8,FALSE))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input_351101!A$2</f>
        <v>351101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IFERROR(VLOOKUP(B273,input_351101!L:R,7,FALSE),VLOOKUP(tables_351101!C273,input_351101!A:H,8,FALSE))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input_351101!A$2</f>
        <v>351101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IFERROR(VLOOKUP(B274,input_351101!L:R,7,FALSE),VLOOKUP(tables_351101!C274,input_351101!A:H,8,FALSE))</f>
        <v>62193.333330000001</v>
      </c>
      <c r="P274" s="46">
        <f t="shared" ca="1" si="14"/>
        <v>1.0491452990890689E-2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input_351101!A$2</f>
        <v>351101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IFERROR(VLOOKUP(B275,input_351101!L:R,7,FALSE),VLOOKUP(tables_351101!C275,input_351101!A:H,8,FALSE))</f>
        <v>11526.666670000001</v>
      </c>
      <c r="P275" s="46">
        <f t="shared" ca="1" si="14"/>
        <v>1.9444444450067476E-3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input_351101!A$2</f>
        <v>351101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IFERROR(VLOOKUP(B276,input_351101!L:R,7,FALSE),VLOOKUP(tables_351101!C276,input_351101!A:H,8,FALSE))</f>
        <v>62193.333330000001</v>
      </c>
      <c r="P276" s="46">
        <f t="shared" ca="1" si="14"/>
        <v>1.0491452990890689E-2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input_351101!A$2</f>
        <v>351101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IFERROR(VLOOKUP(B277,input_351101!L:R,7,FALSE),VLOOKUP(tables_351101!C277,input_351101!A:H,8,FALSE))</f>
        <v>11526.666670000001</v>
      </c>
      <c r="P277" s="46">
        <f t="shared" ca="1" si="14"/>
        <v>1.9444444450067476E-3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input_351101!A$2</f>
        <v>351101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IFERROR(VLOOKUP(B278,input_351101!L:R,7,FALSE),VLOOKUP(tables_351101!C278,input_351101!A:H,8,FALSE))</f>
        <v>62193.333330000001</v>
      </c>
      <c r="P278" s="46">
        <f t="shared" ca="1" si="14"/>
        <v>1.0491452990890689E-2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input_351101!A$2</f>
        <v>351101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IFERROR(VLOOKUP(B279,input_351101!L:R,7,FALSE),VLOOKUP(tables_351101!C279,input_351101!A:H,8,FALSE))</f>
        <v>11526.666670000001</v>
      </c>
      <c r="P279" s="46">
        <f t="shared" ca="1" si="14"/>
        <v>1.9444444450067476E-3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input_351101!A$2</f>
        <v>351101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IFERROR(VLOOKUP(B280,input_351101!L:R,7,FALSE),VLOOKUP(tables_351101!C280,input_351101!A:H,8,FALSE))</f>
        <v>62193.333330000001</v>
      </c>
      <c r="P280" s="46">
        <f t="shared" ca="1" si="14"/>
        <v>1.0491452990890689E-2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input_351101!A$2</f>
        <v>351101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IFERROR(VLOOKUP(B281,input_351101!L:R,7,FALSE),VLOOKUP(tables_351101!C281,input_351101!A:H,8,FALSE))</f>
        <v>11526.666670000001</v>
      </c>
      <c r="P281" s="46">
        <f t="shared" ca="1" si="14"/>
        <v>1.9444444450067476E-3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input_351101!A$2</f>
        <v>351101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IFERROR(VLOOKUP(B282,input_351101!L:R,7,FALSE),VLOOKUP(tables_351101!C282,input_351101!A:H,8,FALSE))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input_351101!A$2</f>
        <v>351101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IFERROR(VLOOKUP(B283,input_351101!L:R,7,FALSE),VLOOKUP(tables_351101!C283,input_351101!A:H,8,FALSE))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13" sqref="B1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351100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VLOOKUP(L3,tables_351100!B:C,2,FALSE)</f>
        <v>#N/A</v>
      </c>
      <c r="R3" s="62">
        <f t="shared" ref="R3:R20" si="0">N3*A$36</f>
        <v>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(COUNTIF(tables_351100!C:C,input_351100!A26)+COUNTIF(tables_351100!C:C,input_351100!A28)+COUNTIF(tables_351100!C:C,input_351100!A29))</f>
        <v>38</v>
      </c>
      <c r="H5" s="87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1.2435897435897436E-2</v>
      </c>
      <c r="F6">
        <f>(COUNTIF(tables_351100!C:C,input_351100!A18)+COUNTIF(tables_351100!C:C,input_351100!A20)+COUNTIF(tables_351100!C:C,input_351100!A22))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5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COUNTIF(tables_351100!C:C,input_351100!A17)-COUNTIF(Q:Q,A17)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0.24871794871794872</v>
      </c>
      <c r="C18" s="75">
        <f t="shared" si="2"/>
        <v>0</v>
      </c>
      <c r="D18" s="76">
        <f t="shared" si="3"/>
        <v>0.24871794871794872</v>
      </c>
      <c r="E18">
        <f>COUNTIF(tables_351100!C:C,input_351100!A18)-COUNTIF(Q:Q,A18)</f>
        <v>20</v>
      </c>
      <c r="F18" s="43">
        <f t="shared" ref="F18:F31" si="7">IFERROR(B18/E18,0)</f>
        <v>1.2435897435897436E-2</v>
      </c>
      <c r="G18">
        <f t="shared" ref="G18:G31" si="8">A$36*B18</f>
        <v>1474400</v>
      </c>
      <c r="H18">
        <f t="shared" si="4"/>
        <v>73720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COUNTIF(tables_351100!C:C,input_351100!A19)-COUNTIF(Q:Q,A19)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0.61433333333333329</v>
      </c>
      <c r="C20" s="75">
        <f t="shared" si="2"/>
        <v>0</v>
      </c>
      <c r="D20" s="76">
        <f t="shared" si="3"/>
        <v>0.61433333333333329</v>
      </c>
      <c r="E20">
        <f>COUNTIF(tables_351100!C:C,input_351100!A20)-COUNTIF(Q:Q,A20)</f>
        <v>52</v>
      </c>
      <c r="F20" s="43">
        <f t="shared" si="7"/>
        <v>1.1814102564102563E-2</v>
      </c>
      <c r="G20">
        <f t="shared" si="8"/>
        <v>3641767.9999999995</v>
      </c>
      <c r="H20">
        <f t="shared" si="4"/>
        <v>70034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3.2333333333333332E-2</v>
      </c>
      <c r="C21" s="75">
        <f t="shared" si="2"/>
        <v>0</v>
      </c>
      <c r="D21" s="76">
        <f t="shared" si="3"/>
        <v>3.2333333333333332E-2</v>
      </c>
      <c r="E21">
        <f>COUNTIF(tables_351100!C:C,input_351100!A21)-COUNTIF(Q:Q,A21)</f>
        <v>52</v>
      </c>
      <c r="F21" s="43">
        <f t="shared" si="7"/>
        <v>6.2179487179487181E-4</v>
      </c>
      <c r="G21">
        <f t="shared" si="8"/>
        <v>191672</v>
      </c>
      <c r="H21">
        <f t="shared" si="4"/>
        <v>3686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6.2948717948717939E-2</v>
      </c>
      <c r="C22" s="75">
        <f t="shared" si="2"/>
        <v>0</v>
      </c>
      <c r="D22" s="76">
        <f t="shared" si="3"/>
        <v>6.2948717948717939E-2</v>
      </c>
      <c r="E22">
        <f>COUNTIF(tables_351100!C:C,input_351100!A22)-COUNTIF(Q:Q,A22)</f>
        <v>6</v>
      </c>
      <c r="F22" s="43">
        <f t="shared" si="7"/>
        <v>1.0491452991452989E-2</v>
      </c>
      <c r="G22">
        <f t="shared" si="8"/>
        <v>373159.99999999994</v>
      </c>
      <c r="H22">
        <f t="shared" si="4"/>
        <v>62193.333330000001</v>
      </c>
      <c r="I22">
        <f t="shared" si="5"/>
        <v>0.33333000000129687</v>
      </c>
      <c r="J22">
        <f t="shared" si="6"/>
        <v>3.0000300002883309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1.1666666666666672E-2</v>
      </c>
      <c r="C23" s="75">
        <f t="shared" si="2"/>
        <v>0</v>
      </c>
      <c r="D23" s="76">
        <f t="shared" si="3"/>
        <v>1.1666666666666672E-2</v>
      </c>
      <c r="E23">
        <f>COUNTIF(tables_351100!C:C,input_351100!A23)-COUNTIF(Q:Q,A23)</f>
        <v>6</v>
      </c>
      <c r="F23" s="43">
        <f t="shared" si="7"/>
        <v>1.9444444444444455E-3</v>
      </c>
      <c r="G23">
        <f t="shared" si="8"/>
        <v>69160.000000000029</v>
      </c>
      <c r="H23">
        <f t="shared" si="4"/>
        <v>11526.666670000001</v>
      </c>
      <c r="I23">
        <f t="shared" si="5"/>
        <v>0.66667000000052212</v>
      </c>
      <c r="J23">
        <f t="shared" si="6"/>
        <v>1.499992500036325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COUNTIF(tables_351100!C:C,input_351100!A24)-COUNTIF(Q:Q,A24)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COUNTIF(tables_351100!C:C,input_351100!A25)-COUNTIF(Q:Q,A25)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COUNTIF(tables_351100!C:C,input_351100!A26)-COUNTIF(Q:Q,A26)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COUNTIF(tables_351100!C:C,input_351100!A27)-COUNTIF(Q:Q,A27)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COUNTIF(tables_351100!C:C,input_351100!A28)-COUNTIF(Q:Q,A28)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COUNTIF(tables_351100!C:C,input_351100!A29)-COUNTIF(Q:Q,A29)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COUNTIF(tables_351100!C:C,input_351100!A30)-COUNTIF(Q:Q,A30)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COUNTIF(tables_351100!C:C,input_351100!A31)-COUNTIF(Q:Q,A31)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SUMIF(#REF!,input_351100!A40,#REF!)</f>
        <v>#REF!</v>
      </c>
      <c r="C40" s="54" t="e">
        <f t="shared" ref="C40:C46" si="9">B40/B$47</f>
        <v>#REF!</v>
      </c>
      <c r="E40">
        <v>3</v>
      </c>
      <c r="F40" t="e">
        <f>SUMIF(#REF!,input_351100!E40,#REF!)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SUMIF(#REF!,input_351100!A41,#REF!)</f>
        <v>#REF!</v>
      </c>
      <c r="C41" s="54" t="e">
        <f t="shared" si="9"/>
        <v>#REF!</v>
      </c>
      <c r="E41">
        <v>4</v>
      </c>
      <c r="F41" t="e">
        <f>SUMIF(#REF!,input_351100!E41,#REF!)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SUMIF(#REF!,input_351100!A42,#REF!)</f>
        <v>#REF!</v>
      </c>
      <c r="C42" s="54" t="e">
        <f t="shared" si="9"/>
        <v>#REF!</v>
      </c>
      <c r="E42">
        <v>5</v>
      </c>
      <c r="F42" t="e">
        <f>SUMIF(#REF!,input_351100!E42,#REF!)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SUMIF(#REF!,input_351100!A43,#REF!)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SUMIF(#REF!,input_351100!A44,#REF!)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SUMIF(#REF!,input_351100!A45,#REF!)</f>
        <v>#REF!</v>
      </c>
      <c r="C45" s="54" t="e">
        <f t="shared" si="9"/>
        <v>#REF!</v>
      </c>
      <c r="E45" t="s">
        <v>210</v>
      </c>
      <c r="F45" s="55" t="e">
        <f>SUMIF(#REF!,input_351100!E45,#REF!)</f>
        <v>#REF!</v>
      </c>
    </row>
    <row r="46" spans="1:7" x14ac:dyDescent="0.15">
      <c r="A46" s="33" t="s">
        <v>115</v>
      </c>
      <c r="B46" t="e">
        <f>SUMIF(#REF!,input_351100!A46,#REF!)</f>
        <v>#REF!</v>
      </c>
      <c r="C46" s="54" t="e">
        <f t="shared" si="9"/>
        <v>#REF!</v>
      </c>
      <c r="E46" t="s">
        <v>211</v>
      </c>
      <c r="F46" s="55" t="e">
        <f>SUMIF(#REF!,input_351100!E46,#REF!)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SUMIF(#REF!,input_351100!E47,#REF!)</f>
        <v>#REF!</v>
      </c>
    </row>
    <row r="48" spans="1:7" x14ac:dyDescent="0.15">
      <c r="E48" t="s">
        <v>213</v>
      </c>
      <c r="F48" s="55" t="e">
        <f>SUMIF(#REF!,input_351100!E48,#REF!)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61" activePane="bottomLeft" state="frozen"/>
      <selection activeCell="E12" sqref="E12"/>
      <selection pane="bottomLeft" activeCell="P264" sqref="P26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input_351100!A$2</f>
        <v>351100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IFERROR(VLOOKUP(B2,input_351100!L:R,7,FALSE),VLOOKUP(tables_351100!C2,input_351100!A:H,8,FALSE))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input_351100!A$2</f>
        <v>351100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IFERROR(VLOOKUP(B3,input_351100!L:R,7,FALSE),VLOOKUP(tables_351100!C3,input_351100!A:H,8,FALSE))</f>
        <v>73720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input_351100!A$2</f>
        <v>351100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IFERROR(VLOOKUP(B4,input_351100!L:R,7,FALSE),VLOOKUP(tables_351100!C4,input_351100!A:H,8,FALSE))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input_351100!A$2</f>
        <v>351100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IFERROR(VLOOKUP(B5,input_351100!L:R,7,FALSE),VLOOKUP(tables_351100!C5,input_351100!A:H,8,FALSE))</f>
        <v>73720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input_351100!A$2</f>
        <v>351100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IFERROR(VLOOKUP(B6,input_351100!L:R,7,FALSE),VLOOKUP(tables_351100!C6,input_351100!A:H,8,FALSE))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input_351100!A$2</f>
        <v>351100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IFERROR(VLOOKUP(B7,input_351100!L:R,7,FALSE),VLOOKUP(tables_351100!C7,input_351100!A:H,8,FALSE))</f>
        <v>73720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input_351100!A$2</f>
        <v>351100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IFERROR(VLOOKUP(B8,input_351100!L:R,7,FALSE),VLOOKUP(tables_351100!C8,input_351100!A:H,8,FALSE))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input_351100!A$2</f>
        <v>351100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IFERROR(VLOOKUP(B9,input_351100!L:R,7,FALSE),VLOOKUP(tables_351100!C9,input_351100!A:H,8,FALSE))</f>
        <v>73720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input_351100!A$2</f>
        <v>351100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IFERROR(VLOOKUP(B10,input_351100!L:R,7,FALSE),VLOOKUP(tables_351100!C10,input_351100!A:H,8,FALSE))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input_351100!A$2</f>
        <v>351100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IFERROR(VLOOKUP(B11,input_351100!L:R,7,FALSE),VLOOKUP(tables_351100!C11,input_351100!A:H,8,FALSE))</f>
        <v>73720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input_351100!A$2</f>
        <v>351100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IFERROR(VLOOKUP(B12,input_351100!L:R,7,FALSE),VLOOKUP(tables_351100!C12,input_351100!A:H,8,FALSE))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input_351100!A$2</f>
        <v>351100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IFERROR(VLOOKUP(B13,input_351100!L:R,7,FALSE),VLOOKUP(tables_351100!C13,input_351100!A:H,8,FALSE))</f>
        <v>73720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input_351100!A$2</f>
        <v>351100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IFERROR(VLOOKUP(B14,input_351100!L:R,7,FALSE),VLOOKUP(tables_351100!C14,input_351100!A:H,8,FALSE))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input_351100!A$2</f>
        <v>351100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IFERROR(VLOOKUP(B15,input_351100!L:R,7,FALSE),VLOOKUP(tables_351100!C15,input_351100!A:H,8,FALSE))</f>
        <v>73720</v>
      </c>
      <c r="P15" s="46">
        <f t="shared" ref="P15:P78" ca="1" si="2">O15/SUM(O:O)</f>
        <v>1.2435897435897436E-2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input_351100!A$2</f>
        <v>351100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IFERROR(VLOOKUP(B16,input_351100!L:R,7,FALSE),VLOOKUP(tables_351100!C16,input_351100!A:H,8,FALSE))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input_351100!A$2</f>
        <v>351100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IFERROR(VLOOKUP(B17,input_351100!L:R,7,FALSE),VLOOKUP(tables_351100!C17,input_351100!A:H,8,FALSE))</f>
        <v>73720</v>
      </c>
      <c r="P17" s="46">
        <f t="shared" ca="1" si="2"/>
        <v>1.2435897435897436E-2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input_351100!A$2</f>
        <v>351100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IFERROR(VLOOKUP(B18,input_351100!L:R,7,FALSE),VLOOKUP(tables_351100!C18,input_351100!A:H,8,FALSE))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input_351100!A$2</f>
        <v>351100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IFERROR(VLOOKUP(B19,input_351100!L:R,7,FALSE),VLOOKUP(tables_351100!C19,input_351100!A:H,8,FALSE))</f>
        <v>73720</v>
      </c>
      <c r="P19" s="46">
        <f t="shared" ca="1" si="2"/>
        <v>1.2435897435897436E-2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input_351100!A$2</f>
        <v>351100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IFERROR(VLOOKUP(B20,input_351100!L:R,7,FALSE),VLOOKUP(tables_351100!C20,input_351100!A:H,8,FALSE))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input_351100!A$2</f>
        <v>351100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IFERROR(VLOOKUP(B21,input_351100!L:R,7,FALSE),VLOOKUP(tables_351100!C21,input_351100!A:H,8,FALSE))</f>
        <v>73720</v>
      </c>
      <c r="P21" s="46">
        <f t="shared" ca="1" si="2"/>
        <v>1.2435897435897436E-2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input_351100!A$2</f>
        <v>351100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IFERROR(VLOOKUP(B22,input_351100!L:R,7,FALSE),VLOOKUP(tables_351100!C22,input_351100!A:H,8,FALSE))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input_351100!A$2</f>
        <v>351100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IFERROR(VLOOKUP(B23,input_351100!L:R,7,FALSE),VLOOKUP(tables_351100!C23,input_351100!A:H,8,FALSE))</f>
        <v>73720</v>
      </c>
      <c r="P23" s="46">
        <f t="shared" ca="1" si="2"/>
        <v>1.2435897435897436E-2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input_351100!A$2</f>
        <v>351100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IFERROR(VLOOKUP(B24,input_351100!L:R,7,FALSE),VLOOKUP(tables_351100!C24,input_351100!A:H,8,FALSE))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input_351100!A$2</f>
        <v>351100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IFERROR(VLOOKUP(B25,input_351100!L:R,7,FALSE),VLOOKUP(tables_351100!C25,input_351100!A:H,8,FALSE))</f>
        <v>73720</v>
      </c>
      <c r="P25" s="46">
        <f t="shared" ca="1" si="2"/>
        <v>1.2435897435897436E-2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input_351100!A$2</f>
        <v>351100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IFERROR(VLOOKUP(B26,input_351100!L:R,7,FALSE),VLOOKUP(tables_351100!C26,input_351100!A:H,8,FALSE))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input_351100!A$2</f>
        <v>351100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IFERROR(VLOOKUP(B27,input_351100!L:R,7,FALSE),VLOOKUP(tables_351100!C27,input_351100!A:H,8,FALSE))</f>
        <v>73720</v>
      </c>
      <c r="P27" s="46">
        <f t="shared" ca="1" si="2"/>
        <v>1.2435897435897436E-2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input_351100!A$2</f>
        <v>351100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IFERROR(VLOOKUP(B28,input_351100!L:R,7,FALSE),VLOOKUP(tables_351100!C28,input_351100!A:H,8,FALSE))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input_351100!A$2</f>
        <v>351100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IFERROR(VLOOKUP(B29,input_351100!L:R,7,FALSE),VLOOKUP(tables_351100!C29,input_351100!A:H,8,FALSE))</f>
        <v>73720</v>
      </c>
      <c r="P29" s="46">
        <f t="shared" ca="1" si="2"/>
        <v>1.2435897435897436E-2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input_351100!A$2</f>
        <v>351100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IFERROR(VLOOKUP(B30,input_351100!L:R,7,FALSE),VLOOKUP(tables_351100!C30,input_351100!A:H,8,FALSE))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input_351100!A$2</f>
        <v>351100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IFERROR(VLOOKUP(B31,input_351100!L:R,7,FALSE),VLOOKUP(tables_351100!C31,input_351100!A:H,8,FALSE))</f>
        <v>73720</v>
      </c>
      <c r="P31" s="46">
        <f t="shared" ca="1" si="2"/>
        <v>1.2435897435897436E-2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input_351100!A$2</f>
        <v>351100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IFERROR(VLOOKUP(B32,input_351100!L:R,7,FALSE),VLOOKUP(tables_351100!C32,input_351100!A:H,8,FALSE))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input_351100!A$2</f>
        <v>351100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IFERROR(VLOOKUP(B33,input_351100!L:R,7,FALSE),VLOOKUP(tables_351100!C33,input_351100!A:H,8,FALSE))</f>
        <v>73720</v>
      </c>
      <c r="P33" s="46">
        <f t="shared" ca="1" si="2"/>
        <v>1.2435897435897436E-2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input_351100!A$2</f>
        <v>351100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IFERROR(VLOOKUP(B34,input_351100!L:R,7,FALSE),VLOOKUP(tables_351100!C34,input_351100!A:H,8,FALSE))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input_351100!A$2</f>
        <v>351100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IFERROR(VLOOKUP(B35,input_351100!L:R,7,FALSE),VLOOKUP(tables_351100!C35,input_351100!A:H,8,FALSE))</f>
        <v>73720</v>
      </c>
      <c r="P35" s="46">
        <f t="shared" ca="1" si="2"/>
        <v>1.2435897435897436E-2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input_351100!A$2</f>
        <v>351100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IFERROR(VLOOKUP(B36,input_351100!L:R,7,FALSE),VLOOKUP(tables_351100!C36,input_351100!A:H,8,FALSE))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input_351100!A$2</f>
        <v>351100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IFERROR(VLOOKUP(B37,input_351100!L:R,7,FALSE),VLOOKUP(tables_351100!C37,input_351100!A:H,8,FALSE))</f>
        <v>73720</v>
      </c>
      <c r="P37" s="46">
        <f t="shared" ca="1" si="2"/>
        <v>1.2435897435897436E-2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input_351100!A$2</f>
        <v>351100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IFERROR(VLOOKUP(B38,input_351100!L:R,7,FALSE),VLOOKUP(tables_351100!C38,input_351100!A:H,8,FALSE))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input_351100!A$2</f>
        <v>351100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IFERROR(VLOOKUP(B39,input_351100!L:R,7,FALSE),VLOOKUP(tables_351100!C39,input_351100!A:H,8,FALSE))</f>
        <v>73720</v>
      </c>
      <c r="P39" s="46">
        <f t="shared" ca="1" si="2"/>
        <v>1.2435897435897436E-2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input_351100!A$2</f>
        <v>351100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IFERROR(VLOOKUP(B40,input_351100!L:R,7,FALSE),VLOOKUP(tables_351100!C40,input_351100!A:H,8,FALSE))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input_351100!A$2</f>
        <v>351100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IFERROR(VLOOKUP(B41,input_351100!L:R,7,FALSE),VLOOKUP(tables_351100!C41,input_351100!A:H,8,FALSE))</f>
        <v>73720</v>
      </c>
      <c r="P41" s="46">
        <f t="shared" ca="1" si="2"/>
        <v>1.2435897435897436E-2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input_351100!A$2</f>
        <v>351100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IFERROR(VLOOKUP(B42,input_351100!L:R,7,FALSE),VLOOKUP(tables_351100!C42,input_351100!A:H,8,FALSE))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input_351100!A$2</f>
        <v>351100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IFERROR(VLOOKUP(B43,input_351100!L:R,7,FALSE),VLOOKUP(tables_351100!C43,input_351100!A:H,8,FALSE))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input_351100!A$2</f>
        <v>351100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IFERROR(VLOOKUP(B44,input_351100!L:R,7,FALSE),VLOOKUP(tables_351100!C44,input_351100!A:H,8,FALSE))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input_351100!A$2</f>
        <v>351100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IFERROR(VLOOKUP(B45,input_351100!L:R,7,FALSE),VLOOKUP(tables_351100!C45,input_351100!A:H,8,FALSE))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input_351100!A$2</f>
        <v>351100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IFERROR(VLOOKUP(B46,input_351100!L:R,7,FALSE),VLOOKUP(tables_351100!C46,input_351100!A:H,8,FALSE))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input_351100!A$2</f>
        <v>351100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IFERROR(VLOOKUP(B47,input_351100!L:R,7,FALSE),VLOOKUP(tables_351100!C47,input_351100!A:H,8,FALSE))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input_351100!A$2</f>
        <v>351100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IFERROR(VLOOKUP(B48,input_351100!L:R,7,FALSE),VLOOKUP(tables_351100!C48,input_351100!A:H,8,FALSE))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input_351100!A$2</f>
        <v>351100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IFERROR(VLOOKUP(B49,input_351100!L:R,7,FALSE),VLOOKUP(tables_351100!C49,input_351100!A:H,8,FALSE))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input_351100!A$2</f>
        <v>351100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IFERROR(VLOOKUP(B50,input_351100!L:R,7,FALSE),VLOOKUP(tables_351100!C50,input_351100!A:H,8,FALSE))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input_351100!A$2</f>
        <v>351100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IFERROR(VLOOKUP(B51,input_351100!L:R,7,FALSE),VLOOKUP(tables_351100!C51,input_351100!A:H,8,FALSE))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input_351100!A$2</f>
        <v>351100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IFERROR(VLOOKUP(B52,input_351100!L:R,7,FALSE),VLOOKUP(tables_351100!C52,input_351100!A:H,8,FALSE))</f>
        <v>70034</v>
      </c>
      <c r="P52" s="46">
        <f t="shared" ca="1" si="2"/>
        <v>1.1814102564102565E-2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input_351100!A$2</f>
        <v>351100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IFERROR(VLOOKUP(B53,input_351100!L:R,7,FALSE),VLOOKUP(tables_351100!C53,input_351100!A:H,8,FALSE))</f>
        <v>3686</v>
      </c>
      <c r="P53" s="46">
        <f t="shared" ca="1" si="2"/>
        <v>6.2179487179487181E-4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input_351100!A$2</f>
        <v>351100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IFERROR(VLOOKUP(B54,input_351100!L:R,7,FALSE),VLOOKUP(tables_351100!C54,input_351100!A:H,8,FALSE))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input_351100!A$2</f>
        <v>351100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IFERROR(VLOOKUP(B55,input_351100!L:R,7,FALSE),VLOOKUP(tables_351100!C55,input_351100!A:H,8,FALSE))</f>
        <v>70034</v>
      </c>
      <c r="P55" s="46">
        <f t="shared" ca="1" si="2"/>
        <v>1.1814102564102565E-2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input_351100!A$2</f>
        <v>351100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IFERROR(VLOOKUP(B56,input_351100!L:R,7,FALSE),VLOOKUP(tables_351100!C56,input_351100!A:H,8,FALSE))</f>
        <v>3686</v>
      </c>
      <c r="P56" s="46">
        <f t="shared" ca="1" si="2"/>
        <v>6.2179487179487181E-4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input_351100!A$2</f>
        <v>351100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IFERROR(VLOOKUP(B57,input_351100!L:R,7,FALSE),VLOOKUP(tables_351100!C57,input_351100!A:H,8,FALSE))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input_351100!A$2</f>
        <v>351100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IFERROR(VLOOKUP(B58,input_351100!L:R,7,FALSE),VLOOKUP(tables_351100!C58,input_351100!A:H,8,FALSE))</f>
        <v>70034</v>
      </c>
      <c r="P58" s="46">
        <f t="shared" ca="1" si="2"/>
        <v>1.1814102564102565E-2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input_351100!A$2</f>
        <v>351100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IFERROR(VLOOKUP(B59,input_351100!L:R,7,FALSE),VLOOKUP(tables_351100!C59,input_351100!A:H,8,FALSE))</f>
        <v>3686</v>
      </c>
      <c r="P59" s="46">
        <f t="shared" ca="1" si="2"/>
        <v>6.2179487179487181E-4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input_351100!A$2</f>
        <v>351100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IFERROR(VLOOKUP(B60,input_351100!L:R,7,FALSE),VLOOKUP(tables_351100!C60,input_351100!A:H,8,FALSE))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input_351100!A$2</f>
        <v>351100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IFERROR(VLOOKUP(B61,input_351100!L:R,7,FALSE),VLOOKUP(tables_351100!C61,input_351100!A:H,8,FALSE))</f>
        <v>70034</v>
      </c>
      <c r="P61" s="46">
        <f t="shared" ca="1" si="2"/>
        <v>1.1814102564102565E-2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input_351100!A$2</f>
        <v>351100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IFERROR(VLOOKUP(B62,input_351100!L:R,7,FALSE),VLOOKUP(tables_351100!C62,input_351100!A:H,8,FALSE))</f>
        <v>3686</v>
      </c>
      <c r="P62" s="46">
        <f t="shared" ca="1" si="2"/>
        <v>6.2179487179487181E-4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input_351100!A$2</f>
        <v>351100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IFERROR(VLOOKUP(B63,input_351100!L:R,7,FALSE),VLOOKUP(tables_351100!C63,input_351100!A:H,8,FALSE))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input_351100!A$2</f>
        <v>351100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IFERROR(VLOOKUP(B64,input_351100!L:R,7,FALSE),VLOOKUP(tables_351100!C64,input_351100!A:H,8,FALSE))</f>
        <v>70034</v>
      </c>
      <c r="P64" s="46">
        <f t="shared" ca="1" si="2"/>
        <v>1.1814102564102565E-2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input_351100!A$2</f>
        <v>351100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IFERROR(VLOOKUP(B65,input_351100!L:R,7,FALSE),VLOOKUP(tables_351100!C65,input_351100!A:H,8,FALSE))</f>
        <v>3686</v>
      </c>
      <c r="P65" s="46">
        <f t="shared" ca="1" si="2"/>
        <v>6.2179487179487181E-4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input_351100!A$2</f>
        <v>351100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IFERROR(VLOOKUP(B66,input_351100!L:R,7,FALSE),VLOOKUP(tables_351100!C66,input_351100!A:H,8,FALSE))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input_351100!A$2</f>
        <v>351100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IFERROR(VLOOKUP(B67,input_351100!L:R,7,FALSE),VLOOKUP(tables_351100!C67,input_351100!A:H,8,FALSE))</f>
        <v>70034</v>
      </c>
      <c r="P67" s="46">
        <f t="shared" ca="1" si="2"/>
        <v>1.1814102564102565E-2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input_351100!A$2</f>
        <v>351100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IFERROR(VLOOKUP(B68,input_351100!L:R,7,FALSE),VLOOKUP(tables_351100!C68,input_351100!A:H,8,FALSE))</f>
        <v>3686</v>
      </c>
      <c r="P68" s="46">
        <f t="shared" ca="1" si="2"/>
        <v>6.2179487179487181E-4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input_351100!A$2</f>
        <v>351100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IFERROR(VLOOKUP(B69,input_351100!L:R,7,FALSE),VLOOKUP(tables_351100!C69,input_351100!A:H,8,FALSE))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input_351100!A$2</f>
        <v>351100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IFERROR(VLOOKUP(B70,input_351100!L:R,7,FALSE),VLOOKUP(tables_351100!C70,input_351100!A:H,8,FALSE))</f>
        <v>70034</v>
      </c>
      <c r="P70" s="46">
        <f t="shared" ca="1" si="2"/>
        <v>1.1814102564102565E-2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input_351100!A$2</f>
        <v>351100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IFERROR(VLOOKUP(B71,input_351100!L:R,7,FALSE),VLOOKUP(tables_351100!C71,input_351100!A:H,8,FALSE))</f>
        <v>3686</v>
      </c>
      <c r="P71" s="46">
        <f t="shared" ca="1" si="2"/>
        <v>6.2179487179487181E-4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input_351100!A$2</f>
        <v>351100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IFERROR(VLOOKUP(B72,input_351100!L:R,7,FALSE),VLOOKUP(tables_351100!C72,input_351100!A:H,8,FALSE))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input_351100!A$2</f>
        <v>351100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IFERROR(VLOOKUP(B73,input_351100!L:R,7,FALSE),VLOOKUP(tables_351100!C73,input_351100!A:H,8,FALSE))</f>
        <v>70034</v>
      </c>
      <c r="P73" s="46">
        <f t="shared" ca="1" si="2"/>
        <v>1.1814102564102565E-2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input_351100!A$2</f>
        <v>351100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IFERROR(VLOOKUP(B74,input_351100!L:R,7,FALSE),VLOOKUP(tables_351100!C74,input_351100!A:H,8,FALSE))</f>
        <v>3686</v>
      </c>
      <c r="P74" s="46">
        <f t="shared" ca="1" si="2"/>
        <v>6.2179487179487181E-4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input_351100!A$2</f>
        <v>351100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IFERROR(VLOOKUP(B75,input_351100!L:R,7,FALSE),VLOOKUP(tables_351100!C75,input_351100!A:H,8,FALSE))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input_351100!A$2</f>
        <v>351100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IFERROR(VLOOKUP(B76,input_351100!L:R,7,FALSE),VLOOKUP(tables_351100!C76,input_351100!A:H,8,FALSE))</f>
        <v>70034</v>
      </c>
      <c r="P76" s="46">
        <f t="shared" ca="1" si="2"/>
        <v>1.1814102564102565E-2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input_351100!A$2</f>
        <v>351100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IFERROR(VLOOKUP(B77,input_351100!L:R,7,FALSE),VLOOKUP(tables_351100!C77,input_351100!A:H,8,FALSE))</f>
        <v>3686</v>
      </c>
      <c r="P77" s="46">
        <f t="shared" ca="1" si="2"/>
        <v>6.2179487179487181E-4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input_351100!A$2</f>
        <v>351100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IFERROR(VLOOKUP(B78,input_351100!L:R,7,FALSE),VLOOKUP(tables_351100!C78,input_351100!A:H,8,FALSE))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input_351100!A$2</f>
        <v>351100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IFERROR(VLOOKUP(B79,input_351100!L:R,7,FALSE),VLOOKUP(tables_351100!C79,input_351100!A:H,8,FALSE))</f>
        <v>70034</v>
      </c>
      <c r="P79" s="46">
        <f t="shared" ref="P79:P142" ca="1" si="5">O79/SUM(O:O)</f>
        <v>1.1814102564102565E-2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input_351100!A$2</f>
        <v>351100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IFERROR(VLOOKUP(B80,input_351100!L:R,7,FALSE),VLOOKUP(tables_351100!C80,input_351100!A:H,8,FALSE))</f>
        <v>3686</v>
      </c>
      <c r="P80" s="46">
        <f t="shared" ca="1" si="5"/>
        <v>6.2179487179487181E-4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input_351100!A$2</f>
        <v>351100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IFERROR(VLOOKUP(B81,input_351100!L:R,7,FALSE),VLOOKUP(tables_351100!C81,input_351100!A:H,8,FALSE))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input_351100!A$2</f>
        <v>351100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IFERROR(VLOOKUP(B82,input_351100!L:R,7,FALSE),VLOOKUP(tables_351100!C82,input_351100!A:H,8,FALSE))</f>
        <v>70034</v>
      </c>
      <c r="P82" s="46">
        <f t="shared" ca="1" si="5"/>
        <v>1.1814102564102565E-2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input_351100!A$2</f>
        <v>351100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IFERROR(VLOOKUP(B83,input_351100!L:R,7,FALSE),VLOOKUP(tables_351100!C83,input_351100!A:H,8,FALSE))</f>
        <v>3686</v>
      </c>
      <c r="P83" s="46">
        <f t="shared" ca="1" si="5"/>
        <v>6.2179487179487181E-4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input_351100!A$2</f>
        <v>351100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IFERROR(VLOOKUP(B84,input_351100!L:R,7,FALSE),VLOOKUP(tables_351100!C84,input_351100!A:H,8,FALSE))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input_351100!A$2</f>
        <v>351100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IFERROR(VLOOKUP(B85,input_351100!L:R,7,FALSE),VLOOKUP(tables_351100!C85,input_351100!A:H,8,FALSE))</f>
        <v>70034</v>
      </c>
      <c r="P85" s="46">
        <f t="shared" ca="1" si="5"/>
        <v>1.1814102564102565E-2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input_351100!A$2</f>
        <v>351100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IFERROR(VLOOKUP(B86,input_351100!L:R,7,FALSE),VLOOKUP(tables_351100!C86,input_351100!A:H,8,FALSE))</f>
        <v>3686</v>
      </c>
      <c r="P86" s="46">
        <f t="shared" ca="1" si="5"/>
        <v>6.2179487179487181E-4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input_351100!A$2</f>
        <v>351100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IFERROR(VLOOKUP(B87,input_351100!L:R,7,FALSE),VLOOKUP(tables_351100!C87,input_351100!A:H,8,FALSE))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input_351100!A$2</f>
        <v>351100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IFERROR(VLOOKUP(B88,input_351100!L:R,7,FALSE),VLOOKUP(tables_351100!C88,input_351100!A:H,8,FALSE))</f>
        <v>70034</v>
      </c>
      <c r="P88" s="46">
        <f t="shared" ca="1" si="5"/>
        <v>1.1814102564102565E-2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input_351100!A$2</f>
        <v>351100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IFERROR(VLOOKUP(B89,input_351100!L:R,7,FALSE),VLOOKUP(tables_351100!C89,input_351100!A:H,8,FALSE))</f>
        <v>3686</v>
      </c>
      <c r="P89" s="46">
        <f t="shared" ca="1" si="5"/>
        <v>6.2179487179487181E-4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input_351100!A$2</f>
        <v>351100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IFERROR(VLOOKUP(B90,input_351100!L:R,7,FALSE),VLOOKUP(tables_351100!C90,input_351100!A:H,8,FALSE))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input_351100!A$2</f>
        <v>351100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IFERROR(VLOOKUP(B91,input_351100!L:R,7,FALSE),VLOOKUP(tables_351100!C91,input_351100!A:H,8,FALSE))</f>
        <v>70034</v>
      </c>
      <c r="P91" s="46">
        <f t="shared" ca="1" si="5"/>
        <v>1.1814102564102565E-2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input_351100!A$2</f>
        <v>351100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IFERROR(VLOOKUP(B92,input_351100!L:R,7,FALSE),VLOOKUP(tables_351100!C92,input_351100!A:H,8,FALSE))</f>
        <v>3686</v>
      </c>
      <c r="P92" s="46">
        <f t="shared" ca="1" si="5"/>
        <v>6.2179487179487181E-4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input_351100!A$2</f>
        <v>351100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IFERROR(VLOOKUP(B93,input_351100!L:R,7,FALSE),VLOOKUP(tables_351100!C93,input_351100!A:H,8,FALSE))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input_351100!A$2</f>
        <v>351100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IFERROR(VLOOKUP(B94,input_351100!L:R,7,FALSE),VLOOKUP(tables_351100!C94,input_351100!A:H,8,FALSE))</f>
        <v>70034</v>
      </c>
      <c r="P94" s="46">
        <f t="shared" ca="1" si="5"/>
        <v>1.1814102564102565E-2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input_351100!A$2</f>
        <v>351100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IFERROR(VLOOKUP(B95,input_351100!L:R,7,FALSE),VLOOKUP(tables_351100!C95,input_351100!A:H,8,FALSE))</f>
        <v>3686</v>
      </c>
      <c r="P95" s="46">
        <f t="shared" ca="1" si="5"/>
        <v>6.2179487179487181E-4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input_351100!A$2</f>
        <v>351100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IFERROR(VLOOKUP(B96,input_351100!L:R,7,FALSE),VLOOKUP(tables_351100!C96,input_351100!A:H,8,FALSE))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input_351100!A$2</f>
        <v>351100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IFERROR(VLOOKUP(B97,input_351100!L:R,7,FALSE),VLOOKUP(tables_351100!C97,input_351100!A:H,8,FALSE))</f>
        <v>70034</v>
      </c>
      <c r="P97" s="46">
        <f t="shared" ca="1" si="5"/>
        <v>1.1814102564102565E-2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input_351100!A$2</f>
        <v>351100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IFERROR(VLOOKUP(B98,input_351100!L:R,7,FALSE),VLOOKUP(tables_351100!C98,input_351100!A:H,8,FALSE))</f>
        <v>3686</v>
      </c>
      <c r="P98" s="46">
        <f t="shared" ca="1" si="5"/>
        <v>6.2179487179487181E-4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input_351100!A$2</f>
        <v>351100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IFERROR(VLOOKUP(B99,input_351100!L:R,7,FALSE),VLOOKUP(tables_351100!C99,input_351100!A:H,8,FALSE))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input_351100!A$2</f>
        <v>351100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IFERROR(VLOOKUP(B100,input_351100!L:R,7,FALSE),VLOOKUP(tables_351100!C100,input_351100!A:H,8,FALSE))</f>
        <v>70034</v>
      </c>
      <c r="P100" s="46">
        <f t="shared" ca="1" si="5"/>
        <v>1.1814102564102565E-2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input_351100!A$2</f>
        <v>351100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IFERROR(VLOOKUP(B101,input_351100!L:R,7,FALSE),VLOOKUP(tables_351100!C101,input_351100!A:H,8,FALSE))</f>
        <v>3686</v>
      </c>
      <c r="P101" s="46">
        <f t="shared" ca="1" si="5"/>
        <v>6.2179487179487181E-4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input_351100!A$2</f>
        <v>351100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IFERROR(VLOOKUP(B102,input_351100!L:R,7,FALSE),VLOOKUP(tables_351100!C102,input_351100!A:H,8,FALSE))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input_351100!A$2</f>
        <v>351100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IFERROR(VLOOKUP(B103,input_351100!L:R,7,FALSE),VLOOKUP(tables_351100!C103,input_351100!A:H,8,FALSE))</f>
        <v>70034</v>
      </c>
      <c r="P103" s="46">
        <f t="shared" ca="1" si="5"/>
        <v>1.1814102564102565E-2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input_351100!A$2</f>
        <v>351100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IFERROR(VLOOKUP(B104,input_351100!L:R,7,FALSE),VLOOKUP(tables_351100!C104,input_351100!A:H,8,FALSE))</f>
        <v>3686</v>
      </c>
      <c r="P104" s="46">
        <f t="shared" ca="1" si="5"/>
        <v>6.2179487179487181E-4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input_351100!A$2</f>
        <v>351100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IFERROR(VLOOKUP(B105,input_351100!L:R,7,FALSE),VLOOKUP(tables_351100!C105,input_351100!A:H,8,FALSE))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input_351100!A$2</f>
        <v>351100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IFERROR(VLOOKUP(B106,input_351100!L:R,7,FALSE),VLOOKUP(tables_351100!C106,input_351100!A:H,8,FALSE))</f>
        <v>70034</v>
      </c>
      <c r="P106" s="46">
        <f t="shared" ca="1" si="5"/>
        <v>1.1814102564102565E-2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input_351100!A$2</f>
        <v>351100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IFERROR(VLOOKUP(B107,input_351100!L:R,7,FALSE),VLOOKUP(tables_351100!C107,input_351100!A:H,8,FALSE))</f>
        <v>3686</v>
      </c>
      <c r="P107" s="46">
        <f t="shared" ca="1" si="5"/>
        <v>6.2179487179487181E-4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input_351100!A$2</f>
        <v>351100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IFERROR(VLOOKUP(B108,input_351100!L:R,7,FALSE),VLOOKUP(tables_351100!C108,input_351100!A:H,8,FALSE))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input_351100!A$2</f>
        <v>351100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IFERROR(VLOOKUP(B109,input_351100!L:R,7,FALSE),VLOOKUP(tables_351100!C109,input_351100!A:H,8,FALSE))</f>
        <v>70034</v>
      </c>
      <c r="P109" s="46">
        <f t="shared" ca="1" si="5"/>
        <v>1.1814102564102565E-2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input_351100!A$2</f>
        <v>351100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IFERROR(VLOOKUP(B110,input_351100!L:R,7,FALSE),VLOOKUP(tables_351100!C110,input_351100!A:H,8,FALSE))</f>
        <v>3686</v>
      </c>
      <c r="P110" s="46">
        <f t="shared" ca="1" si="5"/>
        <v>6.2179487179487181E-4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input_351100!A$2</f>
        <v>351100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IFERROR(VLOOKUP(B111,input_351100!L:R,7,FALSE),VLOOKUP(tables_351100!C111,input_351100!A:H,8,FALSE))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input_351100!A$2</f>
        <v>351100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IFERROR(VLOOKUP(B112,input_351100!L:R,7,FALSE),VLOOKUP(tables_351100!C112,input_351100!A:H,8,FALSE))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input_351100!A$2</f>
        <v>351100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IFERROR(VLOOKUP(B113,input_351100!L:R,7,FALSE),VLOOKUP(tables_351100!C113,input_351100!A:H,8,FALSE))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input_351100!A$2</f>
        <v>351100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IFERROR(VLOOKUP(B114,input_351100!L:R,7,FALSE),VLOOKUP(tables_351100!C114,input_351100!A:H,8,FALSE))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input_351100!A$2</f>
        <v>351100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IFERROR(VLOOKUP(B115,input_351100!L:R,7,FALSE),VLOOKUP(tables_351100!C115,input_351100!A:H,8,FALSE))</f>
        <v>70034</v>
      </c>
      <c r="P115" s="46">
        <f t="shared" ca="1" si="5"/>
        <v>1.1814102564102565E-2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input_351100!A$2</f>
        <v>351100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IFERROR(VLOOKUP(B116,input_351100!L:R,7,FALSE),VLOOKUP(tables_351100!C116,input_351100!A:H,8,FALSE))</f>
        <v>3686</v>
      </c>
      <c r="P116" s="46">
        <f t="shared" ca="1" si="5"/>
        <v>6.2179487179487181E-4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input_351100!A$2</f>
        <v>351100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IFERROR(VLOOKUP(B117,input_351100!L:R,7,FALSE),VLOOKUP(tables_351100!C117,input_351100!A:H,8,FALSE))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input_351100!A$2</f>
        <v>351100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IFERROR(VLOOKUP(B118,input_351100!L:R,7,FALSE),VLOOKUP(tables_351100!C118,input_351100!A:H,8,FALSE))</f>
        <v>70034</v>
      </c>
      <c r="P118" s="46">
        <f t="shared" ca="1" si="5"/>
        <v>1.1814102564102565E-2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input_351100!A$2</f>
        <v>351100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IFERROR(VLOOKUP(B119,input_351100!L:R,7,FALSE),VLOOKUP(tables_351100!C119,input_351100!A:H,8,FALSE))</f>
        <v>3686</v>
      </c>
      <c r="P119" s="46">
        <f t="shared" ca="1" si="5"/>
        <v>6.2179487179487181E-4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input_351100!A$2</f>
        <v>351100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IFERROR(VLOOKUP(B120,input_351100!L:R,7,FALSE),VLOOKUP(tables_351100!C120,input_351100!A:H,8,FALSE))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input_351100!A$2</f>
        <v>351100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IFERROR(VLOOKUP(B121,input_351100!L:R,7,FALSE),VLOOKUP(tables_351100!C121,input_351100!A:H,8,FALSE))</f>
        <v>70034</v>
      </c>
      <c r="P121" s="46">
        <f t="shared" ca="1" si="5"/>
        <v>1.1814102564102565E-2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input_351100!A$2</f>
        <v>351100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IFERROR(VLOOKUP(B122,input_351100!L:R,7,FALSE),VLOOKUP(tables_351100!C122,input_351100!A:H,8,FALSE))</f>
        <v>3686</v>
      </c>
      <c r="P122" s="46">
        <f t="shared" ca="1" si="5"/>
        <v>6.2179487179487181E-4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input_351100!A$2</f>
        <v>351100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IFERROR(VLOOKUP(B123,input_351100!L:R,7,FALSE),VLOOKUP(tables_351100!C123,input_351100!A:H,8,FALSE))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input_351100!A$2</f>
        <v>351100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IFERROR(VLOOKUP(B124,input_351100!L:R,7,FALSE),VLOOKUP(tables_351100!C124,input_351100!A:H,8,FALSE))</f>
        <v>70034</v>
      </c>
      <c r="P124" s="46">
        <f t="shared" ca="1" si="5"/>
        <v>1.1814102564102565E-2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input_351100!A$2</f>
        <v>351100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IFERROR(VLOOKUP(B125,input_351100!L:R,7,FALSE),VLOOKUP(tables_351100!C125,input_351100!A:H,8,FALSE))</f>
        <v>3686</v>
      </c>
      <c r="P125" s="46">
        <f t="shared" ca="1" si="5"/>
        <v>6.2179487179487181E-4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input_351100!A$2</f>
        <v>351100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IFERROR(VLOOKUP(B126,input_351100!L:R,7,FALSE),VLOOKUP(tables_351100!C126,input_351100!A:H,8,FALSE))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input_351100!A$2</f>
        <v>351100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IFERROR(VLOOKUP(B127,input_351100!L:R,7,FALSE),VLOOKUP(tables_351100!C127,input_351100!A:H,8,FALSE))</f>
        <v>70034</v>
      </c>
      <c r="P127" s="46">
        <f t="shared" ca="1" si="5"/>
        <v>1.1814102564102565E-2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input_351100!A$2</f>
        <v>351100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IFERROR(VLOOKUP(B128,input_351100!L:R,7,FALSE),VLOOKUP(tables_351100!C128,input_351100!A:H,8,FALSE))</f>
        <v>3686</v>
      </c>
      <c r="P128" s="46">
        <f t="shared" ca="1" si="5"/>
        <v>6.2179487179487181E-4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input_351100!A$2</f>
        <v>351100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IFERROR(VLOOKUP(B129,input_351100!L:R,7,FALSE),VLOOKUP(tables_351100!C129,input_351100!A:H,8,FALSE))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input_351100!A$2</f>
        <v>351100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IFERROR(VLOOKUP(B130,input_351100!L:R,7,FALSE),VLOOKUP(tables_351100!C130,input_351100!A:H,8,FALSE))</f>
        <v>70034</v>
      </c>
      <c r="P130" s="46">
        <f t="shared" ca="1" si="5"/>
        <v>1.1814102564102565E-2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input_351100!A$2</f>
        <v>351100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IFERROR(VLOOKUP(B131,input_351100!L:R,7,FALSE),VLOOKUP(tables_351100!C131,input_351100!A:H,8,FALSE))</f>
        <v>3686</v>
      </c>
      <c r="P131" s="46">
        <f t="shared" ca="1" si="5"/>
        <v>6.2179487179487181E-4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input_351100!A$2</f>
        <v>351100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IFERROR(VLOOKUP(B132,input_351100!L:R,7,FALSE),VLOOKUP(tables_351100!C132,input_351100!A:H,8,FALSE))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input_351100!A$2</f>
        <v>351100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IFERROR(VLOOKUP(B133,input_351100!L:R,7,FALSE),VLOOKUP(tables_351100!C133,input_351100!A:H,8,FALSE))</f>
        <v>70034</v>
      </c>
      <c r="P133" s="46">
        <f t="shared" ca="1" si="5"/>
        <v>1.1814102564102565E-2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input_351100!A$2</f>
        <v>351100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IFERROR(VLOOKUP(B134,input_351100!L:R,7,FALSE),VLOOKUP(tables_351100!C134,input_351100!A:H,8,FALSE))</f>
        <v>3686</v>
      </c>
      <c r="P134" s="46">
        <f t="shared" ca="1" si="5"/>
        <v>6.2179487179487181E-4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input_351100!A$2</f>
        <v>351100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IFERROR(VLOOKUP(B135,input_351100!L:R,7,FALSE),VLOOKUP(tables_351100!C135,input_351100!A:H,8,FALSE))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input_351100!A$2</f>
        <v>351100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IFERROR(VLOOKUP(B136,input_351100!L:R,7,FALSE),VLOOKUP(tables_351100!C136,input_351100!A:H,8,FALSE))</f>
        <v>70034</v>
      </c>
      <c r="P136" s="46">
        <f t="shared" ca="1" si="5"/>
        <v>1.1814102564102565E-2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input_351100!A$2</f>
        <v>351100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IFERROR(VLOOKUP(B137,input_351100!L:R,7,FALSE),VLOOKUP(tables_351100!C137,input_351100!A:H,8,FALSE))</f>
        <v>3686</v>
      </c>
      <c r="P137" s="46">
        <f t="shared" ca="1" si="5"/>
        <v>6.2179487179487181E-4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input_351100!A$2</f>
        <v>351100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IFERROR(VLOOKUP(B138,input_351100!L:R,7,FALSE),VLOOKUP(tables_351100!C138,input_351100!A:H,8,FALSE))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input_351100!A$2</f>
        <v>351100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IFERROR(VLOOKUP(B139,input_351100!L:R,7,FALSE),VLOOKUP(tables_351100!C139,input_351100!A:H,8,FALSE))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input_351100!A$2</f>
        <v>351100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IFERROR(VLOOKUP(B140,input_351100!L:R,7,FALSE),VLOOKUP(tables_351100!C140,input_351100!A:H,8,FALSE))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input_351100!A$2</f>
        <v>351100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IFERROR(VLOOKUP(B141,input_351100!L:R,7,FALSE),VLOOKUP(tables_351100!C141,input_351100!A:H,8,FALSE))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input_351100!A$2</f>
        <v>351100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IFERROR(VLOOKUP(B142,input_351100!L:R,7,FALSE),VLOOKUP(tables_351100!C142,input_351100!A:H,8,FALSE))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input_351100!A$2</f>
        <v>351100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IFERROR(VLOOKUP(B143,input_351100!L:R,7,FALSE),VLOOKUP(tables_351100!C143,input_351100!A:H,8,FALSE))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input_351100!A$2</f>
        <v>351100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IFERROR(VLOOKUP(B144,input_351100!L:R,7,FALSE),VLOOKUP(tables_351100!C144,input_351100!A:H,8,FALSE))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input_351100!A$2</f>
        <v>351100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IFERROR(VLOOKUP(B145,input_351100!L:R,7,FALSE),VLOOKUP(tables_351100!C145,input_351100!A:H,8,FALSE))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input_351100!A$2</f>
        <v>351100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IFERROR(VLOOKUP(B146,input_351100!L:R,7,FALSE),VLOOKUP(tables_351100!C146,input_351100!A:H,8,FALSE))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input_351100!A$2</f>
        <v>351100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IFERROR(VLOOKUP(B147,input_351100!L:R,7,FALSE),VLOOKUP(tables_351100!C147,input_351100!A:H,8,FALSE))</f>
        <v>70034</v>
      </c>
      <c r="P147" s="46">
        <f t="shared" ca="1" si="8"/>
        <v>1.1814102564102565E-2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input_351100!A$2</f>
        <v>351100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IFERROR(VLOOKUP(B148,input_351100!L:R,7,FALSE),VLOOKUP(tables_351100!C148,input_351100!A:H,8,FALSE))</f>
        <v>3686</v>
      </c>
      <c r="P148" s="46">
        <f t="shared" ca="1" si="8"/>
        <v>6.2179487179487181E-4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input_351100!A$2</f>
        <v>351100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IFERROR(VLOOKUP(B149,input_351100!L:R,7,FALSE),VLOOKUP(tables_351100!C149,input_351100!A:H,8,FALSE))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input_351100!A$2</f>
        <v>351100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IFERROR(VLOOKUP(B150,input_351100!L:R,7,FALSE),VLOOKUP(tables_351100!C150,input_351100!A:H,8,FALSE))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input_351100!A$2</f>
        <v>351100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IFERROR(VLOOKUP(B151,input_351100!L:R,7,FALSE),VLOOKUP(tables_351100!C151,input_351100!A:H,8,FALSE))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input_351100!A$2</f>
        <v>351100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IFERROR(VLOOKUP(B152,input_351100!L:R,7,FALSE),VLOOKUP(tables_351100!C152,input_351100!A:H,8,FALSE))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input_351100!A$2</f>
        <v>351100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IFERROR(VLOOKUP(B153,input_351100!L:R,7,FALSE),VLOOKUP(tables_351100!C153,input_351100!A:H,8,FALSE))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input_351100!A$2</f>
        <v>351100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IFERROR(VLOOKUP(B154,input_351100!L:R,7,FALSE),VLOOKUP(tables_351100!C154,input_351100!A:H,8,FALSE))</f>
        <v>70034</v>
      </c>
      <c r="P154" s="46">
        <f t="shared" ca="1" si="8"/>
        <v>1.1814102564102565E-2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input_351100!A$2</f>
        <v>351100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IFERROR(VLOOKUP(B155,input_351100!L:R,7,FALSE),VLOOKUP(tables_351100!C155,input_351100!A:H,8,FALSE))</f>
        <v>3686</v>
      </c>
      <c r="P155" s="46">
        <f t="shared" ca="1" si="8"/>
        <v>6.2179487179487181E-4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input_351100!A$2</f>
        <v>351100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IFERROR(VLOOKUP(B156,input_351100!L:R,7,FALSE),VLOOKUP(tables_351100!C156,input_351100!A:H,8,FALSE))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input_351100!A$2</f>
        <v>351100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IFERROR(VLOOKUP(B157,input_351100!L:R,7,FALSE),VLOOKUP(tables_351100!C157,input_351100!A:H,8,FALSE))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input_351100!A$2</f>
        <v>351100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IFERROR(VLOOKUP(B158,input_351100!L:R,7,FALSE),VLOOKUP(tables_351100!C158,input_351100!A:H,8,FALSE))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input_351100!A$2</f>
        <v>351100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IFERROR(VLOOKUP(B159,input_351100!L:R,7,FALSE),VLOOKUP(tables_351100!C159,input_351100!A:H,8,FALSE))</f>
        <v>70034</v>
      </c>
      <c r="P159" s="46">
        <f t="shared" ca="1" si="8"/>
        <v>1.1814102564102565E-2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input_351100!A$2</f>
        <v>351100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IFERROR(VLOOKUP(B160,input_351100!L:R,7,FALSE),VLOOKUP(tables_351100!C160,input_351100!A:H,8,FALSE))</f>
        <v>3686</v>
      </c>
      <c r="P160" s="46">
        <f t="shared" ca="1" si="8"/>
        <v>6.2179487179487181E-4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input_351100!A$2</f>
        <v>351100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IFERROR(VLOOKUP(B161,input_351100!L:R,7,FALSE),VLOOKUP(tables_351100!C161,input_351100!A:H,8,FALSE))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input_351100!A$2</f>
        <v>351100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IFERROR(VLOOKUP(B162,input_351100!L:R,7,FALSE),VLOOKUP(tables_351100!C162,input_351100!A:H,8,FALSE))</f>
        <v>70034</v>
      </c>
      <c r="P162" s="46">
        <f t="shared" ca="1" si="8"/>
        <v>1.1814102564102565E-2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input_351100!A$2</f>
        <v>351100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IFERROR(VLOOKUP(B163,input_351100!L:R,7,FALSE),VLOOKUP(tables_351100!C163,input_351100!A:H,8,FALSE))</f>
        <v>3686</v>
      </c>
      <c r="P163" s="46">
        <f t="shared" ca="1" si="8"/>
        <v>6.2179487179487181E-4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input_351100!A$2</f>
        <v>351100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IFERROR(VLOOKUP(B164,input_351100!L:R,7,FALSE),VLOOKUP(tables_351100!C164,input_351100!A:H,8,FALSE))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input_351100!A$2</f>
        <v>351100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IFERROR(VLOOKUP(B165,input_351100!L:R,7,FALSE),VLOOKUP(tables_351100!C165,input_351100!A:H,8,FALSE))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input_351100!A$2</f>
        <v>351100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IFERROR(VLOOKUP(B166,input_351100!L:R,7,FALSE),VLOOKUP(tables_351100!C166,input_351100!A:H,8,FALSE))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input_351100!A$2</f>
        <v>351100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IFERROR(VLOOKUP(B167,input_351100!L:R,7,FALSE),VLOOKUP(tables_351100!C167,input_351100!A:H,8,FALSE))</f>
        <v>70034</v>
      </c>
      <c r="P167" s="46">
        <f t="shared" ca="1" si="8"/>
        <v>1.1814102564102565E-2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input_351100!A$2</f>
        <v>351100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IFERROR(VLOOKUP(B168,input_351100!L:R,7,FALSE),VLOOKUP(tables_351100!C168,input_351100!A:H,8,FALSE))</f>
        <v>3686</v>
      </c>
      <c r="P168" s="46">
        <f t="shared" ca="1" si="8"/>
        <v>6.2179487179487181E-4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input_351100!A$2</f>
        <v>351100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IFERROR(VLOOKUP(B169,input_351100!L:R,7,FALSE),VLOOKUP(tables_351100!C169,input_351100!A:H,8,FALSE))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input_351100!A$2</f>
        <v>351100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IFERROR(VLOOKUP(B170,input_351100!L:R,7,FALSE),VLOOKUP(tables_351100!C170,input_351100!A:H,8,FALSE))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input_351100!A$2</f>
        <v>351100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IFERROR(VLOOKUP(B171,input_351100!L:R,7,FALSE),VLOOKUP(tables_351100!C171,input_351100!A:H,8,FALSE))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input_351100!A$2</f>
        <v>351100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IFERROR(VLOOKUP(B172,input_351100!L:R,7,FALSE),VLOOKUP(tables_351100!C172,input_351100!A:H,8,FALSE))</f>
        <v>70034</v>
      </c>
      <c r="P172" s="46">
        <f t="shared" ca="1" si="8"/>
        <v>1.1814102564102565E-2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input_351100!A$2</f>
        <v>351100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IFERROR(VLOOKUP(B173,input_351100!L:R,7,FALSE),VLOOKUP(tables_351100!C173,input_351100!A:H,8,FALSE))</f>
        <v>3686</v>
      </c>
      <c r="P173" s="46">
        <f t="shared" ca="1" si="8"/>
        <v>6.2179487179487181E-4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input_351100!A$2</f>
        <v>351100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IFERROR(VLOOKUP(B174,input_351100!L:R,7,FALSE),VLOOKUP(tables_351100!C174,input_351100!A:H,8,FALSE))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input_351100!A$2</f>
        <v>351100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IFERROR(VLOOKUP(B175,input_351100!L:R,7,FALSE),VLOOKUP(tables_351100!C175,input_351100!A:H,8,FALSE))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input_351100!A$2</f>
        <v>351100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IFERROR(VLOOKUP(B176,input_351100!L:R,7,FALSE),VLOOKUP(tables_351100!C176,input_351100!A:H,8,FALSE))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input_351100!A$2</f>
        <v>351100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IFERROR(VLOOKUP(B177,input_351100!L:R,7,FALSE),VLOOKUP(tables_351100!C177,input_351100!A:H,8,FALSE))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input_351100!A$2</f>
        <v>351100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IFERROR(VLOOKUP(B178,input_351100!L:R,7,FALSE),VLOOKUP(tables_351100!C178,input_351100!A:H,8,FALSE))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input_351100!A$2</f>
        <v>351100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IFERROR(VLOOKUP(B179,input_351100!L:R,7,FALSE),VLOOKUP(tables_351100!C179,input_351100!A:H,8,FALSE))</f>
        <v>70034</v>
      </c>
      <c r="P179" s="46">
        <f t="shared" ca="1" si="8"/>
        <v>1.1814102564102565E-2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input_351100!A$2</f>
        <v>351100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IFERROR(VLOOKUP(B180,input_351100!L:R,7,FALSE),VLOOKUP(tables_351100!C180,input_351100!A:H,8,FALSE))</f>
        <v>3686</v>
      </c>
      <c r="P180" s="46">
        <f t="shared" ca="1" si="8"/>
        <v>6.2179487179487181E-4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input_351100!A$2</f>
        <v>351100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IFERROR(VLOOKUP(B181,input_351100!L:R,7,FALSE),VLOOKUP(tables_351100!C181,input_351100!A:H,8,FALSE))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input_351100!A$2</f>
        <v>351100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IFERROR(VLOOKUP(B182,input_351100!L:R,7,FALSE),VLOOKUP(tables_351100!C182,input_351100!A:H,8,FALSE))</f>
        <v>70034</v>
      </c>
      <c r="P182" s="46">
        <f t="shared" ca="1" si="8"/>
        <v>1.1814102564102565E-2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input_351100!A$2</f>
        <v>351100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IFERROR(VLOOKUP(B183,input_351100!L:R,7,FALSE),VLOOKUP(tables_351100!C183,input_351100!A:H,8,FALSE))</f>
        <v>3686</v>
      </c>
      <c r="P183" s="46">
        <f t="shared" ca="1" si="8"/>
        <v>6.2179487179487181E-4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input_351100!A$2</f>
        <v>351100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IFERROR(VLOOKUP(B184,input_351100!L:R,7,FALSE),VLOOKUP(tables_351100!C184,input_351100!A:H,8,FALSE))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input_351100!A$2</f>
        <v>351100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IFERROR(VLOOKUP(B185,input_351100!L:R,7,FALSE),VLOOKUP(tables_351100!C185,input_351100!A:H,8,FALSE))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input_351100!A$2</f>
        <v>351100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IFERROR(VLOOKUP(B186,input_351100!L:R,7,FALSE),VLOOKUP(tables_351100!C186,input_351100!A:H,8,FALSE))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input_351100!A$2</f>
        <v>351100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IFERROR(VLOOKUP(B187,input_351100!L:R,7,FALSE),VLOOKUP(tables_351100!C187,input_351100!A:H,8,FALSE))</f>
        <v>70034</v>
      </c>
      <c r="P187" s="46">
        <f t="shared" ca="1" si="8"/>
        <v>1.1814102564102565E-2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input_351100!A$2</f>
        <v>351100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IFERROR(VLOOKUP(B188,input_351100!L:R,7,FALSE),VLOOKUP(tables_351100!C188,input_351100!A:H,8,FALSE))</f>
        <v>3686</v>
      </c>
      <c r="P188" s="46">
        <f t="shared" ca="1" si="8"/>
        <v>6.2179487179487181E-4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input_351100!A$2</f>
        <v>351100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IFERROR(VLOOKUP(B189,input_351100!L:R,7,FALSE),VLOOKUP(tables_351100!C189,input_351100!A:H,8,FALSE))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input_351100!A$2</f>
        <v>351100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IFERROR(VLOOKUP(B190,input_351100!L:R,7,FALSE),VLOOKUP(tables_351100!C190,input_351100!A:H,8,FALSE))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input_351100!A$2</f>
        <v>351100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IFERROR(VLOOKUP(B191,input_351100!L:R,7,FALSE),VLOOKUP(tables_351100!C191,input_351100!A:H,8,FALSE))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input_351100!A$2</f>
        <v>351100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IFERROR(VLOOKUP(B192,input_351100!L:R,7,FALSE),VLOOKUP(tables_351100!C192,input_351100!A:H,8,FALSE))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input_351100!A$2</f>
        <v>351100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IFERROR(VLOOKUP(B193,input_351100!L:R,7,FALSE),VLOOKUP(tables_351100!C193,input_351100!A:H,8,FALSE))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input_351100!A$2</f>
        <v>351100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IFERROR(VLOOKUP(B194,input_351100!L:R,7,FALSE),VLOOKUP(tables_351100!C194,input_351100!A:H,8,FALSE))</f>
        <v>70034</v>
      </c>
      <c r="P194" s="46">
        <f t="shared" ca="1" si="8"/>
        <v>1.1814102564102565E-2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input_351100!A$2</f>
        <v>351100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IFERROR(VLOOKUP(B195,input_351100!L:R,7,FALSE),VLOOKUP(tables_351100!C195,input_351100!A:H,8,FALSE))</f>
        <v>3686</v>
      </c>
      <c r="P195" s="46">
        <f t="shared" ca="1" si="8"/>
        <v>6.2179487179487181E-4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input_351100!A$2</f>
        <v>351100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IFERROR(VLOOKUP(B196,input_351100!L:R,7,FALSE),VLOOKUP(tables_351100!C196,input_351100!A:H,8,FALSE))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input_351100!A$2</f>
        <v>351100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IFERROR(VLOOKUP(B197,input_351100!L:R,7,FALSE),VLOOKUP(tables_351100!C197,input_351100!A:H,8,FALSE))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input_351100!A$2</f>
        <v>351100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IFERROR(VLOOKUP(B198,input_351100!L:R,7,FALSE),VLOOKUP(tables_351100!C198,input_351100!A:H,8,FALSE))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input_351100!A$2</f>
        <v>351100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IFERROR(VLOOKUP(B199,input_351100!L:R,7,FALSE),VLOOKUP(tables_351100!C199,input_351100!A:H,8,FALSE))</f>
        <v>70034</v>
      </c>
      <c r="P199" s="46">
        <f t="shared" ca="1" si="8"/>
        <v>1.1814102564102565E-2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input_351100!A$2</f>
        <v>351100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IFERROR(VLOOKUP(B200,input_351100!L:R,7,FALSE),VLOOKUP(tables_351100!C200,input_351100!A:H,8,FALSE))</f>
        <v>3686</v>
      </c>
      <c r="P200" s="46">
        <f t="shared" ca="1" si="8"/>
        <v>6.2179487179487181E-4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input_351100!A$2</f>
        <v>351100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IFERROR(VLOOKUP(B201,input_351100!L:R,7,FALSE),VLOOKUP(tables_351100!C201,input_351100!A:H,8,FALSE))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input_351100!A$2</f>
        <v>351100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IFERROR(VLOOKUP(B202,input_351100!L:R,7,FALSE),VLOOKUP(tables_351100!C202,input_351100!A:H,8,FALSE))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input_351100!A$2</f>
        <v>351100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IFERROR(VLOOKUP(B203,input_351100!L:R,7,FALSE),VLOOKUP(tables_351100!C203,input_351100!A:H,8,FALSE))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input_351100!A$2</f>
        <v>351100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IFERROR(VLOOKUP(B204,input_351100!L:R,7,FALSE),VLOOKUP(tables_351100!C204,input_351100!A:H,8,FALSE))</f>
        <v>70034</v>
      </c>
      <c r="P204" s="46">
        <f t="shared" ca="1" si="8"/>
        <v>1.1814102564102565E-2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input_351100!A$2</f>
        <v>351100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IFERROR(VLOOKUP(B205,input_351100!L:R,7,FALSE),VLOOKUP(tables_351100!C205,input_351100!A:H,8,FALSE))</f>
        <v>3686</v>
      </c>
      <c r="P205" s="46">
        <f t="shared" ca="1" si="8"/>
        <v>6.2179487179487181E-4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input_351100!A$2</f>
        <v>351100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IFERROR(VLOOKUP(B206,input_351100!L:R,7,FALSE),VLOOKUP(tables_351100!C206,input_351100!A:H,8,FALSE))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input_351100!A$2</f>
        <v>351100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IFERROR(VLOOKUP(B207,input_351100!L:R,7,FALSE),VLOOKUP(tables_351100!C207,input_351100!A:H,8,FALSE))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input_351100!A$2</f>
        <v>351100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IFERROR(VLOOKUP(B208,input_351100!L:R,7,FALSE),VLOOKUP(tables_351100!C208,input_351100!A:H,8,FALSE))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input_351100!A$2</f>
        <v>351100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IFERROR(VLOOKUP(B209,input_351100!L:R,7,FALSE),VLOOKUP(tables_351100!C209,input_351100!A:H,8,FALSE))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input_351100!A$2</f>
        <v>351100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IFERROR(VLOOKUP(B210,input_351100!L:R,7,FALSE),VLOOKUP(tables_351100!C210,input_351100!A:H,8,FALSE))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input_351100!A$2</f>
        <v>351100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IFERROR(VLOOKUP(B211,input_351100!L:R,7,FALSE),VLOOKUP(tables_351100!C211,input_351100!A:H,8,FALSE))</f>
        <v>70034</v>
      </c>
      <c r="P211" s="46">
        <f t="shared" ca="1" si="11"/>
        <v>1.1814102564102565E-2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input_351100!A$2</f>
        <v>351100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IFERROR(VLOOKUP(B212,input_351100!L:R,7,FALSE),VLOOKUP(tables_351100!C212,input_351100!A:H,8,FALSE))</f>
        <v>3686</v>
      </c>
      <c r="P212" s="46">
        <f t="shared" ca="1" si="11"/>
        <v>6.2179487179487181E-4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input_351100!A$2</f>
        <v>351100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IFERROR(VLOOKUP(B213,input_351100!L:R,7,FALSE),VLOOKUP(tables_351100!C213,input_351100!A:H,8,FALSE))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input_351100!A$2</f>
        <v>351100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IFERROR(VLOOKUP(B214,input_351100!L:R,7,FALSE),VLOOKUP(tables_351100!C214,input_351100!A:H,8,FALSE))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input_351100!A$2</f>
        <v>351100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IFERROR(VLOOKUP(B215,input_351100!L:R,7,FALSE),VLOOKUP(tables_351100!C215,input_351100!A:H,8,FALSE))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input_351100!A$2</f>
        <v>351100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IFERROR(VLOOKUP(B216,input_351100!L:R,7,FALSE),VLOOKUP(tables_351100!C216,input_351100!A:H,8,FALSE))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input_351100!A$2</f>
        <v>351100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IFERROR(VLOOKUP(B217,input_351100!L:R,7,FALSE),VLOOKUP(tables_351100!C217,input_351100!A:H,8,FALSE))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input_351100!A$2</f>
        <v>351100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IFERROR(VLOOKUP(B218,input_351100!L:R,7,FALSE),VLOOKUP(tables_351100!C218,input_351100!A:H,8,FALSE))</f>
        <v>70034</v>
      </c>
      <c r="P218" s="46">
        <f t="shared" ca="1" si="11"/>
        <v>1.1814102564102565E-2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input_351100!A$2</f>
        <v>351100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IFERROR(VLOOKUP(B219,input_351100!L:R,7,FALSE),VLOOKUP(tables_351100!C219,input_351100!A:H,8,FALSE))</f>
        <v>3686</v>
      </c>
      <c r="P219" s="46">
        <f t="shared" ca="1" si="11"/>
        <v>6.2179487179487181E-4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input_351100!A$2</f>
        <v>351100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IFERROR(VLOOKUP(B220,input_351100!L:R,7,FALSE),VLOOKUP(tables_351100!C220,input_351100!A:H,8,FALSE))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input_351100!A$2</f>
        <v>351100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IFERROR(VLOOKUP(B221,input_351100!L:R,7,FALSE),VLOOKUP(tables_351100!C221,input_351100!A:H,8,FALSE))</f>
        <v>70034</v>
      </c>
      <c r="P221" s="46">
        <f t="shared" ca="1" si="11"/>
        <v>1.1814102564102565E-2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input_351100!A$2</f>
        <v>351100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IFERROR(VLOOKUP(B222,input_351100!L:R,7,FALSE),VLOOKUP(tables_351100!C222,input_351100!A:H,8,FALSE))</f>
        <v>3686</v>
      </c>
      <c r="P222" s="46">
        <f t="shared" ca="1" si="11"/>
        <v>6.2179487179487181E-4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input_351100!A$2</f>
        <v>351100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IFERROR(VLOOKUP(B223,input_351100!L:R,7,FALSE),VLOOKUP(tables_351100!C223,input_351100!A:H,8,FALSE))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input_351100!A$2</f>
        <v>351100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IFERROR(VLOOKUP(B224,input_351100!L:R,7,FALSE),VLOOKUP(tables_351100!C224,input_351100!A:H,8,FALSE))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input_351100!A$2</f>
        <v>351100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IFERROR(VLOOKUP(B225,input_351100!L:R,7,FALSE),VLOOKUP(tables_351100!C225,input_351100!A:H,8,FALSE))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input_351100!A$2</f>
        <v>351100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IFERROR(VLOOKUP(B226,input_351100!L:R,7,FALSE),VLOOKUP(tables_351100!C226,input_351100!A:H,8,FALSE))</f>
        <v>70034</v>
      </c>
      <c r="P226" s="46">
        <f t="shared" ca="1" si="11"/>
        <v>1.1814102564102565E-2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input_351100!A$2</f>
        <v>351100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IFERROR(VLOOKUP(B227,input_351100!L:R,7,FALSE),VLOOKUP(tables_351100!C227,input_351100!A:H,8,FALSE))</f>
        <v>3686</v>
      </c>
      <c r="P227" s="46">
        <f t="shared" ca="1" si="11"/>
        <v>6.2179487179487181E-4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input_351100!A$2</f>
        <v>351100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IFERROR(VLOOKUP(B228,input_351100!L:R,7,FALSE),VLOOKUP(tables_351100!C228,input_351100!A:H,8,FALSE))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input_351100!A$2</f>
        <v>351100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IFERROR(VLOOKUP(B229,input_351100!L:R,7,FALSE),VLOOKUP(tables_351100!C229,input_351100!A:H,8,FALSE))</f>
        <v>70034</v>
      </c>
      <c r="P229" s="46">
        <f t="shared" ca="1" si="11"/>
        <v>1.1814102564102565E-2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input_351100!A$2</f>
        <v>351100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IFERROR(VLOOKUP(B230,input_351100!L:R,7,FALSE),VLOOKUP(tables_351100!C230,input_351100!A:H,8,FALSE))</f>
        <v>3686</v>
      </c>
      <c r="P230" s="46">
        <f t="shared" ca="1" si="11"/>
        <v>6.2179487179487181E-4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input_351100!A$2</f>
        <v>351100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IFERROR(VLOOKUP(B231,input_351100!L:R,7,FALSE),VLOOKUP(tables_351100!C231,input_351100!A:H,8,FALSE))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input_351100!A$2</f>
        <v>351100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IFERROR(VLOOKUP(B232,input_351100!L:R,7,FALSE),VLOOKUP(tables_351100!C232,input_351100!A:H,8,FALSE))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input_351100!A$2</f>
        <v>351100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IFERROR(VLOOKUP(B233,input_351100!L:R,7,FALSE),VLOOKUP(tables_351100!C233,input_351100!A:H,8,FALSE))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input_351100!A$2</f>
        <v>351100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IFERROR(VLOOKUP(B234,input_351100!L:R,7,FALSE),VLOOKUP(tables_351100!C234,input_351100!A:H,8,FALSE))</f>
        <v>70034</v>
      </c>
      <c r="P234" s="46">
        <f t="shared" ca="1" si="11"/>
        <v>1.1814102564102565E-2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input_351100!A$2</f>
        <v>351100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IFERROR(VLOOKUP(B235,input_351100!L:R,7,FALSE),VLOOKUP(tables_351100!C235,input_351100!A:H,8,FALSE))</f>
        <v>3686</v>
      </c>
      <c r="P235" s="46">
        <f t="shared" ca="1" si="11"/>
        <v>6.2179487179487181E-4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input_351100!A$2</f>
        <v>351100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IFERROR(VLOOKUP(B236,input_351100!L:R,7,FALSE),VLOOKUP(tables_351100!C236,input_351100!A:H,8,FALSE))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input_351100!A$2</f>
        <v>351100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IFERROR(VLOOKUP(B237,input_351100!L:R,7,FALSE),VLOOKUP(tables_351100!C237,input_351100!A:H,8,FALSE))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input_351100!A$2</f>
        <v>351100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IFERROR(VLOOKUP(B238,input_351100!L:R,7,FALSE),VLOOKUP(tables_351100!C238,input_351100!A:H,8,FALSE))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input_351100!A$2</f>
        <v>351100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IFERROR(VLOOKUP(B239,input_351100!L:R,7,FALSE),VLOOKUP(tables_351100!C239,input_351100!A:H,8,FALSE))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input_351100!A$2</f>
        <v>351100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IFERROR(VLOOKUP(B240,input_351100!L:R,7,FALSE),VLOOKUP(tables_351100!C240,input_351100!A:H,8,FALSE))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input_351100!A$2</f>
        <v>351100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IFERROR(VLOOKUP(B241,input_351100!L:R,7,FALSE),VLOOKUP(tables_351100!C241,input_351100!A:H,8,FALSE))</f>
        <v>70034</v>
      </c>
      <c r="P241" s="46">
        <f t="shared" ca="1" si="11"/>
        <v>1.1814102564102565E-2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input_351100!A$2</f>
        <v>351100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IFERROR(VLOOKUP(B242,input_351100!L:R,7,FALSE),VLOOKUP(tables_351100!C242,input_351100!A:H,8,FALSE))</f>
        <v>3686</v>
      </c>
      <c r="P242" s="46">
        <f t="shared" ca="1" si="11"/>
        <v>6.2179487179487181E-4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input_351100!A$2</f>
        <v>351100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IFERROR(VLOOKUP(B243,input_351100!L:R,7,FALSE),VLOOKUP(tables_351100!C243,input_351100!A:H,8,FALSE))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input_351100!A$2</f>
        <v>351100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IFERROR(VLOOKUP(B244,input_351100!L:R,7,FALSE),VLOOKUP(tables_351100!C244,input_351100!A:H,8,FALSE))</f>
        <v>70034</v>
      </c>
      <c r="P244" s="46">
        <f t="shared" ca="1" si="11"/>
        <v>1.1814102564102565E-2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input_351100!A$2</f>
        <v>351100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IFERROR(VLOOKUP(B245,input_351100!L:R,7,FALSE),VLOOKUP(tables_351100!C245,input_351100!A:H,8,FALSE))</f>
        <v>3686</v>
      </c>
      <c r="P245" s="46">
        <f t="shared" ca="1" si="11"/>
        <v>6.2179487179487181E-4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input_351100!A$2</f>
        <v>351100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IFERROR(VLOOKUP(B246,input_351100!L:R,7,FALSE),VLOOKUP(tables_351100!C246,input_351100!A:H,8,FALSE))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input_351100!A$2</f>
        <v>351100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IFERROR(VLOOKUP(B247,input_351100!L:R,7,FALSE),VLOOKUP(tables_351100!C247,input_351100!A:H,8,FALSE))</f>
        <v>70034</v>
      </c>
      <c r="P247" s="46">
        <f t="shared" ca="1" si="11"/>
        <v>1.1814102564102565E-2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input_351100!A$2</f>
        <v>351100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IFERROR(VLOOKUP(B248,input_351100!L:R,7,FALSE),VLOOKUP(tables_351100!C248,input_351100!A:H,8,FALSE))</f>
        <v>3686</v>
      </c>
      <c r="P248" s="46">
        <f t="shared" ca="1" si="11"/>
        <v>6.2179487179487181E-4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input_351100!A$2</f>
        <v>351100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IFERROR(VLOOKUP(B249,input_351100!L:R,7,FALSE),VLOOKUP(tables_351100!C249,input_351100!A:H,8,FALSE))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input_351100!A$2</f>
        <v>351100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IFERROR(VLOOKUP(B250,input_351100!L:R,7,FALSE),VLOOKUP(tables_351100!C250,input_351100!A:H,8,FALSE))</f>
        <v>70034</v>
      </c>
      <c r="P250" s="46">
        <f t="shared" ca="1" si="11"/>
        <v>1.1814102564102565E-2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input_351100!A$2</f>
        <v>351100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IFERROR(VLOOKUP(B251,input_351100!L:R,7,FALSE),VLOOKUP(tables_351100!C251,input_351100!A:H,8,FALSE))</f>
        <v>3686</v>
      </c>
      <c r="P251" s="46">
        <f t="shared" ca="1" si="11"/>
        <v>6.2179487179487181E-4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input_351100!A$2</f>
        <v>351100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IFERROR(VLOOKUP(B252,input_351100!L:R,7,FALSE),VLOOKUP(tables_351100!C252,input_351100!A:H,8,FALSE))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input_351100!A$2</f>
        <v>351100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IFERROR(VLOOKUP(B253,input_351100!L:R,7,FALSE),VLOOKUP(tables_351100!C253,input_351100!A:H,8,FALSE))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input_351100!A$2</f>
        <v>351100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IFERROR(VLOOKUP(B254,input_351100!L:R,7,FALSE),VLOOKUP(tables_351100!C254,input_351100!A:H,8,FALSE))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input_351100!A$2</f>
        <v>351100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IFERROR(VLOOKUP(B255,input_351100!L:R,7,FALSE),VLOOKUP(tables_351100!C255,input_351100!A:H,8,FALSE))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input_351100!A$2</f>
        <v>351100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IFERROR(VLOOKUP(B256,input_351100!L:R,7,FALSE),VLOOKUP(tables_351100!C256,input_351100!A:H,8,FALSE))</f>
        <v>62193.333330000001</v>
      </c>
      <c r="P256" s="46">
        <f t="shared" ca="1" si="11"/>
        <v>1.0491452990890689E-2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input_351100!A$2</f>
        <v>351100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IFERROR(VLOOKUP(B257,input_351100!L:R,7,FALSE),VLOOKUP(tables_351100!C257,input_351100!A:H,8,FALSE))</f>
        <v>11526.666670000001</v>
      </c>
      <c r="P257" s="46">
        <f t="shared" ca="1" si="11"/>
        <v>1.9444444450067476E-3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input_351100!A$2</f>
        <v>351100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IFERROR(VLOOKUP(B258,input_351100!L:R,7,FALSE),VLOOKUP(tables_351100!C258,input_351100!A:H,8,FALSE))</f>
        <v>62193.333330000001</v>
      </c>
      <c r="P258" s="46">
        <f t="shared" ca="1" si="11"/>
        <v>1.0491452990890689E-2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input_351100!A$2</f>
        <v>351100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IFERROR(VLOOKUP(B259,input_351100!L:R,7,FALSE),VLOOKUP(tables_351100!C259,input_351100!A:H,8,FALSE))</f>
        <v>11526.666670000001</v>
      </c>
      <c r="P259" s="46">
        <f t="shared" ca="1" si="11"/>
        <v>1.9444444450067476E-3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input_351100!A$2</f>
        <v>351100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IFERROR(VLOOKUP(B260,input_351100!L:R,7,FALSE),VLOOKUP(tables_351100!C260,input_351100!A:H,8,FALSE))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input_351100!A$2</f>
        <v>351100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IFERROR(VLOOKUP(B261,input_351100!L:R,7,FALSE),VLOOKUP(tables_351100!C261,input_351100!A:H,8,FALSE))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input_351100!A$2</f>
        <v>351100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IFERROR(VLOOKUP(B262,input_351100!L:R,7,FALSE),VLOOKUP(tables_351100!C262,input_351100!A:H,8,FALSE))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input_351100!A$2</f>
        <v>351100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IFERROR(VLOOKUP(B263,input_351100!L:R,7,FALSE),VLOOKUP(tables_351100!C263,input_351100!A:H,8,FALSE))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input_351100!A$2</f>
        <v>351100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IFERROR(VLOOKUP(B264,input_351100!L:R,7,FALSE),VLOOKUP(tables_351100!C264,input_351100!A:H,8,FALSE))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input_351100!A$2</f>
        <v>351100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IFERROR(VLOOKUP(B265,input_351100!L:R,7,FALSE),VLOOKUP(tables_351100!C265,input_351100!A:H,8,FALSE))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input_351100!A$2</f>
        <v>351100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IFERROR(VLOOKUP(B266,input_351100!L:R,7,FALSE),VLOOKUP(tables_351100!C266,input_351100!A:H,8,FALSE))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input_351100!A$2</f>
        <v>351100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IFERROR(VLOOKUP(B267,input_351100!L:R,7,FALSE),VLOOKUP(tables_351100!C267,input_351100!A:H,8,FALSE))</f>
        <v>70034</v>
      </c>
      <c r="P267" s="46">
        <f t="shared" ca="1" si="11"/>
        <v>1.1814102564102565E-2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input_351100!A$2</f>
        <v>351100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IFERROR(VLOOKUP(B268,input_351100!L:R,7,FALSE),VLOOKUP(tables_351100!C268,input_351100!A:H,8,FALSE))</f>
        <v>3686</v>
      </c>
      <c r="P268" s="46">
        <f t="shared" ca="1" si="11"/>
        <v>6.2179487179487181E-4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input_351100!A$2</f>
        <v>351100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IFERROR(VLOOKUP(B269,input_351100!L:R,7,FALSE),VLOOKUP(tables_351100!C269,input_351100!A:H,8,FALSE))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input_351100!A$2</f>
        <v>351100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IFERROR(VLOOKUP(B270,input_351100!L:R,7,FALSE),VLOOKUP(tables_351100!C270,input_351100!A:H,8,FALSE))</f>
        <v>70034</v>
      </c>
      <c r="P270" s="46">
        <f t="shared" ca="1" si="11"/>
        <v>1.1814102564102565E-2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input_351100!A$2</f>
        <v>351100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IFERROR(VLOOKUP(B271,input_351100!L:R,7,FALSE),VLOOKUP(tables_351100!C271,input_351100!A:H,8,FALSE))</f>
        <v>3686</v>
      </c>
      <c r="P271" s="46">
        <f t="shared" ref="P271:P283" ca="1" si="14">O271/SUM(O:O)</f>
        <v>6.2179487179487181E-4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input_351100!A$2</f>
        <v>351100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IFERROR(VLOOKUP(B272,input_351100!L:R,7,FALSE),VLOOKUP(tables_351100!C272,input_351100!A:H,8,FALSE))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input_351100!A$2</f>
        <v>351100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IFERROR(VLOOKUP(B273,input_351100!L:R,7,FALSE),VLOOKUP(tables_351100!C273,input_351100!A:H,8,FALSE))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input_351100!A$2</f>
        <v>351100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IFERROR(VLOOKUP(B274,input_351100!L:R,7,FALSE),VLOOKUP(tables_351100!C274,input_351100!A:H,8,FALSE))</f>
        <v>62193.333330000001</v>
      </c>
      <c r="P274" s="46">
        <f t="shared" ca="1" si="14"/>
        <v>1.0491452990890689E-2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input_351100!A$2</f>
        <v>351100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IFERROR(VLOOKUP(B275,input_351100!L:R,7,FALSE),VLOOKUP(tables_351100!C275,input_351100!A:H,8,FALSE))</f>
        <v>11526.666670000001</v>
      </c>
      <c r="P275" s="46">
        <f t="shared" ca="1" si="14"/>
        <v>1.9444444450067476E-3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input_351100!A$2</f>
        <v>351100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IFERROR(VLOOKUP(B276,input_351100!L:R,7,FALSE),VLOOKUP(tables_351100!C276,input_351100!A:H,8,FALSE))</f>
        <v>62193.333330000001</v>
      </c>
      <c r="P276" s="46">
        <f t="shared" ca="1" si="14"/>
        <v>1.0491452990890689E-2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input_351100!A$2</f>
        <v>351100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IFERROR(VLOOKUP(B277,input_351100!L:R,7,FALSE),VLOOKUP(tables_351100!C277,input_351100!A:H,8,FALSE))</f>
        <v>11526.666670000001</v>
      </c>
      <c r="P277" s="46">
        <f t="shared" ca="1" si="14"/>
        <v>1.9444444450067476E-3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input_351100!A$2</f>
        <v>351100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IFERROR(VLOOKUP(B278,input_351100!L:R,7,FALSE),VLOOKUP(tables_351100!C278,input_351100!A:H,8,FALSE))</f>
        <v>62193.333330000001</v>
      </c>
      <c r="P278" s="46">
        <f t="shared" ca="1" si="14"/>
        <v>1.0491452990890689E-2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input_351100!A$2</f>
        <v>351100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IFERROR(VLOOKUP(B279,input_351100!L:R,7,FALSE),VLOOKUP(tables_351100!C279,input_351100!A:H,8,FALSE))</f>
        <v>11526.666670000001</v>
      </c>
      <c r="P279" s="46">
        <f t="shared" ca="1" si="14"/>
        <v>1.9444444450067476E-3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input_351100!A$2</f>
        <v>351100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IFERROR(VLOOKUP(B280,input_351100!L:R,7,FALSE),VLOOKUP(tables_351100!C280,input_351100!A:H,8,FALSE))</f>
        <v>62193.333330000001</v>
      </c>
      <c r="P280" s="46">
        <f t="shared" ca="1" si="14"/>
        <v>1.0491452990890689E-2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input_351100!A$2</f>
        <v>351100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IFERROR(VLOOKUP(B281,input_351100!L:R,7,FALSE),VLOOKUP(tables_351100!C281,input_351100!A:H,8,FALSE))</f>
        <v>11526.666670000001</v>
      </c>
      <c r="P281" s="46">
        <f t="shared" ca="1" si="14"/>
        <v>1.9444444450067476E-3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input_351100!A$2</f>
        <v>351100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IFERROR(VLOOKUP(B282,input_351100!L:R,7,FALSE),VLOOKUP(tables_351100!C282,input_351100!A:H,8,FALSE))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input_351100!A$2</f>
        <v>351100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IFERROR(VLOOKUP(B283,input_351100!L:R,7,FALSE),VLOOKUP(tables_351100!C283,input_351100!A:H,8,FALSE))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17"/>
  <sheetViews>
    <sheetView showGridLines="0" zoomScale="75" zoomScaleNormal="75" zoomScalePageLayoutView="75" workbookViewId="0">
      <pane ySplit="1" topLeftCell="A2" activePane="bottomLeft" state="frozen"/>
      <selection activeCell="E10" sqref="E10"/>
      <selection pane="bottomLeft" activeCell="D20" sqref="D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f>351100</f>
        <v>351100</v>
      </c>
      <c r="B2" s="6">
        <v>168</v>
      </c>
      <c r="C2" s="7" t="str">
        <f t="shared" ref="C2" si="0">D2&amp;J2&amp;E2&amp;F2&amp;G2</f>
        <v>Premium5R6release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10</v>
      </c>
      <c r="P2" s="46">
        <f>O2/SUM(O:O)</f>
        <v>6.25E-2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f t="shared" ref="A3:A17" si="2">351100</f>
        <v>351100</v>
      </c>
      <c r="B3" s="6">
        <v>171</v>
      </c>
      <c r="C3" s="7" t="str">
        <f t="shared" ref="C3:C17" si="3">D3&amp;J3&amp;E3&amp;F3&amp;G3</f>
        <v>Premium5R6release</v>
      </c>
      <c r="D3" s="7" t="str">
        <f t="shared" ref="D3:D17" si="4">IF(I3="PremiumSS",I3,IF(I3="PremiumSSS",I3,IF(I3="PremiumW",I3,"Premium")))</f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v>10</v>
      </c>
      <c r="P3" s="46">
        <f t="shared" ref="P3:P17" si="5">O3/SUM(O:O)</f>
        <v>6.25E-2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f t="shared" si="2"/>
        <v>351100</v>
      </c>
      <c r="B4" s="6">
        <v>174</v>
      </c>
      <c r="C4" s="7" t="str">
        <f t="shared" si="3"/>
        <v>Premium5R6release</v>
      </c>
      <c r="D4" s="7" t="str">
        <f t="shared" si="4"/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v>10</v>
      </c>
      <c r="P4" s="46">
        <f t="shared" si="5"/>
        <v>6.25E-2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f t="shared" si="2"/>
        <v>351100</v>
      </c>
      <c r="B5" s="5">
        <v>237</v>
      </c>
      <c r="C5" s="7" t="str">
        <f t="shared" si="3"/>
        <v>Premium5R6release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v>10</v>
      </c>
      <c r="P5" s="46">
        <f t="shared" si="5"/>
        <v>6.25E-2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f t="shared" si="2"/>
        <v>351100</v>
      </c>
      <c r="B6" s="60">
        <v>732</v>
      </c>
      <c r="C6" s="7" t="str">
        <f t="shared" si="3"/>
        <v>PremiumSS5R5only</v>
      </c>
      <c r="D6" s="7" t="str">
        <f t="shared" si="4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10</v>
      </c>
      <c r="P6" s="46">
        <f t="shared" si="5"/>
        <v>6.25E-2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f t="shared" si="2"/>
        <v>351100</v>
      </c>
      <c r="B7" s="60">
        <v>734</v>
      </c>
      <c r="C7" s="7" t="str">
        <f t="shared" si="3"/>
        <v>PremiumSS5R5only</v>
      </c>
      <c r="D7" s="7" t="str">
        <f t="shared" si="4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5"/>
        <v>6.25E-2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f t="shared" si="2"/>
        <v>351100</v>
      </c>
      <c r="B8" s="60">
        <v>325</v>
      </c>
      <c r="C8" s="7" t="str">
        <f t="shared" si="3"/>
        <v>PremiumSS5</v>
      </c>
      <c r="D8" s="7" t="str">
        <f t="shared" si="4"/>
        <v>PremiumSS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10</v>
      </c>
      <c r="P8" s="46">
        <f t="shared" si="5"/>
        <v>6.25E-2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f t="shared" si="2"/>
        <v>351100</v>
      </c>
      <c r="B9" s="60">
        <v>391</v>
      </c>
      <c r="C9" s="7" t="str">
        <f t="shared" si="3"/>
        <v>PremiumSS5</v>
      </c>
      <c r="D9" s="7" t="str">
        <f t="shared" si="4"/>
        <v>PremiumSS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10</v>
      </c>
      <c r="P9" s="46">
        <f t="shared" si="5"/>
        <v>6.25E-2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f t="shared" si="2"/>
        <v>351100</v>
      </c>
      <c r="B10" s="60">
        <v>848</v>
      </c>
      <c r="C10" s="7" t="str">
        <f t="shared" si="3"/>
        <v>PremiumSS5R5only</v>
      </c>
      <c r="D10" s="7" t="str">
        <f t="shared" si="4"/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5">
        <v>10</v>
      </c>
      <c r="P10" s="46">
        <f t="shared" si="5"/>
        <v>6.25E-2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f t="shared" si="2"/>
        <v>351100</v>
      </c>
      <c r="B11" s="60">
        <v>850</v>
      </c>
      <c r="C11" s="7" t="str">
        <f t="shared" si="3"/>
        <v>PremiumSS5R5only</v>
      </c>
      <c r="D11" s="7" t="str">
        <f t="shared" si="4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5">
        <v>10</v>
      </c>
      <c r="P11" s="46">
        <f t="shared" si="5"/>
        <v>6.25E-2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f t="shared" si="2"/>
        <v>351100</v>
      </c>
      <c r="B12" s="60">
        <v>404</v>
      </c>
      <c r="C12" s="7" t="str">
        <f t="shared" si="3"/>
        <v>PremiumSS5</v>
      </c>
      <c r="D12" s="7" t="str">
        <f t="shared" si="4"/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5">
        <v>10</v>
      </c>
      <c r="P12" s="46">
        <f t="shared" si="5"/>
        <v>6.25E-2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f t="shared" si="2"/>
        <v>351100</v>
      </c>
      <c r="B13" s="60">
        <v>399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v>10</v>
      </c>
      <c r="P13" s="46">
        <f t="shared" si="5"/>
        <v>6.25E-2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f t="shared" si="2"/>
        <v>351100</v>
      </c>
      <c r="B14" s="60">
        <v>866</v>
      </c>
      <c r="C14" s="7" t="str">
        <f t="shared" si="3"/>
        <v>PremiumSS5R5only</v>
      </c>
      <c r="D14" s="7" t="str">
        <f t="shared" si="4"/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v>10</v>
      </c>
      <c r="P14" s="46">
        <f t="shared" si="5"/>
        <v>6.25E-2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f t="shared" si="2"/>
        <v>351100</v>
      </c>
      <c r="B15" s="60">
        <v>868</v>
      </c>
      <c r="C15" s="7" t="str">
        <f t="shared" si="3"/>
        <v>PremiumSS5R5only</v>
      </c>
      <c r="D15" s="7" t="str">
        <f t="shared" si="4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v>10</v>
      </c>
      <c r="P15" s="46">
        <f t="shared" si="5"/>
        <v>6.25E-2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f t="shared" si="2"/>
        <v>351100</v>
      </c>
      <c r="B16" s="84">
        <v>435</v>
      </c>
      <c r="C16" s="7" t="str">
        <f t="shared" si="3"/>
        <v>PremiumSS5</v>
      </c>
      <c r="D16" s="7" t="str">
        <f t="shared" si="4"/>
        <v>PremiumSS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10</v>
      </c>
      <c r="P16" s="46">
        <f t="shared" si="5"/>
        <v>6.25E-2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f t="shared" si="2"/>
        <v>351100</v>
      </c>
      <c r="B17" s="84">
        <v>468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10</v>
      </c>
      <c r="P17" s="46">
        <f t="shared" si="5"/>
        <v>6.25E-2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</sheetData>
  <autoFilter ref="A1:V2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 activeCell="L6" sqref="L6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251</v>
      </c>
      <c r="B2" s="81" t="s">
        <v>255</v>
      </c>
      <c r="C2" s="82" t="s">
        <v>259</v>
      </c>
      <c r="D2" s="82">
        <v>1000000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264</v>
      </c>
      <c r="P2" s="82" t="s">
        <v>269</v>
      </c>
      <c r="Q2" s="83" t="s">
        <v>270</v>
      </c>
    </row>
    <row r="3" spans="1:17" ht="21" customHeight="1" x14ac:dyDescent="0.15">
      <c r="A3" s="81" t="s">
        <v>252</v>
      </c>
      <c r="B3" s="81" t="s">
        <v>256</v>
      </c>
      <c r="C3" s="1" t="s">
        <v>268</v>
      </c>
      <c r="D3" s="1">
        <v>1</v>
      </c>
      <c r="E3" s="1">
        <v>3</v>
      </c>
      <c r="F3" s="1">
        <v>1</v>
      </c>
      <c r="G3" s="89">
        <v>0</v>
      </c>
      <c r="H3" s="89">
        <v>0</v>
      </c>
      <c r="I3" s="89">
        <v>0</v>
      </c>
      <c r="J3" s="89">
        <v>0</v>
      </c>
      <c r="K3" s="89">
        <v>1</v>
      </c>
      <c r="L3" s="89">
        <v>1</v>
      </c>
      <c r="M3" s="89">
        <v>1</v>
      </c>
      <c r="N3" s="82" t="s">
        <v>222</v>
      </c>
      <c r="O3" s="82" t="s">
        <v>263</v>
      </c>
      <c r="P3" s="82" t="s">
        <v>269</v>
      </c>
      <c r="Q3" s="83" t="s">
        <v>271</v>
      </c>
    </row>
    <row r="4" spans="1:17" ht="21" customHeight="1" x14ac:dyDescent="0.15">
      <c r="A4" s="81" t="s">
        <v>253</v>
      </c>
      <c r="B4" s="81" t="s">
        <v>257</v>
      </c>
      <c r="C4" s="1" t="s">
        <v>260</v>
      </c>
      <c r="D4" s="1">
        <v>610</v>
      </c>
      <c r="E4" s="1">
        <v>1</v>
      </c>
      <c r="F4" s="1">
        <v>1</v>
      </c>
      <c r="G4" s="89">
        <v>0</v>
      </c>
      <c r="H4" s="89">
        <v>0</v>
      </c>
      <c r="I4" s="89">
        <v>0</v>
      </c>
      <c r="J4" s="89">
        <v>0</v>
      </c>
      <c r="K4" s="89">
        <v>1</v>
      </c>
      <c r="L4" s="89">
        <v>1</v>
      </c>
      <c r="M4" s="89">
        <v>1</v>
      </c>
      <c r="N4" s="82" t="s">
        <v>222</v>
      </c>
      <c r="O4" s="82" t="s">
        <v>262</v>
      </c>
      <c r="P4" s="82" t="s">
        <v>269</v>
      </c>
      <c r="Q4" s="83" t="s">
        <v>272</v>
      </c>
    </row>
    <row r="5" spans="1:17" ht="21" customHeight="1" x14ac:dyDescent="0.15">
      <c r="A5" s="81" t="s">
        <v>254</v>
      </c>
      <c r="B5" s="81" t="s">
        <v>258</v>
      </c>
      <c r="C5" s="1" t="s">
        <v>261</v>
      </c>
      <c r="D5" s="1">
        <v>837</v>
      </c>
      <c r="E5" s="1">
        <v>1</v>
      </c>
      <c r="F5" s="1">
        <v>1</v>
      </c>
      <c r="G5" s="89">
        <v>0</v>
      </c>
      <c r="H5" s="89">
        <v>0</v>
      </c>
      <c r="I5" s="89">
        <v>0</v>
      </c>
      <c r="J5" s="89">
        <v>0</v>
      </c>
      <c r="K5" s="89">
        <v>1</v>
      </c>
      <c r="L5" s="89">
        <v>1</v>
      </c>
      <c r="M5" s="89">
        <v>1</v>
      </c>
      <c r="N5" s="82" t="s">
        <v>222</v>
      </c>
      <c r="O5" s="82" t="s">
        <v>250</v>
      </c>
      <c r="P5" s="82" t="s">
        <v>269</v>
      </c>
      <c r="Q5" s="83" t="s">
        <v>273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input_351101</vt:lpstr>
      <vt:lpstr>tables_351101</vt:lpstr>
      <vt:lpstr>input_351100</vt:lpstr>
      <vt:lpstr>tables_351100</vt:lpstr>
      <vt:lpstr>tables_settle_351100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2016-05-31T12:28:10Z</dcterms:modified>
</cp:coreProperties>
</file>