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640" yWindow="1180" windowWidth="24960" windowHeight="1750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enemy_habitats!$B$1:$AJ$7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22" l="1"/>
  <c r="G2" i="22"/>
  <c r="F2" i="22"/>
  <c r="D2" i="22"/>
  <c r="C2" i="22"/>
  <c r="A2" i="22"/>
  <c r="O11" i="21"/>
  <c r="P10" i="21"/>
  <c r="O10" i="21"/>
  <c r="I10" i="21"/>
  <c r="J10" i="21"/>
  <c r="G10" i="21"/>
  <c r="F10" i="21"/>
  <c r="D10" i="21"/>
  <c r="C10" i="21"/>
  <c r="P9" i="21"/>
  <c r="O9" i="21"/>
  <c r="I9" i="21"/>
  <c r="J9" i="21"/>
  <c r="G9" i="21"/>
  <c r="F9" i="21"/>
  <c r="D9" i="21"/>
  <c r="C9" i="21"/>
  <c r="P8" i="21"/>
  <c r="O8" i="21"/>
  <c r="I8" i="21"/>
  <c r="J8" i="21"/>
  <c r="G8" i="21"/>
  <c r="F8" i="21"/>
  <c r="D8" i="21"/>
  <c r="C8" i="21"/>
  <c r="P7" i="21"/>
  <c r="O7" i="21"/>
  <c r="I7" i="21"/>
  <c r="J7" i="21"/>
  <c r="G7" i="21"/>
  <c r="F7" i="21"/>
  <c r="D7" i="21"/>
  <c r="C7" i="21"/>
  <c r="P18" i="21"/>
  <c r="O18" i="21"/>
  <c r="I18" i="21"/>
  <c r="J18" i="21"/>
  <c r="G18" i="21"/>
  <c r="F18" i="21"/>
  <c r="D18" i="21"/>
  <c r="C18" i="21"/>
  <c r="P19" i="21"/>
  <c r="O19" i="21"/>
  <c r="I19" i="21"/>
  <c r="J19" i="21"/>
  <c r="G19" i="21"/>
  <c r="F19" i="21"/>
  <c r="D19" i="21"/>
  <c r="C19" i="21"/>
  <c r="O6" i="21"/>
  <c r="O5" i="21"/>
  <c r="O4" i="21"/>
  <c r="O3" i="21"/>
  <c r="O2" i="21"/>
  <c r="O17" i="21"/>
  <c r="O16" i="21"/>
  <c r="O15" i="21"/>
  <c r="O14" i="21"/>
  <c r="O13" i="21"/>
  <c r="O12" i="21"/>
  <c r="A3" i="22"/>
  <c r="C3" i="22"/>
  <c r="D3" i="22"/>
  <c r="F3" i="22"/>
  <c r="G3" i="22"/>
  <c r="N3" i="22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D80" i="9"/>
  <c r="D81" i="9"/>
  <c r="D82" i="9"/>
  <c r="D83" i="9"/>
  <c r="D84" i="9"/>
  <c r="D85" i="9"/>
  <c r="D86" i="9"/>
  <c r="D87" i="9"/>
  <c r="J69" i="11"/>
  <c r="J73" i="11"/>
  <c r="O73" i="9"/>
  <c r="N73" i="9"/>
  <c r="M73" i="9"/>
  <c r="L73" i="9"/>
  <c r="K73" i="9"/>
  <c r="J73" i="9"/>
  <c r="I73" i="9"/>
  <c r="H73" i="9"/>
  <c r="G73" i="9"/>
  <c r="E73" i="9"/>
  <c r="D73" i="9"/>
  <c r="J102" i="11"/>
  <c r="J103" i="11"/>
  <c r="O103" i="9"/>
  <c r="N103" i="9"/>
  <c r="M103" i="9"/>
  <c r="L103" i="9"/>
  <c r="K103" i="9"/>
  <c r="J103" i="9"/>
  <c r="I103" i="9"/>
  <c r="H103" i="9"/>
  <c r="G103" i="9"/>
  <c r="E103" i="9"/>
  <c r="D103" i="9"/>
  <c r="J82" i="11"/>
  <c r="J83" i="11"/>
  <c r="O83" i="9"/>
  <c r="N83" i="9"/>
  <c r="M83" i="9"/>
  <c r="L83" i="9"/>
  <c r="K83" i="9"/>
  <c r="J83" i="9"/>
  <c r="I83" i="9"/>
  <c r="H83" i="9"/>
  <c r="G83" i="9"/>
  <c r="E83" i="9"/>
  <c r="J65" i="11"/>
  <c r="J66" i="11"/>
  <c r="O66" i="9"/>
  <c r="N66" i="9"/>
  <c r="M66" i="9"/>
  <c r="L66" i="9"/>
  <c r="K66" i="9"/>
  <c r="J66" i="9"/>
  <c r="I66" i="9"/>
  <c r="H66" i="9"/>
  <c r="G66" i="9"/>
  <c r="E66" i="9"/>
  <c r="D66" i="9"/>
  <c r="J70" i="11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82" i="10"/>
  <c r="T82" i="10"/>
  <c r="W82" i="10"/>
  <c r="V82" i="10"/>
  <c r="X82" i="10"/>
  <c r="U82" i="10"/>
  <c r="Y82" i="10"/>
  <c r="M93" i="10"/>
  <c r="N93" i="10"/>
  <c r="Q93" i="10"/>
  <c r="P93" i="10"/>
  <c r="R93" i="10"/>
  <c r="O93" i="10"/>
  <c r="S93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70" i="10"/>
  <c r="T70" i="10"/>
  <c r="W70" i="10"/>
  <c r="V70" i="10"/>
  <c r="X70" i="10"/>
  <c r="U70" i="10"/>
  <c r="Y70" i="10"/>
  <c r="M83" i="10"/>
  <c r="N83" i="10"/>
  <c r="Q83" i="10"/>
  <c r="P83" i="10"/>
  <c r="R83" i="10"/>
  <c r="O83" i="10"/>
  <c r="S83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6" i="10"/>
  <c r="T66" i="10"/>
  <c r="W66" i="10"/>
  <c r="V66" i="10"/>
  <c r="X66" i="10"/>
  <c r="U66" i="10"/>
  <c r="Y66" i="10"/>
  <c r="M78" i="10"/>
  <c r="M90" i="10"/>
  <c r="M100" i="10"/>
  <c r="N100" i="10"/>
  <c r="Q100" i="10"/>
  <c r="P100" i="10"/>
  <c r="R100" i="10"/>
  <c r="O100" i="10"/>
  <c r="S100" i="10"/>
  <c r="N90" i="10"/>
  <c r="Q90" i="10"/>
  <c r="P90" i="10"/>
  <c r="R90" i="10"/>
  <c r="O90" i="10"/>
  <c r="S90" i="10"/>
  <c r="N78" i="10"/>
  <c r="Q78" i="10"/>
  <c r="P78" i="10"/>
  <c r="R78" i="10"/>
  <c r="O78" i="10"/>
  <c r="S78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J52" i="11"/>
  <c r="O52" i="9"/>
  <c r="N52" i="9"/>
  <c r="M52" i="9"/>
  <c r="L52" i="9"/>
  <c r="K52" i="9"/>
  <c r="J52" i="9"/>
  <c r="I52" i="9"/>
  <c r="H52" i="9"/>
  <c r="G52" i="9"/>
  <c r="E52" i="9"/>
  <c r="D52" i="9"/>
  <c r="J36" i="11"/>
  <c r="O36" i="9"/>
  <c r="N36" i="9"/>
  <c r="M36" i="9"/>
  <c r="L36" i="9"/>
  <c r="K36" i="9"/>
  <c r="J36" i="9"/>
  <c r="I36" i="9"/>
  <c r="H36" i="9"/>
  <c r="G36" i="9"/>
  <c r="E36" i="9"/>
  <c r="D36" i="9"/>
  <c r="J23" i="11"/>
  <c r="O23" i="9"/>
  <c r="N23" i="9"/>
  <c r="M23" i="9"/>
  <c r="L23" i="9"/>
  <c r="K23" i="9"/>
  <c r="J23" i="9"/>
  <c r="I23" i="9"/>
  <c r="H23" i="9"/>
  <c r="G23" i="9"/>
  <c r="E23" i="9"/>
  <c r="D23" i="9"/>
  <c r="J15" i="11"/>
  <c r="O15" i="9"/>
  <c r="N15" i="9"/>
  <c r="M15" i="9"/>
  <c r="L15" i="9"/>
  <c r="K15" i="9"/>
  <c r="J15" i="9"/>
  <c r="I15" i="9"/>
  <c r="H15" i="9"/>
  <c r="G15" i="9"/>
  <c r="E15" i="9"/>
  <c r="D15" i="9"/>
  <c r="J31" i="11"/>
  <c r="J19" i="11"/>
  <c r="M52" i="10"/>
  <c r="T52" i="10"/>
  <c r="W52" i="10"/>
  <c r="V52" i="10"/>
  <c r="X52" i="10"/>
  <c r="U52" i="10"/>
  <c r="Y52" i="10"/>
  <c r="M63" i="10"/>
  <c r="M75" i="10"/>
  <c r="M87" i="10"/>
  <c r="M97" i="10"/>
  <c r="N97" i="10"/>
  <c r="Q97" i="10"/>
  <c r="P97" i="10"/>
  <c r="R97" i="10"/>
  <c r="O97" i="10"/>
  <c r="S97" i="10"/>
  <c r="N87" i="10"/>
  <c r="Q87" i="10"/>
  <c r="P87" i="10"/>
  <c r="R87" i="10"/>
  <c r="O87" i="10"/>
  <c r="S87" i="10"/>
  <c r="N75" i="10"/>
  <c r="Q75" i="10"/>
  <c r="P75" i="10"/>
  <c r="R75" i="10"/>
  <c r="O75" i="10"/>
  <c r="S75" i="10"/>
  <c r="N63" i="10"/>
  <c r="Q63" i="10"/>
  <c r="P63" i="10"/>
  <c r="R63" i="10"/>
  <c r="O63" i="10"/>
  <c r="S63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31" i="10"/>
  <c r="T31" i="10"/>
  <c r="W31" i="10"/>
  <c r="V31" i="10"/>
  <c r="X31" i="10"/>
  <c r="U31" i="10"/>
  <c r="Y31" i="10"/>
  <c r="M53" i="10"/>
  <c r="N53" i="10"/>
  <c r="Q53" i="10"/>
  <c r="P53" i="10"/>
  <c r="R53" i="10"/>
  <c r="O53" i="10"/>
  <c r="S53" i="10"/>
  <c r="M42" i="10"/>
  <c r="N42" i="10"/>
  <c r="Q42" i="10"/>
  <c r="P42" i="10"/>
  <c r="R42" i="10"/>
  <c r="O42" i="10"/>
  <c r="S42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19" i="10"/>
  <c r="T19" i="10"/>
  <c r="W19" i="10"/>
  <c r="V19" i="10"/>
  <c r="X19" i="10"/>
  <c r="U19" i="10"/>
  <c r="Y19" i="10"/>
  <c r="M32" i="10"/>
  <c r="N32" i="10"/>
  <c r="Q32" i="10"/>
  <c r="P32" i="10"/>
  <c r="R32" i="10"/>
  <c r="O32" i="10"/>
  <c r="S32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5" i="10"/>
  <c r="T15" i="10"/>
  <c r="W15" i="10"/>
  <c r="V15" i="10"/>
  <c r="X15" i="10"/>
  <c r="U15" i="10"/>
  <c r="Y15" i="10"/>
  <c r="M27" i="10"/>
  <c r="M39" i="10"/>
  <c r="M49" i="10"/>
  <c r="M60" i="10"/>
  <c r="M72" i="10"/>
  <c r="M84" i="10"/>
  <c r="M94" i="10"/>
  <c r="N94" i="10"/>
  <c r="Q94" i="10"/>
  <c r="P94" i="10"/>
  <c r="R94" i="10"/>
  <c r="O94" i="10"/>
  <c r="S94" i="10"/>
  <c r="N84" i="10"/>
  <c r="Q84" i="10"/>
  <c r="P84" i="10"/>
  <c r="R84" i="10"/>
  <c r="O84" i="10"/>
  <c r="S84" i="10"/>
  <c r="N72" i="10"/>
  <c r="Q72" i="10"/>
  <c r="P72" i="10"/>
  <c r="R72" i="10"/>
  <c r="O72" i="10"/>
  <c r="S72" i="10"/>
  <c r="N60" i="10"/>
  <c r="Q60" i="10"/>
  <c r="P60" i="10"/>
  <c r="R60" i="10"/>
  <c r="O60" i="10"/>
  <c r="S60" i="10"/>
  <c r="N49" i="10"/>
  <c r="Q49" i="10"/>
  <c r="P49" i="10"/>
  <c r="R49" i="10"/>
  <c r="O49" i="10"/>
  <c r="S49" i="10"/>
  <c r="N39" i="10"/>
  <c r="Q39" i="10"/>
  <c r="P39" i="10"/>
  <c r="R39" i="10"/>
  <c r="O39" i="10"/>
  <c r="S39" i="10"/>
  <c r="N27" i="10"/>
  <c r="Q27" i="10"/>
  <c r="P27" i="10"/>
  <c r="R27" i="10"/>
  <c r="O27" i="10"/>
  <c r="S27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M28" i="10"/>
  <c r="M40" i="10"/>
  <c r="M61" i="10"/>
  <c r="M73" i="10"/>
  <c r="M85" i="10"/>
  <c r="M95" i="10"/>
  <c r="N95" i="10"/>
  <c r="Q95" i="10"/>
  <c r="P95" i="10"/>
  <c r="R95" i="10"/>
  <c r="O95" i="10"/>
  <c r="S95" i="10"/>
  <c r="N85" i="10"/>
  <c r="Q85" i="10"/>
  <c r="P85" i="10"/>
  <c r="R85" i="10"/>
  <c r="O85" i="10"/>
  <c r="S85" i="10"/>
  <c r="N73" i="10"/>
  <c r="Q73" i="10"/>
  <c r="P73" i="10"/>
  <c r="R73" i="10"/>
  <c r="O73" i="10"/>
  <c r="S73" i="10"/>
  <c r="N61" i="10"/>
  <c r="Q61" i="10"/>
  <c r="P61" i="10"/>
  <c r="R61" i="10"/>
  <c r="O61" i="10"/>
  <c r="S61" i="10"/>
  <c r="M50" i="10"/>
  <c r="N50" i="10"/>
  <c r="Q50" i="10"/>
  <c r="P50" i="10"/>
  <c r="R50" i="10"/>
  <c r="O50" i="10"/>
  <c r="S50" i="10"/>
  <c r="N40" i="10"/>
  <c r="Q40" i="10"/>
  <c r="P40" i="10"/>
  <c r="R40" i="10"/>
  <c r="O40" i="10"/>
  <c r="S40" i="10"/>
  <c r="N28" i="10"/>
  <c r="Q28" i="10"/>
  <c r="P28" i="10"/>
  <c r="R28" i="10"/>
  <c r="O28" i="10"/>
  <c r="S28" i="10"/>
  <c r="P12" i="21"/>
  <c r="P13" i="21"/>
  <c r="P14" i="21"/>
  <c r="P15" i="21"/>
  <c r="P16" i="21"/>
  <c r="P17" i="21"/>
  <c r="P2" i="21"/>
  <c r="P3" i="21"/>
  <c r="P4" i="21"/>
  <c r="P5" i="21"/>
  <c r="P6" i="21"/>
  <c r="P11" i="21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O102" i="9"/>
  <c r="N102" i="9"/>
  <c r="M102" i="9"/>
  <c r="L102" i="9"/>
  <c r="K102" i="9"/>
  <c r="J102" i="9"/>
  <c r="I102" i="9"/>
  <c r="H102" i="9"/>
  <c r="G102" i="9"/>
  <c r="E102" i="9"/>
  <c r="D102" i="9"/>
  <c r="J101" i="11"/>
  <c r="O101" i="9"/>
  <c r="N101" i="9"/>
  <c r="M101" i="9"/>
  <c r="L101" i="9"/>
  <c r="K101" i="9"/>
  <c r="J101" i="9"/>
  <c r="I101" i="9"/>
  <c r="H101" i="9"/>
  <c r="G101" i="9"/>
  <c r="E101" i="9"/>
  <c r="D101" i="9"/>
  <c r="J100" i="11"/>
  <c r="O100" i="9"/>
  <c r="N100" i="9"/>
  <c r="M100" i="9"/>
  <c r="L100" i="9"/>
  <c r="K100" i="9"/>
  <c r="J100" i="9"/>
  <c r="I100" i="9"/>
  <c r="H100" i="9"/>
  <c r="G100" i="9"/>
  <c r="E100" i="9"/>
  <c r="D100" i="9"/>
  <c r="J99" i="11"/>
  <c r="O99" i="9"/>
  <c r="N99" i="9"/>
  <c r="M99" i="9"/>
  <c r="L99" i="9"/>
  <c r="K99" i="9"/>
  <c r="J99" i="9"/>
  <c r="I99" i="9"/>
  <c r="H99" i="9"/>
  <c r="G99" i="9"/>
  <c r="E99" i="9"/>
  <c r="D99" i="9"/>
  <c r="J98" i="11"/>
  <c r="O98" i="9"/>
  <c r="N98" i="9"/>
  <c r="M98" i="9"/>
  <c r="L98" i="9"/>
  <c r="K98" i="9"/>
  <c r="J98" i="9"/>
  <c r="I98" i="9"/>
  <c r="H98" i="9"/>
  <c r="G98" i="9"/>
  <c r="E98" i="9"/>
  <c r="D98" i="9"/>
  <c r="J97" i="11"/>
  <c r="O97" i="9"/>
  <c r="N97" i="9"/>
  <c r="M97" i="9"/>
  <c r="L97" i="9"/>
  <c r="K97" i="9"/>
  <c r="J97" i="9"/>
  <c r="I97" i="9"/>
  <c r="H97" i="9"/>
  <c r="G97" i="9"/>
  <c r="E97" i="9"/>
  <c r="D97" i="9"/>
  <c r="J96" i="11"/>
  <c r="O96" i="9"/>
  <c r="N96" i="9"/>
  <c r="M96" i="9"/>
  <c r="L96" i="9"/>
  <c r="K96" i="9"/>
  <c r="J96" i="9"/>
  <c r="I96" i="9"/>
  <c r="H96" i="9"/>
  <c r="G96" i="9"/>
  <c r="E96" i="9"/>
  <c r="D96" i="9"/>
  <c r="J95" i="11"/>
  <c r="O95" i="9"/>
  <c r="N95" i="9"/>
  <c r="M95" i="9"/>
  <c r="L95" i="9"/>
  <c r="K95" i="9"/>
  <c r="J95" i="9"/>
  <c r="I95" i="9"/>
  <c r="H95" i="9"/>
  <c r="G95" i="9"/>
  <c r="E95" i="9"/>
  <c r="D95" i="9"/>
  <c r="J94" i="11"/>
  <c r="O94" i="9"/>
  <c r="N94" i="9"/>
  <c r="M94" i="9"/>
  <c r="L94" i="9"/>
  <c r="K94" i="9"/>
  <c r="J94" i="9"/>
  <c r="I94" i="9"/>
  <c r="H94" i="9"/>
  <c r="G94" i="9"/>
  <c r="E94" i="9"/>
  <c r="D94" i="9"/>
  <c r="J93" i="11"/>
  <c r="O93" i="9"/>
  <c r="N93" i="9"/>
  <c r="M93" i="9"/>
  <c r="L93" i="9"/>
  <c r="K93" i="9"/>
  <c r="J93" i="9"/>
  <c r="I93" i="9"/>
  <c r="H93" i="9"/>
  <c r="G93" i="9"/>
  <c r="E93" i="9"/>
  <c r="D93" i="9"/>
  <c r="J92" i="11"/>
  <c r="O92" i="9"/>
  <c r="N92" i="9"/>
  <c r="M92" i="9"/>
  <c r="L92" i="9"/>
  <c r="K92" i="9"/>
  <c r="J92" i="9"/>
  <c r="I92" i="9"/>
  <c r="H92" i="9"/>
  <c r="G92" i="9"/>
  <c r="E92" i="9"/>
  <c r="D92" i="9"/>
  <c r="J91" i="11"/>
  <c r="O91" i="9"/>
  <c r="N91" i="9"/>
  <c r="M91" i="9"/>
  <c r="L91" i="9"/>
  <c r="K91" i="9"/>
  <c r="J91" i="9"/>
  <c r="I91" i="9"/>
  <c r="H91" i="9"/>
  <c r="G91" i="9"/>
  <c r="E91" i="9"/>
  <c r="D91" i="9"/>
  <c r="J90" i="11"/>
  <c r="O90" i="9"/>
  <c r="N90" i="9"/>
  <c r="M90" i="9"/>
  <c r="L90" i="9"/>
  <c r="K90" i="9"/>
  <c r="J90" i="9"/>
  <c r="I90" i="9"/>
  <c r="H90" i="9"/>
  <c r="G90" i="9"/>
  <c r="E90" i="9"/>
  <c r="D90" i="9"/>
  <c r="J89" i="11"/>
  <c r="O89" i="9"/>
  <c r="N89" i="9"/>
  <c r="M89" i="9"/>
  <c r="L89" i="9"/>
  <c r="K89" i="9"/>
  <c r="J89" i="9"/>
  <c r="I89" i="9"/>
  <c r="H89" i="9"/>
  <c r="G89" i="9"/>
  <c r="E89" i="9"/>
  <c r="D89" i="9"/>
  <c r="J88" i="11"/>
  <c r="O88" i="9"/>
  <c r="N88" i="9"/>
  <c r="M88" i="9"/>
  <c r="L88" i="9"/>
  <c r="K88" i="9"/>
  <c r="J88" i="9"/>
  <c r="I88" i="9"/>
  <c r="H88" i="9"/>
  <c r="G88" i="9"/>
  <c r="E88" i="9"/>
  <c r="D88" i="9"/>
  <c r="J87" i="11"/>
  <c r="J86" i="11"/>
  <c r="O87" i="9"/>
  <c r="N87" i="9"/>
  <c r="M87" i="9"/>
  <c r="L87" i="9"/>
  <c r="K87" i="9"/>
  <c r="J87" i="9"/>
  <c r="I87" i="9"/>
  <c r="H87" i="9"/>
  <c r="G87" i="9"/>
  <c r="E87" i="9"/>
  <c r="J85" i="11"/>
  <c r="O86" i="9"/>
  <c r="N86" i="9"/>
  <c r="M86" i="9"/>
  <c r="L86" i="9"/>
  <c r="K86" i="9"/>
  <c r="J86" i="9"/>
  <c r="I86" i="9"/>
  <c r="H86" i="9"/>
  <c r="G86" i="9"/>
  <c r="E86" i="9"/>
  <c r="J84" i="11"/>
  <c r="O85" i="9"/>
  <c r="N85" i="9"/>
  <c r="M85" i="9"/>
  <c r="L85" i="9"/>
  <c r="K85" i="9"/>
  <c r="J85" i="9"/>
  <c r="I85" i="9"/>
  <c r="H85" i="9"/>
  <c r="G85" i="9"/>
  <c r="E85" i="9"/>
  <c r="O84" i="9"/>
  <c r="N84" i="9"/>
  <c r="M84" i="9"/>
  <c r="L84" i="9"/>
  <c r="K84" i="9"/>
  <c r="J84" i="9"/>
  <c r="I84" i="9"/>
  <c r="H84" i="9"/>
  <c r="G84" i="9"/>
  <c r="E84" i="9"/>
  <c r="O82" i="9"/>
  <c r="N82" i="9"/>
  <c r="M82" i="9"/>
  <c r="L82" i="9"/>
  <c r="K82" i="9"/>
  <c r="J82" i="9"/>
  <c r="I82" i="9"/>
  <c r="H82" i="9"/>
  <c r="G82" i="9"/>
  <c r="E82" i="9"/>
  <c r="J81" i="11"/>
  <c r="O81" i="9"/>
  <c r="N81" i="9"/>
  <c r="M81" i="9"/>
  <c r="L81" i="9"/>
  <c r="K81" i="9"/>
  <c r="J81" i="9"/>
  <c r="I81" i="9"/>
  <c r="H81" i="9"/>
  <c r="G81" i="9"/>
  <c r="E81" i="9"/>
  <c r="J80" i="11"/>
  <c r="O80" i="9"/>
  <c r="N80" i="9"/>
  <c r="M80" i="9"/>
  <c r="L80" i="9"/>
  <c r="K80" i="9"/>
  <c r="J80" i="9"/>
  <c r="I80" i="9"/>
  <c r="H80" i="9"/>
  <c r="G80" i="9"/>
  <c r="E80" i="9"/>
  <c r="J79" i="11"/>
  <c r="O79" i="9"/>
  <c r="N79" i="9"/>
  <c r="M79" i="9"/>
  <c r="L79" i="9"/>
  <c r="K79" i="9"/>
  <c r="J79" i="9"/>
  <c r="I79" i="9"/>
  <c r="H79" i="9"/>
  <c r="G79" i="9"/>
  <c r="E79" i="9"/>
  <c r="D79" i="9"/>
  <c r="J78" i="11"/>
  <c r="O78" i="9"/>
  <c r="N78" i="9"/>
  <c r="M78" i="9"/>
  <c r="L78" i="9"/>
  <c r="K78" i="9"/>
  <c r="J78" i="9"/>
  <c r="I78" i="9"/>
  <c r="H78" i="9"/>
  <c r="G78" i="9"/>
  <c r="E78" i="9"/>
  <c r="D78" i="9"/>
  <c r="J77" i="11"/>
  <c r="O77" i="9"/>
  <c r="N77" i="9"/>
  <c r="M77" i="9"/>
  <c r="L77" i="9"/>
  <c r="K77" i="9"/>
  <c r="J77" i="9"/>
  <c r="I77" i="9"/>
  <c r="H77" i="9"/>
  <c r="G77" i="9"/>
  <c r="E77" i="9"/>
  <c r="D77" i="9"/>
  <c r="J76" i="11"/>
  <c r="O76" i="9"/>
  <c r="N76" i="9"/>
  <c r="M76" i="9"/>
  <c r="L76" i="9"/>
  <c r="K76" i="9"/>
  <c r="J76" i="9"/>
  <c r="I76" i="9"/>
  <c r="H76" i="9"/>
  <c r="G76" i="9"/>
  <c r="E76" i="9"/>
  <c r="D76" i="9"/>
  <c r="J75" i="11"/>
  <c r="O75" i="9"/>
  <c r="N75" i="9"/>
  <c r="M75" i="9"/>
  <c r="L75" i="9"/>
  <c r="K75" i="9"/>
  <c r="J75" i="9"/>
  <c r="I75" i="9"/>
  <c r="H75" i="9"/>
  <c r="G75" i="9"/>
  <c r="E75" i="9"/>
  <c r="D75" i="9"/>
  <c r="J74" i="11"/>
  <c r="O74" i="9"/>
  <c r="N74" i="9"/>
  <c r="M74" i="9"/>
  <c r="L74" i="9"/>
  <c r="K74" i="9"/>
  <c r="J74" i="9"/>
  <c r="I74" i="9"/>
  <c r="H74" i="9"/>
  <c r="G74" i="9"/>
  <c r="E74" i="9"/>
  <c r="D74" i="9"/>
  <c r="J72" i="11"/>
  <c r="O72" i="9"/>
  <c r="N72" i="9"/>
  <c r="M72" i="9"/>
  <c r="L72" i="9"/>
  <c r="K72" i="9"/>
  <c r="J72" i="9"/>
  <c r="I72" i="9"/>
  <c r="H72" i="9"/>
  <c r="G72" i="9"/>
  <c r="E72" i="9"/>
  <c r="D72" i="9"/>
  <c r="J71" i="11"/>
  <c r="O71" i="9"/>
  <c r="N71" i="9"/>
  <c r="M71" i="9"/>
  <c r="L71" i="9"/>
  <c r="K71" i="9"/>
  <c r="J71" i="9"/>
  <c r="I71" i="9"/>
  <c r="H71" i="9"/>
  <c r="G71" i="9"/>
  <c r="E71" i="9"/>
  <c r="D71" i="9"/>
  <c r="O70" i="9"/>
  <c r="N70" i="9"/>
  <c r="M70" i="9"/>
  <c r="L70" i="9"/>
  <c r="K70" i="9"/>
  <c r="J70" i="9"/>
  <c r="I70" i="9"/>
  <c r="H70" i="9"/>
  <c r="G70" i="9"/>
  <c r="E70" i="9"/>
  <c r="D70" i="9"/>
  <c r="O69" i="9"/>
  <c r="N69" i="9"/>
  <c r="M69" i="9"/>
  <c r="L69" i="9"/>
  <c r="K69" i="9"/>
  <c r="J69" i="9"/>
  <c r="I69" i="9"/>
  <c r="H69" i="9"/>
  <c r="G69" i="9"/>
  <c r="E69" i="9"/>
  <c r="D69" i="9"/>
  <c r="J68" i="11"/>
  <c r="O68" i="9"/>
  <c r="N68" i="9"/>
  <c r="M68" i="9"/>
  <c r="L68" i="9"/>
  <c r="K68" i="9"/>
  <c r="J68" i="9"/>
  <c r="I68" i="9"/>
  <c r="H68" i="9"/>
  <c r="G68" i="9"/>
  <c r="E68" i="9"/>
  <c r="D68" i="9"/>
  <c r="J67" i="11"/>
  <c r="O67" i="9"/>
  <c r="N67" i="9"/>
  <c r="M67" i="9"/>
  <c r="L67" i="9"/>
  <c r="K67" i="9"/>
  <c r="J67" i="9"/>
  <c r="I67" i="9"/>
  <c r="H67" i="9"/>
  <c r="G67" i="9"/>
  <c r="E67" i="9"/>
  <c r="D67" i="9"/>
  <c r="O65" i="9"/>
  <c r="N65" i="9"/>
  <c r="M65" i="9"/>
  <c r="L65" i="9"/>
  <c r="K65" i="9"/>
  <c r="J65" i="9"/>
  <c r="I65" i="9"/>
  <c r="H65" i="9"/>
  <c r="G65" i="9"/>
  <c r="E65" i="9"/>
  <c r="D65" i="9"/>
  <c r="J64" i="11"/>
  <c r="O64" i="9"/>
  <c r="N64" i="9"/>
  <c r="M64" i="9"/>
  <c r="L64" i="9"/>
  <c r="K64" i="9"/>
  <c r="J64" i="9"/>
  <c r="I64" i="9"/>
  <c r="H64" i="9"/>
  <c r="G64" i="9"/>
  <c r="E64" i="9"/>
  <c r="D64" i="9"/>
  <c r="J63" i="11"/>
  <c r="O63" i="9"/>
  <c r="N63" i="9"/>
  <c r="M63" i="9"/>
  <c r="L63" i="9"/>
  <c r="K63" i="9"/>
  <c r="J63" i="9"/>
  <c r="I63" i="9"/>
  <c r="H63" i="9"/>
  <c r="G63" i="9"/>
  <c r="E63" i="9"/>
  <c r="D63" i="9"/>
  <c r="J62" i="11"/>
  <c r="O62" i="9"/>
  <c r="N62" i="9"/>
  <c r="M62" i="9"/>
  <c r="L62" i="9"/>
  <c r="K62" i="9"/>
  <c r="J62" i="9"/>
  <c r="I62" i="9"/>
  <c r="H62" i="9"/>
  <c r="G62" i="9"/>
  <c r="E62" i="9"/>
  <c r="D62" i="9"/>
  <c r="J61" i="11"/>
  <c r="O61" i="9"/>
  <c r="N61" i="9"/>
  <c r="M61" i="9"/>
  <c r="L61" i="9"/>
  <c r="K61" i="9"/>
  <c r="J61" i="9"/>
  <c r="I61" i="9"/>
  <c r="H61" i="9"/>
  <c r="G61" i="9"/>
  <c r="E61" i="9"/>
  <c r="D61" i="9"/>
  <c r="J60" i="11"/>
  <c r="O60" i="9"/>
  <c r="N60" i="9"/>
  <c r="M60" i="9"/>
  <c r="L60" i="9"/>
  <c r="K60" i="9"/>
  <c r="J60" i="9"/>
  <c r="I60" i="9"/>
  <c r="H60" i="9"/>
  <c r="G60" i="9"/>
  <c r="E60" i="9"/>
  <c r="D60" i="9"/>
  <c r="J59" i="11"/>
  <c r="O59" i="9"/>
  <c r="N59" i="9"/>
  <c r="M59" i="9"/>
  <c r="L59" i="9"/>
  <c r="K59" i="9"/>
  <c r="J59" i="9"/>
  <c r="I59" i="9"/>
  <c r="H59" i="9"/>
  <c r="G59" i="9"/>
  <c r="E59" i="9"/>
  <c r="D59" i="9"/>
  <c r="A59" i="9"/>
  <c r="J58" i="11"/>
  <c r="O58" i="9"/>
  <c r="N58" i="9"/>
  <c r="M58" i="9"/>
  <c r="L58" i="9"/>
  <c r="K58" i="9"/>
  <c r="J58" i="9"/>
  <c r="I58" i="9"/>
  <c r="H58" i="9"/>
  <c r="G58" i="9"/>
  <c r="E58" i="9"/>
  <c r="D58" i="9"/>
  <c r="A58" i="9"/>
  <c r="J57" i="11"/>
  <c r="O57" i="9"/>
  <c r="N57" i="9"/>
  <c r="M57" i="9"/>
  <c r="L57" i="9"/>
  <c r="K57" i="9"/>
  <c r="J57" i="9"/>
  <c r="I57" i="9"/>
  <c r="H57" i="9"/>
  <c r="G57" i="9"/>
  <c r="E57" i="9"/>
  <c r="D57" i="9"/>
  <c r="A57" i="9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T100" i="10"/>
  <c r="W100" i="10"/>
  <c r="V100" i="10"/>
  <c r="X100" i="10"/>
  <c r="U100" i="10"/>
  <c r="Y100" i="10"/>
  <c r="G100" i="10"/>
  <c r="J100" i="10"/>
  <c r="I100" i="10"/>
  <c r="K100" i="10"/>
  <c r="H100" i="10"/>
  <c r="L100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T97" i="10"/>
  <c r="W97" i="10"/>
  <c r="V97" i="10"/>
  <c r="X97" i="10"/>
  <c r="U97" i="10"/>
  <c r="Y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T95" i="10"/>
  <c r="W95" i="10"/>
  <c r="V95" i="10"/>
  <c r="X95" i="10"/>
  <c r="U95" i="10"/>
  <c r="Y95" i="10"/>
  <c r="G95" i="10"/>
  <c r="J95" i="10"/>
  <c r="I95" i="10"/>
  <c r="K95" i="10"/>
  <c r="H95" i="10"/>
  <c r="L95" i="10"/>
  <c r="T94" i="10"/>
  <c r="W94" i="10"/>
  <c r="V94" i="10"/>
  <c r="X94" i="10"/>
  <c r="U94" i="10"/>
  <c r="Y94" i="10"/>
  <c r="G94" i="10"/>
  <c r="J94" i="10"/>
  <c r="I94" i="10"/>
  <c r="K94" i="10"/>
  <c r="H94" i="10"/>
  <c r="L94" i="10"/>
  <c r="T93" i="10"/>
  <c r="W93" i="10"/>
  <c r="V93" i="10"/>
  <c r="X93" i="10"/>
  <c r="U93" i="10"/>
  <c r="Y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T90" i="10"/>
  <c r="W90" i="10"/>
  <c r="V90" i="10"/>
  <c r="X90" i="10"/>
  <c r="U90" i="10"/>
  <c r="Y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T87" i="10"/>
  <c r="W87" i="10"/>
  <c r="V87" i="10"/>
  <c r="X87" i="10"/>
  <c r="U87" i="10"/>
  <c r="Y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T85" i="10"/>
  <c r="W85" i="10"/>
  <c r="V85" i="10"/>
  <c r="X85" i="10"/>
  <c r="U85" i="10"/>
  <c r="Y85" i="10"/>
  <c r="G85" i="10"/>
  <c r="J85" i="10"/>
  <c r="I85" i="10"/>
  <c r="K85" i="10"/>
  <c r="H85" i="10"/>
  <c r="L85" i="10"/>
  <c r="T84" i="10"/>
  <c r="W84" i="10"/>
  <c r="V84" i="10"/>
  <c r="X84" i="10"/>
  <c r="U84" i="10"/>
  <c r="Y84" i="10"/>
  <c r="G84" i="10"/>
  <c r="J84" i="10"/>
  <c r="I84" i="10"/>
  <c r="K84" i="10"/>
  <c r="H84" i="10"/>
  <c r="L84" i="10"/>
  <c r="T83" i="10"/>
  <c r="W83" i="10"/>
  <c r="V83" i="10"/>
  <c r="X83" i="10"/>
  <c r="U83" i="10"/>
  <c r="Y83" i="10"/>
  <c r="G83" i="10"/>
  <c r="J83" i="10"/>
  <c r="I83" i="10"/>
  <c r="K83" i="10"/>
  <c r="H83" i="10"/>
  <c r="L83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T78" i="10"/>
  <c r="W78" i="10"/>
  <c r="V78" i="10"/>
  <c r="X78" i="10"/>
  <c r="U78" i="10"/>
  <c r="Y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T75" i="10"/>
  <c r="W75" i="10"/>
  <c r="V75" i="10"/>
  <c r="X75" i="10"/>
  <c r="U75" i="10"/>
  <c r="Y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T73" i="10"/>
  <c r="W73" i="10"/>
  <c r="V73" i="10"/>
  <c r="X73" i="10"/>
  <c r="U73" i="10"/>
  <c r="Y73" i="10"/>
  <c r="G73" i="10"/>
  <c r="J73" i="10"/>
  <c r="I73" i="10"/>
  <c r="K73" i="10"/>
  <c r="H73" i="10"/>
  <c r="L73" i="10"/>
  <c r="T72" i="10"/>
  <c r="W72" i="10"/>
  <c r="V72" i="10"/>
  <c r="X72" i="10"/>
  <c r="U72" i="10"/>
  <c r="Y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T63" i="10"/>
  <c r="W63" i="10"/>
  <c r="V63" i="10"/>
  <c r="X63" i="10"/>
  <c r="U63" i="10"/>
  <c r="Y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T61" i="10"/>
  <c r="W61" i="10"/>
  <c r="V61" i="10"/>
  <c r="X61" i="10"/>
  <c r="U61" i="10"/>
  <c r="Y61" i="10"/>
  <c r="G61" i="10"/>
  <c r="J61" i="10"/>
  <c r="I61" i="10"/>
  <c r="K61" i="10"/>
  <c r="H61" i="10"/>
  <c r="L61" i="10"/>
  <c r="T60" i="10"/>
  <c r="W60" i="10"/>
  <c r="V60" i="10"/>
  <c r="X60" i="10"/>
  <c r="U60" i="10"/>
  <c r="Y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T53" i="10"/>
  <c r="W53" i="10"/>
  <c r="V53" i="10"/>
  <c r="X53" i="10"/>
  <c r="U53" i="10"/>
  <c r="Y53" i="10"/>
  <c r="G53" i="10"/>
  <c r="J53" i="10"/>
  <c r="I53" i="10"/>
  <c r="K53" i="10"/>
  <c r="H53" i="10"/>
  <c r="L53" i="10"/>
  <c r="Y11" i="7"/>
  <c r="W11" i="7"/>
  <c r="U11" i="7"/>
  <c r="R11" i="7"/>
  <c r="Q11" i="7"/>
  <c r="P11" i="7"/>
  <c r="O11" i="7"/>
  <c r="N11" i="7"/>
  <c r="H11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11" i="7"/>
  <c r="I11" i="7"/>
  <c r="D11" i="7"/>
  <c r="F11" i="7"/>
  <c r="E11" i="7"/>
  <c r="A11" i="7"/>
  <c r="Y10" i="7"/>
  <c r="W10" i="7"/>
  <c r="U10" i="7"/>
  <c r="R10" i="7"/>
  <c r="Q10" i="7"/>
  <c r="P10" i="7"/>
  <c r="O10" i="7"/>
  <c r="N10" i="7"/>
  <c r="H10" i="7"/>
  <c r="J10" i="7"/>
  <c r="I10" i="7"/>
  <c r="D10" i="7"/>
  <c r="F10" i="7"/>
  <c r="E10" i="7"/>
  <c r="A10" i="7"/>
  <c r="Y9" i="7"/>
  <c r="W9" i="7"/>
  <c r="U9" i="7"/>
  <c r="R9" i="7"/>
  <c r="Q9" i="7"/>
  <c r="P9" i="7"/>
  <c r="O9" i="7"/>
  <c r="N9" i="7"/>
  <c r="H9" i="7"/>
  <c r="J9" i="7"/>
  <c r="I9" i="7"/>
  <c r="D9" i="7"/>
  <c r="F9" i="7"/>
  <c r="E9" i="7"/>
  <c r="A9" i="7"/>
  <c r="Y8" i="7"/>
  <c r="W8" i="7"/>
  <c r="U8" i="7"/>
  <c r="R8" i="7"/>
  <c r="Q8" i="7"/>
  <c r="P8" i="7"/>
  <c r="O8" i="7"/>
  <c r="N8" i="7"/>
  <c r="H8" i="7"/>
  <c r="J8" i="7"/>
  <c r="I8" i="7"/>
  <c r="D8" i="7"/>
  <c r="F8" i="7"/>
  <c r="E8" i="7"/>
  <c r="A8" i="7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AD6" i="1"/>
  <c r="AF6" i="1"/>
  <c r="AI6" i="1"/>
  <c r="AG6" i="1"/>
  <c r="AE6" i="1"/>
  <c r="E29" i="9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E17" i="9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E13" i="9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E8" i="9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AD2" i="1"/>
  <c r="AF2" i="1"/>
  <c r="AI2" i="1"/>
  <c r="AG2" i="1"/>
  <c r="AE2" i="1"/>
  <c r="E2" i="9"/>
  <c r="X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2" i="1"/>
  <c r="H5" i="2"/>
  <c r="E5" i="2"/>
  <c r="D5" i="2"/>
  <c r="H7" i="1"/>
  <c r="H8" i="1"/>
  <c r="H9" i="1"/>
  <c r="H10" i="1"/>
  <c r="H11" i="1"/>
  <c r="B5" i="2"/>
  <c r="H4" i="2"/>
  <c r="E4" i="2"/>
  <c r="D4" i="2"/>
  <c r="B4" i="2"/>
  <c r="H3" i="2"/>
  <c r="E3" i="2"/>
  <c r="D3" i="2"/>
  <c r="B3" i="2"/>
  <c r="H2" i="2"/>
  <c r="E2" i="2"/>
  <c r="D2" i="2"/>
  <c r="B2" i="2"/>
  <c r="J51" i="11"/>
  <c r="O51" i="9"/>
  <c r="N51" i="9"/>
  <c r="M51" i="9"/>
  <c r="L51" i="9"/>
  <c r="K51" i="9"/>
  <c r="J51" i="9"/>
  <c r="I51" i="9"/>
  <c r="H51" i="9"/>
  <c r="G51" i="9"/>
  <c r="E51" i="9"/>
  <c r="D51" i="9"/>
  <c r="C16" i="21"/>
  <c r="D16" i="21"/>
  <c r="F16" i="21"/>
  <c r="G16" i="21"/>
  <c r="I16" i="21"/>
  <c r="J16" i="21"/>
  <c r="C17" i="21"/>
  <c r="D17" i="21"/>
  <c r="F17" i="21"/>
  <c r="G17" i="21"/>
  <c r="I17" i="21"/>
  <c r="J17" i="21"/>
  <c r="C12" i="21"/>
  <c r="D12" i="21"/>
  <c r="F12" i="21"/>
  <c r="G12" i="21"/>
  <c r="I12" i="21"/>
  <c r="J12" i="21"/>
  <c r="C13" i="21"/>
  <c r="D13" i="21"/>
  <c r="F13" i="21"/>
  <c r="G13" i="21"/>
  <c r="I13" i="21"/>
  <c r="J13" i="21"/>
  <c r="C14" i="21"/>
  <c r="D14" i="21"/>
  <c r="F14" i="21"/>
  <c r="G14" i="21"/>
  <c r="I14" i="21"/>
  <c r="J14" i="21"/>
  <c r="C15" i="21"/>
  <c r="D15" i="21"/>
  <c r="F15" i="21"/>
  <c r="G15" i="21"/>
  <c r="I15" i="21"/>
  <c r="J15" i="21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E10" i="9"/>
  <c r="Y3" i="7"/>
  <c r="E24" i="9"/>
  <c r="Y4" i="7"/>
  <c r="E37" i="9"/>
  <c r="Y5" i="7"/>
  <c r="E43" i="9"/>
  <c r="Y6" i="7"/>
  <c r="E5" i="9"/>
  <c r="Y2" i="7"/>
  <c r="X7" i="1"/>
  <c r="G9" i="9"/>
  <c r="H9" i="9"/>
  <c r="I9" i="9"/>
  <c r="J9" i="9"/>
  <c r="K9" i="9"/>
  <c r="L9" i="9"/>
  <c r="M9" i="9"/>
  <c r="N9" i="9"/>
  <c r="J9" i="11"/>
  <c r="O9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J11" i="11"/>
  <c r="O11" i="9"/>
  <c r="G12" i="9"/>
  <c r="H12" i="9"/>
  <c r="I12" i="9"/>
  <c r="J12" i="9"/>
  <c r="K12" i="9"/>
  <c r="L12" i="9"/>
  <c r="M12" i="9"/>
  <c r="N12" i="9"/>
  <c r="J12" i="11"/>
  <c r="O12" i="9"/>
  <c r="G13" i="9"/>
  <c r="H13" i="9"/>
  <c r="I13" i="9"/>
  <c r="J13" i="9"/>
  <c r="K13" i="9"/>
  <c r="L13" i="9"/>
  <c r="M13" i="9"/>
  <c r="N13" i="9"/>
  <c r="J13" i="11"/>
  <c r="O13" i="9"/>
  <c r="G14" i="9"/>
  <c r="H14" i="9"/>
  <c r="I14" i="9"/>
  <c r="J14" i="9"/>
  <c r="K14" i="9"/>
  <c r="L14" i="9"/>
  <c r="M14" i="9"/>
  <c r="N14" i="9"/>
  <c r="J14" i="11"/>
  <c r="O14" i="9"/>
  <c r="G16" i="9"/>
  <c r="H16" i="9"/>
  <c r="I16" i="9"/>
  <c r="J16" i="9"/>
  <c r="K16" i="9"/>
  <c r="L16" i="9"/>
  <c r="M16" i="9"/>
  <c r="N16" i="9"/>
  <c r="J16" i="11"/>
  <c r="O16" i="9"/>
  <c r="G17" i="9"/>
  <c r="H17" i="9"/>
  <c r="I17" i="9"/>
  <c r="J17" i="9"/>
  <c r="K17" i="9"/>
  <c r="L17" i="9"/>
  <c r="M17" i="9"/>
  <c r="N17" i="9"/>
  <c r="J17" i="11"/>
  <c r="O17" i="9"/>
  <c r="G18" i="9"/>
  <c r="H18" i="9"/>
  <c r="I18" i="9"/>
  <c r="J18" i="9"/>
  <c r="K18" i="9"/>
  <c r="L18" i="9"/>
  <c r="M18" i="9"/>
  <c r="N18" i="9"/>
  <c r="J18" i="11"/>
  <c r="O18" i="9"/>
  <c r="G19" i="9"/>
  <c r="H19" i="9"/>
  <c r="I19" i="9"/>
  <c r="J19" i="9"/>
  <c r="K19" i="9"/>
  <c r="L19" i="9"/>
  <c r="M19" i="9"/>
  <c r="N19" i="9"/>
  <c r="J20" i="11"/>
  <c r="O19" i="9"/>
  <c r="G20" i="9"/>
  <c r="H20" i="9"/>
  <c r="I20" i="9"/>
  <c r="J20" i="9"/>
  <c r="K20" i="9"/>
  <c r="L20" i="9"/>
  <c r="M20" i="9"/>
  <c r="N20" i="9"/>
  <c r="J21" i="11"/>
  <c r="O20" i="9"/>
  <c r="G21" i="9"/>
  <c r="H21" i="9"/>
  <c r="I21" i="9"/>
  <c r="J21" i="9"/>
  <c r="K21" i="9"/>
  <c r="L21" i="9"/>
  <c r="M21" i="9"/>
  <c r="N21" i="9"/>
  <c r="J22" i="11"/>
  <c r="O21" i="9"/>
  <c r="G22" i="9"/>
  <c r="H22" i="9"/>
  <c r="I22" i="9"/>
  <c r="J22" i="9"/>
  <c r="K22" i="9"/>
  <c r="L22" i="9"/>
  <c r="M22" i="9"/>
  <c r="N22" i="9"/>
  <c r="O22" i="9"/>
  <c r="G24" i="9"/>
  <c r="H24" i="9"/>
  <c r="I24" i="9"/>
  <c r="J24" i="9"/>
  <c r="K24" i="9"/>
  <c r="L24" i="9"/>
  <c r="M24" i="9"/>
  <c r="N24" i="9"/>
  <c r="J24" i="11"/>
  <c r="O24" i="9"/>
  <c r="G25" i="9"/>
  <c r="H25" i="9"/>
  <c r="I25" i="9"/>
  <c r="J25" i="9"/>
  <c r="K25" i="9"/>
  <c r="L25" i="9"/>
  <c r="M25" i="9"/>
  <c r="N25" i="9"/>
  <c r="J25" i="11"/>
  <c r="O25" i="9"/>
  <c r="G26" i="9"/>
  <c r="H26" i="9"/>
  <c r="I26" i="9"/>
  <c r="J26" i="9"/>
  <c r="K26" i="9"/>
  <c r="L26" i="9"/>
  <c r="M26" i="9"/>
  <c r="N26" i="9"/>
  <c r="J26" i="11"/>
  <c r="O26" i="9"/>
  <c r="G27" i="9"/>
  <c r="H27" i="9"/>
  <c r="I27" i="9"/>
  <c r="J27" i="9"/>
  <c r="K27" i="9"/>
  <c r="L27" i="9"/>
  <c r="M27" i="9"/>
  <c r="N27" i="9"/>
  <c r="J27" i="11"/>
  <c r="O27" i="9"/>
  <c r="G28" i="9"/>
  <c r="H28" i="9"/>
  <c r="I28" i="9"/>
  <c r="J28" i="9"/>
  <c r="K28" i="9"/>
  <c r="L28" i="9"/>
  <c r="M28" i="9"/>
  <c r="N28" i="9"/>
  <c r="J28" i="11"/>
  <c r="O28" i="9"/>
  <c r="G29" i="9"/>
  <c r="H29" i="9"/>
  <c r="I29" i="9"/>
  <c r="J29" i="9"/>
  <c r="K29" i="9"/>
  <c r="L29" i="9"/>
  <c r="M29" i="9"/>
  <c r="N29" i="9"/>
  <c r="J29" i="11"/>
  <c r="O29" i="9"/>
  <c r="G30" i="9"/>
  <c r="H30" i="9"/>
  <c r="I30" i="9"/>
  <c r="J30" i="9"/>
  <c r="K30" i="9"/>
  <c r="L30" i="9"/>
  <c r="M30" i="9"/>
  <c r="N30" i="9"/>
  <c r="J30" i="11"/>
  <c r="O30" i="9"/>
  <c r="G31" i="9"/>
  <c r="H31" i="9"/>
  <c r="I31" i="9"/>
  <c r="J31" i="9"/>
  <c r="K31" i="9"/>
  <c r="L31" i="9"/>
  <c r="M31" i="9"/>
  <c r="N31" i="9"/>
  <c r="J32" i="11"/>
  <c r="O31" i="9"/>
  <c r="G32" i="9"/>
  <c r="H32" i="9"/>
  <c r="I32" i="9"/>
  <c r="J32" i="9"/>
  <c r="K32" i="9"/>
  <c r="L32" i="9"/>
  <c r="M32" i="9"/>
  <c r="N32" i="9"/>
  <c r="J33" i="11"/>
  <c r="O32" i="9"/>
  <c r="G33" i="9"/>
  <c r="H33" i="9"/>
  <c r="I33" i="9"/>
  <c r="J33" i="9"/>
  <c r="K33" i="9"/>
  <c r="L33" i="9"/>
  <c r="M33" i="9"/>
  <c r="N33" i="9"/>
  <c r="J34" i="11"/>
  <c r="O33" i="9"/>
  <c r="G34" i="9"/>
  <c r="H34" i="9"/>
  <c r="I34" i="9"/>
  <c r="J34" i="9"/>
  <c r="K34" i="9"/>
  <c r="L34" i="9"/>
  <c r="M34" i="9"/>
  <c r="N34" i="9"/>
  <c r="J35" i="11"/>
  <c r="O34" i="9"/>
  <c r="G35" i="9"/>
  <c r="H35" i="9"/>
  <c r="I35" i="9"/>
  <c r="J35" i="9"/>
  <c r="K35" i="9"/>
  <c r="L35" i="9"/>
  <c r="M35" i="9"/>
  <c r="N35" i="9"/>
  <c r="O35" i="9"/>
  <c r="G37" i="9"/>
  <c r="H37" i="9"/>
  <c r="I37" i="9"/>
  <c r="J37" i="9"/>
  <c r="K37" i="9"/>
  <c r="L37" i="9"/>
  <c r="M37" i="9"/>
  <c r="N37" i="9"/>
  <c r="J37" i="11"/>
  <c r="O37" i="9"/>
  <c r="G38" i="9"/>
  <c r="H38" i="9"/>
  <c r="I38" i="9"/>
  <c r="J38" i="9"/>
  <c r="K38" i="9"/>
  <c r="L38" i="9"/>
  <c r="M38" i="9"/>
  <c r="N38" i="9"/>
  <c r="J38" i="11"/>
  <c r="O38" i="9"/>
  <c r="G39" i="9"/>
  <c r="H39" i="9"/>
  <c r="I39" i="9"/>
  <c r="J39" i="9"/>
  <c r="K39" i="9"/>
  <c r="L39" i="9"/>
  <c r="M39" i="9"/>
  <c r="N39" i="9"/>
  <c r="J39" i="11"/>
  <c r="O39" i="9"/>
  <c r="G40" i="9"/>
  <c r="H40" i="9"/>
  <c r="I40" i="9"/>
  <c r="J40" i="9"/>
  <c r="K40" i="9"/>
  <c r="L40" i="9"/>
  <c r="M40" i="9"/>
  <c r="N40" i="9"/>
  <c r="J40" i="11"/>
  <c r="O40" i="9"/>
  <c r="G41" i="9"/>
  <c r="H41" i="9"/>
  <c r="I41" i="9"/>
  <c r="J41" i="9"/>
  <c r="K41" i="9"/>
  <c r="L41" i="9"/>
  <c r="M41" i="9"/>
  <c r="N41" i="9"/>
  <c r="J41" i="11"/>
  <c r="O41" i="9"/>
  <c r="G42" i="9"/>
  <c r="H42" i="9"/>
  <c r="I42" i="9"/>
  <c r="J42" i="9"/>
  <c r="K42" i="9"/>
  <c r="L42" i="9"/>
  <c r="M42" i="9"/>
  <c r="N42" i="9"/>
  <c r="J42" i="11"/>
  <c r="O42" i="9"/>
  <c r="G43" i="9"/>
  <c r="H43" i="9"/>
  <c r="I43" i="9"/>
  <c r="J43" i="9"/>
  <c r="K43" i="9"/>
  <c r="L43" i="9"/>
  <c r="M43" i="9"/>
  <c r="N43" i="9"/>
  <c r="J43" i="11"/>
  <c r="O43" i="9"/>
  <c r="G44" i="9"/>
  <c r="H44" i="9"/>
  <c r="I44" i="9"/>
  <c r="J44" i="9"/>
  <c r="K44" i="9"/>
  <c r="L44" i="9"/>
  <c r="M44" i="9"/>
  <c r="N44" i="9"/>
  <c r="J44" i="11"/>
  <c r="O44" i="9"/>
  <c r="G45" i="9"/>
  <c r="H45" i="9"/>
  <c r="I45" i="9"/>
  <c r="J45" i="9"/>
  <c r="K45" i="9"/>
  <c r="L45" i="9"/>
  <c r="M45" i="9"/>
  <c r="N45" i="9"/>
  <c r="J45" i="11"/>
  <c r="O45" i="9"/>
  <c r="G46" i="9"/>
  <c r="H46" i="9"/>
  <c r="I46" i="9"/>
  <c r="J46" i="9"/>
  <c r="K46" i="9"/>
  <c r="L46" i="9"/>
  <c r="M46" i="9"/>
  <c r="N46" i="9"/>
  <c r="J46" i="11"/>
  <c r="O46" i="9"/>
  <c r="G47" i="9"/>
  <c r="H47" i="9"/>
  <c r="I47" i="9"/>
  <c r="J47" i="9"/>
  <c r="K47" i="9"/>
  <c r="L47" i="9"/>
  <c r="M47" i="9"/>
  <c r="N47" i="9"/>
  <c r="J47" i="11"/>
  <c r="O47" i="9"/>
  <c r="G48" i="9"/>
  <c r="H48" i="9"/>
  <c r="I48" i="9"/>
  <c r="J48" i="9"/>
  <c r="K48" i="9"/>
  <c r="L48" i="9"/>
  <c r="M48" i="9"/>
  <c r="N48" i="9"/>
  <c r="J48" i="11"/>
  <c r="O48" i="9"/>
  <c r="G49" i="9"/>
  <c r="H49" i="9"/>
  <c r="I49" i="9"/>
  <c r="J49" i="9"/>
  <c r="K49" i="9"/>
  <c r="L49" i="9"/>
  <c r="M49" i="9"/>
  <c r="N49" i="9"/>
  <c r="J49" i="11"/>
  <c r="O49" i="9"/>
  <c r="G50" i="9"/>
  <c r="H50" i="9"/>
  <c r="I50" i="9"/>
  <c r="J50" i="9"/>
  <c r="K50" i="9"/>
  <c r="L50" i="9"/>
  <c r="M50" i="9"/>
  <c r="N50" i="9"/>
  <c r="J50" i="11"/>
  <c r="O50" i="9"/>
  <c r="D9" i="9"/>
  <c r="E9" i="9"/>
  <c r="D10" i="9"/>
  <c r="D11" i="9"/>
  <c r="E11" i="9"/>
  <c r="D12" i="9"/>
  <c r="E12" i="9"/>
  <c r="D13" i="9"/>
  <c r="D14" i="9"/>
  <c r="E14" i="9"/>
  <c r="D16" i="9"/>
  <c r="E16" i="9"/>
  <c r="D17" i="9"/>
  <c r="D18" i="9"/>
  <c r="E18" i="9"/>
  <c r="D19" i="9"/>
  <c r="E19" i="9"/>
  <c r="D20" i="9"/>
  <c r="E20" i="9"/>
  <c r="D21" i="9"/>
  <c r="E21" i="9"/>
  <c r="D22" i="9"/>
  <c r="E22" i="9"/>
  <c r="D24" i="9"/>
  <c r="D25" i="9"/>
  <c r="E25" i="9"/>
  <c r="D26" i="9"/>
  <c r="E26" i="9"/>
  <c r="D27" i="9"/>
  <c r="E27" i="9"/>
  <c r="D28" i="9"/>
  <c r="E28" i="9"/>
  <c r="D29" i="9"/>
  <c r="D30" i="9"/>
  <c r="E30" i="9"/>
  <c r="D31" i="9"/>
  <c r="E31" i="9"/>
  <c r="D32" i="9"/>
  <c r="E32" i="9"/>
  <c r="D33" i="9"/>
  <c r="E33" i="9"/>
  <c r="D34" i="9"/>
  <c r="E34" i="9"/>
  <c r="D35" i="9"/>
  <c r="E35" i="9"/>
  <c r="D37" i="9"/>
  <c r="D38" i="9"/>
  <c r="E38" i="9"/>
  <c r="D39" i="9"/>
  <c r="E39" i="9"/>
  <c r="D40" i="9"/>
  <c r="E40" i="9"/>
  <c r="D41" i="9"/>
  <c r="E41" i="9"/>
  <c r="D42" i="9"/>
  <c r="E42" i="9"/>
  <c r="D43" i="9"/>
  <c r="D44" i="9"/>
  <c r="E44" i="9"/>
  <c r="D45" i="9"/>
  <c r="E45" i="9"/>
  <c r="D46" i="9"/>
  <c r="E46" i="9"/>
  <c r="D47" i="9"/>
  <c r="E47" i="9"/>
  <c r="D48" i="9"/>
  <c r="E48" i="9"/>
  <c r="D49" i="9"/>
  <c r="E49" i="9"/>
  <c r="D50" i="9"/>
  <c r="E50" i="9"/>
  <c r="T28" i="10"/>
  <c r="W28" i="10"/>
  <c r="V28" i="10"/>
  <c r="X28" i="10"/>
  <c r="U28" i="10"/>
  <c r="Y28" i="10"/>
  <c r="G28" i="10"/>
  <c r="J28" i="10"/>
  <c r="I28" i="10"/>
  <c r="K28" i="10"/>
  <c r="H28" i="10"/>
  <c r="L28" i="10"/>
  <c r="J8" i="11"/>
  <c r="J7" i="11"/>
  <c r="J6" i="11"/>
  <c r="J5" i="11"/>
  <c r="J4" i="11"/>
  <c r="J3" i="11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T50" i="10"/>
  <c r="U50" i="10"/>
  <c r="V50" i="10"/>
  <c r="W50" i="10"/>
  <c r="X50" i="10"/>
  <c r="Y50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30" i="10"/>
  <c r="H30" i="10"/>
  <c r="I30" i="10"/>
  <c r="J30" i="10"/>
  <c r="K30" i="10"/>
  <c r="L30" i="10"/>
  <c r="M30" i="10"/>
  <c r="M41" i="10"/>
  <c r="N41" i="10"/>
  <c r="Q41" i="10"/>
  <c r="P41" i="10"/>
  <c r="R41" i="10"/>
  <c r="O41" i="10"/>
  <c r="S41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3" i="10"/>
  <c r="H3" i="10"/>
  <c r="I3" i="10"/>
  <c r="J3" i="10"/>
  <c r="K3" i="10"/>
  <c r="L3" i="10"/>
  <c r="M3" i="10"/>
  <c r="M1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7" i="10"/>
  <c r="N17" i="10"/>
  <c r="Q17" i="10"/>
  <c r="P17" i="10"/>
  <c r="R17" i="10"/>
  <c r="O17" i="10"/>
  <c r="S17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G8" i="9"/>
  <c r="H8" i="9"/>
  <c r="I8" i="9"/>
  <c r="J8" i="9"/>
  <c r="K8" i="9"/>
  <c r="L8" i="9"/>
  <c r="M8" i="9"/>
  <c r="N8" i="9"/>
  <c r="O8" i="9"/>
  <c r="A3" i="7"/>
  <c r="D3" i="7"/>
  <c r="E3" i="7"/>
  <c r="F3" i="7"/>
  <c r="H3" i="7"/>
  <c r="I3" i="7"/>
  <c r="J3" i="7"/>
  <c r="N3" i="7"/>
  <c r="O3" i="7"/>
  <c r="P3" i="7"/>
  <c r="Q3" i="7"/>
  <c r="R3" i="7"/>
  <c r="U3" i="7"/>
  <c r="W3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A5" i="7"/>
  <c r="D5" i="7"/>
  <c r="E5" i="7"/>
  <c r="F5" i="7"/>
  <c r="H5" i="7"/>
  <c r="I5" i="7"/>
  <c r="J5" i="7"/>
  <c r="N5" i="7"/>
  <c r="O5" i="7"/>
  <c r="P5" i="7"/>
  <c r="Q5" i="7"/>
  <c r="R5" i="7"/>
  <c r="U5" i="7"/>
  <c r="W5" i="7"/>
  <c r="A6" i="7"/>
  <c r="D6" i="7"/>
  <c r="E6" i="7"/>
  <c r="F6" i="7"/>
  <c r="H6" i="7"/>
  <c r="I6" i="7"/>
  <c r="J6" i="7"/>
  <c r="N6" i="7"/>
  <c r="O6" i="7"/>
  <c r="P6" i="7"/>
  <c r="Q6" i="7"/>
  <c r="R6" i="7"/>
  <c r="U6" i="7"/>
  <c r="W6" i="7"/>
  <c r="A9" i="1"/>
  <c r="D9" i="1"/>
  <c r="E9" i="1"/>
  <c r="F9" i="1"/>
  <c r="I9" i="1"/>
  <c r="J9" i="1"/>
  <c r="M9" i="1"/>
  <c r="N9" i="1"/>
  <c r="O9" i="1"/>
  <c r="P9" i="1"/>
  <c r="Q9" i="1"/>
  <c r="T9" i="1"/>
  <c r="V9" i="1"/>
  <c r="X9" i="1"/>
  <c r="AD9" i="1"/>
  <c r="AE9" i="1"/>
  <c r="AF9" i="1"/>
  <c r="AG9" i="1"/>
  <c r="AI9" i="1"/>
  <c r="A10" i="1"/>
  <c r="D10" i="1"/>
  <c r="E10" i="1"/>
  <c r="F10" i="1"/>
  <c r="I10" i="1"/>
  <c r="J10" i="1"/>
  <c r="M10" i="1"/>
  <c r="N10" i="1"/>
  <c r="O10" i="1"/>
  <c r="P10" i="1"/>
  <c r="Q10" i="1"/>
  <c r="T10" i="1"/>
  <c r="V10" i="1"/>
  <c r="X10" i="1"/>
  <c r="AD10" i="1"/>
  <c r="AE10" i="1"/>
  <c r="AF10" i="1"/>
  <c r="AG10" i="1"/>
  <c r="AI10" i="1"/>
  <c r="A11" i="1"/>
  <c r="D11" i="1"/>
  <c r="E11" i="1"/>
  <c r="F11" i="1"/>
  <c r="I11" i="1"/>
  <c r="J11" i="1"/>
  <c r="M11" i="1"/>
  <c r="N11" i="1"/>
  <c r="O11" i="1"/>
  <c r="P11" i="1"/>
  <c r="Q11" i="1"/>
  <c r="T11" i="1"/>
  <c r="V11" i="1"/>
  <c r="X11" i="1"/>
  <c r="AD11" i="1"/>
  <c r="AE11" i="1"/>
  <c r="AF11" i="1"/>
  <c r="AG11" i="1"/>
  <c r="AI11" i="1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W2" i="7"/>
  <c r="U2" i="7"/>
  <c r="V8" i="1"/>
  <c r="V7" i="1"/>
  <c r="T8" i="1"/>
  <c r="T7" i="1"/>
  <c r="E13" i="16"/>
  <c r="I11" i="21"/>
  <c r="J11" i="21"/>
  <c r="G11" i="21"/>
  <c r="F11" i="21"/>
  <c r="D11" i="21"/>
  <c r="C11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D8" i="1"/>
  <c r="AG8" i="1"/>
  <c r="AF8" i="1"/>
  <c r="AE8" i="1"/>
  <c r="AD7" i="1"/>
  <c r="AG7" i="1"/>
  <c r="AF7" i="1"/>
  <c r="AE7" i="1"/>
  <c r="X8" i="1"/>
  <c r="Q8" i="1"/>
  <c r="P8" i="1"/>
  <c r="O8" i="1"/>
  <c r="N8" i="1"/>
  <c r="M8" i="1"/>
  <c r="Q7" i="1"/>
  <c r="P7" i="1"/>
  <c r="O7" i="1"/>
  <c r="N7" i="1"/>
  <c r="M7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7" i="1"/>
  <c r="H2" i="7"/>
  <c r="J2" i="7"/>
  <c r="E8" i="16"/>
  <c r="E7" i="16"/>
  <c r="E6" i="16"/>
  <c r="E5" i="16"/>
  <c r="E4" i="16"/>
  <c r="E3" i="16"/>
  <c r="E2" i="16"/>
  <c r="A8" i="1"/>
  <c r="A7" i="1"/>
  <c r="AI8" i="1"/>
  <c r="A2" i="9"/>
  <c r="J8" i="1"/>
  <c r="I8" i="1"/>
  <c r="D8" i="1"/>
  <c r="F8" i="1"/>
  <c r="E8" i="1"/>
  <c r="A2" i="7"/>
  <c r="I2" i="7"/>
  <c r="D2" i="7"/>
  <c r="F2" i="7"/>
  <c r="E2" i="7"/>
  <c r="J7" i="1"/>
  <c r="I7" i="1"/>
  <c r="D7" i="1"/>
  <c r="E7" i="1"/>
  <c r="F7" i="1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<sst xmlns="http://schemas.openxmlformats.org/spreadsheetml/2006/main" count="1448" uniqueCount="555">
  <si>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</si>
  <si>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</si>
  <si>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</si>
  <si>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</si>
  <si>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</si>
  <si>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</si>
  <si>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</si>
  <si>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</si>
  <si>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</si>
  <si>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</si>
  <si>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</si>
  <si>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</si>
  <si>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</si>
  <si>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</si>
  <si>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</si>
  <si>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</si>
  <si>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</si>
  <si>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</si>
  <si>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</si>
  <si>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</si>
  <si>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</si>
  <si>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</si>
  <si>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</si>
  <si>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</si>
  <si>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</si>
  <si>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</si>
  <si>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</si>
  <si>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</si>
  <si>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</si>
  <si>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</si>
  <si>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</si>
  <si>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</si>
  <si>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</si>
  <si>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</si>
  <si>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</si>
  <si>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</si>
  <si>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</si>
  <si>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</si>
  <si>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</si>
  <si>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</si>
  <si>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</si>
  <si>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</si>
  <si>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</si>
  <si>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</si>
  <si>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</si>
  <si>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</si>
  <si>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</si>
  <si>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</si>
  <si>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</si>
  <si>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</si>
  <si>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</si>
  <si>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</si>
  <si>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</si>
  <si>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</si>
  <si>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</si>
  <si>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</si>
  <si>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</si>
  <si>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</si>
  <si>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</si>
  <si>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</si>
  <si>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</si>
  <si>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</si>
  <si>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</si>
  <si>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</si>
  <si>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</si>
  <si>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</si>
  <si>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</si>
  <si>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</si>
  <si>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</si>
  <si>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</si>
  <si>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</si>
  <si>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</si>
  <si>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</si>
  <si>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</si>
  <si>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</si>
  <si>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</si>
  <si>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</si>
  <si>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</si>
  <si>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</si>
  <si>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</si>
  <si>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</si>
  <si>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</si>
  <si>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</si>
  <si>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</si>
  <si>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</si>
  <si>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</si>
  <si>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</si>
  <si>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</si>
  <si>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</si>
  <si>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</si>
  <si>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</si>
  <si>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</si>
  <si>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</si>
  <si>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</si>
  <si>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</si>
  <si>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</si>
  <si>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</si>
  <si>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</si>
  <si>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</si>
  <si>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</si>
  <si>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</si>
  <si>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</si>
  <si>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</si>
  <si>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</si>
  <si>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</si>
  <si>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</si>
  <si>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</si>
  <si>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</si>
  <si>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</si>
  <si>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</si>
  <si>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</si>
  <si>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</si>
  <si>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</si>
  <si>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</si>
  <si>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</si>
  <si>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</si>
  <si>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</si>
  <si>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</si>
  <si>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</si>
  <si>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</si>
  <si>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</si>
  <si>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</si>
  <si>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</si>
  <si>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</si>
  <si>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</si>
  <si>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</si>
  <si>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</si>
  <si>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</si>
  <si>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</si>
  <si>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</si>
  <si>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</si>
  <si>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</si>
  <si>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</si>
  <si>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</si>
  <si>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</si>
  <si>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</si>
  <si>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</si>
  <si>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</si>
  <si>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</si>
  <si>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</si>
  <si>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</si>
  <si>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</si>
  <si>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</si>
  <si>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</si>
  <si>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</si>
  <si>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</si>
  <si>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</si>
  <si>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</si>
  <si>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</si>
  <si>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</si>
  <si>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</si>
  <si>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</si>
  <si>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</si>
  <si>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</si>
  <si>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</si>
  <si>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</si>
  <si>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</si>
  <si>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</si>
  <si>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</si>
  <si>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</si>
  <si>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</si>
  <si>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</si>
  <si>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</si>
  <si>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</si>
  <si>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</si>
  <si>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</si>
  <si>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</si>
  <si>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</si>
  <si>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</si>
  <si>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</si>
  <si>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</si>
  <si>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</si>
  <si>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</si>
  <si>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</si>
  <si>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</si>
  <si>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</si>
  <si>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</si>
  <si>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</si>
  <si>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</si>
  <si>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</si>
  <si>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</si>
  <si>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</si>
  <si>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</si>
  <si>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</si>
  <si>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</si>
  <si>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</si>
  <si>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</si>
  <si>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</si>
  <si>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</si>
  <si>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</si>
  <si>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</si>
  <si>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</si>
  <si>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</si>
  <si>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</si>
  <si>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</si>
  <si>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</si>
  <si>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</si>
  <si>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</si>
  <si>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</si>
  <si>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</si>
  <si>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</si>
  <si>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</si>
  <si>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</si>
  <si>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</si>
  <si>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</si>
  <si>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</si>
  <si>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</si>
  <si>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</si>
  <si>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</si>
  <si>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</si>
  <si>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</si>
  <si>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</si>
  <si>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</si>
  <si>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</si>
  <si>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</si>
  <si>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</si>
  <si>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</si>
  <si>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</si>
  <si>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</si>
  <si>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</si>
  <si>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</si>
  <si>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</si>
  <si>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</si>
  <si>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</si>
  <si>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</si>
  <si>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</si>
  <si>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</si>
  <si>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</si>
  <si>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</si>
  <si>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</si>
  <si>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</si>
  <si>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</si>
  <si>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</si>
  <si>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</si>
  <si>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</si>
  <si>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</si>
  <si>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</si>
  <si>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</si>
  <si>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</si>
  <si>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</si>
  <si>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</si>
  <si>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</si>
  <si>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</si>
  <si>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</si>
  <si>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</si>
  <si>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</si>
  <si>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</si>
  <si>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</si>
  <si>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</si>
  <si>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</si>
  <si>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</si>
  <si>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</si>
  <si>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</si>
  <si>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ミョルニル</t>
  </si>
  <si>
    <t>アルフヘイム</t>
  </si>
  <si>
    <t>1ターン毎:赤属性キラー全体攻撃</t>
  </si>
  <si>
    <t>2ターン毎:黄属性キラー全体攻撃</t>
    <phoneticPr fontId="5"/>
  </si>
  <si>
    <t>5ターン目：HP100%ダメージ（2ゲージ目へ以降)</t>
    <phoneticPr fontId="5"/>
  </si>
  <si>
    <t>2ターン毎：ハートパネル吸収攻撃</t>
    <phoneticPr fontId="5"/>
  </si>
  <si>
    <t>開幕：ハートパネルを時限式パネルに変換(カウント2〜3)</t>
    <phoneticPr fontId="5"/>
  </si>
  <si>
    <t>4ターン毎：ハートパネルを5個時限式パネルに変換(カウント3)</t>
    <phoneticPr fontId="5"/>
  </si>
  <si>
    <t>開幕：青パネルをダメージパネルに変換</t>
    <phoneticPr fontId="5"/>
  </si>
  <si>
    <t>4ターン毎：青パネルを5個ダメージパネルに変換</t>
    <phoneticPr fontId="5"/>
  </si>
  <si>
    <t>ウルズ</t>
  </si>
  <si>
    <t>開幕：1ターンアビリティ無効+1ターンスリープ（※自動ターン送り)</t>
    <phoneticPr fontId="5"/>
  </si>
  <si>
    <t>※イズン有りの場合開幕固有セリフ</t>
  </si>
  <si>
    <t>1ターン：時限式パネル&amp;ダメージパネルを吸収して自身の防御力UP
+HP100％ダメージ（逃走）</t>
    <phoneticPr fontId="5"/>
  </si>
  <si>
    <t>開幕：2ターン攻撃力UP（1.5倍)</t>
    <phoneticPr fontId="5"/>
  </si>
  <si>
    <t>※イズン有りの場合開幕固有セリフ</t>
    <phoneticPr fontId="5"/>
  </si>
  <si>
    <t>3ターン毎：緑パネルをダメージパネルに変換+全体攻撃</t>
    <phoneticPr fontId="5"/>
  </si>
  <si>
    <t>4ターン毎：黄パネル+黄のダメージパネル吸収攻撃（即死にならない程度)</t>
    <phoneticPr fontId="5"/>
  </si>
  <si>
    <t>HP60%以下：ハートパネル&amp;ハートボムパネルを吸収して単体攻撃</t>
    <phoneticPr fontId="5"/>
  </si>
  <si>
    <t>HP30%以下：ハートパネルをダメージパネルに変換</t>
    <phoneticPr fontId="5"/>
  </si>
  <si>
    <t>ガルム2</t>
    <phoneticPr fontId="5"/>
  </si>
  <si>
    <t>開幕：ダメージパネルを時限式パネルに変換(カウント3)+確率で時限式ダメージパネル(カウント4)をドロップ</t>
    <phoneticPr fontId="5"/>
  </si>
  <si>
    <t>5ターン目：4ターン回復力DOWN（90%程度まで）+全体攻撃</t>
    <phoneticPr fontId="5"/>
  </si>
  <si>
    <t>HP70%以下1ターン目：4ターンハートパネルドロップ率DOWN</t>
    <phoneticPr fontId="5"/>
  </si>
  <si>
    <t>HP70%以下2ターン目：ハートパネル&amp;ハートボムパネルを吸収して単体攻撃</t>
    <phoneticPr fontId="5"/>
  </si>
  <si>
    <t>HP40%以下：攻撃頻度UP(2→1)</t>
  </si>
  <si>
    <t>開幕：赤・青・緑パネルをダメージパネルに変換+凍てつく波動(バフ・デバフ解除)+状態異常無効</t>
    <phoneticPr fontId="5"/>
  </si>
  <si>
    <t>※イズン有りの場合開幕固有セリフ</t>
    <rPh sb="9" eb="11">
      <t>カイマk</t>
    </rPh>
    <phoneticPr fontId="5"/>
  </si>
  <si>
    <t>1ターン目：赤ダメージパネル吸収攻撃</t>
    <phoneticPr fontId="5"/>
  </si>
  <si>
    <t>2ターン目：青ダメージパネル吸収攻撃</t>
    <phoneticPr fontId="5"/>
  </si>
  <si>
    <t>3ターン目：緑ダメージパネル吸収攻撃</t>
    <phoneticPr fontId="5"/>
  </si>
  <si>
    <t>4ターン目：攻撃頻度DOWN(1→2)+攻撃力UP（2倍）</t>
    <phoneticPr fontId="5"/>
  </si>
  <si>
    <t>1ターン毎(上記行動が優先なので実質5ターン目から)：
　黄パネルをダメージパネルに3個変換+全体攻撃</t>
    <phoneticPr fontId="5"/>
  </si>
  <si>
    <t>ヘル2</t>
    <phoneticPr fontId="5"/>
  </si>
  <si>
    <t>開幕：状態異常無効</t>
    <phoneticPr fontId="5"/>
  </si>
  <si>
    <t>HP100%以下毎ターン：赤パネルの一部を時限式パネルに3個変換(カウント3)+全体攻撃</t>
    <phoneticPr fontId="5"/>
  </si>
  <si>
    <t>HP80%以下毎ターン：青パネルの一部を時限式パネルに3個変換(カウント3)+全体攻撃</t>
    <phoneticPr fontId="5"/>
  </si>
  <si>
    <t>HP60%以下毎ターン：緑パネルの一部を時限式パネルに3個変換(カウント3)+全体攻撃</t>
  </si>
  <si>
    <t>HP40%以下毎ターン：ハートパネルの一部を時限式パネルに3個変換(カウント3)+全体攻撃</t>
  </si>
  <si>
    <t>HP20%以下毎ターン：全パネルの一部を時限式パネルに5個変換(カウント3)+全体攻撃</t>
  </si>
  <si>
    <t>ヘル3</t>
    <phoneticPr fontId="5"/>
  </si>
  <si>
    <t>開幕：状態異常無効+5ターン爆風軽減(50%)</t>
    <phoneticPr fontId="5"/>
  </si>
  <si>
    <t>1ターン目：青パネルをダメージパネルに変換+単体攻撃</t>
  </si>
  <si>
    <t>2ターン目：5ターン回復力DOWN+単体攻撃</t>
  </si>
  <si>
    <t>3ターン目：ハート&amp;ハートボムパネル吸収単体攻撃</t>
    <phoneticPr fontId="5"/>
  </si>
  <si>
    <t>HP50%以下1ターン目：黃パネル以外の全パネルをダメージパネルに変換+行動頻度2</t>
  </si>
  <si>
    <t>HP50%以下2ターン目：ダメージパネル吸収全体攻撃
   ※2ターン後即死攻撃予告</t>
    <phoneticPr fontId="5"/>
  </si>
  <si>
    <t>HP50%以下3ターン目：全体攻撃（即死）</t>
  </si>
  <si>
    <t>ガルム</t>
  </si>
  <si>
    <t>ヘル</t>
  </si>
  <si>
    <t>イズン</t>
    <phoneticPr fontId="5"/>
  </si>
  <si>
    <t>old</t>
    <phoneticPr fontId="5"/>
  </si>
  <si>
    <t>null</t>
  </si>
  <si>
    <t>死亡時：セリフ イズンイズンイズン</t>
    <phoneticPr fontId="5"/>
  </si>
  <si>
    <t>死亡時：セリフ</t>
    <phoneticPr fontId="5"/>
  </si>
  <si>
    <t>選定の雷</t>
    <rPh sb="0" eb="2">
      <t>センt</t>
    </rPh>
    <phoneticPr fontId="5"/>
  </si>
  <si>
    <t>選定の雷</t>
    <rPh sb="0" eb="2">
      <t>センテ</t>
    </rPh>
    <phoneticPr fontId="5"/>
  </si>
  <si>
    <t>モードチェンジ・・・！</t>
    <phoneticPr fontId="5"/>
  </si>
  <si>
    <t>その程度なのですか</t>
    <phoneticPr fontId="5"/>
  </si>
  <si>
    <t>やりますね</t>
    <phoneticPr fontId="5"/>
  </si>
  <si>
    <t>雲霞に消えよ</t>
  </si>
  <si>
    <t>阻むことはできぬぞ</t>
  </si>
  <si>
    <t>お前を決して許さぬ</t>
    <rPh sb="3" eb="4">
      <t>ケッs</t>
    </rPh>
    <rPh sb="6" eb="7">
      <t>ユルサn</t>
    </rPh>
    <phoneticPr fontId="5"/>
  </si>
  <si>
    <t>邪魔者が消えた</t>
    <rPh sb="0" eb="3">
      <t>ジャm</t>
    </rPh>
    <phoneticPr fontId="5"/>
  </si>
  <si>
    <t>イズン、また痛い目に遭いたいのか？</t>
    <rPh sb="6" eb="7">
      <t>イタ</t>
    </rPh>
    <phoneticPr fontId="5"/>
  </si>
  <si>
    <t>ハートパネルを吸収して全体攻撃</t>
    <rPh sb="11" eb="13">
      <t>ゼンタ</t>
    </rPh>
    <phoneticPr fontId="5"/>
  </si>
  <si>
    <t>赤属性のユニットに大ダメージの全体攻撃</t>
    <rPh sb="0" eb="1">
      <t>アカ</t>
    </rPh>
    <rPh sb="15" eb="17">
      <t>ゼンタ</t>
    </rPh>
    <rPh sb="17" eb="19">
      <t>コウゲk</t>
    </rPh>
    <phoneticPr fontId="5"/>
  </si>
  <si>
    <t>黄属性のユニットに大ダメージの全体攻撃</t>
    <rPh sb="0" eb="1">
      <t>ki</t>
    </rPh>
    <rPh sb="9" eb="10">
      <t>キゾk</t>
    </rPh>
    <phoneticPr fontId="5"/>
  </si>
  <si>
    <t>2ターン攻撃力UP</t>
    <phoneticPr fontId="5"/>
  </si>
  <si>
    <t>黄パネル&amp;黄のダメージパネルを吸収して全体攻撃</t>
    <rPh sb="0" eb="1">
      <t>キp</t>
    </rPh>
    <rPh sb="5" eb="6">
      <t>キ</t>
    </rPh>
    <rPh sb="15" eb="17">
      <t>キュウシュ</t>
    </rPh>
    <rPh sb="19" eb="23">
      <t>ゼンタ</t>
    </rPh>
    <phoneticPr fontId="5"/>
  </si>
  <si>
    <t>自身の攻撃頻度UP</t>
    <rPh sb="0" eb="2">
      <t>ジシn</t>
    </rPh>
    <phoneticPr fontId="5"/>
  </si>
  <si>
    <t>状態異常耐性+5ターンボムの爆風を50%DOWN</t>
    <phoneticPr fontId="5"/>
  </si>
  <si>
    <t>力を溜めている</t>
    <rPh sb="0" eb="1">
      <t>チカr</t>
    </rPh>
    <phoneticPr fontId="5"/>
  </si>
  <si>
    <t>これでもくらえ！</t>
    <phoneticPr fontId="5"/>
  </si>
  <si>
    <t>ヘルには近づけさせない・・・</t>
    <phoneticPr fontId="5"/>
  </si>
  <si>
    <t>ヘルを守ることが俺の仕事だ！</t>
    <rPh sb="8" eb="9">
      <t>オr</t>
    </rPh>
    <phoneticPr fontId="5"/>
  </si>
  <si>
    <t>ビリっとくるぜ</t>
    <phoneticPr fontId="5"/>
  </si>
  <si>
    <t>派手に行こうぜっ！</t>
    <rPh sb="0" eb="2">
      <t>ハd</t>
    </rPh>
    <phoneticPr fontId="5"/>
  </si>
  <si>
    <t>サンダークロー</t>
    <phoneticPr fontId="5"/>
  </si>
  <si>
    <t>回復なんてさせねえ！</t>
    <rPh sb="0" eb="2">
      <t>カイフクn</t>
    </rPh>
    <phoneticPr fontId="5"/>
  </si>
  <si>
    <t>攻略のヒント</t>
    <rPh sb="0" eb="2">
      <t>コウリャk</t>
    </rPh>
    <phoneticPr fontId="5"/>
  </si>
  <si>
    <t>ヘルは1ターン目に赤・青・緑、それぞれの
ダメージパネル吸収攻撃を行います
フィーバーで盤面をリセットしましょう</t>
    <phoneticPr fontId="5"/>
  </si>
  <si>
    <t>link</t>
  </si>
  <si>
    <t>unit</t>
  </si>
  <si>
    <t>ミョルニルとアルフヘイムは
ターン経過で自動的に2ゲージ目に
移行します</t>
  </si>
  <si>
    <t>ミョルニルとアルフヘイムは
ターン経過で自動的に2ゲージ目に
移行します</t>
    <phoneticPr fontId="5"/>
  </si>
  <si>
    <t>ガルムはHPが少なくなると強力な
ハートパネル&amp;ハートボムパネル吸収攻撃
を使用します
スキルやフィーバーで一気に倒しましょう</t>
  </si>
  <si>
    <t>ガルムはHPが少なくなると強力な
ハートパネル&amp;ハートボムパネル吸収攻撃
を使用します
スキルやフィーバーで一気に倒しましょう</t>
    <phoneticPr fontId="5"/>
  </si>
  <si>
    <t>ヘルは1ターン目に赤・青・緑、それぞれの
ダメージパネル吸収攻撃を行います
フィーバーで盤面をリセットしましょう</t>
  </si>
  <si>
    <t>自身の攻撃力UP</t>
    <phoneticPr fontId="5"/>
  </si>
  <si>
    <t>大ダメージの全体攻撃</t>
    <phoneticPr fontId="5"/>
  </si>
  <si>
    <t>死亡時：セリフ</t>
  </si>
  <si>
    <t>死亡時：セリフ イズンイズンイズン</t>
  </si>
  <si>
    <t>アルフヘイム死亡時：ハートパネルを時限式パネルに変換(カウント2〜3)</t>
  </si>
  <si>
    <t>アルフヘイム死亡時：ハートパネルを時限式パネルに変換(カウント2〜3)</t>
    <phoneticPr fontId="5"/>
  </si>
  <si>
    <t>ミョルニル死亡時：青パネルをダメージパネルに変換</t>
  </si>
  <si>
    <t>ミョルニル死亡時：青パネルをダメージパネルに変換</t>
    <phoneticPr fontId="5"/>
  </si>
  <si>
    <t>2ターン毎:黄属性キラー全体攻撃</t>
  </si>
  <si>
    <t>5ターン目：HP100%ダメージ（2ゲージ目へ以降)</t>
  </si>
  <si>
    <t>開幕：ハートパネルを時限式パネルに変換(カウント2〜3)</t>
  </si>
  <si>
    <t>4ターン毎：ハートパネルを5個時限式パネルに変換(カウント3)</t>
  </si>
  <si>
    <t>2ターン毎：ハートパネル吸収攻撃</t>
  </si>
  <si>
    <t>開幕：青パネルをダメージパネルに変換</t>
  </si>
  <si>
    <t>4ターン毎：青パネルを5個ダメージパネルに変換</t>
  </si>
  <si>
    <t>開幕：1ターンアビリティ無効+1ターンスリープ（※自動ターン送り)</t>
  </si>
  <si>
    <t>1ターン：時限式パネル&amp;ダメージパネルを吸収して自身の防御力UP
+HP100％ダメージ（逃走）</t>
  </si>
  <si>
    <t>開幕：2ターン攻撃力UP（1.5倍)</t>
  </si>
  <si>
    <t>3ターン毎：緑パネルをダメージパネルに変換+全体攻撃</t>
  </si>
  <si>
    <t>4ターン毎：黄パネル+黄のダメージパネル吸収攻撃（即死にならない程度)</t>
  </si>
  <si>
    <t>HP60%以下：ハートパネル&amp;ハートボムパネルを吸収して単体攻撃</t>
  </si>
  <si>
    <t>HP30%以下：ハートパネルをダメージパネルに変換</t>
  </si>
  <si>
    <t>開幕：ダメージパネルを時限式パネルに変換(カウント3)+確率で時限式ダメージパネル(カウント4)をドロップ</t>
  </si>
  <si>
    <t>5ターン目：4ターン回復力DOWN（90%程度まで）+全体攻撃</t>
  </si>
  <si>
    <t>HP70%以下1ターン目：4ターンハートパネルドロップ率DOWN</t>
  </si>
  <si>
    <t>HP70%以下2ターン目：ハートパネル&amp;ハートボムパネルを吸収して単体攻撃</t>
  </si>
  <si>
    <t>開幕：赤・青・緑パネルをダメージパネルに変換+凍てつく波動(バフ・デバフ解除)+状態異常無効</t>
  </si>
  <si>
    <t>1ターン目：赤ダメージパネル吸収攻撃</t>
  </si>
  <si>
    <t>2ターン目：青ダメージパネル吸収攻撃</t>
  </si>
  <si>
    <t>3ターン目：緑ダメージパネル吸収攻撃</t>
  </si>
  <si>
    <t>4ターン目：攻撃頻度DOWN(1→2)+攻撃力UP（2倍）</t>
  </si>
  <si>
    <t>1ターン毎(上記行動が優先なので実質5ターン目から)：
　黄パネルをダメージパネルに3個変換+全体攻撃</t>
  </si>
  <si>
    <t>開幕：状態異常無効</t>
  </si>
  <si>
    <t>HP100%以下毎ターン：赤パネルの一部を時限式パネルに3個変換(カウント3)+全体攻撃</t>
  </si>
  <si>
    <t>HP80%以下毎ターン：青パネルの一部を時限式パネルに3個変換(カウント3)+全体攻撃</t>
  </si>
  <si>
    <t>開幕：状態異常無効+5ターン爆風軽減(50%)</t>
  </si>
  <si>
    <t>3ターン目：ハート&amp;ハートボムパネル吸収単体攻撃</t>
  </si>
  <si>
    <t>HP50%以下2ターン目：ダメージパネル吸収全体攻撃
   ※2ターン後即死攻撃予告</t>
  </si>
  <si>
    <t>ja</t>
  </si>
  <si>
    <t>選定の雷</t>
  </si>
  <si>
    <t>モードチェンジ・・・！</t>
  </si>
  <si>
    <t>その程度なのですか</t>
  </si>
  <si>
    <t>やりますね</t>
  </si>
  <si>
    <t>お前を決して許さぬ</t>
  </si>
  <si>
    <t>邪魔者が消えた</t>
  </si>
  <si>
    <t>力を溜めている</t>
  </si>
  <si>
    <t>イズン、また痛い目に遭いたいのか？</t>
  </si>
  <si>
    <t>ビリっとくるぜ</t>
  </si>
  <si>
    <t>これでもくらえ！</t>
  </si>
  <si>
    <t>サンダークロー</t>
  </si>
  <si>
    <t>ヘルを守ることが俺の仕事だ！</t>
  </si>
  <si>
    <t>派手に行こうぜっ！</t>
  </si>
  <si>
    <t>回復なんてさせねえ！</t>
  </si>
  <si>
    <t>ヘルには近づけさせない・・・</t>
  </si>
  <si>
    <t>ダメージパネルを吸収して全体攻撃+
2ターン後に強力な攻撃</t>
    <rPh sb="24" eb="26">
      <t>キョウリョk</t>
    </rPh>
    <phoneticPr fontId="5"/>
  </si>
  <si>
    <t>ハートパネルを黄の時限式ダメージパネルに変換</t>
    <rPh sb="7" eb="8">
      <t>キ</t>
    </rPh>
    <phoneticPr fontId="5"/>
  </si>
  <si>
    <t>ハートパネルを黄の時限式ダメージパネルに変換</t>
    <phoneticPr fontId="5"/>
  </si>
  <si>
    <t>緑パネルを黄のダメージパネルに変換+全体攻撃</t>
    <phoneticPr fontId="5"/>
  </si>
  <si>
    <t>赤パネルを黄の時限式ダメージパネルに3個変換+
全体攻撃</t>
    <rPh sb="5" eb="6">
      <t>キn</t>
    </rPh>
    <phoneticPr fontId="5"/>
  </si>
  <si>
    <t>青パネルを黄の時限式ダメージパネルに3個変換+
全体攻撃</t>
    <rPh sb="0" eb="1">
      <t>ア</t>
    </rPh>
    <rPh sb="5" eb="6">
      <t>キn</t>
    </rPh>
    <phoneticPr fontId="5"/>
  </si>
  <si>
    <t>カミナリ雲</t>
    <phoneticPr fontId="5"/>
  </si>
  <si>
    <t>…ロキの邪魔、絶対させないよ！</t>
  </si>
  <si>
    <t>あー！泣き虫イズンだ！</t>
  </si>
  <si>
    <t>いっぱい懲らしめてあげるっ！</t>
  </si>
  <si>
    <t>おとなしくしてね？</t>
  </si>
  <si>
    <t>こんなもの、ポイしちゃおうね？</t>
  </si>
  <si>
    <t>みんな壊していいってロキが言ってたのー♪</t>
  </si>
  <si>
    <t>冥府のみんな、いっけー☆</t>
  </si>
  <si>
    <t>どうしてわからないの…？ロキが正しいんだよ？</t>
  </si>
  <si>
    <t>みんなロキのこと嫌いなの？</t>
  </si>
  <si>
    <t>ロキの邪魔しないでっ！</t>
  </si>
  <si>
    <t>ロキの言うとおりにしようね？</t>
  </si>
  <si>
    <t>ロキ…ロキ…ロキ…ロキ…</t>
  </si>
  <si>
    <t>みんな粉々になっちゃえばいいんだ…</t>
  </si>
  <si>
    <t>…もういいよ！みんな消しちゃうから！</t>
  </si>
  <si>
    <t>冥府のみんな、来て…！</t>
  </si>
  <si>
    <t>二度とロキの邪魔はさせないの！</t>
  </si>
  <si>
    <t>ロキ…ロキ…褒めて…認めて…ロキ…！</t>
  </si>
  <si>
    <t>みんな冥府の底に沈めるの…！</t>
  </si>
  <si>
    <t>ロキに褒めてもらうの…！</t>
  </si>
  <si>
    <t>ロキ…ロキ…！私ちゃんと出来てる？ロキ…！</t>
  </si>
  <si>
    <t>ロキ…ごめんなさい…</t>
  </si>
  <si>
    <t>私が…イズンに…負けた…？</t>
  </si>
  <si>
    <t>…抗うつもりなのね…？</t>
  </si>
  <si>
    <t>そう…覚悟ができたのね…ふふ</t>
  </si>
  <si>
    <t>いいわ…少しだけ運命を変えましょう…</t>
  </si>
  <si>
    <t>緑パネルを黄の時限式ダメージパネルに3個変換+
全体攻撃</t>
    <rPh sb="0" eb="1">
      <t>ミドr</t>
    </rPh>
    <rPh sb="5" eb="6">
      <t>キn</t>
    </rPh>
    <phoneticPr fontId="5"/>
  </si>
  <si>
    <t>ハートパネルを黄の時限式ダメージパネルに3個変換+
全体攻撃</t>
    <rPh sb="7" eb="8">
      <t>キn</t>
    </rPh>
    <phoneticPr fontId="5"/>
  </si>
  <si>
    <t>青パネルを黄のダメージパネルに変換+単体攻撃</t>
    <rPh sb="5" eb="6">
      <t>キn</t>
    </rPh>
    <phoneticPr fontId="5"/>
  </si>
  <si>
    <t>ハートパネルを黄のダメージパネルに変換</t>
    <rPh sb="7" eb="8">
      <t>キn</t>
    </rPh>
    <phoneticPr fontId="5"/>
  </si>
  <si>
    <t>ダメージパネルを黄の時限式ダメージパネルに変換+
5ターン確率で時限式ダメージパネルをドロップ</t>
    <rPh sb="8" eb="9">
      <t>k</t>
    </rPh>
    <phoneticPr fontId="5"/>
  </si>
  <si>
    <t>黄パネル以外の属性パネルをダメージパネルに変換</t>
    <rPh sb="0" eb="1">
      <t>ki</t>
    </rPh>
    <rPh sb="7" eb="9">
      <t>ゾクセ</t>
    </rPh>
    <phoneticPr fontId="5"/>
  </si>
  <si>
    <t>old</t>
    <phoneticPr fontId="7"/>
  </si>
  <si>
    <t>ヘルは3ゲージ目のHPが半分以下になると
数ターン後大ダメージの全体攻撃を行います
スキルやフィーバーで一気に倒しましょう</t>
    <phoneticPr fontId="5"/>
  </si>
  <si>
    <t>現在のヘルの思考回路は
ロキの命令には何でも従う状態です
一方でロキはヘルを駒としか思っておらず
親子の関係とは言い難いようです</t>
    <phoneticPr fontId="5"/>
  </si>
  <si>
    <t>ロキとの関係</t>
  </si>
  <si>
    <t>今回の「ユグドラシルウォール」襲撃では
ヘルはロキが最深部に辿り着くまで
追っ手を足止めするよう命じられていました</t>
    <phoneticPr fontId="5"/>
  </si>
  <si>
    <t>ヘルの役割</t>
    <phoneticPr fontId="5"/>
  </si>
  <si>
    <t>本来の役割</t>
    <phoneticPr fontId="5"/>
  </si>
  <si>
    <t>手中の駒</t>
    <phoneticPr fontId="5"/>
  </si>
  <si>
    <t>full_member</t>
    <phoneticPr fontId="5"/>
  </si>
  <si>
    <t>old</t>
    <phoneticPr fontId="5"/>
  </si>
  <si>
    <t>old</t>
    <phoneticPr fontId="7"/>
  </si>
  <si>
    <t>ミョルニルは時限式ダメージパネル
アルフヘイムはダメージパネル
の変換スキルを2ゲージ目から使用します</t>
    <phoneticPr fontId="5"/>
  </si>
  <si>
    <t>女王が暴走するまでのヘルは
ロキが演算により導き出した対案を
精査・記録して使える状態にするなど
事務的な補佐を担っていました</t>
    <phoneticPr fontId="5"/>
  </si>
  <si>
    <t>ヘルは様々な破壊活動を行ってきましたが
それにはロキによる思考回路の改竄が
密接に関係しているようです</t>
    <rPh sb="34" eb="36">
      <t>カイザn</t>
    </rPh>
    <phoneticPr fontId="5"/>
  </si>
  <si>
    <t>貴方の力を見せてください</t>
    <rPh sb="0" eb="2">
      <t>アナタ</t>
    </rPh>
    <phoneticPr fontId="5"/>
  </si>
  <si>
    <t>貴方の力を見せてください</t>
    <rPh sb="0" eb="2">
      <t>アナt</t>
    </rPh>
    <phoneticPr fontId="5"/>
  </si>
  <si>
    <t>[表示しない]</t>
    <rPh sb="1" eb="3">
      <t>ヒョ</t>
    </rPh>
    <phoneticPr fontId="5"/>
  </si>
  <si>
    <t>[表示しない]</t>
    <phoneticPr fontId="5"/>
  </si>
  <si>
    <t>ハートパネルを黄の時限式ダメージパネルに5個変換</t>
    <phoneticPr fontId="5"/>
  </si>
  <si>
    <t>青パネルを黄のダメージパネルに8個変換</t>
    <phoneticPr fontId="5"/>
  </si>
  <si>
    <t>青パネルを黄のダメージパネルに5個変換</t>
    <rPh sb="0" eb="1">
      <t>ア</t>
    </rPh>
    <phoneticPr fontId="5"/>
  </si>
  <si>
    <t>ランダムで黄の時限式ダメージパネルに5個変換+
全体攻撃</t>
    <phoneticPr fontId="5"/>
  </si>
  <si>
    <t>みんな粉々になっちゃえばいいんだ…</t>
    <phoneticPr fontId="5"/>
  </si>
  <si>
    <t>ハートパネル&amp;ハートボムパネルを吸収して攻撃</t>
    <phoneticPr fontId="5"/>
  </si>
  <si>
    <t>赤のダメージパネルを吸収して攻撃</t>
    <phoneticPr fontId="5"/>
  </si>
  <si>
    <t>青のダメージパネルを吸収して攻撃</t>
    <rPh sb="0" eb="1">
      <t>ア</t>
    </rPh>
    <phoneticPr fontId="5"/>
  </si>
  <si>
    <t>緑のダメージパネルを吸収して攻撃</t>
    <rPh sb="0" eb="1">
      <t>ミドr</t>
    </rPh>
    <phoneticPr fontId="5"/>
  </si>
  <si>
    <t>黄パネルを黄のダメージパネルに3個変換+全体攻撃</t>
    <rPh sb="5" eb="6">
      <t>kino</t>
    </rPh>
    <phoneticPr fontId="5"/>
  </si>
  <si>
    <t>黄パネルを黄のダメージパネルに3個変換+全体攻撃</t>
    <rPh sb="5" eb="6">
      <t>キノ</t>
    </rPh>
    <phoneticPr fontId="5"/>
  </si>
  <si>
    <t>4ターンハートパネルドロップ率DOWN</t>
    <phoneticPr fontId="5"/>
  </si>
  <si>
    <t>[effect:enemy_message, val1:1.2, val2:1.9],[effect:damage_anti_color, target:unit_all, color:red, val1:1, val2:0.2]</t>
  </si>
  <si>
    <t>[effect:enemy_message, val1:1.2, val2:1.9],[effect:damage_anti_color, target:unit_all, color:red, val1:1, val2:0.2]</t>
    <phoneticPr fontId="5"/>
  </si>
  <si>
    <t>[effect:enemy_message, val1:1.2, val2:1.9],[effect:damage_anti_color, target:unit_all, color:yellow, val1:1, val2:0.2]</t>
  </si>
  <si>
    <t>[effect:enemy_message, val1:1.2, val2:1.9],[effect:damage_anti_color, target:unit_all, color:yellow, val1:1, val2:0.2]</t>
    <phoneticPr fontId="5"/>
  </si>
  <si>
    <t>[effect:enemy_message, val1:1.2, val2:0.0],[effect:suicide, target:myself, val:1, dead_type:suicide]</t>
  </si>
  <si>
    <t>[effect:enemy_message, val1:1.2, val2:0.0],[effect:suicide, target:myself, val:1, dead_type:suicide]</t>
    <phoneticPr fontId="5"/>
  </si>
  <si>
    <t>[effect:enemy_message, val1:1.2, val2:2.2],[effect:force_change_block, new_block:time_bomb, target:block_heart, count:0, val:0.2, min_time_count:2, max_time_count:3, animation:change_block]</t>
  </si>
  <si>
    <t>[effect:enemy_message, val1:1.2, val2:2.2],[effect:force_change_block, new_block:time_bomb, target:block_heart, count:0, val:0.2, min_time_count:2, max_time_count:3, animation:change_block]</t>
    <phoneticPr fontId="5"/>
  </si>
  <si>
    <t>[effect:enemy_message, val1:1.2, val2:2.4],[effect:force_change_block, new_block:time_bomb, target:block_heart, count:5, val:0.2, animation:change_block]</t>
  </si>
  <si>
    <t>[effect:enemy_message, val1:1.2, val2:2.4],[effect:force_change_block, new_block:time_bomb, target:block_heart, count:5, val:0.2, animation:change_block]</t>
    <phoneticPr fontId="5"/>
  </si>
  <si>
    <t>[effect:enemy_message, val1:1.2, val2:1.5],[effect:break_attack, target:unit_all, val:0.04, lowest_val:1000, count:-1, color:yellow, block01:block_heart]</t>
    <phoneticPr fontId="5"/>
  </si>
  <si>
    <t>[effect:enemy_message, val1:1.2, val2:1.9],[effect:force_change_block, new_block:damage, target:block_blue, count:8, val:0.05, animation:change_block]</t>
  </si>
  <si>
    <t>[effect:enemy_message, val1:1.2, val2:1.9],[effect:force_change_block, new_block:damage, target:block_blue, count:8, val:0.05, animation:change_block]</t>
    <phoneticPr fontId="5"/>
  </si>
  <si>
    <t>[effect:enemy_message, val1:1.2, val2:1.9],[effect:force_change_block, new_block:damage, target:block_blue, count:5, val:0.05, animation:change_block]</t>
  </si>
  <si>
    <t>[effect:enemy_message, val1:1.2, val2:1.9],[effect:force_change_block, new_block:damage, target:block_blue, count:5, val:0.05, animation:change_block]</t>
    <phoneticPr fontId="5"/>
  </si>
  <si>
    <t>[effect:enemy_message, val1:1.2, val2:1.2],[effect:enhance_enemy, target:myself, turn:2, status:attack, val:1.3, calc:mul, animation:enemy_enhance_attack]</t>
  </si>
  <si>
    <t>[effect:enemy_message, val1:1.2, val2:1.2],[effect:enhance_enemy, target:myself, turn:2, status:attack, val:1.3, calc:mul, animation:enemy_enhance_attack]</t>
    <phoneticPr fontId="5"/>
  </si>
  <si>
    <t>[effect:enemy_message, val1:1.7, val2:1.2],[effect:enhance_enemy, target:myself, turn:2, status:attack, val:1.3, calc:mul, animation:enemy_enhance_attack]</t>
  </si>
  <si>
    <t>[effect:enemy_message, val1:1.7, val2:1.2],[effect:enhance_enemy, target:myself, turn:2, status:attack, val:1.3, calc:mul, animation:enemy_enhance_attack]</t>
    <phoneticPr fontId="5"/>
  </si>
  <si>
    <t>[effect:enemy_message, val1:1.2, val2:2.2],[effect:force_change_block, new_block:damage, target:block_green, count:0, val:0.02, animation:change_block],[effect:spread, val:0.3]</t>
  </si>
  <si>
    <t>[effect:enemy_message, val1:1.2, val2:2.2],[effect:force_change_block, new_block:damage, target:block_green, count:0, val:0.02, animation:change_block],[effect:spread, val:0.3]</t>
    <phoneticPr fontId="5"/>
  </si>
  <si>
    <t>[effect:enemy_message, val1:1.2, val2:2.3],[effect:break_attack, target:unit_all, val:0.01, lowest_val:0, count:-1, color:yellow, block_color:block_yellow, block01:damage, block02:block_yellow]</t>
  </si>
  <si>
    <t>[effect:enemy_message, val1:1.2, val2:2.3],[effect:break_attack, target:unit_all, val:0.01, lowest_val:0, count:-1, color:yellow, block_color:block_yellow, block01:damage, block02:block_yellow]</t>
    <phoneticPr fontId="5"/>
  </si>
  <si>
    <t>[effect:enemy_message, val1:1.2, val2:2.2],[effect:break_attack, target:unit_one, val:0.1, lowest_val:1000, count:-1, color:yellow, block_color:block_heart, block01:crack_bomb, block02:block_heart]</t>
    <phoneticPr fontId="5"/>
  </si>
  <si>
    <t>[effect:enemy_message, val1:1.4, val2:1.9],[effect:force_change_block, new_block:damage, target:block_heart, count:0, val:0.05, animation:change_block]</t>
  </si>
  <si>
    <t>[effect:enemy_message, val1:1.4, val2:1.9],[effect:force_change_block, new_block:damage, target:block_heart, count:0, val:0.05, animation:change_block]</t>
    <phoneticPr fontId="5"/>
  </si>
  <si>
    <t>[effect:enemy_message, val1:1.4, val2:1.6],[effect:break_attack, target:unit_one, val:0.05, lowest_val:8000, count:-1, color:yellow, block_color:block_red, block01:damage]</t>
  </si>
  <si>
    <t>[effect:enemy_message, val1:1.2, val2:1.6],[effect:break_attack, target:unit_one, val:0.05, lowest_val:8000, count:-1, color:yellow, block_color:block_blue, block01:damage]</t>
  </si>
  <si>
    <t>[effect:enemy_message, val1:1.5, val2:1.6],[effect:break_attack, target:unit_one, val:0.05, lowest_val:8000, count:-1, color:yellow, block_color:block_green, block01:damage]</t>
  </si>
  <si>
    <t>[effect:enemy_message, val1:2.0, val2:1.2],[effect:fix_speed, target:myself, turn:2],[effect:enhance_enemy, target:myself, turn:-1, status:attack, val:2, calc:mul, animation:enemy_enhance_attack]</t>
  </si>
  <si>
    <t>[effect:enemy_message, val1:2.0, val2:1.2],[effect:fix_speed, target:myself, turn:2],[effect:enhance_enemy, target:myself, turn:-1, status:attack, val:2, calc:mul, animation:enemy_enhance_attack]</t>
    <phoneticPr fontId="5"/>
  </si>
  <si>
    <t>[effect:enemy_message, val1:1.2, val2:2.4],[effect:force_change_block, new_block:damage, target:block_yellow,  count:3, val:0.1, animation:change_block],[effect:spread, val:0.2]</t>
  </si>
  <si>
    <t>[effect:enemy_message, val1:1.2, val2:2.4],[effect:force_change_block, new_block:damage, target:block_yellow,  count:3, val:0.1, animation:change_block],[effect:spread, val:0.2]</t>
    <phoneticPr fontId="5"/>
  </si>
  <si>
    <t>[effect:enemy_message, val1:1.8, val2:2.4],[effect:tolerance, target:myself, turn:-1, count:-1, tolerance_effect:all, animation:enemy_tolerance],[effect:change_bomb_range, target:unit_all, val:0.5, rate:1, turn:5, animation:bomb_small]</t>
  </si>
  <si>
    <t>[effect:enemy_message, val1:1.8, val2:2.4],[effect:tolerance, target:myself, turn:-1, count:-1, tolerance_effect:all, animation:enemy_tolerance],[effect:change_bomb_range, target:unit_all, val:0.5, rate:1, turn:5, animation:bomb_small]</t>
    <phoneticPr fontId="5"/>
  </si>
  <si>
    <t>[effect:enemy_message, val1:1.2, val2:2.2],[effect:force_change_block, new_block:damage, target:block_blue, count:0, val:0.1, animation:change_block],[effect:critical, val:1.0]</t>
  </si>
  <si>
    <t>[effect:enemy_message, val1:1.2, val2:2.2],[effect:force_change_block, new_block:damage, target:block_blue, count:0, val:0.1, animation:change_block],[effect:critical, val:1.0]</t>
    <phoneticPr fontId="5"/>
  </si>
  <si>
    <t>[effect:enemy_message, val1:1.8, val2:2.2],[effect:break_attack, target:unit_one, val:0.05, lowest_val:1000, count:-1, color:yellow, block_color:block_heart, block01:crack_bomb, block02:block_heart]</t>
    <phoneticPr fontId="5"/>
  </si>
  <si>
    <t>[effect:enemy_message, val1:1.4, val2:2.3],[effect:force_change_block, new_block:damage, target:block_red, color:block_red, count:0, val:0.1, animation:change_block],[effect:force_change_block, new_block:damage, target:block_blue, color:block_blue, count:0, val:0.1, animation:change_block],[effect:force_change_block, new_block:damage, target:block_green, color:block_green, count:0, val:0.1, animation:change_block],[effect:force_change_block, new_block:damage, target:block_heart, color:block_heart, count:0, val:0.1, animation:change_block],[effect:fix_speed, target:myself, turn:2]</t>
  </si>
  <si>
    <t>[effect:enemy_message, val1:1.4, val2:2.3],[effect:force_change_block, new_block:damage, target:block_red, color:block_red, count:0, val:0.1, animation:change_block],[effect:force_change_block, new_block:damage, target:block_blue, color:block_blue, count:0, val:0.1, animation:change_block],[effect:force_change_block, new_block:damage, target:block_green, color:block_green, count:0, val:0.1, animation:change_block],[effect:force_change_block, new_block:damage, target:block_heart, color:block_heart, count:0, val:0.1, animation:change_block],[effect:fix_speed, target:myself, turn:2]</t>
    <phoneticPr fontId="5"/>
  </si>
  <si>
    <t>[effect:enemy_message, val1:2.1, val2:1.2],[effect:spread, val:10]</t>
  </si>
  <si>
    <t>[effect:enemy_message, val1:2.1, val2:1.2],[effect:spread, val:10]</t>
    <phoneticPr fontId="5"/>
  </si>
  <si>
    <t>[effect:enemy_message, val1:1.2, val2:1.5],[effect:break_attack, target:unit_all, val:0.04, lowest_val:0, count:-1, color:yellow, block01:block_heart]</t>
  </si>
  <si>
    <t>[effect:enemy_message, val1:1.2, val2:2.2],[effect:break_attack, target:unit_one, val:0.1, lowest_val:0, count:-1, color:yellow, block_color:block_heart, block01:crack_bomb, block02:block_heart]</t>
  </si>
  <si>
    <t>[effect:enemy_message, val1:1.8, val2:2.2],[effect:break_attack, target:unit_one, val:0.05, lowest_val:0, count:-1, color:yellow, block_color:block_heart, block01:crack_bomb, block02:block_heart]</t>
    <phoneticPr fontId="5"/>
  </si>
  <si>
    <t>…ロキの邪魔、絶対させないよ！</t>
    <phoneticPr fontId="5"/>
  </si>
  <si>
    <t>モードチェンジ…！</t>
  </si>
  <si>
    <t>モードチェンジ…！</t>
    <phoneticPr fontId="5"/>
  </si>
  <si>
    <t>ヘルには近づけさせない…</t>
  </si>
  <si>
    <t>[effect:enemy_message, val1:1.2, val2:1.2],[effect:freq_turn, target:myself, turn:-1, val:1, animation:enemy_freq_turn]</t>
    <phoneticPr fontId="5"/>
  </si>
  <si>
    <t>みんな壊していいってロキが言ってたのー♪</t>
    <phoneticPr fontId="5"/>
  </si>
  <si>
    <t>[effect:enemy_message, val1:1.2, val2:4.6],[effect:force_change_block, new_block:time_bomb, target:damage, count:0, val:0.2, animation:change_block],[effect:drop_block, block_type:time_bomb, color:block_all, val:0.2, rate:0.2, turn:5, min_time_count:4, max_time_count:4, animation:time_bomb_influence04]</t>
    <phoneticPr fontId="5"/>
  </si>
  <si>
    <t>[effect:enemy_message, val1:1.3, val2:2.7],[effect:force_change_block, new_block:time_bomb, target:block_red, count:3, val:0.1, animation:change_block],[effect:spread, val:0.2]</t>
    <phoneticPr fontId="5"/>
  </si>
  <si>
    <t>[effect:enemy_message, val1:1.2, val2:2.7],[effect:force_change_block, new_block:time_bomb, target:block_blue, count:3, val:0.1, animation:change_block],[effect:spread, val:0.18]</t>
    <phoneticPr fontId="5"/>
  </si>
  <si>
    <t>[effect:enemy_message, val1:1.4, val2:2.7],[effect:force_change_block, new_block:time_bomb, target:block_green, count:3, val:0.1, animation:change_block],[effect:spread, val:0.18]</t>
    <phoneticPr fontId="5"/>
  </si>
  <si>
    <t>[effect:enemy_message, val1:1.2, val2:2.9],[effect:force_change_block, new_block:time_bomb, target:block_heart, count:3, val:0.1, animation:change_block],[effect:spread, val:0.18]</t>
    <phoneticPr fontId="5"/>
  </si>
  <si>
    <t>[effect:enemy_message, val1:1.2, val2:2.8],[effect:break_attack, target:unit_all, val:0.02, lowest_val:1000, count:-1, color:yellow, block01:damage]</t>
    <phoneticPr fontId="5"/>
  </si>
  <si>
    <t>5ターン全ユニットの回復力50%DOWN+単体攻撃</t>
  </si>
  <si>
    <t>4ターン全ユニットの回復力90%DOWN+全体攻撃</t>
  </si>
  <si>
    <t>4ターン全ユニットの回復力50%DOWN+全体攻撃</t>
    <phoneticPr fontId="5"/>
  </si>
  <si>
    <t>[effect:enemy_message, val1:1.2, val2:2.5],[effect:degrade_unit, target:unit_all, turn:4, status:heal, val:0.5, calc:mul, animation:degrade_unit_all_heal],[effect:spread, val:0.5]</t>
    <phoneticPr fontId="5"/>
  </si>
  <si>
    <t>5ターン全ユニットの回復力20%DOWN+単体攻撃</t>
    <phoneticPr fontId="5"/>
  </si>
  <si>
    <t>[effect:enemy_message, val1:1.5, val2:2.5],[effect:degrade_unit, target:unit_all, turn:5, status:heal, val:0.2, calc:mul, animation:degrade_unit_all_heal],[effect:critical, val:1.0]</t>
    <phoneticPr fontId="5"/>
  </si>
  <si>
    <t>[effect:enemy_message, val1:1.2, val2:2.5],[effect:degrade_unit, target:unit_all, turn:4, status:heal, val:0.9, calc:mul, animation:degrade_unit_all_heal],[effect:spread, val:0.5]</t>
    <phoneticPr fontId="5"/>
  </si>
  <si>
    <t>[effect:enemy_message, val1:1.5, val2:2.5],[effect:degrade_unit, target:unit_all, turn:5, status:heal, val:0.5, calc:mul, animation:degrade_unit_all_heal],[effect:critical, val:1.0]</t>
    <phoneticPr fontId="5"/>
  </si>
  <si>
    <t>時限式ダメージパネルプロテクト</t>
    <rPh sb="0" eb="3">
      <t>ジゲn</t>
    </rPh>
    <phoneticPr fontId="5"/>
  </si>
  <si>
    <t>時限式ダメージパネル&amp;ダメージパネルを吸収して
去っていった…</t>
    <rPh sb="24" eb="25">
      <t>サッt</t>
    </rPh>
    <phoneticPr fontId="5"/>
  </si>
  <si>
    <t>…抗うつもりなのね…？</t>
    <phoneticPr fontId="5"/>
  </si>
  <si>
    <t>[effect:enemy_message, val1:1.2, val2:1.5],[effect:ability_lock, target:unit_all, turn:1],[effect:sleep, target:unit_all, turn:1, rate:1],[effect:fix_speed, target:myself, turn:1],[effect:panel_freeze, target:time_bomb, count:-1]</t>
    <phoneticPr fontId="5"/>
  </si>
  <si>
    <t>[effect:enemy_message, val1:1.4, val2:1.5],[effect:ability_lock, target:unit_all, turn:1],[effect:sleep, target:unit_all, turn:1, rate:1],[effect:fix_speed, target:myself, turn:1],[effect:panel_freeze, target:time_bomb, count:-1]</t>
    <phoneticPr fontId="5"/>
  </si>
  <si>
    <t>[effect:enemy_message, val1:1.8, val2:3.0],[effect:break_enchance_enemy, target:myself, val:1, lowest_val:1, count:-1, status:defense, turn:1, block01:time_bomb, block02:damage, calc:add],[effect:suicide, target:myself, val:1, dead_type:escape]</t>
    <phoneticPr fontId="5"/>
  </si>
  <si>
    <t>4ターンハートパネルドロップ率DOWN</t>
    <phoneticPr fontId="5"/>
  </si>
  <si>
    <t>どうしよう…ロキに怒られちゃう……ごめんなさい…
ごめんなさい…ごめんなさい…ごめんなさい…</t>
    <phoneticPr fontId="5"/>
  </si>
  <si>
    <t>私…役に立てなかった……ごめんなさい…
ごめんなさい…ごめんなさい…ごめんなさい…</t>
    <phoneticPr fontId="5"/>
  </si>
  <si>
    <t>オレに勝てると思ってんのか？</t>
    <rPh sb="3" eb="4">
      <t>カt</t>
    </rPh>
    <rPh sb="7" eb="8">
      <t>オモッテ</t>
    </rPh>
    <phoneticPr fontId="5"/>
  </si>
  <si>
    <t>イズン、また痛い目に遭いたいのか？</t>
    <phoneticPr fontId="5"/>
  </si>
  <si>
    <t>[effect:enemy_message, val1:1.4, val2:1.9],[effect:change_panel_ratio, turn:4, block_type:heal, val:0.1, animation:block_incidence04]</t>
    <phoneticPr fontId="5"/>
  </si>
  <si>
    <t>[effect:enemy_message, val1:1.2, val2:3.2, dead_type:suicide]</t>
    <phoneticPr fontId="5"/>
  </si>
  <si>
    <t>[effect:enemy_message, val1:1.3, val2:3.5, dead_type:suicide]</t>
    <phoneticPr fontId="5"/>
  </si>
  <si>
    <t>[effect:enemy_message, val1:1.4, val2:1.6],[effect:break_attack, target:unit_one, val:0.05, lowest_val:4000, count:-1, color:yellow, block_color:block_red, block01:damage]</t>
    <phoneticPr fontId="5"/>
  </si>
  <si>
    <t>[effect:enemy_message, val1:1.2, val2:1.6],[effect:break_attack, target:unit_one, val:0.05, lowest_val:4000, count:-1, color:yellow, block_color:block_blue, block01:damage]</t>
    <phoneticPr fontId="5"/>
  </si>
  <si>
    <t>[effect:enemy_message, val1:1.5, val2:1.6],[effect:break_attack, target:unit_one, val:0.05, lowest_val:4000, count:-1, color:yellow, block_color:block_green, block01:damage]</t>
    <phoneticPr fontId="5"/>
  </si>
  <si>
    <t>[effect:enemy_message, val1:1.3, val2:2.7],[effect:force_change_block, new_block:time_bomb, target:block_red, count:3, val:0.1, animation:change_block],[effect:spread, val:0.2]</t>
    <phoneticPr fontId="5"/>
  </si>
  <si>
    <t>赤&amp;青&amp;緑パネルをダメージパネルに8個ずつ変換+
全てのプラス効果を解除+状態異常耐性</t>
    <phoneticPr fontId="5"/>
  </si>
  <si>
    <t>[effect:enemy_message, val1:1.5, val2:4.2],[effect:force_change_block, new_block:damage, target:block_red, color:block_red, count:8, val:0.05, animation:change_block],[effect:force_change_block,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t>
    <phoneticPr fontId="5"/>
  </si>
  <si>
    <t>[effect:enemy_message, val1:1.2, val2:4.2],[effect:force_change_block, new_block:damage, target:block_red, color:block_red, count:8, val:0.05, animation:change_block],[effect:force_change_block,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t>
    <phoneticPr fontId="5"/>
  </si>
  <si>
    <t>状態異常耐性+ランダムでハート&amp;黄&amp;青の
時限式ダメージパネルに5個ずつ変換</t>
    <phoneticPr fontId="5"/>
  </si>
  <si>
    <t>[effect:enemy_message, val1:2.2, val2:3.7],[effect:tolerance, target:myself, turn:-1, count:-1, tolerance_effect:all, animation:enemy_tolerance],[effect:force_change_block, new_block:time_bomb, target:block_all, ignore01:block_positive, ignore02:block_negative, color:block_heart, count:5, val:0.2, min_time_count:2, max_time_count:2, animation:change_block],[effect:force_change_block, new_block:time_bomb, target:block_all, ignore01:block_positive, ignore02:block_negative, color:block_yellow, count:5, val:0.2, min_time_count:2, max_time_count:2, animation:change_block],[effect:force_change_block, new_block:time_bomb, target:block_all, ignore01:block_positive, ignore02:block_negative, color:block_blue, count:5, val:0.2, min_time_count:2, max_time_count:2, animation:change_block]</t>
    <phoneticPr fontId="5"/>
  </si>
  <si>
    <t>[effect:enemy_message, val1:1.7, val2:2.7],[effect:force_change_block, new_block:time_bomb, target:block_all, ignore01:block_positive, ignore02:block_negative, count:5, val:0.1, animation:change_block],[effect:spread, val:0.2]</t>
    <phoneticPr fontId="5"/>
  </si>
  <si>
    <t>[effect:enemy_message, val1:2.2, val2:3.7],[effect:tolerance, target:myself, turn:-1, count:-1, tolerance_effect:all, animation:enemy_tolerance],[effect:force_change_block, new_block:time_bomb, target:block_all, ignore01:block_positive, ignore02:block_negative, color:block_heart, count:5, val:0.1, min_time_count:2, max_time_count:2, animation:change_block],[effect:force_change_block, new_block:time_bomb, target:block_all, ignore01:block_positive, ignore02:block_negative, color:block_yellow, count:5, val:0.1, min_time_count:2, max_time_count:2, animation:change_block],[effect:force_change_block, new_block:time_bomb, target:block_all, ignore01:block_positive, ignore02:block_negative, color:block_blue, count:5, val:0.1, min_time_count:2, max_time_count:2, animation:change_block]</t>
    <phoneticPr fontId="5"/>
  </si>
  <si>
    <t>[effect:enemy_message, val1:1.7, val2:2.7],[effect:force_change_block, new_block:time_bomb, target:block_all, ignore01:block_positive, ignore02:block_negative, count:5, val:0.1, animation:change_block],[effect:spread, val:0.2]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</si>
</sst>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6"/>
      <color theme="1"/>
      <name val="ＭＳ Ｐゴシック"/>
      <family val="2"/>
      <charset val="128"/>
      <scheme val="minor"/>
    </font>
    <font>
      <sz val="16"/>
      <color theme="1"/>
      <name val="ＭＳ Ｐゴシック"/>
      <family val="3"/>
      <charset val="128"/>
    </font>
    <font>
      <sz val="18"/>
      <color rgb="FF000000"/>
      <name val="ＭＳ Ｐゴシック"/>
      <family val="3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1" fillId="16" borderId="13" applyNumberFormat="0" applyAlignment="0" applyProtection="0"/>
    <xf numFmtId="0" fontId="32" fillId="17" borderId="0" applyNumberFormat="0" applyBorder="0" applyAlignment="0" applyProtection="0"/>
    <xf numFmtId="0" fontId="33" fillId="18" borderId="14" applyNumberFormat="0" applyAlignment="0" applyProtection="0"/>
    <xf numFmtId="0" fontId="34" fillId="0" borderId="0" applyNumberFormat="0" applyFill="0" applyBorder="0" applyAlignment="0" applyProtection="0"/>
    <xf numFmtId="0" fontId="35" fillId="19" borderId="0" applyNumberFormat="0" applyBorder="0" applyAlignment="0" applyProtection="0"/>
    <xf numFmtId="0" fontId="36" fillId="20" borderId="15" applyNumberFormat="0" applyAlignment="0" applyProtection="0"/>
    <xf numFmtId="0" fontId="37" fillId="0" borderId="0" applyNumberFormat="0" applyFill="0" applyBorder="0" applyAlignment="0" applyProtection="0"/>
    <xf numFmtId="0" fontId="38" fillId="0" borderId="16" applyNumberFormat="0" applyFill="0" applyAlignment="0" applyProtection="0"/>
    <xf numFmtId="0" fontId="39" fillId="0" borderId="17" applyNumberFormat="0" applyFill="0" applyAlignment="0" applyProtection="0"/>
    <xf numFmtId="0" fontId="40" fillId="0" borderId="18" applyNumberFormat="0" applyFill="0" applyAlignment="0" applyProtection="0"/>
    <xf numFmtId="0" fontId="40" fillId="0" borderId="0" applyNumberFormat="0" applyFill="0" applyBorder="0" applyAlignment="0" applyProtection="0"/>
    <xf numFmtId="0" fontId="41" fillId="18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8" borderId="0" applyNumberFormat="0" applyBorder="0" applyAlignment="0" applyProtection="0"/>
    <xf numFmtId="0" fontId="41" fillId="23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4" borderId="0" applyNumberFormat="0" applyBorder="0" applyAlignment="0" applyProtection="0"/>
    <xf numFmtId="0" fontId="41" fillId="1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5" borderId="0" applyNumberFormat="0" applyBorder="0" applyAlignment="0" applyProtection="0"/>
    <xf numFmtId="0" fontId="42" fillId="17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25" borderId="0" applyNumberFormat="0" applyBorder="0" applyAlignment="0" applyProtection="0"/>
    <xf numFmtId="0" fontId="42" fillId="26" borderId="0" applyNumberFormat="0" applyBorder="0" applyAlignment="0" applyProtection="0"/>
    <xf numFmtId="0" fontId="42" fillId="21" borderId="0" applyNumberFormat="0" applyBorder="0" applyAlignment="0" applyProtection="0"/>
    <xf numFmtId="0" fontId="42" fillId="2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3" fillId="28" borderId="0" applyNumberFormat="0" applyBorder="0" applyAlignment="0" applyProtection="0"/>
    <xf numFmtId="0" fontId="32" fillId="17" borderId="0" applyNumberFormat="0" applyBorder="0" applyAlignment="0" applyProtection="0"/>
    <xf numFmtId="0" fontId="44" fillId="0" borderId="19" applyNumberFormat="0" applyFill="0" applyAlignment="0" applyProtection="0"/>
    <xf numFmtId="0" fontId="45" fillId="18" borderId="20" applyNumberFormat="0" applyAlignment="0" applyProtection="0"/>
    <xf numFmtId="0" fontId="45" fillId="29" borderId="20" applyNumberFormat="0" applyAlignment="0" applyProtection="0"/>
    <xf numFmtId="0" fontId="33" fillId="17" borderId="14" applyNumberFormat="0" applyAlignment="0" applyProtection="0"/>
    <xf numFmtId="0" fontId="46" fillId="0" borderId="21" applyNumberFormat="0" applyFill="0" applyAlignment="0" applyProtection="0"/>
    <xf numFmtId="0" fontId="47" fillId="29" borderId="14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1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3" borderId="12" xfId="0" applyFont="1" applyFill="1" applyBorder="1" applyAlignment="1">
      <alignment vertical="center"/>
    </xf>
    <xf numFmtId="0" fontId="29" fillId="0" borderId="7" xfId="0" applyFont="1" applyFill="1" applyBorder="1"/>
    <xf numFmtId="0" fontId="28" fillId="0" borderId="12" xfId="0" applyFont="1" applyFill="1" applyBorder="1" applyAlignment="1">
      <alignment vertical="center"/>
    </xf>
    <xf numFmtId="0" fontId="29" fillId="14" borderId="7" xfId="0" applyFont="1" applyFill="1" applyBorder="1"/>
    <xf numFmtId="0" fontId="30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29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0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29" fillId="3" borderId="7" xfId="0" applyFont="1" applyFill="1" applyBorder="1"/>
    <xf numFmtId="22" fontId="29" fillId="0" borderId="7" xfId="0" quotePrefix="1" applyNumberFormat="1" applyFont="1" applyFill="1" applyBorder="1"/>
    <xf numFmtId="0" fontId="29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1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51" fillId="6" borderId="7" xfId="0" applyFont="1" applyFill="1" applyBorder="1" applyAlignment="1">
      <alignment horizontal="center" vertical="center"/>
    </xf>
    <xf numFmtId="0" fontId="52" fillId="6" borderId="1" xfId="0" applyFont="1" applyFill="1" applyBorder="1" applyAlignment="1">
      <alignment vertical="center"/>
    </xf>
    <xf numFmtId="0" fontId="52" fillId="33" borderId="1" xfId="0" applyFont="1" applyFill="1" applyBorder="1" applyAlignment="1">
      <alignment vertical="center"/>
    </xf>
    <xf numFmtId="0" fontId="52" fillId="32" borderId="1" xfId="0" applyFont="1" applyFill="1" applyBorder="1" applyAlignment="1">
      <alignment vertical="center"/>
    </xf>
    <xf numFmtId="0" fontId="52" fillId="35" borderId="1" xfId="0" applyFont="1" applyFill="1" applyBorder="1" applyAlignment="1">
      <alignment vertical="center"/>
    </xf>
    <xf numFmtId="0" fontId="52" fillId="34" borderId="1" xfId="0" applyFont="1" applyFill="1" applyBorder="1" applyAlignment="1">
      <alignment vertical="center"/>
    </xf>
    <xf numFmtId="0" fontId="51" fillId="0" borderId="0" xfId="0" applyFont="1" applyFill="1" applyAlignment="1">
      <alignment vertical="center"/>
    </xf>
    <xf numFmtId="0" fontId="6" fillId="36" borderId="11" xfId="0" applyFont="1" applyFill="1" applyBorder="1" applyAlignment="1">
      <alignment vertical="center"/>
    </xf>
    <xf numFmtId="0" fontId="6" fillId="36" borderId="9" xfId="0" applyFont="1" applyFill="1" applyBorder="1" applyAlignment="1">
      <alignment vertical="center"/>
    </xf>
    <xf numFmtId="0" fontId="53" fillId="6" borderId="7" xfId="0" applyFont="1" applyFill="1" applyBorder="1" applyAlignment="1">
      <alignment horizontal="center" vertical="center"/>
    </xf>
    <xf numFmtId="0" fontId="54" fillId="0" borderId="0" xfId="0" applyFont="1" applyFill="1" applyAlignment="1">
      <alignment vertical="center"/>
    </xf>
    <xf numFmtId="0" fontId="6" fillId="37" borderId="1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4" fillId="0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3" xfId="0" applyFont="1" applyBorder="1" applyAlignment="1">
      <alignment vertical="center"/>
    </xf>
    <xf numFmtId="176" fontId="8" fillId="0" borderId="23" xfId="0" applyNumberFormat="1" applyFont="1" applyBorder="1" applyAlignment="1">
      <alignment vertical="center"/>
    </xf>
    <xf numFmtId="1" fontId="31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0" fontId="4" fillId="0" borderId="26" xfId="0" applyFont="1" applyFill="1" applyBorder="1" applyAlignment="1">
      <alignment vertical="center"/>
    </xf>
    <xf numFmtId="0" fontId="4" fillId="0" borderId="26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0" fontId="6" fillId="5" borderId="27" xfId="0" applyFont="1" applyFill="1" applyBorder="1" applyAlignment="1">
      <alignment vertical="center"/>
    </xf>
    <xf numFmtId="0" fontId="6" fillId="0" borderId="26" xfId="0" applyFont="1" applyFill="1" applyBorder="1" applyAlignment="1">
      <alignment vertical="center"/>
    </xf>
    <xf numFmtId="0" fontId="4" fillId="0" borderId="26" xfId="0" applyFont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76" fontId="8" fillId="0" borderId="29" xfId="0" applyNumberFormat="1" applyFont="1" applyBorder="1" applyAlignment="1">
      <alignment vertical="center"/>
    </xf>
    <xf numFmtId="1" fontId="31" fillId="31" borderId="26" xfId="0" applyNumberFormat="1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6" fillId="36" borderId="28" xfId="0" applyFont="1" applyFill="1" applyBorder="1" applyAlignment="1">
      <alignment vertical="center"/>
    </xf>
    <xf numFmtId="0" fontId="4" fillId="3" borderId="26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6" fillId="3" borderId="12" xfId="0" applyFont="1" applyFill="1" applyBorder="1" applyAlignment="1">
      <alignment vertical="center"/>
    </xf>
    <xf numFmtId="0" fontId="6" fillId="37" borderId="12" xfId="0" applyFont="1" applyFill="1" applyBorder="1" applyAlignment="1">
      <alignment vertical="center"/>
    </xf>
    <xf numFmtId="0" fontId="6" fillId="5" borderId="26" xfId="0" applyFont="1" applyFill="1" applyBorder="1" applyAlignment="1">
      <alignment vertical="center"/>
    </xf>
    <xf numFmtId="0" fontId="6" fillId="3" borderId="26" xfId="0" applyFont="1" applyFill="1" applyBorder="1" applyAlignment="1">
      <alignment vertical="center"/>
    </xf>
    <xf numFmtId="0" fontId="6" fillId="37" borderId="26" xfId="0" applyFont="1" applyFill="1" applyBorder="1" applyAlignment="1">
      <alignment vertical="center"/>
    </xf>
    <xf numFmtId="0" fontId="6" fillId="36" borderId="32" xfId="0" applyFont="1" applyFill="1" applyBorder="1" applyAlignment="1">
      <alignment vertical="center"/>
    </xf>
    <xf numFmtId="0" fontId="6" fillId="36" borderId="33" xfId="0" applyFont="1" applyFill="1" applyBorder="1" applyAlignment="1">
      <alignment vertical="center"/>
    </xf>
    <xf numFmtId="0" fontId="52" fillId="6" borderId="12" xfId="0" applyFont="1" applyFill="1" applyBorder="1" applyAlignment="1">
      <alignment vertical="center"/>
    </xf>
    <xf numFmtId="0" fontId="16" fillId="6" borderId="12" xfId="0" applyFont="1" applyFill="1" applyBorder="1" applyAlignment="1">
      <alignment horizontal="left" vertical="center"/>
    </xf>
    <xf numFmtId="0" fontId="16" fillId="6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vertical="center"/>
    </xf>
    <xf numFmtId="0" fontId="16" fillId="3" borderId="26" xfId="0" applyFont="1" applyFill="1" applyBorder="1" applyAlignment="1">
      <alignment horizontal="left" vertical="center" wrapText="1"/>
    </xf>
    <xf numFmtId="0" fontId="16" fillId="0" borderId="12" xfId="0" applyFont="1" applyFill="1" applyBorder="1" applyAlignment="1">
      <alignment vertical="center"/>
    </xf>
    <xf numFmtId="0" fontId="14" fillId="7" borderId="25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27" fillId="0" borderId="12" xfId="0" applyFont="1" applyFill="1" applyBorder="1"/>
    <xf numFmtId="0" fontId="29" fillId="0" borderId="12" xfId="0" applyFont="1" applyFill="1" applyBorder="1"/>
    <xf numFmtId="0" fontId="29" fillId="30" borderId="12" xfId="0" applyFont="1" applyFill="1" applyBorder="1"/>
    <xf numFmtId="0" fontId="29" fillId="14" borderId="12" xfId="0" applyFont="1" applyFill="1" applyBorder="1"/>
    <xf numFmtId="0" fontId="30" fillId="0" borderId="12" xfId="0" applyFont="1" applyFill="1" applyBorder="1"/>
    <xf numFmtId="38" fontId="16" fillId="0" borderId="12" xfId="628" applyFont="1" applyFill="1" applyBorder="1" applyAlignment="1">
      <alignment wrapText="1"/>
    </xf>
    <xf numFmtId="0" fontId="0" fillId="0" borderId="12" xfId="0" applyBorder="1"/>
    <xf numFmtId="0" fontId="27" fillId="0" borderId="26" xfId="0" applyFont="1" applyFill="1" applyBorder="1"/>
    <xf numFmtId="0" fontId="28" fillId="3" borderId="34" xfId="0" applyFont="1" applyFill="1" applyBorder="1" applyAlignment="1">
      <alignment vertical="center"/>
    </xf>
    <xf numFmtId="0" fontId="29" fillId="0" borderId="26" xfId="0" applyFont="1" applyFill="1" applyBorder="1"/>
    <xf numFmtId="0" fontId="28" fillId="0" borderId="34" xfId="0" applyFont="1" applyFill="1" applyBorder="1" applyAlignment="1">
      <alignment vertical="center"/>
    </xf>
    <xf numFmtId="0" fontId="29" fillId="30" borderId="26" xfId="0" applyFont="1" applyFill="1" applyBorder="1"/>
    <xf numFmtId="0" fontId="29" fillId="14" borderId="26" xfId="0" applyFont="1" applyFill="1" applyBorder="1"/>
    <xf numFmtId="0" fontId="30" fillId="0" borderId="26" xfId="0" applyFont="1" applyFill="1" applyBorder="1"/>
    <xf numFmtId="0" fontId="0" fillId="0" borderId="26" xfId="0" applyBorder="1"/>
    <xf numFmtId="0" fontId="0" fillId="0" borderId="0" xfId="0" applyAlignment="1">
      <alignment wrapText="1"/>
    </xf>
    <xf numFmtId="0" fontId="0" fillId="14" borderId="7" xfId="0" applyFill="1" applyBorder="1"/>
    <xf numFmtId="0" fontId="0" fillId="14" borderId="26" xfId="0" applyFill="1" applyBorder="1"/>
    <xf numFmtId="0" fontId="0" fillId="14" borderId="12" xfId="0" applyFill="1" applyBorder="1"/>
    <xf numFmtId="0" fontId="52" fillId="34" borderId="34" xfId="0" applyFont="1" applyFill="1" applyBorder="1" applyAlignment="1">
      <alignment vertical="center"/>
    </xf>
    <xf numFmtId="0" fontId="16" fillId="34" borderId="34" xfId="0" applyFont="1" applyFill="1" applyBorder="1" applyAlignment="1">
      <alignment horizontal="left" vertical="center"/>
    </xf>
    <xf numFmtId="0" fontId="16" fillId="34" borderId="34" xfId="0" applyFont="1" applyFill="1" applyBorder="1" applyAlignment="1">
      <alignment horizontal="left" vertical="center" wrapText="1"/>
    </xf>
    <xf numFmtId="0" fontId="52" fillId="34" borderId="7" xfId="0" applyFont="1" applyFill="1" applyBorder="1" applyAlignment="1">
      <alignment vertical="center"/>
    </xf>
    <xf numFmtId="0" fontId="16" fillId="3" borderId="34" xfId="0" applyFont="1" applyFill="1" applyBorder="1" applyAlignment="1">
      <alignment horizontal="left" vertical="center" wrapText="1"/>
    </xf>
    <xf numFmtId="0" fontId="16" fillId="3" borderId="34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14" fontId="16" fillId="0" borderId="12" xfId="0" applyNumberFormat="1" applyFont="1" applyFill="1" applyBorder="1" applyAlignment="1">
      <alignment horizontal="left" vertical="center"/>
    </xf>
    <xf numFmtId="0" fontId="52" fillId="34" borderId="2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vertical="center"/>
    </xf>
    <xf numFmtId="0" fontId="16" fillId="34" borderId="2" xfId="0" applyFont="1" applyFill="1" applyBorder="1" applyAlignment="1">
      <alignment horizontal="left" vertical="center" wrapText="1"/>
    </xf>
    <xf numFmtId="0" fontId="16" fillId="0" borderId="34" xfId="0" applyFont="1" applyFill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4" fillId="0" borderId="34" xfId="0" applyFont="1" applyFill="1" applyBorder="1" applyAlignment="1">
      <alignment vertical="center"/>
    </xf>
    <xf numFmtId="0" fontId="16" fillId="3" borderId="34" xfId="0" applyFont="1" applyFill="1" applyBorder="1" applyAlignment="1">
      <alignment horizontal="left" vertical="center"/>
    </xf>
    <xf numFmtId="0" fontId="14" fillId="7" borderId="0" xfId="614" applyFont="1" applyFill="1" applyBorder="1" applyAlignment="1">
      <alignment horizontal="center" vertical="center"/>
    </xf>
    <xf numFmtId="56" fontId="16" fillId="14" borderId="7" xfId="0" applyNumberFormat="1" applyFont="1" applyFill="1" applyBorder="1" applyAlignment="1">
      <alignment horizontal="center" wrapText="1"/>
    </xf>
    <xf numFmtId="38" fontId="16" fillId="0" borderId="26" xfId="628" applyFont="1" applyFill="1" applyBorder="1" applyAlignment="1">
      <alignment wrapText="1"/>
    </xf>
    <xf numFmtId="0" fontId="55" fillId="0" borderId="0" xfId="0" applyFont="1" applyAlignment="1">
      <alignment vertical="top"/>
    </xf>
    <xf numFmtId="0" fontId="55" fillId="14" borderId="12" xfId="0" applyNumberFormat="1" applyFont="1" applyFill="1" applyBorder="1" applyAlignment="1">
      <alignment vertical="top" wrapText="1"/>
    </xf>
    <xf numFmtId="0" fontId="55" fillId="14" borderId="7" xfId="0" applyNumberFormat="1" applyFont="1" applyFill="1" applyBorder="1" applyAlignment="1">
      <alignment vertical="top" wrapText="1"/>
    </xf>
    <xf numFmtId="0" fontId="55" fillId="14" borderId="26" xfId="0" applyNumberFormat="1" applyFont="1" applyFill="1" applyBorder="1" applyAlignment="1">
      <alignment vertical="top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41001</v>
          </cell>
        </row>
        <row r="254">
          <cell r="A254">
            <v>41002</v>
          </cell>
        </row>
        <row r="255">
          <cell r="A255">
            <v>41003</v>
          </cell>
        </row>
        <row r="256">
          <cell r="A256">
            <v>41004</v>
          </cell>
        </row>
        <row r="257">
          <cell r="A257">
            <v>41005</v>
          </cell>
        </row>
        <row r="258">
          <cell r="A258">
            <v>41006</v>
          </cell>
        </row>
        <row r="259">
          <cell r="A259">
            <v>41007</v>
          </cell>
        </row>
        <row r="260">
          <cell r="A260">
            <v>41008</v>
          </cell>
        </row>
        <row r="261">
          <cell r="A261">
            <v>41009</v>
          </cell>
        </row>
        <row r="262">
          <cell r="A262">
            <v>41010</v>
          </cell>
        </row>
        <row r="263">
          <cell r="A263">
            <v>41011</v>
          </cell>
        </row>
        <row r="264">
          <cell r="A264">
            <v>41012</v>
          </cell>
        </row>
        <row r="265">
          <cell r="A265">
            <v>41013</v>
          </cell>
        </row>
        <row r="266">
          <cell r="A266">
            <v>41014</v>
          </cell>
        </row>
        <row r="267">
          <cell r="A267">
            <v>41015</v>
          </cell>
        </row>
        <row r="268">
          <cell r="A268">
            <v>47001</v>
          </cell>
        </row>
        <row r="269">
          <cell r="A269">
            <v>47002</v>
          </cell>
        </row>
        <row r="270">
          <cell r="A270">
            <v>47003</v>
          </cell>
        </row>
        <row r="271">
          <cell r="A271">
            <v>47004</v>
          </cell>
        </row>
        <row r="272">
          <cell r="A272">
            <v>47005</v>
          </cell>
        </row>
        <row r="273">
          <cell r="A273">
            <v>47006</v>
          </cell>
        </row>
        <row r="274">
          <cell r="A274">
            <v>47007</v>
          </cell>
        </row>
        <row r="275">
          <cell r="A275">
            <v>47008</v>
          </cell>
        </row>
        <row r="276">
          <cell r="A276">
            <v>47009</v>
          </cell>
        </row>
        <row r="277">
          <cell r="A277">
            <v>47010</v>
          </cell>
        </row>
        <row r="278">
          <cell r="A278">
            <v>47011</v>
          </cell>
        </row>
        <row r="279">
          <cell r="A279">
            <v>47012</v>
          </cell>
        </row>
        <row r="280">
          <cell r="A280">
            <v>49001</v>
          </cell>
        </row>
        <row r="281">
          <cell r="A281">
            <v>49002</v>
          </cell>
        </row>
        <row r="282">
          <cell r="A282">
            <v>49003</v>
          </cell>
        </row>
        <row r="283">
          <cell r="A283">
            <v>49004</v>
          </cell>
        </row>
        <row r="284">
          <cell r="A284">
            <v>49005</v>
          </cell>
        </row>
        <row r="285">
          <cell r="A285">
            <v>49006</v>
          </cell>
        </row>
        <row r="286">
          <cell r="A286">
            <v>49007</v>
          </cell>
        </row>
        <row r="287">
          <cell r="A287">
            <v>49008</v>
          </cell>
        </row>
        <row r="288">
          <cell r="A288">
            <v>49009</v>
          </cell>
        </row>
        <row r="289">
          <cell r="A289">
            <v>49010</v>
          </cell>
        </row>
        <row r="290">
          <cell r="A290">
            <v>49011</v>
          </cell>
        </row>
        <row r="291">
          <cell r="A291">
            <v>49012</v>
          </cell>
        </row>
        <row r="292">
          <cell r="A292">
            <v>49013</v>
          </cell>
        </row>
        <row r="293">
          <cell r="A293">
            <v>49014</v>
          </cell>
        </row>
        <row r="294">
          <cell r="A294">
            <v>49015</v>
          </cell>
        </row>
        <row r="295">
          <cell r="A295">
            <v>50001</v>
          </cell>
        </row>
        <row r="296">
          <cell r="A296">
            <v>50002</v>
          </cell>
        </row>
        <row r="297">
          <cell r="A297">
            <v>50003</v>
          </cell>
        </row>
        <row r="298">
          <cell r="A298">
            <v>50004</v>
          </cell>
        </row>
        <row r="299">
          <cell r="A299">
            <v>50005</v>
          </cell>
        </row>
        <row r="300">
          <cell r="A300">
            <v>50006</v>
          </cell>
        </row>
        <row r="301">
          <cell r="A301">
            <v>50007</v>
          </cell>
        </row>
        <row r="302">
          <cell r="A302">
            <v>50008</v>
          </cell>
        </row>
        <row r="303">
          <cell r="A303">
            <v>50009</v>
          </cell>
        </row>
        <row r="304">
          <cell r="A304">
            <v>50010</v>
          </cell>
        </row>
        <row r="305">
          <cell r="A305">
            <v>50011</v>
          </cell>
        </row>
        <row r="306">
          <cell r="A306">
            <v>50012</v>
          </cell>
        </row>
        <row r="307">
          <cell r="A307">
            <v>50013</v>
          </cell>
        </row>
        <row r="308">
          <cell r="A308">
            <v>50014</v>
          </cell>
        </row>
        <row r="309">
          <cell r="A309">
            <v>50015</v>
          </cell>
        </row>
        <row r="310">
          <cell r="A310">
            <v>51001</v>
          </cell>
        </row>
        <row r="311">
          <cell r="A311">
            <v>51002</v>
          </cell>
        </row>
        <row r="312">
          <cell r="A312">
            <v>58001</v>
          </cell>
        </row>
        <row r="313">
          <cell r="A313">
            <v>59001</v>
          </cell>
        </row>
        <row r="314">
          <cell r="A314">
            <v>59002</v>
          </cell>
        </row>
        <row r="315">
          <cell r="A315">
            <v>60001</v>
          </cell>
        </row>
        <row r="316">
          <cell r="A316">
            <v>60002</v>
          </cell>
        </row>
        <row r="317">
          <cell r="A317">
            <v>60003</v>
          </cell>
        </row>
        <row r="318">
          <cell r="A318">
            <v>60004</v>
          </cell>
        </row>
        <row r="319">
          <cell r="A319">
            <v>60005</v>
          </cell>
        </row>
        <row r="320">
          <cell r="A320">
            <v>60006</v>
          </cell>
        </row>
        <row r="321">
          <cell r="A321">
            <v>60007</v>
          </cell>
        </row>
        <row r="322">
          <cell r="A322">
            <v>60010</v>
          </cell>
        </row>
        <row r="323">
          <cell r="A323">
            <v>60011</v>
          </cell>
        </row>
        <row r="324">
          <cell r="A324">
            <v>61011</v>
          </cell>
        </row>
        <row r="325">
          <cell r="A325">
            <v>60012</v>
          </cell>
        </row>
        <row r="326">
          <cell r="A326">
            <v>60013</v>
          </cell>
        </row>
        <row r="327">
          <cell r="A327">
            <v>60014</v>
          </cell>
        </row>
        <row r="328">
          <cell r="A328">
            <v>60015</v>
          </cell>
        </row>
        <row r="329">
          <cell r="A329">
            <v>60016</v>
          </cell>
        </row>
        <row r="330">
          <cell r="A330">
            <v>60017</v>
          </cell>
        </row>
        <row r="331">
          <cell r="A331">
            <v>60018</v>
          </cell>
        </row>
        <row r="332">
          <cell r="A332">
            <v>60019</v>
          </cell>
        </row>
        <row r="333">
          <cell r="A333">
            <v>60020</v>
          </cell>
        </row>
        <row r="334">
          <cell r="A334">
            <v>60025</v>
          </cell>
        </row>
        <row r="335">
          <cell r="A335">
            <v>60026</v>
          </cell>
        </row>
        <row r="336">
          <cell r="A336">
            <v>60027</v>
          </cell>
        </row>
        <row r="337">
          <cell r="A337">
            <v>60028</v>
          </cell>
        </row>
        <row r="338">
          <cell r="A338">
            <v>60029</v>
          </cell>
        </row>
        <row r="339">
          <cell r="A339">
            <v>65525</v>
          </cell>
        </row>
        <row r="340">
          <cell r="A340">
            <v>65526</v>
          </cell>
        </row>
        <row r="341">
          <cell r="A341">
            <v>65527</v>
          </cell>
        </row>
        <row r="342">
          <cell r="A342">
            <v>65528</v>
          </cell>
        </row>
        <row r="343">
          <cell r="A343">
            <v>65529</v>
          </cell>
        </row>
        <row r="344">
          <cell r="A344">
            <v>65530</v>
          </cell>
        </row>
        <row r="345">
          <cell r="A345">
            <v>65531</v>
          </cell>
        </row>
        <row r="346">
          <cell r="A346">
            <v>65532</v>
          </cell>
        </row>
        <row r="347">
          <cell r="A347">
            <v>65533</v>
          </cell>
        </row>
        <row r="348">
          <cell r="A348">
            <v>65534</v>
          </cell>
        </row>
        <row r="349">
          <cell r="A349">
            <v>65535</v>
          </cell>
        </row>
        <row r="350">
          <cell r="A350">
            <v>60021</v>
          </cell>
        </row>
        <row r="351">
          <cell r="A351">
            <v>60022</v>
          </cell>
        </row>
        <row r="352">
          <cell r="A352">
            <v>60023</v>
          </cell>
        </row>
        <row r="353">
          <cell r="A35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49001_1</v>
          </cell>
        </row>
        <row r="891">
          <cell r="A891" t="str">
            <v>49002_1</v>
          </cell>
        </row>
        <row r="892">
          <cell r="A892" t="str">
            <v>49002_2</v>
          </cell>
        </row>
        <row r="893">
          <cell r="A893" t="str">
            <v>49003_1</v>
          </cell>
        </row>
        <row r="894">
          <cell r="A894" t="str">
            <v>49003_2</v>
          </cell>
        </row>
        <row r="895">
          <cell r="A895" t="str">
            <v>49004_1</v>
          </cell>
        </row>
        <row r="896">
          <cell r="A896" t="str">
            <v>49004_2</v>
          </cell>
        </row>
        <row r="897">
          <cell r="A897" t="str">
            <v>49004_3</v>
          </cell>
        </row>
        <row r="898">
          <cell r="A898" t="str">
            <v>49005_1</v>
          </cell>
        </row>
        <row r="899">
          <cell r="A899" t="str">
            <v>49006_1</v>
          </cell>
        </row>
        <row r="900">
          <cell r="A900" t="str">
            <v>49006_2</v>
          </cell>
        </row>
        <row r="901">
          <cell r="A901" t="str">
            <v>49007_1</v>
          </cell>
        </row>
        <row r="902">
          <cell r="A902" t="str">
            <v>49007_2</v>
          </cell>
        </row>
        <row r="903">
          <cell r="A903" t="str">
            <v>49007_3</v>
          </cell>
        </row>
        <row r="904">
          <cell r="A904" t="str">
            <v>49008_1</v>
          </cell>
        </row>
        <row r="905">
          <cell r="A905" t="str">
            <v>49009_1</v>
          </cell>
        </row>
        <row r="906">
          <cell r="A906" t="str">
            <v>49010_1</v>
          </cell>
        </row>
        <row r="907">
          <cell r="A907" t="str">
            <v>49011_1</v>
          </cell>
        </row>
        <row r="908">
          <cell r="A908" t="str">
            <v>49012_1</v>
          </cell>
        </row>
        <row r="909">
          <cell r="A909" t="str">
            <v>49013_1</v>
          </cell>
        </row>
        <row r="910">
          <cell r="A910" t="str">
            <v>49014_1</v>
          </cell>
        </row>
        <row r="911">
          <cell r="A911" t="str">
            <v>49014_2</v>
          </cell>
        </row>
        <row r="912">
          <cell r="A912" t="str">
            <v>49015_1</v>
          </cell>
        </row>
        <row r="913">
          <cell r="A913" t="str">
            <v>49015_2</v>
          </cell>
        </row>
        <row r="914">
          <cell r="A914" t="str">
            <v>49015_3</v>
          </cell>
        </row>
        <row r="915">
          <cell r="A915" t="str">
            <v>50001_1</v>
          </cell>
        </row>
        <row r="916">
          <cell r="A916" t="str">
            <v>50002_1</v>
          </cell>
        </row>
        <row r="917">
          <cell r="A917" t="str">
            <v>50003_1</v>
          </cell>
        </row>
        <row r="918">
          <cell r="A918" t="str">
            <v>50004_1</v>
          </cell>
        </row>
        <row r="919">
          <cell r="A919" t="str">
            <v>50005_1</v>
          </cell>
        </row>
        <row r="920">
          <cell r="A920" t="str">
            <v>50006_1</v>
          </cell>
        </row>
        <row r="921">
          <cell r="A921" t="str">
            <v>50007_1</v>
          </cell>
        </row>
        <row r="922">
          <cell r="A922" t="str">
            <v>50008_1</v>
          </cell>
        </row>
        <row r="923">
          <cell r="A923" t="str">
            <v>50009_1</v>
          </cell>
        </row>
        <row r="924">
          <cell r="A924" t="str">
            <v>50010_1</v>
          </cell>
        </row>
        <row r="925">
          <cell r="A925" t="str">
            <v>50011_1</v>
          </cell>
        </row>
        <row r="926">
          <cell r="A926" t="str">
            <v>50012_1</v>
          </cell>
        </row>
        <row r="927">
          <cell r="A927" t="str">
            <v>50013_1</v>
          </cell>
        </row>
        <row r="928">
          <cell r="A928" t="str">
            <v>50014_1</v>
          </cell>
        </row>
        <row r="929">
          <cell r="A929" t="str">
            <v>50015_1</v>
          </cell>
        </row>
        <row r="930">
          <cell r="A930" t="str">
            <v>51001_1</v>
          </cell>
        </row>
        <row r="931">
          <cell r="A931" t="str">
            <v>51002_1</v>
          </cell>
        </row>
        <row r="932">
          <cell r="A932" t="str">
            <v>58001_1</v>
          </cell>
        </row>
        <row r="933">
          <cell r="A933" t="str">
            <v>59001_1</v>
          </cell>
        </row>
        <row r="934">
          <cell r="A934" t="str">
            <v>59002_1</v>
          </cell>
        </row>
        <row r="935">
          <cell r="A935" t="str">
            <v>60001_1</v>
          </cell>
        </row>
        <row r="936">
          <cell r="A936" t="str">
            <v>60002_1</v>
          </cell>
        </row>
        <row r="937">
          <cell r="A937" t="str">
            <v>60002_2</v>
          </cell>
        </row>
        <row r="938">
          <cell r="A938" t="str">
            <v>60003_1</v>
          </cell>
        </row>
        <row r="939">
          <cell r="A939" t="str">
            <v>60003_2</v>
          </cell>
        </row>
        <row r="940">
          <cell r="A940" t="str">
            <v>60003_3</v>
          </cell>
        </row>
        <row r="941">
          <cell r="A941" t="str">
            <v>60004_1</v>
          </cell>
        </row>
        <row r="942">
          <cell r="A942" t="str">
            <v>60005_1</v>
          </cell>
        </row>
        <row r="943">
          <cell r="A943" t="str">
            <v>60006_1</v>
          </cell>
        </row>
        <row r="944">
          <cell r="A944" t="str">
            <v>60006_2</v>
          </cell>
        </row>
        <row r="945">
          <cell r="A945" t="str">
            <v>60006_3</v>
          </cell>
        </row>
        <row r="946">
          <cell r="A946" t="str">
            <v>60007_1</v>
          </cell>
        </row>
        <row r="947">
          <cell r="A947" t="str">
            <v>60007_2</v>
          </cell>
        </row>
        <row r="948">
          <cell r="A948" t="str">
            <v>60007_3</v>
          </cell>
        </row>
        <row r="949">
          <cell r="A949" t="str">
            <v>60010_1</v>
          </cell>
        </row>
        <row r="950">
          <cell r="A950" t="str">
            <v>60011_1</v>
          </cell>
        </row>
        <row r="951">
          <cell r="A951" t="str">
            <v>60011_2</v>
          </cell>
        </row>
        <row r="952">
          <cell r="A952" t="str">
            <v>60012_1</v>
          </cell>
        </row>
        <row r="953">
          <cell r="A953" t="str">
            <v>60013_1</v>
          </cell>
        </row>
        <row r="954">
          <cell r="A954" t="str">
            <v>60013_2</v>
          </cell>
        </row>
        <row r="955">
          <cell r="A955" t="str">
            <v>60013_3</v>
          </cell>
        </row>
        <row r="956">
          <cell r="A956" t="str">
            <v>60014_1</v>
          </cell>
        </row>
        <row r="957">
          <cell r="A957" t="str">
            <v>60015_1</v>
          </cell>
        </row>
        <row r="958">
          <cell r="A958" t="str">
            <v>60016_1</v>
          </cell>
        </row>
        <row r="959">
          <cell r="A959" t="str">
            <v>60017_1</v>
          </cell>
        </row>
        <row r="960">
          <cell r="A960" t="str">
            <v>60018_1</v>
          </cell>
        </row>
        <row r="961">
          <cell r="A961" t="str">
            <v>60019_1</v>
          </cell>
        </row>
        <row r="962">
          <cell r="A962" t="str">
            <v>60020_1</v>
          </cell>
        </row>
        <row r="963">
          <cell r="A963" t="str">
            <v>60021_3</v>
          </cell>
        </row>
        <row r="964">
          <cell r="A964" t="str">
            <v>60022_3</v>
          </cell>
        </row>
        <row r="965">
          <cell r="A965" t="str">
            <v>60023_3</v>
          </cell>
        </row>
        <row r="966">
          <cell r="A966" t="str">
            <v>60024_3</v>
          </cell>
        </row>
        <row r="967">
          <cell r="A967" t="str">
            <v>60025_1</v>
          </cell>
        </row>
        <row r="968">
          <cell r="A968" t="str">
            <v>60026_1</v>
          </cell>
        </row>
        <row r="969">
          <cell r="A969" t="str">
            <v>61011_1</v>
          </cell>
        </row>
        <row r="970">
          <cell r="A970" t="str">
            <v>60027_1</v>
          </cell>
        </row>
        <row r="971">
          <cell r="A971" t="str">
            <v>60028_1</v>
          </cell>
        </row>
        <row r="972">
          <cell r="A972" t="str">
            <v>60029_1</v>
          </cell>
        </row>
        <row r="973">
          <cell r="A973" t="str">
            <v>65525_1</v>
          </cell>
        </row>
        <row r="974">
          <cell r="A974" t="str">
            <v>65526_1</v>
          </cell>
        </row>
        <row r="975">
          <cell r="A975" t="str">
            <v>65526_2</v>
          </cell>
        </row>
        <row r="976">
          <cell r="A976" t="str">
            <v>65527_1</v>
          </cell>
        </row>
        <row r="977">
          <cell r="A977" t="str">
            <v>65528_1</v>
          </cell>
        </row>
        <row r="978">
          <cell r="A978" t="str">
            <v>65529_1</v>
          </cell>
        </row>
        <row r="979">
          <cell r="A979" t="str">
            <v>65530_1</v>
          </cell>
        </row>
        <row r="980">
          <cell r="A980" t="str">
            <v>65531_1</v>
          </cell>
        </row>
        <row r="981">
          <cell r="A981" t="str">
            <v>65531_2</v>
          </cell>
        </row>
        <row r="982">
          <cell r="A982" t="str">
            <v>65532_1</v>
          </cell>
        </row>
        <row r="983">
          <cell r="A983" t="str">
            <v>65532_2</v>
          </cell>
        </row>
        <row r="984">
          <cell r="A984" t="str">
            <v>65533_1</v>
          </cell>
        </row>
        <row r="985">
          <cell r="A985" t="str">
            <v>65533_2</v>
          </cell>
        </row>
        <row r="986">
          <cell r="A986" t="str">
            <v>65534_1</v>
          </cell>
        </row>
        <row r="987">
          <cell r="A987" t="str">
            <v>65534_2</v>
          </cell>
        </row>
        <row r="988">
          <cell r="A988" t="str">
            <v>65535_1</v>
          </cell>
        </row>
        <row r="989">
          <cell r="A989" t="str">
            <v>65535_2</v>
          </cell>
        </row>
        <row r="990">
          <cell r="A990" t="str">
            <v>65535_3</v>
          </cell>
        </row>
        <row r="991">
          <cell r="A991" t="str">
            <v>65535_4</v>
          </cell>
        </row>
        <row r="992">
          <cell r="A992" t="str">
            <v>65535_5</v>
          </cell>
        </row>
        <row r="993">
          <cell r="A993" t="str">
            <v>65535_6</v>
          </cell>
        </row>
        <row r="994">
          <cell r="A994" t="str">
            <v>65535_7</v>
          </cell>
        </row>
        <row r="995">
          <cell r="A995" t="str">
            <v>65535_8</v>
          </cell>
        </row>
        <row r="996">
          <cell r="A996" t="str">
            <v>65535_9</v>
          </cell>
        </row>
        <row r="997">
          <cell r="A997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1375</v>
          </cell>
        </row>
        <row r="1337">
          <cell r="A1337">
            <v>1376</v>
          </cell>
        </row>
        <row r="1338">
          <cell r="A1338">
            <v>1379</v>
          </cell>
        </row>
        <row r="1339">
          <cell r="A1339">
            <v>1380</v>
          </cell>
        </row>
        <row r="1340">
          <cell r="A1340">
            <v>1407</v>
          </cell>
        </row>
        <row r="1341">
          <cell r="A1341">
            <v>1408</v>
          </cell>
        </row>
        <row r="1342">
          <cell r="A1342">
            <v>1409</v>
          </cell>
        </row>
        <row r="1343">
          <cell r="A1343">
            <v>1410</v>
          </cell>
        </row>
        <row r="1344">
          <cell r="A1344">
            <v>1431</v>
          </cell>
        </row>
        <row r="1345">
          <cell r="A1345">
            <v>1432</v>
          </cell>
        </row>
        <row r="1346">
          <cell r="A1346">
            <v>1466</v>
          </cell>
        </row>
        <row r="1347">
          <cell r="A1347">
            <v>1467</v>
          </cell>
        </row>
        <row r="1348">
          <cell r="A1348">
            <v>1468</v>
          </cell>
        </row>
        <row r="1349">
          <cell r="A1349">
            <v>1469</v>
          </cell>
        </row>
        <row r="1350">
          <cell r="A1350">
            <v>1470</v>
          </cell>
        </row>
        <row r="1351">
          <cell r="A1351">
            <v>1471</v>
          </cell>
        </row>
        <row r="1352">
          <cell r="A1352">
            <v>1495</v>
          </cell>
        </row>
        <row r="1353">
          <cell r="A1353">
            <v>1496</v>
          </cell>
        </row>
        <row r="1354">
          <cell r="A1354">
            <v>1497</v>
          </cell>
        </row>
        <row r="1355">
          <cell r="A1355">
            <v>1498</v>
          </cell>
        </row>
        <row r="1356">
          <cell r="A1356">
            <v>1499</v>
          </cell>
        </row>
        <row r="1357">
          <cell r="A1357">
            <v>1500</v>
          </cell>
        </row>
        <row r="1358">
          <cell r="A1358">
            <v>1501</v>
          </cell>
        </row>
        <row r="1359">
          <cell r="A1359">
            <v>1502</v>
          </cell>
        </row>
        <row r="1360">
          <cell r="A1360">
            <v>1503</v>
          </cell>
        </row>
        <row r="1361">
          <cell r="A1361">
            <v>1504</v>
          </cell>
        </row>
        <row r="1362">
          <cell r="A1362">
            <v>1505</v>
          </cell>
        </row>
        <row r="1363">
          <cell r="A1363">
            <v>1506</v>
          </cell>
        </row>
        <row r="1364">
          <cell r="A1364">
            <v>1507</v>
          </cell>
        </row>
        <row r="1365">
          <cell r="A1365">
            <v>1508</v>
          </cell>
        </row>
        <row r="1366">
          <cell r="A1366">
            <v>1509</v>
          </cell>
        </row>
        <row r="1367">
          <cell r="A1367">
            <v>1510</v>
          </cell>
        </row>
        <row r="1368">
          <cell r="A1368">
            <v>1511</v>
          </cell>
        </row>
        <row r="1369">
          <cell r="A1369">
            <v>1512</v>
          </cell>
        </row>
        <row r="1370">
          <cell r="A1370">
            <v>1523</v>
          </cell>
        </row>
        <row r="1371">
          <cell r="A1371">
            <v>1524</v>
          </cell>
        </row>
        <row r="1372">
          <cell r="A1372">
            <v>1525</v>
          </cell>
        </row>
        <row r="1373">
          <cell r="A1373">
            <v>1526</v>
          </cell>
        </row>
        <row r="1374">
          <cell r="A1374">
            <v>5001</v>
          </cell>
        </row>
        <row r="1375">
          <cell r="A1375">
            <v>5002</v>
          </cell>
        </row>
        <row r="1376">
          <cell r="A1376">
            <v>5003</v>
          </cell>
        </row>
        <row r="1377">
          <cell r="A1377">
            <v>5004</v>
          </cell>
        </row>
        <row r="1378">
          <cell r="A1378">
            <v>5005</v>
          </cell>
        </row>
        <row r="1379">
          <cell r="A1379">
            <v>5006</v>
          </cell>
        </row>
        <row r="1380">
          <cell r="A1380">
            <v>5007</v>
          </cell>
        </row>
        <row r="1381">
          <cell r="A1381">
            <v>5008</v>
          </cell>
        </row>
        <row r="1382">
          <cell r="A1382">
            <v>6001</v>
          </cell>
        </row>
        <row r="1383">
          <cell r="A1383">
            <v>6002</v>
          </cell>
        </row>
        <row r="1384">
          <cell r="A1384">
            <v>6003</v>
          </cell>
        </row>
        <row r="1385">
          <cell r="A1385">
            <v>6004</v>
          </cell>
        </row>
        <row r="1386">
          <cell r="A1386">
            <v>6005</v>
          </cell>
        </row>
        <row r="1387">
          <cell r="A1387">
            <v>6006</v>
          </cell>
        </row>
        <row r="1388">
          <cell r="A1388">
            <v>6007</v>
          </cell>
        </row>
        <row r="1389">
          <cell r="A1389">
            <v>6008</v>
          </cell>
        </row>
        <row r="1390">
          <cell r="A1390">
            <v>6009</v>
          </cell>
        </row>
        <row r="1391">
          <cell r="A1391">
            <v>6010</v>
          </cell>
        </row>
        <row r="1392">
          <cell r="A1392">
            <v>6011</v>
          </cell>
        </row>
        <row r="1393">
          <cell r="A1393">
            <v>6012</v>
          </cell>
        </row>
        <row r="1394">
          <cell r="A1394">
            <v>6013</v>
          </cell>
        </row>
        <row r="1395">
          <cell r="A1395">
            <v>6014</v>
          </cell>
        </row>
        <row r="1396">
          <cell r="A1396">
            <v>6015</v>
          </cell>
        </row>
        <row r="1397">
          <cell r="A1397">
            <v>6016</v>
          </cell>
        </row>
        <row r="1398">
          <cell r="A1398">
            <v>6017</v>
          </cell>
        </row>
        <row r="1399">
          <cell r="A1399">
            <v>6018</v>
          </cell>
        </row>
        <row r="1400">
          <cell r="A1400">
            <v>6019</v>
          </cell>
        </row>
        <row r="1401">
          <cell r="A1401">
            <v>6020</v>
          </cell>
        </row>
        <row r="1402">
          <cell r="A1402">
            <v>8001</v>
          </cell>
        </row>
        <row r="1403">
          <cell r="A1403">
            <v>8002</v>
          </cell>
        </row>
        <row r="1404">
          <cell r="A1404">
            <v>8003</v>
          </cell>
        </row>
        <row r="1405">
          <cell r="A1405">
            <v>8004</v>
          </cell>
        </row>
        <row r="1406">
          <cell r="A1406">
            <v>8005</v>
          </cell>
        </row>
        <row r="1407">
          <cell r="A1407">
            <v>8006</v>
          </cell>
        </row>
        <row r="1408">
          <cell r="A1408">
            <v>8007</v>
          </cell>
        </row>
        <row r="1409">
          <cell r="A1409">
            <v>8008</v>
          </cell>
        </row>
        <row r="1410">
          <cell r="A1410">
            <v>8009</v>
          </cell>
        </row>
        <row r="1411">
          <cell r="A1411">
            <v>8010</v>
          </cell>
        </row>
        <row r="1412">
          <cell r="A1412">
            <v>8011</v>
          </cell>
        </row>
        <row r="1413">
          <cell r="A1413">
            <v>8012</v>
          </cell>
        </row>
        <row r="1414">
          <cell r="A1414">
            <v>8013</v>
          </cell>
        </row>
        <row r="1415">
          <cell r="A1415">
            <v>8014</v>
          </cell>
        </row>
        <row r="1416">
          <cell r="A1416">
            <v>8015</v>
          </cell>
        </row>
        <row r="1417">
          <cell r="A1417">
            <v>8016</v>
          </cell>
        </row>
        <row r="1418">
          <cell r="A1418">
            <v>8017</v>
          </cell>
        </row>
        <row r="1419">
          <cell r="A1419">
            <v>8018</v>
          </cell>
        </row>
        <row r="1420">
          <cell r="A1420">
            <v>8019</v>
          </cell>
        </row>
        <row r="1421">
          <cell r="A1421">
            <v>8020</v>
          </cell>
        </row>
        <row r="1422">
          <cell r="A1422">
            <v>8021</v>
          </cell>
        </row>
        <row r="1423">
          <cell r="A1423">
            <v>8022</v>
          </cell>
        </row>
        <row r="1424">
          <cell r="A1424">
            <v>8023</v>
          </cell>
        </row>
        <row r="1425">
          <cell r="A1425">
            <v>8024</v>
          </cell>
        </row>
        <row r="1426">
          <cell r="A1426">
            <v>8025</v>
          </cell>
        </row>
        <row r="1427">
          <cell r="A1427">
            <v>8026</v>
          </cell>
        </row>
        <row r="1428">
          <cell r="A1428">
            <v>8027</v>
          </cell>
        </row>
        <row r="1429">
          <cell r="A1429">
            <v>8028</v>
          </cell>
        </row>
        <row r="1430">
          <cell r="A1430">
            <v>8029</v>
          </cell>
        </row>
        <row r="1431">
          <cell r="A1431">
            <v>8030</v>
          </cell>
        </row>
        <row r="1432">
          <cell r="A1432">
            <v>8031</v>
          </cell>
        </row>
        <row r="1433">
          <cell r="A1433">
            <v>8032</v>
          </cell>
        </row>
        <row r="1434">
          <cell r="A1434">
            <v>8033</v>
          </cell>
        </row>
        <row r="1435">
          <cell r="A1435">
            <v>8034</v>
          </cell>
        </row>
        <row r="1436">
          <cell r="A1436">
            <v>8035</v>
          </cell>
        </row>
        <row r="1437">
          <cell r="A1437">
            <v>8036</v>
          </cell>
        </row>
        <row r="1438">
          <cell r="A1438">
            <v>8037</v>
          </cell>
        </row>
        <row r="1439">
          <cell r="A1439">
            <v>8038</v>
          </cell>
        </row>
        <row r="1440">
          <cell r="A1440">
            <v>8039</v>
          </cell>
        </row>
        <row r="1441">
          <cell r="A1441">
            <v>8040</v>
          </cell>
        </row>
        <row r="1442">
          <cell r="A1442">
            <v>8041</v>
          </cell>
        </row>
        <row r="1443">
          <cell r="A1443">
            <v>8042</v>
          </cell>
        </row>
        <row r="1444">
          <cell r="A1444">
            <v>8043</v>
          </cell>
        </row>
        <row r="1445">
          <cell r="A1445">
            <v>8044</v>
          </cell>
        </row>
        <row r="1446">
          <cell r="A1446">
            <v>8045</v>
          </cell>
        </row>
        <row r="1447">
          <cell r="A1447">
            <v>8046</v>
          </cell>
        </row>
        <row r="1448">
          <cell r="A1448">
            <v>8047</v>
          </cell>
        </row>
        <row r="1449">
          <cell r="A1449">
            <v>8048</v>
          </cell>
        </row>
        <row r="1450">
          <cell r="A1450">
            <v>8049</v>
          </cell>
        </row>
        <row r="1451">
          <cell r="A1451">
            <v>8050</v>
          </cell>
        </row>
        <row r="1452">
          <cell r="A1452">
            <v>8051</v>
          </cell>
        </row>
        <row r="1453">
          <cell r="A1453">
            <v>8052</v>
          </cell>
        </row>
        <row r="1454">
          <cell r="A1454">
            <v>8053</v>
          </cell>
        </row>
        <row r="1455">
          <cell r="A1455">
            <v>8054</v>
          </cell>
        </row>
        <row r="1456">
          <cell r="A1456">
            <v>8055</v>
          </cell>
        </row>
        <row r="1457">
          <cell r="A1457">
            <v>8056</v>
          </cell>
        </row>
        <row r="1458">
          <cell r="A1458">
            <v>8057</v>
          </cell>
        </row>
        <row r="1459">
          <cell r="A1459">
            <v>8058</v>
          </cell>
        </row>
        <row r="1460">
          <cell r="A1460">
            <v>8059</v>
          </cell>
        </row>
        <row r="1461">
          <cell r="A1461">
            <v>8060</v>
          </cell>
        </row>
        <row r="1462">
          <cell r="A1462">
            <v>8061</v>
          </cell>
        </row>
        <row r="1463">
          <cell r="A1463">
            <v>8062</v>
          </cell>
        </row>
        <row r="1464">
          <cell r="A1464">
            <v>8063</v>
          </cell>
        </row>
        <row r="1465">
          <cell r="A1465">
            <v>8064</v>
          </cell>
        </row>
        <row r="1466">
          <cell r="A1466">
            <v>8065</v>
          </cell>
        </row>
        <row r="1467">
          <cell r="A1467">
            <v>8066</v>
          </cell>
        </row>
        <row r="1468">
          <cell r="A1468">
            <v>8067</v>
          </cell>
        </row>
        <row r="1469">
          <cell r="A1469">
            <v>8068</v>
          </cell>
        </row>
        <row r="1470">
          <cell r="A1470">
            <v>8069</v>
          </cell>
        </row>
        <row r="1471">
          <cell r="A1471">
            <v>8070</v>
          </cell>
        </row>
        <row r="1472">
          <cell r="A1472">
            <v>8071</v>
          </cell>
        </row>
        <row r="1473">
          <cell r="A1473">
            <v>8072</v>
          </cell>
        </row>
        <row r="1474">
          <cell r="A1474">
            <v>8073</v>
          </cell>
        </row>
        <row r="1475">
          <cell r="A1475">
            <v>8074</v>
          </cell>
        </row>
        <row r="1476">
          <cell r="A1476">
            <v>8077</v>
          </cell>
        </row>
        <row r="1477">
          <cell r="A1477">
            <v>8078</v>
          </cell>
        </row>
        <row r="1478">
          <cell r="A1478">
            <v>8079</v>
          </cell>
        </row>
        <row r="1479">
          <cell r="A1479">
            <v>8080</v>
          </cell>
        </row>
        <row r="1480">
          <cell r="A1480">
            <v>8081</v>
          </cell>
        </row>
        <row r="1481">
          <cell r="A1481">
            <v>8082</v>
          </cell>
        </row>
        <row r="1482">
          <cell r="A1482">
            <v>8083</v>
          </cell>
        </row>
        <row r="1483">
          <cell r="A1483">
            <v>8084</v>
          </cell>
        </row>
        <row r="1484">
          <cell r="A1484">
            <v>8087</v>
          </cell>
        </row>
        <row r="1485">
          <cell r="A1485">
            <v>8088</v>
          </cell>
        </row>
        <row r="1486">
          <cell r="A1486">
            <v>8089</v>
          </cell>
        </row>
        <row r="1487">
          <cell r="A1487">
            <v>8090</v>
          </cell>
        </row>
        <row r="1488">
          <cell r="A1488">
            <v>8095</v>
          </cell>
        </row>
        <row r="1489">
          <cell r="A1489">
            <v>8096</v>
          </cell>
        </row>
        <row r="1490">
          <cell r="A1490">
            <v>8097</v>
          </cell>
        </row>
        <row r="1491">
          <cell r="A1491">
            <v>8098</v>
          </cell>
        </row>
        <row r="1492">
          <cell r="A1492">
            <v>8099</v>
          </cell>
        </row>
        <row r="1493">
          <cell r="A1493">
            <v>8100</v>
          </cell>
        </row>
        <row r="1494">
          <cell r="A1494">
            <v>8101</v>
          </cell>
        </row>
        <row r="1495">
          <cell r="A1495">
            <v>8102</v>
          </cell>
        </row>
        <row r="1496">
          <cell r="A1496">
            <v>9001</v>
          </cell>
        </row>
        <row r="1497">
          <cell r="A1497">
            <v>9002</v>
          </cell>
        </row>
        <row r="1498">
          <cell r="A1498">
            <v>9003</v>
          </cell>
        </row>
        <row r="1499">
          <cell r="A1499">
            <v>9004</v>
          </cell>
        </row>
        <row r="1500">
          <cell r="A1500">
            <v>9005</v>
          </cell>
        </row>
        <row r="1501">
          <cell r="A1501">
            <v>9006</v>
          </cell>
        </row>
        <row r="1502">
          <cell r="A1502">
            <v>9007</v>
          </cell>
        </row>
        <row r="1503">
          <cell r="A1503">
            <v>9008</v>
          </cell>
        </row>
        <row r="1504">
          <cell r="A1504">
            <v>10101</v>
          </cell>
        </row>
        <row r="1505">
          <cell r="A1505">
            <v>10102</v>
          </cell>
        </row>
        <row r="1506">
          <cell r="A1506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8087</v>
          </cell>
        </row>
        <row r="1614">
          <cell r="A1614">
            <v>8088</v>
          </cell>
        </row>
        <row r="1615">
          <cell r="A1615">
            <v>8089</v>
          </cell>
        </row>
        <row r="1616">
          <cell r="A1616">
            <v>8090</v>
          </cell>
        </row>
        <row r="1617">
          <cell r="A1617">
            <v>8095</v>
          </cell>
        </row>
        <row r="1618">
          <cell r="A1618">
            <v>8096</v>
          </cell>
        </row>
        <row r="1619">
          <cell r="A1619">
            <v>8097</v>
          </cell>
        </row>
        <row r="1620">
          <cell r="A1620">
            <v>8098</v>
          </cell>
        </row>
        <row r="1621">
          <cell r="A1621">
            <v>8099</v>
          </cell>
        </row>
        <row r="1622">
          <cell r="A1622">
            <v>8100</v>
          </cell>
        </row>
        <row r="1623">
          <cell r="A1623">
            <v>8101</v>
          </cell>
        </row>
        <row r="1624">
          <cell r="A1624">
            <v>8102</v>
          </cell>
        </row>
        <row r="1625">
          <cell r="A1625">
            <v>9001</v>
          </cell>
        </row>
        <row r="1626">
          <cell r="A1626">
            <v>9002</v>
          </cell>
        </row>
        <row r="1627">
          <cell r="A1627">
            <v>9003</v>
          </cell>
        </row>
        <row r="1628">
          <cell r="A1628">
            <v>9004</v>
          </cell>
        </row>
        <row r="1629">
          <cell r="A1629">
            <v>9005</v>
          </cell>
        </row>
        <row r="1630">
          <cell r="A1630">
            <v>9006</v>
          </cell>
        </row>
        <row r="1631">
          <cell r="A1631">
            <v>9007</v>
          </cell>
        </row>
        <row r="1632">
          <cell r="A1632">
            <v>9008</v>
          </cell>
        </row>
        <row r="1633">
          <cell r="A1633">
            <v>10001</v>
          </cell>
        </row>
        <row r="1634">
          <cell r="A1634">
            <v>10002</v>
          </cell>
        </row>
        <row r="1635">
          <cell r="A1635">
            <v>10003</v>
          </cell>
        </row>
        <row r="1636">
          <cell r="A1636">
            <v>10004</v>
          </cell>
        </row>
        <row r="1637">
          <cell r="A1637">
            <v>10005</v>
          </cell>
        </row>
        <row r="1638">
          <cell r="A1638">
            <v>10006</v>
          </cell>
        </row>
        <row r="1639">
          <cell r="A1639">
            <v>10007</v>
          </cell>
        </row>
        <row r="1640">
          <cell r="A1640">
            <v>10008</v>
          </cell>
        </row>
        <row r="1641">
          <cell r="A1641">
            <v>10009</v>
          </cell>
        </row>
        <row r="1642">
          <cell r="A1642">
            <v>10010</v>
          </cell>
        </row>
        <row r="1643">
          <cell r="A1643">
            <v>10011</v>
          </cell>
        </row>
        <row r="1644">
          <cell r="A1644">
            <v>10012</v>
          </cell>
        </row>
        <row r="1645">
          <cell r="A1645">
            <v>10013</v>
          </cell>
        </row>
        <row r="1646">
          <cell r="A1646">
            <v>10014</v>
          </cell>
        </row>
        <row r="1647">
          <cell r="A1647">
            <v>10015</v>
          </cell>
        </row>
        <row r="1648">
          <cell r="A1648">
            <v>10016</v>
          </cell>
        </row>
        <row r="1649">
          <cell r="A1649">
            <v>10017</v>
          </cell>
        </row>
        <row r="1650">
          <cell r="A1650">
            <v>10018</v>
          </cell>
        </row>
        <row r="1651">
          <cell r="A1651">
            <v>10019</v>
          </cell>
        </row>
        <row r="1652">
          <cell r="A1652">
            <v>10020</v>
          </cell>
        </row>
        <row r="1653">
          <cell r="A1653">
            <v>10021</v>
          </cell>
        </row>
        <row r="1654">
          <cell r="A1654">
            <v>10022</v>
          </cell>
        </row>
        <row r="1655">
          <cell r="A1655">
            <v>10023</v>
          </cell>
        </row>
        <row r="1656">
          <cell r="A1656">
            <v>10024</v>
          </cell>
        </row>
        <row r="1657">
          <cell r="A1657">
            <v>10025</v>
          </cell>
        </row>
        <row r="1658">
          <cell r="A1658">
            <v>10026</v>
          </cell>
        </row>
        <row r="1659">
          <cell r="A1659">
            <v>10027</v>
          </cell>
        </row>
        <row r="1660">
          <cell r="A1660">
            <v>10028</v>
          </cell>
        </row>
        <row r="1661">
          <cell r="A1661">
            <v>10029</v>
          </cell>
        </row>
        <row r="1662">
          <cell r="A1662">
            <v>10030</v>
          </cell>
        </row>
        <row r="1663">
          <cell r="A1663">
            <v>10031</v>
          </cell>
        </row>
        <row r="1664">
          <cell r="A1664">
            <v>10032</v>
          </cell>
        </row>
        <row r="1665">
          <cell r="A1665">
            <v>10033</v>
          </cell>
        </row>
        <row r="1666">
          <cell r="A1666">
            <v>10034</v>
          </cell>
        </row>
        <row r="1667">
          <cell r="A1667">
            <v>10035</v>
          </cell>
        </row>
        <row r="1668">
          <cell r="A1668">
            <v>10036</v>
          </cell>
        </row>
        <row r="1669">
          <cell r="A1669">
            <v>10037</v>
          </cell>
        </row>
        <row r="1670">
          <cell r="A1670">
            <v>10038</v>
          </cell>
        </row>
        <row r="1671">
          <cell r="A1671">
            <v>10039</v>
          </cell>
        </row>
        <row r="1672">
          <cell r="A1672">
            <v>10040</v>
          </cell>
        </row>
        <row r="1673">
          <cell r="A1673">
            <v>10041</v>
          </cell>
        </row>
        <row r="1674">
          <cell r="A1674">
            <v>10042</v>
          </cell>
        </row>
        <row r="1675">
          <cell r="A1675">
            <v>10043</v>
          </cell>
        </row>
        <row r="1676">
          <cell r="A1676">
            <v>10044</v>
          </cell>
        </row>
        <row r="1677">
          <cell r="A1677">
            <v>10045</v>
          </cell>
        </row>
        <row r="1678">
          <cell r="A1678">
            <v>10046</v>
          </cell>
        </row>
        <row r="1679">
          <cell r="A1679">
            <v>10047</v>
          </cell>
        </row>
        <row r="1680">
          <cell r="A1680">
            <v>10048</v>
          </cell>
        </row>
        <row r="1681">
          <cell r="A1681">
            <v>10049</v>
          </cell>
        </row>
        <row r="1682">
          <cell r="A1682">
            <v>10050</v>
          </cell>
        </row>
        <row r="1683">
          <cell r="A1683">
            <v>10051</v>
          </cell>
        </row>
        <row r="1684">
          <cell r="A1684">
            <v>10052</v>
          </cell>
        </row>
        <row r="1685">
          <cell r="A1685">
            <v>10053</v>
          </cell>
        </row>
        <row r="1686">
          <cell r="A1686">
            <v>10054</v>
          </cell>
        </row>
        <row r="1687">
          <cell r="A1687">
            <v>10055</v>
          </cell>
        </row>
        <row r="1688">
          <cell r="A1688">
            <v>10056</v>
          </cell>
        </row>
        <row r="1689">
          <cell r="A1689">
            <v>10057</v>
          </cell>
        </row>
        <row r="1690">
          <cell r="A1690">
            <v>10058</v>
          </cell>
        </row>
        <row r="1691">
          <cell r="A1691">
            <v>10059</v>
          </cell>
        </row>
        <row r="1692">
          <cell r="A1692">
            <v>10060</v>
          </cell>
        </row>
        <row r="1693">
          <cell r="A1693">
            <v>10061</v>
          </cell>
        </row>
        <row r="1694">
          <cell r="A1694">
            <v>10062</v>
          </cell>
        </row>
        <row r="1695">
          <cell r="A1695">
            <v>10063</v>
          </cell>
        </row>
        <row r="1696">
          <cell r="A1696">
            <v>10064</v>
          </cell>
        </row>
        <row r="1697">
          <cell r="A1697">
            <v>10065</v>
          </cell>
        </row>
        <row r="1698">
          <cell r="A1698">
            <v>10066</v>
          </cell>
        </row>
        <row r="1699">
          <cell r="A1699">
            <v>10067</v>
          </cell>
        </row>
        <row r="1700">
          <cell r="A1700">
            <v>10068</v>
          </cell>
        </row>
        <row r="1701">
          <cell r="A1701">
            <v>10069</v>
          </cell>
        </row>
        <row r="1702">
          <cell r="A1702">
            <v>10070</v>
          </cell>
        </row>
        <row r="1703">
          <cell r="A1703">
            <v>10071</v>
          </cell>
        </row>
        <row r="1704">
          <cell r="A1704">
            <v>10072</v>
          </cell>
        </row>
        <row r="1705">
          <cell r="A1705">
            <v>10073</v>
          </cell>
        </row>
        <row r="1706">
          <cell r="A1706">
            <v>10074</v>
          </cell>
        </row>
        <row r="1707">
          <cell r="A1707">
            <v>10075</v>
          </cell>
        </row>
        <row r="1708">
          <cell r="A1708">
            <v>10076</v>
          </cell>
        </row>
        <row r="1709">
          <cell r="A1709">
            <v>10077</v>
          </cell>
        </row>
        <row r="1710">
          <cell r="A1710">
            <v>10078</v>
          </cell>
        </row>
        <row r="1711">
          <cell r="A1711">
            <v>10079</v>
          </cell>
        </row>
        <row r="1712">
          <cell r="A1712">
            <v>10080</v>
          </cell>
        </row>
        <row r="1713">
          <cell r="A1713">
            <v>10081</v>
          </cell>
        </row>
        <row r="1714">
          <cell r="A1714">
            <v>10082</v>
          </cell>
        </row>
        <row r="1715">
          <cell r="A1715">
            <v>10083</v>
          </cell>
        </row>
        <row r="1716">
          <cell r="A1716">
            <v>10084</v>
          </cell>
        </row>
        <row r="1717">
          <cell r="A1717">
            <v>10085</v>
          </cell>
        </row>
        <row r="1718">
          <cell r="A1718">
            <v>10086</v>
          </cell>
        </row>
        <row r="1719">
          <cell r="A1719">
            <v>10087</v>
          </cell>
        </row>
        <row r="1720">
          <cell r="A1720">
            <v>10088</v>
          </cell>
        </row>
        <row r="1721">
          <cell r="A1721">
            <v>10089</v>
          </cell>
        </row>
        <row r="1722">
          <cell r="A1722">
            <v>10090</v>
          </cell>
        </row>
        <row r="1723">
          <cell r="A1723">
            <v>10101</v>
          </cell>
        </row>
        <row r="1724">
          <cell r="A1724">
            <v>10102</v>
          </cell>
        </row>
        <row r="1725">
          <cell r="A172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G17" sqref="G17"/>
    </sheetView>
  </sheetViews>
  <sheetFormatPr baseColWidth="12" defaultRowHeight="15" x14ac:dyDescent="0.15"/>
  <cols>
    <col min="2" max="2" width="20.33203125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130</v>
      </c>
      <c r="B1" s="52" t="s">
        <v>100</v>
      </c>
      <c r="C1" s="52" t="s">
        <v>101</v>
      </c>
      <c r="D1" s="52" t="s">
        <v>102</v>
      </c>
      <c r="E1" s="52" t="s">
        <v>103</v>
      </c>
      <c r="F1" s="52" t="s">
        <v>104</v>
      </c>
      <c r="G1" s="52" t="s">
        <v>105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304</v>
      </c>
      <c r="B2" s="54" t="s">
        <v>106</v>
      </c>
      <c r="C2" s="7">
        <v>40042</v>
      </c>
      <c r="D2" s="54" t="s">
        <v>107</v>
      </c>
      <c r="E2" s="53" t="str">
        <f>B2&amp;C2&amp;D2</f>
        <v>floors_40042.tmp</v>
      </c>
      <c r="F2" s="54" t="s">
        <v>108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304</v>
      </c>
      <c r="B3" s="54" t="s">
        <v>109</v>
      </c>
      <c r="C3" s="7">
        <v>40042</v>
      </c>
      <c r="D3" s="54" t="s">
        <v>107</v>
      </c>
      <c r="E3" s="53" t="str">
        <f>B3&amp;C3&amp;D3</f>
        <v>enemy_habitats_40042.tmp</v>
      </c>
      <c r="F3" s="54" t="s">
        <v>110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53</v>
      </c>
      <c r="AD3" s="55" t="s">
        <v>178</v>
      </c>
    </row>
    <row r="4" spans="1:30" x14ac:dyDescent="0.15">
      <c r="A4" s="58" t="s">
        <v>304</v>
      </c>
      <c r="B4" s="54" t="s">
        <v>111</v>
      </c>
      <c r="C4" s="7">
        <v>40042</v>
      </c>
      <c r="D4" s="54" t="s">
        <v>107</v>
      </c>
      <c r="E4" s="53" t="str">
        <f>B4&amp;C4&amp;D4</f>
        <v>enemy_habitat_S_40042.tmp</v>
      </c>
      <c r="F4" s="54" t="s">
        <v>112</v>
      </c>
      <c r="G4" s="55" t="s">
        <v>0</v>
      </c>
      <c r="H4" s="55" t="s">
        <v>1</v>
      </c>
      <c r="I4" s="55" t="s">
        <v>13</v>
      </c>
      <c r="J4" s="55" t="s">
        <v>53</v>
      </c>
      <c r="K4" s="55" t="s">
        <v>54</v>
      </c>
      <c r="L4" s="55" t="s">
        <v>55</v>
      </c>
      <c r="M4" s="55" t="s">
        <v>56</v>
      </c>
      <c r="N4" s="55" t="s">
        <v>57</v>
      </c>
      <c r="O4" s="55" t="s">
        <v>58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304</v>
      </c>
      <c r="B5" s="54" t="s">
        <v>113</v>
      </c>
      <c r="C5" s="7">
        <v>40042</v>
      </c>
      <c r="D5" s="54" t="s">
        <v>107</v>
      </c>
      <c r="E5" s="53" t="str">
        <f>B5&amp;C5&amp;D5</f>
        <v>enemy_skill_sets_40042.tmp</v>
      </c>
      <c r="F5" s="54" t="s">
        <v>114</v>
      </c>
      <c r="G5" s="56" t="s">
        <v>22</v>
      </c>
      <c r="H5" s="56" t="s">
        <v>99</v>
      </c>
      <c r="I5" s="56" t="s">
        <v>94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304</v>
      </c>
      <c r="B6" s="54" t="s">
        <v>115</v>
      </c>
      <c r="C6" s="7">
        <v>40042</v>
      </c>
      <c r="D6" s="54" t="s">
        <v>116</v>
      </c>
      <c r="E6" s="53" t="str">
        <f t="shared" ref="E6:E10" si="0">B6&amp;C6&amp;D6</f>
        <v>enemy_skills_tmp_40042.tmp</v>
      </c>
      <c r="F6" s="54" t="s">
        <v>90</v>
      </c>
      <c r="G6" s="55" t="s">
        <v>78</v>
      </c>
      <c r="H6" s="55" t="s">
        <v>79</v>
      </c>
      <c r="I6" s="55" t="s">
        <v>80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304</v>
      </c>
      <c r="B7" s="54" t="s">
        <v>117</v>
      </c>
      <c r="C7" s="7">
        <v>40042</v>
      </c>
      <c r="D7" s="54" t="s">
        <v>107</v>
      </c>
      <c r="E7" s="53" t="str">
        <f>B7&amp;C7&amp;D7</f>
        <v>enemy_skills_i18n_40042.tmp</v>
      </c>
      <c r="F7" s="54" t="s">
        <v>118</v>
      </c>
      <c r="G7" s="55" t="s">
        <v>78</v>
      </c>
      <c r="H7" s="55" t="s">
        <v>91</v>
      </c>
      <c r="I7" s="55" t="s">
        <v>92</v>
      </c>
      <c r="J7" s="55" t="s">
        <v>93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304</v>
      </c>
      <c r="B8" s="54" t="s">
        <v>119</v>
      </c>
      <c r="C8" s="7">
        <v>40042</v>
      </c>
      <c r="D8" s="54" t="s">
        <v>120</v>
      </c>
      <c r="E8" s="53" t="str">
        <f t="shared" si="0"/>
        <v>enemy_skill_triggers_40042.tmp</v>
      </c>
      <c r="F8" s="54" t="s">
        <v>121</v>
      </c>
      <c r="G8" s="55" t="s">
        <v>94</v>
      </c>
      <c r="H8" s="55" t="s">
        <v>95</v>
      </c>
      <c r="I8" s="55" t="s">
        <v>96</v>
      </c>
      <c r="J8" s="55" t="s">
        <v>97</v>
      </c>
      <c r="K8" s="55" t="s">
        <v>122</v>
      </c>
      <c r="L8" s="55" t="s">
        <v>98</v>
      </c>
      <c r="M8" s="55" t="s">
        <v>123</v>
      </c>
      <c r="N8" s="55" t="s">
        <v>124</v>
      </c>
      <c r="O8" s="55" t="s">
        <v>125</v>
      </c>
      <c r="P8" s="55" t="s">
        <v>66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443</v>
      </c>
      <c r="B9" s="62" t="s">
        <v>177</v>
      </c>
      <c r="C9" s="7">
        <v>40042</v>
      </c>
      <c r="D9" s="62" t="s">
        <v>171</v>
      </c>
      <c r="E9" s="63" t="str">
        <f t="shared" si="0"/>
        <v>stage_bug_bonuses_40042.tmp</v>
      </c>
      <c r="F9" s="62" t="s">
        <v>172</v>
      </c>
      <c r="G9" s="60" t="s">
        <v>150</v>
      </c>
      <c r="H9" s="60" t="s">
        <v>173</v>
      </c>
      <c r="I9" s="60" t="s">
        <v>174</v>
      </c>
      <c r="J9" s="61" t="s">
        <v>175</v>
      </c>
      <c r="K9" s="60" t="s">
        <v>176</v>
      </c>
      <c r="L9" s="60" t="s">
        <v>156</v>
      </c>
      <c r="M9" s="60" t="s">
        <v>157</v>
      </c>
      <c r="N9" s="60" t="s">
        <v>158</v>
      </c>
      <c r="O9" s="60" t="s">
        <v>159</v>
      </c>
      <c r="P9" s="60" t="s">
        <v>160</v>
      </c>
      <c r="Q9" s="60" t="s">
        <v>161</v>
      </c>
      <c r="R9" s="60" t="s">
        <v>162</v>
      </c>
      <c r="S9" s="60" t="s">
        <v>163</v>
      </c>
      <c r="T9" s="60" t="s">
        <v>164</v>
      </c>
      <c r="U9" s="60" t="s">
        <v>165</v>
      </c>
      <c r="V9" s="60" t="s">
        <v>166</v>
      </c>
      <c r="W9" s="60" t="s">
        <v>167</v>
      </c>
      <c r="X9" s="54"/>
      <c r="Y9" s="54"/>
      <c r="Z9" s="54"/>
      <c r="AA9" s="54"/>
      <c r="AB9" s="54"/>
      <c r="AC9" s="54"/>
      <c r="AD9" s="54"/>
    </row>
    <row r="10" spans="1:30" s="68" customFormat="1" x14ac:dyDescent="0.15">
      <c r="A10" s="58" t="s">
        <v>304</v>
      </c>
      <c r="B10" s="62" t="s">
        <v>200</v>
      </c>
      <c r="C10" s="7">
        <v>40042</v>
      </c>
      <c r="D10" s="62" t="s">
        <v>180</v>
      </c>
      <c r="E10" s="63" t="str">
        <f t="shared" si="0"/>
        <v>stage_hints_data_c_40042.tmp</v>
      </c>
      <c r="F10" s="62" t="s">
        <v>208</v>
      </c>
      <c r="G10" s="66" t="s">
        <v>181</v>
      </c>
      <c r="H10" s="66" t="s">
        <v>173</v>
      </c>
      <c r="I10" s="67" t="s">
        <v>182</v>
      </c>
      <c r="J10" s="61" t="s">
        <v>183</v>
      </c>
      <c r="K10" s="61" t="s">
        <v>184</v>
      </c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</row>
    <row r="11" spans="1:30" s="68" customFormat="1" x14ac:dyDescent="0.15">
      <c r="A11" s="58" t="s">
        <v>304</v>
      </c>
      <c r="B11" s="62" t="s">
        <v>201</v>
      </c>
      <c r="C11" s="7">
        <v>40042</v>
      </c>
      <c r="D11" s="62" t="s">
        <v>171</v>
      </c>
      <c r="E11" s="63" t="str">
        <f t="shared" ref="E11:E13" si="1">B11&amp;C11&amp;D11</f>
        <v>stage_hints_data_f_40042.tmp</v>
      </c>
      <c r="F11" s="62" t="s">
        <v>209</v>
      </c>
      <c r="G11" s="66" t="s">
        <v>181</v>
      </c>
      <c r="H11" s="66" t="s">
        <v>173</v>
      </c>
      <c r="I11" s="67" t="s">
        <v>182</v>
      </c>
      <c r="J11" s="61" t="s">
        <v>183</v>
      </c>
      <c r="K11" s="61" t="s">
        <v>184</v>
      </c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</row>
    <row r="12" spans="1:30" s="68" customFormat="1" x14ac:dyDescent="0.15">
      <c r="A12" s="62" t="s">
        <v>434</v>
      </c>
      <c r="B12" s="62" t="s">
        <v>202</v>
      </c>
      <c r="C12" s="7">
        <v>40042</v>
      </c>
      <c r="D12" s="62" t="s">
        <v>171</v>
      </c>
      <c r="E12" s="63" t="str">
        <f t="shared" si="1"/>
        <v>stage_hints_i18n_40042.tmp</v>
      </c>
      <c r="F12" s="62" t="s">
        <v>210</v>
      </c>
      <c r="G12" s="67" t="s">
        <v>203</v>
      </c>
      <c r="H12" s="85" t="s">
        <v>204</v>
      </c>
      <c r="I12" s="66" t="s">
        <v>205</v>
      </c>
      <c r="J12" s="93" t="s">
        <v>206</v>
      </c>
      <c r="K12" s="61" t="s">
        <v>207</v>
      </c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</row>
    <row r="13" spans="1:30" s="68" customFormat="1" x14ac:dyDescent="0.15">
      <c r="A13" s="62" t="s">
        <v>444</v>
      </c>
      <c r="B13" s="62" t="s">
        <v>250</v>
      </c>
      <c r="C13" s="7">
        <v>40042</v>
      </c>
      <c r="D13" s="62" t="s">
        <v>231</v>
      </c>
      <c r="E13" s="63" t="str">
        <f t="shared" si="1"/>
        <v>stage_bonuses_40042.tmp</v>
      </c>
      <c r="F13" s="62" t="s">
        <v>230</v>
      </c>
      <c r="G13" s="66" t="s">
        <v>232</v>
      </c>
      <c r="H13" s="66" t="s">
        <v>233</v>
      </c>
      <c r="I13" s="66" t="s">
        <v>234</v>
      </c>
      <c r="J13" s="66" t="s">
        <v>235</v>
      </c>
      <c r="K13" s="66" t="s">
        <v>236</v>
      </c>
      <c r="L13" s="66" t="s">
        <v>237</v>
      </c>
      <c r="M13" s="66" t="s">
        <v>238</v>
      </c>
      <c r="N13" s="66" t="s">
        <v>239</v>
      </c>
      <c r="O13" s="66" t="s">
        <v>240</v>
      </c>
      <c r="P13" s="66" t="s">
        <v>241</v>
      </c>
      <c r="Q13" s="66" t="s">
        <v>242</v>
      </c>
      <c r="R13" s="66" t="s">
        <v>243</v>
      </c>
      <c r="S13" s="66" t="s">
        <v>244</v>
      </c>
      <c r="T13" s="66" t="s">
        <v>245</v>
      </c>
      <c r="U13" s="66" t="s">
        <v>246</v>
      </c>
      <c r="V13" s="66" t="s">
        <v>247</v>
      </c>
      <c r="W13" s="66" t="s">
        <v>248</v>
      </c>
      <c r="X13" s="66" t="s">
        <v>249</v>
      </c>
      <c r="Y13" s="92"/>
      <c r="Z13" s="92"/>
      <c r="AA13" s="92"/>
      <c r="AB13" s="92"/>
      <c r="AC13" s="92"/>
      <c r="AD13" s="92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G10" sqref="G10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40042_1-1</v>
      </c>
      <c r="B2" s="15" t="str">
        <f>IF(COUNTIF(enemy_habitats!$H:$H,A2),"OK","NG")</f>
        <v>OK</v>
      </c>
      <c r="C2" s="7">
        <v>40042</v>
      </c>
      <c r="D2" s="11" t="str">
        <f ca="1">VLOOKUP($C2,OFFSET([2]quests!$A$1,0,0,COUNTA([2]quests!$A:$A),MATCH(D$1,[2]quests!$1:$1,0)-MATCH($C$1,[2]quests!$1:$1,0)+1),MATCH(D$1,[2]quests!$1:$1,0)-MATCH($C$1,[2]quests!$1:$1,0)+1,FALSE)</f>
        <v>ヘル襲来！</v>
      </c>
      <c r="E2" s="17" t="str">
        <f ca="1">VLOOKUP($C2,OFFSET([2]quests!$A$1,0,0,COUNTA([2]quests!$A:$A),MATCH(E$1,[2]quests!$1:$1,0)-MATCH($C$1,[2]quests!$1:$1,0)+1),MATCH(E$1,[2]quests!$1:$1,0)-MATCH($C$1,[2]quests!$1:$1,0)+1,FALSE)</f>
        <v>降臨42</v>
      </c>
      <c r="F2" s="20">
        <v>1</v>
      </c>
      <c r="G2" s="21" t="str">
        <f>C2&amp;"_"&amp;F2</f>
        <v>40042_1</v>
      </c>
      <c r="H2" s="14" t="str">
        <f ca="1">VLOOKUP($G2,OFFSET([2]stages!$A$1,0,0,COUNTA([2]stages!$A:$A),MATCH(H$1,[2]stages!$2:$2,0)-MATCH($G$1,[2]stages!$2:$2,0)+1),MATCH(H$1,[2]stages!$2:$2,0)-MATCH($G$1,[2]stages!$2:$2,0)+1,FALSE)</f>
        <v>【超絶級】ヘル襲来</v>
      </c>
      <c r="I2" s="20">
        <v>1</v>
      </c>
      <c r="J2" s="123">
        <v>60</v>
      </c>
      <c r="K2" s="123">
        <v>60</v>
      </c>
    </row>
    <row r="3" spans="1:11" ht="21" customHeight="1" x14ac:dyDescent="0.15">
      <c r="A3" s="15" t="str">
        <f t="shared" ref="A3:A5" si="0">G3&amp;"-"&amp;I3</f>
        <v>40042_1-2</v>
      </c>
      <c r="B3" s="15" t="str">
        <f>IF(COUNTIF(enemy_habitats!$H:$H,A3),"OK","NG")</f>
        <v>OK</v>
      </c>
      <c r="C3" s="7">
        <v>40042</v>
      </c>
      <c r="D3" s="11" t="str">
        <f ca="1">VLOOKUP($C3,OFFSET([2]quests!$A$1,0,0,COUNTA([2]quests!$A:$A),MATCH(D$1,[2]quests!$1:$1,0)-MATCH($C$1,[2]quests!$1:$1,0)+1),MATCH(D$1,[2]quests!$1:$1,0)-MATCH($C$1,[2]quests!$1:$1,0)+1,FALSE)</f>
        <v>ヘル襲来！</v>
      </c>
      <c r="E3" s="17" t="str">
        <f ca="1">VLOOKUP($C3,OFFSET([2]quests!$A$1,0,0,COUNTA([2]quests!$A:$A),MATCH(E$1,[2]quests!$1:$1,0)-MATCH($C$1,[2]quests!$1:$1,0)+1),MATCH(E$1,[2]quests!$1:$1,0)-MATCH($C$1,[2]quests!$1:$1,0)+1,FALSE)</f>
        <v>降臨42</v>
      </c>
      <c r="F3" s="20">
        <v>1</v>
      </c>
      <c r="G3" s="21" t="str">
        <f t="shared" ref="G3:G5" si="1">C3&amp;"_"&amp;F3</f>
        <v>40042_1</v>
      </c>
      <c r="H3" s="14" t="str">
        <f ca="1">VLOOKUP($G3,OFFSET([2]stages!$A$1,0,0,COUNTA([2]stages!$A:$A),MATCH(H$1,[2]stages!$2:$2,0)-MATCH($G$1,[2]stages!$2:$2,0)+1),MATCH(H$1,[2]stages!$2:$2,0)-MATCH($G$1,[2]stages!$2:$2,0)+1,FALSE)</f>
        <v>【超絶級】ヘル襲来</v>
      </c>
      <c r="I3" s="20">
        <v>2</v>
      </c>
      <c r="J3" s="123">
        <v>60</v>
      </c>
      <c r="K3" s="123">
        <v>60</v>
      </c>
    </row>
    <row r="4" spans="1:11" ht="21" customHeight="1" x14ac:dyDescent="0.15">
      <c r="A4" s="15" t="str">
        <f t="shared" si="0"/>
        <v>40042_1-3</v>
      </c>
      <c r="B4" s="15" t="str">
        <f>IF(COUNTIF(enemy_habitats!$H:$H,A4),"OK","NG")</f>
        <v>OK</v>
      </c>
      <c r="C4" s="7">
        <v>40042</v>
      </c>
      <c r="D4" s="11" t="str">
        <f ca="1">VLOOKUP($C4,OFFSET([2]quests!$A$1,0,0,COUNTA([2]quests!$A:$A),MATCH(D$1,[2]quests!$1:$1,0)-MATCH($C$1,[2]quests!$1:$1,0)+1),MATCH(D$1,[2]quests!$1:$1,0)-MATCH($C$1,[2]quests!$1:$1,0)+1,FALSE)</f>
        <v>ヘル襲来！</v>
      </c>
      <c r="E4" s="17" t="str">
        <f ca="1">VLOOKUP($C4,OFFSET([2]quests!$A$1,0,0,COUNTA([2]quests!$A:$A),MATCH(E$1,[2]quests!$1:$1,0)-MATCH($C$1,[2]quests!$1:$1,0)+1),MATCH(E$1,[2]quests!$1:$1,0)-MATCH($C$1,[2]quests!$1:$1,0)+1,FALSE)</f>
        <v>降臨42</v>
      </c>
      <c r="F4" s="20">
        <v>1</v>
      </c>
      <c r="G4" s="21" t="str">
        <f t="shared" si="1"/>
        <v>40042_1</v>
      </c>
      <c r="H4" s="14" t="str">
        <f ca="1">VLOOKUP($G4,OFFSET([2]stages!$A$1,0,0,COUNTA([2]stages!$A:$A),MATCH(H$1,[2]stages!$2:$2,0)-MATCH($G$1,[2]stages!$2:$2,0)+1),MATCH(H$1,[2]stages!$2:$2,0)-MATCH($G$1,[2]stages!$2:$2,0)+1,FALSE)</f>
        <v>【超絶級】ヘル襲来</v>
      </c>
      <c r="I4" s="20">
        <v>3</v>
      </c>
      <c r="J4" s="123">
        <v>30</v>
      </c>
      <c r="K4" s="123">
        <v>30</v>
      </c>
    </row>
    <row r="5" spans="1:11" ht="21" customHeight="1" thickBot="1" x14ac:dyDescent="0.2">
      <c r="A5" s="137" t="str">
        <f t="shared" si="0"/>
        <v>40042_1-4</v>
      </c>
      <c r="B5" s="137" t="str">
        <f>IF(COUNTIF(enemy_habitats!$H:$H,A5),"OK","NG")</f>
        <v>OK</v>
      </c>
      <c r="C5" s="138">
        <v>40042</v>
      </c>
      <c r="D5" s="156" t="str">
        <f ca="1">VLOOKUP($C5,OFFSET([2]quests!$A$1,0,0,COUNTA([2]quests!$A:$A),MATCH(D$1,[2]quests!$1:$1,0)-MATCH($C$1,[2]quests!$1:$1,0)+1),MATCH(D$1,[2]quests!$1:$1,0)-MATCH($C$1,[2]quests!$1:$1,0)+1,FALSE)</f>
        <v>ヘル襲来！</v>
      </c>
      <c r="E5" s="156" t="str">
        <f ca="1">VLOOKUP($C5,OFFSET([2]quests!$A$1,0,0,COUNTA([2]quests!$A:$A),MATCH(E$1,[2]quests!$1:$1,0)-MATCH($C$1,[2]quests!$1:$1,0)+1),MATCH(E$1,[2]quests!$1:$1,0)-MATCH($C$1,[2]quests!$1:$1,0)+1,FALSE)</f>
        <v>降臨42</v>
      </c>
      <c r="F5" s="139">
        <v>1</v>
      </c>
      <c r="G5" s="157" t="str">
        <f t="shared" si="1"/>
        <v>40042_1</v>
      </c>
      <c r="H5" s="140" t="str">
        <f ca="1">VLOOKUP($G5,OFFSET([2]stages!$A$1,0,0,COUNTA([2]stages!$A:$A),MATCH(H$1,[2]stages!$2:$2,0)-MATCH($G$1,[2]stages!$2:$2,0)+1),MATCH(H$1,[2]stages!$2:$2,0)-MATCH($G$1,[2]stages!$2:$2,0)+1,FALSE)</f>
        <v>【超絶級】ヘル襲来</v>
      </c>
      <c r="I5" s="139">
        <v>4</v>
      </c>
      <c r="J5" s="158">
        <v>60</v>
      </c>
      <c r="K5" s="158">
        <v>60</v>
      </c>
    </row>
    <row r="6" spans="1:11" ht="21" customHeight="1" x14ac:dyDescent="0.15">
      <c r="A6" s="15" t="str">
        <f>G6&amp;"-"&amp;I6</f>
        <v>40042_2-1</v>
      </c>
      <c r="B6" s="15" t="str">
        <f>IF(COUNTIF(enemy_habitats!$H:$H,A6),"OK","NG")</f>
        <v>OK</v>
      </c>
      <c r="C6" s="125">
        <v>40042</v>
      </c>
      <c r="D6" s="153" t="str">
        <f ca="1">VLOOKUP($C6,OFFSET([2]quests!$A$1,0,0,COUNTA([2]quests!$A:$A),MATCH(D$1,[2]quests!$1:$1,0)-MATCH($C$1,[2]quests!$1:$1,0)+1),MATCH(D$1,[2]quests!$1:$1,0)-MATCH($C$1,[2]quests!$1:$1,0)+1,FALSE)</f>
        <v>ヘル襲来！</v>
      </c>
      <c r="E6" s="153" t="str">
        <f ca="1">VLOOKUP($C6,OFFSET([2]quests!$A$1,0,0,COUNTA([2]quests!$A:$A),MATCH(E$1,[2]quests!$1:$1,0)-MATCH($C$1,[2]quests!$1:$1,0)+1),MATCH(E$1,[2]quests!$1:$1,0)-MATCH($C$1,[2]quests!$1:$1,0)+1,FALSE)</f>
        <v>降臨42</v>
      </c>
      <c r="F6" s="126">
        <v>2</v>
      </c>
      <c r="G6" s="154" t="str">
        <f>C6&amp;"_"&amp;F6</f>
        <v>40042_2</v>
      </c>
      <c r="H6" s="127" t="str">
        <f ca="1">VLOOKUP($G6,OFFSET([2]stages!$A$1,0,0,COUNTA([2]stages!$A:$A),MATCH(H$1,[2]stages!$2:$2,0)-MATCH($G$1,[2]stages!$2:$2,0)+1),MATCH(H$1,[2]stages!$2:$2,0)-MATCH($G$1,[2]stages!$2:$2,0)+1,FALSE)</f>
        <v>【ウィザード級】ヘル襲来</v>
      </c>
      <c r="I6" s="126">
        <v>1</v>
      </c>
      <c r="J6" s="155">
        <v>60</v>
      </c>
      <c r="K6" s="155">
        <v>60</v>
      </c>
    </row>
    <row r="7" spans="1:11" ht="21" customHeight="1" x14ac:dyDescent="0.15">
      <c r="A7" s="15" t="str">
        <f t="shared" ref="A7:A9" si="2">G7&amp;"-"&amp;I7</f>
        <v>40042_2-2</v>
      </c>
      <c r="B7" s="15" t="str">
        <f>IF(COUNTIF(enemy_habitats!$H:$H,A7),"OK","NG")</f>
        <v>OK</v>
      </c>
      <c r="C7" s="7">
        <v>40042</v>
      </c>
      <c r="D7" s="11" t="str">
        <f ca="1">VLOOKUP($C7,OFFSET([2]quests!$A$1,0,0,COUNTA([2]quests!$A:$A),MATCH(D$1,[2]quests!$1:$1,0)-MATCH($C$1,[2]quests!$1:$1,0)+1),MATCH(D$1,[2]quests!$1:$1,0)-MATCH($C$1,[2]quests!$1:$1,0)+1,FALSE)</f>
        <v>ヘル襲来！</v>
      </c>
      <c r="E7" s="17" t="str">
        <f ca="1">VLOOKUP($C7,OFFSET([2]quests!$A$1,0,0,COUNTA([2]quests!$A:$A),MATCH(E$1,[2]quests!$1:$1,0)-MATCH($C$1,[2]quests!$1:$1,0)+1),MATCH(E$1,[2]quests!$1:$1,0)-MATCH($C$1,[2]quests!$1:$1,0)+1,FALSE)</f>
        <v>降臨42</v>
      </c>
      <c r="F7" s="20">
        <v>2</v>
      </c>
      <c r="G7" s="21" t="str">
        <f t="shared" ref="G7:G9" si="3">C7&amp;"_"&amp;F7</f>
        <v>40042_2</v>
      </c>
      <c r="H7" s="14" t="str">
        <f ca="1">VLOOKUP($G7,OFFSET([2]stages!$A$1,0,0,COUNTA([2]stages!$A:$A),MATCH(H$1,[2]stages!$2:$2,0)-MATCH($G$1,[2]stages!$2:$2,0)+1),MATCH(H$1,[2]stages!$2:$2,0)-MATCH($G$1,[2]stages!$2:$2,0)+1,FALSE)</f>
        <v>【ウィザード級】ヘル襲来</v>
      </c>
      <c r="I7" s="20">
        <v>2</v>
      </c>
      <c r="J7" s="123">
        <v>60</v>
      </c>
      <c r="K7" s="123">
        <v>60</v>
      </c>
    </row>
    <row r="8" spans="1:11" ht="21" customHeight="1" x14ac:dyDescent="0.15">
      <c r="A8" s="15" t="str">
        <f t="shared" si="2"/>
        <v>40042_2-3</v>
      </c>
      <c r="B8" s="15" t="str">
        <f>IF(COUNTIF(enemy_habitats!$H:$H,A8),"OK","NG")</f>
        <v>OK</v>
      </c>
      <c r="C8" s="7">
        <v>40042</v>
      </c>
      <c r="D8" s="11" t="str">
        <f ca="1">VLOOKUP($C8,OFFSET([2]quests!$A$1,0,0,COUNTA([2]quests!$A:$A),MATCH(D$1,[2]quests!$1:$1,0)-MATCH($C$1,[2]quests!$1:$1,0)+1),MATCH(D$1,[2]quests!$1:$1,0)-MATCH($C$1,[2]quests!$1:$1,0)+1,FALSE)</f>
        <v>ヘル襲来！</v>
      </c>
      <c r="E8" s="17" t="str">
        <f ca="1">VLOOKUP($C8,OFFSET([2]quests!$A$1,0,0,COUNTA([2]quests!$A:$A),MATCH(E$1,[2]quests!$1:$1,0)-MATCH($C$1,[2]quests!$1:$1,0)+1),MATCH(E$1,[2]quests!$1:$1,0)-MATCH($C$1,[2]quests!$1:$1,0)+1,FALSE)</f>
        <v>降臨42</v>
      </c>
      <c r="F8" s="20">
        <v>2</v>
      </c>
      <c r="G8" s="21" t="str">
        <f t="shared" si="3"/>
        <v>40042_2</v>
      </c>
      <c r="H8" s="14" t="str">
        <f ca="1">VLOOKUP($G8,OFFSET([2]stages!$A$1,0,0,COUNTA([2]stages!$A:$A),MATCH(H$1,[2]stages!$2:$2,0)-MATCH($G$1,[2]stages!$2:$2,0)+1),MATCH(H$1,[2]stages!$2:$2,0)-MATCH($G$1,[2]stages!$2:$2,0)+1,FALSE)</f>
        <v>【ウィザード級】ヘル襲来</v>
      </c>
      <c r="I8" s="20">
        <v>3</v>
      </c>
      <c r="J8" s="123">
        <v>30</v>
      </c>
      <c r="K8" s="123">
        <v>30</v>
      </c>
    </row>
    <row r="9" spans="1:11" ht="21" customHeight="1" x14ac:dyDescent="0.15">
      <c r="A9" s="15" t="str">
        <f t="shared" si="2"/>
        <v>40042_2-4</v>
      </c>
      <c r="B9" s="15" t="str">
        <f>IF(COUNTIF(enemy_habitats!$H:$H,A9),"OK","NG")</f>
        <v>OK</v>
      </c>
      <c r="C9" s="7">
        <v>40042</v>
      </c>
      <c r="D9" s="11" t="str">
        <f ca="1">VLOOKUP($C9,OFFSET([2]quests!$A$1,0,0,COUNTA([2]quests!$A:$A),MATCH(D$1,[2]quests!$1:$1,0)-MATCH($C$1,[2]quests!$1:$1,0)+1),MATCH(D$1,[2]quests!$1:$1,0)-MATCH($C$1,[2]quests!$1:$1,0)+1,FALSE)</f>
        <v>ヘル襲来！</v>
      </c>
      <c r="E9" s="17" t="str">
        <f ca="1">VLOOKUP($C9,OFFSET([2]quests!$A$1,0,0,COUNTA([2]quests!$A:$A),MATCH(E$1,[2]quests!$1:$1,0)-MATCH($C$1,[2]quests!$1:$1,0)+1),MATCH(E$1,[2]quests!$1:$1,0)-MATCH($C$1,[2]quests!$1:$1,0)+1,FALSE)</f>
        <v>降臨42</v>
      </c>
      <c r="F9" s="20">
        <v>2</v>
      </c>
      <c r="G9" s="21" t="str">
        <f t="shared" si="3"/>
        <v>40042_2</v>
      </c>
      <c r="H9" s="14" t="str">
        <f ca="1">VLOOKUP($G9,OFFSET([2]stages!$A$1,0,0,COUNTA([2]stages!$A:$A),MATCH(H$1,[2]stages!$2:$2,0)-MATCH($G$1,[2]stages!$2:$2,0)+1),MATCH(H$1,[2]stages!$2:$2,0)-MATCH($G$1,[2]stages!$2:$2,0)+1,FALSE)</f>
        <v>【ウィザード級】ヘル襲来</v>
      </c>
      <c r="I9" s="20">
        <v>4</v>
      </c>
      <c r="J9" s="123">
        <v>60</v>
      </c>
      <c r="K9" s="123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workbookViewId="0">
      <pane xSplit="17" ySplit="1" topLeftCell="U2" activePane="bottomRight" state="frozen"/>
      <selection pane="topRight" activeCell="N1" sqref="N1"/>
      <selection pane="bottomLeft" activeCell="A2" sqref="A2"/>
      <selection pane="bottomRight" activeCell="AG10" sqref="AG10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6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2" bestFit="1" customWidth="1" outlineLevel="1"/>
    <col min="32" max="32" width="8" style="13" bestFit="1" customWidth="1" outlineLevel="1"/>
    <col min="33" max="33" width="12" style="13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4" t="s">
        <v>251</v>
      </c>
      <c r="U1" s="24" t="s">
        <v>50</v>
      </c>
      <c r="V1" s="94" t="s">
        <v>252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179</v>
      </c>
    </row>
    <row r="2" spans="1:42" ht="21" customHeight="1" x14ac:dyDescent="0.15">
      <c r="A2" s="15" t="str">
        <f>B2&amp;"_"&amp;C2&amp;"-"&amp;G2&amp;"/"&amp;L2&amp;"&lt;lv"&amp;R2&amp;"&gt;s"&amp;AC2</f>
        <v>40042_1-1/583&lt;lv60&gt;s2</v>
      </c>
      <c r="B2" s="7">
        <v>40042</v>
      </c>
      <c r="C2" s="20">
        <v>1</v>
      </c>
      <c r="D2" s="2" t="str">
        <f>B2&amp;"_"&amp;C2</f>
        <v>40042_1</v>
      </c>
      <c r="E2" s="4" t="str">
        <f ca="1">VLOOKUP($B2,OFFSET([2]quests!$A$1,0,0,COUNTA([2]quests!$A:$A),MATCH(E$1,[2]quests!$1:$1,0)-MATCH($B$1,[2]quests!$1:$1,0)+1),MATCH(E$1,[2]quests!$1:$1,0)-MATCH($B$1,[2]quests!$1:$1,0)+1,FALSE)</f>
        <v>ヘル襲来！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【超絶級】ヘル襲来</v>
      </c>
      <c r="G2" s="20">
        <v>1</v>
      </c>
      <c r="H2" s="14" t="str">
        <f>B2&amp;"_"&amp;C2&amp;"-"&amp;G2</f>
        <v>40042_1-1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>
        <v>1</v>
      </c>
      <c r="L2" s="19">
        <v>583</v>
      </c>
      <c r="M2" s="16" t="str">
        <f ca="1">VLOOKUP($L2,OFFSET([3]enemies!$A$1,0,0,COUNTA([3]enemies!$A:$A),MATCH(M$1,[3]enemies!$1:$1,0)-MATCH($L$1,[3]enemies!$1:$1,0)+1),MATCH(M$1,[3]enemies!$1:$1,0)-MATCH($L$1,[3]enemies!$1:$1,0)+1,FALSE)</f>
        <v>ミョルニル</v>
      </c>
      <c r="N2" s="16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6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6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60</v>
      </c>
      <c r="S2" s="131">
        <v>1.5</v>
      </c>
      <c r="T2" s="95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117526.5</v>
      </c>
      <c r="U2" s="23">
        <v>0.5</v>
      </c>
      <c r="V2" s="95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4188.5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赤属性のユニットに大ダメージの全体攻撃</v>
      </c>
      <c r="Y2" s="7">
        <v>40042001</v>
      </c>
      <c r="Z2" s="6">
        <v>1</v>
      </c>
      <c r="AA2" s="6">
        <v>100</v>
      </c>
      <c r="AB2" s="6">
        <v>0</v>
      </c>
      <c r="AC2" s="120">
        <v>2</v>
      </c>
      <c r="AD2" s="22">
        <f>L2</f>
        <v>583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ミョルニル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2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4">
        <v>1</v>
      </c>
    </row>
    <row r="3" spans="1:42" ht="21" customHeight="1" x14ac:dyDescent="0.15">
      <c r="A3" s="15" t="str">
        <f>B3&amp;"_"&amp;C3&amp;"-"&amp;G3&amp;"/"&amp;L3&amp;"&lt;lv"&amp;R3&amp;"&gt;s"&amp;AC3</f>
        <v>40042_1-1/594&lt;lv60&gt;s2</v>
      </c>
      <c r="B3" s="7">
        <v>40042</v>
      </c>
      <c r="C3" s="20">
        <v>1</v>
      </c>
      <c r="D3" s="2" t="str">
        <f>B3&amp;"_"&amp;C3</f>
        <v>40042_1</v>
      </c>
      <c r="E3" s="4" t="str">
        <f ca="1">VLOOKUP($B3,OFFSET([2]quests!$A$1,0,0,COUNTA([2]quests!$A:$A),MATCH(E$1,[2]quests!$1:$1,0)-MATCH($B$1,[2]quests!$1:$1,0)+1),MATCH(E$1,[2]quests!$1:$1,0)-MATCH($B$1,[2]quests!$1:$1,0)+1,FALSE)</f>
        <v>ヘル襲来！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【超絶級】ヘル襲来</v>
      </c>
      <c r="G3" s="20">
        <v>1</v>
      </c>
      <c r="H3" s="14" t="str">
        <f>B3&amp;"_"&amp;C3&amp;"-"&amp;G3</f>
        <v>40042_1-1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>
        <v>2</v>
      </c>
      <c r="L3" s="19">
        <v>594</v>
      </c>
      <c r="M3" s="16" t="str">
        <f ca="1">VLOOKUP($L3,OFFSET([3]enemies!$A$1,0,0,COUNTA([3]enemies!$A:$A),MATCH(M$1,[3]enemies!$1:$1,0)-MATCH($L$1,[3]enemies!$1:$1,0)+1),MATCH(M$1,[3]enemies!$1:$1,0)-MATCH($L$1,[3]enemies!$1:$1,0)+1,FALSE)</f>
        <v>アルフヘイム</v>
      </c>
      <c r="N3" s="16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PremiumSS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dragon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60</v>
      </c>
      <c r="S3" s="23">
        <v>1.3</v>
      </c>
      <c r="T3" s="95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117135.2</v>
      </c>
      <c r="U3" s="23">
        <v>0.5</v>
      </c>
      <c r="V3" s="95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4607.5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ハートパネルを吸収して全体攻撃</v>
      </c>
      <c r="Y3" s="7">
        <v>40042003</v>
      </c>
      <c r="Z3" s="6">
        <v>1</v>
      </c>
      <c r="AA3" s="6">
        <v>100</v>
      </c>
      <c r="AB3" s="6">
        <v>0</v>
      </c>
      <c r="AC3" s="120">
        <v>2</v>
      </c>
      <c r="AD3" s="22">
        <f>L3</f>
        <v>594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アルフヘイム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3" s="7">
        <v>1</v>
      </c>
      <c r="AI3" s="22">
        <f ca="1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4">
        <v>1</v>
      </c>
    </row>
    <row r="4" spans="1:42" ht="21" customHeight="1" x14ac:dyDescent="0.15">
      <c r="A4" s="15" t="str">
        <f t="shared" ref="A4:A6" si="0">B4&amp;"_"&amp;C4&amp;"-"&amp;G4&amp;"/"&amp;L4&amp;"&lt;lv"&amp;R4&amp;"&gt;s"&amp;AC4</f>
        <v>40042_1-2/1264&lt;lv60&gt;s1</v>
      </c>
      <c r="B4" s="7">
        <v>40042</v>
      </c>
      <c r="C4" s="20">
        <v>1</v>
      </c>
      <c r="D4" s="2" t="str">
        <f t="shared" ref="D4:D6" si="1">B4&amp;"_"&amp;C4</f>
        <v>40042_1</v>
      </c>
      <c r="E4" s="4" t="str">
        <f ca="1">VLOOKUP($B4,OFFSET([2]quests!$A$1,0,0,COUNTA([2]quests!$A:$A),MATCH(E$1,[2]quests!$1:$1,0)-MATCH($B$1,[2]quests!$1:$1,0)+1),MATCH(E$1,[2]quests!$1:$1,0)-MATCH($B$1,[2]quests!$1:$1,0)+1,FALSE)</f>
        <v>ヘル襲来！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【超絶級】ヘル襲来</v>
      </c>
      <c r="G4" s="20">
        <v>2</v>
      </c>
      <c r="H4" s="14" t="str">
        <f t="shared" ref="H4:H6" si="2">B4&amp;"_"&amp;C4&amp;"-"&amp;G4</f>
        <v>40042_1-2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 t="s">
        <v>88</v>
      </c>
      <c r="L4" s="19">
        <v>1264</v>
      </c>
      <c r="M4" s="16" t="str">
        <f ca="1">VLOOKUP($L4,OFFSET([3]enemies!$A$1,0,0,COUNTA([3]enemies!$A:$A),MATCH(M$1,[3]enemies!$1:$1,0)-MATCH($L$1,[3]enemies!$1:$1,0)+1),MATCH(M$1,[3]enemies!$1:$1,0)-MATCH($L$1,[3]enemies!$1:$1,0)+1,FALSE)</f>
        <v>ウルズ</v>
      </c>
      <c r="N4" s="16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6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6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60</v>
      </c>
      <c r="S4" s="23">
        <v>1</v>
      </c>
      <c r="T4" s="95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100368</v>
      </c>
      <c r="U4" s="23">
        <v>1</v>
      </c>
      <c r="V4" s="95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8928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時限式ダメージパネルプロテクト</v>
      </c>
      <c r="Y4" s="7">
        <v>40042005</v>
      </c>
      <c r="Z4" s="6">
        <v>1</v>
      </c>
      <c r="AA4" s="6">
        <v>100</v>
      </c>
      <c r="AB4" s="6">
        <v>0</v>
      </c>
      <c r="AC4" s="120">
        <v>1</v>
      </c>
      <c r="AD4" s="22">
        <f t="shared" ref="AD4:AD6" si="3">L4</f>
        <v>1264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ウルズ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4" s="7">
        <v>1</v>
      </c>
      <c r="AI4" s="22">
        <f t="shared" ref="AI4:AI6" ca="1" si="4">AF4</f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4">
        <v>1</v>
      </c>
    </row>
    <row r="5" spans="1:42" ht="21" customHeight="1" x14ac:dyDescent="0.15">
      <c r="A5" s="15" t="str">
        <f t="shared" si="0"/>
        <v>40042_1-3/1266&lt;lv60&gt;s2</v>
      </c>
      <c r="B5" s="7">
        <v>40042</v>
      </c>
      <c r="C5" s="20">
        <v>1</v>
      </c>
      <c r="D5" s="2" t="str">
        <f t="shared" si="1"/>
        <v>40042_1</v>
      </c>
      <c r="E5" s="4" t="str">
        <f ca="1">VLOOKUP($B5,OFFSET([2]quests!$A$1,0,0,COUNTA([2]quests!$A:$A),MATCH(E$1,[2]quests!$1:$1,0)-MATCH($B$1,[2]quests!$1:$1,0)+1),MATCH(E$1,[2]quests!$1:$1,0)-MATCH($B$1,[2]quests!$1:$1,0)+1,FALSE)</f>
        <v>ヘル襲来！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【超絶級】ヘル襲来</v>
      </c>
      <c r="G5" s="20">
        <v>3</v>
      </c>
      <c r="H5" s="14" t="str">
        <f t="shared" si="2"/>
        <v>40042_1-3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6">
        <v>3</v>
      </c>
      <c r="L5" s="19">
        <v>1266</v>
      </c>
      <c r="M5" s="16" t="str">
        <f ca="1">VLOOKUP($L5,OFFSET([3]enemies!$A$1,0,0,COUNTA([3]enemies!$A:$A),MATCH(M$1,[3]enemies!$1:$1,0)-MATCH($L$1,[3]enemies!$1:$1,0)+1),MATCH(M$1,[3]enemies!$1:$1,0)-MATCH($L$1,[3]enemies!$1:$1,0)+1,FALSE)</f>
        <v>ガルム</v>
      </c>
      <c r="N5" s="16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6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6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60</v>
      </c>
      <c r="S5" s="23">
        <v>3</v>
      </c>
      <c r="T5" s="95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225651</v>
      </c>
      <c r="U5" s="23">
        <v>0.7</v>
      </c>
      <c r="V5" s="95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5980.7999999999993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2ターン攻撃力UP</v>
      </c>
      <c r="Y5" s="7">
        <v>40042006</v>
      </c>
      <c r="Z5" s="6">
        <v>1</v>
      </c>
      <c r="AA5" s="6">
        <v>100</v>
      </c>
      <c r="AB5" s="6">
        <v>0</v>
      </c>
      <c r="AC5" s="120">
        <v>2</v>
      </c>
      <c r="AD5" s="22">
        <f t="shared" si="3"/>
        <v>1266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ガルム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2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4">
        <v>1</v>
      </c>
    </row>
    <row r="6" spans="1:42" ht="21" customHeight="1" thickBot="1" x14ac:dyDescent="0.2">
      <c r="A6" s="137" t="str">
        <f t="shared" si="0"/>
        <v>40042_1-4/1256&lt;lv60&gt;s1</v>
      </c>
      <c r="B6" s="138">
        <v>40042</v>
      </c>
      <c r="C6" s="139">
        <v>1</v>
      </c>
      <c r="D6" s="140" t="str">
        <f t="shared" si="1"/>
        <v>40042_1</v>
      </c>
      <c r="E6" s="141" t="str">
        <f ca="1">VLOOKUP($B6,OFFSET([2]quests!$A$1,0,0,COUNTA([2]quests!$A:$A),MATCH(E$1,[2]quests!$1:$1,0)-MATCH($B$1,[2]quests!$1:$1,0)+1),MATCH(E$1,[2]quests!$1:$1,0)-MATCH($B$1,[2]quests!$1:$1,0)+1,FALSE)</f>
        <v>ヘル襲来！</v>
      </c>
      <c r="F6" s="141" t="str">
        <f ca="1">VLOOKUP($D6,OFFSET([2]stages!$A$1,0,0,COUNTA([2]stages!$A:$A),MATCH(F$1,[2]stages!$2:$2,0)-MATCH($D$1,[2]stages!$2:$2,0)+1),MATCH(F$1,[2]stages!$2:$2,0)-MATCH($D$1,[2]stages!$2:$2,0)+1,FALSE)</f>
        <v>【超絶級】ヘル襲来</v>
      </c>
      <c r="G6" s="139">
        <v>4</v>
      </c>
      <c r="H6" s="140" t="str">
        <f t="shared" si="2"/>
        <v>40042_1-4</v>
      </c>
      <c r="I6" s="141">
        <f ca="1">VLOOKUP($H6,OFFSET(floors!$A$1,0,0,COUNTA(floors!$A:$A),MATCH(I$1,floors!$1:$1,0)-MATCH($H$1,floors!$1:$1,0)+1),MATCH(I$1,floors!$1:$1,0)-MATCH($H$1,floors!$1:$1,0)+1,FALSE)</f>
        <v>60</v>
      </c>
      <c r="J6" s="141">
        <f ca="1">VLOOKUP($H6,OFFSET(floors!$A$1,0,0,COUNTA(floors!$A:$A),MATCH(J$1,floors!$1:$1,0)-MATCH($H$1,floors!$1:$1,0)+1),MATCH(J$1,floors!$1:$1,0)-MATCH($H$1,floors!$1:$1,0)+1,FALSE)</f>
        <v>60</v>
      </c>
      <c r="K6" s="142">
        <v>4</v>
      </c>
      <c r="L6" s="143">
        <v>1256</v>
      </c>
      <c r="M6" s="144" t="str">
        <f ca="1">VLOOKUP($L6,OFFSET([3]enemies!$A$1,0,0,COUNTA([3]enemies!$A:$A),MATCH(M$1,[3]enemies!$1:$1,0)-MATCH($L$1,[3]enemies!$1:$1,0)+1),MATCH(M$1,[3]enemies!$1:$1,0)-MATCH($L$1,[3]enemies!$1:$1,0)+1,FALSE)</f>
        <v>ヘル</v>
      </c>
      <c r="N6" s="144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44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44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44">
        <f ca="1">VLOOKUP($L6,OFFSET([3]enemies!$A$1,0,0,COUNTA([3]enemies!$A:$A),MATCH(Q$1,[3]enemies!$1:$1,0)-MATCH($L$1,[3]enemies!$1:$1,0)+1),MATCH(Q$1,[3]enemies!$1:$1,0)-MATCH($L$1,[3]enemies!$1:$1,0)+1,FALSE)</f>
        <v>60</v>
      </c>
      <c r="R6" s="145">
        <v>60</v>
      </c>
      <c r="S6" s="146">
        <v>4</v>
      </c>
      <c r="T6" s="147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393444</v>
      </c>
      <c r="U6" s="146">
        <v>0.6</v>
      </c>
      <c r="V6" s="147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5521.2</v>
      </c>
      <c r="W6" s="145">
        <v>0</v>
      </c>
      <c r="X6" s="141" t="str">
        <f ca="1">VLOOKUP($Y6,OFFSET(enemy_skill_sets!$B$1,0,0,COUNTA(enemy_skill_sets!$B:$B),MATCH(M$1,enemy_skill_sets!$1:$1,0)-MATCH($Y$1,enemy_skill_sets!$1:$1,0)+2),MATCH(M$1,enemy_skill_sets!$1:$1,0)-MATCH($Y$1,enemy_skill_sets!$1:$1,0)+2,FALSE)</f>
        <v>赤&amp;青&amp;緑パネルをダメージパネルに8個ずつ変換+_x000D_全てのプラス効果を解除+状態異常耐性</v>
      </c>
      <c r="Y6" s="138">
        <v>40042008</v>
      </c>
      <c r="Z6" s="148">
        <v>1</v>
      </c>
      <c r="AA6" s="148">
        <v>100</v>
      </c>
      <c r="AB6" s="148">
        <v>0</v>
      </c>
      <c r="AC6" s="149">
        <v>1</v>
      </c>
      <c r="AD6" s="150">
        <f t="shared" si="3"/>
        <v>1256</v>
      </c>
      <c r="AE6" s="141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ヘル</v>
      </c>
      <c r="AF6" s="141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141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138">
        <v>1</v>
      </c>
      <c r="AI6" s="150">
        <f t="shared" ca="1" si="4"/>
        <v>5</v>
      </c>
      <c r="AJ6" s="151">
        <v>15</v>
      </c>
      <c r="AK6" s="138">
        <v>0</v>
      </c>
      <c r="AL6" s="138">
        <v>0</v>
      </c>
      <c r="AM6" s="138">
        <v>0</v>
      </c>
      <c r="AN6" s="138">
        <v>0</v>
      </c>
      <c r="AO6" s="138">
        <v>1</v>
      </c>
      <c r="AP6" s="152">
        <v>1</v>
      </c>
    </row>
    <row r="7" spans="1:42" ht="21" customHeight="1" x14ac:dyDescent="0.15">
      <c r="A7" s="15" t="str">
        <f>B7&amp;"_"&amp;C7&amp;"-"&amp;G7&amp;"/"&amp;L7&amp;"&lt;lv"&amp;R7&amp;"&gt;s"&amp;AC7</f>
        <v>40042_2-1/583&lt;lv80&gt;s2</v>
      </c>
      <c r="B7" s="125">
        <v>40042</v>
      </c>
      <c r="C7" s="126">
        <v>2</v>
      </c>
      <c r="D7" s="127" t="str">
        <f>B7&amp;"_"&amp;C7</f>
        <v>40042_2</v>
      </c>
      <c r="E7" s="4" t="str">
        <f ca="1">VLOOKUP($B7,OFFSET([2]quests!$A$1,0,0,COUNTA([2]quests!$A:$A),MATCH(E$1,[2]quests!$1:$1,0)-MATCH($B$1,[2]quests!$1:$1,0)+1),MATCH(E$1,[2]quests!$1:$1,0)-MATCH($B$1,[2]quests!$1:$1,0)+1,FALSE)</f>
        <v>ヘル襲来！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【ウィザード級】ヘル襲来</v>
      </c>
      <c r="G7" s="126">
        <v>1</v>
      </c>
      <c r="H7" s="127" t="str">
        <f>B7&amp;"_"&amp;C7&amp;"-"&amp;G7</f>
        <v>40042_2-1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128">
        <v>1</v>
      </c>
      <c r="L7" s="129">
        <v>583</v>
      </c>
      <c r="M7" s="16" t="str">
        <f ca="1">VLOOKUP($L7,OFFSET([3]enemies!$A$1,0,0,COUNTA([3]enemies!$A:$A),MATCH(M$1,[3]enemies!$1:$1,0)-MATCH($L$1,[3]enemies!$1:$1,0)+1),MATCH(M$1,[3]enemies!$1:$1,0)-MATCH($L$1,[3]enemies!$1:$1,0)+1,FALSE)</f>
        <v>ミョルニル</v>
      </c>
      <c r="N7" s="16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6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6">
        <f ca="1">VLOOKUP($L7,OFFSET([3]enemies!$A$1,0,0,COUNTA([3]enemies!$A:$A),MATCH(Q$1,[3]enemies!$1:$1,0)-MATCH($L$1,[3]enemies!$1:$1,0)+1),MATCH(Q$1,[3]enemies!$1:$1,0)-MATCH($L$1,[3]enemies!$1:$1,0)+1,FALSE)</f>
        <v>30</v>
      </c>
      <c r="R7" s="130">
        <v>80</v>
      </c>
      <c r="S7" s="131">
        <v>1.5</v>
      </c>
      <c r="T7" s="13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155746.5</v>
      </c>
      <c r="U7" s="131">
        <v>0.5</v>
      </c>
      <c r="V7" s="13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5550.5</v>
      </c>
      <c r="W7" s="130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赤属性のユニットに大ダメージの全体攻撃</v>
      </c>
      <c r="Y7" s="125">
        <v>40042101</v>
      </c>
      <c r="Z7" s="133">
        <v>1</v>
      </c>
      <c r="AA7" s="133">
        <v>100</v>
      </c>
      <c r="AB7" s="133">
        <v>0</v>
      </c>
      <c r="AC7" s="120">
        <v>2</v>
      </c>
      <c r="AD7" s="134">
        <f>L7</f>
        <v>583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ミョルニル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125">
        <v>1</v>
      </c>
      <c r="AI7" s="134">
        <f ca="1">AF7</f>
        <v>4</v>
      </c>
      <c r="AJ7" s="135">
        <v>0</v>
      </c>
      <c r="AK7" s="125">
        <v>0</v>
      </c>
      <c r="AL7" s="125">
        <v>0</v>
      </c>
      <c r="AM7" s="125">
        <v>0</v>
      </c>
      <c r="AN7" s="125">
        <v>0</v>
      </c>
      <c r="AO7" s="125">
        <v>1</v>
      </c>
      <c r="AP7" s="136">
        <v>1</v>
      </c>
    </row>
    <row r="8" spans="1:42" ht="21" customHeight="1" x14ac:dyDescent="0.15">
      <c r="A8" s="15" t="str">
        <f>B8&amp;"_"&amp;C8&amp;"-"&amp;G8&amp;"/"&amp;L8&amp;"&lt;lv"&amp;R8&amp;"&gt;s"&amp;AC8</f>
        <v>40042_2-1/594&lt;lv80&gt;s2</v>
      </c>
      <c r="B8" s="7">
        <v>40042</v>
      </c>
      <c r="C8" s="20">
        <v>2</v>
      </c>
      <c r="D8" s="2" t="str">
        <f>B8&amp;"_"&amp;C8</f>
        <v>40042_2</v>
      </c>
      <c r="E8" s="4" t="str">
        <f ca="1">VLOOKUP($B8,OFFSET([2]quests!$A$1,0,0,COUNTA([2]quests!$A:$A),MATCH(E$1,[2]quests!$1:$1,0)-MATCH($B$1,[2]quests!$1:$1,0)+1),MATCH(E$1,[2]quests!$1:$1,0)-MATCH($B$1,[2]quests!$1:$1,0)+1,FALSE)</f>
        <v>ヘル襲来！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【ウィザード級】ヘル襲来</v>
      </c>
      <c r="G8" s="20">
        <v>1</v>
      </c>
      <c r="H8" s="14" t="str">
        <f>B8&amp;"_"&amp;C8&amp;"-"&amp;G8</f>
        <v>40042_2-1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6">
        <v>2</v>
      </c>
      <c r="L8" s="19">
        <v>594</v>
      </c>
      <c r="M8" s="16" t="str">
        <f ca="1">VLOOKUP($L8,OFFSET([3]enemies!$A$1,0,0,COUNTA([3]enemies!$A:$A),MATCH(M$1,[3]enemies!$1:$1,0)-MATCH($L$1,[3]enemies!$1:$1,0)+1),MATCH(M$1,[3]enemies!$1:$1,0)-MATCH($L$1,[3]enemies!$1:$1,0)+1,FALSE)</f>
        <v>アルフヘイム</v>
      </c>
      <c r="N8" s="16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PremiumSS</v>
      </c>
      <c r="P8" s="16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6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80</v>
      </c>
      <c r="S8" s="23">
        <v>1.3</v>
      </c>
      <c r="T8" s="95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155227.80000000002</v>
      </c>
      <c r="U8" s="23">
        <v>0.5</v>
      </c>
      <c r="V8" s="95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6105.5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ハートパネルを吸収して全体攻撃</v>
      </c>
      <c r="Y8" s="7">
        <v>40042103</v>
      </c>
      <c r="Z8" s="6">
        <v>1</v>
      </c>
      <c r="AA8" s="6">
        <v>100</v>
      </c>
      <c r="AB8" s="6">
        <v>0</v>
      </c>
      <c r="AC8" s="120">
        <v>2</v>
      </c>
      <c r="AD8" s="22">
        <f>L8</f>
        <v>594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アルフヘイム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8" s="7">
        <v>1</v>
      </c>
      <c r="AI8" s="22">
        <f ca="1">AF8</f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4">
        <v>1</v>
      </c>
    </row>
    <row r="9" spans="1:42" ht="21" customHeight="1" x14ac:dyDescent="0.15">
      <c r="A9" s="15" t="str">
        <f t="shared" ref="A9:A11" si="5">B9&amp;"_"&amp;C9&amp;"-"&amp;G9&amp;"/"&amp;L9&amp;"&lt;lv"&amp;R9&amp;"&gt;s"&amp;AC9</f>
        <v>40042_2-2/1264&lt;lv80&gt;s1</v>
      </c>
      <c r="B9" s="7">
        <v>40042</v>
      </c>
      <c r="C9" s="20">
        <v>2</v>
      </c>
      <c r="D9" s="2" t="str">
        <f t="shared" ref="D9:D11" si="6">B9&amp;"_"&amp;C9</f>
        <v>40042_2</v>
      </c>
      <c r="E9" s="4" t="str">
        <f ca="1">VLOOKUP($B9,OFFSET([2]quests!$A$1,0,0,COUNTA([2]quests!$A:$A),MATCH(E$1,[2]quests!$1:$1,0)-MATCH($B$1,[2]quests!$1:$1,0)+1),MATCH(E$1,[2]quests!$1:$1,0)-MATCH($B$1,[2]quests!$1:$1,0)+1,FALSE)</f>
        <v>ヘル襲来！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【ウィザード級】ヘル襲来</v>
      </c>
      <c r="G9" s="20">
        <v>2</v>
      </c>
      <c r="H9" s="14" t="str">
        <f t="shared" ref="H9:H11" si="7">B9&amp;"_"&amp;C9&amp;"-"&amp;G9</f>
        <v>40042_2-2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6" t="s">
        <v>88</v>
      </c>
      <c r="L9" s="19">
        <v>1264</v>
      </c>
      <c r="M9" s="16" t="str">
        <f ca="1">VLOOKUP($L9,OFFSET([3]enemies!$A$1,0,0,COUNTA([3]enemies!$A:$A),MATCH(M$1,[3]enemies!$1:$1,0)-MATCH($L$1,[3]enemies!$1:$1,0)+1),MATCH(M$1,[3]enemies!$1:$1,0)-MATCH($L$1,[3]enemies!$1:$1,0)+1,FALSE)</f>
        <v>ウルズ</v>
      </c>
      <c r="N9" s="16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PremiumSS</v>
      </c>
      <c r="P9" s="16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6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80</v>
      </c>
      <c r="S9" s="23">
        <v>1</v>
      </c>
      <c r="T9" s="95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133008</v>
      </c>
      <c r="U9" s="23">
        <v>1</v>
      </c>
      <c r="V9" s="95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11832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時限式ダメージパネルプロテクト</v>
      </c>
      <c r="Y9" s="7">
        <v>40042105</v>
      </c>
      <c r="Z9" s="6">
        <v>1</v>
      </c>
      <c r="AA9" s="6">
        <v>100</v>
      </c>
      <c r="AB9" s="6">
        <v>0</v>
      </c>
      <c r="AC9" s="120">
        <v>1</v>
      </c>
      <c r="AD9" s="22">
        <f t="shared" ref="AD9:AD11" si="8">L9</f>
        <v>1264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ウルズ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9" s="7">
        <v>1</v>
      </c>
      <c r="AI9" s="22">
        <f t="shared" ref="AI9:AI11" ca="1" si="9">AF9</f>
        <v>5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4">
        <v>1</v>
      </c>
    </row>
    <row r="10" spans="1:42" ht="21" customHeight="1" x14ac:dyDescent="0.15">
      <c r="A10" s="15" t="str">
        <f t="shared" si="5"/>
        <v>40042_2-3/1266&lt;lv80&gt;s2</v>
      </c>
      <c r="B10" s="7">
        <v>40042</v>
      </c>
      <c r="C10" s="20">
        <v>2</v>
      </c>
      <c r="D10" s="2" t="str">
        <f t="shared" si="6"/>
        <v>40042_2</v>
      </c>
      <c r="E10" s="4" t="str">
        <f ca="1">VLOOKUP($B10,OFFSET([2]quests!$A$1,0,0,COUNTA([2]quests!$A:$A),MATCH(E$1,[2]quests!$1:$1,0)-MATCH($B$1,[2]quests!$1:$1,0)+1),MATCH(E$1,[2]quests!$1:$1,0)-MATCH($B$1,[2]quests!$1:$1,0)+1,FALSE)</f>
        <v>ヘル襲来！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【ウィザード級】ヘル襲来</v>
      </c>
      <c r="G10" s="20">
        <v>3</v>
      </c>
      <c r="H10" s="14" t="str">
        <f t="shared" si="7"/>
        <v>40042_2-3</v>
      </c>
      <c r="I10" s="4">
        <f ca="1">VLOOKUP($H10,OFFSET(floors!$A$1,0,0,COUNTA(floors!$A:$A),MATCH(I$1,floors!$1:$1,0)-MATCH($H$1,floors!$1:$1,0)+1),MATCH(I$1,floors!$1:$1,0)-MATCH($H$1,floors!$1:$1,0)+1,FALSE)</f>
        <v>30</v>
      </c>
      <c r="J10" s="4">
        <f ca="1">VLOOKUP($H10,OFFSET(floors!$A$1,0,0,COUNTA(floors!$A:$A),MATCH(J$1,floors!$1:$1,0)-MATCH($H$1,floors!$1:$1,0)+1),MATCH(J$1,floors!$1:$1,0)-MATCH($H$1,floors!$1:$1,0)+1,FALSE)</f>
        <v>30</v>
      </c>
      <c r="K10" s="36">
        <v>3</v>
      </c>
      <c r="L10" s="19">
        <v>1266</v>
      </c>
      <c r="M10" s="16" t="str">
        <f ca="1">VLOOKUP($L10,OFFSET([3]enemies!$A$1,0,0,COUNTA([3]enemies!$A:$A),MATCH(M$1,[3]enemies!$1:$1,0)-MATCH($L$1,[3]enemies!$1:$1,0)+1),MATCH(M$1,[3]enemies!$1:$1,0)-MATCH($L$1,[3]enemies!$1:$1,0)+1,FALSE)</f>
        <v>ガルム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16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80</v>
      </c>
      <c r="S10" s="23">
        <v>3</v>
      </c>
      <c r="T10" s="95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299034</v>
      </c>
      <c r="U10" s="23">
        <v>0.7</v>
      </c>
      <c r="V10" s="95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7926.0999999999995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2ターン攻撃力UP</v>
      </c>
      <c r="Y10" s="7">
        <v>40042106</v>
      </c>
      <c r="Z10" s="6">
        <v>1</v>
      </c>
      <c r="AA10" s="6">
        <v>100</v>
      </c>
      <c r="AB10" s="6">
        <v>0</v>
      </c>
      <c r="AC10" s="120">
        <v>2</v>
      </c>
      <c r="AD10" s="22">
        <f t="shared" si="8"/>
        <v>1266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ガルム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0" s="7">
        <v>1</v>
      </c>
      <c r="AI10" s="22">
        <f t="shared" ca="1" si="9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4">
        <v>1</v>
      </c>
    </row>
    <row r="11" spans="1:42" ht="21" customHeight="1" x14ac:dyDescent="0.15">
      <c r="A11" s="15" t="str">
        <f t="shared" si="5"/>
        <v>40042_2-4/1256&lt;lv80&gt;s1</v>
      </c>
      <c r="B11" s="7">
        <v>40042</v>
      </c>
      <c r="C11" s="20">
        <v>2</v>
      </c>
      <c r="D11" s="2" t="str">
        <f t="shared" si="6"/>
        <v>40042_2</v>
      </c>
      <c r="E11" s="4" t="str">
        <f ca="1">VLOOKUP($B11,OFFSET([2]quests!$A$1,0,0,COUNTA([2]quests!$A:$A),MATCH(E$1,[2]quests!$1:$1,0)-MATCH($B$1,[2]quests!$1:$1,0)+1),MATCH(E$1,[2]quests!$1:$1,0)-MATCH($B$1,[2]quests!$1:$1,0)+1,FALSE)</f>
        <v>ヘル襲来！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【ウィザード級】ヘル襲来</v>
      </c>
      <c r="G11" s="20">
        <v>4</v>
      </c>
      <c r="H11" s="14" t="str">
        <f t="shared" si="7"/>
        <v>40042_2-4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6">
        <v>4</v>
      </c>
      <c r="L11" s="19">
        <v>1256</v>
      </c>
      <c r="M11" s="16" t="str">
        <f ca="1">VLOOKUP($L11,OFFSET([3]enemies!$A$1,0,0,COUNTA([3]enemies!$A:$A),MATCH(M$1,[3]enemies!$1:$1,0)-MATCH($L$1,[3]enemies!$1:$1,0)+1),MATCH(M$1,[3]enemies!$1:$1,0)-MATCH($L$1,[3]enemies!$1:$1,0)+1,FALSE)</f>
        <v>ヘル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16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80</v>
      </c>
      <c r="S11" s="23">
        <v>4</v>
      </c>
      <c r="T11" s="95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521392</v>
      </c>
      <c r="U11" s="23">
        <v>0.6</v>
      </c>
      <c r="V11" s="95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7316.4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赤&amp;青&amp;緑パネルをダメージパネルに8個ずつ変換+_x000D_全てのプラス効果を解除+状態異常耐性</v>
      </c>
      <c r="Y11" s="7">
        <v>40042108</v>
      </c>
      <c r="Z11" s="6">
        <v>1</v>
      </c>
      <c r="AA11" s="6">
        <v>100</v>
      </c>
      <c r="AB11" s="6">
        <v>0</v>
      </c>
      <c r="AC11" s="120">
        <v>1</v>
      </c>
      <c r="AD11" s="22">
        <f t="shared" si="8"/>
        <v>1256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ヘル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2">
        <f t="shared" ca="1" si="9"/>
        <v>5</v>
      </c>
      <c r="AJ11" s="8">
        <v>30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4">
        <v>1</v>
      </c>
    </row>
  </sheetData>
  <sheetProtection selectLockedCells="1" selectUnlockedCells="1"/>
  <autoFilter ref="B1:AJ7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1"/>
  <sheetViews>
    <sheetView showGridLines="0" workbookViewId="0">
      <pane xSplit="18" ySplit="1" topLeftCell="U2" activePane="bottomRight" state="frozen"/>
      <selection activeCell="E25" sqref="E25"/>
      <selection pane="topRight" activeCell="E25" sqref="E25"/>
      <selection pane="bottomLeft" activeCell="E25" sqref="E25"/>
      <selection pane="bottomRight" activeCell="Z10" sqref="Z10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6.16406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7.832031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4" t="s">
        <v>251</v>
      </c>
      <c r="V1" s="24" t="s">
        <v>50</v>
      </c>
      <c r="W1" s="94" t="s">
        <v>252</v>
      </c>
      <c r="X1" s="24" t="s">
        <v>52</v>
      </c>
      <c r="Y1" s="26" t="s">
        <v>129</v>
      </c>
      <c r="Z1" s="27" t="s">
        <v>128</v>
      </c>
      <c r="AA1" s="26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40042_1-1/583&lt;lv60&gt;sq1st2</v>
      </c>
      <c r="B2" s="7">
        <v>40042</v>
      </c>
      <c r="C2" s="20">
        <v>1</v>
      </c>
      <c r="D2" s="2" t="str">
        <f>B2&amp;"_"&amp;C2</f>
        <v>40042_1</v>
      </c>
      <c r="E2" s="4" t="str">
        <f ca="1">VLOOKUP($B2,OFFSET([2]quests!$A$1,0,0,COUNTA([2]quests!$A:$A),MATCH(E$1,[2]quests!$1:$1,0)-MATCH($B$1,[2]quests!$1:$1,0)+1),MATCH(E$1,[2]quests!$1:$1,0)-MATCH($B$1,[2]quests!$1:$1,0)+1,FALSE)</f>
        <v>ヘル襲来！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【超絶級】ヘル襲来</v>
      </c>
      <c r="G2" s="20">
        <v>1</v>
      </c>
      <c r="H2" s="14" t="str">
        <f>B2&amp;"_"&amp;C2&amp;"-"&amp;G2</f>
        <v>40042_1-1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>
        <v>1</v>
      </c>
      <c r="L2" s="36">
        <v>2</v>
      </c>
      <c r="M2" s="19">
        <v>583</v>
      </c>
      <c r="N2" s="16" t="str">
        <f ca="1">VLOOKUP($M2,OFFSET([3]enemies!$A$1,0,0,COUNTA([3]enemies!$A:$A),MATCH(N$1,[3]enemies!$1:$1,0)-MATCH($M$1,[3]enemies!$1:$1,0)+1),MATCH(N$1,[3]enemies!$1:$1,0)-MATCH($M$1,[3]enemies!$1:$1,0)+1,FALSE)</f>
        <v>ミョルニル</v>
      </c>
      <c r="O2" s="16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6" t="str">
        <f ca="1">VLOOKUP($M2,OFFSET([3]enemies!$A$1,0,0,COUNTA([3]enemies!$A:$A),MATCH(Q$1,[3]enemies!$1:$1,0)-MATCH($M$1,[3]enemies!$1:$1,0)+1),MATCH(Q$1,[3]enemies!$1:$1,0)-MATCH($M$1,[3]enemies!$1:$1,0)+1,FALSE)</f>
        <v>machine</v>
      </c>
      <c r="R2" s="16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60</v>
      </c>
      <c r="T2" s="131">
        <v>1.6</v>
      </c>
      <c r="U2" s="95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125361.60000000001</v>
      </c>
      <c r="V2" s="23">
        <v>0.7</v>
      </c>
      <c r="W2" s="95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5863.9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ハートパネルを黄の時限式ダメージパネルに変換</v>
      </c>
      <c r="Z2" s="7">
        <v>40042002</v>
      </c>
      <c r="AA2" s="119">
        <v>1</v>
      </c>
    </row>
    <row r="3" spans="1:27" ht="21" customHeight="1" x14ac:dyDescent="0.15">
      <c r="A3" s="15" t="str">
        <f t="shared" ref="A3:A6" si="0">B3&amp;"_"&amp;C3&amp;"-"&amp;G3&amp;"/"&amp;M3&amp;"&lt;lv"&amp;S3&amp;"&gt;sq"&amp;K3&amp;"st"&amp;L3</f>
        <v>40042_1-1/594&lt;lv60&gt;sq2st2</v>
      </c>
      <c r="B3" s="7">
        <v>40042</v>
      </c>
      <c r="C3" s="20">
        <v>1</v>
      </c>
      <c r="D3" s="2" t="str">
        <f t="shared" ref="D3:D6" si="1">B3&amp;"_"&amp;C3</f>
        <v>40042_1</v>
      </c>
      <c r="E3" s="4" t="str">
        <f ca="1">VLOOKUP($B3,OFFSET([2]quests!$A$1,0,0,COUNTA([2]quests!$A:$A),MATCH(E$1,[2]quests!$1:$1,0)-MATCH($B$1,[2]quests!$1:$1,0)+1),MATCH(E$1,[2]quests!$1:$1,0)-MATCH($B$1,[2]quests!$1:$1,0)+1,FALSE)</f>
        <v>ヘル襲来！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【超絶級】ヘル襲来</v>
      </c>
      <c r="G3" s="20">
        <v>1</v>
      </c>
      <c r="H3" s="14" t="str">
        <f t="shared" ref="H3:H6" si="2">B3&amp;"_"&amp;C3&amp;"-"&amp;G3</f>
        <v>40042_1-1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>
        <v>2</v>
      </c>
      <c r="L3" s="36">
        <v>2</v>
      </c>
      <c r="M3" s="19">
        <v>594</v>
      </c>
      <c r="N3" s="16" t="str">
        <f ca="1">VLOOKUP($M3,OFFSET([3]enemies!$A$1,0,0,COUNTA([3]enemies!$A:$A),MATCH(N$1,[3]enemies!$1:$1,0)-MATCH($M$1,[3]enemies!$1:$1,0)+1),MATCH(N$1,[3]enemies!$1:$1,0)-MATCH($M$1,[3]enemies!$1:$1,0)+1,FALSE)</f>
        <v>アルフヘイム</v>
      </c>
      <c r="O3" s="16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6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60</v>
      </c>
      <c r="T3" s="23">
        <v>1.4</v>
      </c>
      <c r="U3" s="95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126145.59999999999</v>
      </c>
      <c r="V3" s="23">
        <v>0.6</v>
      </c>
      <c r="W3" s="95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5529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青パネルを黄のダメージパネルに8個変換</v>
      </c>
      <c r="Z3" s="7">
        <v>40042004</v>
      </c>
      <c r="AA3" s="119">
        <v>1</v>
      </c>
    </row>
    <row r="4" spans="1:27" ht="21" customHeight="1" x14ac:dyDescent="0.15">
      <c r="A4" s="15" t="str">
        <f t="shared" si="0"/>
        <v>40042_1-3/1267&lt;lv60&gt;sq3st2</v>
      </c>
      <c r="B4" s="7">
        <v>40042</v>
      </c>
      <c r="C4" s="20">
        <v>1</v>
      </c>
      <c r="D4" s="2" t="str">
        <f t="shared" si="1"/>
        <v>40042_1</v>
      </c>
      <c r="E4" s="4" t="str">
        <f ca="1">VLOOKUP($B4,OFFSET([2]quests!$A$1,0,0,COUNTA([2]quests!$A:$A),MATCH(E$1,[2]quests!$1:$1,0)-MATCH($B$1,[2]quests!$1:$1,0)+1),MATCH(E$1,[2]quests!$1:$1,0)-MATCH($B$1,[2]quests!$1:$1,0)+1,FALSE)</f>
        <v>ヘル襲来！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【超絶級】ヘル襲来</v>
      </c>
      <c r="G4" s="20">
        <v>3</v>
      </c>
      <c r="H4" s="14" t="str">
        <f t="shared" si="2"/>
        <v>40042_1-3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6">
        <v>3</v>
      </c>
      <c r="L4" s="36">
        <v>2</v>
      </c>
      <c r="M4" s="19">
        <v>1267</v>
      </c>
      <c r="N4" s="16" t="str">
        <f ca="1">VLOOKUP($M4,OFFSET([3]enemies!$A$1,0,0,COUNTA([3]enemies!$A:$A),MATCH(N$1,[3]enemies!$1:$1,0)-MATCH($M$1,[3]enemies!$1:$1,0)+1),MATCH(N$1,[3]enemies!$1:$1,0)-MATCH($M$1,[3]enemies!$1:$1,0)+1,FALSE)</f>
        <v>不遜の冥番犬 ガルム</v>
      </c>
      <c r="O4" s="16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PremiumS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3">
        <v>2</v>
      </c>
      <c r="U4" s="95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196722</v>
      </c>
      <c r="V4" s="23">
        <v>0.7</v>
      </c>
      <c r="W4" s="95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6441.4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ダメージパネルを黄の時限式ダメージパネルに変換+_x000D_5ターン確率で時限式ダメージパネルをドロップ</v>
      </c>
      <c r="Z4" s="7">
        <v>40042007</v>
      </c>
      <c r="AA4" s="119">
        <v>2</v>
      </c>
    </row>
    <row r="5" spans="1:27" ht="21" customHeight="1" x14ac:dyDescent="0.15">
      <c r="A5" s="15" t="str">
        <f t="shared" si="0"/>
        <v>40042_1-4/1256&lt;lv60&gt;sq4st2</v>
      </c>
      <c r="B5" s="7">
        <v>40042</v>
      </c>
      <c r="C5" s="20">
        <v>1</v>
      </c>
      <c r="D5" s="2" t="str">
        <f t="shared" si="1"/>
        <v>40042_1</v>
      </c>
      <c r="E5" s="4" t="str">
        <f ca="1">VLOOKUP($B5,OFFSET([2]quests!$A$1,0,0,COUNTA([2]quests!$A:$A),MATCH(E$1,[2]quests!$1:$1,0)-MATCH($B$1,[2]quests!$1:$1,0)+1),MATCH(E$1,[2]quests!$1:$1,0)-MATCH($B$1,[2]quests!$1:$1,0)+1,FALSE)</f>
        <v>ヘル襲来！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【超絶級】ヘル襲来</v>
      </c>
      <c r="G5" s="20">
        <v>4</v>
      </c>
      <c r="H5" s="14" t="str">
        <f t="shared" si="2"/>
        <v>40042_1-4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>
        <v>4</v>
      </c>
      <c r="L5" s="36">
        <v>2</v>
      </c>
      <c r="M5" s="19">
        <v>1256</v>
      </c>
      <c r="N5" s="16" t="str">
        <f ca="1">VLOOKUP($M5,OFFSET([3]enemies!$A$1,0,0,COUNTA([3]enemies!$A:$A),MATCH(N$1,[3]enemies!$1:$1,0)-MATCH($M$1,[3]enemies!$1:$1,0)+1),MATCH(N$1,[3]enemies!$1:$1,0)-MATCH($M$1,[3]enemies!$1:$1,0)+1,FALSE)</f>
        <v>ヘル</v>
      </c>
      <c r="O5" s="16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6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6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6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3">
        <v>4.5999999999999996</v>
      </c>
      <c r="U5" s="95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452460.6</v>
      </c>
      <c r="V5" s="23">
        <v>1.3</v>
      </c>
      <c r="W5" s="95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11962.6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状態異常耐性+ランダムでハート&amp;黄&amp;青の_x000D_時限式ダメージパネルに5個ずつ変換</v>
      </c>
      <c r="Z5" s="7">
        <v>40042009</v>
      </c>
      <c r="AA5" s="119">
        <v>2</v>
      </c>
    </row>
    <row r="6" spans="1:27" ht="21" customHeight="1" thickBot="1" x14ac:dyDescent="0.2">
      <c r="A6" s="137" t="str">
        <f t="shared" si="0"/>
        <v>40042_1-4/1257&lt;lv60&gt;sq4st3</v>
      </c>
      <c r="B6" s="138">
        <v>40042</v>
      </c>
      <c r="C6" s="139">
        <v>1</v>
      </c>
      <c r="D6" s="140" t="str">
        <f t="shared" si="1"/>
        <v>40042_1</v>
      </c>
      <c r="E6" s="141" t="str">
        <f ca="1">VLOOKUP($B6,OFFSET([2]quests!$A$1,0,0,COUNTA([2]quests!$A:$A),MATCH(E$1,[2]quests!$1:$1,0)-MATCH($B$1,[2]quests!$1:$1,0)+1),MATCH(E$1,[2]quests!$1:$1,0)-MATCH($B$1,[2]quests!$1:$1,0)+1,FALSE)</f>
        <v>ヘル襲来！</v>
      </c>
      <c r="F6" s="141" t="str">
        <f ca="1">VLOOKUP($D6,OFFSET([2]stages!$A$1,0,0,COUNTA([2]stages!$A:$A),MATCH(F$1,[2]stages!$2:$2,0)-MATCH($D$1,[2]stages!$2:$2,0)+1),MATCH(F$1,[2]stages!$2:$2,0)-MATCH($D$1,[2]stages!$2:$2,0)+1,FALSE)</f>
        <v>【超絶級】ヘル襲来</v>
      </c>
      <c r="G6" s="139">
        <v>4</v>
      </c>
      <c r="H6" s="140" t="str">
        <f t="shared" si="2"/>
        <v>40042_1-4</v>
      </c>
      <c r="I6" s="141">
        <f ca="1">VLOOKUP($H6,OFFSET(floors!$A$1,0,0,COUNTA(floors!$A:$A),MATCH(I$1,floors!$1:$1,0)-MATCH($H$1,floors!$1:$1,0)+1),MATCH(I$1,floors!$1:$1,0)-MATCH($H$1,floors!$1:$1,0)+1,FALSE)</f>
        <v>60</v>
      </c>
      <c r="J6" s="141">
        <f ca="1">VLOOKUP($H6,OFFSET(floors!$A$1,0,0,COUNTA(floors!$A:$A),MATCH(J$1,floors!$1:$1,0)-MATCH($H$1,floors!$1:$1,0)+1),MATCH(J$1,floors!$1:$1,0)-MATCH($H$1,floors!$1:$1,0)+1,FALSE)</f>
        <v>60</v>
      </c>
      <c r="K6" s="142">
        <v>4</v>
      </c>
      <c r="L6" s="142">
        <v>3</v>
      </c>
      <c r="M6" s="143">
        <v>1257</v>
      </c>
      <c r="N6" s="144" t="str">
        <f ca="1">VLOOKUP($M6,OFFSET([3]enemies!$A$1,0,0,COUNTA([3]enemies!$A:$A),MATCH(N$1,[3]enemies!$1:$1,0)-MATCH($M$1,[3]enemies!$1:$1,0)+1),MATCH(N$1,[3]enemies!$1:$1,0)-MATCH($M$1,[3]enemies!$1:$1,0)+1,FALSE)</f>
        <v>危能の幼魔神 ヘル</v>
      </c>
      <c r="O6" s="144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44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44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44">
        <f ca="1">VLOOKUP($M6,OFFSET([3]enemies!$A$1,0,0,COUNTA([3]enemies!$A:$A),MATCH(R$1,[3]enemies!$1:$1,0)-MATCH($M$1,[3]enemies!$1:$1,0)+1),MATCH(R$1,[3]enemies!$1:$1,0)-MATCH($M$1,[3]enemies!$1:$1,0)+1,FALSE)</f>
        <v>60</v>
      </c>
      <c r="S6" s="145">
        <v>60</v>
      </c>
      <c r="T6" s="146">
        <v>5.5</v>
      </c>
      <c r="U6" s="147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540985.5</v>
      </c>
      <c r="V6" s="146">
        <v>0.8</v>
      </c>
      <c r="W6" s="147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7361.6</v>
      </c>
      <c r="X6" s="145">
        <v>0</v>
      </c>
      <c r="Y6" s="141" t="str">
        <f ca="1">VLOOKUP($Z6,OFFSET(enemy_skill_sets!$B$1,0,0,COUNTA(enemy_skill_sets!$B:$B),MATCH(N$1,enemy_skill_sets!$1:$1,0)-MATCH($Z$1,enemy_skill_sets!$1:$1,0)+2),MATCH(N$1,enemy_skill_sets!$1:$1,0)-MATCH($Z$1,enemy_skill_sets!$1:$1,0)+2,FALSE)</f>
        <v>状態異常耐性+5ターンボムの爆風を50%DOWN</v>
      </c>
      <c r="Z6" s="138">
        <v>40042010</v>
      </c>
      <c r="AA6" s="160">
        <v>1</v>
      </c>
    </row>
    <row r="7" spans="1:27" ht="21" customHeight="1" x14ac:dyDescent="0.15">
      <c r="A7" s="15" t="str">
        <f>B7&amp;"_"&amp;C7&amp;"-"&amp;G7&amp;"/"&amp;M7&amp;"&lt;lv"&amp;S7&amp;"&gt;sq"&amp;K7&amp;"st"&amp;L7</f>
        <v>40042_2-1/583&lt;lv80&gt;sq1st2</v>
      </c>
      <c r="B7" s="125">
        <v>40042</v>
      </c>
      <c r="C7" s="126">
        <v>2</v>
      </c>
      <c r="D7" s="127" t="str">
        <f>B7&amp;"_"&amp;C7</f>
        <v>40042_2</v>
      </c>
      <c r="E7" s="4" t="str">
        <f ca="1">VLOOKUP($B7,OFFSET([2]quests!$A$1,0,0,COUNTA([2]quests!$A:$A),MATCH(E$1,[2]quests!$1:$1,0)-MATCH($B$1,[2]quests!$1:$1,0)+1),MATCH(E$1,[2]quests!$1:$1,0)-MATCH($B$1,[2]quests!$1:$1,0)+1,FALSE)</f>
        <v>ヘル襲来！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【ウィザード級】ヘル襲来</v>
      </c>
      <c r="G7" s="126">
        <v>1</v>
      </c>
      <c r="H7" s="127" t="str">
        <f>B7&amp;"_"&amp;C7&amp;"-"&amp;G7</f>
        <v>40042_2-1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128">
        <v>1</v>
      </c>
      <c r="L7" s="128">
        <v>2</v>
      </c>
      <c r="M7" s="129">
        <v>583</v>
      </c>
      <c r="N7" s="16" t="str">
        <f ca="1">VLOOKUP($M7,OFFSET([3]enemies!$A$1,0,0,COUNTA([3]enemies!$A:$A),MATCH(N$1,[3]enemies!$1:$1,0)-MATCH($M$1,[3]enemies!$1:$1,0)+1),MATCH(N$1,[3]enemies!$1:$1,0)-MATCH($M$1,[3]enemies!$1:$1,0)+1,FALSE)</f>
        <v>ミョルニル</v>
      </c>
      <c r="O7" s="16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6" t="str">
        <f ca="1">VLOOKUP($M7,OFFSET([4]characters!$A$1,0,0,COUNTA([4]characters!$A:$A),MATCH(P$1,[4]characters!$1:$1,0)-MATCH($M$1,[4]characters!$1:$1,0)+1),MATCH(P$1,[4]characters!$1:$1,0)-MATCH($M$1,[4]characters!$1:$1,0)+1,FALSE)</f>
        <v>Drop2N</v>
      </c>
      <c r="Q7" s="16" t="str">
        <f ca="1">VLOOKUP($M7,OFFSET([3]enemies!$A$1,0,0,COUNTA([3]enemies!$A:$A),MATCH(Q$1,[3]enemies!$1:$1,0)-MATCH($M$1,[3]enemies!$1:$1,0)+1),MATCH(Q$1,[3]enemies!$1:$1,0)-MATCH($M$1,[3]enemies!$1:$1,0)+1,FALSE)</f>
        <v>machine</v>
      </c>
      <c r="R7" s="16">
        <f ca="1">VLOOKUP($M7,OFFSET([3]enemies!$A$1,0,0,COUNTA([3]enemies!$A:$A),MATCH(R$1,[3]enemies!$1:$1,0)-MATCH($M$1,[3]enemies!$1:$1,0)+1),MATCH(R$1,[3]enemies!$1:$1,0)-MATCH($M$1,[3]enemies!$1:$1,0)+1,FALSE)</f>
        <v>30</v>
      </c>
      <c r="S7" s="130">
        <v>80</v>
      </c>
      <c r="T7" s="131">
        <v>1.6</v>
      </c>
      <c r="U7" s="132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166129.60000000001</v>
      </c>
      <c r="V7" s="131">
        <v>0.7</v>
      </c>
      <c r="W7" s="132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7770.7</v>
      </c>
      <c r="X7" s="130">
        <v>0</v>
      </c>
      <c r="Y7" s="4" t="str">
        <f ca="1">VLOOKUP($Z7,OFFSET(enemy_skill_sets!$B$1,0,0,COUNTA(enemy_skill_sets!$B:$B),MATCH(N$1,enemy_skill_sets!$1:$1,0)-MATCH($Z$1,enemy_skill_sets!$1:$1,0)+2),MATCH(N$1,enemy_skill_sets!$1:$1,0)-MATCH($Z$1,enemy_skill_sets!$1:$1,0)+2,FALSE)</f>
        <v>ハートパネルを黄の時限式ダメージパネルに変換</v>
      </c>
      <c r="Z7" s="125">
        <v>40042102</v>
      </c>
      <c r="AA7" s="159">
        <v>1</v>
      </c>
    </row>
    <row r="8" spans="1:27" ht="21" customHeight="1" x14ac:dyDescent="0.15">
      <c r="A8" s="15" t="str">
        <f t="shared" ref="A8:A11" si="3">B8&amp;"_"&amp;C8&amp;"-"&amp;G8&amp;"/"&amp;M8&amp;"&lt;lv"&amp;S8&amp;"&gt;sq"&amp;K8&amp;"st"&amp;L8</f>
        <v>40042_2-1/594&lt;lv80&gt;sq2st2</v>
      </c>
      <c r="B8" s="7">
        <v>40042</v>
      </c>
      <c r="C8" s="20">
        <v>2</v>
      </c>
      <c r="D8" s="2" t="str">
        <f t="shared" ref="D8:D11" si="4">B8&amp;"_"&amp;C8</f>
        <v>40042_2</v>
      </c>
      <c r="E8" s="4" t="str">
        <f ca="1">VLOOKUP($B8,OFFSET([2]quests!$A$1,0,0,COUNTA([2]quests!$A:$A),MATCH(E$1,[2]quests!$1:$1,0)-MATCH($B$1,[2]quests!$1:$1,0)+1),MATCH(E$1,[2]quests!$1:$1,0)-MATCH($B$1,[2]quests!$1:$1,0)+1,FALSE)</f>
        <v>ヘル襲来！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【ウィザード級】ヘル襲来</v>
      </c>
      <c r="G8" s="20">
        <v>1</v>
      </c>
      <c r="H8" s="14" t="str">
        <f t="shared" ref="H8:H11" si="5">B8&amp;"_"&amp;C8&amp;"-"&amp;G8</f>
        <v>40042_2-1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6">
        <v>2</v>
      </c>
      <c r="L8" s="36">
        <v>2</v>
      </c>
      <c r="M8" s="19">
        <v>594</v>
      </c>
      <c r="N8" s="16" t="str">
        <f ca="1">VLOOKUP($M8,OFFSET([3]enemies!$A$1,0,0,COUNTA([3]enemies!$A:$A),MATCH(N$1,[3]enemies!$1:$1,0)-MATCH($M$1,[3]enemies!$1:$1,0)+1),MATCH(N$1,[3]enemies!$1:$1,0)-MATCH($M$1,[3]enemies!$1:$1,0)+1,FALSE)</f>
        <v>アルフヘイム</v>
      </c>
      <c r="O8" s="16" t="str">
        <f ca="1">VLOOKUP($M8,OFFSET([3]enemies!$A$1,0,0,COUNTA([3]enemies!$A:$A),MATCH(O$1,[3]enemies!$1:$1,0)-MATCH($M$1,[3]enemies!$1:$1,0)+1),MATCH(O$1,[3]enemies!$1:$1,0)-MATCH($M$1,[3]enemies!$1:$1,0)+1,FALSE)</f>
        <v>yellow</v>
      </c>
      <c r="P8" s="16" t="str">
        <f ca="1">VLOOKUP($M8,OFFSET([4]characters!$A$1,0,0,COUNTA([4]characters!$A:$A),MATCH(P$1,[4]characters!$1:$1,0)-MATCH($M$1,[4]characters!$1:$1,0)+1),MATCH(P$1,[4]characters!$1:$1,0)-MATCH($M$1,[4]characters!$1:$1,0)+1,FALSE)</f>
        <v>PremiumSS</v>
      </c>
      <c r="Q8" s="16" t="str">
        <f ca="1">VLOOKUP($M8,OFFSET([3]enemies!$A$1,0,0,COUNTA([3]enemies!$A:$A),MATCH(Q$1,[3]enemies!$1:$1,0)-MATCH($M$1,[3]enemies!$1:$1,0)+1),MATCH(Q$1,[3]enemies!$1:$1,0)-MATCH($M$1,[3]enemies!$1:$1,0)+1,FALSE)</f>
        <v>dragon</v>
      </c>
      <c r="R8" s="16">
        <f ca="1">VLOOKUP($M8,OFFSET([3]enemies!$A$1,0,0,COUNTA([3]enemies!$A:$A),MATCH(R$1,[3]enemies!$1:$1,0)-MATCH($M$1,[3]enemies!$1:$1,0)+1),MATCH(R$1,[3]enemies!$1:$1,0)-MATCH($M$1,[3]enemies!$1:$1,0)+1,FALSE)</f>
        <v>30</v>
      </c>
      <c r="S8" s="5">
        <v>80</v>
      </c>
      <c r="T8" s="23">
        <v>1.4</v>
      </c>
      <c r="U8" s="95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167168.4</v>
      </c>
      <c r="V8" s="23">
        <v>0.6</v>
      </c>
      <c r="W8" s="95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7326.5999999999995</v>
      </c>
      <c r="X8" s="5">
        <v>0</v>
      </c>
      <c r="Y8" s="4" t="str">
        <f ca="1">VLOOKUP($Z8,OFFSET(enemy_skill_sets!$B$1,0,0,COUNTA(enemy_skill_sets!$B:$B),MATCH(N$1,enemy_skill_sets!$1:$1,0)-MATCH($Z$1,enemy_skill_sets!$1:$1,0)+2),MATCH(N$1,enemy_skill_sets!$1:$1,0)-MATCH($Z$1,enemy_skill_sets!$1:$1,0)+2,FALSE)</f>
        <v>青パネルを黄のダメージパネルに8個変換</v>
      </c>
      <c r="Z8" s="7">
        <v>40042104</v>
      </c>
      <c r="AA8" s="119">
        <v>1</v>
      </c>
    </row>
    <row r="9" spans="1:27" ht="21" customHeight="1" x14ac:dyDescent="0.15">
      <c r="A9" s="15" t="str">
        <f t="shared" si="3"/>
        <v>40042_2-3/1267&lt;lv80&gt;sq3st2</v>
      </c>
      <c r="B9" s="7">
        <v>40042</v>
      </c>
      <c r="C9" s="20">
        <v>2</v>
      </c>
      <c r="D9" s="2" t="str">
        <f t="shared" si="4"/>
        <v>40042_2</v>
      </c>
      <c r="E9" s="4" t="str">
        <f ca="1">VLOOKUP($B9,OFFSET([2]quests!$A$1,0,0,COUNTA([2]quests!$A:$A),MATCH(E$1,[2]quests!$1:$1,0)-MATCH($B$1,[2]quests!$1:$1,0)+1),MATCH(E$1,[2]quests!$1:$1,0)-MATCH($B$1,[2]quests!$1:$1,0)+1,FALSE)</f>
        <v>ヘル襲来！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【ウィザード級】ヘル襲来</v>
      </c>
      <c r="G9" s="20">
        <v>3</v>
      </c>
      <c r="H9" s="14" t="str">
        <f t="shared" si="5"/>
        <v>40042_2-3</v>
      </c>
      <c r="I9" s="4">
        <f ca="1">VLOOKUP($H9,OFFSET(floors!$A$1,0,0,COUNTA(floors!$A:$A),MATCH(I$1,floors!$1:$1,0)-MATCH($H$1,floors!$1:$1,0)+1),MATCH(I$1,floors!$1:$1,0)-MATCH($H$1,floors!$1:$1,0)+1,FALSE)</f>
        <v>30</v>
      </c>
      <c r="J9" s="4">
        <f ca="1">VLOOKUP($H9,OFFSET(floors!$A$1,0,0,COUNTA(floors!$A:$A),MATCH(J$1,floors!$1:$1,0)-MATCH($H$1,floors!$1:$1,0)+1),MATCH(J$1,floors!$1:$1,0)-MATCH($H$1,floors!$1:$1,0)+1,FALSE)</f>
        <v>30</v>
      </c>
      <c r="K9" s="36">
        <v>3</v>
      </c>
      <c r="L9" s="36">
        <v>2</v>
      </c>
      <c r="M9" s="19">
        <v>1267</v>
      </c>
      <c r="N9" s="16" t="str">
        <f ca="1">VLOOKUP($M9,OFFSET([3]enemies!$A$1,0,0,COUNTA([3]enemies!$A:$A),MATCH(N$1,[3]enemies!$1:$1,0)-MATCH($M$1,[3]enemies!$1:$1,0)+1),MATCH(N$1,[3]enemies!$1:$1,0)-MATCH($M$1,[3]enemies!$1:$1,0)+1,FALSE)</f>
        <v>不遜の冥番犬 ガルム</v>
      </c>
      <c r="O9" s="16" t="str">
        <f ca="1">VLOOKUP($M9,OFFSET([3]enemies!$A$1,0,0,COUNTA([3]enemies!$A:$A),MATCH(O$1,[3]enemies!$1:$1,0)-MATCH($M$1,[3]enemies!$1:$1,0)+1),MATCH(O$1,[3]enemies!$1:$1,0)-MATCH($M$1,[3]enemies!$1:$1,0)+1,FALSE)</f>
        <v>yellow</v>
      </c>
      <c r="P9" s="16" t="str">
        <f ca="1">VLOOKUP($M9,OFFSET([4]characters!$A$1,0,0,COUNTA([4]characters!$A:$A),MATCH(P$1,[4]characters!$1:$1,0)-MATCH($M$1,[4]characters!$1:$1,0)+1),MATCH(P$1,[4]characters!$1:$1,0)-MATCH($M$1,[4]characters!$1:$1,0)+1,FALSE)</f>
        <v>PremiumS</v>
      </c>
      <c r="Q9" s="16" t="str">
        <f ca="1">VLOOKUP($M9,OFFSET([3]enemies!$A$1,0,0,COUNTA([3]enemies!$A:$A),MATCH(Q$1,[3]enemies!$1:$1,0)-MATCH($M$1,[3]enemies!$1:$1,0)+1),MATCH(Q$1,[3]enemies!$1:$1,0)-MATCH($M$1,[3]enemies!$1:$1,0)+1,FALSE)</f>
        <v>god</v>
      </c>
      <c r="R9" s="16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80</v>
      </c>
      <c r="T9" s="23">
        <v>2</v>
      </c>
      <c r="U9" s="95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260696</v>
      </c>
      <c r="V9" s="23">
        <v>0.7</v>
      </c>
      <c r="W9" s="95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8535.7999999999993</v>
      </c>
      <c r="X9" s="5">
        <v>0</v>
      </c>
      <c r="Y9" s="4" t="str">
        <f ca="1">VLOOKUP($Z9,OFFSET(enemy_skill_sets!$B$1,0,0,COUNTA(enemy_skill_sets!$B:$B),MATCH(N$1,enemy_skill_sets!$1:$1,0)-MATCH($Z$1,enemy_skill_sets!$1:$1,0)+2),MATCH(N$1,enemy_skill_sets!$1:$1,0)-MATCH($Z$1,enemy_skill_sets!$1:$1,0)+2,FALSE)</f>
        <v>ダメージパネルを黄の時限式ダメージパネルに変換+_x000D_5ターン確率で時限式ダメージパネルをドロップ</v>
      </c>
      <c r="Z9" s="7">
        <v>40042107</v>
      </c>
      <c r="AA9" s="119">
        <v>2</v>
      </c>
    </row>
    <row r="10" spans="1:27" ht="21" customHeight="1" x14ac:dyDescent="0.15">
      <c r="A10" s="15" t="str">
        <f t="shared" si="3"/>
        <v>40042_2-4/1256&lt;lv80&gt;sq4st2</v>
      </c>
      <c r="B10" s="7">
        <v>40042</v>
      </c>
      <c r="C10" s="20">
        <v>2</v>
      </c>
      <c r="D10" s="2" t="str">
        <f t="shared" si="4"/>
        <v>40042_2</v>
      </c>
      <c r="E10" s="4" t="str">
        <f ca="1">VLOOKUP($B10,OFFSET([2]quests!$A$1,0,0,COUNTA([2]quests!$A:$A),MATCH(E$1,[2]quests!$1:$1,0)-MATCH($B$1,[2]quests!$1:$1,0)+1),MATCH(E$1,[2]quests!$1:$1,0)-MATCH($B$1,[2]quests!$1:$1,0)+1,FALSE)</f>
        <v>ヘル襲来！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【ウィザード級】ヘル襲来</v>
      </c>
      <c r="G10" s="20">
        <v>4</v>
      </c>
      <c r="H10" s="14" t="str">
        <f t="shared" si="5"/>
        <v>40042_2-4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6">
        <v>4</v>
      </c>
      <c r="L10" s="36">
        <v>2</v>
      </c>
      <c r="M10" s="19">
        <v>1256</v>
      </c>
      <c r="N10" s="16" t="str">
        <f ca="1">VLOOKUP($M10,OFFSET([3]enemies!$A$1,0,0,COUNTA([3]enemies!$A:$A),MATCH(N$1,[3]enemies!$1:$1,0)-MATCH($M$1,[3]enemies!$1:$1,0)+1),MATCH(N$1,[3]enemies!$1:$1,0)-MATCH($M$1,[3]enemies!$1:$1,0)+1,FALSE)</f>
        <v>ヘル</v>
      </c>
      <c r="O10" s="16" t="str">
        <f ca="1">VLOOKUP($M10,OFFSET([3]enemies!$A$1,0,0,COUNTA([3]enemies!$A:$A),MATCH(O$1,[3]enemies!$1:$1,0)-MATCH($M$1,[3]enemies!$1:$1,0)+1),MATCH(O$1,[3]enemies!$1:$1,0)-MATCH($M$1,[3]enemies!$1:$1,0)+1,FALSE)</f>
        <v>yellow</v>
      </c>
      <c r="P10" s="16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6" t="str">
        <f ca="1">VLOOKUP($M10,OFFSET([3]enemies!$A$1,0,0,COUNTA([3]enemies!$A:$A),MATCH(Q$1,[3]enemies!$1:$1,0)-MATCH($M$1,[3]enemies!$1:$1,0)+1),MATCH(Q$1,[3]enemies!$1:$1,0)-MATCH($M$1,[3]enemies!$1:$1,0)+1,FALSE)</f>
        <v>god</v>
      </c>
      <c r="R10" s="16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80</v>
      </c>
      <c r="T10" s="23">
        <v>4.5999999999999996</v>
      </c>
      <c r="U10" s="95">
        <f ca="1">ROUND(VLOOKUP(S10,[3]enemy_base_stats!$A:$F,2,FALSE) *INDIRECT("[EnemyMasterData.xlsm]enemies!Y"&amp;(M10+1))*  INDIRECT("[EnemyMasterData.xlsm]enemies!J"&amp;(M10+1))* INDIRECT("[EnemyMasterData.xlsm]enemies!O"&amp;(M10+1))* INDIRECT("[EnemyMasterData.xlsm]enemies!E"&amp;(M10+1))* INDIRECT("[EnemyMasterData.xlsm]enemies!S"&amp;(M10+1))* INDIRECT("[EnemyMasterData.xlsm]enemies!AD"&amp;(M10+1))*[4]ステータス!$B$2,0)*T10</f>
        <v>599600.79999999993</v>
      </c>
      <c r="V10" s="23">
        <v>1.4</v>
      </c>
      <c r="W10" s="95">
        <f ca="1">ROUND(VLOOKUP(S10,[3]enemy_base_stats!$A:$F,3,FALSE) *INDIRECT("[EnemyMasterData.xlsm]enemies!Z"&amp;(M10+1))*  INDIRECT("[EnemyMasterData.xlsm]enemies!K"&amp;(M10+1))* INDIRECT("[EnemyMasterData.xlsm]enemies!P"&amp;(M10+1))* INDIRECT("[EnemyMasterData.xlsm]enemies!F"&amp;(M10+1))* INDIRECT("[EnemyMasterData.xlsm]enemies!T"&amp;(M10+1))* INDIRECT("[EnemyMasterData.xlsm]enemies!AE"&amp;(M10+1))*[4]ステータス!$C$2,0)*V10</f>
        <v>17071.599999999999</v>
      </c>
      <c r="X10" s="5">
        <v>0</v>
      </c>
      <c r="Y10" s="4" t="str">
        <f ca="1">VLOOKUP($Z10,OFFSET(enemy_skill_sets!$B$1,0,0,COUNTA(enemy_skill_sets!$B:$B),MATCH(N$1,enemy_skill_sets!$1:$1,0)-MATCH($Z$1,enemy_skill_sets!$1:$1,0)+2),MATCH(N$1,enemy_skill_sets!$1:$1,0)-MATCH($Z$1,enemy_skill_sets!$1:$1,0)+2,FALSE)</f>
        <v>状態異常耐性+ランダムでハート&amp;黄&amp;青の_x000D_時限式ダメージパネルに5個ずつ変換</v>
      </c>
      <c r="Z10" s="7">
        <v>40042109</v>
      </c>
      <c r="AA10" s="119">
        <v>2</v>
      </c>
    </row>
    <row r="11" spans="1:27" ht="21" customHeight="1" x14ac:dyDescent="0.15">
      <c r="A11" s="15" t="str">
        <f t="shared" si="3"/>
        <v>40042_2-4/1257&lt;lv80&gt;sq4st3</v>
      </c>
      <c r="B11" s="7">
        <v>40042</v>
      </c>
      <c r="C11" s="20">
        <v>2</v>
      </c>
      <c r="D11" s="2" t="str">
        <f t="shared" si="4"/>
        <v>40042_2</v>
      </c>
      <c r="E11" s="4" t="str">
        <f ca="1">VLOOKUP($B11,OFFSET([2]quests!$A$1,0,0,COUNTA([2]quests!$A:$A),MATCH(E$1,[2]quests!$1:$1,0)-MATCH($B$1,[2]quests!$1:$1,0)+1),MATCH(E$1,[2]quests!$1:$1,0)-MATCH($B$1,[2]quests!$1:$1,0)+1,FALSE)</f>
        <v>ヘル襲来！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【ウィザード級】ヘル襲来</v>
      </c>
      <c r="G11" s="20">
        <v>4</v>
      </c>
      <c r="H11" s="14" t="str">
        <f t="shared" si="5"/>
        <v>40042_2-4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6">
        <v>4</v>
      </c>
      <c r="L11" s="36">
        <v>3</v>
      </c>
      <c r="M11" s="19">
        <v>1257</v>
      </c>
      <c r="N11" s="16" t="str">
        <f ca="1">VLOOKUP($M11,OFFSET([3]enemies!$A$1,0,0,COUNTA([3]enemies!$A:$A),MATCH(N$1,[3]enemies!$1:$1,0)-MATCH($M$1,[3]enemies!$1:$1,0)+1),MATCH(N$1,[3]enemies!$1:$1,0)-MATCH($M$1,[3]enemies!$1:$1,0)+1,FALSE)</f>
        <v>危能の幼魔神 ヘル</v>
      </c>
      <c r="O11" s="16" t="str">
        <f ca="1">VLOOKUP($M11,OFFSET([3]enemies!$A$1,0,0,COUNTA([3]enemies!$A:$A),MATCH(O$1,[3]enemies!$1:$1,0)-MATCH($M$1,[3]enemies!$1:$1,0)+1),MATCH(O$1,[3]enemies!$1:$1,0)-MATCH($M$1,[3]enemies!$1:$1,0)+1,FALSE)</f>
        <v>yellow</v>
      </c>
      <c r="P11" s="16" t="str">
        <f ca="1">VLOOKUP($M11,OFFSET([4]characters!$A$1,0,0,COUNTA([4]characters!$A:$A),MATCH(P$1,[4]characters!$1:$1,0)-MATCH($M$1,[4]characters!$1:$1,0)+1),MATCH(P$1,[4]characters!$1:$1,0)-MATCH($M$1,[4]characters!$1:$1,0)+1,FALSE)</f>
        <v>DropWizS</v>
      </c>
      <c r="Q11" s="16" t="str">
        <f ca="1">VLOOKUP($M11,OFFSET([3]enemies!$A$1,0,0,COUNTA([3]enemies!$A:$A),MATCH(Q$1,[3]enemies!$1:$1,0)-MATCH($M$1,[3]enemies!$1:$1,0)+1),MATCH(Q$1,[3]enemies!$1:$1,0)-MATCH($M$1,[3]enemies!$1:$1,0)+1,FALSE)</f>
        <v>god</v>
      </c>
      <c r="R11" s="16">
        <f ca="1">VLOOKUP($M11,OFFSET([3]enemies!$A$1,0,0,COUNTA([3]enemies!$A:$A),MATCH(R$1,[3]enemies!$1:$1,0)-MATCH($M$1,[3]enemies!$1:$1,0)+1),MATCH(R$1,[3]enemies!$1:$1,0)-MATCH($M$1,[3]enemies!$1:$1,0)+1,FALSE)</f>
        <v>60</v>
      </c>
      <c r="S11" s="5">
        <v>80</v>
      </c>
      <c r="T11" s="23">
        <v>5.5</v>
      </c>
      <c r="U11" s="95">
        <f ca="1">ROUND(VLOOKUP(S11,[3]enemy_base_stats!$A:$F,2,FALSE) *INDIRECT("[EnemyMasterData.xlsm]enemies!Y"&amp;(M11+1))*  INDIRECT("[EnemyMasterData.xlsm]enemies!J"&amp;(M11+1))* INDIRECT("[EnemyMasterData.xlsm]enemies!O"&amp;(M11+1))* INDIRECT("[EnemyMasterData.xlsm]enemies!E"&amp;(M11+1))* INDIRECT("[EnemyMasterData.xlsm]enemies!S"&amp;(M11+1))* INDIRECT("[EnemyMasterData.xlsm]enemies!AD"&amp;(M11+1))*[4]ステータス!$B$2,0)*T11</f>
        <v>716914</v>
      </c>
      <c r="V11" s="23">
        <v>0.8</v>
      </c>
      <c r="W11" s="95">
        <f ca="1">ROUND(VLOOKUP(S11,[3]enemy_base_stats!$A:$F,3,FALSE) *INDIRECT("[EnemyMasterData.xlsm]enemies!Z"&amp;(M11+1))*  INDIRECT("[EnemyMasterData.xlsm]enemies!K"&amp;(M11+1))* INDIRECT("[EnemyMasterData.xlsm]enemies!P"&amp;(M11+1))* INDIRECT("[EnemyMasterData.xlsm]enemies!F"&amp;(M11+1))* INDIRECT("[EnemyMasterData.xlsm]enemies!T"&amp;(M11+1))* INDIRECT("[EnemyMasterData.xlsm]enemies!AE"&amp;(M11+1))*[4]ステータス!$C$2,0)*V11</f>
        <v>9755.2000000000007</v>
      </c>
      <c r="X11" s="5">
        <v>0</v>
      </c>
      <c r="Y11" s="4" t="str">
        <f ca="1">VLOOKUP($Z11,OFFSET(enemy_skill_sets!$B$1,0,0,COUNTA(enemy_skill_sets!$B:$B),MATCH(N$1,enemy_skill_sets!$1:$1,0)-MATCH($Z$1,enemy_skill_sets!$1:$1,0)+2),MATCH(N$1,enemy_skill_sets!$1:$1,0)-MATCH($Z$1,enemy_skill_sets!$1:$1,0)+2,FALSE)</f>
        <v>状態異常耐性+5ターンボムの爆風を50%DOWN</v>
      </c>
      <c r="Z11" s="7">
        <v>40042110</v>
      </c>
      <c r="AA11" s="119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03"/>
  <sheetViews>
    <sheetView showGridLines="0" workbookViewId="0">
      <pane xSplit="5" ySplit="1" topLeftCell="F29" activePane="bottomRight" state="frozen"/>
      <selection pane="topRight"/>
      <selection pane="bottomLeft"/>
      <selection pane="bottomRight" activeCell="C42" sqref="C42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13" style="47" customWidth="1"/>
    <col min="4" max="4" width="18.5" style="47" customWidth="1" outlineLevel="1"/>
    <col min="5" max="5" width="70.83203125" style="47" customWidth="1" outlineLevel="1"/>
    <col min="6" max="6" width="12" style="47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" si="0">B2&amp;"_"&amp;C2</f>
        <v>40042001_40042111</v>
      </c>
      <c r="B2" s="7">
        <v>40042001</v>
      </c>
      <c r="C2" s="113">
        <v>40042111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選定の雷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赤属性のユニットに大ダメージの全体攻撃</v>
      </c>
      <c r="F2" s="113">
        <v>40042111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6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:A52" si="1">B3&amp;"_"&amp;C3</f>
        <v>40042001_40042112</v>
      </c>
      <c r="B3" s="7">
        <v>40042001</v>
      </c>
      <c r="C3" s="113">
        <v>40042112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選定の雷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黄属性のユニットに大ダメージの全体攻撃</v>
      </c>
      <c r="F3" s="113">
        <v>40042112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6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ht="21" customHeight="1" x14ac:dyDescent="0.15">
      <c r="A4" s="37" t="str">
        <f t="shared" si="1"/>
        <v>40042001_40042113</v>
      </c>
      <c r="B4" s="7">
        <v>40042001</v>
      </c>
      <c r="C4" s="113">
        <v>40042113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モードチェンジ…！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" s="113">
        <v>40042113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6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x14ac:dyDescent="0.15">
      <c r="A5" s="37" t="str">
        <f t="shared" si="1"/>
        <v>40042002_40042121</v>
      </c>
      <c r="B5" s="7">
        <v>40042002</v>
      </c>
      <c r="C5" s="114">
        <v>40042121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貴方の力を見せてください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ハートパネルを黄の時限式ダメージパネルに変換</v>
      </c>
      <c r="F5" s="114">
        <v>40042121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1"/>
        <v>40042002_40042122</v>
      </c>
      <c r="B6" s="7">
        <v>40042002</v>
      </c>
      <c r="C6" s="114">
        <v>40042122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その程度なのですか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ハートパネルを黄の時限式ダメージパネルに5個変換</v>
      </c>
      <c r="F6" s="114">
        <v>40042122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6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 t="shared" si="1"/>
        <v>40042002_40042123</v>
      </c>
      <c r="B7" s="7">
        <v>40042002</v>
      </c>
      <c r="C7" s="114">
        <v>40042123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やりますね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ハートパネルを黄の時限式ダメージパネルに変換</v>
      </c>
      <c r="F7" s="114">
        <v>40042123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6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6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594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si="1"/>
        <v>40042003_40042211</v>
      </c>
      <c r="B8" s="7">
        <v>40042003</v>
      </c>
      <c r="C8" s="115">
        <v>40042211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雲霞に消えよ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8" s="115">
        <v>40042211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si="1"/>
        <v>40042003_40042212</v>
      </c>
      <c r="B9" s="7">
        <v>40042003</v>
      </c>
      <c r="C9" s="115">
        <v>40042212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お前を決して許さぬ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" s="115">
        <v>40042212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6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x14ac:dyDescent="0.15">
      <c r="A10" s="37" t="str">
        <f t="shared" si="1"/>
        <v>40042004_40042221</v>
      </c>
      <c r="B10" s="7">
        <v>40042004</v>
      </c>
      <c r="C10" s="116">
        <v>40042221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阻むことはできぬぞ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青パネルを黄のダメージパネルに8個変換</v>
      </c>
      <c r="F10" s="116">
        <v>40042221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6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si="1"/>
        <v>40042004_40042222</v>
      </c>
      <c r="B11" s="7">
        <v>40042004</v>
      </c>
      <c r="C11" s="116">
        <v>40042222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カミナリ雲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青パネルを黄のダメージパネルに5個変換</v>
      </c>
      <c r="F11" s="116">
        <v>40042222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6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7" t="str">
        <f t="shared" si="1"/>
        <v>40042004_40042223</v>
      </c>
      <c r="B12" s="7">
        <v>40042004</v>
      </c>
      <c r="C12" s="116">
        <v>40042223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邪魔者が消えた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青パネルを黄のダメージパネルに8個変換</v>
      </c>
      <c r="F12" s="116">
        <v>40042223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6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6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583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ht="21" customHeight="1" x14ac:dyDescent="0.15">
      <c r="A13" s="37" t="str">
        <f t="shared" si="1"/>
        <v>40042005_40042311</v>
      </c>
      <c r="B13" s="7">
        <v>40042005</v>
      </c>
      <c r="C13" s="113">
        <v>40042311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…抗うつもりなのね…？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時限式ダメージパネルプロテクト</v>
      </c>
      <c r="F13" s="113">
        <v>40042311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6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si="1"/>
        <v>40042005_40042312</v>
      </c>
      <c r="B14" s="7">
        <v>40042005</v>
      </c>
      <c r="C14" s="113">
        <v>40042312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そう…覚悟ができたのね…ふふ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時限式ダメージパネルプロテクト</v>
      </c>
      <c r="F14" s="113">
        <v>40042312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6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6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1263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ht="21" customHeight="1" x14ac:dyDescent="0.15">
      <c r="A15" s="37" t="str">
        <f t="shared" si="1"/>
        <v>40042005_40042313</v>
      </c>
      <c r="B15" s="7">
        <v>40042005</v>
      </c>
      <c r="C15" s="113">
        <v>40042313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そう…覚悟ができたのね…ふふ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時限式ダメージパネルプロテクト</v>
      </c>
      <c r="F15" s="113">
        <v>40042313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6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6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1262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si="1"/>
        <v>40042005_40042314</v>
      </c>
      <c r="B16" s="7">
        <v>40042005</v>
      </c>
      <c r="C16" s="113">
        <v>40042314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いいわ…少しだけ運命を変えましょう…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時限式ダメージパネル&amp;ダメージパネルを吸収して_x000D_去っていった…</v>
      </c>
      <c r="F16" s="113">
        <v>40042314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6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1" customHeight="1" x14ac:dyDescent="0.15">
      <c r="A17" s="37" t="str">
        <f t="shared" si="1"/>
        <v>40042006_40042411</v>
      </c>
      <c r="B17" s="7">
        <v>40042006</v>
      </c>
      <c r="C17" s="115">
        <v>40042411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力を溜めている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2ターン攻撃力UP</v>
      </c>
      <c r="F17" s="115">
        <v>40042411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6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x14ac:dyDescent="0.15">
      <c r="A18" s="37" t="str">
        <f t="shared" si="1"/>
        <v>40042006_40042412</v>
      </c>
      <c r="B18" s="7">
        <v>40042006</v>
      </c>
      <c r="C18" s="115">
        <v>40042412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イズン、また痛い目に遭いたいのか？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2ターン攻撃力UP</v>
      </c>
      <c r="F18" s="115">
        <v>40042412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6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6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1263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ht="21" customHeight="1" x14ac:dyDescent="0.15">
      <c r="A19" s="37" t="str">
        <f t="shared" si="1"/>
        <v>40042006_40042413</v>
      </c>
      <c r="B19" s="7">
        <v>40042006</v>
      </c>
      <c r="C19" s="115">
        <v>40042413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イズン、また痛い目に遭いたいのか？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2ターン攻撃力UP</v>
      </c>
      <c r="F19" s="115">
        <v>40042413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6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6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1262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7" t="str">
        <f t="shared" si="1"/>
        <v>40042006_40042414</v>
      </c>
      <c r="B20" s="7">
        <v>40042006</v>
      </c>
      <c r="C20" s="115">
        <v>40042414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ビリっとくるぜ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緑パネルを黄のダメージパネルに変換+全体攻撃</v>
      </c>
      <c r="F20" s="115">
        <v>40042414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6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ht="21" customHeight="1" x14ac:dyDescent="0.15">
      <c r="A21" s="37" t="str">
        <f t="shared" si="1"/>
        <v>40042006_40042415</v>
      </c>
      <c r="B21" s="7">
        <v>40042006</v>
      </c>
      <c r="C21" s="115">
        <v>40042415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サンダークロー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黄パネル&amp;黄のダメージパネルを吸収して全体攻撃</v>
      </c>
      <c r="F21" s="115">
        <v>40042415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6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ht="21" customHeight="1" x14ac:dyDescent="0.15">
      <c r="A22" s="37" t="str">
        <f t="shared" si="1"/>
        <v>40042006_40042416</v>
      </c>
      <c r="B22" s="7">
        <v>40042006</v>
      </c>
      <c r="C22" s="115">
        <v>40042416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これでもくらえ！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ハートパネル&amp;ハートボムパネルを吸収して攻撃</v>
      </c>
      <c r="F22" s="115">
        <v>40042416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6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6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5"/>
      <c r="Q22" s="45"/>
      <c r="R22" s="45"/>
    </row>
    <row r="23" spans="1:18" ht="21" customHeight="1" x14ac:dyDescent="0.15">
      <c r="A23" s="37" t="str">
        <f t="shared" si="1"/>
        <v>40042006_40042417</v>
      </c>
      <c r="B23" s="7">
        <v>40042006</v>
      </c>
      <c r="C23" s="115">
        <v>40042417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ヘルを守ることが俺の仕事だ！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ハートパネルを黄のダメージパネルに変換</v>
      </c>
      <c r="F23" s="115">
        <v>40042417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6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3" s="4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6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6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5"/>
      <c r="Q23" s="45"/>
      <c r="R23" s="45"/>
    </row>
    <row r="24" spans="1:18" ht="21" customHeight="1" x14ac:dyDescent="0.15">
      <c r="A24" s="37" t="str">
        <f t="shared" si="1"/>
        <v>40042007_40042421</v>
      </c>
      <c r="B24" s="7">
        <v>40042007</v>
      </c>
      <c r="C24" s="116">
        <v>40042421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派手に行こうぜっ！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ダメージパネルを黄の時限式ダメージパネルに変換+_x000D_5ターン確率で時限式ダメージパネルをドロップ</v>
      </c>
      <c r="F24" s="116">
        <v>40042421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6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6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5"/>
      <c r="Q24" s="45"/>
      <c r="R24" s="45"/>
    </row>
    <row r="25" spans="1:18" ht="21" customHeight="1" x14ac:dyDescent="0.15">
      <c r="A25" s="37" t="str">
        <f t="shared" si="1"/>
        <v>40042007_40042422</v>
      </c>
      <c r="B25" s="7">
        <v>40042007</v>
      </c>
      <c r="C25" s="116">
        <v>40042422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回復なんてさせねえ！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4ターン全ユニットの回復力50%DOWN+全体攻撃</v>
      </c>
      <c r="F25" s="116">
        <v>40042422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6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6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ht="21" customHeight="1" x14ac:dyDescent="0.15">
      <c r="A26" s="37" t="str">
        <f t="shared" si="1"/>
        <v>40042007_40042423</v>
      </c>
      <c r="B26" s="7">
        <v>40042007</v>
      </c>
      <c r="C26" s="116">
        <v>40042423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オレに勝てると思ってんのか？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4ターンハートパネルドロップ率DOWN</v>
      </c>
      <c r="F26" s="116">
        <v>40042423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6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6" s="4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6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6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5"/>
      <c r="Q26" s="45"/>
      <c r="R26" s="45"/>
    </row>
    <row r="27" spans="1:18" ht="21" customHeight="1" x14ac:dyDescent="0.15">
      <c r="A27" s="37" t="str">
        <f t="shared" si="1"/>
        <v>40042007_40042424</v>
      </c>
      <c r="B27" s="7">
        <v>40042007</v>
      </c>
      <c r="C27" s="116">
        <v>40042424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これでもくらえ！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ハートパネル&amp;ハートボムパネルを吸収して攻撃</v>
      </c>
      <c r="F27" s="116">
        <v>40042424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6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7" s="4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6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6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  <row r="28" spans="1:18" ht="21" customHeight="1" x14ac:dyDescent="0.15">
      <c r="A28" s="37" t="str">
        <f t="shared" si="1"/>
        <v>40042007_40042425</v>
      </c>
      <c r="B28" s="7">
        <v>40042007</v>
      </c>
      <c r="C28" s="116">
        <v>40042425</v>
      </c>
      <c r="D28" s="4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ヘルには近づけさせない…</v>
      </c>
      <c r="E28" s="4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28" s="116">
        <v>40042425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6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8" s="4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6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6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5"/>
      <c r="Q28" s="45"/>
      <c r="R28" s="45"/>
    </row>
    <row r="29" spans="1:18" ht="21" customHeight="1" x14ac:dyDescent="0.15">
      <c r="A29" s="37" t="str">
        <f t="shared" si="1"/>
        <v>40042008_40042511</v>
      </c>
      <c r="B29" s="7">
        <v>40042008</v>
      </c>
      <c r="C29" s="113">
        <v>40042511</v>
      </c>
      <c r="D29" s="4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…ロキの邪魔、絶対させないよ！</v>
      </c>
      <c r="E29" s="4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赤&amp;青&amp;緑パネルをダメージパネルに8個ずつ変換+_x000D_全てのプラス効果を解除+状態異常耐性</v>
      </c>
      <c r="F29" s="113">
        <v>40042511</v>
      </c>
      <c r="G29" s="4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6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6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5"/>
      <c r="Q29" s="45"/>
      <c r="R29" s="45"/>
    </row>
    <row r="30" spans="1:18" ht="21" customHeight="1" x14ac:dyDescent="0.15">
      <c r="A30" s="37" t="str">
        <f t="shared" si="1"/>
        <v>40042008_40042512</v>
      </c>
      <c r="B30" s="7">
        <v>40042008</v>
      </c>
      <c r="C30" s="113">
        <v>40042512</v>
      </c>
      <c r="D30" s="4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あー！泣き虫イズンだ！</v>
      </c>
      <c r="E30" s="4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赤&amp;青&amp;緑パネルをダメージパネルに8個ずつ変換+_x000D_全てのプラス効果を解除+状態異常耐性</v>
      </c>
      <c r="F30" s="113">
        <v>40042512</v>
      </c>
      <c r="G30" s="4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6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0" s="4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6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6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6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6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1263</v>
      </c>
      <c r="O30" s="4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5"/>
      <c r="Q30" s="45"/>
      <c r="R30" s="45"/>
    </row>
    <row r="31" spans="1:18" ht="21" customHeight="1" x14ac:dyDescent="0.15">
      <c r="A31" s="37" t="str">
        <f t="shared" si="1"/>
        <v>40042008_40042513</v>
      </c>
      <c r="B31" s="7">
        <v>40042008</v>
      </c>
      <c r="C31" s="113">
        <v>40042513</v>
      </c>
      <c r="D31" s="4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あー！泣き虫イズンだ！</v>
      </c>
      <c r="E31" s="4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赤&amp;青&amp;緑パネルをダメージパネルに8個ずつ変換+_x000D_全てのプラス効果を解除+状態異常耐性</v>
      </c>
      <c r="F31" s="113">
        <v>40042513</v>
      </c>
      <c r="G31" s="4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6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1" s="4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6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6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6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6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6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1262</v>
      </c>
      <c r="O31" s="4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5"/>
      <c r="Q31" s="45"/>
      <c r="R31" s="45"/>
    </row>
    <row r="32" spans="1:18" ht="21" customHeight="1" x14ac:dyDescent="0.15">
      <c r="A32" s="37" t="str">
        <f t="shared" si="1"/>
        <v>40042008_40042514</v>
      </c>
      <c r="B32" s="7">
        <v>40042008</v>
      </c>
      <c r="C32" s="113">
        <v>40042514</v>
      </c>
      <c r="D32" s="4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いっぱい懲らしめてあげるっ！</v>
      </c>
      <c r="E32" s="4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赤のダメージパネルを吸収して攻撃</v>
      </c>
      <c r="F32" s="113">
        <v>40042514</v>
      </c>
      <c r="G32" s="4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6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2" s="4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6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6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6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6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6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5"/>
      <c r="Q32" s="45"/>
      <c r="R32" s="45"/>
    </row>
    <row r="33" spans="1:18" ht="21" customHeight="1" x14ac:dyDescent="0.15">
      <c r="A33" s="37" t="str">
        <f t="shared" si="1"/>
        <v>40042008_40042515</v>
      </c>
      <c r="B33" s="7">
        <v>40042008</v>
      </c>
      <c r="C33" s="113">
        <v>40042515</v>
      </c>
      <c r="D33" s="4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おとなしくしてね？</v>
      </c>
      <c r="E33" s="4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青のダメージパネルを吸収して攻撃</v>
      </c>
      <c r="F33" s="113">
        <v>40042515</v>
      </c>
      <c r="G33" s="4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6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3" s="4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6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6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6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6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5"/>
      <c r="Q33" s="45"/>
      <c r="R33" s="45"/>
    </row>
    <row r="34" spans="1:18" ht="21" customHeight="1" x14ac:dyDescent="0.15">
      <c r="A34" s="37" t="str">
        <f t="shared" si="1"/>
        <v>40042008_40042516</v>
      </c>
      <c r="B34" s="7">
        <v>40042008</v>
      </c>
      <c r="C34" s="113">
        <v>40042516</v>
      </c>
      <c r="D34" s="4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こんなもの、ポイしちゃおうね？</v>
      </c>
      <c r="E34" s="4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緑のダメージパネルを吸収して攻撃</v>
      </c>
      <c r="F34" s="113">
        <v>40042516</v>
      </c>
      <c r="G34" s="4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4" s="4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6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6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6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6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5"/>
      <c r="Q34" s="45"/>
      <c r="R34" s="45"/>
    </row>
    <row r="35" spans="1:18" ht="21" customHeight="1" x14ac:dyDescent="0.15">
      <c r="A35" s="37" t="str">
        <f t="shared" si="1"/>
        <v>40042008_40042517</v>
      </c>
      <c r="B35" s="7">
        <v>40042008</v>
      </c>
      <c r="C35" s="113">
        <v>40042517</v>
      </c>
      <c r="D35" s="4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みんな壊していいってロキが言ってたのー♪</v>
      </c>
      <c r="E35" s="4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35" s="113">
        <v>40042517</v>
      </c>
      <c r="G35" s="4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5" s="4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6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6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6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6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5"/>
      <c r="Q35" s="45"/>
      <c r="R35" s="45"/>
    </row>
    <row r="36" spans="1:18" ht="21" customHeight="1" x14ac:dyDescent="0.15">
      <c r="A36" s="37" t="str">
        <f t="shared" si="1"/>
        <v>40042008_40042518</v>
      </c>
      <c r="B36" s="7">
        <v>40042008</v>
      </c>
      <c r="C36" s="113">
        <v>40042518</v>
      </c>
      <c r="D36" s="4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冥府のみんな、いっけー☆</v>
      </c>
      <c r="E36" s="4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黄パネルを黄のダメージパネルに3個変換+全体攻撃</v>
      </c>
      <c r="F36" s="113">
        <v>40042518</v>
      </c>
      <c r="G36" s="4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6" s="4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6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6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6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6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5"/>
      <c r="Q36" s="45"/>
      <c r="R36" s="45"/>
    </row>
    <row r="37" spans="1:18" ht="21" customHeight="1" x14ac:dyDescent="0.15">
      <c r="A37" s="37" t="str">
        <f t="shared" si="1"/>
        <v>40042009_40042521</v>
      </c>
      <c r="B37" s="7">
        <v>40042009</v>
      </c>
      <c r="C37" s="114">
        <v>40042521</v>
      </c>
      <c r="D37" s="4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どうしてわからないの…？ロキが正しいんだよ？</v>
      </c>
      <c r="E37" s="4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状態異常耐性+ランダムでハート&amp;黄&amp;青の_x000D_時限式ダメージパネルに5個ずつ変換</v>
      </c>
      <c r="F37" s="114">
        <v>40042521</v>
      </c>
      <c r="G37" s="4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6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7" s="4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6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6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6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6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5"/>
      <c r="Q37" s="45"/>
      <c r="R37" s="45"/>
    </row>
    <row r="38" spans="1:18" ht="21" customHeight="1" x14ac:dyDescent="0.15">
      <c r="A38" s="37" t="str">
        <f t="shared" si="1"/>
        <v>40042009_40042522</v>
      </c>
      <c r="B38" s="7">
        <v>40042009</v>
      </c>
      <c r="C38" s="114">
        <v>40042522</v>
      </c>
      <c r="D38" s="4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みんなロキのこと嫌いなの？</v>
      </c>
      <c r="E38" s="4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赤パネルを黄の時限式ダメージパネルに3個変換+_x000D_全体攻撃</v>
      </c>
      <c r="F38" s="114">
        <v>40042522</v>
      </c>
      <c r="G38" s="4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6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8" s="4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6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6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6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6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5"/>
      <c r="Q38" s="45"/>
      <c r="R38" s="45"/>
    </row>
    <row r="39" spans="1:18" ht="21" customHeight="1" x14ac:dyDescent="0.15">
      <c r="A39" s="37" t="str">
        <f t="shared" si="1"/>
        <v>40042009_40042523</v>
      </c>
      <c r="B39" s="7">
        <v>40042009</v>
      </c>
      <c r="C39" s="114">
        <v>40042523</v>
      </c>
      <c r="D39" s="4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ロキの邪魔しないでっ！</v>
      </c>
      <c r="E39" s="4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青パネルを黄の時限式ダメージパネルに3個変換+_x000D_全体攻撃</v>
      </c>
      <c r="F39" s="114">
        <v>40042523</v>
      </c>
      <c r="G39" s="46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6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9" s="46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6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39" s="46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6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6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6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5"/>
      <c r="Q39" s="45"/>
      <c r="R39" s="45"/>
    </row>
    <row r="40" spans="1:18" ht="21" customHeight="1" x14ac:dyDescent="0.15">
      <c r="A40" s="37" t="str">
        <f t="shared" si="1"/>
        <v>40042009_40042524</v>
      </c>
      <c r="B40" s="7">
        <v>40042009</v>
      </c>
      <c r="C40" s="114">
        <v>40042524</v>
      </c>
      <c r="D40" s="44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ロキの言うとおりにしようね？</v>
      </c>
      <c r="E40" s="44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緑パネルを黄の時限式ダメージパネルに3個変換+_x000D_全体攻撃</v>
      </c>
      <c r="F40" s="114">
        <v>40042524</v>
      </c>
      <c r="G40" s="46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6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0" s="46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6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40" s="46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6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6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6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6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5"/>
      <c r="Q40" s="45"/>
      <c r="R40" s="45"/>
    </row>
    <row r="41" spans="1:18" ht="21" customHeight="1" x14ac:dyDescent="0.15">
      <c r="A41" s="37" t="str">
        <f t="shared" si="1"/>
        <v>40042009_40042525</v>
      </c>
      <c r="B41" s="7">
        <v>40042009</v>
      </c>
      <c r="C41" s="114">
        <v>40042525</v>
      </c>
      <c r="D41" s="4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ロキ…ロキ…ロキ…ロキ…</v>
      </c>
      <c r="E41" s="4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ハートパネルを黄の時限式ダメージパネルに3個変換+_x000D_全体攻撃</v>
      </c>
      <c r="F41" s="114">
        <v>40042525</v>
      </c>
      <c r="G41" s="46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6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1" s="46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6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41" s="46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6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6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1" s="46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6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5"/>
      <c r="Q41" s="45"/>
      <c r="R41" s="45"/>
    </row>
    <row r="42" spans="1:18" ht="21" customHeight="1" x14ac:dyDescent="0.15">
      <c r="A42" s="37" t="str">
        <f t="shared" si="1"/>
        <v>40042009_40042526</v>
      </c>
      <c r="B42" s="7">
        <v>40042009</v>
      </c>
      <c r="C42" s="114">
        <v>40042526</v>
      </c>
      <c r="D42" s="44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みんな粉々になっちゃえばいいんだ…</v>
      </c>
      <c r="E42" s="44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ランダムで黄の時限式ダメージパネルに5個変換+_x000D_全体攻撃</v>
      </c>
      <c r="F42" s="114">
        <v>40042526</v>
      </c>
      <c r="G42" s="4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6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2" s="4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6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42" s="46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6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6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6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5"/>
      <c r="Q42" s="45"/>
      <c r="R42" s="45"/>
    </row>
    <row r="43" spans="1:18" ht="21" customHeight="1" x14ac:dyDescent="0.15">
      <c r="A43" s="37" t="str">
        <f t="shared" si="1"/>
        <v>40042010_40042531</v>
      </c>
      <c r="B43" s="7">
        <v>40042010</v>
      </c>
      <c r="C43" s="117">
        <v>40042531</v>
      </c>
      <c r="D43" s="44" t="str">
        <f ca="1">VLOOKUP($C43,OFFSET(enemy_skills!$A$1,0,0,COUNTA(enemy_skills!$A:$A),MATCH(D$1,enemy_skills!$1:$1,0)-MATCH("enemy_skill_id",enemy_skills!$1:$1,0)+1),MATCH(D$1,enemy_skills!$1:$1,0)-MATCH("enemy_skill_id",enemy_skills!$1:$1,0)+1,FALSE)</f>
        <v>…もういいよ！みんな消しちゃうから！</v>
      </c>
      <c r="E43" s="44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状態異常耐性+5ターンボムの爆風を50%DOWN</v>
      </c>
      <c r="F43" s="117">
        <v>40042531</v>
      </c>
      <c r="G43" s="46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6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3" s="46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6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6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6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6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6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6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5"/>
      <c r="Q43" s="45"/>
      <c r="R43" s="45"/>
    </row>
    <row r="44" spans="1:18" ht="21" customHeight="1" x14ac:dyDescent="0.15">
      <c r="A44" s="37" t="str">
        <f t="shared" si="1"/>
        <v>40042010_40042532</v>
      </c>
      <c r="B44" s="7">
        <v>40042010</v>
      </c>
      <c r="C44" s="117">
        <v>40042532</v>
      </c>
      <c r="D44" s="44" t="str">
        <f ca="1">VLOOKUP($C44,OFFSET(enemy_skills!$A$1,0,0,COUNTA(enemy_skills!$A:$A),MATCH(D$1,enemy_skills!$1:$1,0)-MATCH("enemy_skill_id",enemy_skills!$1:$1,0)+1),MATCH(D$1,enemy_skills!$1:$1,0)-MATCH("enemy_skill_id",enemy_skills!$1:$1,0)+1,FALSE)</f>
        <v>冥府のみんな、来て…！</v>
      </c>
      <c r="E44" s="44" t="str">
        <f ca="1">VLOOKUP($C44,OFFSET(enemy_skills!$A$1,0,0,COUNTA(enemy_skills!$A:$A),MATCH(E$1,enemy_skills!$1:$1,0)-MATCH("enemy_skill_id",enemy_skills!$1:$1,0)+1),MATCH(E$1,enemy_skills!$1:$1,0)-MATCH("enemy_skill_id",enemy_skills!$1:$1,0)+1,FALSE)</f>
        <v>青パネルを黄のダメージパネルに変換+単体攻撃</v>
      </c>
      <c r="F44" s="117">
        <v>40042532</v>
      </c>
      <c r="G44" s="46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6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4" s="46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6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6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6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6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6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6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5"/>
      <c r="Q44" s="45"/>
      <c r="R44" s="45"/>
    </row>
    <row r="45" spans="1:18" ht="21" customHeight="1" x14ac:dyDescent="0.15">
      <c r="A45" s="37" t="str">
        <f t="shared" si="1"/>
        <v>40042010_40042533</v>
      </c>
      <c r="B45" s="7">
        <v>40042010</v>
      </c>
      <c r="C45" s="117">
        <v>40042533</v>
      </c>
      <c r="D45" s="44" t="str">
        <f ca="1">VLOOKUP($C45,OFFSET(enemy_skills!$A$1,0,0,COUNTA(enemy_skills!$A:$A),MATCH(D$1,enemy_skills!$1:$1,0)-MATCH("enemy_skill_id",enemy_skills!$1:$1,0)+1),MATCH(D$1,enemy_skills!$1:$1,0)-MATCH("enemy_skill_id",enemy_skills!$1:$1,0)+1,FALSE)</f>
        <v>二度とロキの邪魔はさせないの！</v>
      </c>
      <c r="E45" s="44" t="str">
        <f ca="1">VLOOKUP($C45,OFFSET(enemy_skills!$A$1,0,0,COUNTA(enemy_skills!$A:$A),MATCH(E$1,enemy_skills!$1:$1,0)-MATCH("enemy_skill_id",enemy_skills!$1:$1,0)+1),MATCH(E$1,enemy_skills!$1:$1,0)-MATCH("enemy_skill_id",enemy_skills!$1:$1,0)+1,FALSE)</f>
        <v>5ターン全ユニットの回復力20%DOWN+単体攻撃</v>
      </c>
      <c r="F45" s="117">
        <v>40042533</v>
      </c>
      <c r="G45" s="46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6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5" s="46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6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6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6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6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6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6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5"/>
      <c r="Q45" s="45"/>
      <c r="R45" s="45"/>
    </row>
    <row r="46" spans="1:18" ht="21" customHeight="1" x14ac:dyDescent="0.15">
      <c r="A46" s="37" t="str">
        <f t="shared" si="1"/>
        <v>40042010_40042534</v>
      </c>
      <c r="B46" s="7">
        <v>40042010</v>
      </c>
      <c r="C46" s="117">
        <v>40042534</v>
      </c>
      <c r="D46" s="44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ロキ…ロキ…褒めて…認めて…ロキ…！</v>
      </c>
      <c r="E46" s="44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ハートパネル&amp;ハートボムパネルを吸収して攻撃</v>
      </c>
      <c r="F46" s="117">
        <v>40042534</v>
      </c>
      <c r="G46" s="46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6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6" s="46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6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6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6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6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6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6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5"/>
      <c r="Q46" s="45"/>
      <c r="R46" s="45"/>
    </row>
    <row r="47" spans="1:18" ht="21" customHeight="1" x14ac:dyDescent="0.15">
      <c r="A47" s="37" t="str">
        <f t="shared" si="1"/>
        <v>40042010_40042535</v>
      </c>
      <c r="B47" s="7">
        <v>40042010</v>
      </c>
      <c r="C47" s="117">
        <v>40042535</v>
      </c>
      <c r="D47" s="44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みんな冥府の底に沈めるの…！</v>
      </c>
      <c r="E47" s="44" t="str">
        <f ca="1">VLOOKUP($C47,OFFSET(enemy_skills!$A$1,0,0,COUNTA(enemy_skills!$A:$A),MATCH(E$1,enemy_skills!$1:$1,0)-MATCH("enemy_skill_id",enemy_skills!$1:$1,0)+1),MATCH(E$1,enemy_skills!$1:$1,0)-MATCH("enemy_skill_id",enemy_skills!$1:$1,0)+1,FALSE)</f>
        <v>黄パネル以外の属性パネルをダメージパネルに変換</v>
      </c>
      <c r="F47" s="117">
        <v>40042535</v>
      </c>
      <c r="G47" s="46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6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7" s="46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6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46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6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6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6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6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5"/>
      <c r="Q47" s="45"/>
      <c r="R47" s="45"/>
    </row>
    <row r="48" spans="1:18" ht="21" customHeight="1" x14ac:dyDescent="0.15">
      <c r="A48" s="37" t="str">
        <f t="shared" si="1"/>
        <v>40042010_40042536</v>
      </c>
      <c r="B48" s="7">
        <v>40042010</v>
      </c>
      <c r="C48" s="117">
        <v>40042536</v>
      </c>
      <c r="D48" s="44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ロキに褒めてもらうの…！</v>
      </c>
      <c r="E48" s="44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ダメージパネルを吸収して全体攻撃+_x000D_2ターン後に強力な攻撃</v>
      </c>
      <c r="F48" s="117">
        <v>40042536</v>
      </c>
      <c r="G48" s="46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6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8" s="46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6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8" s="46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6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6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6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6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5"/>
      <c r="Q48" s="45"/>
      <c r="R48" s="45"/>
    </row>
    <row r="49" spans="1:18" ht="21" customHeight="1" x14ac:dyDescent="0.15">
      <c r="A49" s="37" t="str">
        <f t="shared" si="1"/>
        <v>40042010_40042537</v>
      </c>
      <c r="B49" s="7">
        <v>40042010</v>
      </c>
      <c r="C49" s="117">
        <v>40042537</v>
      </c>
      <c r="D49" s="44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ロキ…ロキ…！私ちゃんと出来てる？ロキ…！</v>
      </c>
      <c r="E49" s="44" t="str">
        <f ca="1">VLOOKUP($C49,OFFSET(enemy_skills!$A$1,0,0,COUNTA(enemy_skills!$A:$A),MATCH(E$1,enemy_skills!$1:$1,0)-MATCH("enemy_skill_id",enemy_skills!$1:$1,0)+1),MATCH(E$1,enemy_skills!$1:$1,0)-MATCH("enemy_skill_id",enemy_skills!$1:$1,0)+1,FALSE)</f>
        <v>大ダメージの全体攻撃</v>
      </c>
      <c r="F49" s="117">
        <v>40042537</v>
      </c>
      <c r="G49" s="46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6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9" s="46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6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9" s="46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6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6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6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6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5"/>
      <c r="Q49" s="45"/>
      <c r="R49" s="45"/>
    </row>
    <row r="50" spans="1:18" ht="21" customHeight="1" x14ac:dyDescent="0.15">
      <c r="A50" s="37" t="str">
        <f t="shared" si="1"/>
        <v>40042010_40042538</v>
      </c>
      <c r="B50" s="204">
        <v>40042010</v>
      </c>
      <c r="C50" s="197">
        <v>40042538</v>
      </c>
      <c r="D50" s="20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ロキ…ごめんなさい…</v>
      </c>
      <c r="E50" s="20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私…役に立てなかった……ごめんなさい…_x000D_ごめんなさい…ごめんなさい…ごめんなさい…</v>
      </c>
      <c r="F50" s="197">
        <v>40042538</v>
      </c>
      <c r="G50" s="199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199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0" s="199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199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199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199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0" s="199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199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0" s="199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198"/>
      <c r="Q50" s="198"/>
      <c r="R50" s="198"/>
    </row>
    <row r="51" spans="1:18" ht="21" customHeight="1" x14ac:dyDescent="0.15">
      <c r="A51" s="37" t="str">
        <f t="shared" si="1"/>
        <v>40042010_40042539</v>
      </c>
      <c r="B51" s="203">
        <v>40042010</v>
      </c>
      <c r="C51" s="192">
        <v>40042539</v>
      </c>
      <c r="D51" s="44" t="str">
        <f ca="1">VLOOKUP($C51,OFFSET(enemy_skills!$A$1,0,0,COUNTA(enemy_skills!$A:$A),MATCH(D$1,enemy_skills!$1:$1,0)-MATCH("enemy_skill_id",enemy_skills!$1:$1,0)+1),MATCH(D$1,enemy_skills!$1:$1,0)-MATCH("enemy_skill_id",enemy_skills!$1:$1,0)+1,FALSE)</f>
        <v>私が…イズンに…負けた…？</v>
      </c>
      <c r="E51" s="44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どうしよう…ロキに怒られちゃう……ごめんなさい…_x000D_ごめんなさい…ごめんなさい…ごめんなさい…</v>
      </c>
      <c r="F51" s="192">
        <v>40042539</v>
      </c>
      <c r="G51" s="46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6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1" s="46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6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6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6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1" s="46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6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1263</v>
      </c>
      <c r="O51" s="46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5"/>
      <c r="Q51" s="45"/>
      <c r="R51" s="45"/>
    </row>
    <row r="52" spans="1:18" ht="21" customHeight="1" thickBot="1" x14ac:dyDescent="0.2">
      <c r="A52" s="37" t="str">
        <f t="shared" si="1"/>
        <v>40042010_40042530</v>
      </c>
      <c r="B52" s="206">
        <v>40042010</v>
      </c>
      <c r="C52" s="189">
        <v>40042530</v>
      </c>
      <c r="D52" s="207" t="str">
        <f ca="1">VLOOKUP($C52,OFFSET(enemy_skills!$A$1,0,0,COUNTA(enemy_skills!$A:$A),MATCH(D$1,enemy_skills!$1:$1,0)-MATCH("enemy_skill_id",enemy_skills!$1:$1,0)+1),MATCH(D$1,enemy_skills!$1:$1,0)-MATCH("enemy_skill_id",enemy_skills!$1:$1,0)+1,FALSE)</f>
        <v>私が…イズンに…負けた…？</v>
      </c>
      <c r="E52" s="207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どうしよう…ロキに怒られちゃう……ごめんなさい…_x000D_ごめんなさい…ごめんなさい…ごめんなさい…</v>
      </c>
      <c r="F52" s="189">
        <v>40042530</v>
      </c>
      <c r="G52" s="194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194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2" s="194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194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194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194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2" s="194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194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1262</v>
      </c>
      <c r="O52" s="194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201"/>
      <c r="Q52" s="201"/>
      <c r="R52" s="201"/>
    </row>
    <row r="53" spans="1:18" ht="21" customHeight="1" x14ac:dyDescent="0.15">
      <c r="A53" s="37" t="str">
        <f t="shared" ref="A53:A103" si="2">B53&amp;"_"&amp;C53</f>
        <v>40042101_40042611</v>
      </c>
      <c r="B53" s="125">
        <v>40042101</v>
      </c>
      <c r="C53" s="161">
        <v>40042611</v>
      </c>
      <c r="D53" s="169" t="str">
        <f ca="1">VLOOKUP($C53,OFFSET(enemy_skills!$A$1,0,0,COUNTA(enemy_skills!$A:$A),MATCH(D$1,enemy_skills!$1:$1,0)-MATCH("enemy_skill_id",enemy_skills!$1:$1,0)+1),MATCH(D$1,enemy_skills!$1:$1,0)-MATCH("enemy_skill_id",enemy_skills!$1:$1,0)+1,FALSE)</f>
        <v>選定の雷</v>
      </c>
      <c r="E53" s="169" t="str">
        <f ca="1">VLOOKUP($C53,OFFSET(enemy_skills!$A$1,0,0,COUNTA(enemy_skills!$A:$A),MATCH(E$1,enemy_skills!$1:$1,0)-MATCH("enemy_skill_id",enemy_skills!$1:$1,0)+1),MATCH(E$1,enemy_skills!$1:$1,0)-MATCH("enemy_skill_id",enemy_skills!$1:$1,0)+1,FALSE)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赤属性のユニットに大ダメージの全体攻撃</v>
      </c>
      <c r="F53" s="161">
        <v>40042611</v>
      </c>
      <c r="G53" s="165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165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3" s="165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165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165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165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165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165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165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167"/>
      <c r="Q53" s="167"/>
      <c r="R53" s="167"/>
    </row>
    <row r="54" spans="1:18" ht="21" customHeight="1" x14ac:dyDescent="0.15">
      <c r="A54" s="37" t="str">
        <f t="shared" si="2"/>
        <v>40042101_40042612</v>
      </c>
      <c r="B54" s="7">
        <v>40042101</v>
      </c>
      <c r="C54" s="113">
        <v>40042612</v>
      </c>
      <c r="D54" s="44" t="str">
        <f ca="1">VLOOKUP($C54,OFFSET(enemy_skills!$A$1,0,0,COUNTA(enemy_skills!$A:$A),MATCH(D$1,enemy_skills!$1:$1,0)-MATCH("enemy_skill_id",enemy_skills!$1:$1,0)+1),MATCH(D$1,enemy_skills!$1:$1,0)-MATCH("enemy_skill_id",enemy_skills!$1:$1,0)+1,FALSE)</f>
        <v>選定の雷</v>
      </c>
      <c r="E54" s="44" t="str">
        <f ca="1">VLOOKUP($C54,OFFSET(enemy_skills!$A$1,0,0,COUNTA(enemy_skills!$A:$A),MATCH(E$1,enemy_skills!$1:$1,0)-MATCH("enemy_skill_id",enemy_skills!$1:$1,0)+1),MATCH(E$1,enemy_skills!$1:$1,0)-MATCH("enemy_skill_id",enemy_skills!$1:$1,0)+1,FALSE)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黄属性のユニットに大ダメージの全体攻撃</v>
      </c>
      <c r="F54" s="113">
        <v>40042612</v>
      </c>
      <c r="G54" s="46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6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4" s="46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6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6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6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6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4" s="46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6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5"/>
      <c r="Q54" s="45"/>
      <c r="R54" s="45"/>
    </row>
    <row r="55" spans="1:18" ht="21" customHeight="1" x14ac:dyDescent="0.15">
      <c r="A55" s="37" t="str">
        <f t="shared" si="2"/>
        <v>40042101_40042613</v>
      </c>
      <c r="B55" s="7">
        <v>40042101</v>
      </c>
      <c r="C55" s="113">
        <v>40042613</v>
      </c>
      <c r="D55" s="44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モードチェンジ…！</v>
      </c>
      <c r="E55" s="44" t="str">
        <f ca="1">VLOOKUP($C55,OFFSET(enemy_skills!$A$1,0,0,COUNTA(enemy_skills!$A:$A),MATCH(E$1,enemy_skills!$1:$1,0)-MATCH("enemy_skill_id",enemy_skills!$1:$1,0)+1),MATCH(E$1,enemy_skills!$1:$1,0)-MATCH("enemy_skill_id",enemy_skills!$1:$1,0)+1,FALSE)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5" s="113">
        <v>40042613</v>
      </c>
      <c r="G55" s="46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6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5" s="46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6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6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6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6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5" s="46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6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5"/>
      <c r="Q55" s="45"/>
      <c r="R55" s="45"/>
    </row>
    <row r="56" spans="1:18" ht="21" customHeight="1" x14ac:dyDescent="0.15">
      <c r="A56" s="37" t="str">
        <f t="shared" si="2"/>
        <v>40042102_40042621</v>
      </c>
      <c r="B56" s="7">
        <v>40042102</v>
      </c>
      <c r="C56" s="114">
        <v>40042621</v>
      </c>
      <c r="D56" s="44" t="str">
        <f ca="1">VLOOKUP($C56,OFFSET(enemy_skills!$A$1,0,0,COUNTA(enemy_skills!$A:$A),MATCH(D$1,enemy_skills!$1:$1,0)-MATCH("enemy_skill_id",enemy_skills!$1:$1,0)+1),MATCH(D$1,enemy_skills!$1:$1,0)-MATCH("enemy_skill_id",enemy_skills!$1:$1,0)+1,FALSE)</f>
        <v>貴方の力を見せてください</v>
      </c>
      <c r="E56" s="44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ハートパネルを黄の時限式ダメージパネルに変換</v>
      </c>
      <c r="F56" s="114">
        <v>40042621</v>
      </c>
      <c r="G56" s="46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6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6" s="46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6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6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6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6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6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6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5"/>
      <c r="Q56" s="45"/>
      <c r="R56" s="45"/>
    </row>
    <row r="57" spans="1:18" ht="21" customHeight="1" x14ac:dyDescent="0.15">
      <c r="A57" s="37" t="str">
        <f t="shared" si="2"/>
        <v>40042102_40042622</v>
      </c>
      <c r="B57" s="7">
        <v>40042102</v>
      </c>
      <c r="C57" s="114">
        <v>40042622</v>
      </c>
      <c r="D57" s="44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その程度なのですか</v>
      </c>
      <c r="E57" s="44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ハートパネルを黄の時限式ダメージパネルに5個変換</v>
      </c>
      <c r="F57" s="114">
        <v>40042622</v>
      </c>
      <c r="G57" s="46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6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7" s="46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6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6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6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6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7" s="46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6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5"/>
      <c r="Q57" s="45"/>
      <c r="R57" s="45"/>
    </row>
    <row r="58" spans="1:18" ht="21" customHeight="1" x14ac:dyDescent="0.15">
      <c r="A58" s="37" t="str">
        <f t="shared" si="2"/>
        <v>40042102_40042623</v>
      </c>
      <c r="B58" s="7">
        <v>40042102</v>
      </c>
      <c r="C58" s="114">
        <v>40042623</v>
      </c>
      <c r="D58" s="44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やりますね</v>
      </c>
      <c r="E58" s="44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ハートパネルを黄の時限式ダメージパネルに変換</v>
      </c>
      <c r="F58" s="114">
        <v>40042623</v>
      </c>
      <c r="G58" s="46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6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8" s="46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6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6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6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6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6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594</v>
      </c>
      <c r="O58" s="46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5"/>
      <c r="Q58" s="45"/>
      <c r="R58" s="45"/>
    </row>
    <row r="59" spans="1:18" ht="21" customHeight="1" x14ac:dyDescent="0.15">
      <c r="A59" s="37" t="str">
        <f t="shared" si="2"/>
        <v>40042103_40042711</v>
      </c>
      <c r="B59" s="7">
        <v>40042103</v>
      </c>
      <c r="C59" s="115">
        <v>40042711</v>
      </c>
      <c r="D59" s="44" t="str">
        <f ca="1">VLOOKUP($C59,OFFSET(enemy_skills!$A$1,0,0,COUNTA(enemy_skills!$A:$A),MATCH(D$1,enemy_skills!$1:$1,0)-MATCH("enemy_skill_id",enemy_skills!$1:$1,0)+1),MATCH(D$1,enemy_skills!$1:$1,0)-MATCH("enemy_skill_id",enemy_skills!$1:$1,0)+1,FALSE)</f>
        <v>雲霞に消えよ</v>
      </c>
      <c r="E59" s="44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59" s="115">
        <v>40042711</v>
      </c>
      <c r="G59" s="46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6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9" s="46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6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6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6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6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9" s="46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6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5"/>
      <c r="Q59" s="45"/>
      <c r="R59" s="45"/>
    </row>
    <row r="60" spans="1:18" ht="21" customHeight="1" x14ac:dyDescent="0.15">
      <c r="A60" s="37" t="str">
        <f t="shared" si="2"/>
        <v>40042103_40042712</v>
      </c>
      <c r="B60" s="7">
        <v>40042103</v>
      </c>
      <c r="C60" s="115">
        <v>40042712</v>
      </c>
      <c r="D60" s="44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お前を決して許さぬ</v>
      </c>
      <c r="E60" s="44" t="str">
        <f ca="1">VLOOKUP($C60,OFFSET(enemy_skills!$A$1,0,0,COUNTA(enemy_skills!$A:$A),MATCH(E$1,enemy_skills!$1:$1,0)-MATCH("enemy_skill_id",enemy_skills!$1:$1,0)+1),MATCH(E$1,enemy_skills!$1:$1,0)-MATCH("enemy_skill_id",enemy_skills!$1:$1,0)+1,FALSE)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0" s="115">
        <v>40042712</v>
      </c>
      <c r="G60" s="46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6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0" s="46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6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6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6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6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0" s="46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6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5"/>
      <c r="Q60" s="45"/>
      <c r="R60" s="45"/>
    </row>
    <row r="61" spans="1:18" ht="21" customHeight="1" x14ac:dyDescent="0.15">
      <c r="A61" s="37" t="str">
        <f t="shared" si="2"/>
        <v>40042104_40042721</v>
      </c>
      <c r="B61" s="7">
        <v>40042104</v>
      </c>
      <c r="C61" s="116">
        <v>40042721</v>
      </c>
      <c r="D61" s="44" t="str">
        <f ca="1">VLOOKUP($C61,OFFSET(enemy_skills!$A$1,0,0,COUNTA(enemy_skills!$A:$A),MATCH(D$1,enemy_skills!$1:$1,0)-MATCH("enemy_skill_id",enemy_skills!$1:$1,0)+1),MATCH(D$1,enemy_skills!$1:$1,0)-MATCH("enemy_skill_id",enemy_skills!$1:$1,0)+1,FALSE)</f>
        <v>阻むことはできぬぞ</v>
      </c>
      <c r="E61" s="44" t="str">
        <f ca="1">VLOOKUP($C61,OFFSET(enemy_skills!$A$1,0,0,COUNTA(enemy_skills!$A:$A),MATCH(E$1,enemy_skills!$1:$1,0)-MATCH("enemy_skill_id",enemy_skills!$1:$1,0)+1),MATCH(E$1,enemy_skills!$1:$1,0)-MATCH("enemy_skill_id",enemy_skills!$1:$1,0)+1,FALSE)</f>
        <v>青パネルを黄のダメージパネルに8個変換</v>
      </c>
      <c r="F61" s="116">
        <v>40042721</v>
      </c>
      <c r="G61" s="46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6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1" s="46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6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6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6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6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6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6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5"/>
      <c r="Q61" s="45"/>
      <c r="R61" s="45"/>
    </row>
    <row r="62" spans="1:18" ht="21" customHeight="1" x14ac:dyDescent="0.15">
      <c r="A62" s="37" t="str">
        <f t="shared" si="2"/>
        <v>40042104_40042722</v>
      </c>
      <c r="B62" s="7">
        <v>40042104</v>
      </c>
      <c r="C62" s="116">
        <v>40042722</v>
      </c>
      <c r="D62" s="44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カミナリ雲</v>
      </c>
      <c r="E62" s="44" t="str">
        <f ca="1">VLOOKUP($C62,OFFSET(enemy_skills!$A$1,0,0,COUNTA(enemy_skills!$A:$A),MATCH(E$1,enemy_skills!$1:$1,0)-MATCH("enemy_skill_id",enemy_skills!$1:$1,0)+1),MATCH(E$1,enemy_skills!$1:$1,0)-MATCH("enemy_skill_id",enemy_skills!$1:$1,0)+1,FALSE)</f>
        <v>青パネルを黄のダメージパネルに5個変換</v>
      </c>
      <c r="F62" s="116">
        <v>40042722</v>
      </c>
      <c r="G62" s="46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6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2" s="46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6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6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6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6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2" s="46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6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5"/>
      <c r="Q62" s="45"/>
      <c r="R62" s="45"/>
    </row>
    <row r="63" spans="1:18" ht="21" customHeight="1" x14ac:dyDescent="0.15">
      <c r="A63" s="37" t="str">
        <f t="shared" si="2"/>
        <v>40042104_40042723</v>
      </c>
      <c r="B63" s="7">
        <v>40042104</v>
      </c>
      <c r="C63" s="116">
        <v>40042723</v>
      </c>
      <c r="D63" s="44" t="str">
        <f ca="1">VLOOKUP($C63,OFFSET(enemy_skills!$A$1,0,0,COUNTA(enemy_skills!$A:$A),MATCH(D$1,enemy_skills!$1:$1,0)-MATCH("enemy_skill_id",enemy_skills!$1:$1,0)+1),MATCH(D$1,enemy_skills!$1:$1,0)-MATCH("enemy_skill_id",enemy_skills!$1:$1,0)+1,FALSE)</f>
        <v>邪魔者が消えた</v>
      </c>
      <c r="E63" s="44" t="str">
        <f ca="1">VLOOKUP($C63,OFFSET(enemy_skills!$A$1,0,0,COUNTA(enemy_skills!$A:$A),MATCH(E$1,enemy_skills!$1:$1,0)-MATCH("enemy_skill_id",enemy_skills!$1:$1,0)+1),MATCH(E$1,enemy_skills!$1:$1,0)-MATCH("enemy_skill_id",enemy_skills!$1:$1,0)+1,FALSE)</f>
        <v>青パネルを黄のダメージパネルに8個変換</v>
      </c>
      <c r="F63" s="116">
        <v>40042723</v>
      </c>
      <c r="G63" s="46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6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3" s="46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6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6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6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46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3" s="46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583</v>
      </c>
      <c r="O63" s="46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5"/>
      <c r="Q63" s="45"/>
      <c r="R63" s="45"/>
    </row>
    <row r="64" spans="1:18" ht="21" customHeight="1" x14ac:dyDescent="0.15">
      <c r="A64" s="37" t="str">
        <f t="shared" si="2"/>
        <v>40042105_40042811</v>
      </c>
      <c r="B64" s="7">
        <v>40042105</v>
      </c>
      <c r="C64" s="113">
        <v>40042811</v>
      </c>
      <c r="D64" s="44" t="str">
        <f ca="1">VLOOKUP($C64,OFFSET(enemy_skills!$A$1,0,0,COUNTA(enemy_skills!$A:$A),MATCH(D$1,enemy_skills!$1:$1,0)-MATCH("enemy_skill_id",enemy_skills!$1:$1,0)+1),MATCH(D$1,enemy_skills!$1:$1,0)-MATCH("enemy_skill_id",enemy_skills!$1:$1,0)+1,FALSE)</f>
        <v>…抗うつもりなのね…？</v>
      </c>
      <c r="E64" s="44" t="str">
        <f ca="1">VLOOKUP($C64,OFFSET(enemy_skills!$A$1,0,0,COUNTA(enemy_skills!$A:$A),MATCH(E$1,enemy_skills!$1:$1,0)-MATCH("enemy_skill_id",enemy_skills!$1:$1,0)+1),MATCH(E$1,enemy_skills!$1:$1,0)-MATCH("enemy_skill_id",enemy_skills!$1:$1,0)+1,FALSE)</f>
        <v>時限式ダメージパネルプロテクト</v>
      </c>
      <c r="F64" s="113">
        <v>40042811</v>
      </c>
      <c r="G64" s="46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6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4" s="46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6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6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6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6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4" s="46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6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5"/>
      <c r="Q64" s="45"/>
      <c r="R64" s="45"/>
    </row>
    <row r="65" spans="1:18" ht="21" customHeight="1" x14ac:dyDescent="0.15">
      <c r="A65" s="37" t="str">
        <f t="shared" si="2"/>
        <v>40042105_40042812</v>
      </c>
      <c r="B65" s="7">
        <v>40042105</v>
      </c>
      <c r="C65" s="113">
        <v>40042812</v>
      </c>
      <c r="D65" s="44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そう…覚悟ができたのね…ふふ</v>
      </c>
      <c r="E65" s="44" t="str">
        <f ca="1">VLOOKUP($C65,OFFSET(enemy_skills!$A$1,0,0,COUNTA(enemy_skills!$A:$A),MATCH(E$1,enemy_skills!$1:$1,0)-MATCH("enemy_skill_id",enemy_skills!$1:$1,0)+1),MATCH(E$1,enemy_skills!$1:$1,0)-MATCH("enemy_skill_id",enemy_skills!$1:$1,0)+1,FALSE)</f>
        <v>時限式ダメージパネルプロテクト</v>
      </c>
      <c r="F65" s="113">
        <v>40042812</v>
      </c>
      <c r="G65" s="46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6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5" s="46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6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6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6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6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5" s="46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1263</v>
      </c>
      <c r="O65" s="46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5"/>
      <c r="Q65" s="45"/>
      <c r="R65" s="45"/>
    </row>
    <row r="66" spans="1:18" ht="21" customHeight="1" x14ac:dyDescent="0.15">
      <c r="A66" s="37" t="str">
        <f t="shared" si="2"/>
        <v>40042105_40042813</v>
      </c>
      <c r="B66" s="7">
        <v>40042105</v>
      </c>
      <c r="C66" s="113">
        <v>40042813</v>
      </c>
      <c r="D66" s="44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そう…覚悟ができたのね…ふふ</v>
      </c>
      <c r="E66" s="44" t="str">
        <f ca="1">VLOOKUP($C66,OFFSET(enemy_skills!$A$1,0,0,COUNTA(enemy_skills!$A:$A),MATCH(E$1,enemy_skills!$1:$1,0)-MATCH("enemy_skill_id",enemy_skills!$1:$1,0)+1),MATCH(E$1,enemy_skills!$1:$1,0)-MATCH("enemy_skill_id",enemy_skills!$1:$1,0)+1,FALSE)</f>
        <v>時限式ダメージパネルプロテクト</v>
      </c>
      <c r="F66" s="113">
        <v>40042813</v>
      </c>
      <c r="G66" s="46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6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6" s="46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6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6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6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6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6" s="46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1262</v>
      </c>
      <c r="O66" s="46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5"/>
      <c r="Q66" s="45"/>
      <c r="R66" s="45"/>
    </row>
    <row r="67" spans="1:18" ht="21" customHeight="1" x14ac:dyDescent="0.15">
      <c r="A67" s="37" t="str">
        <f t="shared" si="2"/>
        <v>40042105_40042814</v>
      </c>
      <c r="B67" s="7">
        <v>40042105</v>
      </c>
      <c r="C67" s="113">
        <v>40042814</v>
      </c>
      <c r="D67" s="44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いいわ…少しだけ運命を変えましょう…</v>
      </c>
      <c r="E67" s="44" t="str">
        <f ca="1">VLOOKUP($C67,OFFSET(enemy_skills!$A$1,0,0,COUNTA(enemy_skills!$A:$A),MATCH(E$1,enemy_skills!$1:$1,0)-MATCH("enemy_skill_id",enemy_skills!$1:$1,0)+1),MATCH(E$1,enemy_skills!$1:$1,0)-MATCH("enemy_skill_id",enemy_skills!$1:$1,0)+1,FALSE)</f>
        <v>時限式ダメージパネル&amp;ダメージパネルを吸収して_x000D_去っていった…</v>
      </c>
      <c r="F67" s="113">
        <v>40042814</v>
      </c>
      <c r="G67" s="46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6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7" s="46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6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6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6" t="str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7" s="46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7" s="46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6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5"/>
      <c r="Q67" s="45"/>
      <c r="R67" s="45"/>
    </row>
    <row r="68" spans="1:18" ht="21" customHeight="1" x14ac:dyDescent="0.15">
      <c r="A68" s="37" t="str">
        <f t="shared" si="2"/>
        <v>40042106_40042911</v>
      </c>
      <c r="B68" s="7">
        <v>40042106</v>
      </c>
      <c r="C68" s="115">
        <v>40042911</v>
      </c>
      <c r="D68" s="44" t="str">
        <f ca="1">VLOOKUP($C68,OFFSET(enemy_skills!$A$1,0,0,COUNTA(enemy_skills!$A:$A),MATCH(D$1,enemy_skills!$1:$1,0)-MATCH("enemy_skill_id",enemy_skills!$1:$1,0)+1),MATCH(D$1,enemy_skills!$1:$1,0)-MATCH("enemy_skill_id",enemy_skills!$1:$1,0)+1,FALSE)</f>
        <v>力を溜めている</v>
      </c>
      <c r="E68" s="44" t="str">
        <f ca="1">VLOOKUP($C68,OFFSET(enemy_skills!$A$1,0,0,COUNTA(enemy_skills!$A:$A),MATCH(E$1,enemy_skills!$1:$1,0)-MATCH("enemy_skill_id",enemy_skills!$1:$1,0)+1),MATCH(E$1,enemy_skills!$1:$1,0)-MATCH("enemy_skill_id",enemy_skills!$1:$1,0)+1,FALSE)</f>
        <v>2ターン攻撃力UP</v>
      </c>
      <c r="F68" s="115">
        <v>40042911</v>
      </c>
      <c r="G68" s="46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6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8" s="46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6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6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6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6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8" s="46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6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5"/>
      <c r="Q68" s="45"/>
      <c r="R68" s="45"/>
    </row>
    <row r="69" spans="1:18" ht="21" customHeight="1" x14ac:dyDescent="0.15">
      <c r="A69" s="37" t="str">
        <f t="shared" si="2"/>
        <v>40042106_40042912</v>
      </c>
      <c r="B69" s="7">
        <v>40042106</v>
      </c>
      <c r="C69" s="115">
        <v>40042912</v>
      </c>
      <c r="D69" s="44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イズン、また痛い目に遭いたいのか？</v>
      </c>
      <c r="E69" s="44" t="str">
        <f ca="1">VLOOKUP($C69,OFFSET(enemy_skills!$A$1,0,0,COUNTA(enemy_skills!$A:$A),MATCH(E$1,enemy_skills!$1:$1,0)-MATCH("enemy_skill_id",enemy_skills!$1:$1,0)+1),MATCH(E$1,enemy_skills!$1:$1,0)-MATCH("enemy_skill_id",enemy_skills!$1:$1,0)+1,FALSE)</f>
        <v>2ターン攻撃力UP</v>
      </c>
      <c r="F69" s="115">
        <v>40042912</v>
      </c>
      <c r="G69" s="46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6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9" s="46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6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6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6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6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9" s="46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1263</v>
      </c>
      <c r="O69" s="46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5"/>
      <c r="Q69" s="45"/>
      <c r="R69" s="45"/>
    </row>
    <row r="70" spans="1:18" ht="21" customHeight="1" x14ac:dyDescent="0.15">
      <c r="A70" s="37" t="str">
        <f t="shared" si="2"/>
        <v>40042106_40042913</v>
      </c>
      <c r="B70" s="7">
        <v>40042106</v>
      </c>
      <c r="C70" s="115">
        <v>40042913</v>
      </c>
      <c r="D70" s="44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イズン、また痛い目に遭いたいのか？</v>
      </c>
      <c r="E70" s="44" t="str">
        <f ca="1">VLOOKUP($C70,OFFSET(enemy_skills!$A$1,0,0,COUNTA(enemy_skills!$A:$A),MATCH(E$1,enemy_skills!$1:$1,0)-MATCH("enemy_skill_id",enemy_skills!$1:$1,0)+1),MATCH(E$1,enemy_skills!$1:$1,0)-MATCH("enemy_skill_id",enemy_skills!$1:$1,0)+1,FALSE)</f>
        <v>2ターン攻撃力UP</v>
      </c>
      <c r="F70" s="115">
        <v>40042913</v>
      </c>
      <c r="G70" s="46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6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0" s="46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6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6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6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6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46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1262</v>
      </c>
      <c r="O70" s="46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5"/>
      <c r="Q70" s="45"/>
      <c r="R70" s="45"/>
    </row>
    <row r="71" spans="1:18" ht="21" customHeight="1" x14ac:dyDescent="0.15">
      <c r="A71" s="37" t="str">
        <f t="shared" si="2"/>
        <v>40042106_40042914</v>
      </c>
      <c r="B71" s="7">
        <v>40042106</v>
      </c>
      <c r="C71" s="115">
        <v>40042914</v>
      </c>
      <c r="D71" s="44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ビリっとくるぜ</v>
      </c>
      <c r="E71" s="44" t="str">
        <f ca="1">VLOOKUP($C71,OFFSET(enemy_skills!$A$1,0,0,COUNTA(enemy_skills!$A:$A),MATCH(E$1,enemy_skills!$1:$1,0)-MATCH("enemy_skill_id",enemy_skills!$1:$1,0)+1),MATCH(E$1,enemy_skills!$1:$1,0)-MATCH("enemy_skill_id",enemy_skills!$1:$1,0)+1,FALSE)</f>
        <v>緑パネルを黄のダメージパネルに変換+全体攻撃</v>
      </c>
      <c r="F71" s="115">
        <v>40042914</v>
      </c>
      <c r="G71" s="46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6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1" s="46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6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6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6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6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1" s="46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6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5"/>
      <c r="Q71" s="45"/>
      <c r="R71" s="45"/>
    </row>
    <row r="72" spans="1:18" ht="21" customHeight="1" x14ac:dyDescent="0.15">
      <c r="A72" s="37" t="str">
        <f t="shared" si="2"/>
        <v>40042106_40042915</v>
      </c>
      <c r="B72" s="7">
        <v>40042106</v>
      </c>
      <c r="C72" s="115">
        <v>40042915</v>
      </c>
      <c r="D72" s="44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サンダークロー</v>
      </c>
      <c r="E72" s="44" t="str">
        <f ca="1">VLOOKUP($C72,OFFSET(enemy_skills!$A$1,0,0,COUNTA(enemy_skills!$A:$A),MATCH(E$1,enemy_skills!$1:$1,0)-MATCH("enemy_skill_id",enemy_skills!$1:$1,0)+1),MATCH(E$1,enemy_skills!$1:$1,0)-MATCH("enemy_skill_id",enemy_skills!$1:$1,0)+1,FALSE)</f>
        <v>黄パネル&amp;黄のダメージパネルを吸収して全体攻撃</v>
      </c>
      <c r="F72" s="115">
        <v>40042915</v>
      </c>
      <c r="G72" s="46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6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2" s="46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6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6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6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6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2" s="46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6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5"/>
      <c r="Q72" s="45"/>
      <c r="R72" s="45"/>
    </row>
    <row r="73" spans="1:18" ht="21" customHeight="1" x14ac:dyDescent="0.15">
      <c r="A73" s="37" t="str">
        <f t="shared" si="2"/>
        <v>40042106_40042916</v>
      </c>
      <c r="B73" s="7">
        <v>40042106</v>
      </c>
      <c r="C73" s="115">
        <v>40042916</v>
      </c>
      <c r="D73" s="44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これでもくらえ！</v>
      </c>
      <c r="E73" s="44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ハートパネル&amp;ハートボムパネルを吸収して攻撃</v>
      </c>
      <c r="F73" s="115">
        <v>40042916</v>
      </c>
      <c r="G73" s="46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6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3" s="46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6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73" s="46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6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6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6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6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5"/>
      <c r="Q73" s="45"/>
      <c r="R73" s="45"/>
    </row>
    <row r="74" spans="1:18" ht="21" customHeight="1" x14ac:dyDescent="0.15">
      <c r="A74" s="37" t="str">
        <f t="shared" si="2"/>
        <v>40042106_40042917</v>
      </c>
      <c r="B74" s="7">
        <v>40042106</v>
      </c>
      <c r="C74" s="115">
        <v>40042917</v>
      </c>
      <c r="D74" s="44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ヘルを守ることが俺の仕事だ！</v>
      </c>
      <c r="E74" s="44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ハートパネルを黄のダメージパネルに変換</v>
      </c>
      <c r="F74" s="115">
        <v>40042917</v>
      </c>
      <c r="G74" s="46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6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4" s="46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6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74" s="46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6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6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46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6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5"/>
      <c r="Q74" s="45"/>
      <c r="R74" s="45"/>
    </row>
    <row r="75" spans="1:18" ht="21" customHeight="1" x14ac:dyDescent="0.15">
      <c r="A75" s="37" t="str">
        <f t="shared" si="2"/>
        <v>40042107_40042921</v>
      </c>
      <c r="B75" s="7">
        <v>40042107</v>
      </c>
      <c r="C75" s="116">
        <v>40042921</v>
      </c>
      <c r="D75" s="44" t="str">
        <f ca="1">VLOOKUP($C75,OFFSET(enemy_skills!$A$1,0,0,COUNTA(enemy_skills!$A:$A),MATCH(D$1,enemy_skills!$1:$1,0)-MATCH("enemy_skill_id",enemy_skills!$1:$1,0)+1),MATCH(D$1,enemy_skills!$1:$1,0)-MATCH("enemy_skill_id",enemy_skills!$1:$1,0)+1,FALSE)</f>
        <v>派手に行こうぜっ！</v>
      </c>
      <c r="E75" s="44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ダメージパネルを黄の時限式ダメージパネルに変換+_x000D_5ターン確率で時限式ダメージパネルをドロップ</v>
      </c>
      <c r="F75" s="116">
        <v>40042921</v>
      </c>
      <c r="G75" s="46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6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5" s="46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6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6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6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6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46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6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5"/>
      <c r="Q75" s="45"/>
      <c r="R75" s="45"/>
    </row>
    <row r="76" spans="1:18" ht="21" customHeight="1" x14ac:dyDescent="0.15">
      <c r="A76" s="37" t="str">
        <f t="shared" si="2"/>
        <v>40042107_40042922</v>
      </c>
      <c r="B76" s="7">
        <v>40042107</v>
      </c>
      <c r="C76" s="116">
        <v>40042922</v>
      </c>
      <c r="D76" s="44" t="str">
        <f ca="1">VLOOKUP($C76,OFFSET(enemy_skills!$A$1,0,0,COUNTA(enemy_skills!$A:$A),MATCH(D$1,enemy_skills!$1:$1,0)-MATCH("enemy_skill_id",enemy_skills!$1:$1,0)+1),MATCH(D$1,enemy_skills!$1:$1,0)-MATCH("enemy_skill_id",enemy_skills!$1:$1,0)+1,FALSE)</f>
        <v>回復なんてさせねえ！</v>
      </c>
      <c r="E76" s="44" t="str">
        <f ca="1">VLOOKUP($C76,OFFSET(enemy_skills!$A$1,0,0,COUNTA(enemy_skills!$A:$A),MATCH(E$1,enemy_skills!$1:$1,0)-MATCH("enemy_skill_id",enemy_skills!$1:$1,0)+1),MATCH(E$1,enemy_skills!$1:$1,0)-MATCH("enemy_skill_id",enemy_skills!$1:$1,0)+1,FALSE)</f>
        <v>4ターン全ユニットの回復力90%DOWN+全体攻撃</v>
      </c>
      <c r="F76" s="116">
        <v>40042922</v>
      </c>
      <c r="G76" s="46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6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6" s="46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6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6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6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6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76" s="46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6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5"/>
      <c r="Q76" s="45"/>
      <c r="R76" s="45"/>
    </row>
    <row r="77" spans="1:18" ht="21" customHeight="1" x14ac:dyDescent="0.15">
      <c r="A77" s="37" t="str">
        <f t="shared" si="2"/>
        <v>40042107_40042923</v>
      </c>
      <c r="B77" s="7">
        <v>40042107</v>
      </c>
      <c r="C77" s="116">
        <v>40042923</v>
      </c>
      <c r="D77" s="44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オレに勝てると思ってんのか？</v>
      </c>
      <c r="E77" s="44" t="str">
        <f ca="1">VLOOKUP($C77,OFFSET(enemy_skills!$A$1,0,0,COUNTA(enemy_skills!$A:$A),MATCH(E$1,enemy_skills!$1:$1,0)-MATCH("enemy_skill_id",enemy_skills!$1:$1,0)+1),MATCH(E$1,enemy_skills!$1:$1,0)-MATCH("enemy_skill_id",enemy_skills!$1:$1,0)+1,FALSE)</f>
        <v>4ターンハートパネルドロップ率DOWN</v>
      </c>
      <c r="F77" s="116">
        <v>40042923</v>
      </c>
      <c r="G77" s="46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6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7" s="46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6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77" s="46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6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6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7" s="46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6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5"/>
      <c r="Q77" s="45"/>
      <c r="R77" s="45"/>
    </row>
    <row r="78" spans="1:18" ht="21" customHeight="1" x14ac:dyDescent="0.15">
      <c r="A78" s="37" t="str">
        <f t="shared" si="2"/>
        <v>40042107_40042924</v>
      </c>
      <c r="B78" s="7">
        <v>40042107</v>
      </c>
      <c r="C78" s="116">
        <v>40042924</v>
      </c>
      <c r="D78" s="44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これでもくらえ！</v>
      </c>
      <c r="E78" s="44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ハートパネル&amp;ハートボムパネルを吸収して攻撃</v>
      </c>
      <c r="F78" s="116">
        <v>40042924</v>
      </c>
      <c r="G78" s="46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6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8" s="46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6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78" s="46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6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6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8" s="46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6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5"/>
      <c r="Q78" s="45"/>
      <c r="R78" s="45"/>
    </row>
    <row r="79" spans="1:18" ht="21" customHeight="1" x14ac:dyDescent="0.15">
      <c r="A79" s="37" t="str">
        <f t="shared" si="2"/>
        <v>40042107_40042925</v>
      </c>
      <c r="B79" s="7">
        <v>40042107</v>
      </c>
      <c r="C79" s="116">
        <v>40042925</v>
      </c>
      <c r="D79" s="44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ヘルには近づけさせない…</v>
      </c>
      <c r="E79" s="44" t="str">
        <f ca="1">VLOOKUP($C79,OFFSET(enemy_skills!$A$1,0,0,COUNTA(enemy_skills!$A:$A),MATCH(E$1,enemy_skills!$1:$1,0)-MATCH("enemy_skill_id",enemy_skills!$1:$1,0)+1),MATCH(E$1,enemy_skills!$1:$1,0)-MATCH("enemy_skill_id",enemy_skills!$1:$1,0)+1,FALSE)</f>
        <v>自身の攻撃頻度UP</v>
      </c>
      <c r="F79" s="116">
        <v>40042925</v>
      </c>
      <c r="G79" s="46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6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9" s="46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6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79" s="46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6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6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9" s="46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6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5"/>
      <c r="Q79" s="45"/>
      <c r="R79" s="45"/>
    </row>
    <row r="80" spans="1:18" ht="21" customHeight="1" x14ac:dyDescent="0.15">
      <c r="A80" s="37" t="str">
        <f t="shared" si="2"/>
        <v>40042108_40042011</v>
      </c>
      <c r="B80" s="7">
        <v>40042108</v>
      </c>
      <c r="C80" s="113">
        <v>40042011</v>
      </c>
      <c r="D80" s="44" t="str">
        <f ca="1">VLOOKUP($C80,OFFSET(enemy_skills!$A$1,0,0,COUNTA(enemy_skills!$A:$A),MATCH(D$1,enemy_skills!$1:$1,0)-MATCH("enemy_skill_id",enemy_skills!$1:$1,0)+1),MATCH(D$1,enemy_skills!$1:$1,0)-MATCH("enemy_skill_id",enemy_skills!$1:$1,0)+1,FALSE)</f>
        <v>…ロキの邪魔、絶対させないよ！</v>
      </c>
      <c r="E80" s="44" t="str">
        <f ca="1">VLOOKUP($C80,OFFSET(enemy_skills!$A$1,0,0,COUNTA(enemy_skills!$A:$A),MATCH(E$1,enemy_skills!$1:$1,0)-MATCH("enemy_skill_id",enemy_skills!$1:$1,0)+1),MATCH(E$1,enemy_skills!$1:$1,0)-MATCH("enemy_skill_id",enemy_skills!$1:$1,0)+1,FALSE)</f>
        <v>赤&amp;青&amp;緑パネルをダメージパネルに8個ずつ変換+_x000D_全てのプラス効果を解除+状態異常耐性</v>
      </c>
      <c r="F80" s="113">
        <v>40042011</v>
      </c>
      <c r="G80" s="46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46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0" s="46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6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6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6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6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46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6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5"/>
      <c r="Q80" s="45"/>
      <c r="R80" s="45"/>
    </row>
    <row r="81" spans="1:18" ht="21" customHeight="1" x14ac:dyDescent="0.15">
      <c r="A81" s="37" t="str">
        <f t="shared" si="2"/>
        <v>40042108_40042012</v>
      </c>
      <c r="B81" s="7">
        <v>40042108</v>
      </c>
      <c r="C81" s="113">
        <v>40042012</v>
      </c>
      <c r="D81" s="44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あー！泣き虫イズンだ！</v>
      </c>
      <c r="E81" s="44" t="str">
        <f ca="1">VLOOKUP($C81,OFFSET(enemy_skills!$A$1,0,0,COUNTA(enemy_skills!$A:$A),MATCH(E$1,enemy_skills!$1:$1,0)-MATCH("enemy_skill_id",enemy_skills!$1:$1,0)+1),MATCH(E$1,enemy_skills!$1:$1,0)-MATCH("enemy_skill_id",enemy_skills!$1:$1,0)+1,FALSE)</f>
        <v>赤&amp;青&amp;緑パネルをダメージパネルに8個ずつ変換+_x000D_全てのプラス効果を解除+状態異常耐性</v>
      </c>
      <c r="F81" s="113">
        <v>40042012</v>
      </c>
      <c r="G81" s="46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6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1" s="46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6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6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6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6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1" s="46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1263</v>
      </c>
      <c r="O81" s="46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5"/>
      <c r="Q81" s="45"/>
      <c r="R81" s="45"/>
    </row>
    <row r="82" spans="1:18" ht="21" customHeight="1" x14ac:dyDescent="0.15">
      <c r="A82" s="37" t="str">
        <f t="shared" si="2"/>
        <v>40042108_40042013</v>
      </c>
      <c r="B82" s="7">
        <v>40042108</v>
      </c>
      <c r="C82" s="113">
        <v>40042013</v>
      </c>
      <c r="D82" s="44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あー！泣き虫イズンだ！</v>
      </c>
      <c r="E82" s="44" t="str">
        <f ca="1">VLOOKUP($C82,OFFSET(enemy_skills!$A$1,0,0,COUNTA(enemy_skills!$A:$A),MATCH(E$1,enemy_skills!$1:$1,0)-MATCH("enemy_skill_id",enemy_skills!$1:$1,0)+1),MATCH(E$1,enemy_skills!$1:$1,0)-MATCH("enemy_skill_id",enemy_skills!$1:$1,0)+1,FALSE)</f>
        <v>赤&amp;青&amp;緑パネルをダメージパネルに8個ずつ変換+_x000D_全てのプラス効果を解除+状態異常耐性</v>
      </c>
      <c r="F82" s="113">
        <v>40042013</v>
      </c>
      <c r="G82" s="46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6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82" s="46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6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6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6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6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46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1262</v>
      </c>
      <c r="O82" s="46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5"/>
      <c r="Q82" s="45"/>
      <c r="R82" s="45"/>
    </row>
    <row r="83" spans="1:18" ht="21" customHeight="1" x14ac:dyDescent="0.15">
      <c r="A83" s="37" t="str">
        <f t="shared" si="2"/>
        <v>40042108_40042014</v>
      </c>
      <c r="B83" s="7">
        <v>40042108</v>
      </c>
      <c r="C83" s="113">
        <v>40042014</v>
      </c>
      <c r="D83" s="44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いっぱい懲らしめてあげるっ！</v>
      </c>
      <c r="E83" s="44" t="str">
        <f ca="1">VLOOKUP($C83,OFFSET(enemy_skills!$A$1,0,0,COUNTA(enemy_skills!$A:$A),MATCH(E$1,enemy_skills!$1:$1,0)-MATCH("enemy_skill_id",enemy_skills!$1:$1,0)+1),MATCH(E$1,enemy_skills!$1:$1,0)-MATCH("enemy_skill_id",enemy_skills!$1:$1,0)+1,FALSE)</f>
        <v>赤のダメージパネルを吸収して攻撃</v>
      </c>
      <c r="F83" s="113">
        <v>40042014</v>
      </c>
      <c r="G83" s="46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6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83" s="46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6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6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6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6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3" s="46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6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5"/>
      <c r="Q83" s="45"/>
      <c r="R83" s="45"/>
    </row>
    <row r="84" spans="1:18" ht="21" customHeight="1" x14ac:dyDescent="0.15">
      <c r="A84" s="37" t="str">
        <f t="shared" si="2"/>
        <v>40042108_40042015</v>
      </c>
      <c r="B84" s="7">
        <v>40042108</v>
      </c>
      <c r="C84" s="113">
        <v>40042015</v>
      </c>
      <c r="D84" s="44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おとなしくしてね？</v>
      </c>
      <c r="E84" s="44" t="str">
        <f ca="1">VLOOKUP($C84,OFFSET(enemy_skills!$A$1,0,0,COUNTA(enemy_skills!$A:$A),MATCH(E$1,enemy_skills!$1:$1,0)-MATCH("enemy_skill_id",enemy_skills!$1:$1,0)+1),MATCH(E$1,enemy_skills!$1:$1,0)-MATCH("enemy_skill_id",enemy_skills!$1:$1,0)+1,FALSE)</f>
        <v>青のダメージパネルを吸収して攻撃</v>
      </c>
      <c r="F84" s="113">
        <v>40042015</v>
      </c>
      <c r="G84" s="46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6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4" s="46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6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6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6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6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4" s="46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6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5"/>
      <c r="Q84" s="45"/>
      <c r="R84" s="45"/>
    </row>
    <row r="85" spans="1:18" ht="21" customHeight="1" x14ac:dyDescent="0.15">
      <c r="A85" s="37" t="str">
        <f t="shared" si="2"/>
        <v>40042108_40042016</v>
      </c>
      <c r="B85" s="7">
        <v>40042108</v>
      </c>
      <c r="C85" s="113">
        <v>40042016</v>
      </c>
      <c r="D85" s="44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こんなもの、ポイしちゃおうね？</v>
      </c>
      <c r="E85" s="44" t="str">
        <f ca="1">VLOOKUP($C85,OFFSET(enemy_skills!$A$1,0,0,COUNTA(enemy_skills!$A:$A),MATCH(E$1,enemy_skills!$1:$1,0)-MATCH("enemy_skill_id",enemy_skills!$1:$1,0)+1),MATCH(E$1,enemy_skills!$1:$1,0)-MATCH("enemy_skill_id",enemy_skills!$1:$1,0)+1,FALSE)</f>
        <v>緑のダメージパネルを吸収して攻撃</v>
      </c>
      <c r="F85" s="113">
        <v>40042016</v>
      </c>
      <c r="G85" s="46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6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5" s="46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6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6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6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6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5" s="46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6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5"/>
      <c r="Q85" s="45"/>
      <c r="R85" s="45"/>
    </row>
    <row r="86" spans="1:18" ht="21" customHeight="1" x14ac:dyDescent="0.15">
      <c r="A86" s="37" t="str">
        <f t="shared" si="2"/>
        <v>40042108_40042017</v>
      </c>
      <c r="B86" s="7">
        <v>40042108</v>
      </c>
      <c r="C86" s="113">
        <v>40042017</v>
      </c>
      <c r="D86" s="44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みんな壊していいってロキが言ってたのー♪</v>
      </c>
      <c r="E86" s="44" t="str">
        <f ca="1">VLOOKUP($C86,OFFSET(enemy_skills!$A$1,0,0,COUNTA(enemy_skills!$A:$A),MATCH(E$1,enemy_skills!$1:$1,0)-MATCH("enemy_skill_id",enemy_skills!$1:$1,0)+1),MATCH(E$1,enemy_skills!$1:$1,0)-MATCH("enemy_skill_id",enemy_skills!$1:$1,0)+1,FALSE)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86" s="113">
        <v>40042017</v>
      </c>
      <c r="G86" s="46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6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86" s="46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6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6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6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6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6" s="46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6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5"/>
      <c r="Q86" s="45"/>
      <c r="R86" s="45"/>
    </row>
    <row r="87" spans="1:18" ht="21" customHeight="1" x14ac:dyDescent="0.15">
      <c r="A87" s="37" t="str">
        <f t="shared" si="2"/>
        <v>40042108_40042018</v>
      </c>
      <c r="B87" s="7">
        <v>40042108</v>
      </c>
      <c r="C87" s="113">
        <v>40042018</v>
      </c>
      <c r="D87" s="44" t="str">
        <f ca="1">VLOOKUP($C87,OFFSET(enemy_skills!$A$1,0,0,COUNTA(enemy_skills!$A:$A),MATCH(D$1,enemy_skills!$1:$1,0)-MATCH("enemy_skill_id",enemy_skills!$1:$1,0)+1),MATCH(D$1,enemy_skills!$1:$1,0)-MATCH("enemy_skill_id",enemy_skills!$1:$1,0)+1,FALSE)</f>
        <v>冥府のみんな、いっけー☆</v>
      </c>
      <c r="E87" s="44" t="str">
        <f ca="1">VLOOKUP($C87,OFFSET(enemy_skills!$A$1,0,0,COUNTA(enemy_skills!$A:$A),MATCH(E$1,enemy_skills!$1:$1,0)-MATCH("enemy_skill_id",enemy_skills!$1:$1,0)+1),MATCH(E$1,enemy_skills!$1:$1,0)-MATCH("enemy_skill_id",enemy_skills!$1:$1,0)+1,FALSE)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黄パネルを黄のダメージパネルに3個変換+全体攻撃</v>
      </c>
      <c r="F87" s="113">
        <v>40042018</v>
      </c>
      <c r="G87" s="46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6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7" s="46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6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6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6" t="str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7" s="46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7" s="46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6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5"/>
      <c r="Q87" s="45"/>
      <c r="R87" s="45"/>
    </row>
    <row r="88" spans="1:18" ht="21" customHeight="1" x14ac:dyDescent="0.15">
      <c r="A88" s="37" t="str">
        <f t="shared" si="2"/>
        <v>40042109_40042021</v>
      </c>
      <c r="B88" s="7">
        <v>40042109</v>
      </c>
      <c r="C88" s="114">
        <v>40042021</v>
      </c>
      <c r="D88" s="44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どうしてわからないの…？ロキが正しいんだよ？</v>
      </c>
      <c r="E88" s="44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状態異常耐性+ランダムでハート&amp;黄&amp;青の_x000D_時限式ダメージパネルに5個ずつ変換</v>
      </c>
      <c r="F88" s="114">
        <v>40042021</v>
      </c>
      <c r="G88" s="46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6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8" s="46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6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6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6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6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8" s="46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6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5"/>
      <c r="Q88" s="45"/>
      <c r="R88" s="45"/>
    </row>
    <row r="89" spans="1:18" ht="21" customHeight="1" x14ac:dyDescent="0.15">
      <c r="A89" s="37" t="str">
        <f t="shared" si="2"/>
        <v>40042109_40042022</v>
      </c>
      <c r="B89" s="7">
        <v>40042109</v>
      </c>
      <c r="C89" s="114">
        <v>40042022</v>
      </c>
      <c r="D89" s="44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みんなロキのこと嫌いなの？</v>
      </c>
      <c r="E89" s="44" t="str">
        <f ca="1">VLOOKUP($C89,OFFSET(enemy_skills!$A$1,0,0,COUNTA(enemy_skills!$A:$A),MATCH(E$1,enemy_skills!$1:$1,0)-MATCH("enemy_skill_id",enemy_skills!$1:$1,0)+1),MATCH(E$1,enemy_skills!$1:$1,0)-MATCH("enemy_skill_id",enemy_skills!$1:$1,0)+1,FALSE)</f>
        <v>赤パネルを黄の時限式ダメージパネルに3個変換+_x000D_全体攻撃</v>
      </c>
      <c r="F89" s="114">
        <v>40042022</v>
      </c>
      <c r="G89" s="46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6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9" s="46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6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6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6" t="str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9" s="46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9" s="46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6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5"/>
      <c r="Q89" s="45"/>
      <c r="R89" s="45"/>
    </row>
    <row r="90" spans="1:18" ht="21" customHeight="1" x14ac:dyDescent="0.15">
      <c r="A90" s="37" t="str">
        <f t="shared" si="2"/>
        <v>40042109_40042023</v>
      </c>
      <c r="B90" s="7">
        <v>40042109</v>
      </c>
      <c r="C90" s="114">
        <v>40042023</v>
      </c>
      <c r="D90" s="44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ロキの邪魔しないでっ！</v>
      </c>
      <c r="E90" s="44" t="str">
        <f ca="1">VLOOKUP($C90,OFFSET(enemy_skills!$A$1,0,0,COUNTA(enemy_skills!$A:$A),MATCH(E$1,enemy_skills!$1:$1,0)-MATCH("enemy_skill_id",enemy_skills!$1:$1,0)+1),MATCH(E$1,enemy_skills!$1:$1,0)-MATCH("enemy_skill_id",enemy_skills!$1:$1,0)+1,FALSE)</f>
        <v>青パネルを黄の時限式ダメージパネルに3個変換+_x000D_全体攻撃</v>
      </c>
      <c r="F90" s="114">
        <v>40042023</v>
      </c>
      <c r="G90" s="46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6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0" s="46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6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90" s="46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6" t="str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0" s="46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0" s="46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6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5"/>
      <c r="Q90" s="45"/>
      <c r="R90" s="45"/>
    </row>
    <row r="91" spans="1:18" ht="21" customHeight="1" x14ac:dyDescent="0.15">
      <c r="A91" s="37" t="str">
        <f t="shared" si="2"/>
        <v>40042109_40042024</v>
      </c>
      <c r="B91" s="7">
        <v>40042109</v>
      </c>
      <c r="C91" s="114">
        <v>40042024</v>
      </c>
      <c r="D91" s="44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ロキの言うとおりにしようね？</v>
      </c>
      <c r="E91" s="44" t="str">
        <f ca="1">VLOOKUP($C91,OFFSET(enemy_skills!$A$1,0,0,COUNTA(enemy_skills!$A:$A),MATCH(E$1,enemy_skills!$1:$1,0)-MATCH("enemy_skill_id",enemy_skills!$1:$1,0)+1),MATCH(E$1,enemy_skills!$1:$1,0)-MATCH("enemy_skill_id",enemy_skills!$1:$1,0)+1,FALSE)</f>
        <v>緑パネルを黄の時限式ダメージパネルに3個変換+_x000D_全体攻撃</v>
      </c>
      <c r="F91" s="114">
        <v>40042024</v>
      </c>
      <c r="G91" s="46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6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91" s="46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6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91" s="46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6" t="str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1" s="46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1" s="46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6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5"/>
      <c r="Q91" s="45"/>
      <c r="R91" s="45"/>
    </row>
    <row r="92" spans="1:18" ht="21" customHeight="1" x14ac:dyDescent="0.15">
      <c r="A92" s="37" t="str">
        <f t="shared" si="2"/>
        <v>40042109_40042025</v>
      </c>
      <c r="B92" s="7">
        <v>40042109</v>
      </c>
      <c r="C92" s="114">
        <v>40042025</v>
      </c>
      <c r="D92" s="44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ロキ…ロキ…ロキ…ロキ…</v>
      </c>
      <c r="E92" s="44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ハートパネルを黄の時限式ダメージパネルに3個変換+_x000D_全体攻撃</v>
      </c>
      <c r="F92" s="114">
        <v>40042025</v>
      </c>
      <c r="G92" s="46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6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92" s="46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6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92" s="46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6" t="str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2" s="46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2" s="46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6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5"/>
      <c r="Q92" s="45"/>
      <c r="R92" s="45"/>
    </row>
    <row r="93" spans="1:18" ht="21" customHeight="1" x14ac:dyDescent="0.15">
      <c r="A93" s="37" t="str">
        <f t="shared" si="2"/>
        <v>40042109_40042026</v>
      </c>
      <c r="B93" s="7">
        <v>40042109</v>
      </c>
      <c r="C93" s="114">
        <v>40042026</v>
      </c>
      <c r="D93" s="44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みんな粉々になっちゃえばいいんだ…</v>
      </c>
      <c r="E93" s="44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ランダムで黄の時限式ダメージパネルに5個変換+_x000D_全体攻撃</v>
      </c>
      <c r="F93" s="114">
        <v>40042026</v>
      </c>
      <c r="G93" s="46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6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3" s="46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6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93" s="46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6" t="str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3" s="46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3" s="46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6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5"/>
      <c r="Q93" s="45"/>
      <c r="R93" s="45"/>
    </row>
    <row r="94" spans="1:18" ht="21" customHeight="1" x14ac:dyDescent="0.15">
      <c r="A94" s="37" t="str">
        <f t="shared" si="2"/>
        <v>40042110_40042031</v>
      </c>
      <c r="B94" s="7">
        <v>40042110</v>
      </c>
      <c r="C94" s="117">
        <v>40042031</v>
      </c>
      <c r="D94" s="44" t="str">
        <f ca="1">VLOOKUP($C94,OFFSET(enemy_skills!$A$1,0,0,COUNTA(enemy_skills!$A:$A),MATCH(D$1,enemy_skills!$1:$1,0)-MATCH("enemy_skill_id",enemy_skills!$1:$1,0)+1),MATCH(D$1,enemy_skills!$1:$1,0)-MATCH("enemy_skill_id",enemy_skills!$1:$1,0)+1,FALSE)</f>
        <v>…もういいよ！みんな消しちゃうから！</v>
      </c>
      <c r="E94" s="44" t="str">
        <f ca="1">VLOOKUP($C94,OFFSET(enemy_skills!$A$1,0,0,COUNTA(enemy_skills!$A:$A),MATCH(E$1,enemy_skills!$1:$1,0)-MATCH("enemy_skill_id",enemy_skills!$1:$1,0)+1),MATCH(E$1,enemy_skills!$1:$1,0)-MATCH("enemy_skill_id",enemy_skills!$1:$1,0)+1,FALSE)</f>
        <v>状態異常耐性+5ターンボムの爆風を50%DOWN</v>
      </c>
      <c r="F94" s="117">
        <v>40042031</v>
      </c>
      <c r="G94" s="46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4" s="46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4" s="46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6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6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6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6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4" s="46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6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5"/>
      <c r="Q94" s="45"/>
      <c r="R94" s="45"/>
    </row>
    <row r="95" spans="1:18" ht="21" customHeight="1" x14ac:dyDescent="0.15">
      <c r="A95" s="37" t="str">
        <f t="shared" si="2"/>
        <v>40042110_40042032</v>
      </c>
      <c r="B95" s="7">
        <v>40042110</v>
      </c>
      <c r="C95" s="117">
        <v>40042032</v>
      </c>
      <c r="D95" s="44" t="str">
        <f ca="1">VLOOKUP($C95,OFFSET(enemy_skills!$A$1,0,0,COUNTA(enemy_skills!$A:$A),MATCH(D$1,enemy_skills!$1:$1,0)-MATCH("enemy_skill_id",enemy_skills!$1:$1,0)+1),MATCH(D$1,enemy_skills!$1:$1,0)-MATCH("enemy_skill_id",enemy_skills!$1:$1,0)+1,FALSE)</f>
        <v>冥府のみんな、来て…！</v>
      </c>
      <c r="E95" s="44" t="str">
        <f ca="1">VLOOKUP($C95,OFFSET(enemy_skills!$A$1,0,0,COUNTA(enemy_skills!$A:$A),MATCH(E$1,enemy_skills!$1:$1,0)-MATCH("enemy_skill_id",enemy_skills!$1:$1,0)+1),MATCH(E$1,enemy_skills!$1:$1,0)-MATCH("enemy_skill_id",enemy_skills!$1:$1,0)+1,FALSE)</f>
        <v>青パネルを黄のダメージパネルに変換+単体攻撃</v>
      </c>
      <c r="F95" s="117">
        <v>40042032</v>
      </c>
      <c r="G95" s="46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6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5" s="46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6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6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6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6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5" s="46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6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5"/>
      <c r="Q95" s="45"/>
      <c r="R95" s="45"/>
    </row>
    <row r="96" spans="1:18" ht="21" customHeight="1" x14ac:dyDescent="0.15">
      <c r="A96" s="37" t="str">
        <f t="shared" si="2"/>
        <v>40042110_40042033</v>
      </c>
      <c r="B96" s="7">
        <v>40042110</v>
      </c>
      <c r="C96" s="117">
        <v>40042033</v>
      </c>
      <c r="D96" s="44" t="str">
        <f ca="1">VLOOKUP($C96,OFFSET(enemy_skills!$A$1,0,0,COUNTA(enemy_skills!$A:$A),MATCH(D$1,enemy_skills!$1:$1,0)-MATCH("enemy_skill_id",enemy_skills!$1:$1,0)+1),MATCH(D$1,enemy_skills!$1:$1,0)-MATCH("enemy_skill_id",enemy_skills!$1:$1,0)+1,FALSE)</f>
        <v>二度とロキの邪魔はさせないの！</v>
      </c>
      <c r="E96" s="44" t="str">
        <f ca="1">VLOOKUP($C96,OFFSET(enemy_skills!$A$1,0,0,COUNTA(enemy_skills!$A:$A),MATCH(E$1,enemy_skills!$1:$1,0)-MATCH("enemy_skill_id",enemy_skills!$1:$1,0)+1),MATCH(E$1,enemy_skills!$1:$1,0)-MATCH("enemy_skill_id",enemy_skills!$1:$1,0)+1,FALSE)</f>
        <v>5ターン全ユニットの回復力50%DOWN+単体攻撃</v>
      </c>
      <c r="F96" s="117">
        <v>40042033</v>
      </c>
      <c r="G96" s="46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6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6" s="46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6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6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6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6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6" s="46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6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5"/>
      <c r="Q96" s="45"/>
      <c r="R96" s="45"/>
    </row>
    <row r="97" spans="1:18" ht="21" customHeight="1" x14ac:dyDescent="0.15">
      <c r="A97" s="37" t="str">
        <f t="shared" si="2"/>
        <v>40042110_40042034</v>
      </c>
      <c r="B97" s="7">
        <v>40042110</v>
      </c>
      <c r="C97" s="117">
        <v>40042034</v>
      </c>
      <c r="D97" s="44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ロキ…ロキ…褒めて…認めて…ロキ…！</v>
      </c>
      <c r="E97" s="44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ハートパネル&amp;ハートボムパネルを吸収して攻撃</v>
      </c>
      <c r="F97" s="117">
        <v>40042034</v>
      </c>
      <c r="G97" s="46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6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97" s="46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6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6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6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6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7" s="46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6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5"/>
      <c r="Q97" s="45"/>
      <c r="R97" s="45"/>
    </row>
    <row r="98" spans="1:18" ht="21" customHeight="1" x14ac:dyDescent="0.15">
      <c r="A98" s="37" t="str">
        <f t="shared" si="2"/>
        <v>40042110_40042035</v>
      </c>
      <c r="B98" s="7">
        <v>40042110</v>
      </c>
      <c r="C98" s="117">
        <v>40042035</v>
      </c>
      <c r="D98" s="44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みんな冥府の底に沈めるの…！</v>
      </c>
      <c r="E98" s="44" t="str">
        <f ca="1">VLOOKUP($C98,OFFSET(enemy_skills!$A$1,0,0,COUNTA(enemy_skills!$A:$A),MATCH(E$1,enemy_skills!$1:$1,0)-MATCH("enemy_skill_id",enemy_skills!$1:$1,0)+1),MATCH(E$1,enemy_skills!$1:$1,0)-MATCH("enemy_skill_id",enemy_skills!$1:$1,0)+1,FALSE)</f>
        <v>黄パネル以外の属性パネルをダメージパネルに変換</v>
      </c>
      <c r="F98" s="117">
        <v>40042035</v>
      </c>
      <c r="G98" s="46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6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98" s="46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6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8" s="46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6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6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8" s="46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6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5"/>
      <c r="Q98" s="45"/>
      <c r="R98" s="45"/>
    </row>
    <row r="99" spans="1:18" ht="21" customHeight="1" x14ac:dyDescent="0.15">
      <c r="A99" s="37" t="str">
        <f t="shared" si="2"/>
        <v>40042110_40042036</v>
      </c>
      <c r="B99" s="7">
        <v>40042110</v>
      </c>
      <c r="C99" s="117">
        <v>40042036</v>
      </c>
      <c r="D99" s="44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ロキに褒めてもらうの…！</v>
      </c>
      <c r="E99" s="44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ダメージパネルを吸収して全体攻撃+_x000D_2ターン後に強力な攻撃</v>
      </c>
      <c r="F99" s="117">
        <v>40042036</v>
      </c>
      <c r="G99" s="46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6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99" s="46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6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9" s="46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6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6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9" s="46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6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5"/>
      <c r="Q99" s="45"/>
      <c r="R99" s="45"/>
    </row>
    <row r="100" spans="1:18" ht="21" customHeight="1" x14ac:dyDescent="0.15">
      <c r="A100" s="37" t="str">
        <f t="shared" si="2"/>
        <v>40042110_40042037</v>
      </c>
      <c r="B100" s="7">
        <v>40042110</v>
      </c>
      <c r="C100" s="117">
        <v>40042037</v>
      </c>
      <c r="D100" s="44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ロキ…ロキ…！私ちゃんと出来てる？ロキ…！</v>
      </c>
      <c r="E100" s="44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大ダメージの全体攻撃</v>
      </c>
      <c r="F100" s="117">
        <v>40042037</v>
      </c>
      <c r="G100" s="46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6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00" s="46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6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0" s="46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6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6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0" s="46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6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5"/>
      <c r="Q100" s="45"/>
      <c r="R100" s="45"/>
    </row>
    <row r="101" spans="1:18" ht="21" customHeight="1" x14ac:dyDescent="0.15">
      <c r="A101" s="37" t="str">
        <f t="shared" si="2"/>
        <v>40042110_40042038</v>
      </c>
      <c r="B101" s="7">
        <v>40042110</v>
      </c>
      <c r="C101" s="117">
        <v>40042038</v>
      </c>
      <c r="D101" s="44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ロキ…ごめんなさい…</v>
      </c>
      <c r="E101" s="44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私…役に立てなかった……ごめんなさい…_x000D_ごめんなさい…ごめんなさい…ごめんなさい…</v>
      </c>
      <c r="F101" s="117">
        <v>40042038</v>
      </c>
      <c r="G101" s="46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6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01" s="46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6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6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6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1" s="46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1" s="46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01" s="46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5"/>
      <c r="Q101" s="45"/>
      <c r="R101" s="45"/>
    </row>
    <row r="102" spans="1:18" ht="21" customHeight="1" x14ac:dyDescent="0.15">
      <c r="A102" s="37" t="str">
        <f t="shared" si="2"/>
        <v>40042110_40042039</v>
      </c>
      <c r="B102" s="7">
        <v>40042110</v>
      </c>
      <c r="C102" s="117">
        <v>40042039</v>
      </c>
      <c r="D102" s="44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私が…イズンに…負けた…？</v>
      </c>
      <c r="E102" s="44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どうしよう…ロキに怒られちゃう……ごめんなさい…_x000D_ごめんなさい…ごめんなさい…ごめんなさい…</v>
      </c>
      <c r="F102" s="117">
        <v>40042039</v>
      </c>
      <c r="G102" s="46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6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2" s="46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6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6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6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2" s="46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2" s="46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1263</v>
      </c>
      <c r="O102" s="46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5"/>
      <c r="Q102" s="45"/>
      <c r="R102" s="45"/>
    </row>
    <row r="103" spans="1:18" ht="21" customHeight="1" x14ac:dyDescent="0.15">
      <c r="A103" s="37" t="str">
        <f t="shared" si="2"/>
        <v>40042110_40042030</v>
      </c>
      <c r="B103" s="7">
        <v>40042110</v>
      </c>
      <c r="C103" s="117">
        <v>40042030</v>
      </c>
      <c r="D103" s="44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私が…イズンに…負けた…？</v>
      </c>
      <c r="E103" s="44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どうしよう…ロキに怒られちゃう……ごめんなさい…_x000D_ごめんなさい…ごめんなさい…ごめんなさい…</v>
      </c>
      <c r="F103" s="117">
        <v>40042030</v>
      </c>
      <c r="G103" s="46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6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3" s="46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6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6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6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3" s="46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3" s="46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1262</v>
      </c>
      <c r="O103" s="46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5"/>
      <c r="Q103" s="45"/>
      <c r="R103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03"/>
  <sheetViews>
    <sheetView showGridLines="0" tabSelected="1" workbookViewId="0">
      <pane ySplit="1" topLeftCell="A33" activePane="bottomLeft" state="frozenSplit"/>
      <selection pane="bottomLeft" activeCell="B38" sqref="B38"/>
    </sheetView>
  </sheetViews>
  <sheetFormatPr baseColWidth="12" defaultColWidth="12.83203125" defaultRowHeight="21" customHeight="1" outlineLevelCol="1" x14ac:dyDescent="0.15"/>
  <cols>
    <col min="1" max="1" width="12.83203125" style="118"/>
    <col min="2" max="2" width="49.5" style="47" customWidth="1"/>
    <col min="3" max="4" width="10.33203125" style="47" customWidth="1"/>
    <col min="5" max="5" width="23.6640625" style="47" customWidth="1"/>
    <col min="6" max="6" width="46.332031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7" width="12.83203125" style="47"/>
    <col min="28" max="28" width="33" style="47" customWidth="1"/>
    <col min="29" max="16384" width="12.83203125" style="47"/>
  </cols>
  <sheetData>
    <row r="1" spans="1:28" ht="21" customHeight="1" x14ac:dyDescent="0.15">
      <c r="A1" s="112" t="s">
        <v>78</v>
      </c>
      <c r="B1" s="38" t="s">
        <v>79</v>
      </c>
      <c r="C1" s="38" t="s">
        <v>80</v>
      </c>
      <c r="D1" s="38" t="s">
        <v>126</v>
      </c>
      <c r="E1" s="38" t="s">
        <v>81</v>
      </c>
      <c r="F1" s="38" t="s">
        <v>82</v>
      </c>
      <c r="G1" s="39" t="s">
        <v>132</v>
      </c>
      <c r="H1" s="39" t="s">
        <v>138</v>
      </c>
      <c r="I1" s="39" t="s">
        <v>140</v>
      </c>
      <c r="J1" s="39" t="s">
        <v>139</v>
      </c>
      <c r="K1" s="39" t="s">
        <v>141</v>
      </c>
      <c r="L1" s="39" t="s">
        <v>133</v>
      </c>
      <c r="M1" s="39" t="s">
        <v>131</v>
      </c>
      <c r="N1" s="39" t="s">
        <v>134</v>
      </c>
      <c r="O1" s="39" t="s">
        <v>142</v>
      </c>
      <c r="P1" s="39" t="s">
        <v>143</v>
      </c>
      <c r="Q1" s="39" t="s">
        <v>144</v>
      </c>
      <c r="R1" s="39" t="s">
        <v>145</v>
      </c>
      <c r="S1" s="39" t="s">
        <v>135</v>
      </c>
      <c r="T1" s="39" t="s">
        <v>136</v>
      </c>
      <c r="U1" s="39" t="s">
        <v>146</v>
      </c>
      <c r="V1" s="39" t="s">
        <v>147</v>
      </c>
      <c r="W1" s="39" t="s">
        <v>148</v>
      </c>
      <c r="X1" s="39" t="s">
        <v>149</v>
      </c>
      <c r="Y1" s="39" t="s">
        <v>137</v>
      </c>
      <c r="Z1" s="39" t="s">
        <v>75</v>
      </c>
      <c r="AA1" s="39" t="s">
        <v>76</v>
      </c>
      <c r="AB1" s="39" t="s">
        <v>77</v>
      </c>
    </row>
    <row r="2" spans="1:28" ht="21" customHeight="1" x14ac:dyDescent="0.15">
      <c r="A2" s="113">
        <v>40042111</v>
      </c>
      <c r="B2" s="97" t="s">
        <v>465</v>
      </c>
      <c r="C2" s="98">
        <v>3</v>
      </c>
      <c r="D2" s="98" t="s">
        <v>127</v>
      </c>
      <c r="E2" s="99" t="s">
        <v>308</v>
      </c>
      <c r="F2" s="99" t="s">
        <v>319</v>
      </c>
      <c r="G2" s="59" t="str">
        <f t="shared" ref="G2:G33" si="0">IFERROR(LEFT(B2,FIND("],",B2)),B2)</f>
        <v>[effect:enemy_message, val1:1.2, val2:1.9]</v>
      </c>
      <c r="H2" s="59">
        <f>FIND("effect:",G2)+7</f>
        <v>9</v>
      </c>
      <c r="I2" s="59">
        <f>IFERROR(FIND(",",G2),LEN(G2))</f>
        <v>22</v>
      </c>
      <c r="J2" s="59" t="e">
        <f>FIND("target:",G2)+7</f>
        <v>#VALUE!</v>
      </c>
      <c r="K2" s="59">
        <f>FIND(",",G2,I2+1)</f>
        <v>32</v>
      </c>
      <c r="L2" s="59" t="str">
        <f>IFERROR(VLOOKUP(MID(G2,J2,K2-J2),[5]skilldef!$C:$D,2,FALSE),"-") &amp; " / " &amp; IFERROR(VLOOKUP(MID(G2,H2,I2-H2),[5]skilldef!$A:$B,2,FALSE),"-")</f>
        <v>- / -</v>
      </c>
      <c r="M2" s="59" t="str">
        <f t="shared" ref="M2:M33" si="1">IFERROR(RIGHT(B2,LEN(B2)-FIND("],",B2)-1),"none")</f>
        <v>[effect:damage_anti_color, target:unit_all, color:red, val1:1, val2:0.2]</v>
      </c>
      <c r="N2" s="46" t="str">
        <f>IFERROR(LEFT(M2,FIND("],",M2)+S12),M2)</f>
        <v>[effect:damage_anti_color, target:unit_all, color:red, val1:1, val2:0.2]</v>
      </c>
      <c r="O2" s="59">
        <f>FIND("effect:",N2)+7</f>
        <v>9</v>
      </c>
      <c r="P2" s="59">
        <f>IFERROR(FIND(",",N2),LEN(N2))</f>
        <v>26</v>
      </c>
      <c r="Q2" s="59">
        <f>FIND("target:",N2)+7</f>
        <v>35</v>
      </c>
      <c r="R2" s="59">
        <f>FIND(",",N2,P2+1)</f>
        <v>43</v>
      </c>
      <c r="S2" s="59" t="str">
        <f>IFERROR(VLOOKUP(MID(N2,Q2,R2-Q2),[5]skilldef!$C:$D,2,FALSE),"-") &amp; " / " &amp; IFERROR(VLOOKUP(MID(N2,O2,P2-O2),[5]skilldef!$A:$B,2,FALSE),"-")</f>
        <v>味方全体に / 属性キラー</v>
      </c>
      <c r="T2" s="46" t="str">
        <f>IFERROR(RIGHT(M2,LEN(M2)-FIND("],",M2)-1),"none")</f>
        <v>none</v>
      </c>
      <c r="U2" s="59" t="e">
        <f>FIND("effect:",T2)+7</f>
        <v>#VALUE!</v>
      </c>
      <c r="V2" s="59">
        <f>IFERROR(FIND(",",T2),LEN(T2))</f>
        <v>4</v>
      </c>
      <c r="W2" s="59" t="e">
        <f>FIND("target:",T2)+7</f>
        <v>#VALUE!</v>
      </c>
      <c r="X2" s="59" t="e">
        <f>FIND(",",T2,V2+1)</f>
        <v>#VALUE!</v>
      </c>
      <c r="Y2" s="59" t="str">
        <f>IFERROR(VLOOKUP(MID(T2,W2,X2-W2),[5]skilldef!$C:$D,2,FALSE),"-") &amp; " / " &amp; IFERROR(VLOOKUP(MID(T2,U2,V2-U2),[5]skilldef!$A:$B,2,FALSE),"-")</f>
        <v>- / -</v>
      </c>
      <c r="Z2" s="48"/>
      <c r="AA2" s="49"/>
      <c r="AB2" s="48"/>
    </row>
    <row r="3" spans="1:28" ht="21" customHeight="1" x14ac:dyDescent="0.15">
      <c r="A3" s="113">
        <v>40042112</v>
      </c>
      <c r="B3" s="97" t="s">
        <v>467</v>
      </c>
      <c r="C3" s="98">
        <v>3</v>
      </c>
      <c r="D3" s="98" t="s">
        <v>127</v>
      </c>
      <c r="E3" s="99" t="s">
        <v>309</v>
      </c>
      <c r="F3" s="99" t="s">
        <v>320</v>
      </c>
      <c r="G3" s="59" t="str">
        <f t="shared" si="0"/>
        <v>[effect:enemy_message, val1:1.2, val2:1.9]</v>
      </c>
      <c r="H3" s="59">
        <f t="shared" ref="H3:H50" si="2">FIND("effect:",G3)+7</f>
        <v>9</v>
      </c>
      <c r="I3" s="59">
        <f t="shared" ref="I3:I17" si="3">IFERROR(FIND(",",G3),LEN(G3))</f>
        <v>22</v>
      </c>
      <c r="J3" s="59" t="e">
        <f t="shared" ref="J3:J17" si="4">FIND("target:",G3)+7</f>
        <v>#VALUE!</v>
      </c>
      <c r="K3" s="59">
        <f t="shared" ref="K3:K17" si="5">FIND(",",G3,I3+1)</f>
        <v>32</v>
      </c>
      <c r="L3" s="59" t="str">
        <f>IFERROR(VLOOKUP(MID(G3,J3,K3-J3),[5]skilldef!$C:$D,2,FALSE),"-") &amp; " / " &amp; IFERROR(VLOOKUP(MID(G3,H3,I3-H3),[5]skilldef!$A:$B,2,FALSE),"-")</f>
        <v>- / -</v>
      </c>
      <c r="M3" s="59" t="str">
        <f t="shared" si="1"/>
        <v>[effect:damage_anti_color, target:unit_all, color:yellow, val1:1, val2:0.2]</v>
      </c>
      <c r="N3" s="46" t="str">
        <f t="shared" ref="N3:N4" si="6">IFERROR(LEFT(M3,FIND("],",M3)+S13),M3)</f>
        <v>[effect:damage_anti_color, target:unit_all, color:yellow, val1:1, val2:0.2]</v>
      </c>
      <c r="O3" s="59">
        <f t="shared" ref="O3:O50" si="7">FIND("effect:",N3)+7</f>
        <v>9</v>
      </c>
      <c r="P3" s="59">
        <f t="shared" ref="P3:P17" si="8">IFERROR(FIND(",",N3),LEN(N3))</f>
        <v>26</v>
      </c>
      <c r="Q3" s="59">
        <f t="shared" ref="Q3:Q17" si="9">FIND("target:",N3)+7</f>
        <v>35</v>
      </c>
      <c r="R3" s="59">
        <f t="shared" ref="R3:R17" si="10">FIND(",",N3,P3+1)</f>
        <v>43</v>
      </c>
      <c r="S3" s="59" t="str">
        <f>IFERROR(VLOOKUP(MID(N3,Q3,R3-Q3),[5]skilldef!$C:$D,2,FALSE),"-") &amp; " / " &amp; IFERROR(VLOOKUP(MID(N3,O3,P3-O3),[5]skilldef!$A:$B,2,FALSE),"-")</f>
        <v>味方全体に / 属性キラー</v>
      </c>
      <c r="T3" s="46" t="str">
        <f t="shared" ref="T3:T17" si="11">IFERROR(RIGHT(M3,LEN(M3)-FIND("],",M3)-1),"none")</f>
        <v>none</v>
      </c>
      <c r="U3" s="59" t="e">
        <f t="shared" ref="U3:U50" si="12">FIND("effect:",T3)+7</f>
        <v>#VALUE!</v>
      </c>
      <c r="V3" s="59">
        <f t="shared" ref="V3:V17" si="13">IFERROR(FIND(",",T3),LEN(T3))</f>
        <v>4</v>
      </c>
      <c r="W3" s="59" t="e">
        <f t="shared" ref="W3:W17" si="14">FIND("target:",T3)+7</f>
        <v>#VALUE!</v>
      </c>
      <c r="X3" s="59" t="e">
        <f t="shared" ref="X3:X17" si="15">FIND(",",T3,V3+1)</f>
        <v>#VALUE!</v>
      </c>
      <c r="Y3" s="59" t="str">
        <f>IFERROR(VLOOKUP(MID(T3,W3,X3-W3),[5]skilldef!$C:$D,2,FALSE),"-") &amp; " / " &amp; IFERROR(VLOOKUP(MID(T3,U3,V3-U3),[5]skilldef!$A:$B,2,FALSE),"-")</f>
        <v>- / -</v>
      </c>
      <c r="Z3" s="48"/>
      <c r="AA3" s="49"/>
      <c r="AB3" s="48"/>
    </row>
    <row r="4" spans="1:28" ht="21" customHeight="1" x14ac:dyDescent="0.15">
      <c r="A4" s="113">
        <v>40042113</v>
      </c>
      <c r="B4" s="97" t="s">
        <v>469</v>
      </c>
      <c r="C4" s="98">
        <v>3</v>
      </c>
      <c r="D4" s="98" t="s">
        <v>127</v>
      </c>
      <c r="E4" s="99" t="s">
        <v>510</v>
      </c>
      <c r="F4" s="99" t="s">
        <v>451</v>
      </c>
      <c r="G4" s="59" t="str">
        <f t="shared" si="0"/>
        <v>[effect:enemy_message, val1:1.2, val2:0.0]</v>
      </c>
      <c r="H4" s="59">
        <f t="shared" si="2"/>
        <v>9</v>
      </c>
      <c r="I4" s="59">
        <f t="shared" si="3"/>
        <v>22</v>
      </c>
      <c r="J4" s="59" t="e">
        <f t="shared" si="4"/>
        <v>#VALUE!</v>
      </c>
      <c r="K4" s="59">
        <f t="shared" si="5"/>
        <v>32</v>
      </c>
      <c r="L4" s="59" t="str">
        <f>IFERROR(VLOOKUP(MID(G4,J4,K4-J4),[5]skilldef!$C:$D,2,FALSE),"-") &amp; " / " &amp; IFERROR(VLOOKUP(MID(G4,H4,I4-H4),[5]skilldef!$A:$B,2,FALSE),"-")</f>
        <v>- / -</v>
      </c>
      <c r="M4" s="59" t="str">
        <f t="shared" si="1"/>
        <v>[effect:suicide, target:myself, val:1, dead_type:suicide]</v>
      </c>
      <c r="N4" s="46" t="str">
        <f t="shared" si="6"/>
        <v>[effect:suicide, target:myself, val:1, dead_type:suicide]</v>
      </c>
      <c r="O4" s="59">
        <f t="shared" si="7"/>
        <v>9</v>
      </c>
      <c r="P4" s="59">
        <f t="shared" si="8"/>
        <v>16</v>
      </c>
      <c r="Q4" s="59">
        <f t="shared" si="9"/>
        <v>25</v>
      </c>
      <c r="R4" s="59">
        <f t="shared" si="10"/>
        <v>31</v>
      </c>
      <c r="S4" s="59" t="str">
        <f>IFERROR(VLOOKUP(MID(N4,Q4,R4-Q4),[5]skilldef!$C:$D,2,FALSE),"-") &amp; " / " &amp; IFERROR(VLOOKUP(MID(N4,O4,P4-O4),[5]skilldef!$A:$B,2,FALSE),"-")</f>
        <v>自分自身に / -</v>
      </c>
      <c r="T4" s="46" t="str">
        <f t="shared" si="11"/>
        <v>none</v>
      </c>
      <c r="U4" s="59" t="e">
        <f t="shared" si="12"/>
        <v>#VALUE!</v>
      </c>
      <c r="V4" s="59">
        <f t="shared" si="13"/>
        <v>4</v>
      </c>
      <c r="W4" s="59" t="e">
        <f t="shared" si="14"/>
        <v>#VALUE!</v>
      </c>
      <c r="X4" s="59" t="e">
        <f t="shared" si="15"/>
        <v>#VALUE!</v>
      </c>
      <c r="Y4" s="59" t="str">
        <f>IFERROR(VLOOKUP(MID(T4,W4,X4-W4),[5]skilldef!$C:$D,2,FALSE),"-") &amp; " / " &amp; IFERROR(VLOOKUP(MID(T4,U4,V4-U4),[5]skilldef!$A:$B,2,FALSE),"-")</f>
        <v>- / -</v>
      </c>
      <c r="Z4" s="48"/>
      <c r="AA4" s="49"/>
      <c r="AB4" s="48"/>
    </row>
    <row r="5" spans="1:28" ht="21" customHeight="1" x14ac:dyDescent="0.15">
      <c r="A5" s="114">
        <v>40042121</v>
      </c>
      <c r="B5" s="103" t="s">
        <v>471</v>
      </c>
      <c r="C5" s="104">
        <v>3</v>
      </c>
      <c r="D5" s="104" t="s">
        <v>127</v>
      </c>
      <c r="E5" s="105" t="s">
        <v>448</v>
      </c>
      <c r="F5" s="105" t="s">
        <v>397</v>
      </c>
      <c r="G5" s="59" t="str">
        <f t="shared" si="0"/>
        <v>[effect:enemy_message, val1:1.2, val2:2.2]</v>
      </c>
      <c r="H5" s="59">
        <f t="shared" si="2"/>
        <v>9</v>
      </c>
      <c r="I5" s="59">
        <f t="shared" si="3"/>
        <v>22</v>
      </c>
      <c r="J5" s="59" t="e">
        <f t="shared" si="4"/>
        <v>#VALUE!</v>
      </c>
      <c r="K5" s="59">
        <f t="shared" si="5"/>
        <v>32</v>
      </c>
      <c r="L5" s="59" t="str">
        <f>IFERROR(VLOOKUP(MID(G5,J5,K5-J5),[5]skilldef!$C:$D,2,FALSE),"-") &amp; " / " &amp; IFERROR(VLOOKUP(MID(G5,H5,I5-H5),[5]skilldef!$A:$B,2,FALSE),"-")</f>
        <v>- / -</v>
      </c>
      <c r="M5" s="59" t="str">
        <f t="shared" si="1"/>
        <v>[effect:force_change_block, new_block:time_bomb, target:block_heart, count:0, val:0.2, min_time_count:2, max_time_count:3, animation:change_block]</v>
      </c>
      <c r="N5" s="46" t="str">
        <f>IFERROR(LEFT(M5,FIND("],",M5)+S16),M5)</f>
        <v>[effect:force_change_block, new_block:time_bomb, target:block_heart, count:0, val:0.2, min_time_count:2, max_time_count:3, animation:change_block]</v>
      </c>
      <c r="O5" s="59">
        <f t="shared" si="7"/>
        <v>9</v>
      </c>
      <c r="P5" s="59">
        <f t="shared" si="8"/>
        <v>27</v>
      </c>
      <c r="Q5" s="59">
        <f t="shared" si="9"/>
        <v>57</v>
      </c>
      <c r="R5" s="59">
        <f t="shared" si="10"/>
        <v>48</v>
      </c>
      <c r="S5" s="59" t="str">
        <f>IFERROR(VLOOKUP(MID(N5,Q5,R5-Q5),[5]skilldef!$C:$D,2,FALSE),"-") &amp; " / " &amp; IFERROR(VLOOKUP(MID(N5,O5,P5-O5),[5]skilldef!$A:$B,2,FALSE),"-")</f>
        <v>- / -</v>
      </c>
      <c r="T5" s="46" t="str">
        <f t="shared" si="11"/>
        <v>none</v>
      </c>
      <c r="U5" s="59" t="e">
        <f t="shared" si="12"/>
        <v>#VALUE!</v>
      </c>
      <c r="V5" s="59">
        <f t="shared" si="13"/>
        <v>4</v>
      </c>
      <c r="W5" s="59" t="e">
        <f t="shared" si="14"/>
        <v>#VALUE!</v>
      </c>
      <c r="X5" s="59" t="e">
        <f t="shared" si="15"/>
        <v>#VALUE!</v>
      </c>
      <c r="Y5" s="59" t="str">
        <f>IFERROR(VLOOKUP(MID(T5,W5,X5-W5),[5]skilldef!$C:$D,2,FALSE),"-") &amp; " / " &amp; IFERROR(VLOOKUP(MID(T5,U5,V5-U5),[5]skilldef!$A:$B,2,FALSE),"-")</f>
        <v>- / -</v>
      </c>
      <c r="Z5" s="48"/>
      <c r="AA5" s="49"/>
      <c r="AB5" s="48"/>
    </row>
    <row r="6" spans="1:28" ht="21" customHeight="1" x14ac:dyDescent="0.15">
      <c r="A6" s="114">
        <v>40042122</v>
      </c>
      <c r="B6" s="103" t="s">
        <v>473</v>
      </c>
      <c r="C6" s="104">
        <v>3</v>
      </c>
      <c r="D6" s="104" t="s">
        <v>127</v>
      </c>
      <c r="E6" s="105" t="s">
        <v>311</v>
      </c>
      <c r="F6" s="105" t="s">
        <v>452</v>
      </c>
      <c r="G6" s="59" t="str">
        <f t="shared" si="0"/>
        <v>[effect:enemy_message, val1:1.2, val2:2.4]</v>
      </c>
      <c r="H6" s="59">
        <f t="shared" si="2"/>
        <v>9</v>
      </c>
      <c r="I6" s="59">
        <f t="shared" si="3"/>
        <v>22</v>
      </c>
      <c r="J6" s="59" t="e">
        <f t="shared" si="4"/>
        <v>#VALUE!</v>
      </c>
      <c r="K6" s="59">
        <f t="shared" si="5"/>
        <v>32</v>
      </c>
      <c r="L6" s="59" t="str">
        <f>IFERROR(VLOOKUP(MID(G6,J6,K6-J6),[5]skilldef!$C:$D,2,FALSE),"-") &amp; " / " &amp; IFERROR(VLOOKUP(MID(G6,H6,I6-H6),[5]skilldef!$A:$B,2,FALSE),"-")</f>
        <v>- / -</v>
      </c>
      <c r="M6" s="59" t="str">
        <f t="shared" si="1"/>
        <v>[effect:force_change_block, new_block:time_bomb, target:block_heart, count:5, val:0.2, animation:change_block]</v>
      </c>
      <c r="N6" s="46" t="str">
        <f>IFERROR(LEFT(M6,FIND("],",M6)+S17),M6)</f>
        <v>[effect:force_change_block, new_block:time_bomb, target:block_heart, count:5, val:0.2, animation:change_block]</v>
      </c>
      <c r="O6" s="59">
        <f t="shared" si="7"/>
        <v>9</v>
      </c>
      <c r="P6" s="59">
        <f t="shared" si="8"/>
        <v>27</v>
      </c>
      <c r="Q6" s="59">
        <f t="shared" si="9"/>
        <v>57</v>
      </c>
      <c r="R6" s="59">
        <f t="shared" si="10"/>
        <v>48</v>
      </c>
      <c r="S6" s="59" t="str">
        <f>IFERROR(VLOOKUP(MID(N6,Q6,R6-Q6),[5]skilldef!$C:$D,2,FALSE),"-") &amp; " / " &amp; IFERROR(VLOOKUP(MID(N6,O6,P6-O6),[5]skilldef!$A:$B,2,FALSE),"-")</f>
        <v>- / -</v>
      </c>
      <c r="T6" s="46" t="str">
        <f t="shared" si="11"/>
        <v>none</v>
      </c>
      <c r="U6" s="59" t="e">
        <f t="shared" si="12"/>
        <v>#VALUE!</v>
      </c>
      <c r="V6" s="59">
        <f t="shared" si="13"/>
        <v>4</v>
      </c>
      <c r="W6" s="59" t="e">
        <f t="shared" si="14"/>
        <v>#VALUE!</v>
      </c>
      <c r="X6" s="59" t="e">
        <f t="shared" si="15"/>
        <v>#VALUE!</v>
      </c>
      <c r="Y6" s="59" t="str">
        <f>IFERROR(VLOOKUP(MID(T6,W6,X6-W6),[5]skilldef!$C:$D,2,FALSE),"-") &amp; " / " &amp; IFERROR(VLOOKUP(MID(T6,U6,V6-U6),[5]skilldef!$A:$B,2,FALSE),"-")</f>
        <v>- / -</v>
      </c>
      <c r="Z6" s="48"/>
      <c r="AA6" s="49"/>
      <c r="AB6" s="48"/>
    </row>
    <row r="7" spans="1:28" ht="21" customHeight="1" x14ac:dyDescent="0.15">
      <c r="A7" s="114">
        <v>40042123</v>
      </c>
      <c r="B7" s="103" t="s">
        <v>471</v>
      </c>
      <c r="C7" s="104">
        <v>3</v>
      </c>
      <c r="D7" s="104" t="s">
        <v>127</v>
      </c>
      <c r="E7" s="105" t="s">
        <v>312</v>
      </c>
      <c r="F7" s="105" t="s">
        <v>398</v>
      </c>
      <c r="G7" s="59" t="str">
        <f t="shared" si="0"/>
        <v>[effect:enemy_message, val1:1.2, val2:2.2]</v>
      </c>
      <c r="H7" s="59">
        <f t="shared" si="2"/>
        <v>9</v>
      </c>
      <c r="I7" s="59">
        <f t="shared" si="3"/>
        <v>22</v>
      </c>
      <c r="J7" s="59" t="e">
        <f t="shared" si="4"/>
        <v>#VALUE!</v>
      </c>
      <c r="K7" s="59">
        <f t="shared" si="5"/>
        <v>32</v>
      </c>
      <c r="L7" s="59" t="str">
        <f>IFERROR(VLOOKUP(MID(G7,J7,K7-J7),[5]skilldef!$C:$D,2,FALSE),"-") &amp; " / " &amp; IFERROR(VLOOKUP(MID(G7,H7,I7-H7),[5]skilldef!$A:$B,2,FALSE),"-")</f>
        <v>- / -</v>
      </c>
      <c r="M7" s="59" t="str">
        <f t="shared" si="1"/>
        <v>[effect:force_change_block, new_block:time_bomb, target:block_heart, count:0, val:0.2, min_time_count:2, max_time_count:3, animation:change_block]</v>
      </c>
      <c r="N7" s="46" t="str">
        <f>IFERROR(LEFT(M7,FIND("],",M7)+S18),M7)</f>
        <v>[effect:force_change_block, new_block:time_bomb, target:block_heart, count:0, val:0.2, min_time_count:2, max_time_count:3, animation:change_block]</v>
      </c>
      <c r="O7" s="59">
        <f t="shared" si="7"/>
        <v>9</v>
      </c>
      <c r="P7" s="59">
        <f t="shared" si="8"/>
        <v>27</v>
      </c>
      <c r="Q7" s="59">
        <f t="shared" si="9"/>
        <v>57</v>
      </c>
      <c r="R7" s="59">
        <f t="shared" si="10"/>
        <v>48</v>
      </c>
      <c r="S7" s="59" t="str">
        <f>IFERROR(VLOOKUP(MID(N7,Q7,R7-Q7),[5]skilldef!$C:$D,2,FALSE),"-") &amp; " / " &amp; IFERROR(VLOOKUP(MID(N7,O7,P7-O7),[5]skilldef!$A:$B,2,FALSE),"-")</f>
        <v>- / -</v>
      </c>
      <c r="T7" s="46" t="str">
        <f t="shared" si="11"/>
        <v>none</v>
      </c>
      <c r="U7" s="59" t="e">
        <f t="shared" si="12"/>
        <v>#VALUE!</v>
      </c>
      <c r="V7" s="59">
        <f t="shared" si="13"/>
        <v>4</v>
      </c>
      <c r="W7" s="59" t="e">
        <f t="shared" si="14"/>
        <v>#VALUE!</v>
      </c>
      <c r="X7" s="59" t="e">
        <f t="shared" si="15"/>
        <v>#VALUE!</v>
      </c>
      <c r="Y7" s="59" t="str">
        <f>IFERROR(VLOOKUP(MID(T7,W7,X7-W7),[5]skilldef!$C:$D,2,FALSE),"-") &amp; " / " &amp; IFERROR(VLOOKUP(MID(T7,U7,V7-U7),[5]skilldef!$A:$B,2,FALSE),"-")</f>
        <v>- / -</v>
      </c>
      <c r="Z7" s="48"/>
      <c r="AA7" s="49"/>
      <c r="AB7" s="48"/>
    </row>
    <row r="8" spans="1:28" ht="21" customHeight="1" x14ac:dyDescent="0.15">
      <c r="A8" s="115">
        <v>40042211</v>
      </c>
      <c r="B8" s="100" t="s">
        <v>474</v>
      </c>
      <c r="C8" s="101">
        <v>3</v>
      </c>
      <c r="D8" s="101" t="s">
        <v>127</v>
      </c>
      <c r="E8" s="102" t="s">
        <v>313</v>
      </c>
      <c r="F8" s="102" t="s">
        <v>318</v>
      </c>
      <c r="G8" s="59" t="str">
        <f t="shared" si="0"/>
        <v>[effect:enemy_message, val1:1.2, val2:1.5]</v>
      </c>
      <c r="H8" s="59">
        <f t="shared" si="2"/>
        <v>9</v>
      </c>
      <c r="I8" s="59">
        <f t="shared" si="3"/>
        <v>22</v>
      </c>
      <c r="J8" s="59" t="e">
        <f t="shared" si="4"/>
        <v>#VALUE!</v>
      </c>
      <c r="K8" s="59">
        <f t="shared" si="5"/>
        <v>32</v>
      </c>
      <c r="L8" s="59" t="str">
        <f>IFERROR(VLOOKUP(MID(G8,J8,K8-J8),[5]skilldef!$C:$D,2,FALSE),"-") &amp; " / " &amp; IFERROR(VLOOKUP(MID(G8,H8,I8-H8),[5]skilldef!$A:$B,2,FALSE),"-")</f>
        <v>- / -</v>
      </c>
      <c r="M8" s="59" t="str">
        <f t="shared" si="1"/>
        <v>[effect:break_attack, target:unit_all, val:0.04, lowest_val:1000, count:-1, color:yellow, block01:block_heart]</v>
      </c>
      <c r="N8" s="46" t="str">
        <f t="shared" ref="N8:N15" si="16">IFERROR(LEFT(M8,FIND("],",M8)+S20),M8)</f>
        <v>[effect:break_attack, target:unit_all, val:0.04, lowest_val:1000, count:-1, color:yellow, block01:block_heart]</v>
      </c>
      <c r="O8" s="59">
        <f t="shared" si="7"/>
        <v>9</v>
      </c>
      <c r="P8" s="59">
        <f t="shared" si="8"/>
        <v>21</v>
      </c>
      <c r="Q8" s="59">
        <f t="shared" si="9"/>
        <v>30</v>
      </c>
      <c r="R8" s="59">
        <f t="shared" si="10"/>
        <v>38</v>
      </c>
      <c r="S8" s="59" t="str">
        <f>IFERROR(VLOOKUP(MID(N8,Q8,R8-Q8),[5]skilldef!$C:$D,2,FALSE),"-") &amp; " / " &amp; IFERROR(VLOOKUP(MID(N8,O8,P8-O8),[5]skilldef!$A:$B,2,FALSE),"-")</f>
        <v>味方全体に / -</v>
      </c>
      <c r="T8" s="46" t="str">
        <f t="shared" si="11"/>
        <v>none</v>
      </c>
      <c r="U8" s="59" t="e">
        <f t="shared" si="12"/>
        <v>#VALUE!</v>
      </c>
      <c r="V8" s="59">
        <f t="shared" si="13"/>
        <v>4</v>
      </c>
      <c r="W8" s="59" t="e">
        <f t="shared" si="14"/>
        <v>#VALUE!</v>
      </c>
      <c r="X8" s="59" t="e">
        <f t="shared" si="15"/>
        <v>#VALUE!</v>
      </c>
      <c r="Y8" s="59" t="str">
        <f>IFERROR(VLOOKUP(MID(T8,W8,X8-W8),[5]skilldef!$C:$D,2,FALSE),"-") &amp; " / " &amp; IFERROR(VLOOKUP(MID(T8,U8,V8-U8),[5]skilldef!$A:$B,2,FALSE),"-")</f>
        <v>- / -</v>
      </c>
      <c r="Z8" s="48"/>
      <c r="AA8" s="49"/>
      <c r="AB8" s="48"/>
    </row>
    <row r="9" spans="1:28" ht="21" customHeight="1" x14ac:dyDescent="0.15">
      <c r="A9" s="115">
        <v>40042212</v>
      </c>
      <c r="B9" s="100" t="s">
        <v>469</v>
      </c>
      <c r="C9" s="101">
        <v>3</v>
      </c>
      <c r="D9" s="101" t="s">
        <v>127</v>
      </c>
      <c r="E9" s="102" t="s">
        <v>315</v>
      </c>
      <c r="F9" s="102" t="s">
        <v>450</v>
      </c>
      <c r="G9" s="59" t="str">
        <f t="shared" si="0"/>
        <v>[effect:enemy_message, val1:1.2, val2:0.0]</v>
      </c>
      <c r="H9" s="59">
        <f t="shared" si="2"/>
        <v>9</v>
      </c>
      <c r="I9" s="59">
        <f t="shared" si="3"/>
        <v>22</v>
      </c>
      <c r="J9" s="59" t="e">
        <f t="shared" si="4"/>
        <v>#VALUE!</v>
      </c>
      <c r="K9" s="59">
        <f t="shared" si="5"/>
        <v>32</v>
      </c>
      <c r="L9" s="59" t="str">
        <f>IFERROR(VLOOKUP(MID(G9,J9,K9-J9),[5]skilldef!$C:$D,2,FALSE),"-") &amp; " / " &amp; IFERROR(VLOOKUP(MID(G9,H9,I9-H9),[5]skilldef!$A:$B,2,FALSE),"-")</f>
        <v>- / -</v>
      </c>
      <c r="M9" s="59" t="str">
        <f t="shared" si="1"/>
        <v>[effect:suicide, target:myself, val:1, dead_type:suicide]</v>
      </c>
      <c r="N9" s="46" t="str">
        <f t="shared" si="16"/>
        <v>[effect:suicide, target:myself, val:1, dead_type:suicide]</v>
      </c>
      <c r="O9" s="59">
        <f t="shared" si="7"/>
        <v>9</v>
      </c>
      <c r="P9" s="59">
        <f t="shared" si="8"/>
        <v>16</v>
      </c>
      <c r="Q9" s="59">
        <f t="shared" si="9"/>
        <v>25</v>
      </c>
      <c r="R9" s="59">
        <f t="shared" si="10"/>
        <v>31</v>
      </c>
      <c r="S9" s="59" t="str">
        <f>IFERROR(VLOOKUP(MID(N9,Q9,R9-Q9),[5]skilldef!$C:$D,2,FALSE),"-") &amp; " / " &amp; IFERROR(VLOOKUP(MID(N9,O9,P9-O9),[5]skilldef!$A:$B,2,FALSE),"-")</f>
        <v>自分自身に / -</v>
      </c>
      <c r="T9" s="46" t="str">
        <f t="shared" si="11"/>
        <v>none</v>
      </c>
      <c r="U9" s="59" t="e">
        <f t="shared" si="12"/>
        <v>#VALUE!</v>
      </c>
      <c r="V9" s="59">
        <f t="shared" si="13"/>
        <v>4</v>
      </c>
      <c r="W9" s="59" t="e">
        <f t="shared" si="14"/>
        <v>#VALUE!</v>
      </c>
      <c r="X9" s="59" t="e">
        <f t="shared" si="15"/>
        <v>#VALUE!</v>
      </c>
      <c r="Y9" s="59" t="str">
        <f>IFERROR(VLOOKUP(MID(T9,W9,X9-W9),[5]skilldef!$C:$D,2,FALSE),"-") &amp; " / " &amp; IFERROR(VLOOKUP(MID(T9,U9,V9-U9),[5]skilldef!$A:$B,2,FALSE),"-")</f>
        <v>- / -</v>
      </c>
      <c r="Z9" s="48"/>
      <c r="AA9" s="49"/>
      <c r="AB9" s="48"/>
    </row>
    <row r="10" spans="1:28" ht="21" customHeight="1" x14ac:dyDescent="0.15">
      <c r="A10" s="116">
        <v>40042221</v>
      </c>
      <c r="B10" s="109" t="s">
        <v>476</v>
      </c>
      <c r="C10" s="110">
        <v>3</v>
      </c>
      <c r="D10" s="110" t="s">
        <v>127</v>
      </c>
      <c r="E10" s="111" t="s">
        <v>314</v>
      </c>
      <c r="F10" s="111" t="s">
        <v>453</v>
      </c>
      <c r="G10" s="59" t="str">
        <f t="shared" si="0"/>
        <v>[effect:enemy_message, val1:1.2, val2:1.9]</v>
      </c>
      <c r="H10" s="59">
        <f t="shared" si="2"/>
        <v>9</v>
      </c>
      <c r="I10" s="59">
        <f t="shared" si="3"/>
        <v>22</v>
      </c>
      <c r="J10" s="59" t="e">
        <f t="shared" si="4"/>
        <v>#VALUE!</v>
      </c>
      <c r="K10" s="59">
        <f t="shared" si="5"/>
        <v>32</v>
      </c>
      <c r="L10" s="59" t="str">
        <f>IFERROR(VLOOKUP(MID(G10,J10,K10-J10),[5]skilldef!$C:$D,2,FALSE),"-") &amp; " / " &amp; IFERROR(VLOOKUP(MID(G10,H10,I10-H10),[5]skilldef!$A:$B,2,FALSE),"-")</f>
        <v>- / -</v>
      </c>
      <c r="M10" s="59" t="str">
        <f t="shared" si="1"/>
        <v>[effect:force_change_block, new_block:damage, target:block_blue, count:8, val:0.05, animation:change_block]</v>
      </c>
      <c r="N10" s="46" t="str">
        <f t="shared" si="16"/>
        <v>[effect:force_change_block, new_block:damage, target:block_blue, count:8, val:0.05, animation:change_block]</v>
      </c>
      <c r="O10" s="59">
        <f t="shared" si="7"/>
        <v>9</v>
      </c>
      <c r="P10" s="59">
        <f t="shared" si="8"/>
        <v>27</v>
      </c>
      <c r="Q10" s="59">
        <f t="shared" si="9"/>
        <v>54</v>
      </c>
      <c r="R10" s="59">
        <f t="shared" si="10"/>
        <v>45</v>
      </c>
      <c r="S10" s="59" t="str">
        <f>IFERROR(VLOOKUP(MID(N10,Q10,R10-Q10),[5]skilldef!$C:$D,2,FALSE),"-") &amp; " / " &amp; IFERROR(VLOOKUP(MID(N10,O10,P10-O10),[5]skilldef!$A:$B,2,FALSE),"-")</f>
        <v>- / -</v>
      </c>
      <c r="T10" s="46" t="str">
        <f t="shared" si="11"/>
        <v>none</v>
      </c>
      <c r="U10" s="59" t="e">
        <f t="shared" si="12"/>
        <v>#VALUE!</v>
      </c>
      <c r="V10" s="59">
        <f t="shared" si="13"/>
        <v>4</v>
      </c>
      <c r="W10" s="59" t="e">
        <f t="shared" si="14"/>
        <v>#VALUE!</v>
      </c>
      <c r="X10" s="59" t="e">
        <f t="shared" si="15"/>
        <v>#VALUE!</v>
      </c>
      <c r="Y10" s="59" t="str">
        <f>IFERROR(VLOOKUP(MID(T10,W10,X10-W10),[5]skilldef!$C:$D,2,FALSE),"-") &amp; " / " &amp; IFERROR(VLOOKUP(MID(T10,U10,V10-U10),[5]skilldef!$A:$B,2,FALSE),"-")</f>
        <v>- / -</v>
      </c>
      <c r="Z10" s="48"/>
      <c r="AA10" s="49"/>
      <c r="AB10" s="48"/>
    </row>
    <row r="11" spans="1:28" ht="21" customHeight="1" x14ac:dyDescent="0.15">
      <c r="A11" s="116">
        <v>40042222</v>
      </c>
      <c r="B11" s="109" t="s">
        <v>478</v>
      </c>
      <c r="C11" s="110">
        <v>3</v>
      </c>
      <c r="D11" s="110" t="s">
        <v>127</v>
      </c>
      <c r="E11" s="111" t="s">
        <v>402</v>
      </c>
      <c r="F11" s="111" t="s">
        <v>454</v>
      </c>
      <c r="G11" s="59" t="str">
        <f t="shared" si="0"/>
        <v>[effect:enemy_message, val1:1.2, val2:1.9]</v>
      </c>
      <c r="H11" s="59">
        <f t="shared" si="2"/>
        <v>9</v>
      </c>
      <c r="I11" s="59">
        <f t="shared" si="3"/>
        <v>22</v>
      </c>
      <c r="J11" s="59" t="e">
        <f t="shared" si="4"/>
        <v>#VALUE!</v>
      </c>
      <c r="K11" s="59">
        <f t="shared" si="5"/>
        <v>32</v>
      </c>
      <c r="L11" s="59" t="str">
        <f>IFERROR(VLOOKUP(MID(G11,J11,K11-J11),[5]skilldef!$C:$D,2,FALSE),"-") &amp; " / " &amp; IFERROR(VLOOKUP(MID(G11,H11,I11-H11),[5]skilldef!$A:$B,2,FALSE),"-")</f>
        <v>- / -</v>
      </c>
      <c r="M11" s="59" t="str">
        <f t="shared" si="1"/>
        <v>[effect:force_change_block, new_block:damage, target:block_blue, count:5, val:0.05, animation:change_block]</v>
      </c>
      <c r="N11" s="46" t="str">
        <f t="shared" si="16"/>
        <v>[effect:force_change_block, new_block:damage, target:block_blue, count:5, val:0.05, animation:change_block]</v>
      </c>
      <c r="O11" s="59">
        <f t="shared" si="7"/>
        <v>9</v>
      </c>
      <c r="P11" s="59">
        <f t="shared" si="8"/>
        <v>27</v>
      </c>
      <c r="Q11" s="59">
        <f t="shared" si="9"/>
        <v>54</v>
      </c>
      <c r="R11" s="59">
        <f t="shared" si="10"/>
        <v>45</v>
      </c>
      <c r="S11" s="59" t="str">
        <f>IFERROR(VLOOKUP(MID(N11,Q11,R11-Q11),[5]skilldef!$C:$D,2,FALSE),"-") &amp; " / " &amp; IFERROR(VLOOKUP(MID(N11,O11,P11-O11),[5]skilldef!$A:$B,2,FALSE),"-")</f>
        <v>- / -</v>
      </c>
      <c r="T11" s="46" t="str">
        <f t="shared" si="11"/>
        <v>none</v>
      </c>
      <c r="U11" s="59" t="e">
        <f t="shared" si="12"/>
        <v>#VALUE!</v>
      </c>
      <c r="V11" s="59">
        <f t="shared" si="13"/>
        <v>4</v>
      </c>
      <c r="W11" s="59" t="e">
        <f t="shared" si="14"/>
        <v>#VALUE!</v>
      </c>
      <c r="X11" s="59" t="e">
        <f t="shared" si="15"/>
        <v>#VALUE!</v>
      </c>
      <c r="Y11" s="59" t="str">
        <f>IFERROR(VLOOKUP(MID(T11,W11,X11-W11),[5]skilldef!$C:$D,2,FALSE),"-") &amp; " / " &amp; IFERROR(VLOOKUP(MID(T11,U11,V11-U11),[5]skilldef!$A:$B,2,FALSE),"-")</f>
        <v>- / -</v>
      </c>
      <c r="Z11" s="48"/>
      <c r="AA11" s="49"/>
      <c r="AB11" s="48"/>
    </row>
    <row r="12" spans="1:28" ht="21" customHeight="1" x14ac:dyDescent="0.15">
      <c r="A12" s="116">
        <v>40042223</v>
      </c>
      <c r="B12" s="109" t="s">
        <v>476</v>
      </c>
      <c r="C12" s="110">
        <v>3</v>
      </c>
      <c r="D12" s="110" t="s">
        <v>127</v>
      </c>
      <c r="E12" s="111" t="s">
        <v>316</v>
      </c>
      <c r="F12" s="111" t="s">
        <v>453</v>
      </c>
      <c r="G12" s="59" t="str">
        <f t="shared" si="0"/>
        <v>[effect:enemy_message, val1:1.2, val2:1.9]</v>
      </c>
      <c r="H12" s="59">
        <f t="shared" si="2"/>
        <v>9</v>
      </c>
      <c r="I12" s="59">
        <f t="shared" si="3"/>
        <v>22</v>
      </c>
      <c r="J12" s="59" t="e">
        <f t="shared" si="4"/>
        <v>#VALUE!</v>
      </c>
      <c r="K12" s="59">
        <f t="shared" si="5"/>
        <v>32</v>
      </c>
      <c r="L12" s="59" t="str">
        <f>IFERROR(VLOOKUP(MID(G12,J12,K12-J12),[5]skilldef!$C:$D,2,FALSE),"-") &amp; " / " &amp; IFERROR(VLOOKUP(MID(G12,H12,I12-H12),[5]skilldef!$A:$B,2,FALSE),"-")</f>
        <v>- / -</v>
      </c>
      <c r="M12" s="59" t="str">
        <f t="shared" si="1"/>
        <v>[effect:force_change_block, new_block:damage, target:block_blue, count:8, val:0.05, animation:change_block]</v>
      </c>
      <c r="N12" s="46" t="str">
        <f t="shared" si="16"/>
        <v>[effect:force_change_block, new_block:damage, target:block_blue, count:8, val:0.05, animation:change_block]</v>
      </c>
      <c r="O12" s="59">
        <f t="shared" si="7"/>
        <v>9</v>
      </c>
      <c r="P12" s="59">
        <f t="shared" si="8"/>
        <v>27</v>
      </c>
      <c r="Q12" s="59">
        <f t="shared" si="9"/>
        <v>54</v>
      </c>
      <c r="R12" s="59">
        <f t="shared" si="10"/>
        <v>45</v>
      </c>
      <c r="S12" s="59" t="str">
        <f>IFERROR(VLOOKUP(MID(N12,Q12,R12-Q12),[5]skilldef!$C:$D,2,FALSE),"-") &amp; " / " &amp; IFERROR(VLOOKUP(MID(N12,O12,P12-O12),[5]skilldef!$A:$B,2,FALSE),"-")</f>
        <v>- / -</v>
      </c>
      <c r="T12" s="46" t="str">
        <f t="shared" si="11"/>
        <v>none</v>
      </c>
      <c r="U12" s="59" t="e">
        <f t="shared" si="12"/>
        <v>#VALUE!</v>
      </c>
      <c r="V12" s="59">
        <f t="shared" si="13"/>
        <v>4</v>
      </c>
      <c r="W12" s="59" t="e">
        <f t="shared" si="14"/>
        <v>#VALUE!</v>
      </c>
      <c r="X12" s="59" t="e">
        <f t="shared" si="15"/>
        <v>#VALUE!</v>
      </c>
      <c r="Y12" s="59" t="str">
        <f>IFERROR(VLOOKUP(MID(T12,W12,X12-W12),[5]skilldef!$C:$D,2,FALSE),"-") &amp; " / " &amp; IFERROR(VLOOKUP(MID(T12,U12,V12-U12),[5]skilldef!$A:$B,2,FALSE),"-")</f>
        <v>- / -</v>
      </c>
      <c r="Z12" s="48"/>
      <c r="AA12" s="49"/>
      <c r="AB12" s="48"/>
    </row>
    <row r="13" spans="1:28" ht="21" customHeight="1" x14ac:dyDescent="0.15">
      <c r="A13" s="113">
        <v>40042311</v>
      </c>
      <c r="B13" s="97" t="s">
        <v>532</v>
      </c>
      <c r="C13" s="98">
        <v>3</v>
      </c>
      <c r="D13" s="98" t="s">
        <v>127</v>
      </c>
      <c r="E13" s="99" t="s">
        <v>425</v>
      </c>
      <c r="F13" s="99" t="s">
        <v>529</v>
      </c>
      <c r="G13" s="59" t="str">
        <f t="shared" si="0"/>
        <v>[effect:enemy_message, val1:1.2, val2:1.5]</v>
      </c>
      <c r="H13" s="59">
        <f t="shared" si="2"/>
        <v>9</v>
      </c>
      <c r="I13" s="59">
        <f t="shared" si="3"/>
        <v>22</v>
      </c>
      <c r="J13" s="59" t="e">
        <f t="shared" si="4"/>
        <v>#VALUE!</v>
      </c>
      <c r="K13" s="59">
        <f t="shared" si="5"/>
        <v>32</v>
      </c>
      <c r="L13" s="59" t="str">
        <f>IFERROR(VLOOKUP(MID(G13,J13,K13-J13),[5]skilldef!$C:$D,2,FALSE),"-") &amp; " / " &amp; IFERROR(VLOOKUP(MID(G13,H13,I13-H13),[5]skilldef!$A:$B,2,FALSE),"-")</f>
        <v>- / -</v>
      </c>
      <c r="M13" s="59" t="str">
        <f t="shared" si="1"/>
        <v>[effect:ability_lock, target:unit_all, turn:1],[effect:sleep, target:unit_all, turn:1, rate:1],[effect:fix_speed, target:myself, turn:1],[effect:panel_freeze, target:time_bomb, count:-1]</v>
      </c>
      <c r="N13" s="46" t="str">
        <f t="shared" si="16"/>
        <v>[effect:ability_lock, target:unit_all, turn:1],[effect:sleep, target:unit_all, turn:1, rate:1],[effect:fix_speed, target:myself, turn:1],[effect:panel_freeze, target:time_bomb, count:-1]</v>
      </c>
      <c r="O13" s="59">
        <f t="shared" si="7"/>
        <v>9</v>
      </c>
      <c r="P13" s="59">
        <f t="shared" si="8"/>
        <v>21</v>
      </c>
      <c r="Q13" s="59">
        <f t="shared" si="9"/>
        <v>30</v>
      </c>
      <c r="R13" s="59">
        <f t="shared" si="10"/>
        <v>38</v>
      </c>
      <c r="S13" s="59" t="str">
        <f>IFERROR(VLOOKUP(MID(N13,Q13,R13-Q13),[5]skilldef!$C:$D,2,FALSE),"-") &amp; " / " &amp; IFERROR(VLOOKUP(MID(N13,O13,P13-O13),[5]skilldef!$A:$B,2,FALSE),"-")</f>
        <v>味方全体に / -</v>
      </c>
      <c r="T13" s="46" t="str">
        <f t="shared" si="11"/>
        <v>[effect:sleep, target:unit_all, turn:1, rate:1],[effect:fix_speed, target:myself, turn:1],[effect:panel_freeze, target:time_bomb, count:-1]</v>
      </c>
      <c r="U13" s="59">
        <f t="shared" si="12"/>
        <v>9</v>
      </c>
      <c r="V13" s="59">
        <f t="shared" si="13"/>
        <v>14</v>
      </c>
      <c r="W13" s="59">
        <f t="shared" si="14"/>
        <v>23</v>
      </c>
      <c r="X13" s="59">
        <f t="shared" si="15"/>
        <v>31</v>
      </c>
      <c r="Y13" s="59" t="str">
        <f>IFERROR(VLOOKUP(MID(T13,W13,X13-W13),[5]skilldef!$C:$D,2,FALSE),"-") &amp; " / " &amp; IFERROR(VLOOKUP(MID(T13,U13,V13-U13),[5]skilldef!$A:$B,2,FALSE),"-")</f>
        <v>味方全体に / スリープ</v>
      </c>
      <c r="Z13" s="48"/>
      <c r="AA13" s="49"/>
      <c r="AB13" s="48"/>
    </row>
    <row r="14" spans="1:28" ht="21" customHeight="1" x14ac:dyDescent="0.15">
      <c r="A14" s="113">
        <v>40042312</v>
      </c>
      <c r="B14" s="97" t="s">
        <v>533</v>
      </c>
      <c r="C14" s="98">
        <v>3</v>
      </c>
      <c r="D14" s="98" t="s">
        <v>127</v>
      </c>
      <c r="E14" s="99" t="s">
        <v>426</v>
      </c>
      <c r="F14" s="99" t="s">
        <v>529</v>
      </c>
      <c r="G14" s="59" t="str">
        <f t="shared" si="0"/>
        <v>[effect:enemy_message, val1:1.4, val2:1.5]</v>
      </c>
      <c r="H14" s="59">
        <f t="shared" si="2"/>
        <v>9</v>
      </c>
      <c r="I14" s="59">
        <f t="shared" si="3"/>
        <v>22</v>
      </c>
      <c r="J14" s="59" t="e">
        <f t="shared" si="4"/>
        <v>#VALUE!</v>
      </c>
      <c r="K14" s="59">
        <f t="shared" si="5"/>
        <v>32</v>
      </c>
      <c r="L14" s="59" t="str">
        <f>IFERROR(VLOOKUP(MID(G14,J14,K14-J14),[5]skilldef!$C:$D,2,FALSE),"-") &amp; " / " &amp; IFERROR(VLOOKUP(MID(G14,H14,I14-H14),[5]skilldef!$A:$B,2,FALSE),"-")</f>
        <v>- / -</v>
      </c>
      <c r="M14" s="59" t="str">
        <f t="shared" si="1"/>
        <v>[effect:ability_lock, target:unit_all, turn:1],[effect:sleep, target:unit_all, turn:1, rate:1],[effect:fix_speed, target:myself, turn:1],[effect:panel_freeze, target:time_bomb, count:-1]</v>
      </c>
      <c r="N14" s="46" t="str">
        <f t="shared" si="16"/>
        <v>[effect:ability_lock, target:unit_all, turn:1],[effect:sleep, target:unit_all, turn:1, rate:1],[effect:fix_speed, target:myself, turn:1],[effect:panel_freeze, target:time_bomb, count:-1]</v>
      </c>
      <c r="O14" s="59">
        <f t="shared" si="7"/>
        <v>9</v>
      </c>
      <c r="P14" s="59">
        <f t="shared" si="8"/>
        <v>21</v>
      </c>
      <c r="Q14" s="59">
        <f t="shared" si="9"/>
        <v>30</v>
      </c>
      <c r="R14" s="59">
        <f t="shared" si="10"/>
        <v>38</v>
      </c>
      <c r="S14" s="59" t="str">
        <f>IFERROR(VLOOKUP(MID(N14,Q14,R14-Q14),[5]skilldef!$C:$D,2,FALSE),"-") &amp; " / " &amp; IFERROR(VLOOKUP(MID(N14,O14,P14-O14),[5]skilldef!$A:$B,2,FALSE),"-")</f>
        <v>味方全体に / -</v>
      </c>
      <c r="T14" s="46" t="str">
        <f t="shared" si="11"/>
        <v>[effect:sleep, target:unit_all, turn:1, rate:1],[effect:fix_speed, target:myself, turn:1],[effect:panel_freeze, target:time_bomb, count:-1]</v>
      </c>
      <c r="U14" s="59">
        <f t="shared" si="12"/>
        <v>9</v>
      </c>
      <c r="V14" s="59">
        <f t="shared" si="13"/>
        <v>14</v>
      </c>
      <c r="W14" s="59">
        <f t="shared" si="14"/>
        <v>23</v>
      </c>
      <c r="X14" s="59">
        <f t="shared" si="15"/>
        <v>31</v>
      </c>
      <c r="Y14" s="59" t="str">
        <f>IFERROR(VLOOKUP(MID(T14,W14,X14-W14),[5]skilldef!$C:$D,2,FALSE),"-") &amp; " / " &amp; IFERROR(VLOOKUP(MID(T14,U14,V14-U14),[5]skilldef!$A:$B,2,FALSE),"-")</f>
        <v>味方全体に / スリープ</v>
      </c>
      <c r="Z14" s="48"/>
      <c r="AA14" s="49"/>
      <c r="AB14" s="48"/>
    </row>
    <row r="15" spans="1:28" ht="21" customHeight="1" x14ac:dyDescent="0.15">
      <c r="A15" s="113">
        <v>40042313</v>
      </c>
      <c r="B15" s="97" t="s">
        <v>533</v>
      </c>
      <c r="C15" s="98">
        <v>3</v>
      </c>
      <c r="D15" s="98" t="s">
        <v>127</v>
      </c>
      <c r="E15" s="99" t="s">
        <v>426</v>
      </c>
      <c r="F15" s="99" t="s">
        <v>529</v>
      </c>
      <c r="G15" s="59" t="str">
        <f t="shared" si="0"/>
        <v>[effect:enemy_message, val1:1.4, val2:1.5]</v>
      </c>
      <c r="H15" s="59">
        <f t="shared" ref="H15" si="17">FIND("effect:",G15)+7</f>
        <v>9</v>
      </c>
      <c r="I15" s="59">
        <f t="shared" ref="I15" si="18">IFERROR(FIND(",",G15),LEN(G15))</f>
        <v>22</v>
      </c>
      <c r="J15" s="59" t="e">
        <f t="shared" ref="J15" si="19">FIND("target:",G15)+7</f>
        <v>#VALUE!</v>
      </c>
      <c r="K15" s="59">
        <f t="shared" ref="K15" si="20">FIND(",",G15,I15+1)</f>
        <v>32</v>
      </c>
      <c r="L15" s="59" t="str">
        <f>IFERROR(VLOOKUP(MID(G15,J15,K15-J15),[5]skilldef!$C:$D,2,FALSE),"-") &amp; " / " &amp; IFERROR(VLOOKUP(MID(G15,H15,I15-H15),[5]skilldef!$A:$B,2,FALSE),"-")</f>
        <v>- / -</v>
      </c>
      <c r="M15" s="59" t="str">
        <f t="shared" si="1"/>
        <v>[effect:ability_lock, target:unit_all, turn:1],[effect:sleep, target:unit_all, turn:1, rate:1],[effect:fix_speed, target:myself, turn:1],[effect:panel_freeze, target:time_bomb, count:-1]</v>
      </c>
      <c r="N15" s="46" t="str">
        <f t="shared" si="16"/>
        <v>[effect:ability_lock, target:unit_all, turn:1],[effect:sleep, target:unit_all, turn:1, rate:1],[effect:fix_speed, target:myself, turn:1],[effect:panel_freeze, target:time_bomb, count:-1]</v>
      </c>
      <c r="O15" s="59">
        <f t="shared" ref="O15" si="21">FIND("effect:",N15)+7</f>
        <v>9</v>
      </c>
      <c r="P15" s="59">
        <f t="shared" ref="P15" si="22">IFERROR(FIND(",",N15),LEN(N15))</f>
        <v>21</v>
      </c>
      <c r="Q15" s="59">
        <f t="shared" ref="Q15" si="23">FIND("target:",N15)+7</f>
        <v>30</v>
      </c>
      <c r="R15" s="59">
        <f t="shared" ref="R15" si="24">FIND(",",N15,P15+1)</f>
        <v>38</v>
      </c>
      <c r="S15" s="59" t="str">
        <f>IFERROR(VLOOKUP(MID(N15,Q15,R15-Q15),[5]skilldef!$C:$D,2,FALSE),"-") &amp; " / " &amp; IFERROR(VLOOKUP(MID(N15,O15,P15-O15),[5]skilldef!$A:$B,2,FALSE),"-")</f>
        <v>味方全体に / -</v>
      </c>
      <c r="T15" s="46" t="str">
        <f t="shared" ref="T15" si="25">IFERROR(RIGHT(M15,LEN(M15)-FIND("],",M15)-1),"none")</f>
        <v>[effect:sleep, target:unit_all, turn:1, rate:1],[effect:fix_speed, target:myself, turn:1],[effect:panel_freeze, target:time_bomb, count:-1]</v>
      </c>
      <c r="U15" s="59">
        <f t="shared" ref="U15" si="26">FIND("effect:",T15)+7</f>
        <v>9</v>
      </c>
      <c r="V15" s="59">
        <f t="shared" ref="V15" si="27">IFERROR(FIND(",",T15),LEN(T15))</f>
        <v>14</v>
      </c>
      <c r="W15" s="59">
        <f t="shared" ref="W15" si="28">FIND("target:",T15)+7</f>
        <v>23</v>
      </c>
      <c r="X15" s="59">
        <f t="shared" ref="X15" si="29">FIND(",",T15,V15+1)</f>
        <v>31</v>
      </c>
      <c r="Y15" s="59" t="str">
        <f>IFERROR(VLOOKUP(MID(T15,W15,X15-W15),[5]skilldef!$C:$D,2,FALSE),"-") &amp; " / " &amp; IFERROR(VLOOKUP(MID(T15,U15,V15-U15),[5]skilldef!$A:$B,2,FALSE),"-")</f>
        <v>味方全体に / スリープ</v>
      </c>
      <c r="Z15" s="48"/>
      <c r="AA15" s="49"/>
      <c r="AB15" s="48"/>
    </row>
    <row r="16" spans="1:28" ht="21" customHeight="1" x14ac:dyDescent="0.15">
      <c r="A16" s="113">
        <v>40042314</v>
      </c>
      <c r="B16" s="97" t="s">
        <v>534</v>
      </c>
      <c r="C16" s="98">
        <v>3</v>
      </c>
      <c r="D16" s="98" t="s">
        <v>127</v>
      </c>
      <c r="E16" s="99" t="s">
        <v>427</v>
      </c>
      <c r="F16" s="99" t="s">
        <v>530</v>
      </c>
      <c r="G16" s="59" t="str">
        <f t="shared" si="0"/>
        <v>[effect:enemy_message, val1:1.8, val2:3.0]</v>
      </c>
      <c r="H16" s="59">
        <f t="shared" si="2"/>
        <v>9</v>
      </c>
      <c r="I16" s="59">
        <f t="shared" si="3"/>
        <v>22</v>
      </c>
      <c r="J16" s="59" t="e">
        <f t="shared" si="4"/>
        <v>#VALUE!</v>
      </c>
      <c r="K16" s="59">
        <f t="shared" si="5"/>
        <v>32</v>
      </c>
      <c r="L16" s="59" t="str">
        <f>IFERROR(VLOOKUP(MID(G16,J16,K16-J16),[5]skilldef!$C:$D,2,FALSE),"-") &amp; " / " &amp; IFERROR(VLOOKUP(MID(G16,H16,I16-H16),[5]skilldef!$A:$B,2,FALSE),"-")</f>
        <v>- / -</v>
      </c>
      <c r="M16" s="59" t="str">
        <f t="shared" si="1"/>
        <v>[effect:break_enchance_enemy, target:myself, val:1, lowest_val:1, count:-1, status:defense, turn:1, block01:time_bomb, block02:damage, calc:add],[effect:suicide, target:myself, val:1, dead_type:escape]</v>
      </c>
      <c r="N16" s="46" t="str">
        <f>IFERROR(LEFT(M16,FIND("],",M16)+S27),M16)</f>
        <v>[effect:break_enchance_enemy, target:myself, val:1, lowest_val:1, count:-1, status:defense, turn:1, block01:time_bomb, block02:damage, calc:add],[effect:suicide, target:myself, val:1, dead_type:escape]</v>
      </c>
      <c r="O16" s="59">
        <f t="shared" si="7"/>
        <v>9</v>
      </c>
      <c r="P16" s="59">
        <f t="shared" si="8"/>
        <v>29</v>
      </c>
      <c r="Q16" s="59">
        <f t="shared" si="9"/>
        <v>38</v>
      </c>
      <c r="R16" s="59">
        <f t="shared" si="10"/>
        <v>44</v>
      </c>
      <c r="S16" s="59" t="str">
        <f>IFERROR(VLOOKUP(MID(N16,Q16,R16-Q16),[5]skilldef!$C:$D,2,FALSE),"-") &amp; " / " &amp; IFERROR(VLOOKUP(MID(N16,O16,P16-O16),[5]skilldef!$A:$B,2,FALSE),"-")</f>
        <v>自分自身に / -</v>
      </c>
      <c r="T16" s="46" t="str">
        <f t="shared" si="11"/>
        <v>[effect:suicide, target:myself, val:1, dead_type:escape]</v>
      </c>
      <c r="U16" s="59">
        <f t="shared" si="12"/>
        <v>9</v>
      </c>
      <c r="V16" s="59">
        <f t="shared" si="13"/>
        <v>16</v>
      </c>
      <c r="W16" s="59">
        <f t="shared" si="14"/>
        <v>25</v>
      </c>
      <c r="X16" s="59">
        <f t="shared" si="15"/>
        <v>31</v>
      </c>
      <c r="Y16" s="59" t="str">
        <f>IFERROR(VLOOKUP(MID(T16,W16,X16-W16),[5]skilldef!$C:$D,2,FALSE),"-") &amp; " / " &amp; IFERROR(VLOOKUP(MID(T16,U16,V16-U16),[5]skilldef!$A:$B,2,FALSE),"-")</f>
        <v>自分自身に / -</v>
      </c>
      <c r="Z16" s="48"/>
      <c r="AA16" s="49"/>
      <c r="AB16" s="48"/>
    </row>
    <row r="17" spans="1:28" ht="21" customHeight="1" x14ac:dyDescent="0.15">
      <c r="A17" s="115">
        <v>40042411</v>
      </c>
      <c r="B17" s="100" t="s">
        <v>480</v>
      </c>
      <c r="C17" s="101">
        <v>3</v>
      </c>
      <c r="D17" s="101" t="s">
        <v>127</v>
      </c>
      <c r="E17" s="102" t="s">
        <v>387</v>
      </c>
      <c r="F17" s="102" t="s">
        <v>321</v>
      </c>
      <c r="G17" s="59" t="str">
        <f t="shared" si="0"/>
        <v>[effect:enemy_message, val1:1.2, val2:1.2]</v>
      </c>
      <c r="H17" s="59">
        <f t="shared" si="2"/>
        <v>9</v>
      </c>
      <c r="I17" s="59">
        <f t="shared" si="3"/>
        <v>22</v>
      </c>
      <c r="J17" s="59" t="e">
        <f t="shared" si="4"/>
        <v>#VALUE!</v>
      </c>
      <c r="K17" s="59">
        <f t="shared" si="5"/>
        <v>32</v>
      </c>
      <c r="L17" s="59" t="str">
        <f>IFERROR(VLOOKUP(MID(G17,J17,K17-J17),[5]skilldef!$C:$D,2,FALSE),"-") &amp; " / " &amp; IFERROR(VLOOKUP(MID(G17,H17,I17-H17),[5]skilldef!$A:$B,2,FALSE),"-")</f>
        <v>- / -</v>
      </c>
      <c r="M17" s="59" t="str">
        <f t="shared" si="1"/>
        <v>[effect:enhance_enemy, target:myself, turn:2, status:attack, val:1.3, calc:mul, animation:enemy_enhance_attack]</v>
      </c>
      <c r="N17" s="46" t="str">
        <f>IFERROR(LEFT(M17,FIND("],",M17)+S29),M17)</f>
        <v>[effect:enhance_enemy, target:myself, turn:2, status:attack, val:1.3, calc:mul, animation:enemy_enhance_attack]</v>
      </c>
      <c r="O17" s="59">
        <f t="shared" si="7"/>
        <v>9</v>
      </c>
      <c r="P17" s="59">
        <f t="shared" si="8"/>
        <v>22</v>
      </c>
      <c r="Q17" s="59">
        <f t="shared" si="9"/>
        <v>31</v>
      </c>
      <c r="R17" s="59">
        <f t="shared" si="10"/>
        <v>37</v>
      </c>
      <c r="S17" s="59" t="str">
        <f>IFERROR(VLOOKUP(MID(N17,Q17,R17-Q17),[5]skilldef!$C:$D,2,FALSE),"-") &amp; " / " &amp; IFERROR(VLOOKUP(MID(N17,O17,P17-O17),[5]skilldef!$A:$B,2,FALSE),"-")</f>
        <v>自分自身に / ステータス強化</v>
      </c>
      <c r="T17" s="46" t="str">
        <f t="shared" si="11"/>
        <v>none</v>
      </c>
      <c r="U17" s="59" t="e">
        <f t="shared" si="12"/>
        <v>#VALUE!</v>
      </c>
      <c r="V17" s="59">
        <f t="shared" si="13"/>
        <v>4</v>
      </c>
      <c r="W17" s="59" t="e">
        <f t="shared" si="14"/>
        <v>#VALUE!</v>
      </c>
      <c r="X17" s="59" t="e">
        <f t="shared" si="15"/>
        <v>#VALUE!</v>
      </c>
      <c r="Y17" s="59" t="str">
        <f>IFERROR(VLOOKUP(MID(T17,W17,X17-W17),[5]skilldef!$C:$D,2,FALSE),"-") &amp; " / " &amp; IFERROR(VLOOKUP(MID(T17,U17,V17-U17),[5]skilldef!$A:$B,2,FALSE),"-")</f>
        <v>- / -</v>
      </c>
      <c r="Z17" s="48"/>
      <c r="AA17" s="49"/>
      <c r="AB17" s="48"/>
    </row>
    <row r="18" spans="1:28" ht="21" customHeight="1" x14ac:dyDescent="0.15">
      <c r="A18" s="115">
        <v>40042412</v>
      </c>
      <c r="B18" s="100" t="s">
        <v>482</v>
      </c>
      <c r="C18" s="101">
        <v>3</v>
      </c>
      <c r="D18" s="101" t="s">
        <v>127</v>
      </c>
      <c r="E18" s="102" t="s">
        <v>388</v>
      </c>
      <c r="F18" s="102" t="s">
        <v>321</v>
      </c>
      <c r="G18" s="59" t="str">
        <f t="shared" si="0"/>
        <v>[effect:enemy_message, val1:1.7, val2:1.2]</v>
      </c>
      <c r="H18" s="59">
        <f t="shared" si="2"/>
        <v>9</v>
      </c>
      <c r="I18" s="59">
        <f t="shared" ref="I18:I27" si="30">IFERROR(FIND(",",G18),LEN(G18))</f>
        <v>22</v>
      </c>
      <c r="J18" s="59" t="e">
        <f t="shared" ref="J18:J27" si="31">FIND("target:",G18)+7</f>
        <v>#VALUE!</v>
      </c>
      <c r="K18" s="59">
        <f t="shared" ref="K18:K27" si="32">FIND(",",G18,I18+1)</f>
        <v>32</v>
      </c>
      <c r="L18" s="59" t="str">
        <f>IFERROR(VLOOKUP(MID(G18,J18,K18-J18),[5]skilldef!$C:$D,2,FALSE),"-") &amp; " / " &amp; IFERROR(VLOOKUP(MID(G18,H18,I18-H18),[5]skilldef!$A:$B,2,FALSE),"-")</f>
        <v>- / -</v>
      </c>
      <c r="M18" s="59" t="str">
        <f t="shared" si="1"/>
        <v>[effect:enhance_enemy, target:myself, turn:2, status:attack, val:1.3, calc:mul, animation:enemy_enhance_attack]</v>
      </c>
      <c r="N18" s="46" t="str">
        <f>IFERROR(LEFT(M18,FIND("],",M18)+S30),M18)</f>
        <v>[effect:enhance_enemy, target:myself, turn:2, status:attack, val:1.3, calc:mul, animation:enemy_enhance_attack]</v>
      </c>
      <c r="O18" s="59">
        <f t="shared" si="7"/>
        <v>9</v>
      </c>
      <c r="P18" s="59">
        <f t="shared" ref="P18:P27" si="33">IFERROR(FIND(",",N18),LEN(N18))</f>
        <v>22</v>
      </c>
      <c r="Q18" s="59">
        <f t="shared" ref="Q18:Q27" si="34">FIND("target:",N18)+7</f>
        <v>31</v>
      </c>
      <c r="R18" s="59">
        <f t="shared" ref="R18:R27" si="35">FIND(",",N18,P18+1)</f>
        <v>37</v>
      </c>
      <c r="S18" s="59" t="str">
        <f>IFERROR(VLOOKUP(MID(N18,Q18,R18-Q18),[5]skilldef!$C:$D,2,FALSE),"-") &amp; " / " &amp; IFERROR(VLOOKUP(MID(N18,O18,P18-O18),[5]skilldef!$A:$B,2,FALSE),"-")</f>
        <v>自分自身に / ステータス強化</v>
      </c>
      <c r="T18" s="46" t="str">
        <f t="shared" ref="T18:T27" si="36">IFERROR(RIGHT(M18,LEN(M18)-FIND("],",M18)-1),"none")</f>
        <v>none</v>
      </c>
      <c r="U18" s="59" t="e">
        <f t="shared" si="12"/>
        <v>#VALUE!</v>
      </c>
      <c r="V18" s="59">
        <f t="shared" ref="V18:V27" si="37">IFERROR(FIND(",",T18),LEN(T18))</f>
        <v>4</v>
      </c>
      <c r="W18" s="59" t="e">
        <f t="shared" ref="W18:W27" si="38">FIND("target:",T18)+7</f>
        <v>#VALUE!</v>
      </c>
      <c r="X18" s="59" t="e">
        <f t="shared" ref="X18:X27" si="39">FIND(",",T18,V18+1)</f>
        <v>#VALUE!</v>
      </c>
      <c r="Y18" s="59" t="str">
        <f>IFERROR(VLOOKUP(MID(T18,W18,X18-W18),[5]skilldef!$C:$D,2,FALSE),"-") &amp; " / " &amp; IFERROR(VLOOKUP(MID(T18,U18,V18-U18),[5]skilldef!$A:$B,2,FALSE),"-")</f>
        <v>- / -</v>
      </c>
      <c r="Z18" s="48"/>
      <c r="AA18" s="49"/>
      <c r="AB18" s="48"/>
    </row>
    <row r="19" spans="1:28" ht="21" customHeight="1" x14ac:dyDescent="0.15">
      <c r="A19" s="115">
        <v>40042413</v>
      </c>
      <c r="B19" s="100" t="s">
        <v>482</v>
      </c>
      <c r="C19" s="101">
        <v>3</v>
      </c>
      <c r="D19" s="101" t="s">
        <v>127</v>
      </c>
      <c r="E19" s="102" t="s">
        <v>539</v>
      </c>
      <c r="F19" s="102" t="s">
        <v>321</v>
      </c>
      <c r="G19" s="59" t="str">
        <f t="shared" si="0"/>
        <v>[effect:enemy_message, val1:1.7, val2:1.2]</v>
      </c>
      <c r="H19" s="59">
        <f t="shared" ref="H19" si="40">FIND("effect:",G19)+7</f>
        <v>9</v>
      </c>
      <c r="I19" s="59">
        <f t="shared" ref="I19" si="41">IFERROR(FIND(",",G19),LEN(G19))</f>
        <v>22</v>
      </c>
      <c r="J19" s="59" t="e">
        <f t="shared" ref="J19" si="42">FIND("target:",G19)+7</f>
        <v>#VALUE!</v>
      </c>
      <c r="K19" s="59">
        <f t="shared" ref="K19" si="43">FIND(",",G19,I19+1)</f>
        <v>32</v>
      </c>
      <c r="L19" s="59" t="str">
        <f>IFERROR(VLOOKUP(MID(G19,J19,K19-J19),[5]skilldef!$C:$D,2,FALSE),"-") &amp; " / " &amp; IFERROR(VLOOKUP(MID(G19,H19,I19-H19),[5]skilldef!$A:$B,2,FALSE),"-")</f>
        <v>- / -</v>
      </c>
      <c r="M19" s="59" t="str">
        <f t="shared" si="1"/>
        <v>[effect:enhance_enemy, target:myself, turn:2, status:attack, val:1.3, calc:mul, animation:enemy_enhance_attack]</v>
      </c>
      <c r="N19" s="46" t="str">
        <f>IFERROR(LEFT(M19,FIND("],",M19)+S32),M19)</f>
        <v>[effect:enhance_enemy, target:myself, turn:2, status:attack, val:1.3, calc:mul, animation:enemy_enhance_attack]</v>
      </c>
      <c r="O19" s="59">
        <f t="shared" ref="O19" si="44">FIND("effect:",N19)+7</f>
        <v>9</v>
      </c>
      <c r="P19" s="59">
        <f t="shared" ref="P19" si="45">IFERROR(FIND(",",N19),LEN(N19))</f>
        <v>22</v>
      </c>
      <c r="Q19" s="59">
        <f t="shared" ref="Q19" si="46">FIND("target:",N19)+7</f>
        <v>31</v>
      </c>
      <c r="R19" s="59">
        <f t="shared" ref="R19" si="47">FIND(",",N19,P19+1)</f>
        <v>37</v>
      </c>
      <c r="S19" s="59" t="str">
        <f>IFERROR(VLOOKUP(MID(N19,Q19,R19-Q19),[5]skilldef!$C:$D,2,FALSE),"-") &amp; " / " &amp; IFERROR(VLOOKUP(MID(N19,O19,P19-O19),[5]skilldef!$A:$B,2,FALSE),"-")</f>
        <v>自分自身に / ステータス強化</v>
      </c>
      <c r="T19" s="46" t="str">
        <f t="shared" ref="T19" si="48">IFERROR(RIGHT(M19,LEN(M19)-FIND("],",M19)-1),"none")</f>
        <v>none</v>
      </c>
      <c r="U19" s="59" t="e">
        <f t="shared" ref="U19" si="49">FIND("effect:",T19)+7</f>
        <v>#VALUE!</v>
      </c>
      <c r="V19" s="59">
        <f t="shared" ref="V19" si="50">IFERROR(FIND(",",T19),LEN(T19))</f>
        <v>4</v>
      </c>
      <c r="W19" s="59" t="e">
        <f t="shared" ref="W19" si="51">FIND("target:",T19)+7</f>
        <v>#VALUE!</v>
      </c>
      <c r="X19" s="59" t="e">
        <f t="shared" ref="X19" si="52">FIND(",",T19,V19+1)</f>
        <v>#VALUE!</v>
      </c>
      <c r="Y19" s="59" t="str">
        <f>IFERROR(VLOOKUP(MID(T19,W19,X19-W19),[5]skilldef!$C:$D,2,FALSE),"-") &amp; " / " &amp; IFERROR(VLOOKUP(MID(T19,U19,V19-U19),[5]skilldef!$A:$B,2,FALSE),"-")</f>
        <v>- / -</v>
      </c>
      <c r="Z19" s="48"/>
      <c r="AA19" s="49"/>
      <c r="AB19" s="48"/>
    </row>
    <row r="20" spans="1:28" ht="21" customHeight="1" x14ac:dyDescent="0.15">
      <c r="A20" s="115">
        <v>40042414</v>
      </c>
      <c r="B20" s="100" t="s">
        <v>484</v>
      </c>
      <c r="C20" s="101">
        <v>3</v>
      </c>
      <c r="D20" s="101" t="s">
        <v>127</v>
      </c>
      <c r="E20" s="102" t="s">
        <v>389</v>
      </c>
      <c r="F20" s="102" t="s">
        <v>399</v>
      </c>
      <c r="G20" s="59" t="str">
        <f t="shared" si="0"/>
        <v>[effect:enemy_message, val1:1.2, val2:2.2]</v>
      </c>
      <c r="H20" s="59">
        <f t="shared" si="2"/>
        <v>9</v>
      </c>
      <c r="I20" s="59">
        <f t="shared" si="30"/>
        <v>22</v>
      </c>
      <c r="J20" s="59" t="e">
        <f t="shared" si="31"/>
        <v>#VALUE!</v>
      </c>
      <c r="K20" s="59">
        <f t="shared" si="32"/>
        <v>32</v>
      </c>
      <c r="L20" s="59" t="str">
        <f>IFERROR(VLOOKUP(MID(G20,J20,K20-J20),[5]skilldef!$C:$D,2,FALSE),"-") &amp; " / " &amp; IFERROR(VLOOKUP(MID(G20,H20,I20-H20),[5]skilldef!$A:$B,2,FALSE),"-")</f>
        <v>- / -</v>
      </c>
      <c r="M20" s="59" t="str">
        <f t="shared" si="1"/>
        <v>[effect:force_change_block, new_block:damage, target:block_green, count:0, val:0.02, animation:change_block],[effect:spread, val:0.3]</v>
      </c>
      <c r="N20" s="46" t="str">
        <f t="shared" ref="N20:N28" si="53">IFERROR(LEFT(M20,FIND("],",M20)+S32),M20)</f>
        <v>[effect:force_change_block, new_block:damage, target:block_green, count:0, val:0.02, animation:change_block],[effect:spread, val:0.3]</v>
      </c>
      <c r="O20" s="59">
        <f t="shared" si="7"/>
        <v>9</v>
      </c>
      <c r="P20" s="59">
        <f t="shared" si="33"/>
        <v>27</v>
      </c>
      <c r="Q20" s="59">
        <f t="shared" si="34"/>
        <v>54</v>
      </c>
      <c r="R20" s="59">
        <f t="shared" si="35"/>
        <v>45</v>
      </c>
      <c r="S20" s="59" t="str">
        <f>IFERROR(VLOOKUP(MID(N20,Q20,R20-Q20),[5]skilldef!$C:$D,2,FALSE),"-") &amp; " / " &amp; IFERROR(VLOOKUP(MID(N20,O20,P20-O20),[5]skilldef!$A:$B,2,FALSE),"-")</f>
        <v>- / -</v>
      </c>
      <c r="T20" s="46" t="str">
        <f t="shared" si="36"/>
        <v>[effect:spread, val:0.3]</v>
      </c>
      <c r="U20" s="59">
        <f t="shared" si="12"/>
        <v>9</v>
      </c>
      <c r="V20" s="59">
        <f t="shared" si="37"/>
        <v>15</v>
      </c>
      <c r="W20" s="59" t="e">
        <f t="shared" si="38"/>
        <v>#VALUE!</v>
      </c>
      <c r="X20" s="59" t="e">
        <f t="shared" si="39"/>
        <v>#VALUE!</v>
      </c>
      <c r="Y20" s="59" t="str">
        <f>IFERROR(VLOOKUP(MID(T20,W20,X20-W20),[5]skilldef!$C:$D,2,FALSE),"-") &amp; " / " &amp; IFERROR(VLOOKUP(MID(T20,U20,V20-U20),[5]skilldef!$A:$B,2,FALSE),"-")</f>
        <v>- / 全体攻撃</v>
      </c>
      <c r="Z20" s="48"/>
      <c r="AA20" s="49"/>
      <c r="AB20" s="48"/>
    </row>
    <row r="21" spans="1:28" ht="21" customHeight="1" x14ac:dyDescent="0.15">
      <c r="A21" s="115">
        <v>40042415</v>
      </c>
      <c r="B21" s="100" t="s">
        <v>486</v>
      </c>
      <c r="C21" s="101">
        <v>3</v>
      </c>
      <c r="D21" s="101" t="s">
        <v>127</v>
      </c>
      <c r="E21" s="102" t="s">
        <v>331</v>
      </c>
      <c r="F21" s="102" t="s">
        <v>322</v>
      </c>
      <c r="G21" s="59" t="str">
        <f t="shared" si="0"/>
        <v>[effect:enemy_message, val1:1.2, val2:2.3]</v>
      </c>
      <c r="H21" s="59">
        <f t="shared" si="2"/>
        <v>9</v>
      </c>
      <c r="I21" s="59">
        <f t="shared" si="30"/>
        <v>22</v>
      </c>
      <c r="J21" s="59" t="e">
        <f t="shared" si="31"/>
        <v>#VALUE!</v>
      </c>
      <c r="K21" s="59">
        <f t="shared" si="32"/>
        <v>32</v>
      </c>
      <c r="L21" s="59" t="str">
        <f>IFERROR(VLOOKUP(MID(G21,J21,K21-J21),[5]skilldef!$C:$D,2,FALSE),"-") &amp; " / " &amp; IFERROR(VLOOKUP(MID(G21,H21,I21-H21),[5]skilldef!$A:$B,2,FALSE),"-")</f>
        <v>- / -</v>
      </c>
      <c r="M21" s="59" t="str">
        <f t="shared" si="1"/>
        <v>[effect:break_attack, target:unit_all, val:0.01, lowest_val:0, count:-1, color:yellow, block_color:block_yellow, block01:damage, block02:block_yellow]</v>
      </c>
      <c r="N21" s="46" t="str">
        <f t="shared" si="53"/>
        <v>[effect:break_attack, target:unit_all, val:0.01, lowest_val:0, count:-1, color:yellow, block_color:block_yellow, block01:damage, block02:block_yellow]</v>
      </c>
      <c r="O21" s="59">
        <f t="shared" si="7"/>
        <v>9</v>
      </c>
      <c r="P21" s="59">
        <f t="shared" si="33"/>
        <v>21</v>
      </c>
      <c r="Q21" s="59">
        <f t="shared" si="34"/>
        <v>30</v>
      </c>
      <c r="R21" s="59">
        <f t="shared" si="35"/>
        <v>38</v>
      </c>
      <c r="S21" s="59" t="str">
        <f>IFERROR(VLOOKUP(MID(N21,Q21,R21-Q21),[5]skilldef!$C:$D,2,FALSE),"-") &amp; " / " &amp; IFERROR(VLOOKUP(MID(N21,O21,P21-O21),[5]skilldef!$A:$B,2,FALSE),"-")</f>
        <v>味方全体に / -</v>
      </c>
      <c r="T21" s="46" t="str">
        <f t="shared" si="36"/>
        <v>none</v>
      </c>
      <c r="U21" s="59" t="e">
        <f t="shared" si="12"/>
        <v>#VALUE!</v>
      </c>
      <c r="V21" s="59">
        <f t="shared" si="37"/>
        <v>4</v>
      </c>
      <c r="W21" s="59" t="e">
        <f t="shared" si="38"/>
        <v>#VALUE!</v>
      </c>
      <c r="X21" s="59" t="e">
        <f t="shared" si="39"/>
        <v>#VALUE!</v>
      </c>
      <c r="Y21" s="59" t="str">
        <f>IFERROR(VLOOKUP(MID(T21,W21,X21-W21),[5]skilldef!$C:$D,2,FALSE),"-") &amp; " / " &amp; IFERROR(VLOOKUP(MID(T21,U21,V21-U21),[5]skilldef!$A:$B,2,FALSE),"-")</f>
        <v>- / -</v>
      </c>
      <c r="Z21" s="48"/>
      <c r="AA21" s="49"/>
      <c r="AB21" s="48"/>
    </row>
    <row r="22" spans="1:28" ht="21" customHeight="1" x14ac:dyDescent="0.15">
      <c r="A22" s="115">
        <v>40042416</v>
      </c>
      <c r="B22" s="100" t="s">
        <v>487</v>
      </c>
      <c r="C22" s="101">
        <v>3</v>
      </c>
      <c r="D22" s="101" t="s">
        <v>127</v>
      </c>
      <c r="E22" s="102" t="s">
        <v>326</v>
      </c>
      <c r="F22" s="102" t="s">
        <v>457</v>
      </c>
      <c r="G22" s="59" t="str">
        <f t="shared" si="0"/>
        <v>[effect:enemy_message, val1:1.2, val2:2.2]</v>
      </c>
      <c r="H22" s="59">
        <f t="shared" si="2"/>
        <v>9</v>
      </c>
      <c r="I22" s="59">
        <f t="shared" si="30"/>
        <v>22</v>
      </c>
      <c r="J22" s="59" t="e">
        <f t="shared" si="31"/>
        <v>#VALUE!</v>
      </c>
      <c r="K22" s="59">
        <f t="shared" si="32"/>
        <v>32</v>
      </c>
      <c r="L22" s="59" t="str">
        <f>IFERROR(VLOOKUP(MID(G22,J22,K22-J22),[5]skilldef!$C:$D,2,FALSE),"-") &amp; " / " &amp; IFERROR(VLOOKUP(MID(G22,H22,I22-H22),[5]skilldef!$A:$B,2,FALSE),"-")</f>
        <v>- / -</v>
      </c>
      <c r="M22" s="59" t="str">
        <f t="shared" si="1"/>
        <v>[effect:break_attack, target:unit_one, val:0.1, lowest_val:1000, count:-1, color:yellow, block_color:block_heart, block01:crack_bomb, block02:block_heart]</v>
      </c>
      <c r="N22" s="46" t="str">
        <f t="shared" si="53"/>
        <v>[effect:break_attack, target:unit_one, val:0.1, lowest_val:1000, count:-1, color:yellow, block_color:block_heart, block01:crack_bomb, block02:block_heart]</v>
      </c>
      <c r="O22" s="59">
        <f t="shared" si="7"/>
        <v>9</v>
      </c>
      <c r="P22" s="59">
        <f t="shared" si="33"/>
        <v>21</v>
      </c>
      <c r="Q22" s="59">
        <f t="shared" si="34"/>
        <v>30</v>
      </c>
      <c r="R22" s="59">
        <f t="shared" si="35"/>
        <v>38</v>
      </c>
      <c r="S22" s="59" t="str">
        <f>IFERROR(VLOOKUP(MID(N22,Q22,R22-Q22),[5]skilldef!$C:$D,2,FALSE),"-") &amp; " / " &amp; IFERROR(VLOOKUP(MID(N22,O22,P22-O22),[5]skilldef!$A:$B,2,FALSE),"-")</f>
        <v>味方単体に / -</v>
      </c>
      <c r="T22" s="46" t="str">
        <f t="shared" si="36"/>
        <v>none</v>
      </c>
      <c r="U22" s="59" t="e">
        <f t="shared" si="12"/>
        <v>#VALUE!</v>
      </c>
      <c r="V22" s="59">
        <f t="shared" si="37"/>
        <v>4</v>
      </c>
      <c r="W22" s="59" t="e">
        <f t="shared" si="38"/>
        <v>#VALUE!</v>
      </c>
      <c r="X22" s="59" t="e">
        <f t="shared" si="39"/>
        <v>#VALUE!</v>
      </c>
      <c r="Y22" s="59" t="str">
        <f>IFERROR(VLOOKUP(MID(T22,W22,X22-W22),[5]skilldef!$C:$D,2,FALSE),"-") &amp; " / " &amp; IFERROR(VLOOKUP(MID(T22,U22,V22-U22),[5]skilldef!$A:$B,2,FALSE),"-")</f>
        <v>- / -</v>
      </c>
      <c r="Z22" s="48"/>
      <c r="AA22" s="49"/>
      <c r="AB22" s="48"/>
    </row>
    <row r="23" spans="1:28" ht="21" customHeight="1" x14ac:dyDescent="0.15">
      <c r="A23" s="115">
        <v>40042417</v>
      </c>
      <c r="B23" s="100" t="s">
        <v>489</v>
      </c>
      <c r="C23" s="101">
        <v>3</v>
      </c>
      <c r="D23" s="101" t="s">
        <v>127</v>
      </c>
      <c r="E23" s="102" t="s">
        <v>392</v>
      </c>
      <c r="F23" s="102" t="s">
        <v>431</v>
      </c>
      <c r="G23" s="59" t="str">
        <f t="shared" si="0"/>
        <v>[effect:enemy_message, val1:1.4, val2:1.9]</v>
      </c>
      <c r="H23" s="59">
        <f t="shared" si="2"/>
        <v>9</v>
      </c>
      <c r="I23" s="59">
        <f t="shared" si="30"/>
        <v>22</v>
      </c>
      <c r="J23" s="59" t="e">
        <f t="shared" si="31"/>
        <v>#VALUE!</v>
      </c>
      <c r="K23" s="59">
        <f t="shared" si="32"/>
        <v>32</v>
      </c>
      <c r="L23" s="59" t="str">
        <f>IFERROR(VLOOKUP(MID(G23,J23,K23-J23),[5]skilldef!$C:$D,2,FALSE),"-") &amp; " / " &amp; IFERROR(VLOOKUP(MID(G23,H23,I23-H23),[5]skilldef!$A:$B,2,FALSE),"-")</f>
        <v>- / -</v>
      </c>
      <c r="M23" s="59" t="str">
        <f t="shared" si="1"/>
        <v>[effect:force_change_block, new_block:damage, target:block_heart, count:0, val:0.05, animation:change_block]</v>
      </c>
      <c r="N23" s="46" t="str">
        <f t="shared" si="53"/>
        <v>[effect:force_change_block, new_block:damage, target:block_heart, count:0, val:0.05, animation:change_block]</v>
      </c>
      <c r="O23" s="59">
        <f t="shared" si="7"/>
        <v>9</v>
      </c>
      <c r="P23" s="59">
        <f t="shared" si="33"/>
        <v>27</v>
      </c>
      <c r="Q23" s="59">
        <f t="shared" si="34"/>
        <v>54</v>
      </c>
      <c r="R23" s="59">
        <f t="shared" si="35"/>
        <v>45</v>
      </c>
      <c r="S23" s="59" t="str">
        <f>IFERROR(VLOOKUP(MID(N23,Q23,R23-Q23),[5]skilldef!$C:$D,2,FALSE),"-") &amp; " / " &amp; IFERROR(VLOOKUP(MID(N23,O23,P23-O23),[5]skilldef!$A:$B,2,FALSE),"-")</f>
        <v>- / -</v>
      </c>
      <c r="T23" s="46" t="str">
        <f t="shared" si="36"/>
        <v>none</v>
      </c>
      <c r="U23" s="59" t="e">
        <f t="shared" si="12"/>
        <v>#VALUE!</v>
      </c>
      <c r="V23" s="59">
        <f t="shared" si="37"/>
        <v>4</v>
      </c>
      <c r="W23" s="59" t="e">
        <f t="shared" si="38"/>
        <v>#VALUE!</v>
      </c>
      <c r="X23" s="59" t="e">
        <f t="shared" si="39"/>
        <v>#VALUE!</v>
      </c>
      <c r="Y23" s="59" t="str">
        <f>IFERROR(VLOOKUP(MID(T23,W23,X23-W23),[5]skilldef!$C:$D,2,FALSE),"-") &amp; " / " &amp; IFERROR(VLOOKUP(MID(T23,U23,V23-U23),[5]skilldef!$A:$B,2,FALSE),"-")</f>
        <v>- / -</v>
      </c>
      <c r="Z23" s="48"/>
      <c r="AA23" s="49"/>
      <c r="AB23" s="48"/>
    </row>
    <row r="24" spans="1:28" ht="21" customHeight="1" x14ac:dyDescent="0.15">
      <c r="A24" s="116">
        <v>40042421</v>
      </c>
      <c r="B24" s="109" t="s">
        <v>515</v>
      </c>
      <c r="C24" s="110">
        <v>3</v>
      </c>
      <c r="D24" s="110" t="s">
        <v>127</v>
      </c>
      <c r="E24" s="111" t="s">
        <v>393</v>
      </c>
      <c r="F24" s="111" t="s">
        <v>432</v>
      </c>
      <c r="G24" s="59" t="str">
        <f t="shared" si="0"/>
        <v>[effect:enemy_message, val1:1.2, val2:4.6]</v>
      </c>
      <c r="H24" s="59">
        <f t="shared" si="2"/>
        <v>9</v>
      </c>
      <c r="I24" s="59">
        <f t="shared" si="30"/>
        <v>22</v>
      </c>
      <c r="J24" s="59" t="e">
        <f t="shared" si="31"/>
        <v>#VALUE!</v>
      </c>
      <c r="K24" s="59">
        <f t="shared" si="32"/>
        <v>32</v>
      </c>
      <c r="L24" s="59" t="str">
        <f>IFERROR(VLOOKUP(MID(G24,J24,K24-J24),[5]skilldef!$C:$D,2,FALSE),"-") &amp; " / " &amp; IFERROR(VLOOKUP(MID(G24,H24,I24-H24),[5]skilldef!$A:$B,2,FALSE),"-")</f>
        <v>- / -</v>
      </c>
      <c r="M24" s="59" t="str">
        <f t="shared" si="1"/>
        <v>[effect:force_change_block, new_block:time_bomb, target:damage, count:0, val:0.2, animation:change_block],[effect:drop_block, block_type:time_bomb, color:block_all, val:0.2, rate:0.2, turn:5, min_time_count:4, max_time_count:4, animation:time_bomb_influence04]</v>
      </c>
      <c r="N24" s="46" t="str">
        <f t="shared" si="53"/>
        <v>[effect:force_change_block, new_block:time_bomb, target:damage, count:0, val:0.2, animation:change_block],[effect:drop_block, block_type:time_bomb, color:block_all, val:0.2, rate:0.2, turn:5, min_time_count:4, max_time_count:4, animation:time_bomb_influence04]</v>
      </c>
      <c r="O24" s="59">
        <f t="shared" si="7"/>
        <v>9</v>
      </c>
      <c r="P24" s="59">
        <f t="shared" si="33"/>
        <v>27</v>
      </c>
      <c r="Q24" s="59">
        <f t="shared" si="34"/>
        <v>57</v>
      </c>
      <c r="R24" s="59">
        <f t="shared" si="35"/>
        <v>48</v>
      </c>
      <c r="S24" s="59" t="str">
        <f>IFERROR(VLOOKUP(MID(N24,Q24,R24-Q24),[5]skilldef!$C:$D,2,FALSE),"-") &amp; " / " &amp; IFERROR(VLOOKUP(MID(N24,O24,P24-O24),[5]skilldef!$A:$B,2,FALSE),"-")</f>
        <v>- / -</v>
      </c>
      <c r="T24" s="46" t="str">
        <f t="shared" si="36"/>
        <v>[effect:drop_block, block_type:time_bomb, color:block_all, val:0.2, rate:0.2, turn:5, min_time_count:4, max_time_count:4, animation:time_bomb_influence04]</v>
      </c>
      <c r="U24" s="59">
        <f t="shared" si="12"/>
        <v>9</v>
      </c>
      <c r="V24" s="59">
        <f t="shared" si="37"/>
        <v>19</v>
      </c>
      <c r="W24" s="59" t="e">
        <f t="shared" si="38"/>
        <v>#VALUE!</v>
      </c>
      <c r="X24" s="59">
        <f t="shared" si="39"/>
        <v>41</v>
      </c>
      <c r="Y24" s="59" t="str">
        <f>IFERROR(VLOOKUP(MID(T24,W24,X24-W24),[5]skilldef!$C:$D,2,FALSE),"-") &amp; " / " &amp; IFERROR(VLOOKUP(MID(T24,U24,V24-U24),[5]skilldef!$A:$B,2,FALSE),"-")</f>
        <v>- / 特定ブロックの割合ドロップ</v>
      </c>
      <c r="Z24" s="48"/>
      <c r="AA24" s="49"/>
      <c r="AB24" s="48"/>
    </row>
    <row r="25" spans="1:28" ht="21" customHeight="1" x14ac:dyDescent="0.15">
      <c r="A25" s="116">
        <v>40042422</v>
      </c>
      <c r="B25" s="109" t="s">
        <v>524</v>
      </c>
      <c r="C25" s="110">
        <v>3</v>
      </c>
      <c r="D25" s="110" t="s">
        <v>127</v>
      </c>
      <c r="E25" s="111" t="s">
        <v>394</v>
      </c>
      <c r="F25" s="111" t="s">
        <v>523</v>
      </c>
      <c r="G25" s="59" t="str">
        <f t="shared" si="0"/>
        <v>[effect:enemy_message, val1:1.2, val2:2.5]</v>
      </c>
      <c r="H25" s="59">
        <f t="shared" si="2"/>
        <v>9</v>
      </c>
      <c r="I25" s="59">
        <f t="shared" si="30"/>
        <v>22</v>
      </c>
      <c r="J25" s="59" t="e">
        <f t="shared" si="31"/>
        <v>#VALUE!</v>
      </c>
      <c r="K25" s="59">
        <f t="shared" si="32"/>
        <v>32</v>
      </c>
      <c r="L25" s="59" t="str">
        <f>IFERROR(VLOOKUP(MID(G25,J25,K25-J25),[5]skilldef!$C:$D,2,FALSE),"-") &amp; " / " &amp; IFERROR(VLOOKUP(MID(G25,H25,I25-H25),[5]skilldef!$A:$B,2,FALSE),"-")</f>
        <v>- / -</v>
      </c>
      <c r="M25" s="59" t="str">
        <f t="shared" si="1"/>
        <v>[effect:degrade_unit, target:unit_all, turn:4, status:heal, val:0.5, calc:mul, animation:degrade_unit_all_heal],[effect:spread, val:0.5]</v>
      </c>
      <c r="N25" s="46" t="str">
        <f t="shared" si="53"/>
        <v>[effect:degrade_unit, target:unit_all, turn:4, status:heal, val:0.5, calc:mul, animation:degrade_unit_all_heal],[effect:spread, val:0.5]</v>
      </c>
      <c r="O25" s="59">
        <f t="shared" si="7"/>
        <v>9</v>
      </c>
      <c r="P25" s="59">
        <f t="shared" si="33"/>
        <v>21</v>
      </c>
      <c r="Q25" s="59">
        <f t="shared" si="34"/>
        <v>30</v>
      </c>
      <c r="R25" s="59">
        <f t="shared" si="35"/>
        <v>38</v>
      </c>
      <c r="S25" s="59" t="str">
        <f>IFERROR(VLOOKUP(MID(N25,Q25,R25-Q25),[5]skilldef!$C:$D,2,FALSE),"-") &amp; " / " &amp; IFERROR(VLOOKUP(MID(N25,O25,P25-O25),[5]skilldef!$A:$B,2,FALSE),"-")</f>
        <v>味方全体に / ステータスDOWN</v>
      </c>
      <c r="T25" s="46" t="str">
        <f t="shared" si="36"/>
        <v>[effect:spread, val:0.5]</v>
      </c>
      <c r="U25" s="59">
        <f t="shared" si="12"/>
        <v>9</v>
      </c>
      <c r="V25" s="59">
        <f t="shared" si="37"/>
        <v>15</v>
      </c>
      <c r="W25" s="59" t="e">
        <f t="shared" si="38"/>
        <v>#VALUE!</v>
      </c>
      <c r="X25" s="59" t="e">
        <f t="shared" si="39"/>
        <v>#VALUE!</v>
      </c>
      <c r="Y25" s="59" t="str">
        <f>IFERROR(VLOOKUP(MID(T25,W25,X25-W25),[5]skilldef!$C:$D,2,FALSE),"-") &amp; " / " &amp; IFERROR(VLOOKUP(MID(T25,U25,V25-U25),[5]skilldef!$A:$B,2,FALSE),"-")</f>
        <v>- / 全体攻撃</v>
      </c>
      <c r="Z25" s="48"/>
      <c r="AA25" s="49"/>
      <c r="AB25" s="48"/>
    </row>
    <row r="26" spans="1:28" ht="21" customHeight="1" x14ac:dyDescent="0.15">
      <c r="A26" s="116">
        <v>40042423</v>
      </c>
      <c r="B26" s="109" t="s">
        <v>540</v>
      </c>
      <c r="C26" s="110">
        <v>3</v>
      </c>
      <c r="D26" s="110" t="s">
        <v>127</v>
      </c>
      <c r="E26" s="111" t="s">
        <v>538</v>
      </c>
      <c r="F26" s="111" t="s">
        <v>463</v>
      </c>
      <c r="G26" s="59" t="str">
        <f t="shared" si="0"/>
        <v>[effect:enemy_message, val1:1.4, val2:1.9]</v>
      </c>
      <c r="H26" s="59">
        <f t="shared" si="2"/>
        <v>9</v>
      </c>
      <c r="I26" s="59">
        <f t="shared" si="30"/>
        <v>22</v>
      </c>
      <c r="J26" s="59" t="e">
        <f t="shared" si="31"/>
        <v>#VALUE!</v>
      </c>
      <c r="K26" s="59">
        <f t="shared" si="32"/>
        <v>32</v>
      </c>
      <c r="L26" s="59" t="str">
        <f>IFERROR(VLOOKUP(MID(G26,J26,K26-J26),[5]skilldef!$C:$D,2,FALSE),"-") &amp; " / " &amp; IFERROR(VLOOKUP(MID(G26,H26,I26-H26),[5]skilldef!$A:$B,2,FALSE),"-")</f>
        <v>- / -</v>
      </c>
      <c r="M26" s="59" t="str">
        <f t="shared" si="1"/>
        <v>[effect:change_panel_ratio, turn:4, block_type:heal, val:0.1, animation:block_incidence04]</v>
      </c>
      <c r="N26" s="46" t="str">
        <f t="shared" si="53"/>
        <v>[effect:change_panel_ratio, turn:4, block_type:heal, val:0.1, animation:block_incidence04]</v>
      </c>
      <c r="O26" s="59">
        <f t="shared" si="7"/>
        <v>9</v>
      </c>
      <c r="P26" s="59">
        <f t="shared" si="33"/>
        <v>27</v>
      </c>
      <c r="Q26" s="59" t="e">
        <f t="shared" si="34"/>
        <v>#VALUE!</v>
      </c>
      <c r="R26" s="59">
        <f t="shared" si="35"/>
        <v>35</v>
      </c>
      <c r="S26" s="59" t="str">
        <f>IFERROR(VLOOKUP(MID(N26,Q26,R26-Q26),[5]skilldef!$C:$D,2,FALSE),"-") &amp; " / " &amp; IFERROR(VLOOKUP(MID(N26,O26,P26-O26),[5]skilldef!$A:$B,2,FALSE),"-")</f>
        <v>- / -</v>
      </c>
      <c r="T26" s="46" t="str">
        <f t="shared" si="36"/>
        <v>none</v>
      </c>
      <c r="U26" s="59" t="e">
        <f t="shared" si="12"/>
        <v>#VALUE!</v>
      </c>
      <c r="V26" s="59">
        <f t="shared" si="37"/>
        <v>4</v>
      </c>
      <c r="W26" s="59" t="e">
        <f t="shared" si="38"/>
        <v>#VALUE!</v>
      </c>
      <c r="X26" s="59" t="e">
        <f t="shared" si="39"/>
        <v>#VALUE!</v>
      </c>
      <c r="Y26" s="59" t="str">
        <f>IFERROR(VLOOKUP(MID(T26,W26,X26-W26),[5]skilldef!$C:$D,2,FALSE),"-") &amp; " / " &amp; IFERROR(VLOOKUP(MID(T26,U26,V26-U26),[5]skilldef!$A:$B,2,FALSE),"-")</f>
        <v>- / -</v>
      </c>
      <c r="Z26" s="48"/>
      <c r="AA26" s="49"/>
      <c r="AB26" s="48"/>
    </row>
    <row r="27" spans="1:28" ht="21" customHeight="1" x14ac:dyDescent="0.15">
      <c r="A27" s="116">
        <v>40042424</v>
      </c>
      <c r="B27" s="109" t="s">
        <v>487</v>
      </c>
      <c r="C27" s="110">
        <v>3</v>
      </c>
      <c r="D27" s="110" t="s">
        <v>127</v>
      </c>
      <c r="E27" s="111" t="s">
        <v>326</v>
      </c>
      <c r="F27" s="111" t="s">
        <v>457</v>
      </c>
      <c r="G27" s="59" t="str">
        <f t="shared" si="0"/>
        <v>[effect:enemy_message, val1:1.2, val2:2.2]</v>
      </c>
      <c r="H27" s="59">
        <f t="shared" si="2"/>
        <v>9</v>
      </c>
      <c r="I27" s="59">
        <f t="shared" si="30"/>
        <v>22</v>
      </c>
      <c r="J27" s="59" t="e">
        <f t="shared" si="31"/>
        <v>#VALUE!</v>
      </c>
      <c r="K27" s="59">
        <f t="shared" si="32"/>
        <v>32</v>
      </c>
      <c r="L27" s="59" t="str">
        <f>IFERROR(VLOOKUP(MID(G27,J27,K27-J27),[5]skilldef!$C:$D,2,FALSE),"-") &amp; " / " &amp; IFERROR(VLOOKUP(MID(G27,H27,I27-H27),[5]skilldef!$A:$B,2,FALSE),"-")</f>
        <v>- / -</v>
      </c>
      <c r="M27" s="59" t="str">
        <f t="shared" si="1"/>
        <v>[effect:break_attack, target:unit_one, val:0.1, lowest_val:1000, count:-1, color:yellow, block_color:block_heart, block01:crack_bomb, block02:block_heart]</v>
      </c>
      <c r="N27" s="46" t="str">
        <f t="shared" si="53"/>
        <v>[effect:break_attack, target:unit_one, val:0.1, lowest_val:1000, count:-1, color:yellow, block_color:block_heart, block01:crack_bomb, block02:block_heart]</v>
      </c>
      <c r="O27" s="59">
        <f t="shared" si="7"/>
        <v>9</v>
      </c>
      <c r="P27" s="59">
        <f t="shared" si="33"/>
        <v>21</v>
      </c>
      <c r="Q27" s="59">
        <f t="shared" si="34"/>
        <v>30</v>
      </c>
      <c r="R27" s="59">
        <f t="shared" si="35"/>
        <v>38</v>
      </c>
      <c r="S27" s="59" t="str">
        <f>IFERROR(VLOOKUP(MID(N27,Q27,R27-Q27),[5]skilldef!$C:$D,2,FALSE),"-") &amp; " / " &amp; IFERROR(VLOOKUP(MID(N27,O27,P27-O27),[5]skilldef!$A:$B,2,FALSE),"-")</f>
        <v>味方単体に / -</v>
      </c>
      <c r="T27" s="46" t="str">
        <f t="shared" si="36"/>
        <v>none</v>
      </c>
      <c r="U27" s="59" t="e">
        <f t="shared" si="12"/>
        <v>#VALUE!</v>
      </c>
      <c r="V27" s="59">
        <f t="shared" si="37"/>
        <v>4</v>
      </c>
      <c r="W27" s="59" t="e">
        <f t="shared" si="38"/>
        <v>#VALUE!</v>
      </c>
      <c r="X27" s="59" t="e">
        <f t="shared" si="39"/>
        <v>#VALUE!</v>
      </c>
      <c r="Y27" s="59" t="str">
        <f>IFERROR(VLOOKUP(MID(T27,W27,X27-W27),[5]skilldef!$C:$D,2,FALSE),"-") &amp; " / " &amp; IFERROR(VLOOKUP(MID(T27,U27,V27-U27),[5]skilldef!$A:$B,2,FALSE),"-")</f>
        <v>- / -</v>
      </c>
      <c r="Z27" s="48"/>
      <c r="AA27" s="49"/>
      <c r="AB27" s="48"/>
    </row>
    <row r="28" spans="1:28" ht="21" customHeight="1" x14ac:dyDescent="0.15">
      <c r="A28" s="116">
        <v>40042425</v>
      </c>
      <c r="B28" s="109" t="s">
        <v>513</v>
      </c>
      <c r="C28" s="110">
        <v>3</v>
      </c>
      <c r="D28" s="110" t="s">
        <v>127</v>
      </c>
      <c r="E28" s="111" t="s">
        <v>512</v>
      </c>
      <c r="F28" s="111" t="s">
        <v>323</v>
      </c>
      <c r="G28" s="59" t="str">
        <f t="shared" si="0"/>
        <v>[effect:enemy_message, val1:1.2, val2:1.2]</v>
      </c>
      <c r="H28" s="59">
        <f t="shared" si="2"/>
        <v>9</v>
      </c>
      <c r="I28" s="59">
        <f t="shared" ref="I28" si="54">IFERROR(FIND(",",G28),LEN(G28))</f>
        <v>22</v>
      </c>
      <c r="J28" s="59" t="e">
        <f t="shared" ref="J28" si="55">FIND("target:",G28)+7</f>
        <v>#VALUE!</v>
      </c>
      <c r="K28" s="59">
        <f t="shared" ref="K28" si="56">FIND(",",G28,I28+1)</f>
        <v>32</v>
      </c>
      <c r="L28" s="59" t="str">
        <f>IFERROR(VLOOKUP(MID(G28,J28,K28-J28),[5]skilldef!$C:$D,2,FALSE),"-") &amp; " / " &amp; IFERROR(VLOOKUP(MID(G28,H28,I28-H28),[5]skilldef!$A:$B,2,FALSE),"-")</f>
        <v>- / -</v>
      </c>
      <c r="M28" s="59" t="str">
        <f t="shared" si="1"/>
        <v>[effect:freq_turn, target:myself, turn:-1, val:1, animation:enemy_freq_turn]</v>
      </c>
      <c r="N28" s="46" t="str">
        <f t="shared" si="53"/>
        <v>[effect:freq_turn, target:myself, turn:-1, val:1, animation:enemy_freq_turn]</v>
      </c>
      <c r="O28" s="59">
        <f t="shared" si="7"/>
        <v>9</v>
      </c>
      <c r="P28" s="59">
        <f t="shared" ref="P28" si="57">IFERROR(FIND(",",N28),LEN(N28))</f>
        <v>18</v>
      </c>
      <c r="Q28" s="59">
        <f t="shared" ref="Q28" si="58">FIND("target:",N28)+7</f>
        <v>27</v>
      </c>
      <c r="R28" s="59">
        <f t="shared" ref="R28" si="59">FIND(",",N28,P28+1)</f>
        <v>33</v>
      </c>
      <c r="S28" s="59" t="str">
        <f>IFERROR(VLOOKUP(MID(N28,Q28,R28-Q28),[5]skilldef!$C:$D,2,FALSE),"-") &amp; " / " &amp; IFERROR(VLOOKUP(MID(N28,O28,P28-O28),[5]skilldef!$A:$B,2,FALSE),"-")</f>
        <v>自分自身に / 攻撃頻度がUP</v>
      </c>
      <c r="T28" s="46" t="str">
        <f t="shared" ref="T28" si="60">IFERROR(RIGHT(M28,LEN(M28)-FIND("],",M28)-1),"none")</f>
        <v>none</v>
      </c>
      <c r="U28" s="59" t="e">
        <f t="shared" si="12"/>
        <v>#VALUE!</v>
      </c>
      <c r="V28" s="59">
        <f t="shared" ref="V28" si="61">IFERROR(FIND(",",T28),LEN(T28))</f>
        <v>4</v>
      </c>
      <c r="W28" s="59" t="e">
        <f t="shared" ref="W28" si="62">FIND("target:",T28)+7</f>
        <v>#VALUE!</v>
      </c>
      <c r="X28" s="59" t="e">
        <f t="shared" ref="X28" si="63">FIND(",",T28,V28+1)</f>
        <v>#VALUE!</v>
      </c>
      <c r="Y28" s="59" t="str">
        <f>IFERROR(VLOOKUP(MID(T28,W28,X28-W28),[5]skilldef!$C:$D,2,FALSE),"-") &amp; " / " &amp; IFERROR(VLOOKUP(MID(T28,U28,V28-U28),[5]skilldef!$A:$B,2,FALSE),"-")</f>
        <v>- / -</v>
      </c>
      <c r="Z28" s="48"/>
      <c r="AA28" s="49"/>
      <c r="AB28" s="48"/>
    </row>
    <row r="29" spans="1:28" ht="21" customHeight="1" x14ac:dyDescent="0.15">
      <c r="A29" s="113">
        <v>40042511</v>
      </c>
      <c r="B29" s="97" t="s">
        <v>548</v>
      </c>
      <c r="C29" s="98">
        <v>3</v>
      </c>
      <c r="D29" s="98" t="s">
        <v>127</v>
      </c>
      <c r="E29" s="99" t="s">
        <v>509</v>
      </c>
      <c r="F29" s="99" t="s">
        <v>547</v>
      </c>
      <c r="G29" s="59" t="str">
        <f t="shared" si="0"/>
        <v>[effect:enemy_message, val1:1.5, val2:4.2]</v>
      </c>
      <c r="H29" s="59">
        <f t="shared" si="2"/>
        <v>9</v>
      </c>
      <c r="I29" s="59">
        <f t="shared" ref="I29" si="64">IFERROR(FIND(",",G29),LEN(G29))</f>
        <v>22</v>
      </c>
      <c r="J29" s="59" t="e">
        <f t="shared" ref="J29" si="65">FIND("target:",G29)+7</f>
        <v>#VALUE!</v>
      </c>
      <c r="K29" s="59">
        <f t="shared" ref="K29" si="66">FIND(",",G29,I29+1)</f>
        <v>32</v>
      </c>
      <c r="L29" s="59" t="str">
        <f>IFERROR(VLOOKUP(MID(G29,J29,K29-J29),[5]skilldef!$C:$D,2,FALSE),"-") &amp; " / " &amp; IFERROR(VLOOKUP(MID(G29,H29,I29-H29),[5]skilldef!$A:$B,2,FALSE),"-")</f>
        <v>- / -</v>
      </c>
      <c r="M29" s="59" t="str">
        <f t="shared" si="1"/>
        <v>[effect:force_change_block, new_block:damage, target:block_red, color:block_red, count:8, val:0.05, animation:change_block],[effect:force_change_block,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N29" s="46" t="str">
        <f t="shared" ref="N29" si="67">IFERROR(LEFT(M29,FIND("],",M29)+S40),M29)</f>
        <v>[effect:force_change_block, new_block:damage, target:block_red, color:block_red, count:8, val:0.05, animation:change_block],[effect:force_change_block,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O29" s="59">
        <f t="shared" si="7"/>
        <v>9</v>
      </c>
      <c r="P29" s="59">
        <f t="shared" ref="P29" si="68">IFERROR(FIND(",",N29),LEN(N29))</f>
        <v>27</v>
      </c>
      <c r="Q29" s="59">
        <f t="shared" ref="Q29" si="69">FIND("target:",N29)+7</f>
        <v>54</v>
      </c>
      <c r="R29" s="59">
        <f t="shared" ref="R29" si="70">FIND(",",N29,P29+1)</f>
        <v>45</v>
      </c>
      <c r="S29" s="59" t="str">
        <f>IFERROR(VLOOKUP(MID(N29,Q29,R29-Q29),[5]skilldef!$C:$D,2,FALSE),"-") &amp; " / " &amp; IFERROR(VLOOKUP(MID(N29,O29,P29-O29),[5]skilldef!$A:$B,2,FALSE),"-")</f>
        <v>- / -</v>
      </c>
      <c r="T29" s="46" t="str">
        <f t="shared" ref="T29" si="71">IFERROR(RIGHT(M29,LEN(M29)-FIND("],",M29)-1),"none")</f>
        <v>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U29" s="59">
        <f t="shared" si="12"/>
        <v>9</v>
      </c>
      <c r="V29" s="59">
        <f t="shared" ref="V29" si="72">IFERROR(FIND(",",T29),LEN(T29))</f>
        <v>27</v>
      </c>
      <c r="W29" s="59">
        <f t="shared" ref="W29" si="73">FIND("target:",T29)+7</f>
        <v>54</v>
      </c>
      <c r="X29" s="59">
        <f t="shared" ref="X29" si="74">FIND(",",T29,V29+1)</f>
        <v>45</v>
      </c>
      <c r="Y29" s="59" t="str">
        <f>IFERROR(VLOOKUP(MID(T29,W29,X29-W29),[5]skilldef!$C:$D,2,FALSE),"-") &amp; " / " &amp; IFERROR(VLOOKUP(MID(T29,U29,V29-U29),[5]skilldef!$A:$B,2,FALSE),"-")</f>
        <v>- / -</v>
      </c>
      <c r="Z29" s="48"/>
      <c r="AA29" s="49"/>
      <c r="AB29" s="48"/>
    </row>
    <row r="30" spans="1:28" ht="21" customHeight="1" x14ac:dyDescent="0.15">
      <c r="A30" s="113">
        <v>40042512</v>
      </c>
      <c r="B30" s="97" t="s">
        <v>549</v>
      </c>
      <c r="C30" s="98">
        <v>3</v>
      </c>
      <c r="D30" s="98" t="s">
        <v>127</v>
      </c>
      <c r="E30" s="99" t="s">
        <v>404</v>
      </c>
      <c r="F30" s="99" t="s">
        <v>547</v>
      </c>
      <c r="G30" s="59" t="str">
        <f t="shared" si="0"/>
        <v>[effect:enemy_message, val1:1.2, val2:4.2]</v>
      </c>
      <c r="H30" s="59">
        <f t="shared" si="2"/>
        <v>9</v>
      </c>
      <c r="I30" s="59">
        <f t="shared" ref="I30:I41" si="75">IFERROR(FIND(",",G30),LEN(G30))</f>
        <v>22</v>
      </c>
      <c r="J30" s="59" t="e">
        <f t="shared" ref="J30:J41" si="76">FIND("target:",G30)+7</f>
        <v>#VALUE!</v>
      </c>
      <c r="K30" s="59">
        <f t="shared" ref="K30:K41" si="77">FIND(",",G30,I30+1)</f>
        <v>32</v>
      </c>
      <c r="L30" s="59" t="str">
        <f>IFERROR(VLOOKUP(MID(G30,J30,K30-J30),[5]skilldef!$C:$D,2,FALSE),"-") &amp; " / " &amp; IFERROR(VLOOKUP(MID(G30,H30,I30-H30),[5]skilldef!$A:$B,2,FALSE),"-")</f>
        <v>- / -</v>
      </c>
      <c r="M30" s="59" t="str">
        <f t="shared" si="1"/>
        <v>[effect:force_change_block, new_block:damage, target:block_red, color:block_red, count:8, val:0.05, animation:change_block],[effect:force_change_block,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N30" s="46" t="str">
        <f>IFERROR(LEFT(M30,FIND("],",M30)+S41),M30)</f>
        <v>[effect:force_change_block, new_block:damage, target:block_red, color:block_red, count:8, val:0.05, animation:change_block],[effect:force_change_block,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O30" s="59">
        <f t="shared" si="7"/>
        <v>9</v>
      </c>
      <c r="P30" s="59">
        <f t="shared" ref="P30:P41" si="78">IFERROR(FIND(",",N30),LEN(N30))</f>
        <v>27</v>
      </c>
      <c r="Q30" s="59">
        <f t="shared" ref="Q30:Q41" si="79">FIND("target:",N30)+7</f>
        <v>54</v>
      </c>
      <c r="R30" s="59">
        <f t="shared" ref="R30:R41" si="80">FIND(",",N30,P30+1)</f>
        <v>45</v>
      </c>
      <c r="S30" s="59" t="str">
        <f>IFERROR(VLOOKUP(MID(N30,Q30,R30-Q30),[5]skilldef!$C:$D,2,FALSE),"-") &amp; " / " &amp; IFERROR(VLOOKUP(MID(N30,O30,P30-O30),[5]skilldef!$A:$B,2,FALSE),"-")</f>
        <v>- / -</v>
      </c>
      <c r="T30" s="46" t="str">
        <f t="shared" ref="T30:T41" si="81">IFERROR(RIGHT(M30,LEN(M30)-FIND("],",M30)-1),"none")</f>
        <v>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U30" s="59">
        <f t="shared" si="12"/>
        <v>9</v>
      </c>
      <c r="V30" s="59">
        <f t="shared" ref="V30:V41" si="82">IFERROR(FIND(",",T30),LEN(T30))</f>
        <v>27</v>
      </c>
      <c r="W30" s="59">
        <f t="shared" ref="W30:W41" si="83">FIND("target:",T30)+7</f>
        <v>54</v>
      </c>
      <c r="X30" s="59">
        <f t="shared" ref="X30:X41" si="84">FIND(",",T30,V30+1)</f>
        <v>45</v>
      </c>
      <c r="Y30" s="59" t="str">
        <f>IFERROR(VLOOKUP(MID(T30,W30,X30-W30),[5]skilldef!$C:$D,2,FALSE),"-") &amp; " / " &amp; IFERROR(VLOOKUP(MID(T30,U30,V30-U30),[5]skilldef!$A:$B,2,FALSE),"-")</f>
        <v>- / -</v>
      </c>
      <c r="Z30" s="48"/>
      <c r="AA30" s="49"/>
      <c r="AB30" s="48"/>
    </row>
    <row r="31" spans="1:28" ht="21" customHeight="1" x14ac:dyDescent="0.15">
      <c r="A31" s="113">
        <v>40042513</v>
      </c>
      <c r="B31" s="97" t="s">
        <v>549</v>
      </c>
      <c r="C31" s="98">
        <v>3</v>
      </c>
      <c r="D31" s="98" t="s">
        <v>127</v>
      </c>
      <c r="E31" s="99" t="s">
        <v>404</v>
      </c>
      <c r="F31" s="99" t="s">
        <v>547</v>
      </c>
      <c r="G31" s="59" t="str">
        <f t="shared" si="0"/>
        <v>[effect:enemy_message, val1:1.2, val2:4.2]</v>
      </c>
      <c r="H31" s="59">
        <f t="shared" ref="H31" si="85">FIND("effect:",G31)+7</f>
        <v>9</v>
      </c>
      <c r="I31" s="59">
        <f t="shared" ref="I31" si="86">IFERROR(FIND(",",G31),LEN(G31))</f>
        <v>22</v>
      </c>
      <c r="J31" s="59" t="e">
        <f t="shared" ref="J31" si="87">FIND("target:",G31)+7</f>
        <v>#VALUE!</v>
      </c>
      <c r="K31" s="59">
        <f t="shared" ref="K31" si="88">FIND(",",G31,I31+1)</f>
        <v>32</v>
      </c>
      <c r="L31" s="59" t="str">
        <f>IFERROR(VLOOKUP(MID(G31,J31,K31-J31),[5]skilldef!$C:$D,2,FALSE),"-") &amp; " / " &amp; IFERROR(VLOOKUP(MID(G31,H31,I31-H31),[5]skilldef!$A:$B,2,FALSE),"-")</f>
        <v>- / -</v>
      </c>
      <c r="M31" s="59" t="str">
        <f t="shared" si="1"/>
        <v>[effect:force_change_block, new_block:damage, target:block_red, color:block_red, count:8, val:0.05, animation:change_block],[effect:force_change_block,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N31" s="46" t="str">
        <f>IFERROR(LEFT(M31,FIND("],",M31)+S42),M31)</f>
        <v>[effect:force_change_block, new_block:damage, target:block_red, color:block_red, count:8, val:0.05, animation:change_block],[effect:force_change_block,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O31" s="59">
        <f t="shared" ref="O31" si="89">FIND("effect:",N31)+7</f>
        <v>9</v>
      </c>
      <c r="P31" s="59">
        <f t="shared" ref="P31" si="90">IFERROR(FIND(",",N31),LEN(N31))</f>
        <v>27</v>
      </c>
      <c r="Q31" s="59">
        <f t="shared" ref="Q31" si="91">FIND("target:",N31)+7</f>
        <v>54</v>
      </c>
      <c r="R31" s="59">
        <f t="shared" ref="R31" si="92">FIND(",",N31,P31+1)</f>
        <v>45</v>
      </c>
      <c r="S31" s="59" t="str">
        <f>IFERROR(VLOOKUP(MID(N31,Q31,R31-Q31),[5]skilldef!$C:$D,2,FALSE),"-") &amp; " / " &amp; IFERROR(VLOOKUP(MID(N31,O31,P31-O31),[5]skilldef!$A:$B,2,FALSE),"-")</f>
        <v>- / -</v>
      </c>
      <c r="T31" s="46" t="str">
        <f t="shared" ref="T31" si="93">IFERROR(RIGHT(M31,LEN(M31)-FIND("],",M31)-1),"none")</f>
        <v>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U31" s="59">
        <f t="shared" ref="U31" si="94">FIND("effect:",T31)+7</f>
        <v>9</v>
      </c>
      <c r="V31" s="59">
        <f t="shared" ref="V31" si="95">IFERROR(FIND(",",T31),LEN(T31))</f>
        <v>27</v>
      </c>
      <c r="W31" s="59">
        <f t="shared" ref="W31" si="96">FIND("target:",T31)+7</f>
        <v>54</v>
      </c>
      <c r="X31" s="59">
        <f t="shared" ref="X31" si="97">FIND(",",T31,V31+1)</f>
        <v>45</v>
      </c>
      <c r="Y31" s="59" t="str">
        <f>IFERROR(VLOOKUP(MID(T31,W31,X31-W31),[5]skilldef!$C:$D,2,FALSE),"-") &amp; " / " &amp; IFERROR(VLOOKUP(MID(T31,U31,V31-U31),[5]skilldef!$A:$B,2,FALSE),"-")</f>
        <v>- / -</v>
      </c>
      <c r="Z31" s="48"/>
      <c r="AA31" s="49"/>
      <c r="AB31" s="48"/>
    </row>
    <row r="32" spans="1:28" ht="21" customHeight="1" x14ac:dyDescent="0.15">
      <c r="A32" s="113">
        <v>40042514</v>
      </c>
      <c r="B32" s="97" t="s">
        <v>543</v>
      </c>
      <c r="C32" s="98">
        <v>3</v>
      </c>
      <c r="D32" s="98" t="s">
        <v>127</v>
      </c>
      <c r="E32" s="99" t="s">
        <v>405</v>
      </c>
      <c r="F32" s="99" t="s">
        <v>458</v>
      </c>
      <c r="G32" s="59" t="str">
        <f t="shared" si="0"/>
        <v>[effect:enemy_message, val1:1.4, val2:1.6]</v>
      </c>
      <c r="H32" s="59">
        <f t="shared" si="2"/>
        <v>9</v>
      </c>
      <c r="I32" s="59">
        <f t="shared" si="75"/>
        <v>22</v>
      </c>
      <c r="J32" s="59" t="e">
        <f t="shared" si="76"/>
        <v>#VALUE!</v>
      </c>
      <c r="K32" s="59">
        <f t="shared" si="77"/>
        <v>32</v>
      </c>
      <c r="L32" s="59" t="str">
        <f>IFERROR(VLOOKUP(MID(G32,J32,K32-J32),[5]skilldef!$C:$D,2,FALSE),"-") &amp; " / " &amp; IFERROR(VLOOKUP(MID(G32,H32,I32-H32),[5]skilldef!$A:$B,2,FALSE),"-")</f>
        <v>- / -</v>
      </c>
      <c r="M32" s="59" t="str">
        <f t="shared" si="1"/>
        <v>[effect:break_attack, target:unit_one, val:0.05, lowest_val:4000, count:-1, color:yellow, block_color:block_red, block01:damage]</v>
      </c>
      <c r="N32" s="46" t="str">
        <f t="shared" ref="N32:N41" si="98">IFERROR(LEFT(M32,FIND("],",M32)+S42),M32)</f>
        <v>[effect:break_attack, target:unit_one, val:0.05, lowest_val:4000, count:-1, color:yellow, block_color:block_red, block01:damage]</v>
      </c>
      <c r="O32" s="59">
        <f t="shared" si="7"/>
        <v>9</v>
      </c>
      <c r="P32" s="59">
        <f t="shared" si="78"/>
        <v>21</v>
      </c>
      <c r="Q32" s="59">
        <f t="shared" si="79"/>
        <v>30</v>
      </c>
      <c r="R32" s="59">
        <f t="shared" si="80"/>
        <v>38</v>
      </c>
      <c r="S32" s="59" t="str">
        <f>IFERROR(VLOOKUP(MID(N32,Q32,R32-Q32),[5]skilldef!$C:$D,2,FALSE),"-") &amp; " / " &amp; IFERROR(VLOOKUP(MID(N32,O32,P32-O32),[5]skilldef!$A:$B,2,FALSE),"-")</f>
        <v>味方単体に / -</v>
      </c>
      <c r="T32" s="46" t="str">
        <f t="shared" si="81"/>
        <v>none</v>
      </c>
      <c r="U32" s="59" t="e">
        <f t="shared" si="12"/>
        <v>#VALUE!</v>
      </c>
      <c r="V32" s="59">
        <f t="shared" si="82"/>
        <v>4</v>
      </c>
      <c r="W32" s="59" t="e">
        <f t="shared" si="83"/>
        <v>#VALUE!</v>
      </c>
      <c r="X32" s="59" t="e">
        <f t="shared" si="84"/>
        <v>#VALUE!</v>
      </c>
      <c r="Y32" s="59" t="str">
        <f>IFERROR(VLOOKUP(MID(T32,W32,X32-W32),[5]skilldef!$C:$D,2,FALSE),"-") &amp; " / " &amp; IFERROR(VLOOKUP(MID(T32,U32,V32-U32),[5]skilldef!$A:$B,2,FALSE),"-")</f>
        <v>- / -</v>
      </c>
      <c r="Z32" s="48"/>
      <c r="AA32" s="49"/>
      <c r="AB32" s="48"/>
    </row>
    <row r="33" spans="1:28" ht="21" customHeight="1" x14ac:dyDescent="0.15">
      <c r="A33" s="113">
        <v>40042515</v>
      </c>
      <c r="B33" s="97" t="s">
        <v>544</v>
      </c>
      <c r="C33" s="98">
        <v>3</v>
      </c>
      <c r="D33" s="98" t="s">
        <v>127</v>
      </c>
      <c r="E33" s="99" t="s">
        <v>406</v>
      </c>
      <c r="F33" s="99" t="s">
        <v>459</v>
      </c>
      <c r="G33" s="59" t="str">
        <f t="shared" si="0"/>
        <v>[effect:enemy_message, val1:1.2, val2:1.6]</v>
      </c>
      <c r="H33" s="59">
        <f t="shared" si="2"/>
        <v>9</v>
      </c>
      <c r="I33" s="59">
        <f t="shared" si="75"/>
        <v>22</v>
      </c>
      <c r="J33" s="59" t="e">
        <f t="shared" si="76"/>
        <v>#VALUE!</v>
      </c>
      <c r="K33" s="59">
        <f t="shared" si="77"/>
        <v>32</v>
      </c>
      <c r="L33" s="59" t="str">
        <f>IFERROR(VLOOKUP(MID(G33,J33,K33-J33),[5]skilldef!$C:$D,2,FALSE),"-") &amp; " / " &amp; IFERROR(VLOOKUP(MID(G33,H33,I33-H33),[5]skilldef!$A:$B,2,FALSE),"-")</f>
        <v>- / -</v>
      </c>
      <c r="M33" s="59" t="str">
        <f t="shared" si="1"/>
        <v>[effect:break_attack, target:unit_one, val:0.05, lowest_val:4000, count:-1, color:yellow, block_color:block_blue, block01:damage]</v>
      </c>
      <c r="N33" s="46" t="str">
        <f t="shared" si="98"/>
        <v>[effect:break_attack, target:unit_one, val:0.05, lowest_val:4000, count:-1, color:yellow, block_color:block_blue, block01:damage]</v>
      </c>
      <c r="O33" s="59">
        <f t="shared" si="7"/>
        <v>9</v>
      </c>
      <c r="P33" s="59">
        <f t="shared" si="78"/>
        <v>21</v>
      </c>
      <c r="Q33" s="59">
        <f t="shared" si="79"/>
        <v>30</v>
      </c>
      <c r="R33" s="59">
        <f t="shared" si="80"/>
        <v>38</v>
      </c>
      <c r="S33" s="59" t="str">
        <f>IFERROR(VLOOKUP(MID(N33,Q33,R33-Q33),[5]skilldef!$C:$D,2,FALSE),"-") &amp; " / " &amp; IFERROR(VLOOKUP(MID(N33,O33,P33-O33),[5]skilldef!$A:$B,2,FALSE),"-")</f>
        <v>味方単体に / -</v>
      </c>
      <c r="T33" s="46" t="str">
        <f t="shared" si="81"/>
        <v>none</v>
      </c>
      <c r="U33" s="59" t="e">
        <f t="shared" si="12"/>
        <v>#VALUE!</v>
      </c>
      <c r="V33" s="59">
        <f t="shared" si="82"/>
        <v>4</v>
      </c>
      <c r="W33" s="59" t="e">
        <f t="shared" si="83"/>
        <v>#VALUE!</v>
      </c>
      <c r="X33" s="59" t="e">
        <f t="shared" si="84"/>
        <v>#VALUE!</v>
      </c>
      <c r="Y33" s="59" t="str">
        <f>IFERROR(VLOOKUP(MID(T33,W33,X33-W33),[5]skilldef!$C:$D,2,FALSE),"-") &amp; " / " &amp; IFERROR(VLOOKUP(MID(T33,U33,V33-U33),[5]skilldef!$A:$B,2,FALSE),"-")</f>
        <v>- / -</v>
      </c>
      <c r="Z33" s="48"/>
      <c r="AA33" s="49"/>
      <c r="AB33" s="48"/>
    </row>
    <row r="34" spans="1:28" ht="21" customHeight="1" x14ac:dyDescent="0.15">
      <c r="A34" s="113">
        <v>40042516</v>
      </c>
      <c r="B34" s="97" t="s">
        <v>545</v>
      </c>
      <c r="C34" s="98">
        <v>3</v>
      </c>
      <c r="D34" s="98" t="s">
        <v>127</v>
      </c>
      <c r="E34" s="99" t="s">
        <v>407</v>
      </c>
      <c r="F34" s="99" t="s">
        <v>460</v>
      </c>
      <c r="G34" s="59" t="str">
        <f t="shared" ref="G34:G65" si="99">IFERROR(LEFT(B34,FIND("],",B34)),B34)</f>
        <v>[effect:enemy_message, val1:1.5, val2:1.6]</v>
      </c>
      <c r="H34" s="59">
        <f t="shared" si="2"/>
        <v>9</v>
      </c>
      <c r="I34" s="59">
        <f t="shared" si="75"/>
        <v>22</v>
      </c>
      <c r="J34" s="59" t="e">
        <f t="shared" si="76"/>
        <v>#VALUE!</v>
      </c>
      <c r="K34" s="59">
        <f t="shared" si="77"/>
        <v>32</v>
      </c>
      <c r="L34" s="59" t="str">
        <f>IFERROR(VLOOKUP(MID(G34,J34,K34-J34),[5]skilldef!$C:$D,2,FALSE),"-") &amp; " / " &amp; IFERROR(VLOOKUP(MID(G34,H34,I34-H34),[5]skilldef!$A:$B,2,FALSE),"-")</f>
        <v>- / -</v>
      </c>
      <c r="M34" s="59" t="str">
        <f t="shared" ref="M34:M65" si="100">IFERROR(RIGHT(B34,LEN(B34)-FIND("],",B34)-1),"none")</f>
        <v>[effect:break_attack, target:unit_one, val:0.05, lowest_val:4000, count:-1, color:yellow, block_color:block_green, block01:damage]</v>
      </c>
      <c r="N34" s="46" t="str">
        <f t="shared" si="98"/>
        <v>[effect:break_attack, target:unit_one, val:0.05, lowest_val:4000, count:-1, color:yellow, block_color:block_green, block01:damage]</v>
      </c>
      <c r="O34" s="59">
        <f t="shared" si="7"/>
        <v>9</v>
      </c>
      <c r="P34" s="59">
        <f t="shared" si="78"/>
        <v>21</v>
      </c>
      <c r="Q34" s="59">
        <f t="shared" si="79"/>
        <v>30</v>
      </c>
      <c r="R34" s="59">
        <f t="shared" si="80"/>
        <v>38</v>
      </c>
      <c r="S34" s="59" t="str">
        <f>IFERROR(VLOOKUP(MID(N34,Q34,R34-Q34),[5]skilldef!$C:$D,2,FALSE),"-") &amp; " / " &amp; IFERROR(VLOOKUP(MID(N34,O34,P34-O34),[5]skilldef!$A:$B,2,FALSE),"-")</f>
        <v>味方単体に / -</v>
      </c>
      <c r="T34" s="46" t="str">
        <f t="shared" si="81"/>
        <v>none</v>
      </c>
      <c r="U34" s="59" t="e">
        <f t="shared" si="12"/>
        <v>#VALUE!</v>
      </c>
      <c r="V34" s="59">
        <f t="shared" si="82"/>
        <v>4</v>
      </c>
      <c r="W34" s="59" t="e">
        <f t="shared" si="83"/>
        <v>#VALUE!</v>
      </c>
      <c r="X34" s="59" t="e">
        <f t="shared" si="84"/>
        <v>#VALUE!</v>
      </c>
      <c r="Y34" s="59" t="str">
        <f>IFERROR(VLOOKUP(MID(T34,W34,X34-W34),[5]skilldef!$C:$D,2,FALSE),"-") &amp; " / " &amp; IFERROR(VLOOKUP(MID(T34,U34,V34-U34),[5]skilldef!$A:$B,2,FALSE),"-")</f>
        <v>- / -</v>
      </c>
      <c r="Z34" s="48"/>
      <c r="AA34" s="49"/>
      <c r="AB34" s="48"/>
    </row>
    <row r="35" spans="1:28" ht="21" customHeight="1" x14ac:dyDescent="0.15">
      <c r="A35" s="113">
        <v>40042517</v>
      </c>
      <c r="B35" s="97" t="s">
        <v>494</v>
      </c>
      <c r="C35" s="98">
        <v>3</v>
      </c>
      <c r="D35" s="98" t="s">
        <v>127</v>
      </c>
      <c r="E35" s="99" t="s">
        <v>514</v>
      </c>
      <c r="F35" s="99" t="s">
        <v>342</v>
      </c>
      <c r="G35" s="59" t="str">
        <f t="shared" si="99"/>
        <v>[effect:enemy_message, val1:2.0, val2:1.2]</v>
      </c>
      <c r="H35" s="59">
        <f t="shared" si="2"/>
        <v>9</v>
      </c>
      <c r="I35" s="59">
        <f t="shared" si="75"/>
        <v>22</v>
      </c>
      <c r="J35" s="59" t="e">
        <f t="shared" si="76"/>
        <v>#VALUE!</v>
      </c>
      <c r="K35" s="59">
        <f t="shared" si="77"/>
        <v>32</v>
      </c>
      <c r="L35" s="59" t="str">
        <f>IFERROR(VLOOKUP(MID(G35,J35,K35-J35),[5]skilldef!$C:$D,2,FALSE),"-") &amp; " / " &amp; IFERROR(VLOOKUP(MID(G35,H35,I35-H35),[5]skilldef!$A:$B,2,FALSE),"-")</f>
        <v>- / -</v>
      </c>
      <c r="M35" s="59" t="str">
        <f t="shared" si="100"/>
        <v>[effect:fix_speed, target:myself, turn:2],[effect:enhance_enemy, target:myself, turn:-1, status:attack, val:2, calc:mul, animation:enemy_enhance_attack]</v>
      </c>
      <c r="N35" s="46" t="str">
        <f t="shared" si="98"/>
        <v>[effect:fix_speed, target:myself, turn:2],[effect:enhance_enemy, target:myself, turn:-1, status:attack, val:2, calc:mul, animation:enemy_enhance_attack]</v>
      </c>
      <c r="O35" s="59">
        <f t="shared" si="7"/>
        <v>9</v>
      </c>
      <c r="P35" s="59">
        <f t="shared" si="78"/>
        <v>18</v>
      </c>
      <c r="Q35" s="59">
        <f t="shared" si="79"/>
        <v>27</v>
      </c>
      <c r="R35" s="59">
        <f t="shared" si="80"/>
        <v>33</v>
      </c>
      <c r="S35" s="59" t="str">
        <f>IFERROR(VLOOKUP(MID(N35,Q35,R35-Q35),[5]skilldef!$C:$D,2,FALSE),"-") &amp; " / " &amp; IFERROR(VLOOKUP(MID(N35,O35,P35-O35),[5]skilldef!$A:$B,2,FALSE),"-")</f>
        <v>自分自身に / 行動値設定</v>
      </c>
      <c r="T35" s="46" t="str">
        <f t="shared" si="81"/>
        <v>[effect:enhance_enemy, target:myself, turn:-1, status:attack, val:2, calc:mul, animation:enemy_enhance_attack]</v>
      </c>
      <c r="U35" s="59">
        <f t="shared" si="12"/>
        <v>9</v>
      </c>
      <c r="V35" s="59">
        <f t="shared" si="82"/>
        <v>22</v>
      </c>
      <c r="W35" s="59">
        <f t="shared" si="83"/>
        <v>31</v>
      </c>
      <c r="X35" s="59">
        <f t="shared" si="84"/>
        <v>37</v>
      </c>
      <c r="Y35" s="59" t="str">
        <f>IFERROR(VLOOKUP(MID(T35,W35,X35-W35),[5]skilldef!$C:$D,2,FALSE),"-") &amp; " / " &amp; IFERROR(VLOOKUP(MID(T35,U35,V35-U35),[5]skilldef!$A:$B,2,FALSE),"-")</f>
        <v>自分自身に / ステータス強化</v>
      </c>
      <c r="Z35" s="48"/>
      <c r="AA35" s="49"/>
      <c r="AB35" s="48"/>
    </row>
    <row r="36" spans="1:28" ht="21" customHeight="1" x14ac:dyDescent="0.15">
      <c r="A36" s="113">
        <v>40042518</v>
      </c>
      <c r="B36" s="97" t="s">
        <v>496</v>
      </c>
      <c r="C36" s="98">
        <v>3</v>
      </c>
      <c r="D36" s="98" t="s">
        <v>127</v>
      </c>
      <c r="E36" s="99" t="s">
        <v>409</v>
      </c>
      <c r="F36" s="99" t="s">
        <v>461</v>
      </c>
      <c r="G36" s="59" t="str">
        <f t="shared" si="99"/>
        <v>[effect:enemy_message, val1:1.2, val2:2.4]</v>
      </c>
      <c r="H36" s="59">
        <f t="shared" si="2"/>
        <v>9</v>
      </c>
      <c r="I36" s="59">
        <f t="shared" si="75"/>
        <v>22</v>
      </c>
      <c r="J36" s="59" t="e">
        <f t="shared" si="76"/>
        <v>#VALUE!</v>
      </c>
      <c r="K36" s="59">
        <f t="shared" si="77"/>
        <v>32</v>
      </c>
      <c r="L36" s="59" t="str">
        <f>IFERROR(VLOOKUP(MID(G36,J36,K36-J36),[5]skilldef!$C:$D,2,FALSE),"-") &amp; " / " &amp; IFERROR(VLOOKUP(MID(G36,H36,I36-H36),[5]skilldef!$A:$B,2,FALSE),"-")</f>
        <v>- / -</v>
      </c>
      <c r="M36" s="59" t="str">
        <f t="shared" si="100"/>
        <v>[effect:force_change_block, new_block:damage, target:block_yellow,  count:3, val:0.1, animation:change_block],[effect:spread, val:0.2]</v>
      </c>
      <c r="N36" s="46" t="str">
        <f t="shared" si="98"/>
        <v>[effect:force_change_block, new_block:damage, target:block_yellow,  count:3, val:0.1, animation:change_block],[effect:spread, val:0.2]</v>
      </c>
      <c r="O36" s="59">
        <f t="shared" si="7"/>
        <v>9</v>
      </c>
      <c r="P36" s="59">
        <f t="shared" si="78"/>
        <v>27</v>
      </c>
      <c r="Q36" s="59">
        <f t="shared" si="79"/>
        <v>54</v>
      </c>
      <c r="R36" s="59">
        <f t="shared" si="80"/>
        <v>45</v>
      </c>
      <c r="S36" s="59" t="str">
        <f>IFERROR(VLOOKUP(MID(N36,Q36,R36-Q36),[5]skilldef!$C:$D,2,FALSE),"-") &amp; " / " &amp; IFERROR(VLOOKUP(MID(N36,O36,P36-O36),[5]skilldef!$A:$B,2,FALSE),"-")</f>
        <v>- / -</v>
      </c>
      <c r="T36" s="46" t="str">
        <f t="shared" si="81"/>
        <v>[effect:spread, val:0.2]</v>
      </c>
      <c r="U36" s="59">
        <f t="shared" si="12"/>
        <v>9</v>
      </c>
      <c r="V36" s="59">
        <f t="shared" si="82"/>
        <v>15</v>
      </c>
      <c r="W36" s="59" t="e">
        <f t="shared" si="83"/>
        <v>#VALUE!</v>
      </c>
      <c r="X36" s="59" t="e">
        <f t="shared" si="84"/>
        <v>#VALUE!</v>
      </c>
      <c r="Y36" s="59" t="str">
        <f>IFERROR(VLOOKUP(MID(T36,W36,X36-W36),[5]skilldef!$C:$D,2,FALSE),"-") &amp; " / " &amp; IFERROR(VLOOKUP(MID(T36,U36,V36-U36),[5]skilldef!$A:$B,2,FALSE),"-")</f>
        <v>- / 全体攻撃</v>
      </c>
      <c r="Z36" s="48"/>
      <c r="AA36" s="49"/>
      <c r="AB36" s="48"/>
    </row>
    <row r="37" spans="1:28" ht="21" customHeight="1" x14ac:dyDescent="0.15">
      <c r="A37" s="114">
        <v>40042521</v>
      </c>
      <c r="B37" s="103" t="s">
        <v>553</v>
      </c>
      <c r="C37" s="104">
        <v>3</v>
      </c>
      <c r="D37" s="104" t="s">
        <v>127</v>
      </c>
      <c r="E37" s="105" t="s">
        <v>410</v>
      </c>
      <c r="F37" s="105" t="s">
        <v>550</v>
      </c>
      <c r="G37" s="59" t="str">
        <f t="shared" si="99"/>
        <v>[effect:enemy_message, val1:2.2, val2:3.7]</v>
      </c>
      <c r="H37" s="59">
        <f t="shared" si="2"/>
        <v>9</v>
      </c>
      <c r="I37" s="59">
        <f t="shared" si="75"/>
        <v>22</v>
      </c>
      <c r="J37" s="59" t="e">
        <f t="shared" si="76"/>
        <v>#VALUE!</v>
      </c>
      <c r="K37" s="59">
        <f t="shared" si="77"/>
        <v>32</v>
      </c>
      <c r="L37" s="59" t="str">
        <f>IFERROR(VLOOKUP(MID(G37,J37,K37-J37),[5]skilldef!$C:$D,2,FALSE),"-") &amp; " / " &amp; IFERROR(VLOOKUP(MID(G37,H37,I37-H37),[5]skilldef!$A:$B,2,FALSE),"-")</f>
        <v>- / -</v>
      </c>
      <c r="M37" s="59" t="str">
        <f t="shared" si="100"/>
        <v>[effect:tolerance, target:myself, turn:-1, count:-1, tolerance_effect:all, animation:enemy_tolerance],[effect:force_change_block, new_block:time_bomb, target:block_all, ignore01:block_positive, ignore02:block_negative, color:block_heart, count:5, val:0.1, min_time_count:2, max_time_count:2, animation:change_block],[effect:force_change_block, new_block:time_bomb, target:block_all, ignore01:block_positive, ignore02:block_negative, color:block_yellow, count:5, val:0.1, min_time_count:2, max_time_count:2, animation:change_block],[effect:force_change_block, new_block:time_bomb, target:block_all, ignore01:block_positive, ignore02:block_negative, color:block_blue, count:5, val:0.1, min_time_count:2, max_time_count:2, animation:change_block]</v>
      </c>
      <c r="N37" s="46" t="str">
        <f t="shared" si="98"/>
        <v>[effect:tolerance, target:myself, turn:-1, count:-1, tolerance_effect:all, animation:enemy_tolerance],[effect:force_change_block, new_block:time_bomb, target:block_all, ignore01:block_positive, ignore02:block_negative, color:block_heart, count:5, val:0.1, min_time_count:2, max_time_count:2, animation:change_block],[effect:force_change_block, new_block:time_bomb, target:block_all, ignore01:block_positive, ignore02:block_negative, color:block_yellow, count:5, val:0.1, min_time_count:2, max_time_count:2, animation:change_block],[effect:force_change_block, new_block:time_bomb, target:block_all, ignore01:block_positive, ignore02:block_negative, color:block_blue, count:5, val:0.1, min_time_count:2, max_time_count:2, animation:change_block]</v>
      </c>
      <c r="O37" s="59">
        <f t="shared" si="7"/>
        <v>9</v>
      </c>
      <c r="P37" s="59">
        <f t="shared" si="78"/>
        <v>18</v>
      </c>
      <c r="Q37" s="59">
        <f t="shared" si="79"/>
        <v>27</v>
      </c>
      <c r="R37" s="59">
        <f t="shared" si="80"/>
        <v>33</v>
      </c>
      <c r="S37" s="59" t="str">
        <f>IFERROR(VLOOKUP(MID(N37,Q37,R37-Q37),[5]skilldef!$C:$D,2,FALSE),"-") &amp; " / " &amp; IFERROR(VLOOKUP(MID(N37,O37,P37-O37),[5]skilldef!$A:$B,2,FALSE),"-")</f>
        <v>自分自身に / 状態異常耐性</v>
      </c>
      <c r="T37" s="46" t="str">
        <f t="shared" si="81"/>
        <v>[effect:force_change_block, new_block:time_bomb, target:block_all, ignore01:block_positive, ignore02:block_negative, color:block_heart, count:5, val:0.1, min_time_count:2, max_time_count:2, animation:change_block],[effect:force_change_block, new_block:time_bomb, target:block_all, ignore01:block_positive, ignore02:block_negative, color:block_yellow, count:5, val:0.1, min_time_count:2, max_time_count:2, animation:change_block],[effect:force_change_block, new_block:time_bomb, target:block_all, ignore01:block_positive, ignore02:block_negative, color:block_blue, count:5, val:0.1, min_time_count:2, max_time_count:2, animation:change_block]</v>
      </c>
      <c r="U37" s="59">
        <f t="shared" si="12"/>
        <v>9</v>
      </c>
      <c r="V37" s="59">
        <f t="shared" si="82"/>
        <v>27</v>
      </c>
      <c r="W37" s="59">
        <f t="shared" si="83"/>
        <v>57</v>
      </c>
      <c r="X37" s="59">
        <f t="shared" si="84"/>
        <v>48</v>
      </c>
      <c r="Y37" s="59" t="str">
        <f>IFERROR(VLOOKUP(MID(T37,W37,X37-W37),[5]skilldef!$C:$D,2,FALSE),"-") &amp; " / " &amp; IFERROR(VLOOKUP(MID(T37,U37,V37-U37),[5]skilldef!$A:$B,2,FALSE),"-")</f>
        <v>- / -</v>
      </c>
      <c r="Z37" s="48"/>
      <c r="AA37" s="49"/>
      <c r="AB37" s="48"/>
    </row>
    <row r="38" spans="1:28" ht="21" customHeight="1" x14ac:dyDescent="0.15">
      <c r="A38" s="114">
        <v>40042522</v>
      </c>
      <c r="B38" s="103" t="s">
        <v>546</v>
      </c>
      <c r="C38" s="104">
        <v>3</v>
      </c>
      <c r="D38" s="104" t="s">
        <v>127</v>
      </c>
      <c r="E38" s="105" t="s">
        <v>411</v>
      </c>
      <c r="F38" s="105" t="s">
        <v>400</v>
      </c>
      <c r="G38" s="59" t="str">
        <f t="shared" si="99"/>
        <v>[effect:enemy_message, val1:1.3, val2:2.7]</v>
      </c>
      <c r="H38" s="59">
        <f t="shared" si="2"/>
        <v>9</v>
      </c>
      <c r="I38" s="59">
        <f t="shared" si="75"/>
        <v>22</v>
      </c>
      <c r="J38" s="59" t="e">
        <f t="shared" si="76"/>
        <v>#VALUE!</v>
      </c>
      <c r="K38" s="59">
        <f t="shared" si="77"/>
        <v>32</v>
      </c>
      <c r="L38" s="59" t="str">
        <f>IFERROR(VLOOKUP(MID(G38,J38,K38-J38),[5]skilldef!$C:$D,2,FALSE),"-") &amp; " / " &amp; IFERROR(VLOOKUP(MID(G38,H38,I38-H38),[5]skilldef!$A:$B,2,FALSE),"-")</f>
        <v>- / -</v>
      </c>
      <c r="M38" s="59" t="str">
        <f t="shared" si="100"/>
        <v>[effect:force_change_block, new_block:time_bomb, target:block_red, count:3, val:0.1, animation:change_block],[effect:spread, val:0.2]</v>
      </c>
      <c r="N38" s="46" t="str">
        <f t="shared" si="98"/>
        <v>[effect:force_change_block, new_block:time_bomb, target:block_red, count:3, val:0.1, animation:change_block],[effect:spread, val:0.2]</v>
      </c>
      <c r="O38" s="59">
        <f t="shared" si="7"/>
        <v>9</v>
      </c>
      <c r="P38" s="59">
        <f t="shared" si="78"/>
        <v>27</v>
      </c>
      <c r="Q38" s="59">
        <f t="shared" si="79"/>
        <v>57</v>
      </c>
      <c r="R38" s="59">
        <f t="shared" si="80"/>
        <v>48</v>
      </c>
      <c r="S38" s="59" t="str">
        <f>IFERROR(VLOOKUP(MID(N38,Q38,R38-Q38),[5]skilldef!$C:$D,2,FALSE),"-") &amp; " / " &amp; IFERROR(VLOOKUP(MID(N38,O38,P38-O38),[5]skilldef!$A:$B,2,FALSE),"-")</f>
        <v>- / -</v>
      </c>
      <c r="T38" s="46" t="str">
        <f t="shared" si="81"/>
        <v>[effect:spread, val:0.2]</v>
      </c>
      <c r="U38" s="59">
        <f t="shared" si="12"/>
        <v>9</v>
      </c>
      <c r="V38" s="59">
        <f t="shared" si="82"/>
        <v>15</v>
      </c>
      <c r="W38" s="59" t="e">
        <f t="shared" si="83"/>
        <v>#VALUE!</v>
      </c>
      <c r="X38" s="59" t="e">
        <f t="shared" si="84"/>
        <v>#VALUE!</v>
      </c>
      <c r="Y38" s="59" t="str">
        <f>IFERROR(VLOOKUP(MID(T38,W38,X38-W38),[5]skilldef!$C:$D,2,FALSE),"-") &amp; " / " &amp; IFERROR(VLOOKUP(MID(T38,U38,V38-U38),[5]skilldef!$A:$B,2,FALSE),"-")</f>
        <v>- / 全体攻撃</v>
      </c>
      <c r="Z38" s="48"/>
      <c r="AA38" s="49"/>
      <c r="AB38" s="48"/>
    </row>
    <row r="39" spans="1:28" ht="21" customHeight="1" x14ac:dyDescent="0.15">
      <c r="A39" s="114">
        <v>40042523</v>
      </c>
      <c r="B39" s="103" t="s">
        <v>517</v>
      </c>
      <c r="C39" s="104">
        <v>3</v>
      </c>
      <c r="D39" s="104" t="s">
        <v>127</v>
      </c>
      <c r="E39" s="105" t="s">
        <v>412</v>
      </c>
      <c r="F39" s="105" t="s">
        <v>401</v>
      </c>
      <c r="G39" s="59" t="str">
        <f t="shared" si="99"/>
        <v>[effect:enemy_message, val1:1.2, val2:2.7]</v>
      </c>
      <c r="H39" s="59">
        <f t="shared" si="2"/>
        <v>9</v>
      </c>
      <c r="I39" s="59">
        <f t="shared" si="75"/>
        <v>22</v>
      </c>
      <c r="J39" s="59" t="e">
        <f t="shared" si="76"/>
        <v>#VALUE!</v>
      </c>
      <c r="K39" s="59">
        <f t="shared" si="77"/>
        <v>32</v>
      </c>
      <c r="L39" s="59" t="str">
        <f>IFERROR(VLOOKUP(MID(G39,J39,K39-J39),[5]skilldef!$C:$D,2,FALSE),"-") &amp; " / " &amp; IFERROR(VLOOKUP(MID(G39,H39,I39-H39),[5]skilldef!$A:$B,2,FALSE),"-")</f>
        <v>- / -</v>
      </c>
      <c r="M39" s="59" t="str">
        <f t="shared" si="100"/>
        <v>[effect:force_change_block, new_block:time_bomb, target:block_blue, count:3, val:0.1, animation:change_block],[effect:spread, val:0.18]</v>
      </c>
      <c r="N39" s="46" t="str">
        <f t="shared" si="98"/>
        <v>[effect:force_change_block, new_block:time_bomb, target:block_blue, count:3, val:0.1, animation:change_block],[effect:spread, val:0.18]</v>
      </c>
      <c r="O39" s="59">
        <f t="shared" si="7"/>
        <v>9</v>
      </c>
      <c r="P39" s="59">
        <f t="shared" si="78"/>
        <v>27</v>
      </c>
      <c r="Q39" s="59">
        <f t="shared" si="79"/>
        <v>57</v>
      </c>
      <c r="R39" s="59">
        <f t="shared" si="80"/>
        <v>48</v>
      </c>
      <c r="S39" s="59" t="str">
        <f>IFERROR(VLOOKUP(MID(N39,Q39,R39-Q39),[5]skilldef!$C:$D,2,FALSE),"-") &amp; " / " &amp; IFERROR(VLOOKUP(MID(N39,O39,P39-O39),[5]skilldef!$A:$B,2,FALSE),"-")</f>
        <v>- / -</v>
      </c>
      <c r="T39" s="46" t="str">
        <f t="shared" si="81"/>
        <v>[effect:spread, val:0.18]</v>
      </c>
      <c r="U39" s="59">
        <f t="shared" si="12"/>
        <v>9</v>
      </c>
      <c r="V39" s="59">
        <f t="shared" si="82"/>
        <v>15</v>
      </c>
      <c r="W39" s="59" t="e">
        <f t="shared" si="83"/>
        <v>#VALUE!</v>
      </c>
      <c r="X39" s="59" t="e">
        <f t="shared" si="84"/>
        <v>#VALUE!</v>
      </c>
      <c r="Y39" s="59" t="str">
        <f>IFERROR(VLOOKUP(MID(T39,W39,X39-W39),[5]skilldef!$C:$D,2,FALSE),"-") &amp; " / " &amp; IFERROR(VLOOKUP(MID(T39,U39,V39-U39),[5]skilldef!$A:$B,2,FALSE),"-")</f>
        <v>- / 全体攻撃</v>
      </c>
      <c r="Z39" s="48"/>
      <c r="AA39" s="49"/>
      <c r="AB39" s="48"/>
    </row>
    <row r="40" spans="1:28" ht="21" customHeight="1" x14ac:dyDescent="0.15">
      <c r="A40" s="114">
        <v>40042524</v>
      </c>
      <c r="B40" s="103" t="s">
        <v>518</v>
      </c>
      <c r="C40" s="104">
        <v>3</v>
      </c>
      <c r="D40" s="104" t="s">
        <v>127</v>
      </c>
      <c r="E40" s="105" t="s">
        <v>413</v>
      </c>
      <c r="F40" s="105" t="s">
        <v>428</v>
      </c>
      <c r="G40" s="59" t="str">
        <f t="shared" si="99"/>
        <v>[effect:enemy_message, val1:1.4, val2:2.7]</v>
      </c>
      <c r="H40" s="59">
        <f t="shared" si="2"/>
        <v>9</v>
      </c>
      <c r="I40" s="59">
        <f t="shared" si="75"/>
        <v>22</v>
      </c>
      <c r="J40" s="59" t="e">
        <f t="shared" si="76"/>
        <v>#VALUE!</v>
      </c>
      <c r="K40" s="59">
        <f t="shared" si="77"/>
        <v>32</v>
      </c>
      <c r="L40" s="59" t="str">
        <f>IFERROR(VLOOKUP(MID(G40,J40,K40-J40),[5]skilldef!$C:$D,2,FALSE),"-") &amp; " / " &amp; IFERROR(VLOOKUP(MID(G40,H40,I40-H40),[5]skilldef!$A:$B,2,FALSE),"-")</f>
        <v>- / -</v>
      </c>
      <c r="M40" s="59" t="str">
        <f t="shared" si="100"/>
        <v>[effect:force_change_block, new_block:time_bomb, target:block_green, count:3, val:0.1, animation:change_block],[effect:spread, val:0.18]</v>
      </c>
      <c r="N40" s="46" t="str">
        <f t="shared" si="98"/>
        <v>[effect:force_change_block, new_block:time_bomb, target:block_green, count:3, val:0.1, animation:change_block],[effect:spread, val:0.18]</v>
      </c>
      <c r="O40" s="59">
        <f t="shared" si="7"/>
        <v>9</v>
      </c>
      <c r="P40" s="59">
        <f t="shared" si="78"/>
        <v>27</v>
      </c>
      <c r="Q40" s="59">
        <f t="shared" si="79"/>
        <v>57</v>
      </c>
      <c r="R40" s="59">
        <f t="shared" si="80"/>
        <v>48</v>
      </c>
      <c r="S40" s="59" t="str">
        <f>IFERROR(VLOOKUP(MID(N40,Q40,R40-Q40),[5]skilldef!$C:$D,2,FALSE),"-") &amp; " / " &amp; IFERROR(VLOOKUP(MID(N40,O40,P40-O40),[5]skilldef!$A:$B,2,FALSE),"-")</f>
        <v>- / -</v>
      </c>
      <c r="T40" s="46" t="str">
        <f t="shared" si="81"/>
        <v>[effect:spread, val:0.18]</v>
      </c>
      <c r="U40" s="59">
        <f t="shared" si="12"/>
        <v>9</v>
      </c>
      <c r="V40" s="59">
        <f t="shared" si="82"/>
        <v>15</v>
      </c>
      <c r="W40" s="59" t="e">
        <f t="shared" si="83"/>
        <v>#VALUE!</v>
      </c>
      <c r="X40" s="59" t="e">
        <f t="shared" si="84"/>
        <v>#VALUE!</v>
      </c>
      <c r="Y40" s="59" t="str">
        <f>IFERROR(VLOOKUP(MID(T40,W40,X40-W40),[5]skilldef!$C:$D,2,FALSE),"-") &amp; " / " &amp; IFERROR(VLOOKUP(MID(T40,U40,V40-U40),[5]skilldef!$A:$B,2,FALSE),"-")</f>
        <v>- / 全体攻撃</v>
      </c>
      <c r="Z40" s="48"/>
      <c r="AA40" s="49"/>
      <c r="AB40" s="48"/>
    </row>
    <row r="41" spans="1:28" ht="21" customHeight="1" x14ac:dyDescent="0.15">
      <c r="A41" s="114">
        <v>40042525</v>
      </c>
      <c r="B41" s="103" t="s">
        <v>519</v>
      </c>
      <c r="C41" s="104">
        <v>3</v>
      </c>
      <c r="D41" s="104" t="s">
        <v>127</v>
      </c>
      <c r="E41" s="105" t="s">
        <v>414</v>
      </c>
      <c r="F41" s="105" t="s">
        <v>429</v>
      </c>
      <c r="G41" s="59" t="str">
        <f t="shared" si="99"/>
        <v>[effect:enemy_message, val1:1.2, val2:2.9]</v>
      </c>
      <c r="H41" s="59">
        <f t="shared" si="2"/>
        <v>9</v>
      </c>
      <c r="I41" s="59">
        <f t="shared" si="75"/>
        <v>22</v>
      </c>
      <c r="J41" s="59" t="e">
        <f t="shared" si="76"/>
        <v>#VALUE!</v>
      </c>
      <c r="K41" s="59">
        <f t="shared" si="77"/>
        <v>32</v>
      </c>
      <c r="L41" s="59" t="str">
        <f>IFERROR(VLOOKUP(MID(G41,J41,K41-J41),[5]skilldef!$C:$D,2,FALSE),"-") &amp; " / " &amp; IFERROR(VLOOKUP(MID(G41,H41,I41-H41),[5]skilldef!$A:$B,2,FALSE),"-")</f>
        <v>- / -</v>
      </c>
      <c r="M41" s="59" t="str">
        <f t="shared" si="100"/>
        <v>[effect:force_change_block, new_block:time_bomb, target:block_heart, count:3, val:0.1, animation:change_block],[effect:spread, val:0.18]</v>
      </c>
      <c r="N41" s="46" t="str">
        <f t="shared" si="98"/>
        <v>[effect:force_change_block, new_block:time_bomb, target:block_heart, count:3, val:0.1, animation:change_block],[effect:spread, val:0.18]</v>
      </c>
      <c r="O41" s="59">
        <f t="shared" si="7"/>
        <v>9</v>
      </c>
      <c r="P41" s="59">
        <f t="shared" si="78"/>
        <v>27</v>
      </c>
      <c r="Q41" s="59">
        <f t="shared" si="79"/>
        <v>57</v>
      </c>
      <c r="R41" s="59">
        <f t="shared" si="80"/>
        <v>48</v>
      </c>
      <c r="S41" s="59" t="str">
        <f>IFERROR(VLOOKUP(MID(N41,Q41,R41-Q41),[5]skilldef!$C:$D,2,FALSE),"-") &amp; " / " &amp; IFERROR(VLOOKUP(MID(N41,O41,P41-O41),[5]skilldef!$A:$B,2,FALSE),"-")</f>
        <v>- / -</v>
      </c>
      <c r="T41" s="46" t="str">
        <f t="shared" si="81"/>
        <v>[effect:spread, val:0.18]</v>
      </c>
      <c r="U41" s="59">
        <f t="shared" si="12"/>
        <v>9</v>
      </c>
      <c r="V41" s="59">
        <f t="shared" si="82"/>
        <v>15</v>
      </c>
      <c r="W41" s="59" t="e">
        <f t="shared" si="83"/>
        <v>#VALUE!</v>
      </c>
      <c r="X41" s="59" t="e">
        <f t="shared" si="84"/>
        <v>#VALUE!</v>
      </c>
      <c r="Y41" s="59" t="str">
        <f>IFERROR(VLOOKUP(MID(T41,W41,X41-W41),[5]skilldef!$C:$D,2,FALSE),"-") &amp; " / " &amp; IFERROR(VLOOKUP(MID(T41,U41,V41-U41),[5]skilldef!$A:$B,2,FALSE),"-")</f>
        <v>- / 全体攻撃</v>
      </c>
      <c r="Z41" s="48"/>
      <c r="AA41" s="49"/>
      <c r="AB41" s="48"/>
    </row>
    <row r="42" spans="1:28" ht="21" customHeight="1" x14ac:dyDescent="0.15">
      <c r="A42" s="114">
        <v>40042526</v>
      </c>
      <c r="B42" s="103" t="s">
        <v>554</v>
      </c>
      <c r="C42" s="104">
        <v>3</v>
      </c>
      <c r="D42" s="104" t="s">
        <v>127</v>
      </c>
      <c r="E42" s="105" t="s">
        <v>456</v>
      </c>
      <c r="F42" s="105" t="s">
        <v>455</v>
      </c>
      <c r="G42" s="59" t="str">
        <f t="shared" si="99"/>
        <v>[effect:enemy_message, val1:1.7, val2:2.7]</v>
      </c>
      <c r="H42" s="59">
        <f t="shared" si="2"/>
        <v>9</v>
      </c>
      <c r="I42" s="59">
        <f t="shared" ref="I42" si="101">IFERROR(FIND(",",G42),LEN(G42))</f>
        <v>22</v>
      </c>
      <c r="J42" s="59" t="e">
        <f t="shared" ref="J42" si="102">FIND("target:",G42)+7</f>
        <v>#VALUE!</v>
      </c>
      <c r="K42" s="59">
        <f t="shared" ref="K42" si="103">FIND(",",G42,I42+1)</f>
        <v>32</v>
      </c>
      <c r="L42" s="59" t="str">
        <f>IFERROR(VLOOKUP(MID(G42,J42,K42-J42),[5]skilldef!$C:$D,2,FALSE),"-") &amp; " / " &amp; IFERROR(VLOOKUP(MID(G42,H42,I42-H42),[5]skilldef!$A:$B,2,FALSE),"-")</f>
        <v>- / -</v>
      </c>
      <c r="M42" s="59" t="str">
        <f t="shared" si="100"/>
        <v>[effect:force_change_block, new_block:time_bomb, target:block_all, ignore01:block_positive, ignore02:block_negative, count:5, val:0.1, animation:change_block],[effect:spread, val:0.2]</v>
      </c>
      <c r="N42" s="46" t="str">
        <f t="shared" ref="N42" si="104">IFERROR(LEFT(M42,FIND("],",M42)+S53),M42)</f>
        <v>[effect:force_change_block, new_block:time_bomb, target:block_all, ignore01:block_positive, ignore02:block_negative, count:5, val:0.1, animation:change_block],[effect:spread, val:0.2]</v>
      </c>
      <c r="O42" s="59">
        <f t="shared" si="7"/>
        <v>9</v>
      </c>
      <c r="P42" s="59">
        <f t="shared" ref="P42" si="105">IFERROR(FIND(",",N42),LEN(N42))</f>
        <v>27</v>
      </c>
      <c r="Q42" s="59">
        <f t="shared" ref="Q42" si="106">FIND("target:",N42)+7</f>
        <v>57</v>
      </c>
      <c r="R42" s="59">
        <f t="shared" ref="R42" si="107">FIND(",",N42,P42+1)</f>
        <v>48</v>
      </c>
      <c r="S42" s="59" t="str">
        <f>IFERROR(VLOOKUP(MID(N42,Q42,R42-Q42),[5]skilldef!$C:$D,2,FALSE),"-") &amp; " / " &amp; IFERROR(VLOOKUP(MID(N42,O42,P42-O42),[5]skilldef!$A:$B,2,FALSE),"-")</f>
        <v>- / -</v>
      </c>
      <c r="T42" s="46" t="str">
        <f t="shared" ref="T42" si="108">IFERROR(RIGHT(M42,LEN(M42)-FIND("],",M42)-1),"none")</f>
        <v>[effect:spread, val:0.2]</v>
      </c>
      <c r="U42" s="59">
        <f t="shared" si="12"/>
        <v>9</v>
      </c>
      <c r="V42" s="59">
        <f t="shared" ref="V42" si="109">IFERROR(FIND(",",T42),LEN(T42))</f>
        <v>15</v>
      </c>
      <c r="W42" s="59" t="e">
        <f t="shared" ref="W42" si="110">FIND("target:",T42)+7</f>
        <v>#VALUE!</v>
      </c>
      <c r="X42" s="59" t="e">
        <f t="shared" ref="X42" si="111">FIND(",",T42,V42+1)</f>
        <v>#VALUE!</v>
      </c>
      <c r="Y42" s="59" t="str">
        <f>IFERROR(VLOOKUP(MID(T42,W42,X42-W42),[5]skilldef!$C:$D,2,FALSE),"-") &amp; " / " &amp; IFERROR(VLOOKUP(MID(T42,U42,V42-U42),[5]skilldef!$A:$B,2,FALSE),"-")</f>
        <v>- / 全体攻撃</v>
      </c>
      <c r="Z42" s="48"/>
      <c r="AA42" s="49"/>
      <c r="AB42" s="48"/>
    </row>
    <row r="43" spans="1:28" ht="21" customHeight="1" x14ac:dyDescent="0.15">
      <c r="A43" s="117">
        <v>40042531</v>
      </c>
      <c r="B43" s="106" t="s">
        <v>498</v>
      </c>
      <c r="C43" s="107">
        <v>3</v>
      </c>
      <c r="D43" s="107" t="s">
        <v>127</v>
      </c>
      <c r="E43" s="108" t="s">
        <v>416</v>
      </c>
      <c r="F43" s="108" t="s">
        <v>324</v>
      </c>
      <c r="G43" s="59" t="str">
        <f t="shared" si="99"/>
        <v>[effect:enemy_message, val1:1.8, val2:2.4]</v>
      </c>
      <c r="H43" s="59">
        <f t="shared" si="2"/>
        <v>9</v>
      </c>
      <c r="I43" s="59">
        <f t="shared" ref="I43:I50" si="112">IFERROR(FIND(",",G43),LEN(G43))</f>
        <v>22</v>
      </c>
      <c r="J43" s="59" t="e">
        <f t="shared" ref="J43:J50" si="113">FIND("target:",G43)+7</f>
        <v>#VALUE!</v>
      </c>
      <c r="K43" s="59">
        <f t="shared" ref="K43:K50" si="114">FIND(",",G43,I43+1)</f>
        <v>32</v>
      </c>
      <c r="L43" s="59" t="str">
        <f>IFERROR(VLOOKUP(MID(G43,J43,K43-J43),[5]skilldef!$C:$D,2,FALSE),"-") &amp; " / " &amp; IFERROR(VLOOKUP(MID(G43,H43,I43-H43),[5]skilldef!$A:$B,2,FALSE),"-")</f>
        <v>- / -</v>
      </c>
      <c r="M43" s="59" t="str">
        <f t="shared" si="100"/>
        <v>[effect:tolerance, target:myself, turn:-1, count:-1, tolerance_effect:all, animation:enemy_tolerance],[effect:change_bomb_range, target:unit_all, val:0.5, rate:1, turn:5, animation:bomb_small]</v>
      </c>
      <c r="N43" s="46" t="str">
        <f t="shared" ref="N43:N50" si="115">IFERROR(LEFT(M43,FIND("],",M43)+S54),M43)</f>
        <v>[effect:tolerance, target:myself, turn:-1, count:-1, tolerance_effect:all, animation:enemy_tolerance],[effect:change_bomb_range, target:unit_all, val:0.5, rate:1, turn:5, animation:bomb_small]</v>
      </c>
      <c r="O43" s="59">
        <f t="shared" si="7"/>
        <v>9</v>
      </c>
      <c r="P43" s="59">
        <f t="shared" ref="P43:P50" si="116">IFERROR(FIND(",",N43),LEN(N43))</f>
        <v>18</v>
      </c>
      <c r="Q43" s="59">
        <f t="shared" ref="Q43:Q50" si="117">FIND("target:",N43)+7</f>
        <v>27</v>
      </c>
      <c r="R43" s="59">
        <f t="shared" ref="R43:R50" si="118">FIND(",",N43,P43+1)</f>
        <v>33</v>
      </c>
      <c r="S43" s="59" t="str">
        <f>IFERROR(VLOOKUP(MID(N43,Q43,R43-Q43),[5]skilldef!$C:$D,2,FALSE),"-") &amp; " / " &amp; IFERROR(VLOOKUP(MID(N43,O43,P43-O43),[5]skilldef!$A:$B,2,FALSE),"-")</f>
        <v>自分自身に / 状態異常耐性</v>
      </c>
      <c r="T43" s="46" t="str">
        <f t="shared" ref="T43:T50" si="119">IFERROR(RIGHT(M43,LEN(M43)-FIND("],",M43)-1),"none")</f>
        <v>[effect:change_bomb_range, target:unit_all, val:0.5, rate:1, turn:5, animation:bomb_small]</v>
      </c>
      <c r="U43" s="59">
        <f t="shared" si="12"/>
        <v>9</v>
      </c>
      <c r="V43" s="59">
        <f t="shared" ref="V43:V50" si="120">IFERROR(FIND(",",T43),LEN(T43))</f>
        <v>26</v>
      </c>
      <c r="W43" s="59">
        <f t="shared" ref="W43:W50" si="121">FIND("target:",T43)+7</f>
        <v>35</v>
      </c>
      <c r="X43" s="59">
        <f t="shared" ref="X43:X50" si="122">FIND(",",T43,V43+1)</f>
        <v>43</v>
      </c>
      <c r="Y43" s="59" t="str">
        <f>IFERROR(VLOOKUP(MID(T43,W43,X43-W43),[5]skilldef!$C:$D,2,FALSE),"-") &amp; " / " &amp; IFERROR(VLOOKUP(MID(T43,U43,V43-U43),[5]skilldef!$A:$B,2,FALSE),"-")</f>
        <v>味方全体に / -</v>
      </c>
      <c r="Z43" s="48"/>
      <c r="AA43" s="49"/>
      <c r="AB43" s="48"/>
    </row>
    <row r="44" spans="1:28" ht="21" customHeight="1" x14ac:dyDescent="0.15">
      <c r="A44" s="117">
        <v>40042532</v>
      </c>
      <c r="B44" s="106" t="s">
        <v>500</v>
      </c>
      <c r="C44" s="107">
        <v>3</v>
      </c>
      <c r="D44" s="107" t="s">
        <v>127</v>
      </c>
      <c r="E44" s="108" t="s">
        <v>417</v>
      </c>
      <c r="F44" s="108" t="s">
        <v>430</v>
      </c>
      <c r="G44" s="59" t="str">
        <f t="shared" si="99"/>
        <v>[effect:enemy_message, val1:1.2, val2:2.2]</v>
      </c>
      <c r="H44" s="59">
        <f t="shared" si="2"/>
        <v>9</v>
      </c>
      <c r="I44" s="59">
        <f t="shared" si="112"/>
        <v>22</v>
      </c>
      <c r="J44" s="59" t="e">
        <f t="shared" si="113"/>
        <v>#VALUE!</v>
      </c>
      <c r="K44" s="59">
        <f t="shared" si="114"/>
        <v>32</v>
      </c>
      <c r="L44" s="59" t="str">
        <f>IFERROR(VLOOKUP(MID(G44,J44,K44-J44),[5]skilldef!$C:$D,2,FALSE),"-") &amp; " / " &amp; IFERROR(VLOOKUP(MID(G44,H44,I44-H44),[5]skilldef!$A:$B,2,FALSE),"-")</f>
        <v>- / -</v>
      </c>
      <c r="M44" s="59" t="str">
        <f t="shared" si="100"/>
        <v>[effect:force_change_block, new_block:damage, target:block_blue, count:0, val:0.1, animation:change_block],[effect:critical, val:1.0]</v>
      </c>
      <c r="N44" s="46" t="str">
        <f t="shared" si="115"/>
        <v>[effect:force_change_block, new_block:damage, target:block_blue, count:0, val:0.1, animation:change_block],[effect:critical, val:1.0]</v>
      </c>
      <c r="O44" s="59">
        <f t="shared" si="7"/>
        <v>9</v>
      </c>
      <c r="P44" s="59">
        <f t="shared" si="116"/>
        <v>27</v>
      </c>
      <c r="Q44" s="59">
        <f t="shared" si="117"/>
        <v>54</v>
      </c>
      <c r="R44" s="59">
        <f t="shared" si="118"/>
        <v>45</v>
      </c>
      <c r="S44" s="59" t="str">
        <f>IFERROR(VLOOKUP(MID(N44,Q44,R44-Q44),[5]skilldef!$C:$D,2,FALSE),"-") &amp; " / " &amp; IFERROR(VLOOKUP(MID(N44,O44,P44-O44),[5]skilldef!$A:$B,2,FALSE),"-")</f>
        <v>- / -</v>
      </c>
      <c r="T44" s="46" t="str">
        <f t="shared" si="119"/>
        <v>[effect:critical, val:1.0]</v>
      </c>
      <c r="U44" s="59">
        <f t="shared" si="12"/>
        <v>9</v>
      </c>
      <c r="V44" s="59">
        <f t="shared" si="120"/>
        <v>17</v>
      </c>
      <c r="W44" s="59" t="e">
        <f t="shared" si="121"/>
        <v>#VALUE!</v>
      </c>
      <c r="X44" s="59" t="e">
        <f t="shared" si="122"/>
        <v>#VALUE!</v>
      </c>
      <c r="Y44" s="59" t="str">
        <f>IFERROR(VLOOKUP(MID(T44,W44,X44-W44),[5]skilldef!$C:$D,2,FALSE),"-") &amp; " / " &amp; IFERROR(VLOOKUP(MID(T44,U44,V44-U44),[5]skilldef!$A:$B,2,FALSE),"-")</f>
        <v>- / 大攻撃</v>
      </c>
      <c r="Z44" s="48"/>
      <c r="AA44" s="49"/>
      <c r="AB44" s="48"/>
    </row>
    <row r="45" spans="1:28" ht="21" customHeight="1" x14ac:dyDescent="0.15">
      <c r="A45" s="117">
        <v>40042533</v>
      </c>
      <c r="B45" s="106" t="s">
        <v>526</v>
      </c>
      <c r="C45" s="107">
        <v>3</v>
      </c>
      <c r="D45" s="107" t="s">
        <v>127</v>
      </c>
      <c r="E45" s="108" t="s">
        <v>418</v>
      </c>
      <c r="F45" s="108" t="s">
        <v>525</v>
      </c>
      <c r="G45" s="59" t="str">
        <f t="shared" si="99"/>
        <v>[effect:enemy_message, val1:1.5, val2:2.5]</v>
      </c>
      <c r="H45" s="59">
        <f t="shared" si="2"/>
        <v>9</v>
      </c>
      <c r="I45" s="59">
        <f t="shared" si="112"/>
        <v>22</v>
      </c>
      <c r="J45" s="59" t="e">
        <f t="shared" si="113"/>
        <v>#VALUE!</v>
      </c>
      <c r="K45" s="59">
        <f t="shared" si="114"/>
        <v>32</v>
      </c>
      <c r="L45" s="59" t="str">
        <f>IFERROR(VLOOKUP(MID(G45,J45,K45-J45),[5]skilldef!$C:$D,2,FALSE),"-") &amp; " / " &amp; IFERROR(VLOOKUP(MID(G45,H45,I45-H45),[5]skilldef!$A:$B,2,FALSE),"-")</f>
        <v>- / -</v>
      </c>
      <c r="M45" s="59" t="str">
        <f t="shared" si="100"/>
        <v>[effect:degrade_unit, target:unit_all, turn:5, status:heal, val:0.2, calc:mul, animation:degrade_unit_all_heal],[effect:critical, val:1.0]</v>
      </c>
      <c r="N45" s="46" t="str">
        <f t="shared" si="115"/>
        <v>[effect:degrade_unit, target:unit_all, turn:5, status:heal, val:0.2, calc:mul, animation:degrade_unit_all_heal],[effect:critical, val:1.0]</v>
      </c>
      <c r="O45" s="59">
        <f t="shared" si="7"/>
        <v>9</v>
      </c>
      <c r="P45" s="59">
        <f t="shared" si="116"/>
        <v>21</v>
      </c>
      <c r="Q45" s="59">
        <f t="shared" si="117"/>
        <v>30</v>
      </c>
      <c r="R45" s="59">
        <f t="shared" si="118"/>
        <v>38</v>
      </c>
      <c r="S45" s="59" t="str">
        <f>IFERROR(VLOOKUP(MID(N45,Q45,R45-Q45),[5]skilldef!$C:$D,2,FALSE),"-") &amp; " / " &amp; IFERROR(VLOOKUP(MID(N45,O45,P45-O45),[5]skilldef!$A:$B,2,FALSE),"-")</f>
        <v>味方全体に / ステータスDOWN</v>
      </c>
      <c r="T45" s="46" t="str">
        <f t="shared" si="119"/>
        <v>[effect:critical, val:1.0]</v>
      </c>
      <c r="U45" s="59">
        <f t="shared" si="12"/>
        <v>9</v>
      </c>
      <c r="V45" s="59">
        <f t="shared" si="120"/>
        <v>17</v>
      </c>
      <c r="W45" s="59" t="e">
        <f t="shared" si="121"/>
        <v>#VALUE!</v>
      </c>
      <c r="X45" s="59" t="e">
        <f t="shared" si="122"/>
        <v>#VALUE!</v>
      </c>
      <c r="Y45" s="59" t="str">
        <f>IFERROR(VLOOKUP(MID(T45,W45,X45-W45),[5]skilldef!$C:$D,2,FALSE),"-") &amp; " / " &amp; IFERROR(VLOOKUP(MID(T45,U45,V45-U45),[5]skilldef!$A:$B,2,FALSE),"-")</f>
        <v>- / 大攻撃</v>
      </c>
      <c r="Z45" s="48"/>
      <c r="AA45" s="49"/>
      <c r="AB45" s="48"/>
    </row>
    <row r="46" spans="1:28" ht="21" customHeight="1" x14ac:dyDescent="0.15">
      <c r="A46" s="117">
        <v>40042534</v>
      </c>
      <c r="B46" s="106" t="s">
        <v>501</v>
      </c>
      <c r="C46" s="107">
        <v>3</v>
      </c>
      <c r="D46" s="107" t="s">
        <v>127</v>
      </c>
      <c r="E46" s="108" t="s">
        <v>419</v>
      </c>
      <c r="F46" s="108" t="s">
        <v>457</v>
      </c>
      <c r="G46" s="59" t="str">
        <f t="shared" si="99"/>
        <v>[effect:enemy_message, val1:1.8, val2:2.2]</v>
      </c>
      <c r="H46" s="59">
        <f t="shared" si="2"/>
        <v>9</v>
      </c>
      <c r="I46" s="59">
        <f t="shared" si="112"/>
        <v>22</v>
      </c>
      <c r="J46" s="59" t="e">
        <f t="shared" si="113"/>
        <v>#VALUE!</v>
      </c>
      <c r="K46" s="59">
        <f t="shared" si="114"/>
        <v>32</v>
      </c>
      <c r="L46" s="59" t="str">
        <f>IFERROR(VLOOKUP(MID(G46,J46,K46-J46),[5]skilldef!$C:$D,2,FALSE),"-") &amp; " / " &amp; IFERROR(VLOOKUP(MID(G46,H46,I46-H46),[5]skilldef!$A:$B,2,FALSE),"-")</f>
        <v>- / -</v>
      </c>
      <c r="M46" s="59" t="str">
        <f t="shared" si="100"/>
        <v>[effect:break_attack, target:unit_one, val:0.05, lowest_val:1000, count:-1, color:yellow, block_color:block_heart, block01:crack_bomb, block02:block_heart]</v>
      </c>
      <c r="N46" s="46" t="str">
        <f t="shared" si="115"/>
        <v>[effect:break_attack, target:unit_one, val:0.05, lowest_val:1000, count:-1, color:yellow, block_color:block_heart, block01:crack_bomb, block02:block_heart]</v>
      </c>
      <c r="O46" s="59">
        <f t="shared" si="7"/>
        <v>9</v>
      </c>
      <c r="P46" s="59">
        <f t="shared" si="116"/>
        <v>21</v>
      </c>
      <c r="Q46" s="59">
        <f t="shared" si="117"/>
        <v>30</v>
      </c>
      <c r="R46" s="59">
        <f t="shared" si="118"/>
        <v>38</v>
      </c>
      <c r="S46" s="59" t="str">
        <f>IFERROR(VLOOKUP(MID(N46,Q46,R46-Q46),[5]skilldef!$C:$D,2,FALSE),"-") &amp; " / " &amp; IFERROR(VLOOKUP(MID(N46,O46,P46-O46),[5]skilldef!$A:$B,2,FALSE),"-")</f>
        <v>味方単体に / -</v>
      </c>
      <c r="T46" s="46" t="str">
        <f t="shared" si="119"/>
        <v>none</v>
      </c>
      <c r="U46" s="59" t="e">
        <f t="shared" si="12"/>
        <v>#VALUE!</v>
      </c>
      <c r="V46" s="59">
        <f t="shared" si="120"/>
        <v>4</v>
      </c>
      <c r="W46" s="59" t="e">
        <f t="shared" si="121"/>
        <v>#VALUE!</v>
      </c>
      <c r="X46" s="59" t="e">
        <f t="shared" si="122"/>
        <v>#VALUE!</v>
      </c>
      <c r="Y46" s="59" t="str">
        <f>IFERROR(VLOOKUP(MID(T46,W46,X46-W46),[5]skilldef!$C:$D,2,FALSE),"-") &amp; " / " &amp; IFERROR(VLOOKUP(MID(T46,U46,V46-U46),[5]skilldef!$A:$B,2,FALSE),"-")</f>
        <v>- / -</v>
      </c>
      <c r="Z46" s="48"/>
      <c r="AA46" s="49"/>
      <c r="AB46" s="48"/>
    </row>
    <row r="47" spans="1:28" ht="21" customHeight="1" x14ac:dyDescent="0.15">
      <c r="A47" s="117">
        <v>40042535</v>
      </c>
      <c r="B47" s="106" t="s">
        <v>503</v>
      </c>
      <c r="C47" s="107">
        <v>3</v>
      </c>
      <c r="D47" s="107" t="s">
        <v>127</v>
      </c>
      <c r="E47" s="108" t="s">
        <v>420</v>
      </c>
      <c r="F47" s="108" t="s">
        <v>433</v>
      </c>
      <c r="G47" s="59" t="str">
        <f t="shared" si="99"/>
        <v>[effect:enemy_message, val1:1.4, val2:2.3]</v>
      </c>
      <c r="H47" s="59">
        <f t="shared" si="2"/>
        <v>9</v>
      </c>
      <c r="I47" s="59">
        <f t="shared" si="112"/>
        <v>22</v>
      </c>
      <c r="J47" s="59" t="e">
        <f t="shared" si="113"/>
        <v>#VALUE!</v>
      </c>
      <c r="K47" s="59">
        <f t="shared" si="114"/>
        <v>32</v>
      </c>
      <c r="L47" s="59" t="str">
        <f>IFERROR(VLOOKUP(MID(G47,J47,K47-J47),[5]skilldef!$C:$D,2,FALSE),"-") &amp; " / " &amp; IFERROR(VLOOKUP(MID(G47,H47,I47-H47),[5]skilldef!$A:$B,2,FALSE),"-")</f>
        <v>- / -</v>
      </c>
      <c r="M47" s="59" t="str">
        <f t="shared" si="100"/>
        <v>[effect:force_change_block, new_block:damage, target:block_red, color:block_red, count:0, val:0.1, animation:change_block],[effect:force_change_block, new_block:damage, target:block_blue, color:block_blue, count:0, val:0.1, animation:change_block],[effect:force_change_block, new_block:damage, target:block_green, color:block_green, count:0, val:0.1, animation:change_block],[effect:force_change_block, new_block:damage, target:block_heart, color:block_heart, count:0, val:0.1, animation:change_block],[effect:fix_speed, target:myself, turn:2]</v>
      </c>
      <c r="N47" s="46" t="str">
        <f t="shared" si="115"/>
        <v>[effect:force_change_block, new_block:damage, target:block_red, color:block_red, count:0, val:0.1, animation:change_block],[effect:force_change_block, new_block:damage, target:block_blue, color:block_blue, count:0, val:0.1, animation:change_block],[effect:force_change_block, new_block:damage, target:block_green, color:block_green, count:0, val:0.1, animation:change_block],[effect:force_change_block, new_block:damage, target:block_heart, color:block_heart, count:0, val:0.1, animation:change_block],[effect:fix_speed, target:myself, turn:2]</v>
      </c>
      <c r="O47" s="59">
        <f t="shared" si="7"/>
        <v>9</v>
      </c>
      <c r="P47" s="59">
        <f t="shared" si="116"/>
        <v>27</v>
      </c>
      <c r="Q47" s="59">
        <f t="shared" si="117"/>
        <v>54</v>
      </c>
      <c r="R47" s="59">
        <f t="shared" si="118"/>
        <v>45</v>
      </c>
      <c r="S47" s="59" t="str">
        <f>IFERROR(VLOOKUP(MID(N47,Q47,R47-Q47),[5]skilldef!$C:$D,2,FALSE),"-") &amp; " / " &amp; IFERROR(VLOOKUP(MID(N47,O47,P47-O47),[5]skilldef!$A:$B,2,FALSE),"-")</f>
        <v>- / -</v>
      </c>
      <c r="T47" s="46" t="str">
        <f t="shared" si="119"/>
        <v>[effect:force_change_block, new_block:damage, target:block_blue, color:block_blue, count:0, val:0.1, animation:change_block],[effect:force_change_block, new_block:damage, target:block_green, color:block_green, count:0, val:0.1, animation:change_block],[effect:force_change_block, new_block:damage, target:block_heart, color:block_heart, count:0, val:0.1, animation:change_block],[effect:fix_speed, target:myself, turn:2]</v>
      </c>
      <c r="U47" s="59">
        <f t="shared" si="12"/>
        <v>9</v>
      </c>
      <c r="V47" s="59">
        <f t="shared" si="120"/>
        <v>27</v>
      </c>
      <c r="W47" s="59">
        <f t="shared" si="121"/>
        <v>54</v>
      </c>
      <c r="X47" s="59">
        <f t="shared" si="122"/>
        <v>45</v>
      </c>
      <c r="Y47" s="59" t="str">
        <f>IFERROR(VLOOKUP(MID(T47,W47,X47-W47),[5]skilldef!$C:$D,2,FALSE),"-") &amp; " / " &amp; IFERROR(VLOOKUP(MID(T47,U47,V47-U47),[5]skilldef!$A:$B,2,FALSE),"-")</f>
        <v>- / -</v>
      </c>
      <c r="Z47" s="48"/>
      <c r="AA47" s="49"/>
      <c r="AB47" s="48"/>
    </row>
    <row r="48" spans="1:28" ht="21" customHeight="1" x14ac:dyDescent="0.15">
      <c r="A48" s="117">
        <v>40042536</v>
      </c>
      <c r="B48" s="106" t="s">
        <v>520</v>
      </c>
      <c r="C48" s="107">
        <v>3</v>
      </c>
      <c r="D48" s="107" t="s">
        <v>127</v>
      </c>
      <c r="E48" s="108" t="s">
        <v>421</v>
      </c>
      <c r="F48" s="108" t="s">
        <v>396</v>
      </c>
      <c r="G48" s="59" t="str">
        <f t="shared" si="99"/>
        <v>[effect:enemy_message, val1:1.2, val2:2.8]</v>
      </c>
      <c r="H48" s="59">
        <f t="shared" si="2"/>
        <v>9</v>
      </c>
      <c r="I48" s="59">
        <f t="shared" si="112"/>
        <v>22</v>
      </c>
      <c r="J48" s="59" t="e">
        <f t="shared" si="113"/>
        <v>#VALUE!</v>
      </c>
      <c r="K48" s="59">
        <f t="shared" si="114"/>
        <v>32</v>
      </c>
      <c r="L48" s="59" t="str">
        <f>IFERROR(VLOOKUP(MID(G48,J48,K48-J48),[5]skilldef!$C:$D,2,FALSE),"-") &amp; " / " &amp; IFERROR(VLOOKUP(MID(G48,H48,I48-H48),[5]skilldef!$A:$B,2,FALSE),"-")</f>
        <v>- / -</v>
      </c>
      <c r="M48" s="59" t="str">
        <f t="shared" si="100"/>
        <v>[effect:break_attack, target:unit_all, val:0.02, lowest_val:1000, count:-1, color:yellow, block01:damage]</v>
      </c>
      <c r="N48" s="46" t="str">
        <f t="shared" si="115"/>
        <v>[effect:break_attack, target:unit_all, val:0.02, lowest_val:1000, count:-1, color:yellow, block01:damage]</v>
      </c>
      <c r="O48" s="59">
        <f t="shared" si="7"/>
        <v>9</v>
      </c>
      <c r="P48" s="59">
        <f t="shared" si="116"/>
        <v>21</v>
      </c>
      <c r="Q48" s="59">
        <f t="shared" si="117"/>
        <v>30</v>
      </c>
      <c r="R48" s="59">
        <f t="shared" si="118"/>
        <v>38</v>
      </c>
      <c r="S48" s="59" t="str">
        <f>IFERROR(VLOOKUP(MID(N48,Q48,R48-Q48),[5]skilldef!$C:$D,2,FALSE),"-") &amp; " / " &amp; IFERROR(VLOOKUP(MID(N48,O48,P48-O48),[5]skilldef!$A:$B,2,FALSE),"-")</f>
        <v>味方全体に / -</v>
      </c>
      <c r="T48" s="46" t="str">
        <f t="shared" si="119"/>
        <v>none</v>
      </c>
      <c r="U48" s="59" t="e">
        <f t="shared" si="12"/>
        <v>#VALUE!</v>
      </c>
      <c r="V48" s="59">
        <f t="shared" si="120"/>
        <v>4</v>
      </c>
      <c r="W48" s="59" t="e">
        <f t="shared" si="121"/>
        <v>#VALUE!</v>
      </c>
      <c r="X48" s="59" t="e">
        <f t="shared" si="122"/>
        <v>#VALUE!</v>
      </c>
      <c r="Y48" s="59" t="str">
        <f>IFERROR(VLOOKUP(MID(T48,W48,X48-W48),[5]skilldef!$C:$D,2,FALSE),"-") &amp; " / " &amp; IFERROR(VLOOKUP(MID(T48,U48,V48-U48),[5]skilldef!$A:$B,2,FALSE),"-")</f>
        <v>- / -</v>
      </c>
      <c r="Z48" s="48"/>
      <c r="AA48" s="49"/>
      <c r="AB48" s="48"/>
    </row>
    <row r="49" spans="1:28" ht="21" customHeight="1" x14ac:dyDescent="0.15">
      <c r="A49" s="117">
        <v>40042537</v>
      </c>
      <c r="B49" s="106" t="s">
        <v>505</v>
      </c>
      <c r="C49" s="107">
        <v>3</v>
      </c>
      <c r="D49" s="107" t="s">
        <v>127</v>
      </c>
      <c r="E49" s="108" t="s">
        <v>422</v>
      </c>
      <c r="F49" s="108" t="s">
        <v>343</v>
      </c>
      <c r="G49" s="59" t="str">
        <f t="shared" si="99"/>
        <v>[effect:enemy_message, val1:2.1, val2:1.2]</v>
      </c>
      <c r="H49" s="59">
        <f t="shared" si="2"/>
        <v>9</v>
      </c>
      <c r="I49" s="59">
        <f t="shared" si="112"/>
        <v>22</v>
      </c>
      <c r="J49" s="59" t="e">
        <f t="shared" si="113"/>
        <v>#VALUE!</v>
      </c>
      <c r="K49" s="59">
        <f t="shared" si="114"/>
        <v>32</v>
      </c>
      <c r="L49" s="59" t="str">
        <f>IFERROR(VLOOKUP(MID(G49,J49,K49-J49),[5]skilldef!$C:$D,2,FALSE),"-") &amp; " / " &amp; IFERROR(VLOOKUP(MID(G49,H49,I49-H49),[5]skilldef!$A:$B,2,FALSE),"-")</f>
        <v>- / -</v>
      </c>
      <c r="M49" s="59" t="str">
        <f t="shared" si="100"/>
        <v>[effect:spread, val:10]</v>
      </c>
      <c r="N49" s="46" t="str">
        <f t="shared" si="115"/>
        <v>[effect:spread, val:10]</v>
      </c>
      <c r="O49" s="59">
        <f t="shared" si="7"/>
        <v>9</v>
      </c>
      <c r="P49" s="59">
        <f t="shared" si="116"/>
        <v>15</v>
      </c>
      <c r="Q49" s="59" t="e">
        <f t="shared" si="117"/>
        <v>#VALUE!</v>
      </c>
      <c r="R49" s="59" t="e">
        <f t="shared" si="118"/>
        <v>#VALUE!</v>
      </c>
      <c r="S49" s="59" t="str">
        <f>IFERROR(VLOOKUP(MID(N49,Q49,R49-Q49),[5]skilldef!$C:$D,2,FALSE),"-") &amp; " / " &amp; IFERROR(VLOOKUP(MID(N49,O49,P49-O49),[5]skilldef!$A:$B,2,FALSE),"-")</f>
        <v>- / 全体攻撃</v>
      </c>
      <c r="T49" s="46" t="str">
        <f t="shared" si="119"/>
        <v>none</v>
      </c>
      <c r="U49" s="59" t="e">
        <f t="shared" si="12"/>
        <v>#VALUE!</v>
      </c>
      <c r="V49" s="59">
        <f t="shared" si="120"/>
        <v>4</v>
      </c>
      <c r="W49" s="59" t="e">
        <f t="shared" si="121"/>
        <v>#VALUE!</v>
      </c>
      <c r="X49" s="59" t="e">
        <f t="shared" si="122"/>
        <v>#VALUE!</v>
      </c>
      <c r="Y49" s="59" t="str">
        <f>IFERROR(VLOOKUP(MID(T49,W49,X49-W49),[5]skilldef!$C:$D,2,FALSE),"-") &amp; " / " &amp; IFERROR(VLOOKUP(MID(T49,U49,V49-U49),[5]skilldef!$A:$B,2,FALSE),"-")</f>
        <v>- / -</v>
      </c>
      <c r="Z49" s="48"/>
      <c r="AA49" s="49"/>
      <c r="AB49" s="48"/>
    </row>
    <row r="50" spans="1:28" ht="21" customHeight="1" x14ac:dyDescent="0.15">
      <c r="A50" s="117">
        <v>40042538</v>
      </c>
      <c r="B50" s="106" t="s">
        <v>541</v>
      </c>
      <c r="C50" s="107">
        <v>3</v>
      </c>
      <c r="D50" s="107" t="s">
        <v>127</v>
      </c>
      <c r="E50" s="108" t="s">
        <v>423</v>
      </c>
      <c r="F50" s="108" t="s">
        <v>537</v>
      </c>
      <c r="G50" s="59" t="str">
        <f t="shared" si="99"/>
        <v>[effect:enemy_message, val1:1.2, val2:3.2, dead_type:suicide]</v>
      </c>
      <c r="H50" s="59">
        <f t="shared" si="2"/>
        <v>9</v>
      </c>
      <c r="I50" s="59">
        <f t="shared" si="112"/>
        <v>22</v>
      </c>
      <c r="J50" s="59" t="e">
        <f t="shared" si="113"/>
        <v>#VALUE!</v>
      </c>
      <c r="K50" s="59">
        <f t="shared" si="114"/>
        <v>32</v>
      </c>
      <c r="L50" s="59" t="str">
        <f>IFERROR(VLOOKUP(MID(G50,J50,K50-J50),[5]skilldef!$C:$D,2,FALSE),"-") &amp; " / " &amp; IFERROR(VLOOKUP(MID(G50,H50,I50-H50),[5]skilldef!$A:$B,2,FALSE),"-")</f>
        <v>- / -</v>
      </c>
      <c r="M50" s="59" t="str">
        <f t="shared" si="100"/>
        <v>none</v>
      </c>
      <c r="N50" s="46" t="str">
        <f t="shared" si="115"/>
        <v>none</v>
      </c>
      <c r="O50" s="59" t="e">
        <f t="shared" si="7"/>
        <v>#VALUE!</v>
      </c>
      <c r="P50" s="59">
        <f t="shared" si="116"/>
        <v>4</v>
      </c>
      <c r="Q50" s="59" t="e">
        <f t="shared" si="117"/>
        <v>#VALUE!</v>
      </c>
      <c r="R50" s="59" t="e">
        <f t="shared" si="118"/>
        <v>#VALUE!</v>
      </c>
      <c r="S50" s="59" t="str">
        <f>IFERROR(VLOOKUP(MID(N50,Q50,R50-Q50),[5]skilldef!$C:$D,2,FALSE),"-") &amp; " / " &amp; IFERROR(VLOOKUP(MID(N50,O50,P50-O50),[5]skilldef!$A:$B,2,FALSE),"-")</f>
        <v>- / -</v>
      </c>
      <c r="T50" s="46" t="str">
        <f t="shared" si="119"/>
        <v>none</v>
      </c>
      <c r="U50" s="59" t="e">
        <f t="shared" si="12"/>
        <v>#VALUE!</v>
      </c>
      <c r="V50" s="59">
        <f t="shared" si="120"/>
        <v>4</v>
      </c>
      <c r="W50" s="59" t="e">
        <f t="shared" si="121"/>
        <v>#VALUE!</v>
      </c>
      <c r="X50" s="59" t="e">
        <f t="shared" si="122"/>
        <v>#VALUE!</v>
      </c>
      <c r="Y50" s="59" t="str">
        <f>IFERROR(VLOOKUP(MID(T50,W50,X50-W50),[5]skilldef!$C:$D,2,FALSE),"-") &amp; " / " &amp; IFERROR(VLOOKUP(MID(T50,U50,V50-U50),[5]skilldef!$A:$B,2,FALSE),"-")</f>
        <v>- / -</v>
      </c>
      <c r="Z50" s="48"/>
      <c r="AA50" s="49"/>
      <c r="AB50" s="48"/>
    </row>
    <row r="51" spans="1:28" ht="21" customHeight="1" thickBot="1" x14ac:dyDescent="0.2">
      <c r="A51" s="192">
        <v>40042539</v>
      </c>
      <c r="B51" s="106" t="s">
        <v>542</v>
      </c>
      <c r="C51" s="107">
        <v>3</v>
      </c>
      <c r="D51" s="107" t="s">
        <v>127</v>
      </c>
      <c r="E51" s="108" t="s">
        <v>424</v>
      </c>
      <c r="F51" s="108" t="s">
        <v>536</v>
      </c>
      <c r="G51" s="166" t="str">
        <f t="shared" si="99"/>
        <v>[effect:enemy_message, val1:1.3, val2:3.5, dead_type:suicide]</v>
      </c>
      <c r="H51" s="166">
        <f t="shared" ref="H51" si="123">FIND("effect:",G51)+7</f>
        <v>9</v>
      </c>
      <c r="I51" s="166">
        <f t="shared" ref="I51" si="124">IFERROR(FIND(",",G51),LEN(G51))</f>
        <v>22</v>
      </c>
      <c r="J51" s="166" t="e">
        <f t="shared" ref="J51" si="125">FIND("target:",G51)+7</f>
        <v>#VALUE!</v>
      </c>
      <c r="K51" s="166">
        <f t="shared" ref="K51" si="126">FIND(",",G51,I51+1)</f>
        <v>32</v>
      </c>
      <c r="L51" s="59" t="str">
        <f>IFERROR(VLOOKUP(MID(G51,J51,K51-J51),[5]skilldef!$C:$D,2,FALSE),"-") &amp; " / " &amp; IFERROR(VLOOKUP(MID(G51,H51,I51-H51),[5]skilldef!$A:$B,2,FALSE),"-")</f>
        <v>- / -</v>
      </c>
      <c r="M51" s="59" t="str">
        <f t="shared" si="100"/>
        <v>none</v>
      </c>
      <c r="N51" s="46" t="str">
        <f t="shared" ref="N51" si="127">IFERROR(LEFT(M51,FIND("],",M51)+S62),M51)</f>
        <v>none</v>
      </c>
      <c r="O51" s="59" t="e">
        <f t="shared" ref="O51" si="128">FIND("effect:",N51)+7</f>
        <v>#VALUE!</v>
      </c>
      <c r="P51" s="59">
        <f t="shared" ref="P51" si="129">IFERROR(FIND(",",N51),LEN(N51))</f>
        <v>4</v>
      </c>
      <c r="Q51" s="59" t="e">
        <f t="shared" ref="Q51" si="130">FIND("target:",N51)+7</f>
        <v>#VALUE!</v>
      </c>
      <c r="R51" s="59" t="e">
        <f t="shared" ref="R51" si="131">FIND(",",N51,P51+1)</f>
        <v>#VALUE!</v>
      </c>
      <c r="S51" s="59" t="str">
        <f>IFERROR(VLOOKUP(MID(N51,Q51,R51-Q51),[5]skilldef!$C:$D,2,FALSE),"-") &amp; " / " &amp; IFERROR(VLOOKUP(MID(N51,O51,P51-O51),[5]skilldef!$A:$B,2,FALSE),"-")</f>
        <v>- / -</v>
      </c>
      <c r="T51" s="46" t="str">
        <f t="shared" ref="T51" si="132">IFERROR(RIGHT(M51,LEN(M51)-FIND("],",M51)-1),"none")</f>
        <v>none</v>
      </c>
      <c r="U51" s="59" t="e">
        <f t="shared" ref="U51" si="133">FIND("effect:",T51)+7</f>
        <v>#VALUE!</v>
      </c>
      <c r="V51" s="59">
        <f t="shared" ref="V51" si="134">IFERROR(FIND(",",T51),LEN(T51))</f>
        <v>4</v>
      </c>
      <c r="W51" s="59" t="e">
        <f t="shared" ref="W51" si="135">FIND("target:",T51)+7</f>
        <v>#VALUE!</v>
      </c>
      <c r="X51" s="59" t="e">
        <f t="shared" ref="X51" si="136">FIND(",",T51,V51+1)</f>
        <v>#VALUE!</v>
      </c>
      <c r="Y51" s="59" t="str">
        <f>IFERROR(VLOOKUP(MID(T51,W51,X51-W51),[5]skilldef!$C:$D,2,FALSE),"-") &amp; " / " &amp; IFERROR(VLOOKUP(MID(T51,U51,V51-U51),[5]skilldef!$A:$B,2,FALSE),"-")</f>
        <v>- / -</v>
      </c>
      <c r="Z51" s="48"/>
      <c r="AA51" s="49"/>
      <c r="AB51" s="48"/>
    </row>
    <row r="52" spans="1:28" ht="21" customHeight="1" thickBot="1" x14ac:dyDescent="0.2">
      <c r="A52" s="189">
        <v>40042530</v>
      </c>
      <c r="B52" s="106" t="s">
        <v>542</v>
      </c>
      <c r="C52" s="190">
        <v>3</v>
      </c>
      <c r="D52" s="190" t="s">
        <v>127</v>
      </c>
      <c r="E52" s="191" t="s">
        <v>424</v>
      </c>
      <c r="F52" s="191" t="s">
        <v>536</v>
      </c>
      <c r="G52" s="166" t="str">
        <f t="shared" si="99"/>
        <v>[effect:enemy_message, val1:1.3, val2:3.5, dead_type:suicide]</v>
      </c>
      <c r="H52" s="166">
        <f t="shared" ref="H52" si="137">FIND("effect:",G52)+7</f>
        <v>9</v>
      </c>
      <c r="I52" s="166">
        <f t="shared" ref="I52" si="138">IFERROR(FIND(",",G52),LEN(G52))</f>
        <v>22</v>
      </c>
      <c r="J52" s="166" t="e">
        <f t="shared" ref="J52" si="139">FIND("target:",G52)+7</f>
        <v>#VALUE!</v>
      </c>
      <c r="K52" s="166">
        <f t="shared" ref="K52" si="140">FIND(",",G52,I52+1)</f>
        <v>32</v>
      </c>
      <c r="L52" s="193" t="str">
        <f>IFERROR(VLOOKUP(MID(G52,J52,K52-J52),[5]skilldef!$C:$D,2,FALSE),"-") &amp; " / " &amp; IFERROR(VLOOKUP(MID(G52,H52,I52-H52),[5]skilldef!$A:$B,2,FALSE),"-")</f>
        <v>- / -</v>
      </c>
      <c r="M52" s="193" t="str">
        <f t="shared" si="100"/>
        <v>none</v>
      </c>
      <c r="N52" s="194" t="str">
        <f t="shared" ref="N52" si="141">IFERROR(LEFT(M52,FIND("],",M52)+S63),M52)</f>
        <v>none</v>
      </c>
      <c r="O52" s="193" t="e">
        <f t="shared" ref="O52" si="142">FIND("effect:",N52)+7</f>
        <v>#VALUE!</v>
      </c>
      <c r="P52" s="193">
        <f t="shared" ref="P52" si="143">IFERROR(FIND(",",N52),LEN(N52))</f>
        <v>4</v>
      </c>
      <c r="Q52" s="193" t="e">
        <f t="shared" ref="Q52" si="144">FIND("target:",N52)+7</f>
        <v>#VALUE!</v>
      </c>
      <c r="R52" s="193" t="e">
        <f t="shared" ref="R52" si="145">FIND(",",N52,P52+1)</f>
        <v>#VALUE!</v>
      </c>
      <c r="S52" s="193" t="str">
        <f>IFERROR(VLOOKUP(MID(N52,Q52,R52-Q52),[5]skilldef!$C:$D,2,FALSE),"-") &amp; " / " &amp; IFERROR(VLOOKUP(MID(N52,O52,P52-O52),[5]skilldef!$A:$B,2,FALSE),"-")</f>
        <v>- / -</v>
      </c>
      <c r="T52" s="194" t="str">
        <f t="shared" ref="T52" si="146">IFERROR(RIGHT(M52,LEN(M52)-FIND("],",M52)-1),"none")</f>
        <v>none</v>
      </c>
      <c r="U52" s="193" t="e">
        <f t="shared" ref="U52" si="147">FIND("effect:",T52)+7</f>
        <v>#VALUE!</v>
      </c>
      <c r="V52" s="193">
        <f t="shared" ref="V52" si="148">IFERROR(FIND(",",T52),LEN(T52))</f>
        <v>4</v>
      </c>
      <c r="W52" s="193" t="e">
        <f t="shared" ref="W52" si="149">FIND("target:",T52)+7</f>
        <v>#VALUE!</v>
      </c>
      <c r="X52" s="193" t="e">
        <f t="shared" ref="X52" si="150">FIND(",",T52,V52+1)</f>
        <v>#VALUE!</v>
      </c>
      <c r="Y52" s="193" t="str">
        <f>IFERROR(VLOOKUP(MID(T52,W52,X52-W52),[5]skilldef!$C:$D,2,FALSE),"-") &amp; " / " &amp; IFERROR(VLOOKUP(MID(T52,U52,V52-U52),[5]skilldef!$A:$B,2,FALSE),"-")</f>
        <v>- / -</v>
      </c>
      <c r="Z52" s="195"/>
      <c r="AA52" s="196"/>
      <c r="AB52" s="48"/>
    </row>
    <row r="53" spans="1:28" ht="21" customHeight="1" x14ac:dyDescent="0.15">
      <c r="A53" s="161">
        <v>40042611</v>
      </c>
      <c r="B53" s="97" t="s">
        <v>464</v>
      </c>
      <c r="C53" s="162">
        <v>3</v>
      </c>
      <c r="D53" s="162" t="s">
        <v>380</v>
      </c>
      <c r="E53" s="163" t="s">
        <v>381</v>
      </c>
      <c r="F53" s="99" t="s">
        <v>319</v>
      </c>
      <c r="G53" s="164" t="str">
        <f t="shared" si="99"/>
        <v>[effect:enemy_message, val1:1.2, val2:1.9]</v>
      </c>
      <c r="H53" s="164">
        <f>FIND("effect:",G53)+7</f>
        <v>9</v>
      </c>
      <c r="I53" s="164">
        <f>IFERROR(FIND(",",G53),LEN(G53))</f>
        <v>22</v>
      </c>
      <c r="J53" s="164" t="e">
        <f>FIND("target:",G53)+7</f>
        <v>#VALUE!</v>
      </c>
      <c r="K53" s="164">
        <f>FIND(",",G53,I53+1)</f>
        <v>32</v>
      </c>
      <c r="L53" s="164" t="str">
        <f>IFERROR(VLOOKUP(MID(G53,J53,K53-J53),[5]skilldef!$C:$D,2,FALSE),"-") &amp; " / " &amp; IFERROR(VLOOKUP(MID(G53,H53,I53-H53),[5]skilldef!$A:$B,2,FALSE),"-")</f>
        <v>- / -</v>
      </c>
      <c r="M53" s="164" t="str">
        <f t="shared" si="100"/>
        <v>[effect:damage_anti_color, target:unit_all, color:red, val1:1, val2:0.2]</v>
      </c>
      <c r="N53" s="165" t="str">
        <f>IFERROR(LEFT(M53,FIND("],",M53)+S63),M53)</f>
        <v>[effect:damage_anti_color, target:unit_all, color:red, val1:1, val2:0.2]</v>
      </c>
      <c r="O53" s="164">
        <f>FIND("effect:",N53)+7</f>
        <v>9</v>
      </c>
      <c r="P53" s="164">
        <f>IFERROR(FIND(",",N53),LEN(N53))</f>
        <v>26</v>
      </c>
      <c r="Q53" s="164">
        <f>FIND("target:",N53)+7</f>
        <v>35</v>
      </c>
      <c r="R53" s="164">
        <f>FIND(",",N53,P53+1)</f>
        <v>43</v>
      </c>
      <c r="S53" s="164" t="str">
        <f>IFERROR(VLOOKUP(MID(N53,Q53,R53-Q53),[5]skilldef!$C:$D,2,FALSE),"-") &amp; " / " &amp; IFERROR(VLOOKUP(MID(N53,O53,P53-O53),[5]skilldef!$A:$B,2,FALSE),"-")</f>
        <v>味方全体に / 属性キラー</v>
      </c>
      <c r="T53" s="165" t="str">
        <f>IFERROR(RIGHT(M53,LEN(M53)-FIND("],",M53)-1),"none")</f>
        <v>none</v>
      </c>
      <c r="U53" s="164" t="e">
        <f>FIND("effect:",T53)+7</f>
        <v>#VALUE!</v>
      </c>
      <c r="V53" s="164">
        <f>IFERROR(FIND(",",T53),LEN(T53))</f>
        <v>4</v>
      </c>
      <c r="W53" s="164" t="e">
        <f>FIND("target:",T53)+7</f>
        <v>#VALUE!</v>
      </c>
      <c r="X53" s="164" t="e">
        <f>FIND(",",T53,V53+1)</f>
        <v>#VALUE!</v>
      </c>
      <c r="Y53" s="164" t="str">
        <f>IFERROR(VLOOKUP(MID(T53,W53,X53-W53),[5]skilldef!$C:$D,2,FALSE),"-") &amp; " / " &amp; IFERROR(VLOOKUP(MID(T53,U53,V53-U53),[5]skilldef!$A:$B,2,FALSE),"-")</f>
        <v>- / -</v>
      </c>
      <c r="Z53" s="48"/>
      <c r="AA53" s="49"/>
      <c r="AB53" s="48"/>
    </row>
    <row r="54" spans="1:28" ht="21" customHeight="1" x14ac:dyDescent="0.15">
      <c r="A54" s="113">
        <v>40042612</v>
      </c>
      <c r="B54" s="97" t="s">
        <v>466</v>
      </c>
      <c r="C54" s="98">
        <v>3</v>
      </c>
      <c r="D54" s="98" t="s">
        <v>380</v>
      </c>
      <c r="E54" s="99" t="s">
        <v>381</v>
      </c>
      <c r="F54" s="99" t="s">
        <v>320</v>
      </c>
      <c r="G54" s="59" t="str">
        <f t="shared" si="99"/>
        <v>[effect:enemy_message, val1:1.2, val2:1.9]</v>
      </c>
      <c r="H54" s="59">
        <f t="shared" ref="H54:H102" si="151">FIND("effect:",G54)+7</f>
        <v>9</v>
      </c>
      <c r="I54" s="59">
        <f t="shared" ref="I54:I102" si="152">IFERROR(FIND(",",G54),LEN(G54))</f>
        <v>22</v>
      </c>
      <c r="J54" s="59" t="e">
        <f t="shared" ref="J54:J102" si="153">FIND("target:",G54)+7</f>
        <v>#VALUE!</v>
      </c>
      <c r="K54" s="59">
        <f t="shared" ref="K54:K102" si="154">FIND(",",G54,I54+1)</f>
        <v>32</v>
      </c>
      <c r="L54" s="59" t="str">
        <f>IFERROR(VLOOKUP(MID(G54,J54,K54-J54),[5]skilldef!$C:$D,2,FALSE),"-") &amp; " / " &amp; IFERROR(VLOOKUP(MID(G54,H54,I54-H54),[5]skilldef!$A:$B,2,FALSE),"-")</f>
        <v>- / -</v>
      </c>
      <c r="M54" s="59" t="str">
        <f t="shared" si="100"/>
        <v>[effect:damage_anti_color, target:unit_all, color:yellow, val1:1, val2:0.2]</v>
      </c>
      <c r="N54" s="46" t="str">
        <f t="shared" ref="N54:N55" si="155">IFERROR(LEFT(M54,FIND("],",M54)+S64),M54)</f>
        <v>[effect:damage_anti_color, target:unit_all, color:yellow, val1:1, val2:0.2]</v>
      </c>
      <c r="O54" s="59">
        <f t="shared" ref="O54:O102" si="156">FIND("effect:",N54)+7</f>
        <v>9</v>
      </c>
      <c r="P54" s="59">
        <f t="shared" ref="P54:P102" si="157">IFERROR(FIND(",",N54),LEN(N54))</f>
        <v>26</v>
      </c>
      <c r="Q54" s="59">
        <f t="shared" ref="Q54:Q102" si="158">FIND("target:",N54)+7</f>
        <v>35</v>
      </c>
      <c r="R54" s="59">
        <f t="shared" ref="R54:R102" si="159">FIND(",",N54,P54+1)</f>
        <v>43</v>
      </c>
      <c r="S54" s="59" t="str">
        <f>IFERROR(VLOOKUP(MID(N54,Q54,R54-Q54),[5]skilldef!$C:$D,2,FALSE),"-") &amp; " / " &amp; IFERROR(VLOOKUP(MID(N54,O54,P54-O54),[5]skilldef!$A:$B,2,FALSE),"-")</f>
        <v>味方全体に / 属性キラー</v>
      </c>
      <c r="T54" s="46" t="str">
        <f t="shared" ref="T54:T102" si="160">IFERROR(RIGHT(M54,LEN(M54)-FIND("],",M54)-1),"none")</f>
        <v>none</v>
      </c>
      <c r="U54" s="59" t="e">
        <f t="shared" ref="U54:U102" si="161">FIND("effect:",T54)+7</f>
        <v>#VALUE!</v>
      </c>
      <c r="V54" s="59">
        <f t="shared" ref="V54:V102" si="162">IFERROR(FIND(",",T54),LEN(T54))</f>
        <v>4</v>
      </c>
      <c r="W54" s="59" t="e">
        <f t="shared" ref="W54:W102" si="163">FIND("target:",T54)+7</f>
        <v>#VALUE!</v>
      </c>
      <c r="X54" s="59" t="e">
        <f t="shared" ref="X54:X102" si="164">FIND(",",T54,V54+1)</f>
        <v>#VALUE!</v>
      </c>
      <c r="Y54" s="59" t="str">
        <f>IFERROR(VLOOKUP(MID(T54,W54,X54-W54),[5]skilldef!$C:$D,2,FALSE),"-") &amp; " / " &amp; IFERROR(VLOOKUP(MID(T54,U54,V54-U54),[5]skilldef!$A:$B,2,FALSE),"-")</f>
        <v>- / -</v>
      </c>
      <c r="Z54" s="48"/>
      <c r="AA54" s="49"/>
      <c r="AB54" s="48"/>
    </row>
    <row r="55" spans="1:28" ht="21" customHeight="1" x14ac:dyDescent="0.15">
      <c r="A55" s="113">
        <v>40042613</v>
      </c>
      <c r="B55" s="97" t="s">
        <v>468</v>
      </c>
      <c r="C55" s="98">
        <v>3</v>
      </c>
      <c r="D55" s="98" t="s">
        <v>380</v>
      </c>
      <c r="E55" s="99" t="s">
        <v>511</v>
      </c>
      <c r="F55" s="99" t="s">
        <v>451</v>
      </c>
      <c r="G55" s="59" t="str">
        <f t="shared" si="99"/>
        <v>[effect:enemy_message, val1:1.2, val2:0.0]</v>
      </c>
      <c r="H55" s="59">
        <f t="shared" si="151"/>
        <v>9</v>
      </c>
      <c r="I55" s="59">
        <f t="shared" si="152"/>
        <v>22</v>
      </c>
      <c r="J55" s="59" t="e">
        <f t="shared" si="153"/>
        <v>#VALUE!</v>
      </c>
      <c r="K55" s="59">
        <f t="shared" si="154"/>
        <v>32</v>
      </c>
      <c r="L55" s="59" t="str">
        <f>IFERROR(VLOOKUP(MID(G55,J55,K55-J55),[5]skilldef!$C:$D,2,FALSE),"-") &amp; " / " &amp; IFERROR(VLOOKUP(MID(G55,H55,I55-H55),[5]skilldef!$A:$B,2,FALSE),"-")</f>
        <v>- / -</v>
      </c>
      <c r="M55" s="59" t="str">
        <f t="shared" si="100"/>
        <v>[effect:suicide, target:myself, val:1, dead_type:suicide]</v>
      </c>
      <c r="N55" s="46" t="str">
        <f t="shared" si="155"/>
        <v>[effect:suicide, target:myself, val:1, dead_type:suicide]</v>
      </c>
      <c r="O55" s="59">
        <f t="shared" si="156"/>
        <v>9</v>
      </c>
      <c r="P55" s="59">
        <f t="shared" si="157"/>
        <v>16</v>
      </c>
      <c r="Q55" s="59">
        <f t="shared" si="158"/>
        <v>25</v>
      </c>
      <c r="R55" s="59">
        <f t="shared" si="159"/>
        <v>31</v>
      </c>
      <c r="S55" s="59" t="str">
        <f>IFERROR(VLOOKUP(MID(N55,Q55,R55-Q55),[5]skilldef!$C:$D,2,FALSE),"-") &amp; " / " &amp; IFERROR(VLOOKUP(MID(N55,O55,P55-O55),[5]skilldef!$A:$B,2,FALSE),"-")</f>
        <v>自分自身に / -</v>
      </c>
      <c r="T55" s="46" t="str">
        <f t="shared" si="160"/>
        <v>none</v>
      </c>
      <c r="U55" s="59" t="e">
        <f t="shared" si="161"/>
        <v>#VALUE!</v>
      </c>
      <c r="V55" s="59">
        <f t="shared" si="162"/>
        <v>4</v>
      </c>
      <c r="W55" s="59" t="e">
        <f t="shared" si="163"/>
        <v>#VALUE!</v>
      </c>
      <c r="X55" s="59" t="e">
        <f t="shared" si="164"/>
        <v>#VALUE!</v>
      </c>
      <c r="Y55" s="59" t="str">
        <f>IFERROR(VLOOKUP(MID(T55,W55,X55-W55),[5]skilldef!$C:$D,2,FALSE),"-") &amp; " / " &amp; IFERROR(VLOOKUP(MID(T55,U55,V55-U55),[5]skilldef!$A:$B,2,FALSE),"-")</f>
        <v>- / -</v>
      </c>
      <c r="Z55" s="48"/>
      <c r="AA55" s="49"/>
      <c r="AB55" s="48"/>
    </row>
    <row r="56" spans="1:28" ht="21" customHeight="1" x14ac:dyDescent="0.15">
      <c r="A56" s="114">
        <v>40042621</v>
      </c>
      <c r="B56" s="103" t="s">
        <v>470</v>
      </c>
      <c r="C56" s="104">
        <v>3</v>
      </c>
      <c r="D56" s="104" t="s">
        <v>380</v>
      </c>
      <c r="E56" s="105" t="s">
        <v>449</v>
      </c>
      <c r="F56" s="105" t="s">
        <v>397</v>
      </c>
      <c r="G56" s="59" t="str">
        <f t="shared" si="99"/>
        <v>[effect:enemy_message, val1:1.2, val2:2.2]</v>
      </c>
      <c r="H56" s="59">
        <f t="shared" si="151"/>
        <v>9</v>
      </c>
      <c r="I56" s="59">
        <f t="shared" si="152"/>
        <v>22</v>
      </c>
      <c r="J56" s="59" t="e">
        <f t="shared" si="153"/>
        <v>#VALUE!</v>
      </c>
      <c r="K56" s="59">
        <f t="shared" si="154"/>
        <v>32</v>
      </c>
      <c r="L56" s="59" t="str">
        <f>IFERROR(VLOOKUP(MID(G56,J56,K56-J56),[5]skilldef!$C:$D,2,FALSE),"-") &amp; " / " &amp; IFERROR(VLOOKUP(MID(G56,H56,I56-H56),[5]skilldef!$A:$B,2,FALSE),"-")</f>
        <v>- / -</v>
      </c>
      <c r="M56" s="59" t="str">
        <f t="shared" si="100"/>
        <v>[effect:force_change_block, new_block:time_bomb, target:block_heart, count:0, val:0.2, min_time_count:2, max_time_count:3, animation:change_block]</v>
      </c>
      <c r="N56" s="46" t="str">
        <f>IFERROR(LEFT(M56,FIND("],",M56)+S67),M56)</f>
        <v>[effect:force_change_block, new_block:time_bomb, target:block_heart, count:0, val:0.2, min_time_count:2, max_time_count:3, animation:change_block]</v>
      </c>
      <c r="O56" s="59">
        <f t="shared" si="156"/>
        <v>9</v>
      </c>
      <c r="P56" s="59">
        <f t="shared" si="157"/>
        <v>27</v>
      </c>
      <c r="Q56" s="59">
        <f t="shared" si="158"/>
        <v>57</v>
      </c>
      <c r="R56" s="59">
        <f t="shared" si="159"/>
        <v>48</v>
      </c>
      <c r="S56" s="59" t="str">
        <f>IFERROR(VLOOKUP(MID(N56,Q56,R56-Q56),[5]skilldef!$C:$D,2,FALSE),"-") &amp; " / " &amp; IFERROR(VLOOKUP(MID(N56,O56,P56-O56),[5]skilldef!$A:$B,2,FALSE),"-")</f>
        <v>- / -</v>
      </c>
      <c r="T56" s="46" t="str">
        <f t="shared" si="160"/>
        <v>none</v>
      </c>
      <c r="U56" s="59" t="e">
        <f t="shared" si="161"/>
        <v>#VALUE!</v>
      </c>
      <c r="V56" s="59">
        <f t="shared" si="162"/>
        <v>4</v>
      </c>
      <c r="W56" s="59" t="e">
        <f t="shared" si="163"/>
        <v>#VALUE!</v>
      </c>
      <c r="X56" s="59" t="e">
        <f t="shared" si="164"/>
        <v>#VALUE!</v>
      </c>
      <c r="Y56" s="59" t="str">
        <f>IFERROR(VLOOKUP(MID(T56,W56,X56-W56),[5]skilldef!$C:$D,2,FALSE),"-") &amp; " / " &amp; IFERROR(VLOOKUP(MID(T56,U56,V56-U56),[5]skilldef!$A:$B,2,FALSE),"-")</f>
        <v>- / -</v>
      </c>
      <c r="Z56" s="48"/>
      <c r="AA56" s="49"/>
      <c r="AB56" s="48"/>
    </row>
    <row r="57" spans="1:28" ht="21" customHeight="1" x14ac:dyDescent="0.15">
      <c r="A57" s="114">
        <v>40042622</v>
      </c>
      <c r="B57" s="103" t="s">
        <v>472</v>
      </c>
      <c r="C57" s="104">
        <v>3</v>
      </c>
      <c r="D57" s="104" t="s">
        <v>380</v>
      </c>
      <c r="E57" s="105" t="s">
        <v>383</v>
      </c>
      <c r="F57" s="105" t="s">
        <v>452</v>
      </c>
      <c r="G57" s="59" t="str">
        <f t="shared" si="99"/>
        <v>[effect:enemy_message, val1:1.2, val2:2.4]</v>
      </c>
      <c r="H57" s="59">
        <f t="shared" si="151"/>
        <v>9</v>
      </c>
      <c r="I57" s="59">
        <f t="shared" si="152"/>
        <v>22</v>
      </c>
      <c r="J57" s="59" t="e">
        <f t="shared" si="153"/>
        <v>#VALUE!</v>
      </c>
      <c r="K57" s="59">
        <f t="shared" si="154"/>
        <v>32</v>
      </c>
      <c r="L57" s="59" t="str">
        <f>IFERROR(VLOOKUP(MID(G57,J57,K57-J57),[5]skilldef!$C:$D,2,FALSE),"-") &amp; " / " &amp; IFERROR(VLOOKUP(MID(G57,H57,I57-H57),[5]skilldef!$A:$B,2,FALSE),"-")</f>
        <v>- / -</v>
      </c>
      <c r="M57" s="59" t="str">
        <f t="shared" si="100"/>
        <v>[effect:force_change_block, new_block:time_bomb, target:block_heart, count:5, val:0.2, animation:change_block]</v>
      </c>
      <c r="N57" s="46" t="str">
        <f>IFERROR(LEFT(M57,FIND("],",M57)+S68),M57)</f>
        <v>[effect:force_change_block, new_block:time_bomb, target:block_heart, count:5, val:0.2, animation:change_block]</v>
      </c>
      <c r="O57" s="59">
        <f t="shared" si="156"/>
        <v>9</v>
      </c>
      <c r="P57" s="59">
        <f t="shared" si="157"/>
        <v>27</v>
      </c>
      <c r="Q57" s="59">
        <f t="shared" si="158"/>
        <v>57</v>
      </c>
      <c r="R57" s="59">
        <f t="shared" si="159"/>
        <v>48</v>
      </c>
      <c r="S57" s="59" t="str">
        <f>IFERROR(VLOOKUP(MID(N57,Q57,R57-Q57),[5]skilldef!$C:$D,2,FALSE),"-") &amp; " / " &amp; IFERROR(VLOOKUP(MID(N57,O57,P57-O57),[5]skilldef!$A:$B,2,FALSE),"-")</f>
        <v>- / -</v>
      </c>
      <c r="T57" s="46" t="str">
        <f t="shared" si="160"/>
        <v>none</v>
      </c>
      <c r="U57" s="59" t="e">
        <f t="shared" si="161"/>
        <v>#VALUE!</v>
      </c>
      <c r="V57" s="59">
        <f t="shared" si="162"/>
        <v>4</v>
      </c>
      <c r="W57" s="59" t="e">
        <f t="shared" si="163"/>
        <v>#VALUE!</v>
      </c>
      <c r="X57" s="59" t="e">
        <f t="shared" si="164"/>
        <v>#VALUE!</v>
      </c>
      <c r="Y57" s="59" t="str">
        <f>IFERROR(VLOOKUP(MID(T57,W57,X57-W57),[5]skilldef!$C:$D,2,FALSE),"-") &amp; " / " &amp; IFERROR(VLOOKUP(MID(T57,U57,V57-U57),[5]skilldef!$A:$B,2,FALSE),"-")</f>
        <v>- / -</v>
      </c>
      <c r="Z57" s="48"/>
      <c r="AA57" s="49"/>
      <c r="AB57" s="48"/>
    </row>
    <row r="58" spans="1:28" ht="21" customHeight="1" x14ac:dyDescent="0.15">
      <c r="A58" s="114">
        <v>40042623</v>
      </c>
      <c r="B58" s="103" t="s">
        <v>470</v>
      </c>
      <c r="C58" s="104">
        <v>3</v>
      </c>
      <c r="D58" s="104" t="s">
        <v>380</v>
      </c>
      <c r="E58" s="105" t="s">
        <v>384</v>
      </c>
      <c r="F58" s="105" t="s">
        <v>398</v>
      </c>
      <c r="G58" s="59" t="str">
        <f t="shared" si="99"/>
        <v>[effect:enemy_message, val1:1.2, val2:2.2]</v>
      </c>
      <c r="H58" s="59">
        <f t="shared" si="151"/>
        <v>9</v>
      </c>
      <c r="I58" s="59">
        <f t="shared" si="152"/>
        <v>22</v>
      </c>
      <c r="J58" s="59" t="e">
        <f t="shared" si="153"/>
        <v>#VALUE!</v>
      </c>
      <c r="K58" s="59">
        <f t="shared" si="154"/>
        <v>32</v>
      </c>
      <c r="L58" s="59" t="str">
        <f>IFERROR(VLOOKUP(MID(G58,J58,K58-J58),[5]skilldef!$C:$D,2,FALSE),"-") &amp; " / " &amp; IFERROR(VLOOKUP(MID(G58,H58,I58-H58),[5]skilldef!$A:$B,2,FALSE),"-")</f>
        <v>- / -</v>
      </c>
      <c r="M58" s="59" t="str">
        <f t="shared" si="100"/>
        <v>[effect:force_change_block, new_block:time_bomb, target:block_heart, count:0, val:0.2, min_time_count:2, max_time_count:3, animation:change_block]</v>
      </c>
      <c r="N58" s="46" t="str">
        <f>IFERROR(LEFT(M58,FIND("],",M58)+S69),M58)</f>
        <v>[effect:force_change_block, new_block:time_bomb, target:block_heart, count:0, val:0.2, min_time_count:2, max_time_count:3, animation:change_block]</v>
      </c>
      <c r="O58" s="59">
        <f t="shared" si="156"/>
        <v>9</v>
      </c>
      <c r="P58" s="59">
        <f t="shared" si="157"/>
        <v>27</v>
      </c>
      <c r="Q58" s="59">
        <f t="shared" si="158"/>
        <v>57</v>
      </c>
      <c r="R58" s="59">
        <f t="shared" si="159"/>
        <v>48</v>
      </c>
      <c r="S58" s="59" t="str">
        <f>IFERROR(VLOOKUP(MID(N58,Q58,R58-Q58),[5]skilldef!$C:$D,2,FALSE),"-") &amp; " / " &amp; IFERROR(VLOOKUP(MID(N58,O58,P58-O58),[5]skilldef!$A:$B,2,FALSE),"-")</f>
        <v>- / -</v>
      </c>
      <c r="T58" s="46" t="str">
        <f t="shared" si="160"/>
        <v>none</v>
      </c>
      <c r="U58" s="59" t="e">
        <f t="shared" si="161"/>
        <v>#VALUE!</v>
      </c>
      <c r="V58" s="59">
        <f t="shared" si="162"/>
        <v>4</v>
      </c>
      <c r="W58" s="59" t="e">
        <f t="shared" si="163"/>
        <v>#VALUE!</v>
      </c>
      <c r="X58" s="59" t="e">
        <f t="shared" si="164"/>
        <v>#VALUE!</v>
      </c>
      <c r="Y58" s="59" t="str">
        <f>IFERROR(VLOOKUP(MID(T58,W58,X58-W58),[5]skilldef!$C:$D,2,FALSE),"-") &amp; " / " &amp; IFERROR(VLOOKUP(MID(T58,U58,V58-U58),[5]skilldef!$A:$B,2,FALSE),"-")</f>
        <v>- / -</v>
      </c>
      <c r="Z58" s="48"/>
      <c r="AA58" s="49"/>
      <c r="AB58" s="48"/>
    </row>
    <row r="59" spans="1:28" ht="21" customHeight="1" x14ac:dyDescent="0.15">
      <c r="A59" s="115">
        <v>40042711</v>
      </c>
      <c r="B59" s="100" t="s">
        <v>506</v>
      </c>
      <c r="C59" s="101">
        <v>3</v>
      </c>
      <c r="D59" s="101" t="s">
        <v>380</v>
      </c>
      <c r="E59" s="102" t="s">
        <v>313</v>
      </c>
      <c r="F59" s="102" t="s">
        <v>318</v>
      </c>
      <c r="G59" s="59" t="str">
        <f t="shared" si="99"/>
        <v>[effect:enemy_message, val1:1.2, val2:1.5]</v>
      </c>
      <c r="H59" s="59">
        <f t="shared" si="151"/>
        <v>9</v>
      </c>
      <c r="I59" s="59">
        <f t="shared" si="152"/>
        <v>22</v>
      </c>
      <c r="J59" s="59" t="e">
        <f t="shared" si="153"/>
        <v>#VALUE!</v>
      </c>
      <c r="K59" s="59">
        <f t="shared" si="154"/>
        <v>32</v>
      </c>
      <c r="L59" s="59" t="str">
        <f>IFERROR(VLOOKUP(MID(G59,J59,K59-J59),[5]skilldef!$C:$D,2,FALSE),"-") &amp; " / " &amp; IFERROR(VLOOKUP(MID(G59,H59,I59-H59),[5]skilldef!$A:$B,2,FALSE),"-")</f>
        <v>- / -</v>
      </c>
      <c r="M59" s="59" t="str">
        <f t="shared" si="100"/>
        <v>[effect:break_attack, target:unit_all, val:0.04, lowest_val:0, count:-1, color:yellow, block01:block_heart]</v>
      </c>
      <c r="N59" s="46" t="str">
        <f t="shared" ref="N59:N66" si="165">IFERROR(LEFT(M59,FIND("],",M59)+S71),M59)</f>
        <v>[effect:break_attack, target:unit_all, val:0.04, lowest_val:0, count:-1, color:yellow, block01:block_heart]</v>
      </c>
      <c r="O59" s="59">
        <f t="shared" si="156"/>
        <v>9</v>
      </c>
      <c r="P59" s="59">
        <f t="shared" si="157"/>
        <v>21</v>
      </c>
      <c r="Q59" s="59">
        <f t="shared" si="158"/>
        <v>30</v>
      </c>
      <c r="R59" s="59">
        <f t="shared" si="159"/>
        <v>38</v>
      </c>
      <c r="S59" s="59" t="str">
        <f>IFERROR(VLOOKUP(MID(N59,Q59,R59-Q59),[5]skilldef!$C:$D,2,FALSE),"-") &amp; " / " &amp; IFERROR(VLOOKUP(MID(N59,O59,P59-O59),[5]skilldef!$A:$B,2,FALSE),"-")</f>
        <v>味方全体に / -</v>
      </c>
      <c r="T59" s="46" t="str">
        <f t="shared" si="160"/>
        <v>none</v>
      </c>
      <c r="U59" s="59" t="e">
        <f t="shared" si="161"/>
        <v>#VALUE!</v>
      </c>
      <c r="V59" s="59">
        <f t="shared" si="162"/>
        <v>4</v>
      </c>
      <c r="W59" s="59" t="e">
        <f t="shared" si="163"/>
        <v>#VALUE!</v>
      </c>
      <c r="X59" s="59" t="e">
        <f t="shared" si="164"/>
        <v>#VALUE!</v>
      </c>
      <c r="Y59" s="59" t="str">
        <f>IFERROR(VLOOKUP(MID(T59,W59,X59-W59),[5]skilldef!$C:$D,2,FALSE),"-") &amp; " / " &amp; IFERROR(VLOOKUP(MID(T59,U59,V59-U59),[5]skilldef!$A:$B,2,FALSE),"-")</f>
        <v>- / -</v>
      </c>
      <c r="Z59" s="48"/>
      <c r="AA59" s="49"/>
      <c r="AB59" s="48"/>
    </row>
    <row r="60" spans="1:28" ht="21" customHeight="1" x14ac:dyDescent="0.15">
      <c r="A60" s="115">
        <v>40042712</v>
      </c>
      <c r="B60" s="100" t="s">
        <v>468</v>
      </c>
      <c r="C60" s="101">
        <v>3</v>
      </c>
      <c r="D60" s="101" t="s">
        <v>380</v>
      </c>
      <c r="E60" s="102" t="s">
        <v>385</v>
      </c>
      <c r="F60" s="102" t="s">
        <v>450</v>
      </c>
      <c r="G60" s="59" t="str">
        <f t="shared" si="99"/>
        <v>[effect:enemy_message, val1:1.2, val2:0.0]</v>
      </c>
      <c r="H60" s="59">
        <f t="shared" si="151"/>
        <v>9</v>
      </c>
      <c r="I60" s="59">
        <f t="shared" si="152"/>
        <v>22</v>
      </c>
      <c r="J60" s="59" t="e">
        <f t="shared" si="153"/>
        <v>#VALUE!</v>
      </c>
      <c r="K60" s="59">
        <f t="shared" si="154"/>
        <v>32</v>
      </c>
      <c r="L60" s="59" t="str">
        <f>IFERROR(VLOOKUP(MID(G60,J60,K60-J60),[5]skilldef!$C:$D,2,FALSE),"-") &amp; " / " &amp; IFERROR(VLOOKUP(MID(G60,H60,I60-H60),[5]skilldef!$A:$B,2,FALSE),"-")</f>
        <v>- / -</v>
      </c>
      <c r="M60" s="59" t="str">
        <f t="shared" si="100"/>
        <v>[effect:suicide, target:myself, val:1, dead_type:suicide]</v>
      </c>
      <c r="N60" s="46" t="str">
        <f t="shared" si="165"/>
        <v>[effect:suicide, target:myself, val:1, dead_type:suicide]</v>
      </c>
      <c r="O60" s="59">
        <f t="shared" si="156"/>
        <v>9</v>
      </c>
      <c r="P60" s="59">
        <f t="shared" si="157"/>
        <v>16</v>
      </c>
      <c r="Q60" s="59">
        <f t="shared" si="158"/>
        <v>25</v>
      </c>
      <c r="R60" s="59">
        <f t="shared" si="159"/>
        <v>31</v>
      </c>
      <c r="S60" s="59" t="str">
        <f>IFERROR(VLOOKUP(MID(N60,Q60,R60-Q60),[5]skilldef!$C:$D,2,FALSE),"-") &amp; " / " &amp; IFERROR(VLOOKUP(MID(N60,O60,P60-O60),[5]skilldef!$A:$B,2,FALSE),"-")</f>
        <v>自分自身に / -</v>
      </c>
      <c r="T60" s="46" t="str">
        <f t="shared" si="160"/>
        <v>none</v>
      </c>
      <c r="U60" s="59" t="e">
        <f t="shared" si="161"/>
        <v>#VALUE!</v>
      </c>
      <c r="V60" s="59">
        <f t="shared" si="162"/>
        <v>4</v>
      </c>
      <c r="W60" s="59" t="e">
        <f t="shared" si="163"/>
        <v>#VALUE!</v>
      </c>
      <c r="X60" s="59" t="e">
        <f t="shared" si="164"/>
        <v>#VALUE!</v>
      </c>
      <c r="Y60" s="59" t="str">
        <f>IFERROR(VLOOKUP(MID(T60,W60,X60-W60),[5]skilldef!$C:$D,2,FALSE),"-") &amp; " / " &amp; IFERROR(VLOOKUP(MID(T60,U60,V60-U60),[5]skilldef!$A:$B,2,FALSE),"-")</f>
        <v>- / -</v>
      </c>
      <c r="Z60" s="48"/>
      <c r="AA60" s="49"/>
      <c r="AB60" s="48"/>
    </row>
    <row r="61" spans="1:28" ht="21" customHeight="1" x14ac:dyDescent="0.15">
      <c r="A61" s="116">
        <v>40042721</v>
      </c>
      <c r="B61" s="109" t="s">
        <v>475</v>
      </c>
      <c r="C61" s="110">
        <v>3</v>
      </c>
      <c r="D61" s="110" t="s">
        <v>380</v>
      </c>
      <c r="E61" s="111" t="s">
        <v>314</v>
      </c>
      <c r="F61" s="111" t="s">
        <v>453</v>
      </c>
      <c r="G61" s="59" t="str">
        <f t="shared" si="99"/>
        <v>[effect:enemy_message, val1:1.2, val2:1.9]</v>
      </c>
      <c r="H61" s="59">
        <f t="shared" si="151"/>
        <v>9</v>
      </c>
      <c r="I61" s="59">
        <f t="shared" si="152"/>
        <v>22</v>
      </c>
      <c r="J61" s="59" t="e">
        <f t="shared" si="153"/>
        <v>#VALUE!</v>
      </c>
      <c r="K61" s="59">
        <f t="shared" si="154"/>
        <v>32</v>
      </c>
      <c r="L61" s="59" t="str">
        <f>IFERROR(VLOOKUP(MID(G61,J61,K61-J61),[5]skilldef!$C:$D,2,FALSE),"-") &amp; " / " &amp; IFERROR(VLOOKUP(MID(G61,H61,I61-H61),[5]skilldef!$A:$B,2,FALSE),"-")</f>
        <v>- / -</v>
      </c>
      <c r="M61" s="59" t="str">
        <f t="shared" si="100"/>
        <v>[effect:force_change_block, new_block:damage, target:block_blue, count:8, val:0.05, animation:change_block]</v>
      </c>
      <c r="N61" s="46" t="str">
        <f t="shared" si="165"/>
        <v>[effect:force_change_block, new_block:damage, target:block_blue, count:8, val:0.05, animation:change_block]</v>
      </c>
      <c r="O61" s="59">
        <f t="shared" si="156"/>
        <v>9</v>
      </c>
      <c r="P61" s="59">
        <f t="shared" si="157"/>
        <v>27</v>
      </c>
      <c r="Q61" s="59">
        <f t="shared" si="158"/>
        <v>54</v>
      </c>
      <c r="R61" s="59">
        <f t="shared" si="159"/>
        <v>45</v>
      </c>
      <c r="S61" s="59" t="str">
        <f>IFERROR(VLOOKUP(MID(N61,Q61,R61-Q61),[5]skilldef!$C:$D,2,FALSE),"-") &amp; " / " &amp; IFERROR(VLOOKUP(MID(N61,O61,P61-O61),[5]skilldef!$A:$B,2,FALSE),"-")</f>
        <v>- / -</v>
      </c>
      <c r="T61" s="46" t="str">
        <f t="shared" si="160"/>
        <v>none</v>
      </c>
      <c r="U61" s="59" t="e">
        <f t="shared" si="161"/>
        <v>#VALUE!</v>
      </c>
      <c r="V61" s="59">
        <f t="shared" si="162"/>
        <v>4</v>
      </c>
      <c r="W61" s="59" t="e">
        <f t="shared" si="163"/>
        <v>#VALUE!</v>
      </c>
      <c r="X61" s="59" t="e">
        <f t="shared" si="164"/>
        <v>#VALUE!</v>
      </c>
      <c r="Y61" s="59" t="str">
        <f>IFERROR(VLOOKUP(MID(T61,W61,X61-W61),[5]skilldef!$C:$D,2,FALSE),"-") &amp; " / " &amp; IFERROR(VLOOKUP(MID(T61,U61,V61-U61),[5]skilldef!$A:$B,2,FALSE),"-")</f>
        <v>- / -</v>
      </c>
      <c r="Z61" s="48"/>
      <c r="AA61" s="49"/>
      <c r="AB61" s="48"/>
    </row>
    <row r="62" spans="1:28" ht="21" customHeight="1" x14ac:dyDescent="0.15">
      <c r="A62" s="116">
        <v>40042722</v>
      </c>
      <c r="B62" s="109" t="s">
        <v>477</v>
      </c>
      <c r="C62" s="110">
        <v>3</v>
      </c>
      <c r="D62" s="110" t="s">
        <v>380</v>
      </c>
      <c r="E62" s="111" t="s">
        <v>402</v>
      </c>
      <c r="F62" s="111" t="s">
        <v>454</v>
      </c>
      <c r="G62" s="59" t="str">
        <f t="shared" si="99"/>
        <v>[effect:enemy_message, val1:1.2, val2:1.9]</v>
      </c>
      <c r="H62" s="59">
        <f t="shared" si="151"/>
        <v>9</v>
      </c>
      <c r="I62" s="59">
        <f t="shared" si="152"/>
        <v>22</v>
      </c>
      <c r="J62" s="59" t="e">
        <f t="shared" si="153"/>
        <v>#VALUE!</v>
      </c>
      <c r="K62" s="59">
        <f t="shared" si="154"/>
        <v>32</v>
      </c>
      <c r="L62" s="59" t="str">
        <f>IFERROR(VLOOKUP(MID(G62,J62,K62-J62),[5]skilldef!$C:$D,2,FALSE),"-") &amp; " / " &amp; IFERROR(VLOOKUP(MID(G62,H62,I62-H62),[5]skilldef!$A:$B,2,FALSE),"-")</f>
        <v>- / -</v>
      </c>
      <c r="M62" s="59" t="str">
        <f t="shared" si="100"/>
        <v>[effect:force_change_block, new_block:damage, target:block_blue, count:5, val:0.05, animation:change_block]</v>
      </c>
      <c r="N62" s="46" t="str">
        <f t="shared" si="165"/>
        <v>[effect:force_change_block, new_block:damage, target:block_blue, count:5, val:0.05, animation:change_block]</v>
      </c>
      <c r="O62" s="59">
        <f t="shared" si="156"/>
        <v>9</v>
      </c>
      <c r="P62" s="59">
        <f t="shared" si="157"/>
        <v>27</v>
      </c>
      <c r="Q62" s="59">
        <f t="shared" si="158"/>
        <v>54</v>
      </c>
      <c r="R62" s="59">
        <f t="shared" si="159"/>
        <v>45</v>
      </c>
      <c r="S62" s="59" t="str">
        <f>IFERROR(VLOOKUP(MID(N62,Q62,R62-Q62),[5]skilldef!$C:$D,2,FALSE),"-") &amp; " / " &amp; IFERROR(VLOOKUP(MID(N62,O62,P62-O62),[5]skilldef!$A:$B,2,FALSE),"-")</f>
        <v>- / -</v>
      </c>
      <c r="T62" s="46" t="str">
        <f t="shared" si="160"/>
        <v>none</v>
      </c>
      <c r="U62" s="59" t="e">
        <f t="shared" si="161"/>
        <v>#VALUE!</v>
      </c>
      <c r="V62" s="59">
        <f t="shared" si="162"/>
        <v>4</v>
      </c>
      <c r="W62" s="59" t="e">
        <f t="shared" si="163"/>
        <v>#VALUE!</v>
      </c>
      <c r="X62" s="59" t="e">
        <f t="shared" si="164"/>
        <v>#VALUE!</v>
      </c>
      <c r="Y62" s="59" t="str">
        <f>IFERROR(VLOOKUP(MID(T62,W62,X62-W62),[5]skilldef!$C:$D,2,FALSE),"-") &amp; " / " &amp; IFERROR(VLOOKUP(MID(T62,U62,V62-U62),[5]skilldef!$A:$B,2,FALSE),"-")</f>
        <v>- / -</v>
      </c>
      <c r="Z62" s="48"/>
      <c r="AA62" s="49"/>
      <c r="AB62" s="48"/>
    </row>
    <row r="63" spans="1:28" ht="21" customHeight="1" x14ac:dyDescent="0.15">
      <c r="A63" s="116">
        <v>40042723</v>
      </c>
      <c r="B63" s="109" t="s">
        <v>475</v>
      </c>
      <c r="C63" s="110">
        <v>3</v>
      </c>
      <c r="D63" s="110" t="s">
        <v>380</v>
      </c>
      <c r="E63" s="111" t="s">
        <v>386</v>
      </c>
      <c r="F63" s="111" t="s">
        <v>453</v>
      </c>
      <c r="G63" s="59" t="str">
        <f t="shared" si="99"/>
        <v>[effect:enemy_message, val1:1.2, val2:1.9]</v>
      </c>
      <c r="H63" s="59">
        <f t="shared" si="151"/>
        <v>9</v>
      </c>
      <c r="I63" s="59">
        <f t="shared" si="152"/>
        <v>22</v>
      </c>
      <c r="J63" s="59" t="e">
        <f t="shared" si="153"/>
        <v>#VALUE!</v>
      </c>
      <c r="K63" s="59">
        <f t="shared" si="154"/>
        <v>32</v>
      </c>
      <c r="L63" s="59" t="str">
        <f>IFERROR(VLOOKUP(MID(G63,J63,K63-J63),[5]skilldef!$C:$D,2,FALSE),"-") &amp; " / " &amp; IFERROR(VLOOKUP(MID(G63,H63,I63-H63),[5]skilldef!$A:$B,2,FALSE),"-")</f>
        <v>- / -</v>
      </c>
      <c r="M63" s="59" t="str">
        <f t="shared" si="100"/>
        <v>[effect:force_change_block, new_block:damage, target:block_blue, count:8, val:0.05, animation:change_block]</v>
      </c>
      <c r="N63" s="46" t="str">
        <f t="shared" si="165"/>
        <v>[effect:force_change_block, new_block:damage, target:block_blue, count:8, val:0.05, animation:change_block]</v>
      </c>
      <c r="O63" s="59">
        <f t="shared" si="156"/>
        <v>9</v>
      </c>
      <c r="P63" s="59">
        <f t="shared" si="157"/>
        <v>27</v>
      </c>
      <c r="Q63" s="59">
        <f t="shared" si="158"/>
        <v>54</v>
      </c>
      <c r="R63" s="59">
        <f t="shared" si="159"/>
        <v>45</v>
      </c>
      <c r="S63" s="59" t="str">
        <f>IFERROR(VLOOKUP(MID(N63,Q63,R63-Q63),[5]skilldef!$C:$D,2,FALSE),"-") &amp; " / " &amp; IFERROR(VLOOKUP(MID(N63,O63,P63-O63),[5]skilldef!$A:$B,2,FALSE),"-")</f>
        <v>- / -</v>
      </c>
      <c r="T63" s="46" t="str">
        <f t="shared" si="160"/>
        <v>none</v>
      </c>
      <c r="U63" s="59" t="e">
        <f t="shared" si="161"/>
        <v>#VALUE!</v>
      </c>
      <c r="V63" s="59">
        <f t="shared" si="162"/>
        <v>4</v>
      </c>
      <c r="W63" s="59" t="e">
        <f t="shared" si="163"/>
        <v>#VALUE!</v>
      </c>
      <c r="X63" s="59" t="e">
        <f t="shared" si="164"/>
        <v>#VALUE!</v>
      </c>
      <c r="Y63" s="59" t="str">
        <f>IFERROR(VLOOKUP(MID(T63,W63,X63-W63),[5]skilldef!$C:$D,2,FALSE),"-") &amp; " / " &amp; IFERROR(VLOOKUP(MID(T63,U63,V63-U63),[5]skilldef!$A:$B,2,FALSE),"-")</f>
        <v>- / -</v>
      </c>
      <c r="Z63" s="48"/>
      <c r="AA63" s="49"/>
      <c r="AB63" s="48"/>
    </row>
    <row r="64" spans="1:28" ht="21" customHeight="1" x14ac:dyDescent="0.15">
      <c r="A64" s="113">
        <v>40042811</v>
      </c>
      <c r="B64" s="97" t="s">
        <v>532</v>
      </c>
      <c r="C64" s="98">
        <v>3</v>
      </c>
      <c r="D64" s="98" t="s">
        <v>380</v>
      </c>
      <c r="E64" s="99" t="s">
        <v>531</v>
      </c>
      <c r="F64" s="99" t="s">
        <v>529</v>
      </c>
      <c r="G64" s="59" t="str">
        <f t="shared" si="99"/>
        <v>[effect:enemy_message, val1:1.2, val2:1.5]</v>
      </c>
      <c r="H64" s="59">
        <f t="shared" si="151"/>
        <v>9</v>
      </c>
      <c r="I64" s="59">
        <f t="shared" si="152"/>
        <v>22</v>
      </c>
      <c r="J64" s="59" t="e">
        <f t="shared" si="153"/>
        <v>#VALUE!</v>
      </c>
      <c r="K64" s="59">
        <f t="shared" si="154"/>
        <v>32</v>
      </c>
      <c r="L64" s="59" t="str">
        <f>IFERROR(VLOOKUP(MID(G64,J64,K64-J64),[5]skilldef!$C:$D,2,FALSE),"-") &amp; " / " &amp; IFERROR(VLOOKUP(MID(G64,H64,I64-H64),[5]skilldef!$A:$B,2,FALSE),"-")</f>
        <v>- / -</v>
      </c>
      <c r="M64" s="59" t="str">
        <f t="shared" si="100"/>
        <v>[effect:ability_lock, target:unit_all, turn:1],[effect:sleep, target:unit_all, turn:1, rate:1],[effect:fix_speed, target:myself, turn:1],[effect:panel_freeze, target:time_bomb, count:-1]</v>
      </c>
      <c r="N64" s="46" t="str">
        <f t="shared" si="165"/>
        <v>[effect:ability_lock, target:unit_all, turn:1],[effect:sleep, target:unit_all, turn:1, rate:1],[effect:fix_speed, target:myself, turn:1],[effect:panel_freeze, target:time_bomb, count:-1]</v>
      </c>
      <c r="O64" s="59">
        <f t="shared" si="156"/>
        <v>9</v>
      </c>
      <c r="P64" s="59">
        <f t="shared" si="157"/>
        <v>21</v>
      </c>
      <c r="Q64" s="59">
        <f t="shared" si="158"/>
        <v>30</v>
      </c>
      <c r="R64" s="59">
        <f t="shared" si="159"/>
        <v>38</v>
      </c>
      <c r="S64" s="59" t="str">
        <f>IFERROR(VLOOKUP(MID(N64,Q64,R64-Q64),[5]skilldef!$C:$D,2,FALSE),"-") &amp; " / " &amp; IFERROR(VLOOKUP(MID(N64,O64,P64-O64),[5]skilldef!$A:$B,2,FALSE),"-")</f>
        <v>味方全体に / -</v>
      </c>
      <c r="T64" s="46" t="str">
        <f t="shared" si="160"/>
        <v>[effect:sleep, target:unit_all, turn:1, rate:1],[effect:fix_speed, target:myself, turn:1],[effect:panel_freeze, target:time_bomb, count:-1]</v>
      </c>
      <c r="U64" s="59">
        <f t="shared" si="161"/>
        <v>9</v>
      </c>
      <c r="V64" s="59">
        <f t="shared" si="162"/>
        <v>14</v>
      </c>
      <c r="W64" s="59">
        <f t="shared" si="163"/>
        <v>23</v>
      </c>
      <c r="X64" s="59">
        <f t="shared" si="164"/>
        <v>31</v>
      </c>
      <c r="Y64" s="59" t="str">
        <f>IFERROR(VLOOKUP(MID(T64,W64,X64-W64),[5]skilldef!$C:$D,2,FALSE),"-") &amp; " / " &amp; IFERROR(VLOOKUP(MID(T64,U64,V64-U64),[5]skilldef!$A:$B,2,FALSE),"-")</f>
        <v>味方全体に / スリープ</v>
      </c>
      <c r="Z64" s="48"/>
      <c r="AA64" s="49"/>
      <c r="AB64" s="48"/>
    </row>
    <row r="65" spans="1:28" ht="21" customHeight="1" x14ac:dyDescent="0.15">
      <c r="A65" s="113">
        <v>40042812</v>
      </c>
      <c r="B65" s="97" t="s">
        <v>533</v>
      </c>
      <c r="C65" s="98">
        <v>3</v>
      </c>
      <c r="D65" s="98" t="s">
        <v>380</v>
      </c>
      <c r="E65" s="99" t="s">
        <v>426</v>
      </c>
      <c r="F65" s="99" t="s">
        <v>529</v>
      </c>
      <c r="G65" s="59" t="str">
        <f t="shared" si="99"/>
        <v>[effect:enemy_message, val1:1.4, val2:1.5]</v>
      </c>
      <c r="H65" s="59">
        <f t="shared" si="151"/>
        <v>9</v>
      </c>
      <c r="I65" s="59">
        <f t="shared" si="152"/>
        <v>22</v>
      </c>
      <c r="J65" s="59" t="e">
        <f t="shared" si="153"/>
        <v>#VALUE!</v>
      </c>
      <c r="K65" s="59">
        <f t="shared" si="154"/>
        <v>32</v>
      </c>
      <c r="L65" s="59" t="str">
        <f>IFERROR(VLOOKUP(MID(G65,J65,K65-J65),[5]skilldef!$C:$D,2,FALSE),"-") &amp; " / " &amp; IFERROR(VLOOKUP(MID(G65,H65,I65-H65),[5]skilldef!$A:$B,2,FALSE),"-")</f>
        <v>- / -</v>
      </c>
      <c r="M65" s="59" t="str">
        <f t="shared" si="100"/>
        <v>[effect:ability_lock, target:unit_all, turn:1],[effect:sleep, target:unit_all, turn:1, rate:1],[effect:fix_speed, target:myself, turn:1],[effect:panel_freeze, target:time_bomb, count:-1]</v>
      </c>
      <c r="N65" s="46" t="str">
        <f t="shared" si="165"/>
        <v>[effect:ability_lock, target:unit_all, turn:1],[effect:sleep, target:unit_all, turn:1, rate:1],[effect:fix_speed, target:myself, turn:1],[effect:panel_freeze, target:time_bomb, count:-1]</v>
      </c>
      <c r="O65" s="59">
        <f t="shared" si="156"/>
        <v>9</v>
      </c>
      <c r="P65" s="59">
        <f t="shared" si="157"/>
        <v>21</v>
      </c>
      <c r="Q65" s="59">
        <f t="shared" si="158"/>
        <v>30</v>
      </c>
      <c r="R65" s="59">
        <f t="shared" si="159"/>
        <v>38</v>
      </c>
      <c r="S65" s="59" t="str">
        <f>IFERROR(VLOOKUP(MID(N65,Q65,R65-Q65),[5]skilldef!$C:$D,2,FALSE),"-") &amp; " / " &amp; IFERROR(VLOOKUP(MID(N65,O65,P65-O65),[5]skilldef!$A:$B,2,FALSE),"-")</f>
        <v>味方全体に / -</v>
      </c>
      <c r="T65" s="46" t="str">
        <f t="shared" si="160"/>
        <v>[effect:sleep, target:unit_all, turn:1, rate:1],[effect:fix_speed, target:myself, turn:1],[effect:panel_freeze, target:time_bomb, count:-1]</v>
      </c>
      <c r="U65" s="59">
        <f t="shared" si="161"/>
        <v>9</v>
      </c>
      <c r="V65" s="59">
        <f t="shared" si="162"/>
        <v>14</v>
      </c>
      <c r="W65" s="59">
        <f t="shared" si="163"/>
        <v>23</v>
      </c>
      <c r="X65" s="59">
        <f t="shared" si="164"/>
        <v>31</v>
      </c>
      <c r="Y65" s="59" t="str">
        <f>IFERROR(VLOOKUP(MID(T65,W65,X65-W65),[5]skilldef!$C:$D,2,FALSE),"-") &amp; " / " &amp; IFERROR(VLOOKUP(MID(T65,U65,V65-U65),[5]skilldef!$A:$B,2,FALSE),"-")</f>
        <v>味方全体に / スリープ</v>
      </c>
      <c r="Z65" s="48"/>
      <c r="AA65" s="49"/>
      <c r="AB65" s="48"/>
    </row>
    <row r="66" spans="1:28" ht="21" customHeight="1" x14ac:dyDescent="0.15">
      <c r="A66" s="113">
        <v>40042813</v>
      </c>
      <c r="B66" s="97" t="s">
        <v>533</v>
      </c>
      <c r="C66" s="98">
        <v>3</v>
      </c>
      <c r="D66" s="98" t="s">
        <v>380</v>
      </c>
      <c r="E66" s="99" t="s">
        <v>426</v>
      </c>
      <c r="F66" s="99" t="s">
        <v>529</v>
      </c>
      <c r="G66" s="59" t="str">
        <f t="shared" ref="G66:G97" si="166">IFERROR(LEFT(B66,FIND("],",B66)),B66)</f>
        <v>[effect:enemy_message, val1:1.4, val2:1.5]</v>
      </c>
      <c r="H66" s="59">
        <f t="shared" ref="H66" si="167">FIND("effect:",G66)+7</f>
        <v>9</v>
      </c>
      <c r="I66" s="59">
        <f t="shared" ref="I66" si="168">IFERROR(FIND(",",G66),LEN(G66))</f>
        <v>22</v>
      </c>
      <c r="J66" s="59" t="e">
        <f t="shared" ref="J66" si="169">FIND("target:",G66)+7</f>
        <v>#VALUE!</v>
      </c>
      <c r="K66" s="59">
        <f t="shared" ref="K66" si="170">FIND(",",G66,I66+1)</f>
        <v>32</v>
      </c>
      <c r="L66" s="59" t="str">
        <f>IFERROR(VLOOKUP(MID(G66,J66,K66-J66),[5]skilldef!$C:$D,2,FALSE),"-") &amp; " / " &amp; IFERROR(VLOOKUP(MID(G66,H66,I66-H66),[5]skilldef!$A:$B,2,FALSE),"-")</f>
        <v>- / -</v>
      </c>
      <c r="M66" s="59" t="str">
        <f t="shared" ref="M66:M97" si="171">IFERROR(RIGHT(B66,LEN(B66)-FIND("],",B66)-1),"none")</f>
        <v>[effect:ability_lock, target:unit_all, turn:1],[effect:sleep, target:unit_all, turn:1, rate:1],[effect:fix_speed, target:myself, turn:1],[effect:panel_freeze, target:time_bomb, count:-1]</v>
      </c>
      <c r="N66" s="46" t="str">
        <f t="shared" si="165"/>
        <v>[effect:ability_lock, target:unit_all, turn:1],[effect:sleep, target:unit_all, turn:1, rate:1],[effect:fix_speed, target:myself, turn:1],[effect:panel_freeze, target:time_bomb, count:-1]</v>
      </c>
      <c r="O66" s="59">
        <f t="shared" ref="O66" si="172">FIND("effect:",N66)+7</f>
        <v>9</v>
      </c>
      <c r="P66" s="59">
        <f t="shared" ref="P66" si="173">IFERROR(FIND(",",N66),LEN(N66))</f>
        <v>21</v>
      </c>
      <c r="Q66" s="59">
        <f t="shared" ref="Q66" si="174">FIND("target:",N66)+7</f>
        <v>30</v>
      </c>
      <c r="R66" s="59">
        <f t="shared" ref="R66" si="175">FIND(",",N66,P66+1)</f>
        <v>38</v>
      </c>
      <c r="S66" s="59" t="str">
        <f>IFERROR(VLOOKUP(MID(N66,Q66,R66-Q66),[5]skilldef!$C:$D,2,FALSE),"-") &amp; " / " &amp; IFERROR(VLOOKUP(MID(N66,O66,P66-O66),[5]skilldef!$A:$B,2,FALSE),"-")</f>
        <v>味方全体に / -</v>
      </c>
      <c r="T66" s="46" t="str">
        <f t="shared" ref="T66" si="176">IFERROR(RIGHT(M66,LEN(M66)-FIND("],",M66)-1),"none")</f>
        <v>[effect:sleep, target:unit_all, turn:1, rate:1],[effect:fix_speed, target:myself, turn:1],[effect:panel_freeze, target:time_bomb, count:-1]</v>
      </c>
      <c r="U66" s="59">
        <f t="shared" ref="U66" si="177">FIND("effect:",T66)+7</f>
        <v>9</v>
      </c>
      <c r="V66" s="59">
        <f t="shared" ref="V66" si="178">IFERROR(FIND(",",T66),LEN(T66))</f>
        <v>14</v>
      </c>
      <c r="W66" s="59">
        <f t="shared" ref="W66" si="179">FIND("target:",T66)+7</f>
        <v>23</v>
      </c>
      <c r="X66" s="59">
        <f t="shared" ref="X66" si="180">FIND(",",T66,V66+1)</f>
        <v>31</v>
      </c>
      <c r="Y66" s="59" t="str">
        <f>IFERROR(VLOOKUP(MID(T66,W66,X66-W66),[5]skilldef!$C:$D,2,FALSE),"-") &amp; " / " &amp; IFERROR(VLOOKUP(MID(T66,U66,V66-U66),[5]skilldef!$A:$B,2,FALSE),"-")</f>
        <v>味方全体に / スリープ</v>
      </c>
      <c r="Z66" s="48"/>
      <c r="AA66" s="49"/>
      <c r="AB66" s="48"/>
    </row>
    <row r="67" spans="1:28" ht="21" customHeight="1" x14ac:dyDescent="0.15">
      <c r="A67" s="113">
        <v>40042814</v>
      </c>
      <c r="B67" s="97" t="s">
        <v>534</v>
      </c>
      <c r="C67" s="98">
        <v>3</v>
      </c>
      <c r="D67" s="98" t="s">
        <v>380</v>
      </c>
      <c r="E67" s="99" t="s">
        <v>427</v>
      </c>
      <c r="F67" s="99" t="s">
        <v>530</v>
      </c>
      <c r="G67" s="59" t="str">
        <f t="shared" si="166"/>
        <v>[effect:enemy_message, val1:1.8, val2:3.0]</v>
      </c>
      <c r="H67" s="59">
        <f t="shared" si="151"/>
        <v>9</v>
      </c>
      <c r="I67" s="59">
        <f t="shared" si="152"/>
        <v>22</v>
      </c>
      <c r="J67" s="59" t="e">
        <f t="shared" si="153"/>
        <v>#VALUE!</v>
      </c>
      <c r="K67" s="59">
        <f t="shared" si="154"/>
        <v>32</v>
      </c>
      <c r="L67" s="59" t="str">
        <f>IFERROR(VLOOKUP(MID(G67,J67,K67-J67),[5]skilldef!$C:$D,2,FALSE),"-") &amp; " / " &amp; IFERROR(VLOOKUP(MID(G67,H67,I67-H67),[5]skilldef!$A:$B,2,FALSE),"-")</f>
        <v>- / -</v>
      </c>
      <c r="M67" s="59" t="str">
        <f t="shared" si="171"/>
        <v>[effect:break_enchance_enemy, target:myself, val:1, lowest_val:1, count:-1, status:defense, turn:1, block01:time_bomb, block02:damage, calc:add],[effect:suicide, target:myself, val:1, dead_type:escape]</v>
      </c>
      <c r="N67" s="46" t="str">
        <f>IFERROR(LEFT(M67,FIND("],",M67)+S78),M67)</f>
        <v>[effect:break_enchance_enemy, target:myself, val:1, lowest_val:1, count:-1, status:defense, turn:1, block01:time_bomb, block02:damage, calc:add],[effect:suicide, target:myself, val:1, dead_type:escape]</v>
      </c>
      <c r="O67" s="59">
        <f t="shared" si="156"/>
        <v>9</v>
      </c>
      <c r="P67" s="59">
        <f t="shared" si="157"/>
        <v>29</v>
      </c>
      <c r="Q67" s="59">
        <f t="shared" si="158"/>
        <v>38</v>
      </c>
      <c r="R67" s="59">
        <f t="shared" si="159"/>
        <v>44</v>
      </c>
      <c r="S67" s="59" t="str">
        <f>IFERROR(VLOOKUP(MID(N67,Q67,R67-Q67),[5]skilldef!$C:$D,2,FALSE),"-") &amp; " / " &amp; IFERROR(VLOOKUP(MID(N67,O67,P67-O67),[5]skilldef!$A:$B,2,FALSE),"-")</f>
        <v>自分自身に / -</v>
      </c>
      <c r="T67" s="46" t="str">
        <f t="shared" si="160"/>
        <v>[effect:suicide, target:myself, val:1, dead_type:escape]</v>
      </c>
      <c r="U67" s="59">
        <f t="shared" si="161"/>
        <v>9</v>
      </c>
      <c r="V67" s="59">
        <f t="shared" si="162"/>
        <v>16</v>
      </c>
      <c r="W67" s="59">
        <f t="shared" si="163"/>
        <v>25</v>
      </c>
      <c r="X67" s="59">
        <f t="shared" si="164"/>
        <v>31</v>
      </c>
      <c r="Y67" s="59" t="str">
        <f>IFERROR(VLOOKUP(MID(T67,W67,X67-W67),[5]skilldef!$C:$D,2,FALSE),"-") &amp; " / " &amp; IFERROR(VLOOKUP(MID(T67,U67,V67-U67),[5]skilldef!$A:$B,2,FALSE),"-")</f>
        <v>自分自身に / -</v>
      </c>
      <c r="Z67" s="48"/>
      <c r="AA67" s="49"/>
      <c r="AB67" s="48"/>
    </row>
    <row r="68" spans="1:28" ht="21" customHeight="1" x14ac:dyDescent="0.15">
      <c r="A68" s="115">
        <v>40042911</v>
      </c>
      <c r="B68" s="100" t="s">
        <v>479</v>
      </c>
      <c r="C68" s="101">
        <v>3</v>
      </c>
      <c r="D68" s="101" t="s">
        <v>380</v>
      </c>
      <c r="E68" s="102" t="s">
        <v>387</v>
      </c>
      <c r="F68" s="102" t="s">
        <v>321</v>
      </c>
      <c r="G68" s="59" t="str">
        <f t="shared" si="166"/>
        <v>[effect:enemy_message, val1:1.2, val2:1.2]</v>
      </c>
      <c r="H68" s="59">
        <f t="shared" si="151"/>
        <v>9</v>
      </c>
      <c r="I68" s="59">
        <f t="shared" si="152"/>
        <v>22</v>
      </c>
      <c r="J68" s="59" t="e">
        <f t="shared" si="153"/>
        <v>#VALUE!</v>
      </c>
      <c r="K68" s="59">
        <f t="shared" si="154"/>
        <v>32</v>
      </c>
      <c r="L68" s="59" t="str">
        <f>IFERROR(VLOOKUP(MID(G68,J68,K68-J68),[5]skilldef!$C:$D,2,FALSE),"-") &amp; " / " &amp; IFERROR(VLOOKUP(MID(G68,H68,I68-H68),[5]skilldef!$A:$B,2,FALSE),"-")</f>
        <v>- / -</v>
      </c>
      <c r="M68" s="59" t="str">
        <f t="shared" si="171"/>
        <v>[effect:enhance_enemy, target:myself, turn:2, status:attack, val:1.3, calc:mul, animation:enemy_enhance_attack]</v>
      </c>
      <c r="N68" s="46" t="str">
        <f>IFERROR(LEFT(M68,FIND("],",M68)+S80),M68)</f>
        <v>[effect:enhance_enemy, target:myself, turn:2, status:attack, val:1.3, calc:mul, animation:enemy_enhance_attack]</v>
      </c>
      <c r="O68" s="59">
        <f t="shared" si="156"/>
        <v>9</v>
      </c>
      <c r="P68" s="59">
        <f t="shared" si="157"/>
        <v>22</v>
      </c>
      <c r="Q68" s="59">
        <f t="shared" si="158"/>
        <v>31</v>
      </c>
      <c r="R68" s="59">
        <f t="shared" si="159"/>
        <v>37</v>
      </c>
      <c r="S68" s="59" t="str">
        <f>IFERROR(VLOOKUP(MID(N68,Q68,R68-Q68),[5]skilldef!$C:$D,2,FALSE),"-") &amp; " / " &amp; IFERROR(VLOOKUP(MID(N68,O68,P68-O68),[5]skilldef!$A:$B,2,FALSE),"-")</f>
        <v>自分自身に / ステータス強化</v>
      </c>
      <c r="T68" s="46" t="str">
        <f t="shared" si="160"/>
        <v>none</v>
      </c>
      <c r="U68" s="59" t="e">
        <f t="shared" si="161"/>
        <v>#VALUE!</v>
      </c>
      <c r="V68" s="59">
        <f t="shared" si="162"/>
        <v>4</v>
      </c>
      <c r="W68" s="59" t="e">
        <f t="shared" si="163"/>
        <v>#VALUE!</v>
      </c>
      <c r="X68" s="59" t="e">
        <f t="shared" si="164"/>
        <v>#VALUE!</v>
      </c>
      <c r="Y68" s="59" t="str">
        <f>IFERROR(VLOOKUP(MID(T68,W68,X68-W68),[5]skilldef!$C:$D,2,FALSE),"-") &amp; " / " &amp; IFERROR(VLOOKUP(MID(T68,U68,V68-U68),[5]skilldef!$A:$B,2,FALSE),"-")</f>
        <v>- / -</v>
      </c>
      <c r="Z68" s="48"/>
      <c r="AA68" s="49"/>
      <c r="AB68" s="48"/>
    </row>
    <row r="69" spans="1:28" ht="21" customHeight="1" x14ac:dyDescent="0.15">
      <c r="A69" s="115">
        <v>40042912</v>
      </c>
      <c r="B69" s="100" t="s">
        <v>481</v>
      </c>
      <c r="C69" s="101">
        <v>3</v>
      </c>
      <c r="D69" s="101" t="s">
        <v>380</v>
      </c>
      <c r="E69" s="102" t="s">
        <v>388</v>
      </c>
      <c r="F69" s="102" t="s">
        <v>321</v>
      </c>
      <c r="G69" s="59" t="str">
        <f t="shared" si="166"/>
        <v>[effect:enemy_message, val1:1.7, val2:1.2]</v>
      </c>
      <c r="H69" s="59">
        <f t="shared" si="151"/>
        <v>9</v>
      </c>
      <c r="I69" s="59">
        <f t="shared" si="152"/>
        <v>22</v>
      </c>
      <c r="J69" s="59" t="e">
        <f t="shared" si="153"/>
        <v>#VALUE!</v>
      </c>
      <c r="K69" s="59">
        <f t="shared" si="154"/>
        <v>32</v>
      </c>
      <c r="L69" s="59" t="str">
        <f>IFERROR(VLOOKUP(MID(G69,J69,K69-J69),[5]skilldef!$C:$D,2,FALSE),"-") &amp; " / " &amp; IFERROR(VLOOKUP(MID(G69,H69,I69-H69),[5]skilldef!$A:$B,2,FALSE),"-")</f>
        <v>- / -</v>
      </c>
      <c r="M69" s="59" t="str">
        <f t="shared" si="171"/>
        <v>[effect:enhance_enemy, target:myself, turn:2, status:attack, val:1.3, calc:mul, animation:enemy_enhance_attack]</v>
      </c>
      <c r="N69" s="46" t="str">
        <f>IFERROR(LEFT(M69,FIND("],",M69)+S81),M69)</f>
        <v>[effect:enhance_enemy, target:myself, turn:2, status:attack, val:1.3, calc:mul, animation:enemy_enhance_attack]</v>
      </c>
      <c r="O69" s="59">
        <f t="shared" si="156"/>
        <v>9</v>
      </c>
      <c r="P69" s="59">
        <f t="shared" si="157"/>
        <v>22</v>
      </c>
      <c r="Q69" s="59">
        <f t="shared" si="158"/>
        <v>31</v>
      </c>
      <c r="R69" s="59">
        <f t="shared" si="159"/>
        <v>37</v>
      </c>
      <c r="S69" s="59" t="str">
        <f>IFERROR(VLOOKUP(MID(N69,Q69,R69-Q69),[5]skilldef!$C:$D,2,FALSE),"-") &amp; " / " &amp; IFERROR(VLOOKUP(MID(N69,O69,P69-O69),[5]skilldef!$A:$B,2,FALSE),"-")</f>
        <v>自分自身に / ステータス強化</v>
      </c>
      <c r="T69" s="46" t="str">
        <f t="shared" si="160"/>
        <v>none</v>
      </c>
      <c r="U69" s="59" t="e">
        <f t="shared" si="161"/>
        <v>#VALUE!</v>
      </c>
      <c r="V69" s="59">
        <f t="shared" si="162"/>
        <v>4</v>
      </c>
      <c r="W69" s="59" t="e">
        <f t="shared" si="163"/>
        <v>#VALUE!</v>
      </c>
      <c r="X69" s="59" t="e">
        <f t="shared" si="164"/>
        <v>#VALUE!</v>
      </c>
      <c r="Y69" s="59" t="str">
        <f>IFERROR(VLOOKUP(MID(T69,W69,X69-W69),[5]skilldef!$C:$D,2,FALSE),"-") &amp; " / " &amp; IFERROR(VLOOKUP(MID(T69,U69,V69-U69),[5]skilldef!$A:$B,2,FALSE),"-")</f>
        <v>- / -</v>
      </c>
      <c r="Z69" s="48"/>
      <c r="AA69" s="49"/>
      <c r="AB69" s="48"/>
    </row>
    <row r="70" spans="1:28" ht="21" customHeight="1" x14ac:dyDescent="0.15">
      <c r="A70" s="115">
        <v>40042913</v>
      </c>
      <c r="B70" s="100" t="s">
        <v>481</v>
      </c>
      <c r="C70" s="101">
        <v>3</v>
      </c>
      <c r="D70" s="101" t="s">
        <v>380</v>
      </c>
      <c r="E70" s="102" t="s">
        <v>388</v>
      </c>
      <c r="F70" s="102" t="s">
        <v>321</v>
      </c>
      <c r="G70" s="59" t="str">
        <f t="shared" si="166"/>
        <v>[effect:enemy_message, val1:1.7, val2:1.2]</v>
      </c>
      <c r="H70" s="59">
        <f t="shared" ref="H70" si="181">FIND("effect:",G70)+7</f>
        <v>9</v>
      </c>
      <c r="I70" s="59">
        <f t="shared" ref="I70" si="182">IFERROR(FIND(",",G70),LEN(G70))</f>
        <v>22</v>
      </c>
      <c r="J70" s="59" t="e">
        <f t="shared" ref="J70" si="183">FIND("target:",G70)+7</f>
        <v>#VALUE!</v>
      </c>
      <c r="K70" s="59">
        <f t="shared" ref="K70" si="184">FIND(",",G70,I70+1)</f>
        <v>32</v>
      </c>
      <c r="L70" s="59" t="str">
        <f>IFERROR(VLOOKUP(MID(G70,J70,K70-J70),[5]skilldef!$C:$D,2,FALSE),"-") &amp; " / " &amp; IFERROR(VLOOKUP(MID(G70,H70,I70-H70),[5]skilldef!$A:$B,2,FALSE),"-")</f>
        <v>- / -</v>
      </c>
      <c r="M70" s="59" t="str">
        <f t="shared" si="171"/>
        <v>[effect:enhance_enemy, target:myself, turn:2, status:attack, val:1.3, calc:mul, animation:enemy_enhance_attack]</v>
      </c>
      <c r="N70" s="46" t="str">
        <f>IFERROR(LEFT(M70,FIND("],",M70)+S83),M70)</f>
        <v>[effect:enhance_enemy, target:myself, turn:2, status:attack, val:1.3, calc:mul, animation:enemy_enhance_attack]</v>
      </c>
      <c r="O70" s="59">
        <f t="shared" ref="O70" si="185">FIND("effect:",N70)+7</f>
        <v>9</v>
      </c>
      <c r="P70" s="59">
        <f t="shared" ref="P70" si="186">IFERROR(FIND(",",N70),LEN(N70))</f>
        <v>22</v>
      </c>
      <c r="Q70" s="59">
        <f t="shared" ref="Q70" si="187">FIND("target:",N70)+7</f>
        <v>31</v>
      </c>
      <c r="R70" s="59">
        <f t="shared" ref="R70" si="188">FIND(",",N70,P70+1)</f>
        <v>37</v>
      </c>
      <c r="S70" s="59" t="str">
        <f>IFERROR(VLOOKUP(MID(N70,Q70,R70-Q70),[5]skilldef!$C:$D,2,FALSE),"-") &amp; " / " &amp; IFERROR(VLOOKUP(MID(N70,O70,P70-O70),[5]skilldef!$A:$B,2,FALSE),"-")</f>
        <v>自分自身に / ステータス強化</v>
      </c>
      <c r="T70" s="46" t="str">
        <f t="shared" ref="T70" si="189">IFERROR(RIGHT(M70,LEN(M70)-FIND("],",M70)-1),"none")</f>
        <v>none</v>
      </c>
      <c r="U70" s="59" t="e">
        <f t="shared" ref="U70" si="190">FIND("effect:",T70)+7</f>
        <v>#VALUE!</v>
      </c>
      <c r="V70" s="59">
        <f t="shared" ref="V70" si="191">IFERROR(FIND(",",T70),LEN(T70))</f>
        <v>4</v>
      </c>
      <c r="W70" s="59" t="e">
        <f t="shared" ref="W70" si="192">FIND("target:",T70)+7</f>
        <v>#VALUE!</v>
      </c>
      <c r="X70" s="59" t="e">
        <f t="shared" ref="X70" si="193">FIND(",",T70,V70+1)</f>
        <v>#VALUE!</v>
      </c>
      <c r="Y70" s="59" t="str">
        <f>IFERROR(VLOOKUP(MID(T70,W70,X70-W70),[5]skilldef!$C:$D,2,FALSE),"-") &amp; " / " &amp; IFERROR(VLOOKUP(MID(T70,U70,V70-U70),[5]skilldef!$A:$B,2,FALSE),"-")</f>
        <v>- / -</v>
      </c>
      <c r="Z70" s="48"/>
      <c r="AA70" s="49"/>
      <c r="AB70" s="48"/>
    </row>
    <row r="71" spans="1:28" ht="21" customHeight="1" x14ac:dyDescent="0.15">
      <c r="A71" s="115">
        <v>40042914</v>
      </c>
      <c r="B71" s="100" t="s">
        <v>483</v>
      </c>
      <c r="C71" s="101">
        <v>3</v>
      </c>
      <c r="D71" s="101" t="s">
        <v>380</v>
      </c>
      <c r="E71" s="102" t="s">
        <v>389</v>
      </c>
      <c r="F71" s="102" t="s">
        <v>399</v>
      </c>
      <c r="G71" s="59" t="str">
        <f t="shared" si="166"/>
        <v>[effect:enemy_message, val1:1.2, val2:2.2]</v>
      </c>
      <c r="H71" s="59">
        <f t="shared" si="151"/>
        <v>9</v>
      </c>
      <c r="I71" s="59">
        <f t="shared" si="152"/>
        <v>22</v>
      </c>
      <c r="J71" s="59" t="e">
        <f t="shared" si="153"/>
        <v>#VALUE!</v>
      </c>
      <c r="K71" s="59">
        <f t="shared" si="154"/>
        <v>32</v>
      </c>
      <c r="L71" s="59" t="str">
        <f>IFERROR(VLOOKUP(MID(G71,J71,K71-J71),[5]skilldef!$C:$D,2,FALSE),"-") &amp; " / " &amp; IFERROR(VLOOKUP(MID(G71,H71,I71-H71),[5]skilldef!$A:$B,2,FALSE),"-")</f>
        <v>- / -</v>
      </c>
      <c r="M71" s="59" t="str">
        <f t="shared" si="171"/>
        <v>[effect:force_change_block, new_block:damage, target:block_green, count:0, val:0.02, animation:change_block],[effect:spread, val:0.3]</v>
      </c>
      <c r="N71" s="46" t="str">
        <f t="shared" ref="N71:N79" si="194">IFERROR(LEFT(M71,FIND("],",M71)+S83),M71)</f>
        <v>[effect:force_change_block, new_block:damage, target:block_green, count:0, val:0.02, animation:change_block],[effect:spread, val:0.3]</v>
      </c>
      <c r="O71" s="59">
        <f t="shared" si="156"/>
        <v>9</v>
      </c>
      <c r="P71" s="59">
        <f t="shared" si="157"/>
        <v>27</v>
      </c>
      <c r="Q71" s="59">
        <f t="shared" si="158"/>
        <v>54</v>
      </c>
      <c r="R71" s="59">
        <f t="shared" si="159"/>
        <v>45</v>
      </c>
      <c r="S71" s="59" t="str">
        <f>IFERROR(VLOOKUP(MID(N71,Q71,R71-Q71),[5]skilldef!$C:$D,2,FALSE),"-") &amp; " / " &amp; IFERROR(VLOOKUP(MID(N71,O71,P71-O71),[5]skilldef!$A:$B,2,FALSE),"-")</f>
        <v>- / -</v>
      </c>
      <c r="T71" s="46" t="str">
        <f t="shared" si="160"/>
        <v>[effect:spread, val:0.3]</v>
      </c>
      <c r="U71" s="59">
        <f t="shared" si="161"/>
        <v>9</v>
      </c>
      <c r="V71" s="59">
        <f t="shared" si="162"/>
        <v>15</v>
      </c>
      <c r="W71" s="59" t="e">
        <f t="shared" si="163"/>
        <v>#VALUE!</v>
      </c>
      <c r="X71" s="59" t="e">
        <f t="shared" si="164"/>
        <v>#VALUE!</v>
      </c>
      <c r="Y71" s="59" t="str">
        <f>IFERROR(VLOOKUP(MID(T71,W71,X71-W71),[5]skilldef!$C:$D,2,FALSE),"-") &amp; " / " &amp; IFERROR(VLOOKUP(MID(T71,U71,V71-U71),[5]skilldef!$A:$B,2,FALSE),"-")</f>
        <v>- / 全体攻撃</v>
      </c>
      <c r="Z71" s="48"/>
      <c r="AA71" s="49"/>
      <c r="AB71" s="48"/>
    </row>
    <row r="72" spans="1:28" ht="21" customHeight="1" x14ac:dyDescent="0.15">
      <c r="A72" s="115">
        <v>40042915</v>
      </c>
      <c r="B72" s="100" t="s">
        <v>485</v>
      </c>
      <c r="C72" s="101">
        <v>3</v>
      </c>
      <c r="D72" s="101" t="s">
        <v>380</v>
      </c>
      <c r="E72" s="102" t="s">
        <v>331</v>
      </c>
      <c r="F72" s="102" t="s">
        <v>322</v>
      </c>
      <c r="G72" s="59" t="str">
        <f t="shared" si="166"/>
        <v>[effect:enemy_message, val1:1.2, val2:2.3]</v>
      </c>
      <c r="H72" s="59">
        <f t="shared" si="151"/>
        <v>9</v>
      </c>
      <c r="I72" s="59">
        <f t="shared" si="152"/>
        <v>22</v>
      </c>
      <c r="J72" s="59" t="e">
        <f t="shared" si="153"/>
        <v>#VALUE!</v>
      </c>
      <c r="K72" s="59">
        <f t="shared" si="154"/>
        <v>32</v>
      </c>
      <c r="L72" s="59" t="str">
        <f>IFERROR(VLOOKUP(MID(G72,J72,K72-J72),[5]skilldef!$C:$D,2,FALSE),"-") &amp; " / " &amp; IFERROR(VLOOKUP(MID(G72,H72,I72-H72),[5]skilldef!$A:$B,2,FALSE),"-")</f>
        <v>- / -</v>
      </c>
      <c r="M72" s="59" t="str">
        <f t="shared" si="171"/>
        <v>[effect:break_attack, target:unit_all, val:0.01, lowest_val:0, count:-1, color:yellow, block_color:block_yellow, block01:damage, block02:block_yellow]</v>
      </c>
      <c r="N72" s="46" t="str">
        <f t="shared" si="194"/>
        <v>[effect:break_attack, target:unit_all, val:0.01, lowest_val:0, count:-1, color:yellow, block_color:block_yellow, block01:damage, block02:block_yellow]</v>
      </c>
      <c r="O72" s="59">
        <f t="shared" si="156"/>
        <v>9</v>
      </c>
      <c r="P72" s="59">
        <f t="shared" si="157"/>
        <v>21</v>
      </c>
      <c r="Q72" s="59">
        <f t="shared" si="158"/>
        <v>30</v>
      </c>
      <c r="R72" s="59">
        <f t="shared" si="159"/>
        <v>38</v>
      </c>
      <c r="S72" s="59" t="str">
        <f>IFERROR(VLOOKUP(MID(N72,Q72,R72-Q72),[5]skilldef!$C:$D,2,FALSE),"-") &amp; " / " &amp; IFERROR(VLOOKUP(MID(N72,O72,P72-O72),[5]skilldef!$A:$B,2,FALSE),"-")</f>
        <v>味方全体に / -</v>
      </c>
      <c r="T72" s="46" t="str">
        <f t="shared" si="160"/>
        <v>none</v>
      </c>
      <c r="U72" s="59" t="e">
        <f t="shared" si="161"/>
        <v>#VALUE!</v>
      </c>
      <c r="V72" s="59">
        <f t="shared" si="162"/>
        <v>4</v>
      </c>
      <c r="W72" s="59" t="e">
        <f t="shared" si="163"/>
        <v>#VALUE!</v>
      </c>
      <c r="X72" s="59" t="e">
        <f t="shared" si="164"/>
        <v>#VALUE!</v>
      </c>
      <c r="Y72" s="59" t="str">
        <f>IFERROR(VLOOKUP(MID(T72,W72,X72-W72),[5]skilldef!$C:$D,2,FALSE),"-") &amp; " / " &amp; IFERROR(VLOOKUP(MID(T72,U72,V72-U72),[5]skilldef!$A:$B,2,FALSE),"-")</f>
        <v>- / -</v>
      </c>
      <c r="Z72" s="48"/>
      <c r="AA72" s="49"/>
      <c r="AB72" s="48"/>
    </row>
    <row r="73" spans="1:28" ht="21" customHeight="1" x14ac:dyDescent="0.15">
      <c r="A73" s="115">
        <v>40042916</v>
      </c>
      <c r="B73" s="100" t="s">
        <v>507</v>
      </c>
      <c r="C73" s="101">
        <v>3</v>
      </c>
      <c r="D73" s="101" t="s">
        <v>380</v>
      </c>
      <c r="E73" s="102" t="s">
        <v>326</v>
      </c>
      <c r="F73" s="102" t="s">
        <v>457</v>
      </c>
      <c r="G73" s="59" t="str">
        <f t="shared" si="166"/>
        <v>[effect:enemy_message, val1:1.2, val2:2.2]</v>
      </c>
      <c r="H73" s="59">
        <f t="shared" si="151"/>
        <v>9</v>
      </c>
      <c r="I73" s="59">
        <f t="shared" si="152"/>
        <v>22</v>
      </c>
      <c r="J73" s="59" t="e">
        <f t="shared" si="153"/>
        <v>#VALUE!</v>
      </c>
      <c r="K73" s="59">
        <f t="shared" si="154"/>
        <v>32</v>
      </c>
      <c r="L73" s="59" t="str">
        <f>IFERROR(VLOOKUP(MID(G73,J73,K73-J73),[5]skilldef!$C:$D,2,FALSE),"-") &amp; " / " &amp; IFERROR(VLOOKUP(MID(G73,H73,I73-H73),[5]skilldef!$A:$B,2,FALSE),"-")</f>
        <v>- / -</v>
      </c>
      <c r="M73" s="59" t="str">
        <f t="shared" si="171"/>
        <v>[effect:break_attack, target:unit_one, val:0.1, lowest_val:0, count:-1, color:yellow, block_color:block_heart, block01:crack_bomb, block02:block_heart]</v>
      </c>
      <c r="N73" s="46" t="str">
        <f t="shared" si="194"/>
        <v>[effect:break_attack, target:unit_one, val:0.1, lowest_val:0, count:-1, color:yellow, block_color:block_heart, block01:crack_bomb, block02:block_heart]</v>
      </c>
      <c r="O73" s="59">
        <f t="shared" si="156"/>
        <v>9</v>
      </c>
      <c r="P73" s="59">
        <f t="shared" si="157"/>
        <v>21</v>
      </c>
      <c r="Q73" s="59">
        <f t="shared" si="158"/>
        <v>30</v>
      </c>
      <c r="R73" s="59">
        <f t="shared" si="159"/>
        <v>38</v>
      </c>
      <c r="S73" s="59" t="str">
        <f>IFERROR(VLOOKUP(MID(N73,Q73,R73-Q73),[5]skilldef!$C:$D,2,FALSE),"-") &amp; " / " &amp; IFERROR(VLOOKUP(MID(N73,O73,P73-O73),[5]skilldef!$A:$B,2,FALSE),"-")</f>
        <v>味方単体に / -</v>
      </c>
      <c r="T73" s="46" t="str">
        <f t="shared" si="160"/>
        <v>none</v>
      </c>
      <c r="U73" s="59" t="e">
        <f t="shared" si="161"/>
        <v>#VALUE!</v>
      </c>
      <c r="V73" s="59">
        <f t="shared" si="162"/>
        <v>4</v>
      </c>
      <c r="W73" s="59" t="e">
        <f t="shared" si="163"/>
        <v>#VALUE!</v>
      </c>
      <c r="X73" s="59" t="e">
        <f t="shared" si="164"/>
        <v>#VALUE!</v>
      </c>
      <c r="Y73" s="59" t="str">
        <f>IFERROR(VLOOKUP(MID(T73,W73,X73-W73),[5]skilldef!$C:$D,2,FALSE),"-") &amp; " / " &amp; IFERROR(VLOOKUP(MID(T73,U73,V73-U73),[5]skilldef!$A:$B,2,FALSE),"-")</f>
        <v>- / -</v>
      </c>
      <c r="Z73" s="48"/>
      <c r="AA73" s="49"/>
      <c r="AB73" s="48"/>
    </row>
    <row r="74" spans="1:28" ht="21" customHeight="1" x14ac:dyDescent="0.15">
      <c r="A74" s="115">
        <v>40042917</v>
      </c>
      <c r="B74" s="100" t="s">
        <v>488</v>
      </c>
      <c r="C74" s="101">
        <v>3</v>
      </c>
      <c r="D74" s="101" t="s">
        <v>380</v>
      </c>
      <c r="E74" s="102" t="s">
        <v>392</v>
      </c>
      <c r="F74" s="102" t="s">
        <v>431</v>
      </c>
      <c r="G74" s="59" t="str">
        <f t="shared" si="166"/>
        <v>[effect:enemy_message, val1:1.4, val2:1.9]</v>
      </c>
      <c r="H74" s="59">
        <f t="shared" si="151"/>
        <v>9</v>
      </c>
      <c r="I74" s="59">
        <f t="shared" si="152"/>
        <v>22</v>
      </c>
      <c r="J74" s="59" t="e">
        <f t="shared" si="153"/>
        <v>#VALUE!</v>
      </c>
      <c r="K74" s="59">
        <f t="shared" si="154"/>
        <v>32</v>
      </c>
      <c r="L74" s="59" t="str">
        <f>IFERROR(VLOOKUP(MID(G74,J74,K74-J74),[5]skilldef!$C:$D,2,FALSE),"-") &amp; " / " &amp; IFERROR(VLOOKUP(MID(G74,H74,I74-H74),[5]skilldef!$A:$B,2,FALSE),"-")</f>
        <v>- / -</v>
      </c>
      <c r="M74" s="59" t="str">
        <f t="shared" si="171"/>
        <v>[effect:force_change_block, new_block:damage, target:block_heart, count:0, val:0.05, animation:change_block]</v>
      </c>
      <c r="N74" s="46" t="str">
        <f t="shared" si="194"/>
        <v>[effect:force_change_block, new_block:damage, target:block_heart, count:0, val:0.05, animation:change_block]</v>
      </c>
      <c r="O74" s="59">
        <f t="shared" si="156"/>
        <v>9</v>
      </c>
      <c r="P74" s="59">
        <f t="shared" si="157"/>
        <v>27</v>
      </c>
      <c r="Q74" s="59">
        <f t="shared" si="158"/>
        <v>54</v>
      </c>
      <c r="R74" s="59">
        <f t="shared" si="159"/>
        <v>45</v>
      </c>
      <c r="S74" s="59" t="str">
        <f>IFERROR(VLOOKUP(MID(N74,Q74,R74-Q74),[5]skilldef!$C:$D,2,FALSE),"-") &amp; " / " &amp; IFERROR(VLOOKUP(MID(N74,O74,P74-O74),[5]skilldef!$A:$B,2,FALSE),"-")</f>
        <v>- / -</v>
      </c>
      <c r="T74" s="46" t="str">
        <f t="shared" si="160"/>
        <v>none</v>
      </c>
      <c r="U74" s="59" t="e">
        <f t="shared" si="161"/>
        <v>#VALUE!</v>
      </c>
      <c r="V74" s="59">
        <f t="shared" si="162"/>
        <v>4</v>
      </c>
      <c r="W74" s="59" t="e">
        <f t="shared" si="163"/>
        <v>#VALUE!</v>
      </c>
      <c r="X74" s="59" t="e">
        <f t="shared" si="164"/>
        <v>#VALUE!</v>
      </c>
      <c r="Y74" s="59" t="str">
        <f>IFERROR(VLOOKUP(MID(T74,W74,X74-W74),[5]skilldef!$C:$D,2,FALSE),"-") &amp; " / " &amp; IFERROR(VLOOKUP(MID(T74,U74,V74-U74),[5]skilldef!$A:$B,2,FALSE),"-")</f>
        <v>- / -</v>
      </c>
      <c r="Z74" s="48"/>
      <c r="AA74" s="49"/>
      <c r="AB74" s="48"/>
    </row>
    <row r="75" spans="1:28" ht="21" customHeight="1" x14ac:dyDescent="0.15">
      <c r="A75" s="116">
        <v>40042921</v>
      </c>
      <c r="B75" s="109" t="s">
        <v>515</v>
      </c>
      <c r="C75" s="110">
        <v>3</v>
      </c>
      <c r="D75" s="110" t="s">
        <v>380</v>
      </c>
      <c r="E75" s="111" t="s">
        <v>393</v>
      </c>
      <c r="F75" s="111" t="s">
        <v>432</v>
      </c>
      <c r="G75" s="59" t="str">
        <f t="shared" si="166"/>
        <v>[effect:enemy_message, val1:1.2, val2:4.6]</v>
      </c>
      <c r="H75" s="59">
        <f t="shared" si="151"/>
        <v>9</v>
      </c>
      <c r="I75" s="59">
        <f t="shared" si="152"/>
        <v>22</v>
      </c>
      <c r="J75" s="59" t="e">
        <f t="shared" si="153"/>
        <v>#VALUE!</v>
      </c>
      <c r="K75" s="59">
        <f t="shared" si="154"/>
        <v>32</v>
      </c>
      <c r="L75" s="59" t="str">
        <f>IFERROR(VLOOKUP(MID(G75,J75,K75-J75),[5]skilldef!$C:$D,2,FALSE),"-") &amp; " / " &amp; IFERROR(VLOOKUP(MID(G75,H75,I75-H75),[5]skilldef!$A:$B,2,FALSE),"-")</f>
        <v>- / -</v>
      </c>
      <c r="M75" s="59" t="str">
        <f t="shared" si="171"/>
        <v>[effect:force_change_block, new_block:time_bomb, target:damage, count:0, val:0.2, animation:change_block],[effect:drop_block, block_type:time_bomb, color:block_all, val:0.2, rate:0.2, turn:5, min_time_count:4, max_time_count:4, animation:time_bomb_influence04]</v>
      </c>
      <c r="N75" s="46" t="str">
        <f t="shared" si="194"/>
        <v>[effect:force_change_block, new_block:time_bomb, target:damage, count:0, val:0.2, animation:change_block],[effect:drop_block, block_type:time_bomb, color:block_all, val:0.2, rate:0.2, turn:5, min_time_count:4, max_time_count:4, animation:time_bomb_influence04]</v>
      </c>
      <c r="O75" s="59">
        <f t="shared" si="156"/>
        <v>9</v>
      </c>
      <c r="P75" s="59">
        <f t="shared" si="157"/>
        <v>27</v>
      </c>
      <c r="Q75" s="59">
        <f t="shared" si="158"/>
        <v>57</v>
      </c>
      <c r="R75" s="59">
        <f t="shared" si="159"/>
        <v>48</v>
      </c>
      <c r="S75" s="59" t="str">
        <f>IFERROR(VLOOKUP(MID(N75,Q75,R75-Q75),[5]skilldef!$C:$D,2,FALSE),"-") &amp; " / " &amp; IFERROR(VLOOKUP(MID(N75,O75,P75-O75),[5]skilldef!$A:$B,2,FALSE),"-")</f>
        <v>- / -</v>
      </c>
      <c r="T75" s="46" t="str">
        <f t="shared" si="160"/>
        <v>[effect:drop_block, block_type:time_bomb, color:block_all, val:0.2, rate:0.2, turn:5, min_time_count:4, max_time_count:4, animation:time_bomb_influence04]</v>
      </c>
      <c r="U75" s="59">
        <f t="shared" si="161"/>
        <v>9</v>
      </c>
      <c r="V75" s="59">
        <f t="shared" si="162"/>
        <v>19</v>
      </c>
      <c r="W75" s="59" t="e">
        <f t="shared" si="163"/>
        <v>#VALUE!</v>
      </c>
      <c r="X75" s="59">
        <f t="shared" si="164"/>
        <v>41</v>
      </c>
      <c r="Y75" s="59" t="str">
        <f>IFERROR(VLOOKUP(MID(T75,W75,X75-W75),[5]skilldef!$C:$D,2,FALSE),"-") &amp; " / " &amp; IFERROR(VLOOKUP(MID(T75,U75,V75-U75),[5]skilldef!$A:$B,2,FALSE),"-")</f>
        <v>- / 特定ブロックの割合ドロップ</v>
      </c>
      <c r="Z75" s="48"/>
      <c r="AA75" s="49"/>
      <c r="AB75" s="48"/>
    </row>
    <row r="76" spans="1:28" ht="21" customHeight="1" x14ac:dyDescent="0.15">
      <c r="A76" s="116">
        <v>40042922</v>
      </c>
      <c r="B76" s="109" t="s">
        <v>527</v>
      </c>
      <c r="C76" s="110">
        <v>3</v>
      </c>
      <c r="D76" s="110" t="s">
        <v>380</v>
      </c>
      <c r="E76" s="111" t="s">
        <v>394</v>
      </c>
      <c r="F76" s="111" t="s">
        <v>522</v>
      </c>
      <c r="G76" s="59" t="str">
        <f t="shared" si="166"/>
        <v>[effect:enemy_message, val1:1.2, val2:2.5]</v>
      </c>
      <c r="H76" s="59">
        <f t="shared" si="151"/>
        <v>9</v>
      </c>
      <c r="I76" s="59">
        <f t="shared" si="152"/>
        <v>22</v>
      </c>
      <c r="J76" s="59" t="e">
        <f t="shared" si="153"/>
        <v>#VALUE!</v>
      </c>
      <c r="K76" s="59">
        <f t="shared" si="154"/>
        <v>32</v>
      </c>
      <c r="L76" s="59" t="str">
        <f>IFERROR(VLOOKUP(MID(G76,J76,K76-J76),[5]skilldef!$C:$D,2,FALSE),"-") &amp; " / " &amp; IFERROR(VLOOKUP(MID(G76,H76,I76-H76),[5]skilldef!$A:$B,2,FALSE),"-")</f>
        <v>- / -</v>
      </c>
      <c r="M76" s="59" t="str">
        <f t="shared" si="171"/>
        <v>[effect:degrade_unit, target:unit_all, turn:4, status:heal, val:0.9, calc:mul, animation:degrade_unit_all_heal],[effect:spread, val:0.5]</v>
      </c>
      <c r="N76" s="46" t="str">
        <f t="shared" si="194"/>
        <v>[effect:degrade_unit, target:unit_all, turn:4, status:heal, val:0.9, calc:mul, animation:degrade_unit_all_heal],[effect:spread, val:0.5]</v>
      </c>
      <c r="O76" s="59">
        <f t="shared" si="156"/>
        <v>9</v>
      </c>
      <c r="P76" s="59">
        <f t="shared" si="157"/>
        <v>21</v>
      </c>
      <c r="Q76" s="59">
        <f t="shared" si="158"/>
        <v>30</v>
      </c>
      <c r="R76" s="59">
        <f t="shared" si="159"/>
        <v>38</v>
      </c>
      <c r="S76" s="59" t="str">
        <f>IFERROR(VLOOKUP(MID(N76,Q76,R76-Q76),[5]skilldef!$C:$D,2,FALSE),"-") &amp; " / " &amp; IFERROR(VLOOKUP(MID(N76,O76,P76-O76),[5]skilldef!$A:$B,2,FALSE),"-")</f>
        <v>味方全体に / ステータスDOWN</v>
      </c>
      <c r="T76" s="46" t="str">
        <f t="shared" si="160"/>
        <v>[effect:spread, val:0.5]</v>
      </c>
      <c r="U76" s="59">
        <f t="shared" si="161"/>
        <v>9</v>
      </c>
      <c r="V76" s="59">
        <f t="shared" si="162"/>
        <v>15</v>
      </c>
      <c r="W76" s="59" t="e">
        <f t="shared" si="163"/>
        <v>#VALUE!</v>
      </c>
      <c r="X76" s="59" t="e">
        <f t="shared" si="164"/>
        <v>#VALUE!</v>
      </c>
      <c r="Y76" s="59" t="str">
        <f>IFERROR(VLOOKUP(MID(T76,W76,X76-W76),[5]skilldef!$C:$D,2,FALSE),"-") &amp; " / " &amp; IFERROR(VLOOKUP(MID(T76,U76,V76-U76),[5]skilldef!$A:$B,2,FALSE),"-")</f>
        <v>- / 全体攻撃</v>
      </c>
      <c r="Z76" s="48"/>
      <c r="AA76" s="49"/>
      <c r="AB76" s="48"/>
    </row>
    <row r="77" spans="1:28" ht="21" customHeight="1" x14ac:dyDescent="0.15">
      <c r="A77" s="116">
        <v>40042923</v>
      </c>
      <c r="B77" s="109" t="s">
        <v>540</v>
      </c>
      <c r="C77" s="110">
        <v>3</v>
      </c>
      <c r="D77" s="110" t="s">
        <v>380</v>
      </c>
      <c r="E77" s="111" t="s">
        <v>538</v>
      </c>
      <c r="F77" s="111" t="s">
        <v>535</v>
      </c>
      <c r="G77" s="59" t="str">
        <f t="shared" si="166"/>
        <v>[effect:enemy_message, val1:1.4, val2:1.9]</v>
      </c>
      <c r="H77" s="59">
        <f t="shared" si="151"/>
        <v>9</v>
      </c>
      <c r="I77" s="59">
        <f t="shared" si="152"/>
        <v>22</v>
      </c>
      <c r="J77" s="59" t="e">
        <f t="shared" si="153"/>
        <v>#VALUE!</v>
      </c>
      <c r="K77" s="59">
        <f t="shared" si="154"/>
        <v>32</v>
      </c>
      <c r="L77" s="59" t="str">
        <f>IFERROR(VLOOKUP(MID(G77,J77,K77-J77),[5]skilldef!$C:$D,2,FALSE),"-") &amp; " / " &amp; IFERROR(VLOOKUP(MID(G77,H77,I77-H77),[5]skilldef!$A:$B,2,FALSE),"-")</f>
        <v>- / -</v>
      </c>
      <c r="M77" s="59" t="str">
        <f t="shared" si="171"/>
        <v>[effect:change_panel_ratio, turn:4, block_type:heal, val:0.1, animation:block_incidence04]</v>
      </c>
      <c r="N77" s="46" t="str">
        <f t="shared" si="194"/>
        <v>[effect:change_panel_ratio, turn:4, block_type:heal, val:0.1, animation:block_incidence04]</v>
      </c>
      <c r="O77" s="59">
        <f t="shared" si="156"/>
        <v>9</v>
      </c>
      <c r="P77" s="59">
        <f t="shared" si="157"/>
        <v>27</v>
      </c>
      <c r="Q77" s="59" t="e">
        <f t="shared" si="158"/>
        <v>#VALUE!</v>
      </c>
      <c r="R77" s="59">
        <f t="shared" si="159"/>
        <v>35</v>
      </c>
      <c r="S77" s="59" t="str">
        <f>IFERROR(VLOOKUP(MID(N77,Q77,R77-Q77),[5]skilldef!$C:$D,2,FALSE),"-") &amp; " / " &amp; IFERROR(VLOOKUP(MID(N77,O77,P77-O77),[5]skilldef!$A:$B,2,FALSE),"-")</f>
        <v>- / -</v>
      </c>
      <c r="T77" s="46" t="str">
        <f t="shared" si="160"/>
        <v>none</v>
      </c>
      <c r="U77" s="59" t="e">
        <f t="shared" si="161"/>
        <v>#VALUE!</v>
      </c>
      <c r="V77" s="59">
        <f t="shared" si="162"/>
        <v>4</v>
      </c>
      <c r="W77" s="59" t="e">
        <f t="shared" si="163"/>
        <v>#VALUE!</v>
      </c>
      <c r="X77" s="59" t="e">
        <f t="shared" si="164"/>
        <v>#VALUE!</v>
      </c>
      <c r="Y77" s="59" t="str">
        <f>IFERROR(VLOOKUP(MID(T77,W77,X77-W77),[5]skilldef!$C:$D,2,FALSE),"-") &amp; " / " &amp; IFERROR(VLOOKUP(MID(T77,U77,V77-U77),[5]skilldef!$A:$B,2,FALSE),"-")</f>
        <v>- / -</v>
      </c>
      <c r="Z77" s="48"/>
      <c r="AA77" s="49"/>
      <c r="AB77" s="48"/>
    </row>
    <row r="78" spans="1:28" ht="21" customHeight="1" x14ac:dyDescent="0.15">
      <c r="A78" s="116">
        <v>40042924</v>
      </c>
      <c r="B78" s="109" t="s">
        <v>507</v>
      </c>
      <c r="C78" s="110">
        <v>3</v>
      </c>
      <c r="D78" s="110" t="s">
        <v>380</v>
      </c>
      <c r="E78" s="111" t="s">
        <v>326</v>
      </c>
      <c r="F78" s="111" t="s">
        <v>457</v>
      </c>
      <c r="G78" s="59" t="str">
        <f t="shared" si="166"/>
        <v>[effect:enemy_message, val1:1.2, val2:2.2]</v>
      </c>
      <c r="H78" s="59">
        <f t="shared" si="151"/>
        <v>9</v>
      </c>
      <c r="I78" s="59">
        <f t="shared" si="152"/>
        <v>22</v>
      </c>
      <c r="J78" s="59" t="e">
        <f t="shared" si="153"/>
        <v>#VALUE!</v>
      </c>
      <c r="K78" s="59">
        <f t="shared" si="154"/>
        <v>32</v>
      </c>
      <c r="L78" s="59" t="str">
        <f>IFERROR(VLOOKUP(MID(G78,J78,K78-J78),[5]skilldef!$C:$D,2,FALSE),"-") &amp; " / " &amp; IFERROR(VLOOKUP(MID(G78,H78,I78-H78),[5]skilldef!$A:$B,2,FALSE),"-")</f>
        <v>- / -</v>
      </c>
      <c r="M78" s="59" t="str">
        <f t="shared" si="171"/>
        <v>[effect:break_attack, target:unit_one, val:0.1, lowest_val:0, count:-1, color:yellow, block_color:block_heart, block01:crack_bomb, block02:block_heart]</v>
      </c>
      <c r="N78" s="46" t="str">
        <f t="shared" si="194"/>
        <v>[effect:break_attack, target:unit_one, val:0.1, lowest_val:0, count:-1, color:yellow, block_color:block_heart, block01:crack_bomb, block02:block_heart]</v>
      </c>
      <c r="O78" s="59">
        <f t="shared" si="156"/>
        <v>9</v>
      </c>
      <c r="P78" s="59">
        <f t="shared" si="157"/>
        <v>21</v>
      </c>
      <c r="Q78" s="59">
        <f t="shared" si="158"/>
        <v>30</v>
      </c>
      <c r="R78" s="59">
        <f t="shared" si="159"/>
        <v>38</v>
      </c>
      <c r="S78" s="59" t="str">
        <f>IFERROR(VLOOKUP(MID(N78,Q78,R78-Q78),[5]skilldef!$C:$D,2,FALSE),"-") &amp; " / " &amp; IFERROR(VLOOKUP(MID(N78,O78,P78-O78),[5]skilldef!$A:$B,2,FALSE),"-")</f>
        <v>味方単体に / -</v>
      </c>
      <c r="T78" s="46" t="str">
        <f t="shared" si="160"/>
        <v>none</v>
      </c>
      <c r="U78" s="59" t="e">
        <f t="shared" si="161"/>
        <v>#VALUE!</v>
      </c>
      <c r="V78" s="59">
        <f t="shared" si="162"/>
        <v>4</v>
      </c>
      <c r="W78" s="59" t="e">
        <f t="shared" si="163"/>
        <v>#VALUE!</v>
      </c>
      <c r="X78" s="59" t="e">
        <f t="shared" si="164"/>
        <v>#VALUE!</v>
      </c>
      <c r="Y78" s="59" t="str">
        <f>IFERROR(VLOOKUP(MID(T78,W78,X78-W78),[5]skilldef!$C:$D,2,FALSE),"-") &amp; " / " &amp; IFERROR(VLOOKUP(MID(T78,U78,V78-U78),[5]skilldef!$A:$B,2,FALSE),"-")</f>
        <v>- / -</v>
      </c>
      <c r="Z78" s="48"/>
      <c r="AA78" s="49"/>
      <c r="AB78" s="48"/>
    </row>
    <row r="79" spans="1:28" ht="21" customHeight="1" x14ac:dyDescent="0.15">
      <c r="A79" s="116">
        <v>40042925</v>
      </c>
      <c r="B79" s="109" t="s">
        <v>513</v>
      </c>
      <c r="C79" s="110">
        <v>3</v>
      </c>
      <c r="D79" s="110" t="s">
        <v>380</v>
      </c>
      <c r="E79" s="111" t="s">
        <v>512</v>
      </c>
      <c r="F79" s="111" t="s">
        <v>323</v>
      </c>
      <c r="G79" s="59" t="str">
        <f t="shared" si="166"/>
        <v>[effect:enemy_message, val1:1.2, val2:1.2]</v>
      </c>
      <c r="H79" s="59">
        <f t="shared" si="151"/>
        <v>9</v>
      </c>
      <c r="I79" s="59">
        <f t="shared" si="152"/>
        <v>22</v>
      </c>
      <c r="J79" s="59" t="e">
        <f t="shared" si="153"/>
        <v>#VALUE!</v>
      </c>
      <c r="K79" s="59">
        <f t="shared" si="154"/>
        <v>32</v>
      </c>
      <c r="L79" s="59" t="str">
        <f>IFERROR(VLOOKUP(MID(G79,J79,K79-J79),[5]skilldef!$C:$D,2,FALSE),"-") &amp; " / " &amp; IFERROR(VLOOKUP(MID(G79,H79,I79-H79),[5]skilldef!$A:$B,2,FALSE),"-")</f>
        <v>- / -</v>
      </c>
      <c r="M79" s="59" t="str">
        <f t="shared" si="171"/>
        <v>[effect:freq_turn, target:myself, turn:-1, val:1, animation:enemy_freq_turn]</v>
      </c>
      <c r="N79" s="46" t="str">
        <f t="shared" si="194"/>
        <v>[effect:freq_turn, target:myself, turn:-1, val:1, animation:enemy_freq_turn]</v>
      </c>
      <c r="O79" s="59">
        <f t="shared" si="156"/>
        <v>9</v>
      </c>
      <c r="P79" s="59">
        <f t="shared" si="157"/>
        <v>18</v>
      </c>
      <c r="Q79" s="59">
        <f t="shared" si="158"/>
        <v>27</v>
      </c>
      <c r="R79" s="59">
        <f t="shared" si="159"/>
        <v>33</v>
      </c>
      <c r="S79" s="59" t="str">
        <f>IFERROR(VLOOKUP(MID(N79,Q79,R79-Q79),[5]skilldef!$C:$D,2,FALSE),"-") &amp; " / " &amp; IFERROR(VLOOKUP(MID(N79,O79,P79-O79),[5]skilldef!$A:$B,2,FALSE),"-")</f>
        <v>自分自身に / 攻撃頻度がUP</v>
      </c>
      <c r="T79" s="46" t="str">
        <f t="shared" si="160"/>
        <v>none</v>
      </c>
      <c r="U79" s="59" t="e">
        <f t="shared" si="161"/>
        <v>#VALUE!</v>
      </c>
      <c r="V79" s="59">
        <f t="shared" si="162"/>
        <v>4</v>
      </c>
      <c r="W79" s="59" t="e">
        <f t="shared" si="163"/>
        <v>#VALUE!</v>
      </c>
      <c r="X79" s="59" t="e">
        <f t="shared" si="164"/>
        <v>#VALUE!</v>
      </c>
      <c r="Y79" s="59" t="str">
        <f>IFERROR(VLOOKUP(MID(T79,W79,X79-W79),[5]skilldef!$C:$D,2,FALSE),"-") &amp; " / " &amp; IFERROR(VLOOKUP(MID(T79,U79,V79-U79),[5]skilldef!$A:$B,2,FALSE),"-")</f>
        <v>- / -</v>
      </c>
      <c r="Z79" s="48"/>
      <c r="AA79" s="49"/>
      <c r="AB79" s="48"/>
    </row>
    <row r="80" spans="1:28" ht="21" customHeight="1" x14ac:dyDescent="0.15">
      <c r="A80" s="113">
        <v>40042011</v>
      </c>
      <c r="B80" s="97" t="s">
        <v>548</v>
      </c>
      <c r="C80" s="98">
        <v>3</v>
      </c>
      <c r="D80" s="98" t="s">
        <v>380</v>
      </c>
      <c r="E80" s="99" t="s">
        <v>509</v>
      </c>
      <c r="F80" s="99" t="s">
        <v>547</v>
      </c>
      <c r="G80" s="59" t="str">
        <f t="shared" si="166"/>
        <v>[effect:enemy_message, val1:1.5, val2:4.2]</v>
      </c>
      <c r="H80" s="59">
        <f t="shared" si="151"/>
        <v>9</v>
      </c>
      <c r="I80" s="59">
        <f t="shared" si="152"/>
        <v>22</v>
      </c>
      <c r="J80" s="59" t="e">
        <f t="shared" si="153"/>
        <v>#VALUE!</v>
      </c>
      <c r="K80" s="59">
        <f t="shared" si="154"/>
        <v>32</v>
      </c>
      <c r="L80" s="59" t="str">
        <f>IFERROR(VLOOKUP(MID(G80,J80,K80-J80),[5]skilldef!$C:$D,2,FALSE),"-") &amp; " / " &amp; IFERROR(VLOOKUP(MID(G80,H80,I80-H80),[5]skilldef!$A:$B,2,FALSE),"-")</f>
        <v>- / -</v>
      </c>
      <c r="M80" s="59" t="str">
        <f t="shared" si="171"/>
        <v>[effect:force_change_block, new_block:damage, target:block_red, color:block_red, count:8, val:0.05, animation:change_block],[effect:force_change_block,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N80" s="46" t="str">
        <f>IFERROR(LEFT(M80,FIND("],",M80)+S91),M80)</f>
        <v>[effect:force_change_block, new_block:damage, target:block_red, color:block_red, count:8, val:0.05, animation:change_block],[effect:force_change_block,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O80" s="59">
        <f t="shared" si="156"/>
        <v>9</v>
      </c>
      <c r="P80" s="59">
        <f t="shared" si="157"/>
        <v>27</v>
      </c>
      <c r="Q80" s="59">
        <f t="shared" si="158"/>
        <v>54</v>
      </c>
      <c r="R80" s="59">
        <f t="shared" si="159"/>
        <v>45</v>
      </c>
      <c r="S80" s="59" t="str">
        <f>IFERROR(VLOOKUP(MID(N80,Q80,R80-Q80),[5]skilldef!$C:$D,2,FALSE),"-") &amp; " / " &amp; IFERROR(VLOOKUP(MID(N80,O80,P80-O80),[5]skilldef!$A:$B,2,FALSE),"-")</f>
        <v>- / -</v>
      </c>
      <c r="T80" s="46" t="str">
        <f t="shared" si="160"/>
        <v>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U80" s="59">
        <f t="shared" si="161"/>
        <v>9</v>
      </c>
      <c r="V80" s="59">
        <f t="shared" si="162"/>
        <v>27</v>
      </c>
      <c r="W80" s="59">
        <f t="shared" si="163"/>
        <v>54</v>
      </c>
      <c r="X80" s="59">
        <f t="shared" si="164"/>
        <v>45</v>
      </c>
      <c r="Y80" s="59" t="str">
        <f>IFERROR(VLOOKUP(MID(T80,W80,X80-W80),[5]skilldef!$C:$D,2,FALSE),"-") &amp; " / " &amp; IFERROR(VLOOKUP(MID(T80,U80,V80-U80),[5]skilldef!$A:$B,2,FALSE),"-")</f>
        <v>- / -</v>
      </c>
      <c r="Z80" s="48"/>
      <c r="AA80" s="49"/>
      <c r="AB80" s="48"/>
    </row>
    <row r="81" spans="1:28" ht="21" customHeight="1" x14ac:dyDescent="0.15">
      <c r="A81" s="113">
        <v>40042012</v>
      </c>
      <c r="B81" s="97" t="s">
        <v>549</v>
      </c>
      <c r="C81" s="98">
        <v>3</v>
      </c>
      <c r="D81" s="98" t="s">
        <v>380</v>
      </c>
      <c r="E81" s="99" t="s">
        <v>404</v>
      </c>
      <c r="F81" s="99" t="s">
        <v>547</v>
      </c>
      <c r="G81" s="59" t="str">
        <f t="shared" si="166"/>
        <v>[effect:enemy_message, val1:1.2, val2:4.2]</v>
      </c>
      <c r="H81" s="59">
        <f t="shared" si="151"/>
        <v>9</v>
      </c>
      <c r="I81" s="59">
        <f t="shared" si="152"/>
        <v>22</v>
      </c>
      <c r="J81" s="59" t="e">
        <f t="shared" si="153"/>
        <v>#VALUE!</v>
      </c>
      <c r="K81" s="59">
        <f t="shared" si="154"/>
        <v>32</v>
      </c>
      <c r="L81" s="59" t="str">
        <f>IFERROR(VLOOKUP(MID(G81,J81,K81-J81),[5]skilldef!$C:$D,2,FALSE),"-") &amp; " / " &amp; IFERROR(VLOOKUP(MID(G81,H81,I81-H81),[5]skilldef!$A:$B,2,FALSE),"-")</f>
        <v>- / -</v>
      </c>
      <c r="M81" s="59" t="str">
        <f t="shared" si="171"/>
        <v>[effect:force_change_block, new_block:damage, target:block_red, color:block_red, count:8, val:0.05, animation:change_block],[effect:force_change_block,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N81" s="46" t="str">
        <f>IFERROR(LEFT(M81,FIND("],",M81)+S92),M81)</f>
        <v>[effect:force_change_block, new_block:damage, target:block_red, color:block_red, count:8, val:0.05, animation:change_block],[effect:force_change_block,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O81" s="59">
        <f t="shared" si="156"/>
        <v>9</v>
      </c>
      <c r="P81" s="59">
        <f t="shared" si="157"/>
        <v>27</v>
      </c>
      <c r="Q81" s="59">
        <f t="shared" si="158"/>
        <v>54</v>
      </c>
      <c r="R81" s="59">
        <f t="shared" si="159"/>
        <v>45</v>
      </c>
      <c r="S81" s="59" t="str">
        <f>IFERROR(VLOOKUP(MID(N81,Q81,R81-Q81),[5]skilldef!$C:$D,2,FALSE),"-") &amp; " / " &amp; IFERROR(VLOOKUP(MID(N81,O81,P81-O81),[5]skilldef!$A:$B,2,FALSE),"-")</f>
        <v>- / -</v>
      </c>
      <c r="T81" s="46" t="str">
        <f t="shared" si="160"/>
        <v>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U81" s="59">
        <f t="shared" si="161"/>
        <v>9</v>
      </c>
      <c r="V81" s="59">
        <f t="shared" si="162"/>
        <v>27</v>
      </c>
      <c r="W81" s="59">
        <f t="shared" si="163"/>
        <v>54</v>
      </c>
      <c r="X81" s="59">
        <f t="shared" si="164"/>
        <v>45</v>
      </c>
      <c r="Y81" s="59" t="str">
        <f>IFERROR(VLOOKUP(MID(T81,W81,X81-W81),[5]skilldef!$C:$D,2,FALSE),"-") &amp; " / " &amp; IFERROR(VLOOKUP(MID(T81,U81,V81-U81),[5]skilldef!$A:$B,2,FALSE),"-")</f>
        <v>- / -</v>
      </c>
      <c r="Z81" s="48"/>
      <c r="AA81" s="49"/>
      <c r="AB81" s="48"/>
    </row>
    <row r="82" spans="1:28" ht="21" customHeight="1" x14ac:dyDescent="0.15">
      <c r="A82" s="113">
        <v>40042013</v>
      </c>
      <c r="B82" s="97" t="s">
        <v>549</v>
      </c>
      <c r="C82" s="98">
        <v>3</v>
      </c>
      <c r="D82" s="98" t="s">
        <v>380</v>
      </c>
      <c r="E82" s="99" t="s">
        <v>404</v>
      </c>
      <c r="F82" s="99" t="s">
        <v>547</v>
      </c>
      <c r="G82" s="59" t="str">
        <f t="shared" si="166"/>
        <v>[effect:enemy_message, val1:1.2, val2:4.2]</v>
      </c>
      <c r="H82" s="59">
        <f t="shared" ref="H82" si="195">FIND("effect:",G82)+7</f>
        <v>9</v>
      </c>
      <c r="I82" s="59">
        <f t="shared" ref="I82" si="196">IFERROR(FIND(",",G82),LEN(G82))</f>
        <v>22</v>
      </c>
      <c r="J82" s="59" t="e">
        <f t="shared" ref="J82" si="197">FIND("target:",G82)+7</f>
        <v>#VALUE!</v>
      </c>
      <c r="K82" s="59">
        <f t="shared" ref="K82" si="198">FIND(",",G82,I82+1)</f>
        <v>32</v>
      </c>
      <c r="L82" s="59" t="str">
        <f>IFERROR(VLOOKUP(MID(G82,J82,K82-J82),[5]skilldef!$C:$D,2,FALSE),"-") &amp; " / " &amp; IFERROR(VLOOKUP(MID(G82,H82,I82-H82),[5]skilldef!$A:$B,2,FALSE),"-")</f>
        <v>- / -</v>
      </c>
      <c r="M82" s="59" t="str">
        <f t="shared" si="171"/>
        <v>[effect:force_change_block, new_block:damage, target:block_red, color:block_red, count:8, val:0.05, animation:change_block],[effect:force_change_block,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N82" s="46" t="str">
        <f>IFERROR(LEFT(M82,FIND("],",M82)+S93),M82)</f>
        <v>[effect:force_change_block, new_block:damage, target:block_red, color:block_red, count:8, val:0.05, animation:change_block],[effect:force_change_block,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O82" s="59">
        <f t="shared" ref="O82" si="199">FIND("effect:",N82)+7</f>
        <v>9</v>
      </c>
      <c r="P82" s="59">
        <f t="shared" ref="P82" si="200">IFERROR(FIND(",",N82),LEN(N82))</f>
        <v>27</v>
      </c>
      <c r="Q82" s="59">
        <f t="shared" ref="Q82" si="201">FIND("target:",N82)+7</f>
        <v>54</v>
      </c>
      <c r="R82" s="59">
        <f t="shared" ref="R82" si="202">FIND(",",N82,P82+1)</f>
        <v>45</v>
      </c>
      <c r="S82" s="59" t="str">
        <f>IFERROR(VLOOKUP(MID(N82,Q82,R82-Q82),[5]skilldef!$C:$D,2,FALSE),"-") &amp; " / " &amp; IFERROR(VLOOKUP(MID(N82,O82,P82-O82),[5]skilldef!$A:$B,2,FALSE),"-")</f>
        <v>- / -</v>
      </c>
      <c r="T82" s="46" t="str">
        <f t="shared" ref="T82" si="203">IFERROR(RIGHT(M82,LEN(M82)-FIND("],",M82)-1),"none")</f>
        <v>[effect:force_change_block, new_block:damage, target:block_blue, color:block_blue, count:8, val:0.05, animation:change_block],[effect:force_change_block, new_block:damage, target:block_green, color:block_green, count:8, val:0.05, animation:change_block],[effect:remove_enhancement, target:unit_all, target_effect:all, target_type:buff, animation:frozen_wave],[effect:tolerance, target:myself, turn:-1, count:-1, tolerance_effect:all, animation:enemy_tolerance]</v>
      </c>
      <c r="U82" s="59">
        <f t="shared" ref="U82" si="204">FIND("effect:",T82)+7</f>
        <v>9</v>
      </c>
      <c r="V82" s="59">
        <f t="shared" ref="V82" si="205">IFERROR(FIND(",",T82),LEN(T82))</f>
        <v>27</v>
      </c>
      <c r="W82" s="59">
        <f t="shared" ref="W82" si="206">FIND("target:",T82)+7</f>
        <v>54</v>
      </c>
      <c r="X82" s="59">
        <f t="shared" ref="X82" si="207">FIND(",",T82,V82+1)</f>
        <v>45</v>
      </c>
      <c r="Y82" s="59" t="str">
        <f>IFERROR(VLOOKUP(MID(T82,W82,X82-W82),[5]skilldef!$C:$D,2,FALSE),"-") &amp; " / " &amp; IFERROR(VLOOKUP(MID(T82,U82,V82-U82),[5]skilldef!$A:$B,2,FALSE),"-")</f>
        <v>- / -</v>
      </c>
      <c r="Z82" s="48"/>
      <c r="AA82" s="49"/>
      <c r="AB82" s="48"/>
    </row>
    <row r="83" spans="1:28" ht="21" customHeight="1" x14ac:dyDescent="0.15">
      <c r="A83" s="113">
        <v>40042014</v>
      </c>
      <c r="B83" s="97" t="s">
        <v>490</v>
      </c>
      <c r="C83" s="98">
        <v>3</v>
      </c>
      <c r="D83" s="98" t="s">
        <v>380</v>
      </c>
      <c r="E83" s="99" t="s">
        <v>405</v>
      </c>
      <c r="F83" s="99" t="s">
        <v>458</v>
      </c>
      <c r="G83" s="59" t="str">
        <f t="shared" si="166"/>
        <v>[effect:enemy_message, val1:1.4, val2:1.6]</v>
      </c>
      <c r="H83" s="59">
        <f t="shared" si="151"/>
        <v>9</v>
      </c>
      <c r="I83" s="59">
        <f t="shared" si="152"/>
        <v>22</v>
      </c>
      <c r="J83" s="59" t="e">
        <f t="shared" si="153"/>
        <v>#VALUE!</v>
      </c>
      <c r="K83" s="59">
        <f t="shared" si="154"/>
        <v>32</v>
      </c>
      <c r="L83" s="59" t="str">
        <f>IFERROR(VLOOKUP(MID(G83,J83,K83-J83),[5]skilldef!$C:$D,2,FALSE),"-") &amp; " / " &amp; IFERROR(VLOOKUP(MID(G83,H83,I83-H83),[5]skilldef!$A:$B,2,FALSE),"-")</f>
        <v>- / -</v>
      </c>
      <c r="M83" s="59" t="str">
        <f t="shared" si="171"/>
        <v>[effect:break_attack, target:unit_one, val:0.05, lowest_val:8000, count:-1, color:yellow, block_color:block_red, block01:damage]</v>
      </c>
      <c r="N83" s="46" t="str">
        <f t="shared" ref="N83:N102" si="208">IFERROR(LEFT(M83,FIND("],",M83)+S93),M83)</f>
        <v>[effect:break_attack, target:unit_one, val:0.05, lowest_val:8000, count:-1, color:yellow, block_color:block_red, block01:damage]</v>
      </c>
      <c r="O83" s="59">
        <f t="shared" si="156"/>
        <v>9</v>
      </c>
      <c r="P83" s="59">
        <f t="shared" si="157"/>
        <v>21</v>
      </c>
      <c r="Q83" s="59">
        <f t="shared" si="158"/>
        <v>30</v>
      </c>
      <c r="R83" s="59">
        <f t="shared" si="159"/>
        <v>38</v>
      </c>
      <c r="S83" s="59" t="str">
        <f>IFERROR(VLOOKUP(MID(N83,Q83,R83-Q83),[5]skilldef!$C:$D,2,FALSE),"-") &amp; " / " &amp; IFERROR(VLOOKUP(MID(N83,O83,P83-O83),[5]skilldef!$A:$B,2,FALSE),"-")</f>
        <v>味方単体に / -</v>
      </c>
      <c r="T83" s="46" t="str">
        <f t="shared" si="160"/>
        <v>none</v>
      </c>
      <c r="U83" s="59" t="e">
        <f t="shared" si="161"/>
        <v>#VALUE!</v>
      </c>
      <c r="V83" s="59">
        <f t="shared" si="162"/>
        <v>4</v>
      </c>
      <c r="W83" s="59" t="e">
        <f t="shared" si="163"/>
        <v>#VALUE!</v>
      </c>
      <c r="X83" s="59" t="e">
        <f t="shared" si="164"/>
        <v>#VALUE!</v>
      </c>
      <c r="Y83" s="59" t="str">
        <f>IFERROR(VLOOKUP(MID(T83,W83,X83-W83),[5]skilldef!$C:$D,2,FALSE),"-") &amp; " / " &amp; IFERROR(VLOOKUP(MID(T83,U83,V83-U83),[5]skilldef!$A:$B,2,FALSE),"-")</f>
        <v>- / -</v>
      </c>
      <c r="Z83" s="48"/>
      <c r="AA83" s="49"/>
      <c r="AB83" s="48"/>
    </row>
    <row r="84" spans="1:28" ht="21" customHeight="1" x14ac:dyDescent="0.15">
      <c r="A84" s="113">
        <v>40042015</v>
      </c>
      <c r="B84" s="97" t="s">
        <v>491</v>
      </c>
      <c r="C84" s="98">
        <v>3</v>
      </c>
      <c r="D84" s="98" t="s">
        <v>380</v>
      </c>
      <c r="E84" s="99" t="s">
        <v>406</v>
      </c>
      <c r="F84" s="99" t="s">
        <v>459</v>
      </c>
      <c r="G84" s="59" t="str">
        <f t="shared" si="166"/>
        <v>[effect:enemy_message, val1:1.2, val2:1.6]</v>
      </c>
      <c r="H84" s="59">
        <f t="shared" si="151"/>
        <v>9</v>
      </c>
      <c r="I84" s="59">
        <f t="shared" si="152"/>
        <v>22</v>
      </c>
      <c r="J84" s="59" t="e">
        <f t="shared" si="153"/>
        <v>#VALUE!</v>
      </c>
      <c r="K84" s="59">
        <f t="shared" si="154"/>
        <v>32</v>
      </c>
      <c r="L84" s="59" t="str">
        <f>IFERROR(VLOOKUP(MID(G84,J84,K84-J84),[5]skilldef!$C:$D,2,FALSE),"-") &amp; " / " &amp; IFERROR(VLOOKUP(MID(G84,H84,I84-H84),[5]skilldef!$A:$B,2,FALSE),"-")</f>
        <v>- / -</v>
      </c>
      <c r="M84" s="59" t="str">
        <f t="shared" si="171"/>
        <v>[effect:break_attack, target:unit_one, val:0.05, lowest_val:8000, count:-1, color:yellow, block_color:block_blue, block01:damage]</v>
      </c>
      <c r="N84" s="46" t="str">
        <f t="shared" si="208"/>
        <v>[effect:break_attack, target:unit_one, val:0.05, lowest_val:8000, count:-1, color:yellow, block_color:block_blue, block01:damage]</v>
      </c>
      <c r="O84" s="59">
        <f t="shared" si="156"/>
        <v>9</v>
      </c>
      <c r="P84" s="59">
        <f t="shared" si="157"/>
        <v>21</v>
      </c>
      <c r="Q84" s="59">
        <f t="shared" si="158"/>
        <v>30</v>
      </c>
      <c r="R84" s="59">
        <f t="shared" si="159"/>
        <v>38</v>
      </c>
      <c r="S84" s="59" t="str">
        <f>IFERROR(VLOOKUP(MID(N84,Q84,R84-Q84),[5]skilldef!$C:$D,2,FALSE),"-") &amp; " / " &amp; IFERROR(VLOOKUP(MID(N84,O84,P84-O84),[5]skilldef!$A:$B,2,FALSE),"-")</f>
        <v>味方単体に / -</v>
      </c>
      <c r="T84" s="46" t="str">
        <f t="shared" si="160"/>
        <v>none</v>
      </c>
      <c r="U84" s="59" t="e">
        <f t="shared" si="161"/>
        <v>#VALUE!</v>
      </c>
      <c r="V84" s="59">
        <f t="shared" si="162"/>
        <v>4</v>
      </c>
      <c r="W84" s="59" t="e">
        <f t="shared" si="163"/>
        <v>#VALUE!</v>
      </c>
      <c r="X84" s="59" t="e">
        <f t="shared" si="164"/>
        <v>#VALUE!</v>
      </c>
      <c r="Y84" s="59" t="str">
        <f>IFERROR(VLOOKUP(MID(T84,W84,X84-W84),[5]skilldef!$C:$D,2,FALSE),"-") &amp; " / " &amp; IFERROR(VLOOKUP(MID(T84,U84,V84-U84),[5]skilldef!$A:$B,2,FALSE),"-")</f>
        <v>- / -</v>
      </c>
      <c r="Z84" s="48"/>
      <c r="AA84" s="49"/>
      <c r="AB84" s="48"/>
    </row>
    <row r="85" spans="1:28" ht="21" customHeight="1" x14ac:dyDescent="0.15">
      <c r="A85" s="113">
        <v>40042016</v>
      </c>
      <c r="B85" s="97" t="s">
        <v>492</v>
      </c>
      <c r="C85" s="98">
        <v>3</v>
      </c>
      <c r="D85" s="98" t="s">
        <v>380</v>
      </c>
      <c r="E85" s="99" t="s">
        <v>407</v>
      </c>
      <c r="F85" s="99" t="s">
        <v>460</v>
      </c>
      <c r="G85" s="59" t="str">
        <f t="shared" si="166"/>
        <v>[effect:enemy_message, val1:1.5, val2:1.6]</v>
      </c>
      <c r="H85" s="59">
        <f t="shared" si="151"/>
        <v>9</v>
      </c>
      <c r="I85" s="59">
        <f t="shared" si="152"/>
        <v>22</v>
      </c>
      <c r="J85" s="59" t="e">
        <f t="shared" si="153"/>
        <v>#VALUE!</v>
      </c>
      <c r="K85" s="59">
        <f t="shared" si="154"/>
        <v>32</v>
      </c>
      <c r="L85" s="59" t="str">
        <f>IFERROR(VLOOKUP(MID(G85,J85,K85-J85),[5]skilldef!$C:$D,2,FALSE),"-") &amp; " / " &amp; IFERROR(VLOOKUP(MID(G85,H85,I85-H85),[5]skilldef!$A:$B,2,FALSE),"-")</f>
        <v>- / -</v>
      </c>
      <c r="M85" s="59" t="str">
        <f t="shared" si="171"/>
        <v>[effect:break_attack, target:unit_one, val:0.05, lowest_val:8000, count:-1, color:yellow, block_color:block_green, block01:damage]</v>
      </c>
      <c r="N85" s="46" t="str">
        <f t="shared" si="208"/>
        <v>[effect:break_attack, target:unit_one, val:0.05, lowest_val:8000, count:-1, color:yellow, block_color:block_green, block01:damage]</v>
      </c>
      <c r="O85" s="59">
        <f t="shared" si="156"/>
        <v>9</v>
      </c>
      <c r="P85" s="59">
        <f t="shared" si="157"/>
        <v>21</v>
      </c>
      <c r="Q85" s="59">
        <f t="shared" si="158"/>
        <v>30</v>
      </c>
      <c r="R85" s="59">
        <f t="shared" si="159"/>
        <v>38</v>
      </c>
      <c r="S85" s="59" t="str">
        <f>IFERROR(VLOOKUP(MID(N85,Q85,R85-Q85),[5]skilldef!$C:$D,2,FALSE),"-") &amp; " / " &amp; IFERROR(VLOOKUP(MID(N85,O85,P85-O85),[5]skilldef!$A:$B,2,FALSE),"-")</f>
        <v>味方単体に / -</v>
      </c>
      <c r="T85" s="46" t="str">
        <f t="shared" si="160"/>
        <v>none</v>
      </c>
      <c r="U85" s="59" t="e">
        <f t="shared" si="161"/>
        <v>#VALUE!</v>
      </c>
      <c r="V85" s="59">
        <f t="shared" si="162"/>
        <v>4</v>
      </c>
      <c r="W85" s="59" t="e">
        <f t="shared" si="163"/>
        <v>#VALUE!</v>
      </c>
      <c r="X85" s="59" t="e">
        <f t="shared" si="164"/>
        <v>#VALUE!</v>
      </c>
      <c r="Y85" s="59" t="str">
        <f>IFERROR(VLOOKUP(MID(T85,W85,X85-W85),[5]skilldef!$C:$D,2,FALSE),"-") &amp; " / " &amp; IFERROR(VLOOKUP(MID(T85,U85,V85-U85),[5]skilldef!$A:$B,2,FALSE),"-")</f>
        <v>- / -</v>
      </c>
      <c r="Z85" s="48"/>
      <c r="AA85" s="49"/>
      <c r="AB85" s="48"/>
    </row>
    <row r="86" spans="1:28" ht="21" customHeight="1" x14ac:dyDescent="0.15">
      <c r="A86" s="113">
        <v>40042017</v>
      </c>
      <c r="B86" s="97" t="s">
        <v>493</v>
      </c>
      <c r="C86" s="98">
        <v>3</v>
      </c>
      <c r="D86" s="98" t="s">
        <v>380</v>
      </c>
      <c r="E86" s="99" t="s">
        <v>408</v>
      </c>
      <c r="F86" s="99" t="s">
        <v>342</v>
      </c>
      <c r="G86" s="59" t="str">
        <f t="shared" si="166"/>
        <v>[effect:enemy_message, val1:2.0, val2:1.2]</v>
      </c>
      <c r="H86" s="59">
        <f t="shared" si="151"/>
        <v>9</v>
      </c>
      <c r="I86" s="59">
        <f t="shared" si="152"/>
        <v>22</v>
      </c>
      <c r="J86" s="59" t="e">
        <f t="shared" si="153"/>
        <v>#VALUE!</v>
      </c>
      <c r="K86" s="59">
        <f t="shared" si="154"/>
        <v>32</v>
      </c>
      <c r="L86" s="59" t="str">
        <f>IFERROR(VLOOKUP(MID(G86,J86,K86-J86),[5]skilldef!$C:$D,2,FALSE),"-") &amp; " / " &amp; IFERROR(VLOOKUP(MID(G86,H86,I86-H86),[5]skilldef!$A:$B,2,FALSE),"-")</f>
        <v>- / -</v>
      </c>
      <c r="M86" s="59" t="str">
        <f t="shared" si="171"/>
        <v>[effect:fix_speed, target:myself, turn:2],[effect:enhance_enemy, target:myself, turn:-1, status:attack, val:2, calc:mul, animation:enemy_enhance_attack]</v>
      </c>
      <c r="N86" s="46" t="str">
        <f t="shared" si="208"/>
        <v>[effect:fix_speed, target:myself, turn:2],[effect:enhance_enemy, target:myself, turn:-1, status:attack, val:2, calc:mul, animation:enemy_enhance_attack]</v>
      </c>
      <c r="O86" s="59">
        <f t="shared" si="156"/>
        <v>9</v>
      </c>
      <c r="P86" s="59">
        <f t="shared" si="157"/>
        <v>18</v>
      </c>
      <c r="Q86" s="59">
        <f t="shared" si="158"/>
        <v>27</v>
      </c>
      <c r="R86" s="59">
        <f t="shared" si="159"/>
        <v>33</v>
      </c>
      <c r="S86" s="59" t="str">
        <f>IFERROR(VLOOKUP(MID(N86,Q86,R86-Q86),[5]skilldef!$C:$D,2,FALSE),"-") &amp; " / " &amp; IFERROR(VLOOKUP(MID(N86,O86,P86-O86),[5]skilldef!$A:$B,2,FALSE),"-")</f>
        <v>自分自身に / 行動値設定</v>
      </c>
      <c r="T86" s="46" t="str">
        <f t="shared" si="160"/>
        <v>[effect:enhance_enemy, target:myself, turn:-1, status:attack, val:2, calc:mul, animation:enemy_enhance_attack]</v>
      </c>
      <c r="U86" s="59">
        <f t="shared" si="161"/>
        <v>9</v>
      </c>
      <c r="V86" s="59">
        <f t="shared" si="162"/>
        <v>22</v>
      </c>
      <c r="W86" s="59">
        <f t="shared" si="163"/>
        <v>31</v>
      </c>
      <c r="X86" s="59">
        <f t="shared" si="164"/>
        <v>37</v>
      </c>
      <c r="Y86" s="59" t="str">
        <f>IFERROR(VLOOKUP(MID(T86,W86,X86-W86),[5]skilldef!$C:$D,2,FALSE),"-") &amp; " / " &amp; IFERROR(VLOOKUP(MID(T86,U86,V86-U86),[5]skilldef!$A:$B,2,FALSE),"-")</f>
        <v>自分自身に / ステータス強化</v>
      </c>
      <c r="Z86" s="48"/>
      <c r="AA86" s="49"/>
      <c r="AB86" s="48"/>
    </row>
    <row r="87" spans="1:28" ht="21" customHeight="1" x14ac:dyDescent="0.15">
      <c r="A87" s="113">
        <v>40042018</v>
      </c>
      <c r="B87" s="97" t="s">
        <v>495</v>
      </c>
      <c r="C87" s="98">
        <v>3</v>
      </c>
      <c r="D87" s="98" t="s">
        <v>380</v>
      </c>
      <c r="E87" s="99" t="s">
        <v>409</v>
      </c>
      <c r="F87" s="99" t="s">
        <v>462</v>
      </c>
      <c r="G87" s="59" t="str">
        <f t="shared" si="166"/>
        <v>[effect:enemy_message, val1:1.2, val2:2.4]</v>
      </c>
      <c r="H87" s="59">
        <f t="shared" si="151"/>
        <v>9</v>
      </c>
      <c r="I87" s="59">
        <f t="shared" si="152"/>
        <v>22</v>
      </c>
      <c r="J87" s="59" t="e">
        <f t="shared" si="153"/>
        <v>#VALUE!</v>
      </c>
      <c r="K87" s="59">
        <f t="shared" si="154"/>
        <v>32</v>
      </c>
      <c r="L87" s="59" t="str">
        <f>IFERROR(VLOOKUP(MID(G87,J87,K87-J87),[5]skilldef!$C:$D,2,FALSE),"-") &amp; " / " &amp; IFERROR(VLOOKUP(MID(G87,H87,I87-H87),[5]skilldef!$A:$B,2,FALSE),"-")</f>
        <v>- / -</v>
      </c>
      <c r="M87" s="59" t="str">
        <f t="shared" si="171"/>
        <v>[effect:force_change_block, new_block:damage, target:block_yellow,  count:3, val:0.1, animation:change_block],[effect:spread, val:0.2]</v>
      </c>
      <c r="N87" s="46" t="str">
        <f t="shared" si="208"/>
        <v>[effect:force_change_block, new_block:damage, target:block_yellow,  count:3, val:0.1, animation:change_block],[effect:spread, val:0.2]</v>
      </c>
      <c r="O87" s="59">
        <f t="shared" si="156"/>
        <v>9</v>
      </c>
      <c r="P87" s="59">
        <f t="shared" si="157"/>
        <v>27</v>
      </c>
      <c r="Q87" s="59">
        <f t="shared" si="158"/>
        <v>54</v>
      </c>
      <c r="R87" s="59">
        <f t="shared" si="159"/>
        <v>45</v>
      </c>
      <c r="S87" s="59" t="str">
        <f>IFERROR(VLOOKUP(MID(N87,Q87,R87-Q87),[5]skilldef!$C:$D,2,FALSE),"-") &amp; " / " &amp; IFERROR(VLOOKUP(MID(N87,O87,P87-O87),[5]skilldef!$A:$B,2,FALSE),"-")</f>
        <v>- / -</v>
      </c>
      <c r="T87" s="46" t="str">
        <f t="shared" si="160"/>
        <v>[effect:spread, val:0.2]</v>
      </c>
      <c r="U87" s="59">
        <f t="shared" si="161"/>
        <v>9</v>
      </c>
      <c r="V87" s="59">
        <f t="shared" si="162"/>
        <v>15</v>
      </c>
      <c r="W87" s="59" t="e">
        <f t="shared" si="163"/>
        <v>#VALUE!</v>
      </c>
      <c r="X87" s="59" t="e">
        <f t="shared" si="164"/>
        <v>#VALUE!</v>
      </c>
      <c r="Y87" s="59" t="str">
        <f>IFERROR(VLOOKUP(MID(T87,W87,X87-W87),[5]skilldef!$C:$D,2,FALSE),"-") &amp; " / " &amp; IFERROR(VLOOKUP(MID(T87,U87,V87-U87),[5]skilldef!$A:$B,2,FALSE),"-")</f>
        <v>- / 全体攻撃</v>
      </c>
      <c r="Z87" s="48"/>
      <c r="AA87" s="49"/>
      <c r="AB87" s="48"/>
    </row>
    <row r="88" spans="1:28" ht="21" customHeight="1" x14ac:dyDescent="0.15">
      <c r="A88" s="114">
        <v>40042021</v>
      </c>
      <c r="B88" s="103" t="s">
        <v>551</v>
      </c>
      <c r="C88" s="104">
        <v>3</v>
      </c>
      <c r="D88" s="104" t="s">
        <v>127</v>
      </c>
      <c r="E88" s="105" t="s">
        <v>410</v>
      </c>
      <c r="F88" s="105" t="s">
        <v>550</v>
      </c>
      <c r="G88" s="59" t="str">
        <f t="shared" si="166"/>
        <v>[effect:enemy_message, val1:2.2, val2:3.7]</v>
      </c>
      <c r="H88" s="59">
        <f t="shared" si="151"/>
        <v>9</v>
      </c>
      <c r="I88" s="59">
        <f t="shared" si="152"/>
        <v>22</v>
      </c>
      <c r="J88" s="59" t="e">
        <f t="shared" si="153"/>
        <v>#VALUE!</v>
      </c>
      <c r="K88" s="59">
        <f t="shared" si="154"/>
        <v>32</v>
      </c>
      <c r="L88" s="59" t="str">
        <f>IFERROR(VLOOKUP(MID(G88,J88,K88-J88),[5]skilldef!$C:$D,2,FALSE),"-") &amp; " / " &amp; IFERROR(VLOOKUP(MID(G88,H88,I88-H88),[5]skilldef!$A:$B,2,FALSE),"-")</f>
        <v>- / -</v>
      </c>
      <c r="M88" s="59" t="str">
        <f t="shared" si="171"/>
        <v>[effect:tolerance, target:myself, turn:-1, count:-1, tolerance_effect:all, animation:enemy_tolerance],[effect:force_change_block, new_block:time_bomb, target:block_all, ignore01:block_positive, ignore02:block_negative, color:block_heart, count:5, val:0.2, min_time_count:2, max_time_count:2, animation:change_block],[effect:force_change_block, new_block:time_bomb, target:block_all, ignore01:block_positive, ignore02:block_negative, color:block_yellow, count:5, val:0.2, min_time_count:2, max_time_count:2, animation:change_block],[effect:force_change_block, new_block:time_bomb, target:block_all, ignore01:block_positive, ignore02:block_negative, color:block_blue, count:5, val:0.2, min_time_count:2, max_time_count:2, animation:change_block]</v>
      </c>
      <c r="N88" s="46" t="str">
        <f t="shared" si="208"/>
        <v>[effect:tolerance, target:myself, turn:-1, count:-1, tolerance_effect:all, animation:enemy_tolerance],[effect:force_change_block, new_block:time_bomb, target:block_all, ignore01:block_positive, ignore02:block_negative, color:block_heart, count:5, val:0.2, min_time_count:2, max_time_count:2, animation:change_block],[effect:force_change_block, new_block:time_bomb, target:block_all, ignore01:block_positive, ignore02:block_negative, color:block_yellow, count:5, val:0.2, min_time_count:2, max_time_count:2, animation:change_block],[effect:force_change_block, new_block:time_bomb, target:block_all, ignore01:block_positive, ignore02:block_negative, color:block_blue, count:5, val:0.2, min_time_count:2, max_time_count:2, animation:change_block]</v>
      </c>
      <c r="O88" s="59">
        <f t="shared" si="156"/>
        <v>9</v>
      </c>
      <c r="P88" s="59">
        <f t="shared" si="157"/>
        <v>18</v>
      </c>
      <c r="Q88" s="59">
        <f t="shared" si="158"/>
        <v>27</v>
      </c>
      <c r="R88" s="59">
        <f t="shared" si="159"/>
        <v>33</v>
      </c>
      <c r="S88" s="59" t="str">
        <f>IFERROR(VLOOKUP(MID(N88,Q88,R88-Q88),[5]skilldef!$C:$D,2,FALSE),"-") &amp; " / " &amp; IFERROR(VLOOKUP(MID(N88,O88,P88-O88),[5]skilldef!$A:$B,2,FALSE),"-")</f>
        <v>自分自身に / 状態異常耐性</v>
      </c>
      <c r="T88" s="46" t="str">
        <f t="shared" si="160"/>
        <v>[effect:force_change_block, new_block:time_bomb, target:block_all, ignore01:block_positive, ignore02:block_negative, color:block_heart, count:5, val:0.2, min_time_count:2, max_time_count:2, animation:change_block],[effect:force_change_block, new_block:time_bomb, target:block_all, ignore01:block_positive, ignore02:block_negative, color:block_yellow, count:5, val:0.2, min_time_count:2, max_time_count:2, animation:change_block],[effect:force_change_block, new_block:time_bomb, target:block_all, ignore01:block_positive, ignore02:block_negative, color:block_blue, count:5, val:0.2, min_time_count:2, max_time_count:2, animation:change_block]</v>
      </c>
      <c r="U88" s="59">
        <f t="shared" si="161"/>
        <v>9</v>
      </c>
      <c r="V88" s="59">
        <f t="shared" si="162"/>
        <v>27</v>
      </c>
      <c r="W88" s="59">
        <f t="shared" si="163"/>
        <v>57</v>
      </c>
      <c r="X88" s="59">
        <f t="shared" si="164"/>
        <v>48</v>
      </c>
      <c r="Y88" s="59" t="str">
        <f>IFERROR(VLOOKUP(MID(T88,W88,X88-W88),[5]skilldef!$C:$D,2,FALSE),"-") &amp; " / " &amp; IFERROR(VLOOKUP(MID(T88,U88,V88-U88),[5]skilldef!$A:$B,2,FALSE),"-")</f>
        <v>- / -</v>
      </c>
      <c r="Z88" s="48"/>
      <c r="AA88" s="49"/>
      <c r="AB88" s="48"/>
    </row>
    <row r="89" spans="1:28" ht="21" customHeight="1" x14ac:dyDescent="0.15">
      <c r="A89" s="114">
        <v>40042022</v>
      </c>
      <c r="B89" s="103" t="s">
        <v>516</v>
      </c>
      <c r="C89" s="104">
        <v>3</v>
      </c>
      <c r="D89" s="104" t="s">
        <v>380</v>
      </c>
      <c r="E89" s="105" t="s">
        <v>411</v>
      </c>
      <c r="F89" s="105" t="s">
        <v>400</v>
      </c>
      <c r="G89" s="59" t="str">
        <f t="shared" si="166"/>
        <v>[effect:enemy_message, val1:1.3, val2:2.7]</v>
      </c>
      <c r="H89" s="59">
        <f t="shared" si="151"/>
        <v>9</v>
      </c>
      <c r="I89" s="59">
        <f t="shared" si="152"/>
        <v>22</v>
      </c>
      <c r="J89" s="59" t="e">
        <f t="shared" si="153"/>
        <v>#VALUE!</v>
      </c>
      <c r="K89" s="59">
        <f t="shared" si="154"/>
        <v>32</v>
      </c>
      <c r="L89" s="59" t="str">
        <f>IFERROR(VLOOKUP(MID(G89,J89,K89-J89),[5]skilldef!$C:$D,2,FALSE),"-") &amp; " / " &amp; IFERROR(VLOOKUP(MID(G89,H89,I89-H89),[5]skilldef!$A:$B,2,FALSE),"-")</f>
        <v>- / -</v>
      </c>
      <c r="M89" s="59" t="str">
        <f t="shared" si="171"/>
        <v>[effect:force_change_block, new_block:time_bomb, target:block_red, count:3, val:0.1, animation:change_block],[effect:spread, val:0.2]</v>
      </c>
      <c r="N89" s="46" t="str">
        <f t="shared" si="208"/>
        <v>[effect:force_change_block, new_block:time_bomb, target:block_red, count:3, val:0.1, animation:change_block],[effect:spread, val:0.2]</v>
      </c>
      <c r="O89" s="59">
        <f t="shared" si="156"/>
        <v>9</v>
      </c>
      <c r="P89" s="59">
        <f t="shared" si="157"/>
        <v>27</v>
      </c>
      <c r="Q89" s="59">
        <f t="shared" si="158"/>
        <v>57</v>
      </c>
      <c r="R89" s="59">
        <f t="shared" si="159"/>
        <v>48</v>
      </c>
      <c r="S89" s="59" t="str">
        <f>IFERROR(VLOOKUP(MID(N89,Q89,R89-Q89),[5]skilldef!$C:$D,2,FALSE),"-") &amp; " / " &amp; IFERROR(VLOOKUP(MID(N89,O89,P89-O89),[5]skilldef!$A:$B,2,FALSE),"-")</f>
        <v>- / -</v>
      </c>
      <c r="T89" s="46" t="str">
        <f t="shared" si="160"/>
        <v>[effect:spread, val:0.2]</v>
      </c>
      <c r="U89" s="59">
        <f t="shared" si="161"/>
        <v>9</v>
      </c>
      <c r="V89" s="59">
        <f t="shared" si="162"/>
        <v>15</v>
      </c>
      <c r="W89" s="59" t="e">
        <f t="shared" si="163"/>
        <v>#VALUE!</v>
      </c>
      <c r="X89" s="59" t="e">
        <f t="shared" si="164"/>
        <v>#VALUE!</v>
      </c>
      <c r="Y89" s="59" t="str">
        <f>IFERROR(VLOOKUP(MID(T89,W89,X89-W89),[5]skilldef!$C:$D,2,FALSE),"-") &amp; " / " &amp; IFERROR(VLOOKUP(MID(T89,U89,V89-U89),[5]skilldef!$A:$B,2,FALSE),"-")</f>
        <v>- / 全体攻撃</v>
      </c>
      <c r="Z89" s="48"/>
      <c r="AA89" s="49"/>
      <c r="AB89" s="48"/>
    </row>
    <row r="90" spans="1:28" ht="21" customHeight="1" x14ac:dyDescent="0.15">
      <c r="A90" s="114">
        <v>40042023</v>
      </c>
      <c r="B90" s="103" t="s">
        <v>517</v>
      </c>
      <c r="C90" s="104">
        <v>3</v>
      </c>
      <c r="D90" s="104" t="s">
        <v>380</v>
      </c>
      <c r="E90" s="105" t="s">
        <v>412</v>
      </c>
      <c r="F90" s="105" t="s">
        <v>401</v>
      </c>
      <c r="G90" s="59" t="str">
        <f t="shared" si="166"/>
        <v>[effect:enemy_message, val1:1.2, val2:2.7]</v>
      </c>
      <c r="H90" s="59">
        <f t="shared" si="151"/>
        <v>9</v>
      </c>
      <c r="I90" s="59">
        <f t="shared" si="152"/>
        <v>22</v>
      </c>
      <c r="J90" s="59" t="e">
        <f t="shared" si="153"/>
        <v>#VALUE!</v>
      </c>
      <c r="K90" s="59">
        <f t="shared" si="154"/>
        <v>32</v>
      </c>
      <c r="L90" s="59" t="str">
        <f>IFERROR(VLOOKUP(MID(G90,J90,K90-J90),[5]skilldef!$C:$D,2,FALSE),"-") &amp; " / " &amp; IFERROR(VLOOKUP(MID(G90,H90,I90-H90),[5]skilldef!$A:$B,2,FALSE),"-")</f>
        <v>- / -</v>
      </c>
      <c r="M90" s="59" t="str">
        <f t="shared" si="171"/>
        <v>[effect:force_change_block, new_block:time_bomb, target:block_blue, count:3, val:0.1, animation:change_block],[effect:spread, val:0.18]</v>
      </c>
      <c r="N90" s="46" t="str">
        <f t="shared" si="208"/>
        <v>[effect:force_change_block, new_block:time_bomb, target:block_blue, count:3, val:0.1, animation:change_block],[effect:spread, val:0.18]</v>
      </c>
      <c r="O90" s="59">
        <f t="shared" si="156"/>
        <v>9</v>
      </c>
      <c r="P90" s="59">
        <f t="shared" si="157"/>
        <v>27</v>
      </c>
      <c r="Q90" s="59">
        <f t="shared" si="158"/>
        <v>57</v>
      </c>
      <c r="R90" s="59">
        <f t="shared" si="159"/>
        <v>48</v>
      </c>
      <c r="S90" s="59" t="str">
        <f>IFERROR(VLOOKUP(MID(N90,Q90,R90-Q90),[5]skilldef!$C:$D,2,FALSE),"-") &amp; " / " &amp; IFERROR(VLOOKUP(MID(N90,O90,P90-O90),[5]skilldef!$A:$B,2,FALSE),"-")</f>
        <v>- / -</v>
      </c>
      <c r="T90" s="46" t="str">
        <f t="shared" si="160"/>
        <v>[effect:spread, val:0.18]</v>
      </c>
      <c r="U90" s="59">
        <f t="shared" si="161"/>
        <v>9</v>
      </c>
      <c r="V90" s="59">
        <f t="shared" si="162"/>
        <v>15</v>
      </c>
      <c r="W90" s="59" t="e">
        <f t="shared" si="163"/>
        <v>#VALUE!</v>
      </c>
      <c r="X90" s="59" t="e">
        <f t="shared" si="164"/>
        <v>#VALUE!</v>
      </c>
      <c r="Y90" s="59" t="str">
        <f>IFERROR(VLOOKUP(MID(T90,W90,X90-W90),[5]skilldef!$C:$D,2,FALSE),"-") &amp; " / " &amp; IFERROR(VLOOKUP(MID(T90,U90,V90-U90),[5]skilldef!$A:$B,2,FALSE),"-")</f>
        <v>- / 全体攻撃</v>
      </c>
      <c r="Z90" s="48"/>
      <c r="AA90" s="49"/>
      <c r="AB90" s="48"/>
    </row>
    <row r="91" spans="1:28" ht="21" customHeight="1" x14ac:dyDescent="0.15">
      <c r="A91" s="114">
        <v>40042024</v>
      </c>
      <c r="B91" s="103" t="s">
        <v>518</v>
      </c>
      <c r="C91" s="104">
        <v>3</v>
      </c>
      <c r="D91" s="104" t="s">
        <v>380</v>
      </c>
      <c r="E91" s="105" t="s">
        <v>413</v>
      </c>
      <c r="F91" s="105" t="s">
        <v>428</v>
      </c>
      <c r="G91" s="59" t="str">
        <f t="shared" si="166"/>
        <v>[effect:enemy_message, val1:1.4, val2:2.7]</v>
      </c>
      <c r="H91" s="59">
        <f t="shared" si="151"/>
        <v>9</v>
      </c>
      <c r="I91" s="59">
        <f t="shared" si="152"/>
        <v>22</v>
      </c>
      <c r="J91" s="59" t="e">
        <f t="shared" si="153"/>
        <v>#VALUE!</v>
      </c>
      <c r="K91" s="59">
        <f t="shared" si="154"/>
        <v>32</v>
      </c>
      <c r="L91" s="59" t="str">
        <f>IFERROR(VLOOKUP(MID(G91,J91,K91-J91),[5]skilldef!$C:$D,2,FALSE),"-") &amp; " / " &amp; IFERROR(VLOOKUP(MID(G91,H91,I91-H91),[5]skilldef!$A:$B,2,FALSE),"-")</f>
        <v>- / -</v>
      </c>
      <c r="M91" s="59" t="str">
        <f t="shared" si="171"/>
        <v>[effect:force_change_block, new_block:time_bomb, target:block_green, count:3, val:0.1, animation:change_block],[effect:spread, val:0.18]</v>
      </c>
      <c r="N91" s="46" t="str">
        <f t="shared" si="208"/>
        <v>[effect:force_change_block, new_block:time_bomb, target:block_green, count:3, val:0.1, animation:change_block],[effect:spread, val:0.18]</v>
      </c>
      <c r="O91" s="59">
        <f t="shared" si="156"/>
        <v>9</v>
      </c>
      <c r="P91" s="59">
        <f t="shared" si="157"/>
        <v>27</v>
      </c>
      <c r="Q91" s="59">
        <f t="shared" si="158"/>
        <v>57</v>
      </c>
      <c r="R91" s="59">
        <f t="shared" si="159"/>
        <v>48</v>
      </c>
      <c r="S91" s="59" t="str">
        <f>IFERROR(VLOOKUP(MID(N91,Q91,R91-Q91),[5]skilldef!$C:$D,2,FALSE),"-") &amp; " / " &amp; IFERROR(VLOOKUP(MID(N91,O91,P91-O91),[5]skilldef!$A:$B,2,FALSE),"-")</f>
        <v>- / -</v>
      </c>
      <c r="T91" s="46" t="str">
        <f t="shared" si="160"/>
        <v>[effect:spread, val:0.18]</v>
      </c>
      <c r="U91" s="59">
        <f t="shared" si="161"/>
        <v>9</v>
      </c>
      <c r="V91" s="59">
        <f t="shared" si="162"/>
        <v>15</v>
      </c>
      <c r="W91" s="59" t="e">
        <f t="shared" si="163"/>
        <v>#VALUE!</v>
      </c>
      <c r="X91" s="59" t="e">
        <f t="shared" si="164"/>
        <v>#VALUE!</v>
      </c>
      <c r="Y91" s="59" t="str">
        <f>IFERROR(VLOOKUP(MID(T91,W91,X91-W91),[5]skilldef!$C:$D,2,FALSE),"-") &amp; " / " &amp; IFERROR(VLOOKUP(MID(T91,U91,V91-U91),[5]skilldef!$A:$B,2,FALSE),"-")</f>
        <v>- / 全体攻撃</v>
      </c>
      <c r="Z91" s="48"/>
      <c r="AA91" s="49"/>
      <c r="AB91" s="48"/>
    </row>
    <row r="92" spans="1:28" ht="21" customHeight="1" x14ac:dyDescent="0.15">
      <c r="A92" s="114">
        <v>40042025</v>
      </c>
      <c r="B92" s="103" t="s">
        <v>519</v>
      </c>
      <c r="C92" s="104">
        <v>3</v>
      </c>
      <c r="D92" s="104" t="s">
        <v>380</v>
      </c>
      <c r="E92" s="105" t="s">
        <v>414</v>
      </c>
      <c r="F92" s="105" t="s">
        <v>429</v>
      </c>
      <c r="G92" s="59" t="str">
        <f t="shared" si="166"/>
        <v>[effect:enemy_message, val1:1.2, val2:2.9]</v>
      </c>
      <c r="H92" s="59">
        <f t="shared" si="151"/>
        <v>9</v>
      </c>
      <c r="I92" s="59">
        <f t="shared" si="152"/>
        <v>22</v>
      </c>
      <c r="J92" s="59" t="e">
        <f t="shared" si="153"/>
        <v>#VALUE!</v>
      </c>
      <c r="K92" s="59">
        <f t="shared" si="154"/>
        <v>32</v>
      </c>
      <c r="L92" s="59" t="str">
        <f>IFERROR(VLOOKUP(MID(G92,J92,K92-J92),[5]skilldef!$C:$D,2,FALSE),"-") &amp; " / " &amp; IFERROR(VLOOKUP(MID(G92,H92,I92-H92),[5]skilldef!$A:$B,2,FALSE),"-")</f>
        <v>- / -</v>
      </c>
      <c r="M92" s="59" t="str">
        <f t="shared" si="171"/>
        <v>[effect:force_change_block, new_block:time_bomb, target:block_heart, count:3, val:0.1, animation:change_block],[effect:spread, val:0.18]</v>
      </c>
      <c r="N92" s="46" t="str">
        <f t="shared" si="208"/>
        <v>[effect:force_change_block, new_block:time_bomb, target:block_heart, count:3, val:0.1, animation:change_block],[effect:spread, val:0.18]</v>
      </c>
      <c r="O92" s="59">
        <f t="shared" si="156"/>
        <v>9</v>
      </c>
      <c r="P92" s="59">
        <f t="shared" si="157"/>
        <v>27</v>
      </c>
      <c r="Q92" s="59">
        <f t="shared" si="158"/>
        <v>57</v>
      </c>
      <c r="R92" s="59">
        <f t="shared" si="159"/>
        <v>48</v>
      </c>
      <c r="S92" s="59" t="str">
        <f>IFERROR(VLOOKUP(MID(N92,Q92,R92-Q92),[5]skilldef!$C:$D,2,FALSE),"-") &amp; " / " &amp; IFERROR(VLOOKUP(MID(N92,O92,P92-O92),[5]skilldef!$A:$B,2,FALSE),"-")</f>
        <v>- / -</v>
      </c>
      <c r="T92" s="46" t="str">
        <f t="shared" si="160"/>
        <v>[effect:spread, val:0.18]</v>
      </c>
      <c r="U92" s="59">
        <f t="shared" si="161"/>
        <v>9</v>
      </c>
      <c r="V92" s="59">
        <f t="shared" si="162"/>
        <v>15</v>
      </c>
      <c r="W92" s="59" t="e">
        <f t="shared" si="163"/>
        <v>#VALUE!</v>
      </c>
      <c r="X92" s="59" t="e">
        <f t="shared" si="164"/>
        <v>#VALUE!</v>
      </c>
      <c r="Y92" s="59" t="str">
        <f>IFERROR(VLOOKUP(MID(T92,W92,X92-W92),[5]skilldef!$C:$D,2,FALSE),"-") &amp; " / " &amp; IFERROR(VLOOKUP(MID(T92,U92,V92-U92),[5]skilldef!$A:$B,2,FALSE),"-")</f>
        <v>- / 全体攻撃</v>
      </c>
      <c r="Z92" s="48"/>
      <c r="AA92" s="49"/>
      <c r="AB92" s="48"/>
    </row>
    <row r="93" spans="1:28" ht="21" customHeight="1" x14ac:dyDescent="0.15">
      <c r="A93" s="114">
        <v>40042026</v>
      </c>
      <c r="B93" s="103" t="s">
        <v>552</v>
      </c>
      <c r="C93" s="104">
        <v>3</v>
      </c>
      <c r="D93" s="104" t="s">
        <v>380</v>
      </c>
      <c r="E93" s="105" t="s">
        <v>415</v>
      </c>
      <c r="F93" s="105" t="s">
        <v>455</v>
      </c>
      <c r="G93" s="59" t="str">
        <f t="shared" si="166"/>
        <v>[effect:enemy_message, val1:1.7, val2:2.7]</v>
      </c>
      <c r="H93" s="59">
        <f t="shared" si="151"/>
        <v>9</v>
      </c>
      <c r="I93" s="59">
        <f t="shared" si="152"/>
        <v>22</v>
      </c>
      <c r="J93" s="59" t="e">
        <f t="shared" si="153"/>
        <v>#VALUE!</v>
      </c>
      <c r="K93" s="59">
        <f t="shared" si="154"/>
        <v>32</v>
      </c>
      <c r="L93" s="59" t="str">
        <f>IFERROR(VLOOKUP(MID(G93,J93,K93-J93),[5]skilldef!$C:$D,2,FALSE),"-") &amp; " / " &amp; IFERROR(VLOOKUP(MID(G93,H93,I93-H93),[5]skilldef!$A:$B,2,FALSE),"-")</f>
        <v>- / -</v>
      </c>
      <c r="M93" s="59" t="str">
        <f t="shared" si="171"/>
        <v>[effect:force_change_block, new_block:time_bomb, target:block_all, ignore01:block_positive, ignore02:block_negative, count:5, val:0.1, animation:change_block],[effect:spread, val:0.2]</v>
      </c>
      <c r="N93" s="46" t="str">
        <f t="shared" si="208"/>
        <v>[effect:force_change_block, new_block:time_bomb, target:block_all, ignore01:block_positive, ignore02:block_negative, count:5, val:0.1, animation:change_block],[effect:spread, val:0.2]</v>
      </c>
      <c r="O93" s="59">
        <f t="shared" si="156"/>
        <v>9</v>
      </c>
      <c r="P93" s="59">
        <f t="shared" si="157"/>
        <v>27</v>
      </c>
      <c r="Q93" s="59">
        <f t="shared" si="158"/>
        <v>57</v>
      </c>
      <c r="R93" s="59">
        <f t="shared" si="159"/>
        <v>48</v>
      </c>
      <c r="S93" s="59" t="str">
        <f>IFERROR(VLOOKUP(MID(N93,Q93,R93-Q93),[5]skilldef!$C:$D,2,FALSE),"-") &amp; " / " &amp; IFERROR(VLOOKUP(MID(N93,O93,P93-O93),[5]skilldef!$A:$B,2,FALSE),"-")</f>
        <v>- / -</v>
      </c>
      <c r="T93" s="46" t="str">
        <f t="shared" si="160"/>
        <v>[effect:spread, val:0.2]</v>
      </c>
      <c r="U93" s="59">
        <f t="shared" si="161"/>
        <v>9</v>
      </c>
      <c r="V93" s="59">
        <f t="shared" si="162"/>
        <v>15</v>
      </c>
      <c r="W93" s="59" t="e">
        <f t="shared" si="163"/>
        <v>#VALUE!</v>
      </c>
      <c r="X93" s="59" t="e">
        <f t="shared" si="164"/>
        <v>#VALUE!</v>
      </c>
      <c r="Y93" s="59" t="str">
        <f>IFERROR(VLOOKUP(MID(T93,W93,X93-W93),[5]skilldef!$C:$D,2,FALSE),"-") &amp; " / " &amp; IFERROR(VLOOKUP(MID(T93,U93,V93-U93),[5]skilldef!$A:$B,2,FALSE),"-")</f>
        <v>- / 全体攻撃</v>
      </c>
      <c r="Z93" s="48"/>
      <c r="AA93" s="49"/>
      <c r="AB93" s="48"/>
    </row>
    <row r="94" spans="1:28" ht="21" customHeight="1" x14ac:dyDescent="0.15">
      <c r="A94" s="117">
        <v>40042031</v>
      </c>
      <c r="B94" s="106" t="s">
        <v>497</v>
      </c>
      <c r="C94" s="107">
        <v>3</v>
      </c>
      <c r="D94" s="107" t="s">
        <v>380</v>
      </c>
      <c r="E94" s="108" t="s">
        <v>416</v>
      </c>
      <c r="F94" s="108" t="s">
        <v>324</v>
      </c>
      <c r="G94" s="59" t="str">
        <f t="shared" si="166"/>
        <v>[effect:enemy_message, val1:1.8, val2:2.4]</v>
      </c>
      <c r="H94" s="59">
        <f t="shared" si="151"/>
        <v>9</v>
      </c>
      <c r="I94" s="59">
        <f t="shared" si="152"/>
        <v>22</v>
      </c>
      <c r="J94" s="59" t="e">
        <f t="shared" si="153"/>
        <v>#VALUE!</v>
      </c>
      <c r="K94" s="59">
        <f t="shared" si="154"/>
        <v>32</v>
      </c>
      <c r="L94" s="59" t="str">
        <f>IFERROR(VLOOKUP(MID(G94,J94,K94-J94),[5]skilldef!$C:$D,2,FALSE),"-") &amp; " / " &amp; IFERROR(VLOOKUP(MID(G94,H94,I94-H94),[5]skilldef!$A:$B,2,FALSE),"-")</f>
        <v>- / -</v>
      </c>
      <c r="M94" s="59" t="str">
        <f t="shared" si="171"/>
        <v>[effect:tolerance, target:myself, turn:-1, count:-1, tolerance_effect:all, animation:enemy_tolerance],[effect:change_bomb_range, target:unit_all, val:0.5, rate:1, turn:5, animation:bomb_small]</v>
      </c>
      <c r="N94" s="46" t="str">
        <f t="shared" si="208"/>
        <v>[effect:tolerance, target:myself, turn:-1, count:-1, tolerance_effect:all, animation:enemy_tolerance]</v>
      </c>
      <c r="O94" s="59">
        <f t="shared" si="156"/>
        <v>9</v>
      </c>
      <c r="P94" s="59">
        <f t="shared" si="157"/>
        <v>18</v>
      </c>
      <c r="Q94" s="59">
        <f t="shared" si="158"/>
        <v>27</v>
      </c>
      <c r="R94" s="59">
        <f t="shared" si="159"/>
        <v>33</v>
      </c>
      <c r="S94" s="59" t="str">
        <f>IFERROR(VLOOKUP(MID(N94,Q94,R94-Q94),[5]skilldef!$C:$D,2,FALSE),"-") &amp; " / " &amp; IFERROR(VLOOKUP(MID(N94,O94,P94-O94),[5]skilldef!$A:$B,2,FALSE),"-")</f>
        <v>自分自身に / 状態異常耐性</v>
      </c>
      <c r="T94" s="46" t="str">
        <f t="shared" si="160"/>
        <v>[effect:change_bomb_range, target:unit_all, val:0.5, rate:1, turn:5, animation:bomb_small]</v>
      </c>
      <c r="U94" s="59">
        <f t="shared" si="161"/>
        <v>9</v>
      </c>
      <c r="V94" s="59">
        <f t="shared" si="162"/>
        <v>26</v>
      </c>
      <c r="W94" s="59">
        <f t="shared" si="163"/>
        <v>35</v>
      </c>
      <c r="X94" s="59">
        <f t="shared" si="164"/>
        <v>43</v>
      </c>
      <c r="Y94" s="59" t="str">
        <f>IFERROR(VLOOKUP(MID(T94,W94,X94-W94),[5]skilldef!$C:$D,2,FALSE),"-") &amp; " / " &amp; IFERROR(VLOOKUP(MID(T94,U94,V94-U94),[5]skilldef!$A:$B,2,FALSE),"-")</f>
        <v>味方全体に / -</v>
      </c>
      <c r="Z94" s="48"/>
      <c r="AA94" s="49"/>
      <c r="AB94" s="48"/>
    </row>
    <row r="95" spans="1:28" ht="21" customHeight="1" x14ac:dyDescent="0.15">
      <c r="A95" s="117">
        <v>40042032</v>
      </c>
      <c r="B95" s="106" t="s">
        <v>499</v>
      </c>
      <c r="C95" s="107">
        <v>3</v>
      </c>
      <c r="D95" s="107" t="s">
        <v>380</v>
      </c>
      <c r="E95" s="108" t="s">
        <v>417</v>
      </c>
      <c r="F95" s="108" t="s">
        <v>430</v>
      </c>
      <c r="G95" s="59" t="str">
        <f t="shared" si="166"/>
        <v>[effect:enemy_message, val1:1.2, val2:2.2]</v>
      </c>
      <c r="H95" s="59">
        <f t="shared" si="151"/>
        <v>9</v>
      </c>
      <c r="I95" s="59">
        <f t="shared" si="152"/>
        <v>22</v>
      </c>
      <c r="J95" s="59" t="e">
        <f t="shared" si="153"/>
        <v>#VALUE!</v>
      </c>
      <c r="K95" s="59">
        <f t="shared" si="154"/>
        <v>32</v>
      </c>
      <c r="L95" s="59" t="str">
        <f>IFERROR(VLOOKUP(MID(G95,J95,K95-J95),[5]skilldef!$C:$D,2,FALSE),"-") &amp; " / " &amp; IFERROR(VLOOKUP(MID(G95,H95,I95-H95),[5]skilldef!$A:$B,2,FALSE),"-")</f>
        <v>- / -</v>
      </c>
      <c r="M95" s="59" t="str">
        <f t="shared" si="171"/>
        <v>[effect:force_change_block, new_block:damage, target:block_blue, count:0, val:0.1, animation:change_block],[effect:critical, val:1.0]</v>
      </c>
      <c r="N95" s="46" t="str">
        <f t="shared" si="208"/>
        <v>[effect:force_change_block, new_block:damage, target:block_blue, count:0, val:0.1, animation:change_block]</v>
      </c>
      <c r="O95" s="59">
        <f t="shared" si="156"/>
        <v>9</v>
      </c>
      <c r="P95" s="59">
        <f t="shared" si="157"/>
        <v>27</v>
      </c>
      <c r="Q95" s="59">
        <f t="shared" si="158"/>
        <v>54</v>
      </c>
      <c r="R95" s="59">
        <f t="shared" si="159"/>
        <v>45</v>
      </c>
      <c r="S95" s="59" t="str">
        <f>IFERROR(VLOOKUP(MID(N95,Q95,R95-Q95),[5]skilldef!$C:$D,2,FALSE),"-") &amp; " / " &amp; IFERROR(VLOOKUP(MID(N95,O95,P95-O95),[5]skilldef!$A:$B,2,FALSE),"-")</f>
        <v>- / -</v>
      </c>
      <c r="T95" s="46" t="str">
        <f t="shared" si="160"/>
        <v>[effect:critical, val:1.0]</v>
      </c>
      <c r="U95" s="59">
        <f t="shared" si="161"/>
        <v>9</v>
      </c>
      <c r="V95" s="59">
        <f t="shared" si="162"/>
        <v>17</v>
      </c>
      <c r="W95" s="59" t="e">
        <f t="shared" si="163"/>
        <v>#VALUE!</v>
      </c>
      <c r="X95" s="59" t="e">
        <f t="shared" si="164"/>
        <v>#VALUE!</v>
      </c>
      <c r="Y95" s="59" t="str">
        <f>IFERROR(VLOOKUP(MID(T95,W95,X95-W95),[5]skilldef!$C:$D,2,FALSE),"-") &amp; " / " &amp; IFERROR(VLOOKUP(MID(T95,U95,V95-U95),[5]skilldef!$A:$B,2,FALSE),"-")</f>
        <v>- / 大攻撃</v>
      </c>
      <c r="Z95" s="48"/>
      <c r="AA95" s="49"/>
      <c r="AB95" s="48"/>
    </row>
    <row r="96" spans="1:28" ht="21" customHeight="1" x14ac:dyDescent="0.15">
      <c r="A96" s="117">
        <v>40042033</v>
      </c>
      <c r="B96" s="106" t="s">
        <v>528</v>
      </c>
      <c r="C96" s="107">
        <v>3</v>
      </c>
      <c r="D96" s="107" t="s">
        <v>380</v>
      </c>
      <c r="E96" s="108" t="s">
        <v>418</v>
      </c>
      <c r="F96" s="108" t="s">
        <v>521</v>
      </c>
      <c r="G96" s="59" t="str">
        <f t="shared" si="166"/>
        <v>[effect:enemy_message, val1:1.5, val2:2.5]</v>
      </c>
      <c r="H96" s="59">
        <f t="shared" si="151"/>
        <v>9</v>
      </c>
      <c r="I96" s="59">
        <f t="shared" si="152"/>
        <v>22</v>
      </c>
      <c r="J96" s="59" t="e">
        <f t="shared" si="153"/>
        <v>#VALUE!</v>
      </c>
      <c r="K96" s="59">
        <f t="shared" si="154"/>
        <v>32</v>
      </c>
      <c r="L96" s="59" t="str">
        <f>IFERROR(VLOOKUP(MID(G96,J96,K96-J96),[5]skilldef!$C:$D,2,FALSE),"-") &amp; " / " &amp; IFERROR(VLOOKUP(MID(G96,H96,I96-H96),[5]skilldef!$A:$B,2,FALSE),"-")</f>
        <v>- / -</v>
      </c>
      <c r="M96" s="59" t="str">
        <f t="shared" si="171"/>
        <v>[effect:degrade_unit, target:unit_all, turn:5, status:heal, val:0.5, calc:mul, animation:degrade_unit_all_heal],[effect:critical, val:1.0]</v>
      </c>
      <c r="N96" s="46" t="str">
        <f t="shared" si="208"/>
        <v>[effect:degrade_unit, target:unit_all, turn:5, status:heal, val:0.5, calc:mul, animation:degrade_unit_all_heal]</v>
      </c>
      <c r="O96" s="59">
        <f t="shared" si="156"/>
        <v>9</v>
      </c>
      <c r="P96" s="59">
        <f t="shared" si="157"/>
        <v>21</v>
      </c>
      <c r="Q96" s="59">
        <f t="shared" si="158"/>
        <v>30</v>
      </c>
      <c r="R96" s="59">
        <f t="shared" si="159"/>
        <v>38</v>
      </c>
      <c r="S96" s="59" t="str">
        <f>IFERROR(VLOOKUP(MID(N96,Q96,R96-Q96),[5]skilldef!$C:$D,2,FALSE),"-") &amp; " / " &amp; IFERROR(VLOOKUP(MID(N96,O96,P96-O96),[5]skilldef!$A:$B,2,FALSE),"-")</f>
        <v>味方全体に / ステータスDOWN</v>
      </c>
      <c r="T96" s="46" t="str">
        <f t="shared" si="160"/>
        <v>[effect:critical, val:1.0]</v>
      </c>
      <c r="U96" s="59">
        <f t="shared" si="161"/>
        <v>9</v>
      </c>
      <c r="V96" s="59">
        <f t="shared" si="162"/>
        <v>17</v>
      </c>
      <c r="W96" s="59" t="e">
        <f t="shared" si="163"/>
        <v>#VALUE!</v>
      </c>
      <c r="X96" s="59" t="e">
        <f t="shared" si="164"/>
        <v>#VALUE!</v>
      </c>
      <c r="Y96" s="59" t="str">
        <f>IFERROR(VLOOKUP(MID(T96,W96,X96-W96),[5]skilldef!$C:$D,2,FALSE),"-") &amp; " / " &amp; IFERROR(VLOOKUP(MID(T96,U96,V96-U96),[5]skilldef!$A:$B,2,FALSE),"-")</f>
        <v>- / 大攻撃</v>
      </c>
      <c r="Z96" s="48"/>
      <c r="AA96" s="49"/>
      <c r="AB96" s="48"/>
    </row>
    <row r="97" spans="1:28" ht="21" customHeight="1" x14ac:dyDescent="0.15">
      <c r="A97" s="117">
        <v>40042034</v>
      </c>
      <c r="B97" s="106" t="s">
        <v>508</v>
      </c>
      <c r="C97" s="107">
        <v>3</v>
      </c>
      <c r="D97" s="107" t="s">
        <v>380</v>
      </c>
      <c r="E97" s="108" t="s">
        <v>419</v>
      </c>
      <c r="F97" s="108" t="s">
        <v>457</v>
      </c>
      <c r="G97" s="59" t="str">
        <f t="shared" si="166"/>
        <v>[effect:enemy_message, val1:1.8, val2:2.2]</v>
      </c>
      <c r="H97" s="59">
        <f t="shared" si="151"/>
        <v>9</v>
      </c>
      <c r="I97" s="59">
        <f t="shared" si="152"/>
        <v>22</v>
      </c>
      <c r="J97" s="59" t="e">
        <f t="shared" si="153"/>
        <v>#VALUE!</v>
      </c>
      <c r="K97" s="59">
        <f t="shared" si="154"/>
        <v>32</v>
      </c>
      <c r="L97" s="59" t="str">
        <f>IFERROR(VLOOKUP(MID(G97,J97,K97-J97),[5]skilldef!$C:$D,2,FALSE),"-") &amp; " / " &amp; IFERROR(VLOOKUP(MID(G97,H97,I97-H97),[5]skilldef!$A:$B,2,FALSE),"-")</f>
        <v>- / -</v>
      </c>
      <c r="M97" s="59" t="str">
        <f t="shared" si="171"/>
        <v>[effect:break_attack, target:unit_one, val:0.05, lowest_val:0, count:-1, color:yellow, block_color:block_heart, block01:crack_bomb, block02:block_heart]</v>
      </c>
      <c r="N97" s="46" t="str">
        <f t="shared" si="208"/>
        <v>[effect:break_attack, target:unit_one, val:0.05, lowest_val:0, count:-1, color:yellow, block_color:block_heart, block01:crack_bomb, block02:block_heart]</v>
      </c>
      <c r="O97" s="59">
        <f t="shared" si="156"/>
        <v>9</v>
      </c>
      <c r="P97" s="59">
        <f t="shared" si="157"/>
        <v>21</v>
      </c>
      <c r="Q97" s="59">
        <f t="shared" si="158"/>
        <v>30</v>
      </c>
      <c r="R97" s="59">
        <f t="shared" si="159"/>
        <v>38</v>
      </c>
      <c r="S97" s="59" t="str">
        <f>IFERROR(VLOOKUP(MID(N97,Q97,R97-Q97),[5]skilldef!$C:$D,2,FALSE),"-") &amp; " / " &amp; IFERROR(VLOOKUP(MID(N97,O97,P97-O97),[5]skilldef!$A:$B,2,FALSE),"-")</f>
        <v>味方単体に / -</v>
      </c>
      <c r="T97" s="46" t="str">
        <f t="shared" si="160"/>
        <v>none</v>
      </c>
      <c r="U97" s="59" t="e">
        <f t="shared" si="161"/>
        <v>#VALUE!</v>
      </c>
      <c r="V97" s="59">
        <f t="shared" si="162"/>
        <v>4</v>
      </c>
      <c r="W97" s="59" t="e">
        <f t="shared" si="163"/>
        <v>#VALUE!</v>
      </c>
      <c r="X97" s="59" t="e">
        <f t="shared" si="164"/>
        <v>#VALUE!</v>
      </c>
      <c r="Y97" s="59" t="str">
        <f>IFERROR(VLOOKUP(MID(T97,W97,X97-W97),[5]skilldef!$C:$D,2,FALSE),"-") &amp; " / " &amp; IFERROR(VLOOKUP(MID(T97,U97,V97-U97),[5]skilldef!$A:$B,2,FALSE),"-")</f>
        <v>- / -</v>
      </c>
      <c r="Z97" s="48"/>
      <c r="AA97" s="49"/>
      <c r="AB97" s="48"/>
    </row>
    <row r="98" spans="1:28" ht="21" customHeight="1" x14ac:dyDescent="0.15">
      <c r="A98" s="117">
        <v>40042035</v>
      </c>
      <c r="B98" s="106" t="s">
        <v>502</v>
      </c>
      <c r="C98" s="107">
        <v>3</v>
      </c>
      <c r="D98" s="107" t="s">
        <v>380</v>
      </c>
      <c r="E98" s="108" t="s">
        <v>420</v>
      </c>
      <c r="F98" s="108" t="s">
        <v>433</v>
      </c>
      <c r="G98" s="59" t="str">
        <f t="shared" ref="G98:G103" si="209">IFERROR(LEFT(B98,FIND("],",B98)),B98)</f>
        <v>[effect:enemy_message, val1:1.4, val2:2.3]</v>
      </c>
      <c r="H98" s="59">
        <f t="shared" si="151"/>
        <v>9</v>
      </c>
      <c r="I98" s="59">
        <f t="shared" si="152"/>
        <v>22</v>
      </c>
      <c r="J98" s="59" t="e">
        <f t="shared" si="153"/>
        <v>#VALUE!</v>
      </c>
      <c r="K98" s="59">
        <f t="shared" si="154"/>
        <v>32</v>
      </c>
      <c r="L98" s="59" t="str">
        <f>IFERROR(VLOOKUP(MID(G98,J98,K98-J98),[5]skilldef!$C:$D,2,FALSE),"-") &amp; " / " &amp; IFERROR(VLOOKUP(MID(G98,H98,I98-H98),[5]skilldef!$A:$B,2,FALSE),"-")</f>
        <v>- / -</v>
      </c>
      <c r="M98" s="59" t="str">
        <f t="shared" ref="M98:M103" si="210">IFERROR(RIGHT(B98,LEN(B98)-FIND("],",B98)-1),"none")</f>
        <v>[effect:force_change_block, new_block:damage, target:block_red, color:block_red, count:0, val:0.1, animation:change_block],[effect:force_change_block, new_block:damage, target:block_blue, color:block_blue, count:0, val:0.1, animation:change_block],[effect:force_change_block, new_block:damage, target:block_green, color:block_green, count:0, val:0.1, animation:change_block],[effect:force_change_block, new_block:damage, target:block_heart, color:block_heart, count:0, val:0.1, animation:change_block],[effect:fix_speed, target:myself, turn:2]</v>
      </c>
      <c r="N98" s="46" t="str">
        <f t="shared" si="208"/>
        <v>[effect:force_change_block, new_block:damage, target:block_red, color:block_red, count:0, val:0.1, animation:change_block]</v>
      </c>
      <c r="O98" s="59">
        <f t="shared" si="156"/>
        <v>9</v>
      </c>
      <c r="P98" s="59">
        <f t="shared" si="157"/>
        <v>27</v>
      </c>
      <c r="Q98" s="59">
        <f t="shared" si="158"/>
        <v>54</v>
      </c>
      <c r="R98" s="59">
        <f t="shared" si="159"/>
        <v>45</v>
      </c>
      <c r="S98" s="59" t="str">
        <f>IFERROR(VLOOKUP(MID(N98,Q98,R98-Q98),[5]skilldef!$C:$D,2,FALSE),"-") &amp; " / " &amp; IFERROR(VLOOKUP(MID(N98,O98,P98-O98),[5]skilldef!$A:$B,2,FALSE),"-")</f>
        <v>- / -</v>
      </c>
      <c r="T98" s="46" t="str">
        <f t="shared" si="160"/>
        <v>[effect:force_change_block, new_block:damage, target:block_blue, color:block_blue, count:0, val:0.1, animation:change_block],[effect:force_change_block, new_block:damage, target:block_green, color:block_green, count:0, val:0.1, animation:change_block],[effect:force_change_block, new_block:damage, target:block_heart, color:block_heart, count:0, val:0.1, animation:change_block],[effect:fix_speed, target:myself, turn:2]</v>
      </c>
      <c r="U98" s="59">
        <f t="shared" si="161"/>
        <v>9</v>
      </c>
      <c r="V98" s="59">
        <f t="shared" si="162"/>
        <v>27</v>
      </c>
      <c r="W98" s="59">
        <f t="shared" si="163"/>
        <v>54</v>
      </c>
      <c r="X98" s="59">
        <f t="shared" si="164"/>
        <v>45</v>
      </c>
      <c r="Y98" s="59" t="str">
        <f>IFERROR(VLOOKUP(MID(T98,W98,X98-W98),[5]skilldef!$C:$D,2,FALSE),"-") &amp; " / " &amp; IFERROR(VLOOKUP(MID(T98,U98,V98-U98),[5]skilldef!$A:$B,2,FALSE),"-")</f>
        <v>- / -</v>
      </c>
      <c r="Z98" s="48"/>
      <c r="AA98" s="49"/>
      <c r="AB98" s="48"/>
    </row>
    <row r="99" spans="1:28" ht="21" customHeight="1" x14ac:dyDescent="0.15">
      <c r="A99" s="117">
        <v>40042036</v>
      </c>
      <c r="B99" s="106" t="s">
        <v>520</v>
      </c>
      <c r="C99" s="107">
        <v>3</v>
      </c>
      <c r="D99" s="107" t="s">
        <v>380</v>
      </c>
      <c r="E99" s="108" t="s">
        <v>421</v>
      </c>
      <c r="F99" s="108" t="s">
        <v>396</v>
      </c>
      <c r="G99" s="59" t="str">
        <f t="shared" si="209"/>
        <v>[effect:enemy_message, val1:1.2, val2:2.8]</v>
      </c>
      <c r="H99" s="59">
        <f t="shared" si="151"/>
        <v>9</v>
      </c>
      <c r="I99" s="59">
        <f t="shared" si="152"/>
        <v>22</v>
      </c>
      <c r="J99" s="59" t="e">
        <f t="shared" si="153"/>
        <v>#VALUE!</v>
      </c>
      <c r="K99" s="59">
        <f t="shared" si="154"/>
        <v>32</v>
      </c>
      <c r="L99" s="59" t="str">
        <f>IFERROR(VLOOKUP(MID(G99,J99,K99-J99),[5]skilldef!$C:$D,2,FALSE),"-") &amp; " / " &amp; IFERROR(VLOOKUP(MID(G99,H99,I99-H99),[5]skilldef!$A:$B,2,FALSE),"-")</f>
        <v>- / -</v>
      </c>
      <c r="M99" s="59" t="str">
        <f t="shared" si="210"/>
        <v>[effect:break_attack, target:unit_all, val:0.02, lowest_val:1000, count:-1, color:yellow, block01:damage]</v>
      </c>
      <c r="N99" s="46" t="str">
        <f t="shared" si="208"/>
        <v>[effect:break_attack, target:unit_all, val:0.02, lowest_val:1000, count:-1, color:yellow, block01:damage]</v>
      </c>
      <c r="O99" s="59">
        <f t="shared" si="156"/>
        <v>9</v>
      </c>
      <c r="P99" s="59">
        <f t="shared" si="157"/>
        <v>21</v>
      </c>
      <c r="Q99" s="59">
        <f t="shared" si="158"/>
        <v>30</v>
      </c>
      <c r="R99" s="59">
        <f t="shared" si="159"/>
        <v>38</v>
      </c>
      <c r="S99" s="59" t="str">
        <f>IFERROR(VLOOKUP(MID(N99,Q99,R99-Q99),[5]skilldef!$C:$D,2,FALSE),"-") &amp; " / " &amp; IFERROR(VLOOKUP(MID(N99,O99,P99-O99),[5]skilldef!$A:$B,2,FALSE),"-")</f>
        <v>味方全体に / -</v>
      </c>
      <c r="T99" s="46" t="str">
        <f t="shared" si="160"/>
        <v>none</v>
      </c>
      <c r="U99" s="59" t="e">
        <f t="shared" si="161"/>
        <v>#VALUE!</v>
      </c>
      <c r="V99" s="59">
        <f t="shared" si="162"/>
        <v>4</v>
      </c>
      <c r="W99" s="59" t="e">
        <f t="shared" si="163"/>
        <v>#VALUE!</v>
      </c>
      <c r="X99" s="59" t="e">
        <f t="shared" si="164"/>
        <v>#VALUE!</v>
      </c>
      <c r="Y99" s="59" t="str">
        <f>IFERROR(VLOOKUP(MID(T99,W99,X99-W99),[5]skilldef!$C:$D,2,FALSE),"-") &amp; " / " &amp; IFERROR(VLOOKUP(MID(T99,U99,V99-U99),[5]skilldef!$A:$B,2,FALSE),"-")</f>
        <v>- / -</v>
      </c>
      <c r="Z99" s="48"/>
      <c r="AA99" s="49"/>
      <c r="AB99" s="48"/>
    </row>
    <row r="100" spans="1:28" ht="21" customHeight="1" x14ac:dyDescent="0.15">
      <c r="A100" s="117">
        <v>40042037</v>
      </c>
      <c r="B100" s="106" t="s">
        <v>504</v>
      </c>
      <c r="C100" s="107">
        <v>3</v>
      </c>
      <c r="D100" s="107" t="s">
        <v>380</v>
      </c>
      <c r="E100" s="108" t="s">
        <v>422</v>
      </c>
      <c r="F100" s="108" t="s">
        <v>343</v>
      </c>
      <c r="G100" s="59" t="str">
        <f t="shared" si="209"/>
        <v>[effect:enemy_message, val1:2.1, val2:1.2]</v>
      </c>
      <c r="H100" s="59">
        <f t="shared" si="151"/>
        <v>9</v>
      </c>
      <c r="I100" s="59">
        <f t="shared" si="152"/>
        <v>22</v>
      </c>
      <c r="J100" s="59" t="e">
        <f t="shared" si="153"/>
        <v>#VALUE!</v>
      </c>
      <c r="K100" s="59">
        <f t="shared" si="154"/>
        <v>32</v>
      </c>
      <c r="L100" s="59" t="str">
        <f>IFERROR(VLOOKUP(MID(G100,J100,K100-J100),[5]skilldef!$C:$D,2,FALSE),"-") &amp; " / " &amp; IFERROR(VLOOKUP(MID(G100,H100,I100-H100),[5]skilldef!$A:$B,2,FALSE),"-")</f>
        <v>- / -</v>
      </c>
      <c r="M100" s="59" t="str">
        <f t="shared" si="210"/>
        <v>[effect:spread, val:10]</v>
      </c>
      <c r="N100" s="46" t="str">
        <f t="shared" si="208"/>
        <v>[effect:spread, val:10]</v>
      </c>
      <c r="O100" s="59">
        <f t="shared" si="156"/>
        <v>9</v>
      </c>
      <c r="P100" s="59">
        <f t="shared" si="157"/>
        <v>15</v>
      </c>
      <c r="Q100" s="59" t="e">
        <f t="shared" si="158"/>
        <v>#VALUE!</v>
      </c>
      <c r="R100" s="59" t="e">
        <f t="shared" si="159"/>
        <v>#VALUE!</v>
      </c>
      <c r="S100" s="59" t="str">
        <f>IFERROR(VLOOKUP(MID(N100,Q100,R100-Q100),[5]skilldef!$C:$D,2,FALSE),"-") &amp; " / " &amp; IFERROR(VLOOKUP(MID(N100,O100,P100-O100),[5]skilldef!$A:$B,2,FALSE),"-")</f>
        <v>- / 全体攻撃</v>
      </c>
      <c r="T100" s="46" t="str">
        <f t="shared" si="160"/>
        <v>none</v>
      </c>
      <c r="U100" s="59" t="e">
        <f t="shared" si="161"/>
        <v>#VALUE!</v>
      </c>
      <c r="V100" s="59">
        <f t="shared" si="162"/>
        <v>4</v>
      </c>
      <c r="W100" s="59" t="e">
        <f t="shared" si="163"/>
        <v>#VALUE!</v>
      </c>
      <c r="X100" s="59" t="e">
        <f t="shared" si="164"/>
        <v>#VALUE!</v>
      </c>
      <c r="Y100" s="59" t="str">
        <f>IFERROR(VLOOKUP(MID(T100,W100,X100-W100),[5]skilldef!$C:$D,2,FALSE),"-") &amp; " / " &amp; IFERROR(VLOOKUP(MID(T100,U100,V100-U100),[5]skilldef!$A:$B,2,FALSE),"-")</f>
        <v>- / -</v>
      </c>
      <c r="Z100" s="48"/>
      <c r="AA100" s="49"/>
      <c r="AB100" s="48"/>
    </row>
    <row r="101" spans="1:28" ht="21" customHeight="1" x14ac:dyDescent="0.15">
      <c r="A101" s="117">
        <v>40042038</v>
      </c>
      <c r="B101" s="106" t="s">
        <v>541</v>
      </c>
      <c r="C101" s="107">
        <v>3</v>
      </c>
      <c r="D101" s="107" t="s">
        <v>380</v>
      </c>
      <c r="E101" s="108" t="s">
        <v>423</v>
      </c>
      <c r="F101" s="108" t="s">
        <v>537</v>
      </c>
      <c r="G101" s="59" t="str">
        <f t="shared" si="209"/>
        <v>[effect:enemy_message, val1:1.2, val2:3.2, dead_type:suicide]</v>
      </c>
      <c r="H101" s="59">
        <f t="shared" si="151"/>
        <v>9</v>
      </c>
      <c r="I101" s="59">
        <f t="shared" si="152"/>
        <v>22</v>
      </c>
      <c r="J101" s="59" t="e">
        <f t="shared" si="153"/>
        <v>#VALUE!</v>
      </c>
      <c r="K101" s="59">
        <f t="shared" si="154"/>
        <v>32</v>
      </c>
      <c r="L101" s="59" t="str">
        <f>IFERROR(VLOOKUP(MID(G101,J101,K101-J101),[5]skilldef!$C:$D,2,FALSE),"-") &amp; " / " &amp; IFERROR(VLOOKUP(MID(G101,H101,I101-H101),[5]skilldef!$A:$B,2,FALSE),"-")</f>
        <v>- / -</v>
      </c>
      <c r="M101" s="59" t="str">
        <f t="shared" si="210"/>
        <v>none</v>
      </c>
      <c r="N101" s="46" t="str">
        <f t="shared" si="208"/>
        <v>none</v>
      </c>
      <c r="O101" s="59" t="e">
        <f t="shared" si="156"/>
        <v>#VALUE!</v>
      </c>
      <c r="P101" s="59">
        <f t="shared" si="157"/>
        <v>4</v>
      </c>
      <c r="Q101" s="59" t="e">
        <f t="shared" si="158"/>
        <v>#VALUE!</v>
      </c>
      <c r="R101" s="59" t="e">
        <f t="shared" si="159"/>
        <v>#VALUE!</v>
      </c>
      <c r="S101" s="59" t="str">
        <f>IFERROR(VLOOKUP(MID(N101,Q101,R101-Q101),[5]skilldef!$C:$D,2,FALSE),"-") &amp; " / " &amp; IFERROR(VLOOKUP(MID(N101,O101,P101-O101),[5]skilldef!$A:$B,2,FALSE),"-")</f>
        <v>- / -</v>
      </c>
      <c r="T101" s="46" t="str">
        <f t="shared" si="160"/>
        <v>none</v>
      </c>
      <c r="U101" s="59" t="e">
        <f t="shared" si="161"/>
        <v>#VALUE!</v>
      </c>
      <c r="V101" s="59">
        <f t="shared" si="162"/>
        <v>4</v>
      </c>
      <c r="W101" s="59" t="e">
        <f t="shared" si="163"/>
        <v>#VALUE!</v>
      </c>
      <c r="X101" s="59" t="e">
        <f t="shared" si="164"/>
        <v>#VALUE!</v>
      </c>
      <c r="Y101" s="59" t="str">
        <f>IFERROR(VLOOKUP(MID(T101,W101,X101-W101),[5]skilldef!$C:$D,2,FALSE),"-") &amp; " / " &amp; IFERROR(VLOOKUP(MID(T101,U101,V101-U101),[5]skilldef!$A:$B,2,FALSE),"-")</f>
        <v>- / -</v>
      </c>
      <c r="Z101" s="48"/>
      <c r="AA101" s="49"/>
      <c r="AB101" s="48"/>
    </row>
    <row r="102" spans="1:28" ht="21" customHeight="1" x14ac:dyDescent="0.15">
      <c r="A102" s="117">
        <v>40042039</v>
      </c>
      <c r="B102" s="106" t="s">
        <v>542</v>
      </c>
      <c r="C102" s="107">
        <v>3</v>
      </c>
      <c r="D102" s="107" t="s">
        <v>380</v>
      </c>
      <c r="E102" s="108" t="s">
        <v>424</v>
      </c>
      <c r="F102" s="108" t="s">
        <v>536</v>
      </c>
      <c r="G102" s="59" t="str">
        <f t="shared" si="209"/>
        <v>[effect:enemy_message, val1:1.3, val2:3.5, dead_type:suicide]</v>
      </c>
      <c r="H102" s="59">
        <f t="shared" si="151"/>
        <v>9</v>
      </c>
      <c r="I102" s="59">
        <f t="shared" si="152"/>
        <v>22</v>
      </c>
      <c r="J102" s="59" t="e">
        <f t="shared" si="153"/>
        <v>#VALUE!</v>
      </c>
      <c r="K102" s="59">
        <f t="shared" si="154"/>
        <v>32</v>
      </c>
      <c r="L102" s="59" t="str">
        <f>IFERROR(VLOOKUP(MID(G102,J102,K102-J102),[5]skilldef!$C:$D,2,FALSE),"-") &amp; " / " &amp; IFERROR(VLOOKUP(MID(G102,H102,I102-H102),[5]skilldef!$A:$B,2,FALSE),"-")</f>
        <v>- / -</v>
      </c>
      <c r="M102" s="59" t="str">
        <f t="shared" si="210"/>
        <v>none</v>
      </c>
      <c r="N102" s="46" t="str">
        <f t="shared" si="208"/>
        <v>none</v>
      </c>
      <c r="O102" s="59" t="e">
        <f t="shared" si="156"/>
        <v>#VALUE!</v>
      </c>
      <c r="P102" s="59">
        <f t="shared" si="157"/>
        <v>4</v>
      </c>
      <c r="Q102" s="59" t="e">
        <f t="shared" si="158"/>
        <v>#VALUE!</v>
      </c>
      <c r="R102" s="59" t="e">
        <f t="shared" si="159"/>
        <v>#VALUE!</v>
      </c>
      <c r="S102" s="59" t="str">
        <f>IFERROR(VLOOKUP(MID(N102,Q102,R102-Q102),[5]skilldef!$C:$D,2,FALSE),"-") &amp; " / " &amp; IFERROR(VLOOKUP(MID(N102,O102,P102-O102),[5]skilldef!$A:$B,2,FALSE),"-")</f>
        <v>- / -</v>
      </c>
      <c r="T102" s="46" t="str">
        <f t="shared" si="160"/>
        <v>none</v>
      </c>
      <c r="U102" s="59" t="e">
        <f t="shared" si="161"/>
        <v>#VALUE!</v>
      </c>
      <c r="V102" s="59">
        <f t="shared" si="162"/>
        <v>4</v>
      </c>
      <c r="W102" s="59" t="e">
        <f t="shared" si="163"/>
        <v>#VALUE!</v>
      </c>
      <c r="X102" s="59" t="e">
        <f t="shared" si="164"/>
        <v>#VALUE!</v>
      </c>
      <c r="Y102" s="59" t="str">
        <f>IFERROR(VLOOKUP(MID(T102,W102,X102-W102),[5]skilldef!$C:$D,2,FALSE),"-") &amp; " / " &amp; IFERROR(VLOOKUP(MID(T102,U102,V102-U102),[5]skilldef!$A:$B,2,FALSE),"-")</f>
        <v>- / -</v>
      </c>
      <c r="Z102" s="48"/>
      <c r="AA102" s="49"/>
      <c r="AB102" s="48"/>
    </row>
    <row r="103" spans="1:28" ht="21" customHeight="1" thickBot="1" x14ac:dyDescent="0.2">
      <c r="A103" s="117">
        <v>40042030</v>
      </c>
      <c r="B103" s="106" t="s">
        <v>542</v>
      </c>
      <c r="C103" s="107">
        <v>3</v>
      </c>
      <c r="D103" s="107" t="s">
        <v>380</v>
      </c>
      <c r="E103" s="108" t="s">
        <v>424</v>
      </c>
      <c r="F103" s="191" t="s">
        <v>536</v>
      </c>
      <c r="G103" s="59" t="str">
        <f t="shared" si="209"/>
        <v>[effect:enemy_message, val1:1.3, val2:3.5, dead_type:suicide]</v>
      </c>
      <c r="H103" s="59">
        <f t="shared" ref="H103" si="211">FIND("effect:",G103)+7</f>
        <v>9</v>
      </c>
      <c r="I103" s="59">
        <f t="shared" ref="I103" si="212">IFERROR(FIND(",",G103),LEN(G103))</f>
        <v>22</v>
      </c>
      <c r="J103" s="59" t="e">
        <f t="shared" ref="J103" si="213">FIND("target:",G103)+7</f>
        <v>#VALUE!</v>
      </c>
      <c r="K103" s="59">
        <f t="shared" ref="K103" si="214">FIND(",",G103,I103+1)</f>
        <v>32</v>
      </c>
      <c r="L103" s="59" t="str">
        <f>IFERROR(VLOOKUP(MID(G103,J103,K103-J103),[5]skilldef!$C:$D,2,FALSE),"-") &amp; " / " &amp; IFERROR(VLOOKUP(MID(G103,H103,I103-H103),[5]skilldef!$A:$B,2,FALSE),"-")</f>
        <v>- / -</v>
      </c>
      <c r="M103" s="59" t="str">
        <f t="shared" si="210"/>
        <v>none</v>
      </c>
      <c r="N103" s="46" t="str">
        <f t="shared" ref="N103" si="215">IFERROR(LEFT(M103,FIND("],",M103)+S113),M103)</f>
        <v>none</v>
      </c>
      <c r="O103" s="59" t="e">
        <f t="shared" ref="O103" si="216">FIND("effect:",N103)+7</f>
        <v>#VALUE!</v>
      </c>
      <c r="P103" s="59">
        <f t="shared" ref="P103" si="217">IFERROR(FIND(",",N103),LEN(N103))</f>
        <v>4</v>
      </c>
      <c r="Q103" s="59" t="e">
        <f t="shared" ref="Q103" si="218">FIND("target:",N103)+7</f>
        <v>#VALUE!</v>
      </c>
      <c r="R103" s="59" t="e">
        <f t="shared" ref="R103" si="219">FIND(",",N103,P103+1)</f>
        <v>#VALUE!</v>
      </c>
      <c r="S103" s="59" t="str">
        <f>IFERROR(VLOOKUP(MID(N103,Q103,R103-Q103),[5]skilldef!$C:$D,2,FALSE),"-") &amp; " / " &amp; IFERROR(VLOOKUP(MID(N103,O103,P103-O103),[5]skilldef!$A:$B,2,FALSE),"-")</f>
        <v>- / -</v>
      </c>
      <c r="T103" s="46" t="str">
        <f t="shared" ref="T103" si="220">IFERROR(RIGHT(M103,LEN(M103)-FIND("],",M103)-1),"none")</f>
        <v>none</v>
      </c>
      <c r="U103" s="59" t="e">
        <f t="shared" ref="U103" si="221">FIND("effect:",T103)+7</f>
        <v>#VALUE!</v>
      </c>
      <c r="V103" s="59">
        <f t="shared" ref="V103" si="222">IFERROR(FIND(",",T103),LEN(T103))</f>
        <v>4</v>
      </c>
      <c r="W103" s="59" t="e">
        <f t="shared" ref="W103" si="223">FIND("target:",T103)+7</f>
        <v>#VALUE!</v>
      </c>
      <c r="X103" s="59" t="e">
        <f t="shared" ref="X103" si="224">FIND(",",T103,V103+1)</f>
        <v>#VALUE!</v>
      </c>
      <c r="Y103" s="59" t="str">
        <f>IFERROR(VLOOKUP(MID(T103,W103,X103-W103),[5]skilldef!$C:$D,2,FALSE),"-") &amp; " / " &amp; IFERROR(VLOOKUP(MID(T103,U103,V103-U103),[5]skilldef!$A:$B,2,FALSE),"-")</f>
        <v>- / -</v>
      </c>
      <c r="Z103" s="48"/>
      <c r="AA103" s="49"/>
      <c r="AB103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P103"/>
  <sheetViews>
    <sheetView showGridLines="0" workbookViewId="0">
      <pane ySplit="1" topLeftCell="A63" activePane="bottomLeft" state="frozenSplit"/>
      <selection pane="bottomLeft" activeCell="H96" sqref="H96"/>
    </sheetView>
  </sheetViews>
  <sheetFormatPr baseColWidth="12" defaultColWidth="12.83203125" defaultRowHeight="21" customHeight="1" x14ac:dyDescent="0.15"/>
  <cols>
    <col min="1" max="1" width="16.1640625" style="122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2" width="35" style="43" bestFit="1" customWidth="1"/>
    <col min="13" max="13" width="75.33203125" style="43" bestFit="1" customWidth="1"/>
    <col min="14" max="16384" width="12.83203125" style="43"/>
  </cols>
  <sheetData>
    <row r="1" spans="1:16" ht="21" customHeight="1" x14ac:dyDescent="0.15">
      <c r="A1" s="121" t="s">
        <v>83</v>
      </c>
      <c r="B1" s="40" t="s">
        <v>84</v>
      </c>
      <c r="C1" s="40" t="s">
        <v>85</v>
      </c>
      <c r="D1" s="40" t="s">
        <v>86</v>
      </c>
      <c r="E1" s="40" t="s">
        <v>69</v>
      </c>
      <c r="F1" s="50" t="s">
        <v>70</v>
      </c>
      <c r="G1" s="50" t="s">
        <v>71</v>
      </c>
      <c r="H1" s="40" t="s">
        <v>72</v>
      </c>
      <c r="I1" s="40" t="s">
        <v>73</v>
      </c>
      <c r="J1" s="40" t="s">
        <v>74</v>
      </c>
      <c r="K1" s="51" t="s">
        <v>87</v>
      </c>
    </row>
    <row r="2" spans="1:16" ht="21" customHeight="1" x14ac:dyDescent="0.15">
      <c r="A2" s="113">
        <v>40042111</v>
      </c>
      <c r="B2" s="45">
        <v>0</v>
      </c>
      <c r="C2" s="45">
        <v>80</v>
      </c>
      <c r="D2" s="45">
        <v>100</v>
      </c>
      <c r="E2" s="45" t="s">
        <v>305</v>
      </c>
      <c r="F2" s="45" t="s">
        <v>89</v>
      </c>
      <c r="G2" s="45" t="s">
        <v>88</v>
      </c>
      <c r="H2" s="45">
        <v>1</v>
      </c>
      <c r="I2" s="45" t="s">
        <v>89</v>
      </c>
      <c r="J2" s="46">
        <f t="shared" ref="J2" si="0">D2</f>
        <v>100</v>
      </c>
      <c r="L2" s="99" t="s">
        <v>308</v>
      </c>
      <c r="M2" s="99" t="s">
        <v>255</v>
      </c>
    </row>
    <row r="3" spans="1:16" ht="21" customHeight="1" x14ac:dyDescent="0.15">
      <c r="A3" s="113">
        <v>40042112</v>
      </c>
      <c r="B3" s="45">
        <v>0</v>
      </c>
      <c r="C3" s="45">
        <v>90</v>
      </c>
      <c r="D3" s="45">
        <v>100</v>
      </c>
      <c r="E3" s="45" t="s">
        <v>305</v>
      </c>
      <c r="F3" s="45" t="s">
        <v>89</v>
      </c>
      <c r="G3" s="45" t="s">
        <v>88</v>
      </c>
      <c r="H3" s="45">
        <v>2</v>
      </c>
      <c r="I3" s="45" t="s">
        <v>89</v>
      </c>
      <c r="J3" s="46">
        <f t="shared" ref="J3:J50" si="1">D3</f>
        <v>100</v>
      </c>
      <c r="L3" s="99" t="s">
        <v>309</v>
      </c>
      <c r="M3" s="99" t="s">
        <v>256</v>
      </c>
    </row>
    <row r="4" spans="1:16" ht="21" customHeight="1" x14ac:dyDescent="0.15">
      <c r="A4" s="113">
        <v>40042113</v>
      </c>
      <c r="B4" s="45">
        <v>0</v>
      </c>
      <c r="C4" s="45">
        <v>100</v>
      </c>
      <c r="D4" s="45">
        <v>100</v>
      </c>
      <c r="E4" s="45" t="s">
        <v>305</v>
      </c>
      <c r="F4" s="45" t="s">
        <v>89</v>
      </c>
      <c r="G4" s="45" t="s">
        <v>88</v>
      </c>
      <c r="H4" s="45">
        <v>5</v>
      </c>
      <c r="I4" s="45" t="s">
        <v>89</v>
      </c>
      <c r="J4" s="46">
        <f t="shared" si="1"/>
        <v>100</v>
      </c>
      <c r="L4" s="99" t="s">
        <v>310</v>
      </c>
      <c r="M4" s="99" t="s">
        <v>257</v>
      </c>
      <c r="O4" s="19">
        <v>583</v>
      </c>
      <c r="P4" s="4" t="s">
        <v>253</v>
      </c>
    </row>
    <row r="5" spans="1:16" ht="21" customHeight="1" x14ac:dyDescent="0.15">
      <c r="A5" s="114">
        <v>40042121</v>
      </c>
      <c r="B5" s="45">
        <v>1</v>
      </c>
      <c r="C5" s="45">
        <v>100</v>
      </c>
      <c r="D5" s="45">
        <v>100</v>
      </c>
      <c r="E5" s="45" t="s">
        <v>305</v>
      </c>
      <c r="F5" s="45" t="s">
        <v>89</v>
      </c>
      <c r="G5" s="45">
        <v>1</v>
      </c>
      <c r="H5" s="45">
        <v>1</v>
      </c>
      <c r="I5" s="45" t="s">
        <v>89</v>
      </c>
      <c r="J5" s="46">
        <f t="shared" si="1"/>
        <v>100</v>
      </c>
      <c r="L5" s="105" t="s">
        <v>448</v>
      </c>
      <c r="M5" s="105" t="s">
        <v>259</v>
      </c>
      <c r="O5" s="19">
        <v>594</v>
      </c>
      <c r="P5" s="4" t="s">
        <v>254</v>
      </c>
    </row>
    <row r="6" spans="1:16" ht="21" customHeight="1" x14ac:dyDescent="0.15">
      <c r="A6" s="114">
        <v>40042122</v>
      </c>
      <c r="B6" s="45">
        <v>0</v>
      </c>
      <c r="C6" s="45">
        <v>80</v>
      </c>
      <c r="D6" s="45">
        <v>100</v>
      </c>
      <c r="E6" s="45" t="s">
        <v>305</v>
      </c>
      <c r="F6" s="45" t="s">
        <v>89</v>
      </c>
      <c r="G6" s="45" t="s">
        <v>88</v>
      </c>
      <c r="H6" s="45">
        <v>4</v>
      </c>
      <c r="I6" s="45" t="s">
        <v>89</v>
      </c>
      <c r="J6" s="46">
        <f t="shared" si="1"/>
        <v>100</v>
      </c>
      <c r="L6" s="105" t="s">
        <v>311</v>
      </c>
      <c r="M6" s="105" t="s">
        <v>260</v>
      </c>
      <c r="O6" s="19">
        <v>1264</v>
      </c>
      <c r="P6" s="4" t="s">
        <v>263</v>
      </c>
    </row>
    <row r="7" spans="1:16" ht="21" customHeight="1" x14ac:dyDescent="0.15">
      <c r="A7" s="114">
        <v>40042123</v>
      </c>
      <c r="B7" s="45">
        <v>0</v>
      </c>
      <c r="C7" s="45">
        <v>90</v>
      </c>
      <c r="D7" s="45">
        <v>100</v>
      </c>
      <c r="E7" s="45" t="s">
        <v>305</v>
      </c>
      <c r="F7" s="45" t="s">
        <v>89</v>
      </c>
      <c r="G7" s="45" t="s">
        <v>88</v>
      </c>
      <c r="H7" s="45">
        <v>1</v>
      </c>
      <c r="I7" s="45">
        <v>594</v>
      </c>
      <c r="J7" s="46">
        <f t="shared" si="1"/>
        <v>100</v>
      </c>
      <c r="L7" s="105" t="s">
        <v>312</v>
      </c>
      <c r="M7" s="105" t="s">
        <v>347</v>
      </c>
      <c r="O7" s="19">
        <v>1266</v>
      </c>
      <c r="P7" s="4" t="s">
        <v>301</v>
      </c>
    </row>
    <row r="8" spans="1:16" ht="21" customHeight="1" x14ac:dyDescent="0.15">
      <c r="A8" s="115">
        <v>40042211</v>
      </c>
      <c r="B8" s="45">
        <v>0</v>
      </c>
      <c r="C8" s="45">
        <v>100</v>
      </c>
      <c r="D8" s="45">
        <v>100</v>
      </c>
      <c r="E8" s="45" t="s">
        <v>305</v>
      </c>
      <c r="F8" s="45" t="s">
        <v>89</v>
      </c>
      <c r="G8" s="45" t="s">
        <v>88</v>
      </c>
      <c r="H8" s="45">
        <v>2</v>
      </c>
      <c r="I8" s="45" t="s">
        <v>89</v>
      </c>
      <c r="J8" s="46">
        <f t="shared" si="1"/>
        <v>100</v>
      </c>
      <c r="L8" s="102" t="s">
        <v>313</v>
      </c>
      <c r="M8" s="102" t="s">
        <v>258</v>
      </c>
      <c r="O8" s="19">
        <v>1267</v>
      </c>
      <c r="P8" s="4" t="s">
        <v>273</v>
      </c>
    </row>
    <row r="9" spans="1:16" ht="21" customHeight="1" x14ac:dyDescent="0.15">
      <c r="A9" s="115">
        <v>40042212</v>
      </c>
      <c r="B9" s="45">
        <v>0</v>
      </c>
      <c r="C9" s="45">
        <v>90</v>
      </c>
      <c r="D9" s="45">
        <v>100</v>
      </c>
      <c r="E9" s="45" t="s">
        <v>305</v>
      </c>
      <c r="F9" s="45" t="s">
        <v>89</v>
      </c>
      <c r="G9" s="45" t="s">
        <v>88</v>
      </c>
      <c r="H9" s="45">
        <v>5</v>
      </c>
      <c r="I9" s="45" t="s">
        <v>89</v>
      </c>
      <c r="J9" s="46">
        <f t="shared" si="1"/>
        <v>100</v>
      </c>
      <c r="L9" s="102" t="s">
        <v>315</v>
      </c>
      <c r="M9" s="102" t="s">
        <v>257</v>
      </c>
      <c r="O9" s="19">
        <v>1256</v>
      </c>
      <c r="P9" s="4" t="s">
        <v>302</v>
      </c>
    </row>
    <row r="10" spans="1:16" ht="21" customHeight="1" x14ac:dyDescent="0.15">
      <c r="A10" s="116">
        <v>40042221</v>
      </c>
      <c r="B10" s="45">
        <v>1</v>
      </c>
      <c r="C10" s="45">
        <v>100</v>
      </c>
      <c r="D10" s="45">
        <v>100</v>
      </c>
      <c r="E10" s="45" t="s">
        <v>305</v>
      </c>
      <c r="F10" s="45" t="s">
        <v>89</v>
      </c>
      <c r="G10" s="45">
        <v>1</v>
      </c>
      <c r="H10" s="45">
        <v>1</v>
      </c>
      <c r="I10" s="45" t="s">
        <v>89</v>
      </c>
      <c r="J10" s="46">
        <f t="shared" si="1"/>
        <v>100</v>
      </c>
      <c r="L10" s="111" t="s">
        <v>314</v>
      </c>
      <c r="M10" s="111" t="s">
        <v>261</v>
      </c>
      <c r="O10" s="19">
        <v>1256</v>
      </c>
      <c r="P10" s="4" t="s">
        <v>286</v>
      </c>
    </row>
    <row r="11" spans="1:16" ht="21" customHeight="1" x14ac:dyDescent="0.15">
      <c r="A11" s="116">
        <v>40042222</v>
      </c>
      <c r="B11" s="45">
        <v>0</v>
      </c>
      <c r="C11" s="45">
        <v>80</v>
      </c>
      <c r="D11" s="45">
        <v>100</v>
      </c>
      <c r="E11" s="45" t="s">
        <v>305</v>
      </c>
      <c r="F11" s="45" t="s">
        <v>89</v>
      </c>
      <c r="G11" s="45" t="s">
        <v>88</v>
      </c>
      <c r="H11" s="45">
        <v>4</v>
      </c>
      <c r="I11" s="45" t="s">
        <v>89</v>
      </c>
      <c r="J11" s="46">
        <f t="shared" si="1"/>
        <v>100</v>
      </c>
      <c r="L11" s="111" t="s">
        <v>402</v>
      </c>
      <c r="M11" s="111" t="s">
        <v>262</v>
      </c>
      <c r="O11" s="19">
        <v>1257</v>
      </c>
      <c r="P11" s="4" t="s">
        <v>293</v>
      </c>
    </row>
    <row r="12" spans="1:16" ht="21" customHeight="1" x14ac:dyDescent="0.15">
      <c r="A12" s="116">
        <v>40042223</v>
      </c>
      <c r="B12" s="45">
        <v>0</v>
      </c>
      <c r="C12" s="45">
        <v>90</v>
      </c>
      <c r="D12" s="45">
        <v>100</v>
      </c>
      <c r="E12" s="45" t="s">
        <v>305</v>
      </c>
      <c r="F12" s="45" t="s">
        <v>89</v>
      </c>
      <c r="G12" s="45" t="s">
        <v>88</v>
      </c>
      <c r="H12" s="45">
        <v>1</v>
      </c>
      <c r="I12" s="45">
        <v>583</v>
      </c>
      <c r="J12" s="46">
        <f t="shared" si="1"/>
        <v>100</v>
      </c>
      <c r="L12" s="111" t="s">
        <v>316</v>
      </c>
      <c r="M12" s="111" t="s">
        <v>349</v>
      </c>
      <c r="O12" s="19"/>
      <c r="P12" s="4"/>
    </row>
    <row r="13" spans="1:16" ht="21" customHeight="1" x14ac:dyDescent="0.15">
      <c r="A13" s="113">
        <v>40042311</v>
      </c>
      <c r="B13" s="45">
        <v>1</v>
      </c>
      <c r="C13" s="45">
        <v>100</v>
      </c>
      <c r="D13" s="45">
        <v>100</v>
      </c>
      <c r="E13" s="45" t="s">
        <v>305</v>
      </c>
      <c r="F13" s="45" t="s">
        <v>89</v>
      </c>
      <c r="G13" s="45">
        <v>1</v>
      </c>
      <c r="H13" s="45">
        <v>1</v>
      </c>
      <c r="I13" s="45" t="s">
        <v>89</v>
      </c>
      <c r="J13" s="46">
        <f t="shared" si="1"/>
        <v>100</v>
      </c>
      <c r="L13" s="99" t="s">
        <v>425</v>
      </c>
      <c r="M13" s="99" t="s">
        <v>264</v>
      </c>
      <c r="O13" s="19">
        <v>1263</v>
      </c>
      <c r="P13" s="4" t="s">
        <v>303</v>
      </c>
    </row>
    <row r="14" spans="1:16" ht="21" customHeight="1" x14ac:dyDescent="0.15">
      <c r="A14" s="113">
        <v>40042312</v>
      </c>
      <c r="B14" s="45">
        <v>1</v>
      </c>
      <c r="C14" s="45">
        <v>120</v>
      </c>
      <c r="D14" s="45">
        <v>100</v>
      </c>
      <c r="E14" s="45" t="s">
        <v>305</v>
      </c>
      <c r="F14" s="45" t="s">
        <v>89</v>
      </c>
      <c r="G14" s="45">
        <v>1</v>
      </c>
      <c r="H14" s="45">
        <v>1</v>
      </c>
      <c r="I14" s="45">
        <v>1263</v>
      </c>
      <c r="J14" s="46">
        <f t="shared" si="1"/>
        <v>100</v>
      </c>
      <c r="L14" s="99" t="s">
        <v>426</v>
      </c>
      <c r="M14" s="99" t="s">
        <v>265</v>
      </c>
    </row>
    <row r="15" spans="1:16" ht="21" customHeight="1" x14ac:dyDescent="0.15">
      <c r="A15" s="113">
        <v>40042313</v>
      </c>
      <c r="B15" s="45">
        <v>1</v>
      </c>
      <c r="C15" s="45">
        <v>110</v>
      </c>
      <c r="D15" s="45">
        <v>100</v>
      </c>
      <c r="E15" s="45" t="s">
        <v>305</v>
      </c>
      <c r="F15" s="45" t="s">
        <v>89</v>
      </c>
      <c r="G15" s="45">
        <v>1</v>
      </c>
      <c r="H15" s="45">
        <v>1</v>
      </c>
      <c r="I15" s="45">
        <v>1262</v>
      </c>
      <c r="J15" s="46">
        <f t="shared" ref="J15" si="2">D15</f>
        <v>100</v>
      </c>
      <c r="L15" s="99" t="s">
        <v>426</v>
      </c>
      <c r="M15" s="99" t="s">
        <v>265</v>
      </c>
    </row>
    <row r="16" spans="1:16" ht="21" customHeight="1" x14ac:dyDescent="0.15">
      <c r="A16" s="113">
        <v>40042314</v>
      </c>
      <c r="B16" s="45">
        <v>0</v>
      </c>
      <c r="C16" s="45">
        <v>90</v>
      </c>
      <c r="D16" s="45">
        <v>100</v>
      </c>
      <c r="E16" s="45" t="s">
        <v>305</v>
      </c>
      <c r="F16" s="45" t="s">
        <v>89</v>
      </c>
      <c r="G16" s="45" t="s">
        <v>88</v>
      </c>
      <c r="H16" s="45">
        <v>1</v>
      </c>
      <c r="I16" s="45" t="s">
        <v>89</v>
      </c>
      <c r="J16" s="46">
        <f t="shared" si="1"/>
        <v>100</v>
      </c>
      <c r="L16" s="99" t="s">
        <v>427</v>
      </c>
      <c r="M16" s="99" t="s">
        <v>266</v>
      </c>
    </row>
    <row r="17" spans="1:13" ht="21" customHeight="1" x14ac:dyDescent="0.15">
      <c r="A17" s="115">
        <v>40042411</v>
      </c>
      <c r="B17" s="45">
        <v>1</v>
      </c>
      <c r="C17" s="45">
        <v>100</v>
      </c>
      <c r="D17" s="45">
        <v>100</v>
      </c>
      <c r="E17" s="45" t="s">
        <v>305</v>
      </c>
      <c r="F17" s="45" t="s">
        <v>89</v>
      </c>
      <c r="G17" s="45">
        <v>1</v>
      </c>
      <c r="H17" s="45">
        <v>1</v>
      </c>
      <c r="I17" s="45" t="s">
        <v>89</v>
      </c>
      <c r="J17" s="46">
        <f t="shared" si="1"/>
        <v>100</v>
      </c>
      <c r="L17" s="102" t="s">
        <v>325</v>
      </c>
      <c r="M17" s="102" t="s">
        <v>267</v>
      </c>
    </row>
    <row r="18" spans="1:13" ht="21" customHeight="1" x14ac:dyDescent="0.15">
      <c r="A18" s="115">
        <v>40042412</v>
      </c>
      <c r="B18" s="45">
        <v>1</v>
      </c>
      <c r="C18" s="45">
        <v>120</v>
      </c>
      <c r="D18" s="45">
        <v>100</v>
      </c>
      <c r="E18" s="45" t="s">
        <v>305</v>
      </c>
      <c r="F18" s="45" t="s">
        <v>89</v>
      </c>
      <c r="G18" s="45">
        <v>1</v>
      </c>
      <c r="H18" s="45">
        <v>1</v>
      </c>
      <c r="I18" s="45">
        <v>1263</v>
      </c>
      <c r="J18" s="46">
        <f t="shared" si="1"/>
        <v>100</v>
      </c>
      <c r="L18" s="102" t="s">
        <v>317</v>
      </c>
      <c r="M18" s="102" t="s">
        <v>268</v>
      </c>
    </row>
    <row r="19" spans="1:13" ht="21" customHeight="1" x14ac:dyDescent="0.15">
      <c r="A19" s="115">
        <v>40042413</v>
      </c>
      <c r="B19" s="45">
        <v>1</v>
      </c>
      <c r="C19" s="45">
        <v>110</v>
      </c>
      <c r="D19" s="45">
        <v>100</v>
      </c>
      <c r="E19" s="45" t="s">
        <v>305</v>
      </c>
      <c r="F19" s="45" t="s">
        <v>89</v>
      </c>
      <c r="G19" s="45">
        <v>1</v>
      </c>
      <c r="H19" s="45">
        <v>1</v>
      </c>
      <c r="I19" s="45">
        <v>1262</v>
      </c>
      <c r="J19" s="46">
        <f t="shared" ref="J19" si="3">D19</f>
        <v>100</v>
      </c>
      <c r="L19" s="102" t="s">
        <v>317</v>
      </c>
      <c r="M19" s="102" t="s">
        <v>268</v>
      </c>
    </row>
    <row r="20" spans="1:13" ht="21" customHeight="1" x14ac:dyDescent="0.15">
      <c r="A20" s="115">
        <v>40042414</v>
      </c>
      <c r="B20" s="45">
        <v>0</v>
      </c>
      <c r="C20" s="45">
        <v>90</v>
      </c>
      <c r="D20" s="45">
        <v>100</v>
      </c>
      <c r="E20" s="45" t="s">
        <v>305</v>
      </c>
      <c r="F20" s="45" t="s">
        <v>89</v>
      </c>
      <c r="G20" s="45" t="s">
        <v>88</v>
      </c>
      <c r="H20" s="45">
        <v>3</v>
      </c>
      <c r="I20" s="45" t="s">
        <v>89</v>
      </c>
      <c r="J20" s="46">
        <f t="shared" si="1"/>
        <v>100</v>
      </c>
      <c r="L20" s="102" t="s">
        <v>329</v>
      </c>
      <c r="M20" s="102" t="s">
        <v>269</v>
      </c>
    </row>
    <row r="21" spans="1:13" ht="21" customHeight="1" x14ac:dyDescent="0.15">
      <c r="A21" s="115">
        <v>40042415</v>
      </c>
      <c r="B21" s="45">
        <v>0</v>
      </c>
      <c r="C21" s="45">
        <v>80</v>
      </c>
      <c r="D21" s="45">
        <v>100</v>
      </c>
      <c r="E21" s="45" t="s">
        <v>305</v>
      </c>
      <c r="F21" s="45" t="s">
        <v>89</v>
      </c>
      <c r="G21" s="45" t="s">
        <v>88</v>
      </c>
      <c r="H21" s="45">
        <v>4</v>
      </c>
      <c r="I21" s="45" t="s">
        <v>89</v>
      </c>
      <c r="J21" s="46">
        <f t="shared" si="1"/>
        <v>100</v>
      </c>
      <c r="L21" s="102" t="s">
        <v>326</v>
      </c>
      <c r="M21" s="102" t="s">
        <v>270</v>
      </c>
    </row>
    <row r="22" spans="1:13" ht="21" customHeight="1" x14ac:dyDescent="0.15">
      <c r="A22" s="115">
        <v>40042416</v>
      </c>
      <c r="B22" s="45">
        <v>0</v>
      </c>
      <c r="C22" s="45">
        <v>60</v>
      </c>
      <c r="D22" s="45">
        <v>100</v>
      </c>
      <c r="E22" s="45">
        <v>60</v>
      </c>
      <c r="F22" s="45" t="s">
        <v>89</v>
      </c>
      <c r="G22" s="45" t="s">
        <v>88</v>
      </c>
      <c r="H22" s="45">
        <v>1</v>
      </c>
      <c r="I22" s="45" t="s">
        <v>89</v>
      </c>
      <c r="J22" s="46">
        <f t="shared" si="1"/>
        <v>100</v>
      </c>
      <c r="L22" s="102" t="s">
        <v>331</v>
      </c>
      <c r="M22" s="102" t="s">
        <v>271</v>
      </c>
    </row>
    <row r="23" spans="1:13" ht="21" customHeight="1" x14ac:dyDescent="0.15">
      <c r="A23" s="115">
        <v>40042417</v>
      </c>
      <c r="B23" s="45">
        <v>0</v>
      </c>
      <c r="C23" s="45">
        <v>70</v>
      </c>
      <c r="D23" s="45">
        <v>100</v>
      </c>
      <c r="E23" s="45">
        <v>30</v>
      </c>
      <c r="F23" s="45" t="s">
        <v>89</v>
      </c>
      <c r="G23" s="45" t="s">
        <v>88</v>
      </c>
      <c r="H23" s="45">
        <v>1</v>
      </c>
      <c r="I23" s="45" t="s">
        <v>89</v>
      </c>
      <c r="J23" s="46">
        <f t="shared" si="1"/>
        <v>100</v>
      </c>
      <c r="L23" s="102" t="s">
        <v>328</v>
      </c>
      <c r="M23" s="102" t="s">
        <v>272</v>
      </c>
    </row>
    <row r="24" spans="1:13" ht="21" customHeight="1" x14ac:dyDescent="0.15">
      <c r="A24" s="116">
        <v>40042421</v>
      </c>
      <c r="B24" s="45">
        <v>1</v>
      </c>
      <c r="C24" s="45">
        <v>100</v>
      </c>
      <c r="D24" s="45">
        <v>100</v>
      </c>
      <c r="E24" s="45" t="s">
        <v>305</v>
      </c>
      <c r="F24" s="45" t="s">
        <v>89</v>
      </c>
      <c r="G24" s="45">
        <v>1</v>
      </c>
      <c r="H24" s="45">
        <v>1</v>
      </c>
      <c r="I24" s="45" t="s">
        <v>89</v>
      </c>
      <c r="J24" s="46">
        <f t="shared" si="1"/>
        <v>100</v>
      </c>
      <c r="L24" s="111" t="s">
        <v>330</v>
      </c>
      <c r="M24" s="111" t="s">
        <v>274</v>
      </c>
    </row>
    <row r="25" spans="1:13" ht="21" customHeight="1" x14ac:dyDescent="0.15">
      <c r="A25" s="116">
        <v>40042422</v>
      </c>
      <c r="B25" s="45">
        <v>0</v>
      </c>
      <c r="C25" s="45">
        <v>80</v>
      </c>
      <c r="D25" s="45">
        <v>100</v>
      </c>
      <c r="E25" s="45" t="s">
        <v>305</v>
      </c>
      <c r="F25" s="45" t="s">
        <v>89</v>
      </c>
      <c r="G25" s="45">
        <v>1</v>
      </c>
      <c r="H25" s="45">
        <v>5</v>
      </c>
      <c r="I25" s="45" t="s">
        <v>89</v>
      </c>
      <c r="J25" s="46">
        <f t="shared" si="1"/>
        <v>100</v>
      </c>
      <c r="L25" s="111" t="s">
        <v>332</v>
      </c>
      <c r="M25" s="111" t="s">
        <v>275</v>
      </c>
    </row>
    <row r="26" spans="1:13" ht="21" customHeight="1" x14ac:dyDescent="0.15">
      <c r="A26" s="116">
        <v>40042423</v>
      </c>
      <c r="B26" s="45">
        <v>0</v>
      </c>
      <c r="C26" s="45">
        <v>70</v>
      </c>
      <c r="D26" s="45">
        <v>100</v>
      </c>
      <c r="E26" s="45">
        <v>70</v>
      </c>
      <c r="F26" s="45" t="s">
        <v>89</v>
      </c>
      <c r="G26" s="45">
        <v>1</v>
      </c>
      <c r="H26" s="45">
        <v>1</v>
      </c>
      <c r="I26" s="45" t="s">
        <v>89</v>
      </c>
      <c r="J26" s="46">
        <f t="shared" si="1"/>
        <v>100</v>
      </c>
      <c r="L26" s="111" t="s">
        <v>326</v>
      </c>
      <c r="M26" s="111" t="s">
        <v>276</v>
      </c>
    </row>
    <row r="27" spans="1:13" ht="21" customHeight="1" x14ac:dyDescent="0.15">
      <c r="A27" s="116">
        <v>40042424</v>
      </c>
      <c r="B27" s="45">
        <v>0</v>
      </c>
      <c r="C27" s="45">
        <v>60</v>
      </c>
      <c r="D27" s="45">
        <v>100</v>
      </c>
      <c r="E27" s="45">
        <v>70</v>
      </c>
      <c r="F27" s="45" t="s">
        <v>89</v>
      </c>
      <c r="G27" s="45">
        <v>1</v>
      </c>
      <c r="H27" s="45">
        <v>1</v>
      </c>
      <c r="I27" s="45" t="s">
        <v>89</v>
      </c>
      <c r="J27" s="46">
        <f t="shared" si="1"/>
        <v>100</v>
      </c>
      <c r="L27" s="111" t="s">
        <v>331</v>
      </c>
      <c r="M27" s="111" t="s">
        <v>277</v>
      </c>
    </row>
    <row r="28" spans="1:13" ht="21" customHeight="1" x14ac:dyDescent="0.15">
      <c r="A28" s="116">
        <v>40042425</v>
      </c>
      <c r="B28" s="45">
        <v>0</v>
      </c>
      <c r="C28" s="45">
        <v>90</v>
      </c>
      <c r="D28" s="45">
        <v>100</v>
      </c>
      <c r="E28" s="45">
        <v>40</v>
      </c>
      <c r="F28" s="45" t="s">
        <v>89</v>
      </c>
      <c r="G28" s="45">
        <v>1</v>
      </c>
      <c r="H28" s="45">
        <v>1</v>
      </c>
      <c r="I28" s="45" t="s">
        <v>89</v>
      </c>
      <c r="J28" s="46">
        <f t="shared" ref="J28" si="4">D28</f>
        <v>100</v>
      </c>
      <c r="L28" s="111" t="s">
        <v>327</v>
      </c>
      <c r="M28" s="111" t="s">
        <v>278</v>
      </c>
    </row>
    <row r="29" spans="1:13" ht="21" customHeight="1" x14ac:dyDescent="0.15">
      <c r="A29" s="113">
        <v>40042511</v>
      </c>
      <c r="B29" s="45">
        <v>1</v>
      </c>
      <c r="C29" s="45">
        <v>100</v>
      </c>
      <c r="D29" s="45">
        <v>100</v>
      </c>
      <c r="E29" s="45" t="s">
        <v>305</v>
      </c>
      <c r="F29" s="45" t="s">
        <v>89</v>
      </c>
      <c r="G29" s="45">
        <v>1</v>
      </c>
      <c r="H29" s="45">
        <v>1</v>
      </c>
      <c r="I29" s="45" t="s">
        <v>89</v>
      </c>
      <c r="J29" s="46">
        <f t="shared" si="1"/>
        <v>100</v>
      </c>
      <c r="L29" s="99" t="s">
        <v>403</v>
      </c>
      <c r="M29" s="99" t="s">
        <v>279</v>
      </c>
    </row>
    <row r="30" spans="1:13" ht="21" customHeight="1" x14ac:dyDescent="0.15">
      <c r="A30" s="113">
        <v>40042512</v>
      </c>
      <c r="B30" s="45">
        <v>1</v>
      </c>
      <c r="C30" s="45">
        <v>110</v>
      </c>
      <c r="D30" s="45">
        <v>100</v>
      </c>
      <c r="E30" s="45" t="s">
        <v>305</v>
      </c>
      <c r="F30" s="45" t="s">
        <v>89</v>
      </c>
      <c r="G30" s="45">
        <v>1</v>
      </c>
      <c r="H30" s="45">
        <v>1</v>
      </c>
      <c r="I30" s="45">
        <v>1263</v>
      </c>
      <c r="J30" s="46">
        <f t="shared" si="1"/>
        <v>100</v>
      </c>
      <c r="L30" s="99" t="s">
        <v>404</v>
      </c>
      <c r="M30" s="99" t="s">
        <v>280</v>
      </c>
    </row>
    <row r="31" spans="1:13" ht="21" customHeight="1" x14ac:dyDescent="0.15">
      <c r="A31" s="113">
        <v>40042513</v>
      </c>
      <c r="B31" s="45">
        <v>1</v>
      </c>
      <c r="C31" s="45">
        <v>120</v>
      </c>
      <c r="D31" s="45">
        <v>100</v>
      </c>
      <c r="E31" s="45" t="s">
        <v>305</v>
      </c>
      <c r="F31" s="45" t="s">
        <v>89</v>
      </c>
      <c r="G31" s="45">
        <v>1</v>
      </c>
      <c r="H31" s="45">
        <v>1</v>
      </c>
      <c r="I31" s="45">
        <v>1262</v>
      </c>
      <c r="J31" s="46">
        <f t="shared" ref="J31" si="5">D31</f>
        <v>100</v>
      </c>
      <c r="L31" s="99" t="s">
        <v>404</v>
      </c>
      <c r="M31" s="99" t="s">
        <v>280</v>
      </c>
    </row>
    <row r="32" spans="1:13" ht="21" customHeight="1" x14ac:dyDescent="0.15">
      <c r="A32" s="113">
        <v>40042514</v>
      </c>
      <c r="B32" s="45">
        <v>0</v>
      </c>
      <c r="C32" s="45">
        <v>90</v>
      </c>
      <c r="D32" s="45">
        <v>100</v>
      </c>
      <c r="E32" s="45" t="s">
        <v>305</v>
      </c>
      <c r="F32" s="45" t="s">
        <v>89</v>
      </c>
      <c r="G32" s="45">
        <v>1</v>
      </c>
      <c r="H32" s="45">
        <v>1</v>
      </c>
      <c r="I32" s="45" t="s">
        <v>89</v>
      </c>
      <c r="J32" s="46">
        <f t="shared" si="1"/>
        <v>100</v>
      </c>
      <c r="L32" s="99" t="s">
        <v>405</v>
      </c>
      <c r="M32" s="99" t="s">
        <v>281</v>
      </c>
    </row>
    <row r="33" spans="1:13" ht="21" customHeight="1" x14ac:dyDescent="0.15">
      <c r="A33" s="113">
        <v>40042515</v>
      </c>
      <c r="B33" s="45">
        <v>0</v>
      </c>
      <c r="C33" s="45">
        <v>80</v>
      </c>
      <c r="D33" s="45">
        <v>100</v>
      </c>
      <c r="E33" s="45" t="s">
        <v>305</v>
      </c>
      <c r="F33" s="45" t="s">
        <v>89</v>
      </c>
      <c r="G33" s="45">
        <v>1</v>
      </c>
      <c r="H33" s="45">
        <v>1</v>
      </c>
      <c r="I33" s="45" t="s">
        <v>89</v>
      </c>
      <c r="J33" s="46">
        <f t="shared" si="1"/>
        <v>100</v>
      </c>
      <c r="L33" s="99" t="s">
        <v>406</v>
      </c>
      <c r="M33" s="99" t="s">
        <v>282</v>
      </c>
    </row>
    <row r="34" spans="1:13" ht="21" customHeight="1" x14ac:dyDescent="0.15">
      <c r="A34" s="113">
        <v>40042516</v>
      </c>
      <c r="B34" s="45">
        <v>0</v>
      </c>
      <c r="C34" s="45">
        <v>70</v>
      </c>
      <c r="D34" s="45">
        <v>100</v>
      </c>
      <c r="E34" s="45" t="s">
        <v>305</v>
      </c>
      <c r="F34" s="45" t="s">
        <v>89</v>
      </c>
      <c r="G34" s="45">
        <v>1</v>
      </c>
      <c r="H34" s="45">
        <v>1</v>
      </c>
      <c r="I34" s="45" t="s">
        <v>89</v>
      </c>
      <c r="J34" s="46">
        <f t="shared" si="1"/>
        <v>100</v>
      </c>
      <c r="L34" s="99" t="s">
        <v>407</v>
      </c>
      <c r="M34" s="99" t="s">
        <v>283</v>
      </c>
    </row>
    <row r="35" spans="1:13" ht="21" customHeight="1" x14ac:dyDescent="0.15">
      <c r="A35" s="113">
        <v>40042517</v>
      </c>
      <c r="B35" s="45">
        <v>0</v>
      </c>
      <c r="C35" s="45">
        <v>60</v>
      </c>
      <c r="D35" s="45">
        <v>100</v>
      </c>
      <c r="E35" s="45" t="s">
        <v>305</v>
      </c>
      <c r="F35" s="45" t="s">
        <v>89</v>
      </c>
      <c r="G35" s="45">
        <v>1</v>
      </c>
      <c r="H35" s="45">
        <v>1</v>
      </c>
      <c r="I35" s="45" t="s">
        <v>89</v>
      </c>
      <c r="J35" s="46">
        <f t="shared" si="1"/>
        <v>100</v>
      </c>
      <c r="L35" s="99" t="s">
        <v>408</v>
      </c>
      <c r="M35" s="99" t="s">
        <v>284</v>
      </c>
    </row>
    <row r="36" spans="1:13" ht="21" customHeight="1" x14ac:dyDescent="0.15">
      <c r="A36" s="113">
        <v>40042518</v>
      </c>
      <c r="B36" s="45">
        <v>0</v>
      </c>
      <c r="C36" s="45">
        <v>50</v>
      </c>
      <c r="D36" s="45">
        <v>100</v>
      </c>
      <c r="E36" s="45" t="s">
        <v>305</v>
      </c>
      <c r="F36" s="45" t="s">
        <v>89</v>
      </c>
      <c r="G36" s="45" t="s">
        <v>88</v>
      </c>
      <c r="H36" s="45">
        <v>1</v>
      </c>
      <c r="I36" s="45" t="s">
        <v>89</v>
      </c>
      <c r="J36" s="46">
        <f t="shared" si="1"/>
        <v>100</v>
      </c>
      <c r="L36" s="99" t="s">
        <v>409</v>
      </c>
      <c r="M36" s="99" t="s">
        <v>285</v>
      </c>
    </row>
    <row r="37" spans="1:13" ht="21" customHeight="1" x14ac:dyDescent="0.15">
      <c r="A37" s="114">
        <v>40042521</v>
      </c>
      <c r="B37" s="45">
        <v>1</v>
      </c>
      <c r="C37" s="45">
        <v>100</v>
      </c>
      <c r="D37" s="45">
        <v>100</v>
      </c>
      <c r="E37" s="45" t="s">
        <v>305</v>
      </c>
      <c r="F37" s="45" t="s">
        <v>89</v>
      </c>
      <c r="G37" s="45">
        <v>1</v>
      </c>
      <c r="H37" s="45">
        <v>1</v>
      </c>
      <c r="I37" s="45" t="s">
        <v>89</v>
      </c>
      <c r="J37" s="46">
        <f t="shared" si="1"/>
        <v>100</v>
      </c>
      <c r="L37" s="105" t="s">
        <v>410</v>
      </c>
      <c r="M37" s="105" t="s">
        <v>287</v>
      </c>
    </row>
    <row r="38" spans="1:13" ht="21" customHeight="1" x14ac:dyDescent="0.15">
      <c r="A38" s="114">
        <v>40042522</v>
      </c>
      <c r="B38" s="45">
        <v>0</v>
      </c>
      <c r="C38" s="45">
        <v>50</v>
      </c>
      <c r="D38" s="45">
        <v>100</v>
      </c>
      <c r="E38" s="45" t="s">
        <v>88</v>
      </c>
      <c r="F38" s="45" t="s">
        <v>89</v>
      </c>
      <c r="G38" s="45" t="s">
        <v>88</v>
      </c>
      <c r="H38" s="45">
        <v>1</v>
      </c>
      <c r="I38" s="45" t="s">
        <v>89</v>
      </c>
      <c r="J38" s="46">
        <f t="shared" si="1"/>
        <v>100</v>
      </c>
      <c r="L38" s="105" t="s">
        <v>411</v>
      </c>
      <c r="M38" s="105" t="s">
        <v>288</v>
      </c>
    </row>
    <row r="39" spans="1:13" ht="21" customHeight="1" x14ac:dyDescent="0.15">
      <c r="A39" s="114">
        <v>40042523</v>
      </c>
      <c r="B39" s="45">
        <v>0</v>
      </c>
      <c r="C39" s="45">
        <v>60</v>
      </c>
      <c r="D39" s="45">
        <v>100</v>
      </c>
      <c r="E39" s="45">
        <v>80</v>
      </c>
      <c r="F39" s="45" t="s">
        <v>89</v>
      </c>
      <c r="G39" s="45" t="s">
        <v>88</v>
      </c>
      <c r="H39" s="45">
        <v>1</v>
      </c>
      <c r="I39" s="45" t="s">
        <v>89</v>
      </c>
      <c r="J39" s="46">
        <f t="shared" si="1"/>
        <v>100</v>
      </c>
      <c r="L39" s="105" t="s">
        <v>412</v>
      </c>
      <c r="M39" s="105" t="s">
        <v>289</v>
      </c>
    </row>
    <row r="40" spans="1:13" ht="21" customHeight="1" x14ac:dyDescent="0.15">
      <c r="A40" s="114">
        <v>40042524</v>
      </c>
      <c r="B40" s="45">
        <v>0</v>
      </c>
      <c r="C40" s="45">
        <v>70</v>
      </c>
      <c r="D40" s="45">
        <v>100</v>
      </c>
      <c r="E40" s="45">
        <v>60</v>
      </c>
      <c r="F40" s="45" t="s">
        <v>89</v>
      </c>
      <c r="G40" s="45" t="s">
        <v>88</v>
      </c>
      <c r="H40" s="45">
        <v>1</v>
      </c>
      <c r="I40" s="45" t="s">
        <v>89</v>
      </c>
      <c r="J40" s="46">
        <f t="shared" si="1"/>
        <v>100</v>
      </c>
      <c r="L40" s="105" t="s">
        <v>413</v>
      </c>
      <c r="M40" s="105" t="s">
        <v>290</v>
      </c>
    </row>
    <row r="41" spans="1:13" ht="21" customHeight="1" x14ac:dyDescent="0.15">
      <c r="A41" s="114">
        <v>40042525</v>
      </c>
      <c r="B41" s="45">
        <v>0</v>
      </c>
      <c r="C41" s="45">
        <v>80</v>
      </c>
      <c r="D41" s="45">
        <v>100</v>
      </c>
      <c r="E41" s="45">
        <v>40</v>
      </c>
      <c r="F41" s="45" t="s">
        <v>89</v>
      </c>
      <c r="G41" s="45" t="s">
        <v>88</v>
      </c>
      <c r="H41" s="45">
        <v>1</v>
      </c>
      <c r="I41" s="45" t="s">
        <v>89</v>
      </c>
      <c r="J41" s="46">
        <f t="shared" si="1"/>
        <v>100</v>
      </c>
      <c r="L41" s="105" t="s">
        <v>414</v>
      </c>
      <c r="M41" s="105" t="s">
        <v>291</v>
      </c>
    </row>
    <row r="42" spans="1:13" ht="21" customHeight="1" x14ac:dyDescent="0.15">
      <c r="A42" s="114">
        <v>40042526</v>
      </c>
      <c r="B42" s="45">
        <v>0</v>
      </c>
      <c r="C42" s="45">
        <v>90</v>
      </c>
      <c r="D42" s="45">
        <v>100</v>
      </c>
      <c r="E42" s="45">
        <v>20</v>
      </c>
      <c r="F42" s="45" t="s">
        <v>89</v>
      </c>
      <c r="G42" s="45" t="s">
        <v>88</v>
      </c>
      <c r="H42" s="45">
        <v>1</v>
      </c>
      <c r="I42" s="45" t="s">
        <v>89</v>
      </c>
      <c r="J42" s="46">
        <f t="shared" si="1"/>
        <v>100</v>
      </c>
      <c r="L42" s="105" t="s">
        <v>415</v>
      </c>
      <c r="M42" s="105" t="s">
        <v>292</v>
      </c>
    </row>
    <row r="43" spans="1:13" ht="21" customHeight="1" x14ac:dyDescent="0.15">
      <c r="A43" s="117">
        <v>40042531</v>
      </c>
      <c r="B43" s="45">
        <v>1</v>
      </c>
      <c r="C43" s="45">
        <v>100</v>
      </c>
      <c r="D43" s="45">
        <v>100</v>
      </c>
      <c r="E43" s="45" t="s">
        <v>305</v>
      </c>
      <c r="F43" s="45" t="s">
        <v>89</v>
      </c>
      <c r="G43" s="45">
        <v>1</v>
      </c>
      <c r="H43" s="45">
        <v>1</v>
      </c>
      <c r="I43" s="45" t="s">
        <v>89</v>
      </c>
      <c r="J43" s="46">
        <f t="shared" si="1"/>
        <v>100</v>
      </c>
      <c r="L43" s="108" t="s">
        <v>416</v>
      </c>
      <c r="M43" s="108" t="s">
        <v>294</v>
      </c>
    </row>
    <row r="44" spans="1:13" ht="21" customHeight="1" x14ac:dyDescent="0.15">
      <c r="A44" s="117">
        <v>40042532</v>
      </c>
      <c r="B44" s="45">
        <v>0</v>
      </c>
      <c r="C44" s="45">
        <v>60</v>
      </c>
      <c r="D44" s="45">
        <v>100</v>
      </c>
      <c r="E44" s="45" t="s">
        <v>305</v>
      </c>
      <c r="F44" s="45" t="s">
        <v>89</v>
      </c>
      <c r="G44" s="45">
        <v>1</v>
      </c>
      <c r="H44" s="45">
        <v>1</v>
      </c>
      <c r="I44" s="45" t="s">
        <v>89</v>
      </c>
      <c r="J44" s="46">
        <f t="shared" si="1"/>
        <v>100</v>
      </c>
      <c r="L44" s="108" t="s">
        <v>417</v>
      </c>
      <c r="M44" s="108" t="s">
        <v>295</v>
      </c>
    </row>
    <row r="45" spans="1:13" ht="21" customHeight="1" x14ac:dyDescent="0.15">
      <c r="A45" s="117">
        <v>40042533</v>
      </c>
      <c r="B45" s="45">
        <v>0</v>
      </c>
      <c r="C45" s="45">
        <v>50</v>
      </c>
      <c r="D45" s="45">
        <v>100</v>
      </c>
      <c r="E45" s="45" t="s">
        <v>305</v>
      </c>
      <c r="F45" s="45" t="s">
        <v>89</v>
      </c>
      <c r="G45" s="45">
        <v>1</v>
      </c>
      <c r="H45" s="45">
        <v>1</v>
      </c>
      <c r="I45" s="45" t="s">
        <v>89</v>
      </c>
      <c r="J45" s="46">
        <f t="shared" si="1"/>
        <v>100</v>
      </c>
      <c r="L45" s="108" t="s">
        <v>418</v>
      </c>
      <c r="M45" s="108" t="s">
        <v>296</v>
      </c>
    </row>
    <row r="46" spans="1:13" ht="21" customHeight="1" x14ac:dyDescent="0.15">
      <c r="A46" s="117">
        <v>40042534</v>
      </c>
      <c r="B46" s="45">
        <v>0</v>
      </c>
      <c r="C46" s="45">
        <v>40</v>
      </c>
      <c r="D46" s="45">
        <v>100</v>
      </c>
      <c r="E46" s="45" t="s">
        <v>305</v>
      </c>
      <c r="F46" s="45" t="s">
        <v>89</v>
      </c>
      <c r="G46" s="45">
        <v>1</v>
      </c>
      <c r="H46" s="45">
        <v>1</v>
      </c>
      <c r="I46" s="45" t="s">
        <v>89</v>
      </c>
      <c r="J46" s="46">
        <f t="shared" si="1"/>
        <v>100</v>
      </c>
      <c r="L46" s="108" t="s">
        <v>419</v>
      </c>
      <c r="M46" s="108" t="s">
        <v>297</v>
      </c>
    </row>
    <row r="47" spans="1:13" ht="21" customHeight="1" x14ac:dyDescent="0.15">
      <c r="A47" s="117">
        <v>40042535</v>
      </c>
      <c r="B47" s="45">
        <v>0</v>
      </c>
      <c r="C47" s="45">
        <v>30</v>
      </c>
      <c r="D47" s="45">
        <v>100</v>
      </c>
      <c r="E47" s="45">
        <v>50</v>
      </c>
      <c r="F47" s="45" t="s">
        <v>89</v>
      </c>
      <c r="G47" s="45">
        <v>1</v>
      </c>
      <c r="H47" s="45">
        <v>1</v>
      </c>
      <c r="I47" s="45" t="s">
        <v>89</v>
      </c>
      <c r="J47" s="46">
        <f t="shared" si="1"/>
        <v>100</v>
      </c>
      <c r="L47" s="108" t="s">
        <v>420</v>
      </c>
      <c r="M47" s="108" t="s">
        <v>298</v>
      </c>
    </row>
    <row r="48" spans="1:13" ht="21" customHeight="1" x14ac:dyDescent="0.15">
      <c r="A48" s="117">
        <v>40042536</v>
      </c>
      <c r="B48" s="45">
        <v>0</v>
      </c>
      <c r="C48" s="45">
        <v>20</v>
      </c>
      <c r="D48" s="45">
        <v>100</v>
      </c>
      <c r="E48" s="45">
        <v>50</v>
      </c>
      <c r="F48" s="45" t="s">
        <v>89</v>
      </c>
      <c r="G48" s="45">
        <v>1</v>
      </c>
      <c r="H48" s="45">
        <v>1</v>
      </c>
      <c r="I48" s="45" t="s">
        <v>89</v>
      </c>
      <c r="J48" s="46">
        <f t="shared" si="1"/>
        <v>100</v>
      </c>
      <c r="L48" s="108" t="s">
        <v>421</v>
      </c>
      <c r="M48" s="108" t="s">
        <v>299</v>
      </c>
    </row>
    <row r="49" spans="1:13" ht="21" customHeight="1" x14ac:dyDescent="0.15">
      <c r="A49" s="117">
        <v>40042537</v>
      </c>
      <c r="B49" s="45">
        <v>0</v>
      </c>
      <c r="C49" s="45">
        <v>10</v>
      </c>
      <c r="D49" s="45">
        <v>100</v>
      </c>
      <c r="E49" s="45">
        <v>50</v>
      </c>
      <c r="F49" s="45" t="s">
        <v>89</v>
      </c>
      <c r="G49" s="45">
        <v>1</v>
      </c>
      <c r="H49" s="45">
        <v>1</v>
      </c>
      <c r="I49" s="45" t="s">
        <v>89</v>
      </c>
      <c r="J49" s="46">
        <f t="shared" si="1"/>
        <v>100</v>
      </c>
      <c r="L49" s="108" t="s">
        <v>422</v>
      </c>
      <c r="M49" s="108" t="s">
        <v>300</v>
      </c>
    </row>
    <row r="50" spans="1:13" ht="21" customHeight="1" x14ac:dyDescent="0.15">
      <c r="A50" s="197">
        <v>40042538</v>
      </c>
      <c r="B50" s="198">
        <v>0</v>
      </c>
      <c r="C50" s="198">
        <v>70</v>
      </c>
      <c r="D50" s="198">
        <v>100</v>
      </c>
      <c r="E50" s="198" t="s">
        <v>305</v>
      </c>
      <c r="F50" s="198" t="s">
        <v>89</v>
      </c>
      <c r="G50" s="198">
        <v>0</v>
      </c>
      <c r="H50" s="198">
        <v>1</v>
      </c>
      <c r="I50" s="198">
        <v>0</v>
      </c>
      <c r="J50" s="199">
        <f t="shared" si="1"/>
        <v>100</v>
      </c>
      <c r="L50" s="108" t="s">
        <v>423</v>
      </c>
      <c r="M50" s="200" t="s">
        <v>307</v>
      </c>
    </row>
    <row r="51" spans="1:13" ht="21" customHeight="1" x14ac:dyDescent="0.15">
      <c r="A51" s="192">
        <v>40042539</v>
      </c>
      <c r="B51" s="45">
        <v>0</v>
      </c>
      <c r="C51" s="45">
        <v>90</v>
      </c>
      <c r="D51" s="45">
        <v>100</v>
      </c>
      <c r="E51" s="45" t="s">
        <v>305</v>
      </c>
      <c r="F51" s="45" t="s">
        <v>88</v>
      </c>
      <c r="G51" s="45">
        <v>0</v>
      </c>
      <c r="H51" s="45">
        <v>1</v>
      </c>
      <c r="I51" s="45">
        <v>1263</v>
      </c>
      <c r="J51" s="46">
        <f t="shared" ref="J51:J101" si="6">D51</f>
        <v>100</v>
      </c>
      <c r="K51" s="202"/>
      <c r="L51" s="108" t="s">
        <v>424</v>
      </c>
      <c r="M51" s="108" t="s">
        <v>306</v>
      </c>
    </row>
    <row r="52" spans="1:13" ht="21" customHeight="1" thickBot="1" x14ac:dyDescent="0.2">
      <c r="A52" s="189">
        <v>40042530</v>
      </c>
      <c r="B52" s="201">
        <v>0</v>
      </c>
      <c r="C52" s="201">
        <v>80</v>
      </c>
      <c r="D52" s="201">
        <v>100</v>
      </c>
      <c r="E52" s="201" t="s">
        <v>305</v>
      </c>
      <c r="F52" s="201" t="s">
        <v>88</v>
      </c>
      <c r="G52" s="201">
        <v>0</v>
      </c>
      <c r="H52" s="201">
        <v>1</v>
      </c>
      <c r="I52" s="201">
        <v>1262</v>
      </c>
      <c r="J52" s="194">
        <f t="shared" ref="J52" si="7">D52</f>
        <v>100</v>
      </c>
      <c r="K52" s="168"/>
      <c r="L52" s="191" t="s">
        <v>424</v>
      </c>
      <c r="M52" s="191" t="s">
        <v>306</v>
      </c>
    </row>
    <row r="53" spans="1:13" ht="21" customHeight="1" x14ac:dyDescent="0.15">
      <c r="A53" s="161">
        <v>40042611</v>
      </c>
      <c r="B53" s="167">
        <v>0</v>
      </c>
      <c r="C53" s="167">
        <v>80</v>
      </c>
      <c r="D53" s="167">
        <v>100</v>
      </c>
      <c r="E53" s="167" t="s">
        <v>305</v>
      </c>
      <c r="F53" s="167" t="s">
        <v>305</v>
      </c>
      <c r="G53" s="167" t="s">
        <v>305</v>
      </c>
      <c r="H53" s="167">
        <v>1</v>
      </c>
      <c r="I53" s="167" t="s">
        <v>305</v>
      </c>
      <c r="J53" s="165">
        <f t="shared" si="6"/>
        <v>100</v>
      </c>
      <c r="L53" s="163" t="s">
        <v>381</v>
      </c>
      <c r="M53" s="163" t="s">
        <v>255</v>
      </c>
    </row>
    <row r="54" spans="1:13" ht="21" customHeight="1" x14ac:dyDescent="0.15">
      <c r="A54" s="113">
        <v>40042612</v>
      </c>
      <c r="B54" s="45">
        <v>0</v>
      </c>
      <c r="C54" s="45">
        <v>90</v>
      </c>
      <c r="D54" s="45">
        <v>100</v>
      </c>
      <c r="E54" s="45" t="s">
        <v>305</v>
      </c>
      <c r="F54" s="45" t="s">
        <v>305</v>
      </c>
      <c r="G54" s="45" t="s">
        <v>305</v>
      </c>
      <c r="H54" s="45">
        <v>2</v>
      </c>
      <c r="I54" s="45" t="s">
        <v>305</v>
      </c>
      <c r="J54" s="46">
        <f t="shared" si="6"/>
        <v>100</v>
      </c>
      <c r="L54" s="99" t="s">
        <v>381</v>
      </c>
      <c r="M54" s="99" t="s">
        <v>350</v>
      </c>
    </row>
    <row r="55" spans="1:13" ht="21" customHeight="1" x14ac:dyDescent="0.15">
      <c r="A55" s="113">
        <v>40042613</v>
      </c>
      <c r="B55" s="45">
        <v>0</v>
      </c>
      <c r="C55" s="45">
        <v>100</v>
      </c>
      <c r="D55" s="45">
        <v>100</v>
      </c>
      <c r="E55" s="45" t="s">
        <v>305</v>
      </c>
      <c r="F55" s="45" t="s">
        <v>305</v>
      </c>
      <c r="G55" s="45" t="s">
        <v>305</v>
      </c>
      <c r="H55" s="45">
        <v>5</v>
      </c>
      <c r="I55" s="45" t="s">
        <v>305</v>
      </c>
      <c r="J55" s="46">
        <f t="shared" si="6"/>
        <v>100</v>
      </c>
      <c r="L55" s="99" t="s">
        <v>382</v>
      </c>
      <c r="M55" s="99" t="s">
        <v>351</v>
      </c>
    </row>
    <row r="56" spans="1:13" ht="21" customHeight="1" x14ac:dyDescent="0.15">
      <c r="A56" s="114">
        <v>40042621</v>
      </c>
      <c r="B56" s="45">
        <v>1</v>
      </c>
      <c r="C56" s="45">
        <v>100</v>
      </c>
      <c r="D56" s="45">
        <v>100</v>
      </c>
      <c r="E56" s="45" t="s">
        <v>305</v>
      </c>
      <c r="F56" s="45" t="s">
        <v>305</v>
      </c>
      <c r="G56" s="45">
        <v>1</v>
      </c>
      <c r="H56" s="45">
        <v>1</v>
      </c>
      <c r="I56" s="45" t="s">
        <v>305</v>
      </c>
      <c r="J56" s="46">
        <f t="shared" si="6"/>
        <v>100</v>
      </c>
      <c r="L56" s="105" t="s">
        <v>449</v>
      </c>
      <c r="M56" s="105" t="s">
        <v>352</v>
      </c>
    </row>
    <row r="57" spans="1:13" ht="21" customHeight="1" x14ac:dyDescent="0.15">
      <c r="A57" s="114">
        <v>40042622</v>
      </c>
      <c r="B57" s="45">
        <v>0</v>
      </c>
      <c r="C57" s="45">
        <v>80</v>
      </c>
      <c r="D57" s="45">
        <v>100</v>
      </c>
      <c r="E57" s="45" t="s">
        <v>305</v>
      </c>
      <c r="F57" s="45" t="s">
        <v>305</v>
      </c>
      <c r="G57" s="45" t="s">
        <v>305</v>
      </c>
      <c r="H57" s="45">
        <v>4</v>
      </c>
      <c r="I57" s="45" t="s">
        <v>305</v>
      </c>
      <c r="J57" s="46">
        <f t="shared" si="6"/>
        <v>100</v>
      </c>
      <c r="L57" s="105" t="s">
        <v>383</v>
      </c>
      <c r="M57" s="105" t="s">
        <v>353</v>
      </c>
    </row>
    <row r="58" spans="1:13" ht="21" customHeight="1" x14ac:dyDescent="0.15">
      <c r="A58" s="114">
        <v>40042623</v>
      </c>
      <c r="B58" s="45">
        <v>0</v>
      </c>
      <c r="C58" s="45">
        <v>90</v>
      </c>
      <c r="D58" s="45">
        <v>100</v>
      </c>
      <c r="E58" s="45" t="s">
        <v>305</v>
      </c>
      <c r="F58" s="45" t="s">
        <v>305</v>
      </c>
      <c r="G58" s="45" t="s">
        <v>305</v>
      </c>
      <c r="H58" s="45">
        <v>1</v>
      </c>
      <c r="I58" s="45">
        <v>594</v>
      </c>
      <c r="J58" s="46">
        <f t="shared" si="6"/>
        <v>100</v>
      </c>
      <c r="L58" s="105" t="s">
        <v>384</v>
      </c>
      <c r="M58" s="105" t="s">
        <v>346</v>
      </c>
    </row>
    <row r="59" spans="1:13" ht="21" customHeight="1" x14ac:dyDescent="0.15">
      <c r="A59" s="115">
        <v>40042711</v>
      </c>
      <c r="B59" s="45">
        <v>0</v>
      </c>
      <c r="C59" s="45">
        <v>100</v>
      </c>
      <c r="D59" s="45">
        <v>100</v>
      </c>
      <c r="E59" s="45" t="s">
        <v>305</v>
      </c>
      <c r="F59" s="45" t="s">
        <v>305</v>
      </c>
      <c r="G59" s="45" t="s">
        <v>305</v>
      </c>
      <c r="H59" s="45">
        <v>2</v>
      </c>
      <c r="I59" s="45" t="s">
        <v>305</v>
      </c>
      <c r="J59" s="46">
        <f t="shared" si="6"/>
        <v>100</v>
      </c>
      <c r="L59" s="102" t="s">
        <v>313</v>
      </c>
      <c r="M59" s="102" t="s">
        <v>354</v>
      </c>
    </row>
    <row r="60" spans="1:13" ht="21" customHeight="1" x14ac:dyDescent="0.15">
      <c r="A60" s="115">
        <v>40042712</v>
      </c>
      <c r="B60" s="45">
        <v>0</v>
      </c>
      <c r="C60" s="45">
        <v>90</v>
      </c>
      <c r="D60" s="45">
        <v>100</v>
      </c>
      <c r="E60" s="45" t="s">
        <v>305</v>
      </c>
      <c r="F60" s="45" t="s">
        <v>305</v>
      </c>
      <c r="G60" s="45" t="s">
        <v>305</v>
      </c>
      <c r="H60" s="45">
        <v>5</v>
      </c>
      <c r="I60" s="45" t="s">
        <v>305</v>
      </c>
      <c r="J60" s="46">
        <f t="shared" si="6"/>
        <v>100</v>
      </c>
      <c r="L60" s="102" t="s">
        <v>385</v>
      </c>
      <c r="M60" s="102" t="s">
        <v>351</v>
      </c>
    </row>
    <row r="61" spans="1:13" ht="21" customHeight="1" x14ac:dyDescent="0.15">
      <c r="A61" s="116">
        <v>40042721</v>
      </c>
      <c r="B61" s="45">
        <v>1</v>
      </c>
      <c r="C61" s="45">
        <v>100</v>
      </c>
      <c r="D61" s="45">
        <v>100</v>
      </c>
      <c r="E61" s="45" t="s">
        <v>305</v>
      </c>
      <c r="F61" s="45" t="s">
        <v>305</v>
      </c>
      <c r="G61" s="45">
        <v>1</v>
      </c>
      <c r="H61" s="45">
        <v>1</v>
      </c>
      <c r="I61" s="45" t="s">
        <v>305</v>
      </c>
      <c r="J61" s="46">
        <f t="shared" si="6"/>
        <v>100</v>
      </c>
      <c r="L61" s="111" t="s">
        <v>314</v>
      </c>
      <c r="M61" s="111" t="s">
        <v>355</v>
      </c>
    </row>
    <row r="62" spans="1:13" ht="21" customHeight="1" x14ac:dyDescent="0.15">
      <c r="A62" s="116">
        <v>40042722</v>
      </c>
      <c r="B62" s="45">
        <v>0</v>
      </c>
      <c r="C62" s="45">
        <v>80</v>
      </c>
      <c r="D62" s="45">
        <v>100</v>
      </c>
      <c r="E62" s="45" t="s">
        <v>305</v>
      </c>
      <c r="F62" s="45" t="s">
        <v>305</v>
      </c>
      <c r="G62" s="45" t="s">
        <v>305</v>
      </c>
      <c r="H62" s="45">
        <v>4</v>
      </c>
      <c r="I62" s="45" t="s">
        <v>305</v>
      </c>
      <c r="J62" s="46">
        <f t="shared" si="6"/>
        <v>100</v>
      </c>
      <c r="L62" s="111" t="s">
        <v>402</v>
      </c>
      <c r="M62" s="111" t="s">
        <v>356</v>
      </c>
    </row>
    <row r="63" spans="1:13" ht="21" customHeight="1" x14ac:dyDescent="0.15">
      <c r="A63" s="116">
        <v>40042723</v>
      </c>
      <c r="B63" s="45">
        <v>0</v>
      </c>
      <c r="C63" s="45">
        <v>90</v>
      </c>
      <c r="D63" s="45">
        <v>100</v>
      </c>
      <c r="E63" s="45" t="s">
        <v>305</v>
      </c>
      <c r="F63" s="45" t="s">
        <v>305</v>
      </c>
      <c r="G63" s="45" t="s">
        <v>305</v>
      </c>
      <c r="H63" s="45">
        <v>1</v>
      </c>
      <c r="I63" s="45">
        <v>583</v>
      </c>
      <c r="J63" s="46">
        <f t="shared" si="6"/>
        <v>100</v>
      </c>
      <c r="L63" s="111" t="s">
        <v>386</v>
      </c>
      <c r="M63" s="111" t="s">
        <v>348</v>
      </c>
    </row>
    <row r="64" spans="1:13" ht="21" customHeight="1" x14ac:dyDescent="0.15">
      <c r="A64" s="113">
        <v>40042811</v>
      </c>
      <c r="B64" s="45">
        <v>1</v>
      </c>
      <c r="C64" s="45">
        <v>100</v>
      </c>
      <c r="D64" s="45">
        <v>100</v>
      </c>
      <c r="E64" s="45" t="s">
        <v>305</v>
      </c>
      <c r="F64" s="45" t="s">
        <v>305</v>
      </c>
      <c r="G64" s="45">
        <v>1</v>
      </c>
      <c r="H64" s="45">
        <v>1</v>
      </c>
      <c r="I64" s="45" t="s">
        <v>305</v>
      </c>
      <c r="J64" s="46">
        <f t="shared" si="6"/>
        <v>100</v>
      </c>
      <c r="L64" s="99" t="s">
        <v>425</v>
      </c>
      <c r="M64" s="99" t="s">
        <v>357</v>
      </c>
    </row>
    <row r="65" spans="1:13" ht="21" customHeight="1" x14ac:dyDescent="0.15">
      <c r="A65" s="113">
        <v>40042812</v>
      </c>
      <c r="B65" s="45">
        <v>1</v>
      </c>
      <c r="C65" s="45">
        <v>120</v>
      </c>
      <c r="D65" s="45">
        <v>100</v>
      </c>
      <c r="E65" s="45" t="s">
        <v>305</v>
      </c>
      <c r="F65" s="45" t="s">
        <v>305</v>
      </c>
      <c r="G65" s="45">
        <v>1</v>
      </c>
      <c r="H65" s="45">
        <v>1</v>
      </c>
      <c r="I65" s="45">
        <v>1263</v>
      </c>
      <c r="J65" s="46">
        <f t="shared" si="6"/>
        <v>100</v>
      </c>
      <c r="L65" s="99" t="s">
        <v>426</v>
      </c>
      <c r="M65" s="99" t="s">
        <v>265</v>
      </c>
    </row>
    <row r="66" spans="1:13" ht="21" customHeight="1" x14ac:dyDescent="0.15">
      <c r="A66" s="113">
        <v>40042813</v>
      </c>
      <c r="B66" s="45">
        <v>1</v>
      </c>
      <c r="C66" s="45">
        <v>110</v>
      </c>
      <c r="D66" s="45">
        <v>100</v>
      </c>
      <c r="E66" s="45" t="s">
        <v>305</v>
      </c>
      <c r="F66" s="45" t="s">
        <v>305</v>
      </c>
      <c r="G66" s="45">
        <v>1</v>
      </c>
      <c r="H66" s="45">
        <v>1</v>
      </c>
      <c r="I66" s="45">
        <v>1262</v>
      </c>
      <c r="J66" s="46">
        <f t="shared" ref="J66" si="8">D66</f>
        <v>100</v>
      </c>
      <c r="L66" s="99" t="s">
        <v>426</v>
      </c>
      <c r="M66" s="99" t="s">
        <v>265</v>
      </c>
    </row>
    <row r="67" spans="1:13" ht="21" customHeight="1" x14ac:dyDescent="0.15">
      <c r="A67" s="113">
        <v>40042814</v>
      </c>
      <c r="B67" s="45">
        <v>0</v>
      </c>
      <c r="C67" s="45">
        <v>90</v>
      </c>
      <c r="D67" s="45">
        <v>100</v>
      </c>
      <c r="E67" s="45" t="s">
        <v>305</v>
      </c>
      <c r="F67" s="45" t="s">
        <v>305</v>
      </c>
      <c r="G67" s="45" t="s">
        <v>305</v>
      </c>
      <c r="H67" s="45">
        <v>1</v>
      </c>
      <c r="I67" s="45" t="s">
        <v>305</v>
      </c>
      <c r="J67" s="46">
        <f t="shared" si="6"/>
        <v>100</v>
      </c>
      <c r="L67" s="99" t="s">
        <v>427</v>
      </c>
      <c r="M67" s="99" t="s">
        <v>358</v>
      </c>
    </row>
    <row r="68" spans="1:13" ht="21" customHeight="1" x14ac:dyDescent="0.15">
      <c r="A68" s="115">
        <v>40042911</v>
      </c>
      <c r="B68" s="45">
        <v>1</v>
      </c>
      <c r="C68" s="45">
        <v>100</v>
      </c>
      <c r="D68" s="45">
        <v>100</v>
      </c>
      <c r="E68" s="45" t="s">
        <v>305</v>
      </c>
      <c r="F68" s="45" t="s">
        <v>305</v>
      </c>
      <c r="G68" s="45">
        <v>1</v>
      </c>
      <c r="H68" s="45">
        <v>1</v>
      </c>
      <c r="I68" s="45" t="s">
        <v>305</v>
      </c>
      <c r="J68" s="46">
        <f t="shared" si="6"/>
        <v>100</v>
      </c>
      <c r="L68" s="102" t="s">
        <v>387</v>
      </c>
      <c r="M68" s="102" t="s">
        <v>359</v>
      </c>
    </row>
    <row r="69" spans="1:13" ht="21" customHeight="1" x14ac:dyDescent="0.15">
      <c r="A69" s="115">
        <v>40042912</v>
      </c>
      <c r="B69" s="45">
        <v>1</v>
      </c>
      <c r="C69" s="45">
        <v>120</v>
      </c>
      <c r="D69" s="45">
        <v>100</v>
      </c>
      <c r="E69" s="45" t="s">
        <v>305</v>
      </c>
      <c r="F69" s="45" t="s">
        <v>305</v>
      </c>
      <c r="G69" s="45">
        <v>1</v>
      </c>
      <c r="H69" s="45">
        <v>1</v>
      </c>
      <c r="I69" s="45">
        <v>1263</v>
      </c>
      <c r="J69" s="46">
        <f t="shared" si="6"/>
        <v>100</v>
      </c>
      <c r="L69" s="102" t="s">
        <v>388</v>
      </c>
      <c r="M69" s="102" t="s">
        <v>265</v>
      </c>
    </row>
    <row r="70" spans="1:13" ht="21" customHeight="1" x14ac:dyDescent="0.15">
      <c r="A70" s="115">
        <v>40042913</v>
      </c>
      <c r="B70" s="45">
        <v>1</v>
      </c>
      <c r="C70" s="45">
        <v>110</v>
      </c>
      <c r="D70" s="45">
        <v>100</v>
      </c>
      <c r="E70" s="45" t="s">
        <v>305</v>
      </c>
      <c r="F70" s="45" t="s">
        <v>305</v>
      </c>
      <c r="G70" s="45">
        <v>1</v>
      </c>
      <c r="H70" s="45">
        <v>1</v>
      </c>
      <c r="I70" s="45">
        <v>1262</v>
      </c>
      <c r="J70" s="46">
        <f t="shared" ref="J70" si="9">D70</f>
        <v>100</v>
      </c>
      <c r="L70" s="102" t="s">
        <v>388</v>
      </c>
      <c r="M70" s="102" t="s">
        <v>265</v>
      </c>
    </row>
    <row r="71" spans="1:13" ht="21" customHeight="1" x14ac:dyDescent="0.15">
      <c r="A71" s="115">
        <v>40042914</v>
      </c>
      <c r="B71" s="45">
        <v>0</v>
      </c>
      <c r="C71" s="45">
        <v>90</v>
      </c>
      <c r="D71" s="45">
        <v>100</v>
      </c>
      <c r="E71" s="45" t="s">
        <v>305</v>
      </c>
      <c r="F71" s="45" t="s">
        <v>305</v>
      </c>
      <c r="G71" s="45" t="s">
        <v>305</v>
      </c>
      <c r="H71" s="45">
        <v>3</v>
      </c>
      <c r="I71" s="45" t="s">
        <v>305</v>
      </c>
      <c r="J71" s="46">
        <f t="shared" si="6"/>
        <v>100</v>
      </c>
      <c r="L71" s="102" t="s">
        <v>389</v>
      </c>
      <c r="M71" s="102" t="s">
        <v>360</v>
      </c>
    </row>
    <row r="72" spans="1:13" ht="21" customHeight="1" x14ac:dyDescent="0.15">
      <c r="A72" s="115">
        <v>40042915</v>
      </c>
      <c r="B72" s="45">
        <v>0</v>
      </c>
      <c r="C72" s="45">
        <v>80</v>
      </c>
      <c r="D72" s="45">
        <v>100</v>
      </c>
      <c r="E72" s="45" t="s">
        <v>305</v>
      </c>
      <c r="F72" s="45" t="s">
        <v>305</v>
      </c>
      <c r="G72" s="45" t="s">
        <v>305</v>
      </c>
      <c r="H72" s="45">
        <v>4</v>
      </c>
      <c r="I72" s="45" t="s">
        <v>305</v>
      </c>
      <c r="J72" s="46">
        <f t="shared" si="6"/>
        <v>100</v>
      </c>
      <c r="L72" s="102" t="s">
        <v>390</v>
      </c>
      <c r="M72" s="102" t="s">
        <v>361</v>
      </c>
    </row>
    <row r="73" spans="1:13" ht="21" customHeight="1" x14ac:dyDescent="0.15">
      <c r="A73" s="115">
        <v>40042916</v>
      </c>
      <c r="B73" s="45">
        <v>0</v>
      </c>
      <c r="C73" s="45">
        <v>60</v>
      </c>
      <c r="D73" s="45">
        <v>100</v>
      </c>
      <c r="E73" s="45">
        <v>60</v>
      </c>
      <c r="F73" s="45" t="s">
        <v>305</v>
      </c>
      <c r="G73" s="45" t="s">
        <v>305</v>
      </c>
      <c r="H73" s="45">
        <v>1</v>
      </c>
      <c r="I73" s="45" t="s">
        <v>305</v>
      </c>
      <c r="J73" s="46">
        <f t="shared" si="6"/>
        <v>100</v>
      </c>
      <c r="L73" s="102" t="s">
        <v>391</v>
      </c>
      <c r="M73" s="102" t="s">
        <v>362</v>
      </c>
    </row>
    <row r="74" spans="1:13" ht="21" customHeight="1" x14ac:dyDescent="0.15">
      <c r="A74" s="115">
        <v>40042917</v>
      </c>
      <c r="B74" s="45">
        <v>0</v>
      </c>
      <c r="C74" s="45">
        <v>70</v>
      </c>
      <c r="D74" s="45">
        <v>100</v>
      </c>
      <c r="E74" s="45">
        <v>30</v>
      </c>
      <c r="F74" s="45" t="s">
        <v>305</v>
      </c>
      <c r="G74" s="45" t="s">
        <v>305</v>
      </c>
      <c r="H74" s="45">
        <v>1</v>
      </c>
      <c r="I74" s="45" t="s">
        <v>305</v>
      </c>
      <c r="J74" s="46">
        <f t="shared" si="6"/>
        <v>100</v>
      </c>
      <c r="L74" s="102" t="s">
        <v>392</v>
      </c>
      <c r="M74" s="102" t="s">
        <v>363</v>
      </c>
    </row>
    <row r="75" spans="1:13" ht="21" customHeight="1" x14ac:dyDescent="0.15">
      <c r="A75" s="116">
        <v>40042921</v>
      </c>
      <c r="B75" s="45">
        <v>1</v>
      </c>
      <c r="C75" s="45">
        <v>100</v>
      </c>
      <c r="D75" s="45">
        <v>100</v>
      </c>
      <c r="E75" s="45" t="s">
        <v>305</v>
      </c>
      <c r="F75" s="45" t="s">
        <v>305</v>
      </c>
      <c r="G75" s="45">
        <v>1</v>
      </c>
      <c r="H75" s="45">
        <v>1</v>
      </c>
      <c r="I75" s="45" t="s">
        <v>305</v>
      </c>
      <c r="J75" s="46">
        <f t="shared" si="6"/>
        <v>100</v>
      </c>
      <c r="L75" s="111" t="s">
        <v>393</v>
      </c>
      <c r="M75" s="111" t="s">
        <v>364</v>
      </c>
    </row>
    <row r="76" spans="1:13" ht="21" customHeight="1" x14ac:dyDescent="0.15">
      <c r="A76" s="116">
        <v>40042922</v>
      </c>
      <c r="B76" s="45">
        <v>0</v>
      </c>
      <c r="C76" s="45">
        <v>80</v>
      </c>
      <c r="D76" s="45">
        <v>100</v>
      </c>
      <c r="E76" s="45" t="s">
        <v>305</v>
      </c>
      <c r="F76" s="45" t="s">
        <v>305</v>
      </c>
      <c r="G76" s="45">
        <v>1</v>
      </c>
      <c r="H76" s="45">
        <v>5</v>
      </c>
      <c r="I76" s="45" t="s">
        <v>305</v>
      </c>
      <c r="J76" s="46">
        <f t="shared" si="6"/>
        <v>100</v>
      </c>
      <c r="L76" s="111" t="s">
        <v>394</v>
      </c>
      <c r="M76" s="111" t="s">
        <v>365</v>
      </c>
    </row>
    <row r="77" spans="1:13" ht="21" customHeight="1" x14ac:dyDescent="0.15">
      <c r="A77" s="116">
        <v>40042923</v>
      </c>
      <c r="B77" s="45">
        <v>0</v>
      </c>
      <c r="C77" s="45">
        <v>70</v>
      </c>
      <c r="D77" s="45">
        <v>100</v>
      </c>
      <c r="E77" s="45">
        <v>70</v>
      </c>
      <c r="F77" s="45" t="s">
        <v>305</v>
      </c>
      <c r="G77" s="45">
        <v>1</v>
      </c>
      <c r="H77" s="45">
        <v>1</v>
      </c>
      <c r="I77" s="45" t="s">
        <v>305</v>
      </c>
      <c r="J77" s="46">
        <f t="shared" si="6"/>
        <v>100</v>
      </c>
      <c r="L77" s="111" t="s">
        <v>390</v>
      </c>
      <c r="M77" s="111" t="s">
        <v>366</v>
      </c>
    </row>
    <row r="78" spans="1:13" ht="21" customHeight="1" x14ac:dyDescent="0.15">
      <c r="A78" s="116">
        <v>40042924</v>
      </c>
      <c r="B78" s="45">
        <v>0</v>
      </c>
      <c r="C78" s="45">
        <v>60</v>
      </c>
      <c r="D78" s="45">
        <v>100</v>
      </c>
      <c r="E78" s="45">
        <v>70</v>
      </c>
      <c r="F78" s="45" t="s">
        <v>305</v>
      </c>
      <c r="G78" s="45">
        <v>1</v>
      </c>
      <c r="H78" s="45">
        <v>1</v>
      </c>
      <c r="I78" s="45" t="s">
        <v>305</v>
      </c>
      <c r="J78" s="46">
        <f t="shared" si="6"/>
        <v>100</v>
      </c>
      <c r="L78" s="111" t="s">
        <v>391</v>
      </c>
      <c r="M78" s="111" t="s">
        <v>367</v>
      </c>
    </row>
    <row r="79" spans="1:13" ht="21" customHeight="1" x14ac:dyDescent="0.15">
      <c r="A79" s="116">
        <v>40042925</v>
      </c>
      <c r="B79" s="45">
        <v>0</v>
      </c>
      <c r="C79" s="45">
        <v>90</v>
      </c>
      <c r="D79" s="45">
        <v>100</v>
      </c>
      <c r="E79" s="45">
        <v>40</v>
      </c>
      <c r="F79" s="45" t="s">
        <v>305</v>
      </c>
      <c r="G79" s="45">
        <v>1</v>
      </c>
      <c r="H79" s="45">
        <v>1</v>
      </c>
      <c r="I79" s="45" t="s">
        <v>305</v>
      </c>
      <c r="J79" s="46">
        <f t="shared" si="6"/>
        <v>100</v>
      </c>
      <c r="L79" s="111" t="s">
        <v>395</v>
      </c>
      <c r="M79" s="111" t="s">
        <v>278</v>
      </c>
    </row>
    <row r="80" spans="1:13" ht="21" customHeight="1" x14ac:dyDescent="0.15">
      <c r="A80" s="113">
        <v>40042011</v>
      </c>
      <c r="B80" s="45">
        <v>1</v>
      </c>
      <c r="C80" s="45">
        <v>100</v>
      </c>
      <c r="D80" s="45">
        <v>100</v>
      </c>
      <c r="E80" s="45" t="s">
        <v>305</v>
      </c>
      <c r="F80" s="45" t="s">
        <v>305</v>
      </c>
      <c r="G80" s="45">
        <v>1</v>
      </c>
      <c r="H80" s="45">
        <v>1</v>
      </c>
      <c r="I80" s="45" t="s">
        <v>305</v>
      </c>
      <c r="J80" s="46">
        <f t="shared" si="6"/>
        <v>100</v>
      </c>
      <c r="L80" s="99" t="s">
        <v>403</v>
      </c>
      <c r="M80" s="99" t="s">
        <v>368</v>
      </c>
    </row>
    <row r="81" spans="1:13" ht="21" customHeight="1" x14ac:dyDescent="0.15">
      <c r="A81" s="113">
        <v>40042012</v>
      </c>
      <c r="B81" s="45">
        <v>1</v>
      </c>
      <c r="C81" s="45">
        <v>110</v>
      </c>
      <c r="D81" s="45">
        <v>100</v>
      </c>
      <c r="E81" s="45" t="s">
        <v>305</v>
      </c>
      <c r="F81" s="45" t="s">
        <v>305</v>
      </c>
      <c r="G81" s="45">
        <v>1</v>
      </c>
      <c r="H81" s="45">
        <v>1</v>
      </c>
      <c r="I81" s="45">
        <v>1263</v>
      </c>
      <c r="J81" s="46">
        <f t="shared" si="6"/>
        <v>100</v>
      </c>
      <c r="L81" s="99" t="s">
        <v>404</v>
      </c>
      <c r="M81" s="99" t="s">
        <v>265</v>
      </c>
    </row>
    <row r="82" spans="1:13" ht="21" customHeight="1" x14ac:dyDescent="0.15">
      <c r="A82" s="113">
        <v>40042013</v>
      </c>
      <c r="B82" s="45">
        <v>1</v>
      </c>
      <c r="C82" s="45">
        <v>120</v>
      </c>
      <c r="D82" s="45">
        <v>100</v>
      </c>
      <c r="E82" s="45" t="s">
        <v>305</v>
      </c>
      <c r="F82" s="45" t="s">
        <v>305</v>
      </c>
      <c r="G82" s="45">
        <v>1</v>
      </c>
      <c r="H82" s="45">
        <v>1</v>
      </c>
      <c r="I82" s="45">
        <v>1262</v>
      </c>
      <c r="J82" s="46">
        <f t="shared" ref="J82" si="10">D82</f>
        <v>100</v>
      </c>
      <c r="L82" s="99" t="s">
        <v>404</v>
      </c>
      <c r="M82" s="99" t="s">
        <v>265</v>
      </c>
    </row>
    <row r="83" spans="1:13" ht="21" customHeight="1" x14ac:dyDescent="0.15">
      <c r="A83" s="113">
        <v>40042014</v>
      </c>
      <c r="B83" s="45">
        <v>0</v>
      </c>
      <c r="C83" s="45">
        <v>90</v>
      </c>
      <c r="D83" s="45">
        <v>100</v>
      </c>
      <c r="E83" s="45" t="s">
        <v>305</v>
      </c>
      <c r="F83" s="45" t="s">
        <v>305</v>
      </c>
      <c r="G83" s="45">
        <v>1</v>
      </c>
      <c r="H83" s="45">
        <v>1</v>
      </c>
      <c r="I83" s="45" t="s">
        <v>305</v>
      </c>
      <c r="J83" s="46">
        <f t="shared" si="6"/>
        <v>100</v>
      </c>
      <c r="L83" s="99" t="s">
        <v>405</v>
      </c>
      <c r="M83" s="99" t="s">
        <v>369</v>
      </c>
    </row>
    <row r="84" spans="1:13" ht="21" customHeight="1" x14ac:dyDescent="0.15">
      <c r="A84" s="113">
        <v>40042015</v>
      </c>
      <c r="B84" s="45">
        <v>0</v>
      </c>
      <c r="C84" s="45">
        <v>80</v>
      </c>
      <c r="D84" s="45">
        <v>100</v>
      </c>
      <c r="E84" s="45" t="s">
        <v>305</v>
      </c>
      <c r="F84" s="45" t="s">
        <v>305</v>
      </c>
      <c r="G84" s="45">
        <v>1</v>
      </c>
      <c r="H84" s="45">
        <v>1</v>
      </c>
      <c r="I84" s="45" t="s">
        <v>305</v>
      </c>
      <c r="J84" s="46">
        <f t="shared" si="6"/>
        <v>100</v>
      </c>
      <c r="L84" s="99" t="s">
        <v>406</v>
      </c>
      <c r="M84" s="99" t="s">
        <v>370</v>
      </c>
    </row>
    <row r="85" spans="1:13" ht="21" customHeight="1" x14ac:dyDescent="0.15">
      <c r="A85" s="113">
        <v>40042016</v>
      </c>
      <c r="B85" s="45">
        <v>0</v>
      </c>
      <c r="C85" s="45">
        <v>70</v>
      </c>
      <c r="D85" s="45">
        <v>100</v>
      </c>
      <c r="E85" s="45" t="s">
        <v>305</v>
      </c>
      <c r="F85" s="45" t="s">
        <v>305</v>
      </c>
      <c r="G85" s="45">
        <v>1</v>
      </c>
      <c r="H85" s="45">
        <v>1</v>
      </c>
      <c r="I85" s="45" t="s">
        <v>305</v>
      </c>
      <c r="J85" s="46">
        <f t="shared" si="6"/>
        <v>100</v>
      </c>
      <c r="L85" s="99" t="s">
        <v>407</v>
      </c>
      <c r="M85" s="99" t="s">
        <v>371</v>
      </c>
    </row>
    <row r="86" spans="1:13" ht="21" customHeight="1" x14ac:dyDescent="0.15">
      <c r="A86" s="113">
        <v>40042017</v>
      </c>
      <c r="B86" s="45">
        <v>0</v>
      </c>
      <c r="C86" s="45">
        <v>60</v>
      </c>
      <c r="D86" s="45">
        <v>100</v>
      </c>
      <c r="E86" s="45" t="s">
        <v>305</v>
      </c>
      <c r="F86" s="45" t="s">
        <v>305</v>
      </c>
      <c r="G86" s="45">
        <v>1</v>
      </c>
      <c r="H86" s="45">
        <v>1</v>
      </c>
      <c r="I86" s="45" t="s">
        <v>305</v>
      </c>
      <c r="J86" s="46">
        <f t="shared" si="6"/>
        <v>100</v>
      </c>
      <c r="L86" s="99" t="s">
        <v>408</v>
      </c>
      <c r="M86" s="99" t="s">
        <v>372</v>
      </c>
    </row>
    <row r="87" spans="1:13" ht="21" customHeight="1" x14ac:dyDescent="0.15">
      <c r="A87" s="113">
        <v>40042018</v>
      </c>
      <c r="B87" s="45">
        <v>0</v>
      </c>
      <c r="C87" s="45">
        <v>50</v>
      </c>
      <c r="D87" s="45">
        <v>100</v>
      </c>
      <c r="E87" s="45" t="s">
        <v>305</v>
      </c>
      <c r="F87" s="45" t="s">
        <v>305</v>
      </c>
      <c r="G87" s="45" t="s">
        <v>305</v>
      </c>
      <c r="H87" s="45">
        <v>1</v>
      </c>
      <c r="I87" s="45" t="s">
        <v>305</v>
      </c>
      <c r="J87" s="46">
        <f t="shared" si="6"/>
        <v>100</v>
      </c>
      <c r="L87" s="99" t="s">
        <v>409</v>
      </c>
      <c r="M87" s="99" t="s">
        <v>373</v>
      </c>
    </row>
    <row r="88" spans="1:13" ht="21" customHeight="1" x14ac:dyDescent="0.15">
      <c r="A88" s="114">
        <v>40042021</v>
      </c>
      <c r="B88" s="45">
        <v>1</v>
      </c>
      <c r="C88" s="45">
        <v>100</v>
      </c>
      <c r="D88" s="45">
        <v>100</v>
      </c>
      <c r="E88" s="45" t="s">
        <v>305</v>
      </c>
      <c r="F88" s="45" t="s">
        <v>305</v>
      </c>
      <c r="G88" s="45">
        <v>1</v>
      </c>
      <c r="H88" s="45">
        <v>1</v>
      </c>
      <c r="I88" s="45" t="s">
        <v>305</v>
      </c>
      <c r="J88" s="46">
        <f t="shared" si="6"/>
        <v>100</v>
      </c>
      <c r="L88" s="105" t="s">
        <v>410</v>
      </c>
      <c r="M88" s="105" t="s">
        <v>374</v>
      </c>
    </row>
    <row r="89" spans="1:13" ht="21" customHeight="1" x14ac:dyDescent="0.15">
      <c r="A89" s="114">
        <v>40042022</v>
      </c>
      <c r="B89" s="45">
        <v>0</v>
      </c>
      <c r="C89" s="45">
        <v>50</v>
      </c>
      <c r="D89" s="45">
        <v>100</v>
      </c>
      <c r="E89" s="45" t="s">
        <v>305</v>
      </c>
      <c r="F89" s="45" t="s">
        <v>305</v>
      </c>
      <c r="G89" s="45" t="s">
        <v>305</v>
      </c>
      <c r="H89" s="45">
        <v>1</v>
      </c>
      <c r="I89" s="45" t="s">
        <v>305</v>
      </c>
      <c r="J89" s="46">
        <f t="shared" si="6"/>
        <v>100</v>
      </c>
      <c r="L89" s="105" t="s">
        <v>411</v>
      </c>
      <c r="M89" s="105" t="s">
        <v>375</v>
      </c>
    </row>
    <row r="90" spans="1:13" ht="21" customHeight="1" x14ac:dyDescent="0.15">
      <c r="A90" s="114">
        <v>40042023</v>
      </c>
      <c r="B90" s="45">
        <v>0</v>
      </c>
      <c r="C90" s="45">
        <v>60</v>
      </c>
      <c r="D90" s="45">
        <v>100</v>
      </c>
      <c r="E90" s="45">
        <v>80</v>
      </c>
      <c r="F90" s="45" t="s">
        <v>305</v>
      </c>
      <c r="G90" s="45" t="s">
        <v>305</v>
      </c>
      <c r="H90" s="45">
        <v>1</v>
      </c>
      <c r="I90" s="45" t="s">
        <v>305</v>
      </c>
      <c r="J90" s="46">
        <f t="shared" si="6"/>
        <v>100</v>
      </c>
      <c r="L90" s="105" t="s">
        <v>412</v>
      </c>
      <c r="M90" s="105" t="s">
        <v>376</v>
      </c>
    </row>
    <row r="91" spans="1:13" ht="21" customHeight="1" x14ac:dyDescent="0.15">
      <c r="A91" s="114">
        <v>40042024</v>
      </c>
      <c r="B91" s="45">
        <v>0</v>
      </c>
      <c r="C91" s="45">
        <v>70</v>
      </c>
      <c r="D91" s="45">
        <v>100</v>
      </c>
      <c r="E91" s="45">
        <v>60</v>
      </c>
      <c r="F91" s="45" t="s">
        <v>305</v>
      </c>
      <c r="G91" s="45" t="s">
        <v>305</v>
      </c>
      <c r="H91" s="45">
        <v>1</v>
      </c>
      <c r="I91" s="45" t="s">
        <v>305</v>
      </c>
      <c r="J91" s="46">
        <f t="shared" si="6"/>
        <v>100</v>
      </c>
      <c r="L91" s="105" t="s">
        <v>413</v>
      </c>
      <c r="M91" s="105" t="s">
        <v>290</v>
      </c>
    </row>
    <row r="92" spans="1:13" ht="21" customHeight="1" x14ac:dyDescent="0.15">
      <c r="A92" s="114">
        <v>40042025</v>
      </c>
      <c r="B92" s="45">
        <v>0</v>
      </c>
      <c r="C92" s="45">
        <v>80</v>
      </c>
      <c r="D92" s="45">
        <v>100</v>
      </c>
      <c r="E92" s="45">
        <v>40</v>
      </c>
      <c r="F92" s="45" t="s">
        <v>305</v>
      </c>
      <c r="G92" s="45" t="s">
        <v>305</v>
      </c>
      <c r="H92" s="45">
        <v>1</v>
      </c>
      <c r="I92" s="45" t="s">
        <v>305</v>
      </c>
      <c r="J92" s="46">
        <f t="shared" si="6"/>
        <v>100</v>
      </c>
      <c r="L92" s="105" t="s">
        <v>414</v>
      </c>
      <c r="M92" s="105" t="s">
        <v>291</v>
      </c>
    </row>
    <row r="93" spans="1:13" ht="21" customHeight="1" x14ac:dyDescent="0.15">
      <c r="A93" s="114">
        <v>40042026</v>
      </c>
      <c r="B93" s="45">
        <v>0</v>
      </c>
      <c r="C93" s="45">
        <v>90</v>
      </c>
      <c r="D93" s="45">
        <v>100</v>
      </c>
      <c r="E93" s="45">
        <v>20</v>
      </c>
      <c r="F93" s="45" t="s">
        <v>305</v>
      </c>
      <c r="G93" s="45" t="s">
        <v>305</v>
      </c>
      <c r="H93" s="45">
        <v>1</v>
      </c>
      <c r="I93" s="45" t="s">
        <v>305</v>
      </c>
      <c r="J93" s="46">
        <f t="shared" si="6"/>
        <v>100</v>
      </c>
      <c r="L93" s="105" t="s">
        <v>415</v>
      </c>
      <c r="M93" s="105" t="s">
        <v>292</v>
      </c>
    </row>
    <row r="94" spans="1:13" ht="21" customHeight="1" x14ac:dyDescent="0.15">
      <c r="A94" s="117">
        <v>40042031</v>
      </c>
      <c r="B94" s="45">
        <v>1</v>
      </c>
      <c r="C94" s="45">
        <v>100</v>
      </c>
      <c r="D94" s="45">
        <v>100</v>
      </c>
      <c r="E94" s="45" t="s">
        <v>305</v>
      </c>
      <c r="F94" s="45" t="s">
        <v>305</v>
      </c>
      <c r="G94" s="45">
        <v>1</v>
      </c>
      <c r="H94" s="45">
        <v>1</v>
      </c>
      <c r="I94" s="45" t="s">
        <v>305</v>
      </c>
      <c r="J94" s="46">
        <f t="shared" si="6"/>
        <v>100</v>
      </c>
      <c r="L94" s="108" t="s">
        <v>416</v>
      </c>
      <c r="M94" s="108" t="s">
        <v>377</v>
      </c>
    </row>
    <row r="95" spans="1:13" ht="21" customHeight="1" x14ac:dyDescent="0.15">
      <c r="A95" s="117">
        <v>40042032</v>
      </c>
      <c r="B95" s="45">
        <v>0</v>
      </c>
      <c r="C95" s="45">
        <v>60</v>
      </c>
      <c r="D95" s="45">
        <v>100</v>
      </c>
      <c r="E95" s="45" t="s">
        <v>305</v>
      </c>
      <c r="F95" s="45" t="s">
        <v>305</v>
      </c>
      <c r="G95" s="45">
        <v>1</v>
      </c>
      <c r="H95" s="45">
        <v>1</v>
      </c>
      <c r="I95" s="45" t="s">
        <v>305</v>
      </c>
      <c r="J95" s="46">
        <f t="shared" si="6"/>
        <v>100</v>
      </c>
      <c r="L95" s="108" t="s">
        <v>417</v>
      </c>
      <c r="M95" s="108" t="s">
        <v>295</v>
      </c>
    </row>
    <row r="96" spans="1:13" ht="21" customHeight="1" x14ac:dyDescent="0.15">
      <c r="A96" s="117">
        <v>40042033</v>
      </c>
      <c r="B96" s="45">
        <v>0</v>
      </c>
      <c r="C96" s="45">
        <v>50</v>
      </c>
      <c r="D96" s="45">
        <v>100</v>
      </c>
      <c r="E96" s="45" t="s">
        <v>305</v>
      </c>
      <c r="F96" s="45" t="s">
        <v>305</v>
      </c>
      <c r="G96" s="45">
        <v>1</v>
      </c>
      <c r="H96" s="45">
        <v>1</v>
      </c>
      <c r="I96" s="45" t="s">
        <v>305</v>
      </c>
      <c r="J96" s="46">
        <f t="shared" si="6"/>
        <v>100</v>
      </c>
      <c r="L96" s="108" t="s">
        <v>418</v>
      </c>
      <c r="M96" s="108" t="s">
        <v>296</v>
      </c>
    </row>
    <row r="97" spans="1:13" ht="21" customHeight="1" x14ac:dyDescent="0.15">
      <c r="A97" s="117">
        <v>40042034</v>
      </c>
      <c r="B97" s="45">
        <v>0</v>
      </c>
      <c r="C97" s="45">
        <v>40</v>
      </c>
      <c r="D97" s="45">
        <v>100</v>
      </c>
      <c r="E97" s="45" t="s">
        <v>305</v>
      </c>
      <c r="F97" s="45" t="s">
        <v>305</v>
      </c>
      <c r="G97" s="45">
        <v>1</v>
      </c>
      <c r="H97" s="45">
        <v>1</v>
      </c>
      <c r="I97" s="45" t="s">
        <v>305</v>
      </c>
      <c r="J97" s="46">
        <f t="shared" si="6"/>
        <v>100</v>
      </c>
      <c r="L97" s="108" t="s">
        <v>419</v>
      </c>
      <c r="M97" s="108" t="s">
        <v>378</v>
      </c>
    </row>
    <row r="98" spans="1:13" ht="21" customHeight="1" x14ac:dyDescent="0.15">
      <c r="A98" s="117">
        <v>40042035</v>
      </c>
      <c r="B98" s="45">
        <v>0</v>
      </c>
      <c r="C98" s="45">
        <v>30</v>
      </c>
      <c r="D98" s="45">
        <v>100</v>
      </c>
      <c r="E98" s="45">
        <v>50</v>
      </c>
      <c r="F98" s="45" t="s">
        <v>305</v>
      </c>
      <c r="G98" s="45">
        <v>1</v>
      </c>
      <c r="H98" s="45">
        <v>1</v>
      </c>
      <c r="I98" s="45" t="s">
        <v>305</v>
      </c>
      <c r="J98" s="46">
        <f t="shared" si="6"/>
        <v>100</v>
      </c>
      <c r="L98" s="108" t="s">
        <v>420</v>
      </c>
      <c r="M98" s="108" t="s">
        <v>298</v>
      </c>
    </row>
    <row r="99" spans="1:13" ht="21" customHeight="1" x14ac:dyDescent="0.15">
      <c r="A99" s="117">
        <v>40042036</v>
      </c>
      <c r="B99" s="45">
        <v>0</v>
      </c>
      <c r="C99" s="45">
        <v>20</v>
      </c>
      <c r="D99" s="45">
        <v>100</v>
      </c>
      <c r="E99" s="45">
        <v>50</v>
      </c>
      <c r="F99" s="45" t="s">
        <v>305</v>
      </c>
      <c r="G99" s="45">
        <v>1</v>
      </c>
      <c r="H99" s="45">
        <v>1</v>
      </c>
      <c r="I99" s="45" t="s">
        <v>305</v>
      </c>
      <c r="J99" s="46">
        <f t="shared" si="6"/>
        <v>100</v>
      </c>
      <c r="L99" s="108" t="s">
        <v>421</v>
      </c>
      <c r="M99" s="108" t="s">
        <v>379</v>
      </c>
    </row>
    <row r="100" spans="1:13" ht="21" customHeight="1" x14ac:dyDescent="0.15">
      <c r="A100" s="117">
        <v>40042037</v>
      </c>
      <c r="B100" s="45">
        <v>0</v>
      </c>
      <c r="C100" s="45">
        <v>10</v>
      </c>
      <c r="D100" s="45">
        <v>100</v>
      </c>
      <c r="E100" s="45">
        <v>50</v>
      </c>
      <c r="F100" s="45" t="s">
        <v>305</v>
      </c>
      <c r="G100" s="45">
        <v>1</v>
      </c>
      <c r="H100" s="45">
        <v>1</v>
      </c>
      <c r="I100" s="45" t="s">
        <v>305</v>
      </c>
      <c r="J100" s="46">
        <f t="shared" si="6"/>
        <v>100</v>
      </c>
      <c r="L100" s="108" t="s">
        <v>422</v>
      </c>
      <c r="M100" s="108" t="s">
        <v>300</v>
      </c>
    </row>
    <row r="101" spans="1:13" ht="21" customHeight="1" x14ac:dyDescent="0.15">
      <c r="A101" s="117">
        <v>40042038</v>
      </c>
      <c r="B101" s="45">
        <v>0</v>
      </c>
      <c r="C101" s="45">
        <v>70</v>
      </c>
      <c r="D101" s="45">
        <v>100</v>
      </c>
      <c r="E101" s="45" t="s">
        <v>305</v>
      </c>
      <c r="F101" s="45" t="s">
        <v>305</v>
      </c>
      <c r="G101" s="45">
        <v>0</v>
      </c>
      <c r="H101" s="45">
        <v>1</v>
      </c>
      <c r="I101" s="45">
        <v>0</v>
      </c>
      <c r="J101" s="46">
        <f t="shared" si="6"/>
        <v>100</v>
      </c>
      <c r="L101" s="108" t="s">
        <v>423</v>
      </c>
      <c r="M101" s="108" t="s">
        <v>344</v>
      </c>
    </row>
    <row r="102" spans="1:13" ht="21" customHeight="1" x14ac:dyDescent="0.15">
      <c r="A102" s="117">
        <v>40042039</v>
      </c>
      <c r="B102" s="45">
        <v>0</v>
      </c>
      <c r="C102" s="45">
        <v>90</v>
      </c>
      <c r="D102" s="45">
        <v>100</v>
      </c>
      <c r="E102" s="45" t="s">
        <v>305</v>
      </c>
      <c r="F102" s="45" t="s">
        <v>305</v>
      </c>
      <c r="G102" s="45">
        <v>0</v>
      </c>
      <c r="H102" s="45">
        <v>1</v>
      </c>
      <c r="I102" s="45">
        <v>1263</v>
      </c>
      <c r="J102" s="46">
        <f t="shared" ref="J102" si="11">D102</f>
        <v>100</v>
      </c>
      <c r="L102" s="108" t="s">
        <v>424</v>
      </c>
      <c r="M102" s="108" t="s">
        <v>345</v>
      </c>
    </row>
    <row r="103" spans="1:13" ht="21" customHeight="1" x14ac:dyDescent="0.15">
      <c r="A103" s="117">
        <v>40042030</v>
      </c>
      <c r="B103" s="45">
        <v>0</v>
      </c>
      <c r="C103" s="45">
        <v>80</v>
      </c>
      <c r="D103" s="45">
        <v>100</v>
      </c>
      <c r="E103" s="45" t="s">
        <v>305</v>
      </c>
      <c r="F103" s="45" t="s">
        <v>305</v>
      </c>
      <c r="G103" s="45">
        <v>0</v>
      </c>
      <c r="H103" s="45">
        <v>1</v>
      </c>
      <c r="I103" s="45">
        <v>1262</v>
      </c>
      <c r="J103" s="46">
        <f t="shared" ref="J103" si="12">D103</f>
        <v>100</v>
      </c>
      <c r="L103" s="108" t="s">
        <v>424</v>
      </c>
      <c r="M103" s="108" t="s">
        <v>345</v>
      </c>
    </row>
  </sheetData>
  <autoFilter ref="A1:G1"/>
  <phoneticPr fontId="5"/>
  <conditionalFormatting sqref="K104:K1048576 K29:K30 K1:K14 K16:K18 K20:K27 K32:K51">
    <cfRule type="duplicateValues" dxfId="11" priority="13"/>
  </conditionalFormatting>
  <conditionalFormatting sqref="K28">
    <cfRule type="duplicateValues" dxfId="10" priority="12"/>
  </conditionalFormatting>
  <conditionalFormatting sqref="K53:K65 K80:K81 K67:K69 K71:K78 K83:K102">
    <cfRule type="duplicateValues" dxfId="9" priority="11"/>
  </conditionalFormatting>
  <conditionalFormatting sqref="K79">
    <cfRule type="duplicateValues" dxfId="8" priority="10"/>
  </conditionalFormatting>
  <conditionalFormatting sqref="K15">
    <cfRule type="duplicateValues" dxfId="7" priority="8"/>
  </conditionalFormatting>
  <conditionalFormatting sqref="K19">
    <cfRule type="duplicateValues" dxfId="6" priority="7"/>
  </conditionalFormatting>
  <conditionalFormatting sqref="K31">
    <cfRule type="duplicateValues" dxfId="5" priority="6"/>
  </conditionalFormatting>
  <conditionalFormatting sqref="K52">
    <cfRule type="duplicateValues" dxfId="4" priority="5"/>
  </conditionalFormatting>
  <conditionalFormatting sqref="K66">
    <cfRule type="duplicateValues" dxfId="3" priority="4"/>
  </conditionalFormatting>
  <conditionalFormatting sqref="K70">
    <cfRule type="duplicateValues" dxfId="2" priority="3"/>
  </conditionalFormatting>
  <conditionalFormatting sqref="K82">
    <cfRule type="duplicateValues" dxfId="1" priority="2"/>
  </conditionalFormatting>
  <conditionalFormatting sqref="K10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F15" sqref="F1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0" t="s">
        <v>150</v>
      </c>
      <c r="B1" s="60" t="s">
        <v>151</v>
      </c>
      <c r="C1" s="208" t="s">
        <v>152</v>
      </c>
      <c r="D1" s="65" t="s">
        <v>153</v>
      </c>
      <c r="E1" s="61" t="s">
        <v>154</v>
      </c>
      <c r="F1" s="60" t="s">
        <v>155</v>
      </c>
      <c r="G1" s="60" t="s">
        <v>156</v>
      </c>
      <c r="H1" s="60" t="s">
        <v>157</v>
      </c>
      <c r="I1" s="60" t="s">
        <v>158</v>
      </c>
      <c r="J1" s="60" t="s">
        <v>159</v>
      </c>
      <c r="K1" s="60" t="s">
        <v>160</v>
      </c>
      <c r="L1" s="60" t="s">
        <v>161</v>
      </c>
      <c r="M1" s="60" t="s">
        <v>162</v>
      </c>
      <c r="N1" s="60" t="s">
        <v>163</v>
      </c>
      <c r="O1" s="60" t="s">
        <v>164</v>
      </c>
      <c r="P1" s="60" t="s">
        <v>165</v>
      </c>
      <c r="Q1" s="60" t="s">
        <v>166</v>
      </c>
      <c r="R1" s="60" t="s">
        <v>167</v>
      </c>
    </row>
    <row r="2" spans="1:18" x14ac:dyDescent="0.15">
      <c r="A2" s="54">
        <v>40042</v>
      </c>
      <c r="B2" s="54">
        <v>1</v>
      </c>
      <c r="C2" s="54" t="str">
        <f>A2&amp; "_"&amp;B2</f>
        <v>40042_1</v>
      </c>
      <c r="D2" s="54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4">
        <v>1</v>
      </c>
      <c r="F2" s="54" t="s">
        <v>168</v>
      </c>
      <c r="G2" s="54">
        <v>40000</v>
      </c>
      <c r="H2" s="54" t="s">
        <v>305</v>
      </c>
      <c r="I2" s="54">
        <v>1</v>
      </c>
      <c r="J2" s="54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150</v>
      </c>
      <c r="Q2" s="54" t="s">
        <v>169</v>
      </c>
      <c r="R2" s="54" t="s">
        <v>170</v>
      </c>
    </row>
    <row r="3" spans="1:18" x14ac:dyDescent="0.15">
      <c r="A3" s="54">
        <v>40042</v>
      </c>
      <c r="B3" s="54">
        <v>1</v>
      </c>
      <c r="C3" s="54" t="str">
        <f t="shared" ref="C3:C18" si="0">A3&amp; "_"&amp;B3</f>
        <v>40042_1</v>
      </c>
      <c r="D3" s="54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4">
        <v>2</v>
      </c>
      <c r="F3" s="54" t="s">
        <v>335</v>
      </c>
      <c r="G3" s="54">
        <v>30</v>
      </c>
      <c r="H3" s="54" t="s">
        <v>305</v>
      </c>
      <c r="I3" s="54">
        <v>1</v>
      </c>
      <c r="J3" s="54">
        <v>1</v>
      </c>
      <c r="K3" s="54">
        <v>0</v>
      </c>
      <c r="L3" s="54">
        <v>0</v>
      </c>
      <c r="M3" s="54">
        <v>0</v>
      </c>
      <c r="N3" s="54">
        <v>0</v>
      </c>
      <c r="O3" s="54">
        <v>1</v>
      </c>
      <c r="P3" s="54">
        <v>150</v>
      </c>
      <c r="Q3" s="54" t="s">
        <v>169</v>
      </c>
      <c r="R3" s="54" t="s">
        <v>170</v>
      </c>
    </row>
    <row r="4" spans="1:18" x14ac:dyDescent="0.15">
      <c r="A4" s="54">
        <v>40042</v>
      </c>
      <c r="B4" s="54">
        <v>1</v>
      </c>
      <c r="C4" s="54" t="str">
        <f t="shared" si="0"/>
        <v>40042_1</v>
      </c>
      <c r="D4" s="54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4">
        <v>3</v>
      </c>
      <c r="F4" s="54" t="s">
        <v>336</v>
      </c>
      <c r="G4" s="54">
        <v>345</v>
      </c>
      <c r="H4" s="54">
        <v>1</v>
      </c>
      <c r="I4" s="54">
        <v>1</v>
      </c>
      <c r="J4" s="54">
        <v>1</v>
      </c>
      <c r="K4" s="54">
        <v>0</v>
      </c>
      <c r="L4" s="54">
        <v>0</v>
      </c>
      <c r="M4" s="54">
        <v>0</v>
      </c>
      <c r="N4" s="54">
        <v>0</v>
      </c>
      <c r="O4" s="54">
        <v>1</v>
      </c>
      <c r="P4" s="54">
        <v>28</v>
      </c>
      <c r="Q4" s="54" t="s">
        <v>169</v>
      </c>
      <c r="R4" s="54" t="s">
        <v>170</v>
      </c>
    </row>
    <row r="5" spans="1:18" x14ac:dyDescent="0.15">
      <c r="A5" s="54">
        <v>40042</v>
      </c>
      <c r="B5" s="54">
        <v>1</v>
      </c>
      <c r="C5" s="54" t="str">
        <f t="shared" si="0"/>
        <v>40042_1</v>
      </c>
      <c r="D5" s="54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4">
        <v>4</v>
      </c>
      <c r="F5" s="54" t="s">
        <v>336</v>
      </c>
      <c r="G5" s="54">
        <v>346</v>
      </c>
      <c r="H5" s="54">
        <v>1</v>
      </c>
      <c r="I5" s="54">
        <v>1</v>
      </c>
      <c r="J5" s="54">
        <v>1</v>
      </c>
      <c r="K5" s="54">
        <v>0</v>
      </c>
      <c r="L5" s="54">
        <v>0</v>
      </c>
      <c r="M5" s="54">
        <v>0</v>
      </c>
      <c r="N5" s="54">
        <v>0</v>
      </c>
      <c r="O5" s="54">
        <v>1</v>
      </c>
      <c r="P5" s="54">
        <v>112</v>
      </c>
      <c r="Q5" s="54" t="s">
        <v>169</v>
      </c>
      <c r="R5" s="54" t="s">
        <v>170</v>
      </c>
    </row>
    <row r="6" spans="1:18" x14ac:dyDescent="0.15">
      <c r="A6" s="54">
        <v>40042</v>
      </c>
      <c r="B6" s="54">
        <v>1</v>
      </c>
      <c r="C6" s="54" t="str">
        <f t="shared" si="0"/>
        <v>40042_1</v>
      </c>
      <c r="D6" s="54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4">
        <v>5</v>
      </c>
      <c r="F6" s="54" t="s">
        <v>336</v>
      </c>
      <c r="G6" s="54">
        <v>121</v>
      </c>
      <c r="H6" s="54">
        <v>1</v>
      </c>
      <c r="I6" s="54">
        <v>1</v>
      </c>
      <c r="J6" s="54">
        <v>1</v>
      </c>
      <c r="K6" s="54">
        <v>0</v>
      </c>
      <c r="L6" s="54">
        <v>0</v>
      </c>
      <c r="M6" s="54">
        <v>0</v>
      </c>
      <c r="N6" s="54">
        <v>0</v>
      </c>
      <c r="O6" s="54">
        <v>1</v>
      </c>
      <c r="P6" s="54">
        <v>100</v>
      </c>
      <c r="Q6" s="54" t="s">
        <v>169</v>
      </c>
      <c r="R6" s="54" t="s">
        <v>170</v>
      </c>
    </row>
    <row r="7" spans="1:18" x14ac:dyDescent="0.15">
      <c r="A7" s="54">
        <v>40042</v>
      </c>
      <c r="B7" s="54">
        <v>1</v>
      </c>
      <c r="C7" s="54" t="str">
        <f t="shared" si="0"/>
        <v>40042_1</v>
      </c>
      <c r="D7" s="54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4">
        <v>6</v>
      </c>
      <c r="F7" s="54" t="s">
        <v>336</v>
      </c>
      <c r="G7" s="54">
        <v>122</v>
      </c>
      <c r="H7" s="54">
        <v>1</v>
      </c>
      <c r="I7" s="54">
        <v>1</v>
      </c>
      <c r="J7" s="54">
        <v>1</v>
      </c>
      <c r="K7" s="54">
        <v>0</v>
      </c>
      <c r="L7" s="54">
        <v>0</v>
      </c>
      <c r="M7" s="54">
        <v>0</v>
      </c>
      <c r="N7" s="54">
        <v>0</v>
      </c>
      <c r="O7" s="54">
        <v>1</v>
      </c>
      <c r="P7" s="54">
        <v>100</v>
      </c>
      <c r="Q7" s="54" t="s">
        <v>169</v>
      </c>
      <c r="R7" s="54" t="s">
        <v>170</v>
      </c>
    </row>
    <row r="8" spans="1:18" x14ac:dyDescent="0.15">
      <c r="A8" s="54">
        <v>40042</v>
      </c>
      <c r="B8" s="54">
        <v>1</v>
      </c>
      <c r="C8" s="54" t="str">
        <f t="shared" si="0"/>
        <v>40042_1</v>
      </c>
      <c r="D8" s="54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4">
        <v>7</v>
      </c>
      <c r="F8" s="54" t="s">
        <v>336</v>
      </c>
      <c r="G8" s="54">
        <v>123</v>
      </c>
      <c r="H8" s="54">
        <v>1</v>
      </c>
      <c r="I8" s="54">
        <v>1</v>
      </c>
      <c r="J8" s="54">
        <v>1</v>
      </c>
      <c r="K8" s="54">
        <v>0</v>
      </c>
      <c r="L8" s="54">
        <v>0</v>
      </c>
      <c r="M8" s="54">
        <v>0</v>
      </c>
      <c r="N8" s="54">
        <v>0</v>
      </c>
      <c r="O8" s="54">
        <v>1</v>
      </c>
      <c r="P8" s="54">
        <v>100</v>
      </c>
      <c r="Q8" s="54" t="s">
        <v>169</v>
      </c>
      <c r="R8" s="54" t="s">
        <v>170</v>
      </c>
    </row>
    <row r="9" spans="1:18" x14ac:dyDescent="0.15">
      <c r="A9" s="54">
        <v>40042</v>
      </c>
      <c r="B9" s="54">
        <v>1</v>
      </c>
      <c r="C9" s="54" t="str">
        <f t="shared" si="0"/>
        <v>40042_1</v>
      </c>
      <c r="D9" s="54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4">
        <v>8</v>
      </c>
      <c r="F9" s="54" t="s">
        <v>336</v>
      </c>
      <c r="G9" s="54">
        <v>125</v>
      </c>
      <c r="H9" s="54">
        <v>1</v>
      </c>
      <c r="I9" s="54">
        <v>1</v>
      </c>
      <c r="J9" s="54">
        <v>1</v>
      </c>
      <c r="K9" s="54">
        <v>0</v>
      </c>
      <c r="L9" s="54">
        <v>0</v>
      </c>
      <c r="M9" s="54">
        <v>0</v>
      </c>
      <c r="N9" s="54">
        <v>0</v>
      </c>
      <c r="O9" s="54">
        <v>1</v>
      </c>
      <c r="P9" s="54">
        <v>10</v>
      </c>
      <c r="Q9" s="54" t="s">
        <v>169</v>
      </c>
      <c r="R9" s="54" t="s">
        <v>170</v>
      </c>
    </row>
    <row r="10" spans="1:18" x14ac:dyDescent="0.15">
      <c r="A10" s="54">
        <v>40042</v>
      </c>
      <c r="B10" s="54">
        <v>1</v>
      </c>
      <c r="C10" s="54" t="str">
        <f t="shared" si="0"/>
        <v>40042_1</v>
      </c>
      <c r="D10" s="54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4">
        <v>9</v>
      </c>
      <c r="F10" s="54" t="s">
        <v>336</v>
      </c>
      <c r="G10" s="54">
        <v>354</v>
      </c>
      <c r="H10" s="54">
        <v>1</v>
      </c>
      <c r="I10" s="54">
        <v>1</v>
      </c>
      <c r="J10" s="54">
        <v>1</v>
      </c>
      <c r="K10" s="54">
        <v>0</v>
      </c>
      <c r="L10" s="54">
        <v>0</v>
      </c>
      <c r="M10" s="54">
        <v>0</v>
      </c>
      <c r="N10" s="54">
        <v>0</v>
      </c>
      <c r="O10" s="54">
        <v>1</v>
      </c>
      <c r="P10" s="54">
        <v>150</v>
      </c>
      <c r="Q10" s="54" t="s">
        <v>169</v>
      </c>
      <c r="R10" s="54" t="s">
        <v>170</v>
      </c>
    </row>
    <row r="11" spans="1:18" ht="16" thickBot="1" x14ac:dyDescent="0.2">
      <c r="A11" s="184">
        <v>40042</v>
      </c>
      <c r="B11" s="184">
        <v>1</v>
      </c>
      <c r="C11" s="184" t="str">
        <f t="shared" si="0"/>
        <v>40042_1</v>
      </c>
      <c r="D11" s="184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84">
        <v>10</v>
      </c>
      <c r="F11" s="184" t="s">
        <v>336</v>
      </c>
      <c r="G11" s="184">
        <v>1256</v>
      </c>
      <c r="H11" s="184">
        <v>1</v>
      </c>
      <c r="I11" s="184">
        <v>1</v>
      </c>
      <c r="J11" s="184">
        <v>1</v>
      </c>
      <c r="K11" s="184">
        <v>0</v>
      </c>
      <c r="L11" s="184">
        <v>0</v>
      </c>
      <c r="M11" s="184">
        <v>0</v>
      </c>
      <c r="N11" s="184">
        <v>0</v>
      </c>
      <c r="O11" s="184">
        <v>1</v>
      </c>
      <c r="P11" s="184">
        <v>100</v>
      </c>
      <c r="Q11" s="184" t="s">
        <v>169</v>
      </c>
      <c r="R11" s="184" t="s">
        <v>170</v>
      </c>
    </row>
    <row r="12" spans="1:18" x14ac:dyDescent="0.15">
      <c r="A12" s="176">
        <v>40042</v>
      </c>
      <c r="B12" s="176">
        <v>2</v>
      </c>
      <c r="C12" s="176" t="str">
        <f t="shared" si="0"/>
        <v>40042_2</v>
      </c>
      <c r="D12" s="176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76">
        <v>1</v>
      </c>
      <c r="F12" s="176" t="s">
        <v>336</v>
      </c>
      <c r="G12" s="176">
        <v>346</v>
      </c>
      <c r="H12" s="176">
        <v>1</v>
      </c>
      <c r="I12" s="176">
        <v>1</v>
      </c>
      <c r="J12" s="176">
        <v>1</v>
      </c>
      <c r="K12" s="176">
        <v>0</v>
      </c>
      <c r="L12" s="176">
        <v>0</v>
      </c>
      <c r="M12" s="176">
        <v>0</v>
      </c>
      <c r="N12" s="176">
        <v>0</v>
      </c>
      <c r="O12" s="176">
        <v>1</v>
      </c>
      <c r="P12" s="176">
        <v>50</v>
      </c>
      <c r="Q12" s="176" t="s">
        <v>169</v>
      </c>
      <c r="R12" s="176" t="s">
        <v>170</v>
      </c>
    </row>
    <row r="13" spans="1:18" x14ac:dyDescent="0.15">
      <c r="A13" s="54">
        <v>40042</v>
      </c>
      <c r="B13" s="54">
        <v>2</v>
      </c>
      <c r="C13" s="54" t="str">
        <f t="shared" si="0"/>
        <v>40042_2</v>
      </c>
      <c r="D13" s="54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4">
        <v>2</v>
      </c>
      <c r="F13" s="54" t="s">
        <v>336</v>
      </c>
      <c r="G13" s="54">
        <v>607</v>
      </c>
      <c r="H13" s="54">
        <v>1</v>
      </c>
      <c r="I13" s="54">
        <v>1</v>
      </c>
      <c r="J13" s="54">
        <v>1</v>
      </c>
      <c r="K13" s="54">
        <v>0</v>
      </c>
      <c r="L13" s="54">
        <v>0</v>
      </c>
      <c r="M13" s="54">
        <v>0</v>
      </c>
      <c r="N13" s="54">
        <v>0</v>
      </c>
      <c r="O13" s="54">
        <v>1</v>
      </c>
      <c r="P13" s="54">
        <v>100</v>
      </c>
      <c r="Q13" s="54" t="s">
        <v>169</v>
      </c>
      <c r="R13" s="54" t="s">
        <v>170</v>
      </c>
    </row>
    <row r="14" spans="1:18" x14ac:dyDescent="0.15">
      <c r="A14" s="54">
        <v>40042</v>
      </c>
      <c r="B14" s="54">
        <v>2</v>
      </c>
      <c r="C14" s="54" t="str">
        <f t="shared" si="0"/>
        <v>40042_2</v>
      </c>
      <c r="D14" s="54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4">
        <v>3</v>
      </c>
      <c r="F14" s="54" t="s">
        <v>336</v>
      </c>
      <c r="G14" s="54">
        <v>608</v>
      </c>
      <c r="H14" s="54">
        <v>1</v>
      </c>
      <c r="I14" s="54">
        <v>1</v>
      </c>
      <c r="J14" s="54">
        <v>1</v>
      </c>
      <c r="K14" s="54">
        <v>0</v>
      </c>
      <c r="L14" s="54">
        <v>0</v>
      </c>
      <c r="M14" s="54">
        <v>0</v>
      </c>
      <c r="N14" s="54">
        <v>0</v>
      </c>
      <c r="O14" s="54">
        <v>1</v>
      </c>
      <c r="P14" s="54">
        <v>100</v>
      </c>
      <c r="Q14" s="54" t="s">
        <v>169</v>
      </c>
      <c r="R14" s="54" t="s">
        <v>170</v>
      </c>
    </row>
    <row r="15" spans="1:18" x14ac:dyDescent="0.15">
      <c r="A15" s="54">
        <v>40042</v>
      </c>
      <c r="B15" s="54">
        <v>2</v>
      </c>
      <c r="C15" s="54" t="str">
        <f t="shared" si="0"/>
        <v>40042_2</v>
      </c>
      <c r="D15" s="54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4">
        <v>4</v>
      </c>
      <c r="F15" s="54" t="s">
        <v>336</v>
      </c>
      <c r="G15" s="54">
        <v>609</v>
      </c>
      <c r="H15" s="54">
        <v>1</v>
      </c>
      <c r="I15" s="54">
        <v>1</v>
      </c>
      <c r="J15" s="54">
        <v>1</v>
      </c>
      <c r="K15" s="54">
        <v>0</v>
      </c>
      <c r="L15" s="54">
        <v>0</v>
      </c>
      <c r="M15" s="54">
        <v>0</v>
      </c>
      <c r="N15" s="54">
        <v>0</v>
      </c>
      <c r="O15" s="54">
        <v>1</v>
      </c>
      <c r="P15" s="54">
        <v>100</v>
      </c>
      <c r="Q15" s="54" t="s">
        <v>169</v>
      </c>
      <c r="R15" s="54" t="s">
        <v>170</v>
      </c>
    </row>
    <row r="16" spans="1:18" x14ac:dyDescent="0.15">
      <c r="A16" s="54">
        <v>40042</v>
      </c>
      <c r="B16" s="54">
        <v>2</v>
      </c>
      <c r="C16" s="54" t="str">
        <f t="shared" si="0"/>
        <v>40042_2</v>
      </c>
      <c r="D16" s="54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4">
        <v>5</v>
      </c>
      <c r="F16" s="54" t="s">
        <v>336</v>
      </c>
      <c r="G16" s="54">
        <v>125</v>
      </c>
      <c r="H16" s="54">
        <v>1</v>
      </c>
      <c r="I16" s="54">
        <v>1</v>
      </c>
      <c r="J16" s="54">
        <v>1</v>
      </c>
      <c r="K16" s="54">
        <v>0</v>
      </c>
      <c r="L16" s="54">
        <v>0</v>
      </c>
      <c r="M16" s="54">
        <v>0</v>
      </c>
      <c r="N16" s="54">
        <v>0</v>
      </c>
      <c r="O16" s="54">
        <v>1</v>
      </c>
      <c r="P16" s="54">
        <v>30</v>
      </c>
      <c r="Q16" s="54" t="s">
        <v>169</v>
      </c>
      <c r="R16" s="54" t="s">
        <v>170</v>
      </c>
    </row>
    <row r="17" spans="1:18" x14ac:dyDescent="0.15">
      <c r="A17" s="54">
        <v>40042</v>
      </c>
      <c r="B17" s="54">
        <v>2</v>
      </c>
      <c r="C17" s="54" t="str">
        <f t="shared" si="0"/>
        <v>40042_2</v>
      </c>
      <c r="D17" s="54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4">
        <v>6</v>
      </c>
      <c r="F17" s="54" t="s">
        <v>336</v>
      </c>
      <c r="G17" s="54">
        <v>1256</v>
      </c>
      <c r="H17" s="54">
        <v>1</v>
      </c>
      <c r="I17" s="54">
        <v>1</v>
      </c>
      <c r="J17" s="54">
        <v>1</v>
      </c>
      <c r="K17" s="54">
        <v>0</v>
      </c>
      <c r="L17" s="54">
        <v>0</v>
      </c>
      <c r="M17" s="54">
        <v>0</v>
      </c>
      <c r="N17" s="54">
        <v>0</v>
      </c>
      <c r="O17" s="54">
        <v>1</v>
      </c>
      <c r="P17" s="54">
        <v>500</v>
      </c>
      <c r="Q17" s="54" t="s">
        <v>169</v>
      </c>
      <c r="R17" s="54" t="s">
        <v>170</v>
      </c>
    </row>
    <row r="18" spans="1:18" x14ac:dyDescent="0.15">
      <c r="A18" s="54">
        <v>40042</v>
      </c>
      <c r="B18" s="54">
        <v>2</v>
      </c>
      <c r="C18" s="54" t="str">
        <f t="shared" si="0"/>
        <v>40042_2</v>
      </c>
      <c r="D18" s="54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4">
        <v>7</v>
      </c>
      <c r="F18" s="54" t="s">
        <v>336</v>
      </c>
      <c r="G18" s="54">
        <v>354</v>
      </c>
      <c r="H18" s="54">
        <v>1</v>
      </c>
      <c r="I18" s="54">
        <v>1</v>
      </c>
      <c r="J18" s="54">
        <v>1</v>
      </c>
      <c r="K18" s="54">
        <v>0</v>
      </c>
      <c r="L18" s="54">
        <v>0</v>
      </c>
      <c r="M18" s="54">
        <v>0</v>
      </c>
      <c r="N18" s="54">
        <v>0</v>
      </c>
      <c r="O18" s="54">
        <v>1</v>
      </c>
      <c r="P18" s="54">
        <v>120</v>
      </c>
      <c r="Q18" s="54" t="s">
        <v>169</v>
      </c>
      <c r="R18" s="54" t="s">
        <v>170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H14" sqref="H14"/>
    </sheetView>
  </sheetViews>
  <sheetFormatPr baseColWidth="12" defaultColWidth="13" defaultRowHeight="15" outlineLevelCol="1" x14ac:dyDescent="0.15"/>
  <cols>
    <col min="1" max="1" width="13" style="8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9" t="s">
        <v>187</v>
      </c>
      <c r="B1" s="66" t="s">
        <v>188</v>
      </c>
      <c r="C1" s="70" t="s">
        <v>189</v>
      </c>
      <c r="D1" s="70" t="s">
        <v>33</v>
      </c>
      <c r="E1" s="66" t="s">
        <v>190</v>
      </c>
      <c r="F1" s="70" t="s">
        <v>191</v>
      </c>
      <c r="G1" s="70" t="s">
        <v>33</v>
      </c>
      <c r="H1" s="66" t="s">
        <v>192</v>
      </c>
      <c r="I1" s="83" t="s">
        <v>194</v>
      </c>
      <c r="J1" s="72" t="s">
        <v>126</v>
      </c>
      <c r="K1" s="71" t="s">
        <v>186</v>
      </c>
      <c r="L1" s="84" t="s">
        <v>185</v>
      </c>
      <c r="M1" s="73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Q19"/>
  <sheetViews>
    <sheetView showGridLines="0" workbookViewId="0">
      <pane ySplit="1" topLeftCell="A2" activePane="bottomLeft" state="frozen"/>
      <selection pane="bottomLeft" activeCell="N7" sqref="N7"/>
    </sheetView>
  </sheetViews>
  <sheetFormatPr baseColWidth="12" defaultColWidth="13" defaultRowHeight="15" outlineLevelCol="1" x14ac:dyDescent="0.15"/>
  <cols>
    <col min="1" max="1" width="13" style="8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style="185" customWidth="1"/>
    <col min="16" max="16" width="41.5" style="211" customWidth="1"/>
  </cols>
  <sheetData>
    <row r="1" spans="1:17" x14ac:dyDescent="0.15">
      <c r="A1" s="69" t="s">
        <v>187</v>
      </c>
      <c r="B1" s="66" t="s">
        <v>150</v>
      </c>
      <c r="C1" s="70" t="s">
        <v>189</v>
      </c>
      <c r="D1" s="70" t="s">
        <v>33</v>
      </c>
      <c r="E1" s="66" t="s">
        <v>190</v>
      </c>
      <c r="F1" s="70" t="s">
        <v>18</v>
      </c>
      <c r="G1" s="70" t="s">
        <v>33</v>
      </c>
      <c r="H1" s="66" t="s">
        <v>192</v>
      </c>
      <c r="I1" s="81" t="s">
        <v>193</v>
      </c>
      <c r="J1" s="83" t="s">
        <v>194</v>
      </c>
      <c r="K1" s="72" t="s">
        <v>126</v>
      </c>
      <c r="L1" s="71" t="s">
        <v>186</v>
      </c>
      <c r="M1" s="209" t="s">
        <v>185</v>
      </c>
      <c r="N1" s="73" t="s">
        <v>195</v>
      </c>
    </row>
    <row r="2" spans="1:17" ht="60" x14ac:dyDescent="0.15">
      <c r="A2" s="170" t="s">
        <v>196</v>
      </c>
      <c r="B2" s="125">
        <v>40042</v>
      </c>
      <c r="C2" s="75" t="str">
        <f ca="1">VLOOKUP($B2,OFFSET([2]quests!$A$1,0,0,COUNTA([2]quests!$A:$A),MATCH(C$1,[2]quests!$1:$1,0)-MATCH($B$1,[2]quests!$1:$1,0)+1),MATCH(C$1,[2]quests!$1:$1,0)-MATCH($B$1,[2]quests!$1:$1,0)+1,FALSE)</f>
        <v>ヘル襲来！</v>
      </c>
      <c r="D2" s="75" t="str">
        <f ca="1">VLOOKUP($B2,OFFSET([2]quests!$A$1,0,0,COUNTA([2]quests!$A:$A),MATCH(D$1,[2]quests!$1:$1,0)-MATCH($B$1,[2]quests!$1:$1,0)+1),MATCH(D$1,[2]quests!$1:$1,0)-MATCH($B$1,[2]quests!$1:$1,0)+1,FALSE)</f>
        <v>降臨42</v>
      </c>
      <c r="E2" s="171">
        <v>1</v>
      </c>
      <c r="F2" s="75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【超絶級】ヘル襲来</v>
      </c>
      <c r="G2" s="75" t="str">
        <f ca="1">VLOOKUP($B2&amp;"_"&amp;$E2,OFFSET([2]stages!$A$1,0,0,COUNTA([2]stages!$A:$A),MATCH(G$1,[2]stages!$2:$2,0)-MATCH("temp_stage",[2]stages!$2:$2,0)+1),MATCH(G$1,[2]stages!$2:$2,0)-MATCH("temp_stage",[2]stages!$2:$2,0)+1,FALSE)</f>
        <v>降臨42</v>
      </c>
      <c r="H2" s="77">
        <v>1</v>
      </c>
      <c r="I2" s="172">
        <f>ROW()-1</f>
        <v>1</v>
      </c>
      <c r="J2" s="173" t="str">
        <f>B2&amp;TEXT(I2,"00")</f>
        <v>4004201</v>
      </c>
      <c r="K2" s="171" t="s">
        <v>197</v>
      </c>
      <c r="L2" s="174" t="s">
        <v>333</v>
      </c>
      <c r="M2" s="175" t="s">
        <v>337</v>
      </c>
      <c r="N2" s="176" t="s">
        <v>198</v>
      </c>
      <c r="O2" s="188" t="str">
        <f>LEN(M2)&amp;"文字"</f>
        <v>36文字</v>
      </c>
      <c r="P2" s="212" t="str">
        <f>"１２３４５６７８９０１２３４５６７８９０"&amp;M2</f>
        <v>１２３４５６７８９０１２３４５６７８９０ミョルニルとアルフヘイムは_x000D_ターン経過で自動的に2ゲージ目に_x000D_移行します</v>
      </c>
    </row>
    <row r="3" spans="1:17" ht="60" x14ac:dyDescent="0.15">
      <c r="A3" s="74" t="s">
        <v>196</v>
      </c>
      <c r="B3" s="7">
        <v>40042</v>
      </c>
      <c r="C3" s="75" t="str">
        <f ca="1">VLOOKUP($B3,OFFSET([2]quests!$A$1,0,0,COUNTA([2]quests!$A:$A),MATCH(C$1,[2]quests!$1:$1,0)-MATCH($B$1,[2]quests!$1:$1,0)+1),MATCH(C$1,[2]quests!$1:$1,0)-MATCH($B$1,[2]quests!$1:$1,0)+1,FALSE)</f>
        <v>ヘル襲来！</v>
      </c>
      <c r="D3" s="75" t="str">
        <f ca="1">VLOOKUP($B3,OFFSET([2]quests!$A$1,0,0,COUNTA([2]quests!$A:$A),MATCH(D$1,[2]quests!$1:$1,0)-MATCH($B$1,[2]quests!$1:$1,0)+1),MATCH(D$1,[2]quests!$1:$1,0)-MATCH($B$1,[2]quests!$1:$1,0)+1,FALSE)</f>
        <v>降臨42</v>
      </c>
      <c r="E3" s="171">
        <v>1</v>
      </c>
      <c r="F3" s="75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【超絶級】ヘル襲来</v>
      </c>
      <c r="G3" s="75" t="str">
        <f ca="1">VLOOKUP($B3&amp;"_"&amp;$E3,OFFSET([2]stages!$A$1,0,0,COUNTA([2]stages!$A:$A),MATCH(G$1,[2]stages!$2:$2,0)-MATCH("temp_stage",[2]stages!$2:$2,0)+1),MATCH(G$1,[2]stages!$2:$2,0)-MATCH("temp_stage",[2]stages!$2:$2,0)+1,FALSE)</f>
        <v>降臨42</v>
      </c>
      <c r="H3" s="77">
        <v>1</v>
      </c>
      <c r="I3" s="82">
        <f t="shared" ref="I3:I19" si="0">ROW()-1</f>
        <v>2</v>
      </c>
      <c r="J3" s="78" t="str">
        <f t="shared" ref="J3:J10" si="1">B3&amp;TEXT(I3,"00")</f>
        <v>4004202</v>
      </c>
      <c r="K3" s="76" t="s">
        <v>197</v>
      </c>
      <c r="L3" s="79" t="s">
        <v>333</v>
      </c>
      <c r="M3" s="124" t="s">
        <v>445</v>
      </c>
      <c r="N3" s="54" t="s">
        <v>198</v>
      </c>
      <c r="O3" s="186" t="str">
        <f>LEN(M3)&amp;"文字"</f>
        <v>51文字</v>
      </c>
      <c r="P3" s="213" t="str">
        <f>"１２３４５６７８９０１２３４５６７８９０"&amp;M3</f>
        <v>１２３４５６７８９０１２３４５６７８９０ミョルニルは時限式ダメージパネル_x000D_アルフヘイムはダメージパネル_x000D_の変換スキルを2ゲージ目から使用します</v>
      </c>
    </row>
    <row r="4" spans="1:17" ht="75" x14ac:dyDescent="0.15">
      <c r="A4" s="74" t="s">
        <v>196</v>
      </c>
      <c r="B4" s="7">
        <v>40042</v>
      </c>
      <c r="C4" s="75" t="str">
        <f ca="1">VLOOKUP($B4,OFFSET([2]quests!$A$1,0,0,COUNTA([2]quests!$A:$A),MATCH(C$1,[2]quests!$1:$1,0)-MATCH($B$1,[2]quests!$1:$1,0)+1),MATCH(C$1,[2]quests!$1:$1,0)-MATCH($B$1,[2]quests!$1:$1,0)+1,FALSE)</f>
        <v>ヘル襲来！</v>
      </c>
      <c r="D4" s="75" t="str">
        <f ca="1">VLOOKUP($B4,OFFSET([2]quests!$A$1,0,0,COUNTA([2]quests!$A:$A),MATCH(D$1,[2]quests!$1:$1,0)-MATCH($B$1,[2]quests!$1:$1,0)+1),MATCH(D$1,[2]quests!$1:$1,0)-MATCH($B$1,[2]quests!$1:$1,0)+1,FALSE)</f>
        <v>降臨42</v>
      </c>
      <c r="E4" s="171">
        <v>1</v>
      </c>
      <c r="F4" s="75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【超絶級】ヘル襲来</v>
      </c>
      <c r="G4" s="75" t="str">
        <f ca="1">VLOOKUP($B4&amp;"_"&amp;$E4,OFFSET([2]stages!$A$1,0,0,COUNTA([2]stages!$A:$A),MATCH(G$1,[2]stages!$2:$2,0)-MATCH("temp_stage",[2]stages!$2:$2,0)+1),MATCH(G$1,[2]stages!$2:$2,0)-MATCH("temp_stage",[2]stages!$2:$2,0)+1,FALSE)</f>
        <v>降臨42</v>
      </c>
      <c r="H4" s="77">
        <v>3</v>
      </c>
      <c r="I4" s="82">
        <f t="shared" si="0"/>
        <v>3</v>
      </c>
      <c r="J4" s="78" t="str">
        <f t="shared" si="1"/>
        <v>4004203</v>
      </c>
      <c r="K4" s="76" t="s">
        <v>197</v>
      </c>
      <c r="L4" s="79" t="s">
        <v>333</v>
      </c>
      <c r="M4" s="124" t="s">
        <v>339</v>
      </c>
      <c r="N4" s="54" t="s">
        <v>198</v>
      </c>
      <c r="O4" s="186" t="str">
        <f>LEN(M4)&amp;"文字"</f>
        <v>63文字</v>
      </c>
      <c r="P4" s="213" t="str">
        <f>"１２３４５６７８９０１２３４５６７８９０"&amp;M4</f>
        <v>１２３４５６７８９０１２３４５６７８９０ガルムはHPが少なくなると強力な_x000D_ハートパネル&amp;ハートボムパネル吸収攻撃_x000D_を使用します_x000D_スキルやフィーバーで一気に倒しましょう</v>
      </c>
    </row>
    <row r="5" spans="1:17" ht="60" x14ac:dyDescent="0.15">
      <c r="A5" s="74" t="s">
        <v>196</v>
      </c>
      <c r="B5" s="7">
        <v>40042</v>
      </c>
      <c r="C5" s="75" t="str">
        <f ca="1">VLOOKUP($B5,OFFSET([2]quests!$A$1,0,0,COUNTA([2]quests!$A:$A),MATCH(C$1,[2]quests!$1:$1,0)-MATCH($B$1,[2]quests!$1:$1,0)+1),MATCH(C$1,[2]quests!$1:$1,0)-MATCH($B$1,[2]quests!$1:$1,0)+1,FALSE)</f>
        <v>ヘル襲来！</v>
      </c>
      <c r="D5" s="75" t="str">
        <f ca="1">VLOOKUP($B5,OFFSET([2]quests!$A$1,0,0,COUNTA([2]quests!$A:$A),MATCH(D$1,[2]quests!$1:$1,0)-MATCH($B$1,[2]quests!$1:$1,0)+1),MATCH(D$1,[2]quests!$1:$1,0)-MATCH($B$1,[2]quests!$1:$1,0)+1,FALSE)</f>
        <v>降臨42</v>
      </c>
      <c r="E5" s="171">
        <v>1</v>
      </c>
      <c r="F5" s="75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【超絶級】ヘル襲来</v>
      </c>
      <c r="G5" s="75" t="str">
        <f ca="1">VLOOKUP($B5&amp;"_"&amp;$E5,OFFSET([2]stages!$A$1,0,0,COUNTA([2]stages!$A:$A),MATCH(G$1,[2]stages!$2:$2,0)-MATCH("temp_stage",[2]stages!$2:$2,0)+1),MATCH(G$1,[2]stages!$2:$2,0)-MATCH("temp_stage",[2]stages!$2:$2,0)+1,FALSE)</f>
        <v>降臨42</v>
      </c>
      <c r="H5" s="77">
        <v>4</v>
      </c>
      <c r="I5" s="82">
        <f t="shared" si="0"/>
        <v>4</v>
      </c>
      <c r="J5" s="78" t="str">
        <f t="shared" si="1"/>
        <v>4004204</v>
      </c>
      <c r="K5" s="76" t="s">
        <v>197</v>
      </c>
      <c r="L5" s="79" t="s">
        <v>333</v>
      </c>
      <c r="M5" s="124" t="s">
        <v>341</v>
      </c>
      <c r="N5" s="54" t="s">
        <v>198</v>
      </c>
      <c r="O5" s="186" t="str">
        <f>LEN(M5)&amp;"文字"</f>
        <v>56文字</v>
      </c>
      <c r="P5" s="213" t="str">
        <f>"１２３４５６７８９０１２３４５６７８９０"&amp;M5</f>
        <v>１２３４５６７８９０１２３４５６７８９０ヘルは1ターン目に赤・青・緑、それぞれの_x000D_ダメージパネル吸収攻撃を行います_x000D_フィーバーで盤面をリセットしましょう</v>
      </c>
    </row>
    <row r="6" spans="1:17" ht="60" x14ac:dyDescent="0.15">
      <c r="A6" s="74" t="s">
        <v>196</v>
      </c>
      <c r="B6" s="7">
        <v>40042</v>
      </c>
      <c r="C6" s="75" t="str">
        <f ca="1">VLOOKUP($B6,OFFSET([2]quests!$A$1,0,0,COUNTA([2]quests!$A:$A),MATCH(C$1,[2]quests!$1:$1,0)-MATCH($B$1,[2]quests!$1:$1,0)+1),MATCH(C$1,[2]quests!$1:$1,0)-MATCH($B$1,[2]quests!$1:$1,0)+1,FALSE)</f>
        <v>ヘル襲来！</v>
      </c>
      <c r="D6" s="75" t="str">
        <f ca="1">VLOOKUP($B6,OFFSET([2]quests!$A$1,0,0,COUNTA([2]quests!$A:$A),MATCH(D$1,[2]quests!$1:$1,0)-MATCH($B$1,[2]quests!$1:$1,0)+1),MATCH(D$1,[2]quests!$1:$1,0)-MATCH($B$1,[2]quests!$1:$1,0)+1,FALSE)</f>
        <v>降臨42</v>
      </c>
      <c r="E6" s="171">
        <v>1</v>
      </c>
      <c r="F6" s="75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【超絶級】ヘル襲来</v>
      </c>
      <c r="G6" s="75" t="str">
        <f ca="1">VLOOKUP($B6&amp;"_"&amp;$E6,OFFSET([2]stages!$A$1,0,0,COUNTA([2]stages!$A:$A),MATCH(G$1,[2]stages!$2:$2,0)-MATCH("temp_stage",[2]stages!$2:$2,0)+1),MATCH(G$1,[2]stages!$2:$2,0)-MATCH("temp_stage",[2]stages!$2:$2,0)+1,FALSE)</f>
        <v>降臨42</v>
      </c>
      <c r="H6" s="77">
        <v>4</v>
      </c>
      <c r="I6" s="82">
        <f t="shared" si="0"/>
        <v>5</v>
      </c>
      <c r="J6" s="78" t="str">
        <f t="shared" si="1"/>
        <v>4004205</v>
      </c>
      <c r="K6" s="76" t="s">
        <v>197</v>
      </c>
      <c r="L6" s="79" t="s">
        <v>333</v>
      </c>
      <c r="M6" s="124" t="s">
        <v>435</v>
      </c>
      <c r="N6" s="54" t="s">
        <v>198</v>
      </c>
      <c r="O6" s="186" t="str">
        <f>LEN(M6)&amp;"文字"</f>
        <v>61文字</v>
      </c>
      <c r="P6" s="213" t="str">
        <f>"１２３４５６７８９０１２３４５６７８９０"&amp;M6</f>
        <v>１２３４５６７８９０１２３４５６７８９０ヘルは3ゲージ目のHPが半分以下になると_x000D_数ターン後大ダメージの全体攻撃を行います_x000D_スキルやフィーバーで一気に倒しましょう</v>
      </c>
    </row>
    <row r="7" spans="1:17" ht="60" x14ac:dyDescent="0.15">
      <c r="A7" s="74" t="s">
        <v>199</v>
      </c>
      <c r="B7" s="7">
        <v>40042</v>
      </c>
      <c r="C7" s="75" t="str">
        <f ca="1">VLOOKUP($B7,OFFSET([2]quests!$A$1,0,0,COUNTA([2]quests!$A:$A),MATCH(C$1,[2]quests!$1:$1,0)-MATCH($B$1,[2]quests!$1:$1,0)+1),MATCH(C$1,[2]quests!$1:$1,0)-MATCH($B$1,[2]quests!$1:$1,0)+1,FALSE)</f>
        <v>ヘル襲来！</v>
      </c>
      <c r="D7" s="75" t="str">
        <f ca="1">VLOOKUP($B7,OFFSET([2]quests!$A$1,0,0,COUNTA([2]quests!$A:$A),MATCH(D$1,[2]quests!$1:$1,0)-MATCH($B$1,[2]quests!$1:$1,0)+1),MATCH(D$1,[2]quests!$1:$1,0)-MATCH($B$1,[2]quests!$1:$1,0)+1,FALSE)</f>
        <v>降臨42</v>
      </c>
      <c r="E7" s="76">
        <v>1</v>
      </c>
      <c r="F7" s="75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【超絶級】ヘル襲来</v>
      </c>
      <c r="G7" s="75" t="str">
        <f ca="1">VLOOKUP($B7&amp;"_"&amp;$E7,OFFSET([2]stages!$A$1,0,0,COUNTA([2]stages!$A:$A),MATCH(G$1,[2]stages!$2:$2,0)-MATCH("temp_stage",[2]stages!$2:$2,0)+1),MATCH(G$1,[2]stages!$2:$2,0)-MATCH("temp_stage",[2]stages!$2:$2,0)+1,FALSE)</f>
        <v>降臨42</v>
      </c>
      <c r="H7" s="77">
        <v>0</v>
      </c>
      <c r="I7" s="82">
        <f t="shared" si="0"/>
        <v>6</v>
      </c>
      <c r="J7" s="78" t="str">
        <f t="shared" si="1"/>
        <v>4004206</v>
      </c>
      <c r="K7" s="76" t="s">
        <v>127</v>
      </c>
      <c r="L7" s="79" t="s">
        <v>441</v>
      </c>
      <c r="M7" s="124" t="s">
        <v>447</v>
      </c>
      <c r="N7" s="54" t="s">
        <v>198</v>
      </c>
      <c r="O7" s="186" t="str">
        <f t="shared" ref="O7:O10" si="2">LEN(M7)&amp;"文字"</f>
        <v>51文字</v>
      </c>
      <c r="P7" s="213" t="str">
        <f t="shared" ref="P7:P10" si="3">"１２３４５６７８９０１２３４５６７８９０"&amp;M7</f>
        <v>１２３４５６７８９０１２３４５６７８９０ヘルは様々な破壊活動を行ってきましたが_x000D_それにはロキによる思考回路の改竄が_x000D_密接に関係しているようです</v>
      </c>
    </row>
    <row r="8" spans="1:17" ht="75" x14ac:dyDescent="0.15">
      <c r="A8" s="74" t="s">
        <v>199</v>
      </c>
      <c r="B8" s="7">
        <v>40042</v>
      </c>
      <c r="C8" s="75" t="str">
        <f ca="1">VLOOKUP($B8,OFFSET([2]quests!$A$1,0,0,COUNTA([2]quests!$A:$A),MATCH(C$1,[2]quests!$1:$1,0)-MATCH($B$1,[2]quests!$1:$1,0)+1),MATCH(C$1,[2]quests!$1:$1,0)-MATCH($B$1,[2]quests!$1:$1,0)+1,FALSE)</f>
        <v>ヘル襲来！</v>
      </c>
      <c r="D8" s="75" t="str">
        <f ca="1">VLOOKUP($B8,OFFSET([2]quests!$A$1,0,0,COUNTA([2]quests!$A:$A),MATCH(D$1,[2]quests!$1:$1,0)-MATCH($B$1,[2]quests!$1:$1,0)+1),MATCH(D$1,[2]quests!$1:$1,0)-MATCH($B$1,[2]quests!$1:$1,0)+1,FALSE)</f>
        <v>降臨42</v>
      </c>
      <c r="E8" s="76">
        <v>1</v>
      </c>
      <c r="F8" s="75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【超絶級】ヘル襲来</v>
      </c>
      <c r="G8" s="75" t="str">
        <f ca="1">VLOOKUP($B8&amp;"_"&amp;$E8,OFFSET([2]stages!$A$1,0,0,COUNTA([2]stages!$A:$A),MATCH(G$1,[2]stages!$2:$2,0)-MATCH("temp_stage",[2]stages!$2:$2,0)+1),MATCH(G$1,[2]stages!$2:$2,0)-MATCH("temp_stage",[2]stages!$2:$2,0)+1,FALSE)</f>
        <v>降臨42</v>
      </c>
      <c r="H8" s="77">
        <v>0</v>
      </c>
      <c r="I8" s="82">
        <f t="shared" si="0"/>
        <v>7</v>
      </c>
      <c r="J8" s="78" t="str">
        <f t="shared" si="1"/>
        <v>4004207</v>
      </c>
      <c r="K8" s="76" t="s">
        <v>127</v>
      </c>
      <c r="L8" s="79" t="s">
        <v>440</v>
      </c>
      <c r="M8" s="124" t="s">
        <v>446</v>
      </c>
      <c r="N8" s="54" t="s">
        <v>198</v>
      </c>
      <c r="O8" s="186" t="str">
        <f t="shared" si="2"/>
        <v>63文字</v>
      </c>
      <c r="P8" s="213" t="str">
        <f t="shared" si="3"/>
        <v>１２３４５６７８９０１２３４５６７８９０女王が暴走するまでのヘルは_x000D_ロキが演算により導き出した対案を_x000D_精査・記録して使える状態にするなど_x000D_事務的な補佐を担っていました</v>
      </c>
    </row>
    <row r="9" spans="1:17" ht="60" x14ac:dyDescent="0.15">
      <c r="A9" s="74" t="s">
        <v>199</v>
      </c>
      <c r="B9" s="7">
        <v>40042</v>
      </c>
      <c r="C9" s="75" t="str">
        <f ca="1">VLOOKUP($B9,OFFSET([2]quests!$A$1,0,0,COUNTA([2]quests!$A:$A),MATCH(C$1,[2]quests!$1:$1,0)-MATCH($B$1,[2]quests!$1:$1,0)+1),MATCH(C$1,[2]quests!$1:$1,0)-MATCH($B$1,[2]quests!$1:$1,0)+1,FALSE)</f>
        <v>ヘル襲来！</v>
      </c>
      <c r="D9" s="75" t="str">
        <f ca="1">VLOOKUP($B9,OFFSET([2]quests!$A$1,0,0,COUNTA([2]quests!$A:$A),MATCH(D$1,[2]quests!$1:$1,0)-MATCH($B$1,[2]quests!$1:$1,0)+1),MATCH(D$1,[2]quests!$1:$1,0)-MATCH($B$1,[2]quests!$1:$1,0)+1,FALSE)</f>
        <v>降臨42</v>
      </c>
      <c r="E9" s="76">
        <v>1</v>
      </c>
      <c r="F9" s="75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【超絶級】ヘル襲来</v>
      </c>
      <c r="G9" s="75" t="str">
        <f ca="1">VLOOKUP($B9&amp;"_"&amp;$E9,OFFSET([2]stages!$A$1,0,0,COUNTA([2]stages!$A:$A),MATCH(G$1,[2]stages!$2:$2,0)-MATCH("temp_stage",[2]stages!$2:$2,0)+1),MATCH(G$1,[2]stages!$2:$2,0)-MATCH("temp_stage",[2]stages!$2:$2,0)+1,FALSE)</f>
        <v>降臨42</v>
      </c>
      <c r="H9" s="77">
        <v>0</v>
      </c>
      <c r="I9" s="82">
        <f t="shared" si="0"/>
        <v>8</v>
      </c>
      <c r="J9" s="78" t="str">
        <f t="shared" si="1"/>
        <v>4004208</v>
      </c>
      <c r="K9" s="76" t="s">
        <v>127</v>
      </c>
      <c r="L9" s="79" t="s">
        <v>439</v>
      </c>
      <c r="M9" s="124" t="s">
        <v>438</v>
      </c>
      <c r="N9" s="54" t="s">
        <v>198</v>
      </c>
      <c r="O9" s="186" t="str">
        <f t="shared" si="2"/>
        <v>57文字</v>
      </c>
      <c r="P9" s="213" t="str">
        <f t="shared" si="3"/>
        <v>１２３４５６７８９０１２３４５６７８９０今回の「ユグドラシルウォール」襲撃では_x000D_ヘルはロキが最深部に辿り着くまで_x000D_追っ手を足止めするよう命じられていました</v>
      </c>
    </row>
    <row r="10" spans="1:17" ht="76" thickBot="1" x14ac:dyDescent="0.2">
      <c r="A10" s="177" t="s">
        <v>199</v>
      </c>
      <c r="B10" s="138">
        <v>40042</v>
      </c>
      <c r="C10" s="178" t="str">
        <f ca="1">VLOOKUP($B10,OFFSET([2]quests!$A$1,0,0,COUNTA([2]quests!$A:$A),MATCH(C$1,[2]quests!$1:$1,0)-MATCH($B$1,[2]quests!$1:$1,0)+1),MATCH(C$1,[2]quests!$1:$1,0)-MATCH($B$1,[2]quests!$1:$1,0)+1,FALSE)</f>
        <v>ヘル襲来！</v>
      </c>
      <c r="D10" s="178" t="str">
        <f ca="1">VLOOKUP($B10,OFFSET([2]quests!$A$1,0,0,COUNTA([2]quests!$A:$A),MATCH(D$1,[2]quests!$1:$1,0)-MATCH($B$1,[2]quests!$1:$1,0)+1),MATCH(D$1,[2]quests!$1:$1,0)-MATCH($B$1,[2]quests!$1:$1,0)+1,FALSE)</f>
        <v>降臨42</v>
      </c>
      <c r="E10" s="179">
        <v>1</v>
      </c>
      <c r="F10" s="178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【超絶級】ヘル襲来</v>
      </c>
      <c r="G10" s="178" t="str">
        <f ca="1">VLOOKUP($B10&amp;"_"&amp;$E10,OFFSET([2]stages!$A$1,0,0,COUNTA([2]stages!$A:$A),MATCH(G$1,[2]stages!$2:$2,0)-MATCH("temp_stage",[2]stages!$2:$2,0)+1),MATCH(G$1,[2]stages!$2:$2,0)-MATCH("temp_stage",[2]stages!$2:$2,0)+1,FALSE)</f>
        <v>降臨42</v>
      </c>
      <c r="H10" s="180">
        <v>0</v>
      </c>
      <c r="I10" s="181">
        <f t="shared" si="0"/>
        <v>9</v>
      </c>
      <c r="J10" s="182" t="str">
        <f t="shared" si="1"/>
        <v>4004209</v>
      </c>
      <c r="K10" s="179" t="s">
        <v>127</v>
      </c>
      <c r="L10" s="183" t="s">
        <v>437</v>
      </c>
      <c r="M10" s="210" t="s">
        <v>436</v>
      </c>
      <c r="N10" s="184" t="s">
        <v>198</v>
      </c>
      <c r="O10" s="187" t="str">
        <f t="shared" si="2"/>
        <v>64文字</v>
      </c>
      <c r="P10" s="214" t="str">
        <f t="shared" si="3"/>
        <v>１２３４５６７８９０１２３４５６７８９０現在のヘルの思考回路は_x000D_ロキの命令には何でも従う状態です_x000D_一方でロキはヘルを駒としか思っておらず_x000D_親子の関係とは言い難いようです</v>
      </c>
    </row>
    <row r="11" spans="1:17" ht="60" x14ac:dyDescent="0.15">
      <c r="A11" s="170" t="s">
        <v>196</v>
      </c>
      <c r="B11" s="125">
        <v>40042</v>
      </c>
      <c r="C11" s="75" t="str">
        <f ca="1">VLOOKUP($B11,OFFSET([2]quests!$A$1,0,0,COUNTA([2]quests!$A:$A),MATCH(C$1,[2]quests!$1:$1,0)-MATCH($B$1,[2]quests!$1:$1,0)+1),MATCH(C$1,[2]quests!$1:$1,0)-MATCH($B$1,[2]quests!$1:$1,0)+1,FALSE)</f>
        <v>ヘル襲来！</v>
      </c>
      <c r="D11" s="75" t="str">
        <f ca="1">VLOOKUP($B11,OFFSET([2]quests!$A$1,0,0,COUNTA([2]quests!$A:$A),MATCH(D$1,[2]quests!$1:$1,0)-MATCH($B$1,[2]quests!$1:$1,0)+1),MATCH(D$1,[2]quests!$1:$1,0)-MATCH($B$1,[2]quests!$1:$1,0)+1,FALSE)</f>
        <v>降臨42</v>
      </c>
      <c r="E11" s="171">
        <v>2</v>
      </c>
      <c r="F11" s="75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【ウィザード級】ヘル襲来</v>
      </c>
      <c r="G11" s="75" t="str">
        <f ca="1">VLOOKUP($B11&amp;"_"&amp;$E11,OFFSET([2]stages!$A$1,0,0,COUNTA([2]stages!$A:$A),MATCH(G$1,[2]stages!$2:$2,0)-MATCH("temp_stage",[2]stages!$2:$2,0)+1),MATCH(G$1,[2]stages!$2:$2,0)-MATCH("temp_stage",[2]stages!$2:$2,0)+1,FALSE)</f>
        <v>降臨42</v>
      </c>
      <c r="H11" s="77">
        <v>1</v>
      </c>
      <c r="I11" s="172">
        <f>ROW()-1</f>
        <v>10</v>
      </c>
      <c r="J11" s="173" t="str">
        <f>B11&amp;TEXT(I11,"00")</f>
        <v>4004210</v>
      </c>
      <c r="K11" s="171" t="s">
        <v>197</v>
      </c>
      <c r="L11" s="174" t="s">
        <v>333</v>
      </c>
      <c r="M11" s="175" t="s">
        <v>338</v>
      </c>
      <c r="N11" s="176" t="s">
        <v>198</v>
      </c>
      <c r="O11" s="186" t="str">
        <f>LEN(M11)&amp;"文字"</f>
        <v>36文字</v>
      </c>
      <c r="P11" s="212" t="str">
        <f>"１２３４５６７８９０１２３４５６７８９０"&amp;M11</f>
        <v>１２３４５６７８９０１２３４５６７８９０ミョルニルとアルフヘイムは_x000D_ターン経過で自動的に2ゲージ目に_x000D_移行します</v>
      </c>
      <c r="Q11" s="185"/>
    </row>
    <row r="12" spans="1:17" ht="60" x14ac:dyDescent="0.15">
      <c r="A12" s="74" t="s">
        <v>196</v>
      </c>
      <c r="B12" s="7">
        <v>40042</v>
      </c>
      <c r="C12" s="75" t="str">
        <f ca="1">VLOOKUP($B12,OFFSET([2]quests!$A$1,0,0,COUNTA([2]quests!$A:$A),MATCH(C$1,[2]quests!$1:$1,0)-MATCH($B$1,[2]quests!$1:$1,0)+1),MATCH(C$1,[2]quests!$1:$1,0)-MATCH($B$1,[2]quests!$1:$1,0)+1,FALSE)</f>
        <v>ヘル襲来！</v>
      </c>
      <c r="D12" s="75" t="str">
        <f ca="1">VLOOKUP($B12,OFFSET([2]quests!$A$1,0,0,COUNTA([2]quests!$A:$A),MATCH(D$1,[2]quests!$1:$1,0)-MATCH($B$1,[2]quests!$1:$1,0)+1),MATCH(D$1,[2]quests!$1:$1,0)-MATCH($B$1,[2]quests!$1:$1,0)+1,FALSE)</f>
        <v>降臨42</v>
      </c>
      <c r="E12" s="76">
        <v>2</v>
      </c>
      <c r="F12" s="75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【ウィザード級】ヘル襲来</v>
      </c>
      <c r="G12" s="75" t="str">
        <f ca="1">VLOOKUP($B12&amp;"_"&amp;$E12,OFFSET([2]stages!$A$1,0,0,COUNTA([2]stages!$A:$A),MATCH(G$1,[2]stages!$2:$2,0)-MATCH("temp_stage",[2]stages!$2:$2,0)+1),MATCH(G$1,[2]stages!$2:$2,0)-MATCH("temp_stage",[2]stages!$2:$2,0)+1,FALSE)</f>
        <v>降臨42</v>
      </c>
      <c r="H12" s="77">
        <v>1</v>
      </c>
      <c r="I12" s="82">
        <f t="shared" si="0"/>
        <v>11</v>
      </c>
      <c r="J12" s="78" t="str">
        <f t="shared" ref="J12:J15" si="4">B12&amp;TEXT(I12,"00")</f>
        <v>4004211</v>
      </c>
      <c r="K12" s="76" t="s">
        <v>197</v>
      </c>
      <c r="L12" s="79" t="s">
        <v>333</v>
      </c>
      <c r="M12" s="124" t="s">
        <v>445</v>
      </c>
      <c r="N12" s="54" t="s">
        <v>198</v>
      </c>
      <c r="O12" s="186" t="str">
        <f>LEN(M12)&amp;"文字"</f>
        <v>51文字</v>
      </c>
      <c r="P12" s="213" t="str">
        <f t="shared" ref="P12:P17" si="5">"１２３４５６７８９０１２３４５６７８９０"&amp;M12</f>
        <v>１２３４５６７８９０１２３４５６７８９０ミョルニルは時限式ダメージパネル_x000D_アルフヘイムはダメージパネル_x000D_の変換スキルを2ゲージ目から使用します</v>
      </c>
    </row>
    <row r="13" spans="1:17" ht="75" x14ac:dyDescent="0.15">
      <c r="A13" s="74" t="s">
        <v>196</v>
      </c>
      <c r="B13" s="7">
        <v>40042</v>
      </c>
      <c r="C13" s="75" t="str">
        <f ca="1">VLOOKUP($B13,OFFSET([2]quests!$A$1,0,0,COUNTA([2]quests!$A:$A),MATCH(C$1,[2]quests!$1:$1,0)-MATCH($B$1,[2]quests!$1:$1,0)+1),MATCH(C$1,[2]quests!$1:$1,0)-MATCH($B$1,[2]quests!$1:$1,0)+1,FALSE)</f>
        <v>ヘル襲来！</v>
      </c>
      <c r="D13" s="75" t="str">
        <f ca="1">VLOOKUP($B13,OFFSET([2]quests!$A$1,0,0,COUNTA([2]quests!$A:$A),MATCH(D$1,[2]quests!$1:$1,0)-MATCH($B$1,[2]quests!$1:$1,0)+1),MATCH(D$1,[2]quests!$1:$1,0)-MATCH($B$1,[2]quests!$1:$1,0)+1,FALSE)</f>
        <v>降臨42</v>
      </c>
      <c r="E13" s="76">
        <v>2</v>
      </c>
      <c r="F13" s="75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【ウィザード級】ヘル襲来</v>
      </c>
      <c r="G13" s="75" t="str">
        <f ca="1">VLOOKUP($B13&amp;"_"&amp;$E13,OFFSET([2]stages!$A$1,0,0,COUNTA([2]stages!$A:$A),MATCH(G$1,[2]stages!$2:$2,0)-MATCH("temp_stage",[2]stages!$2:$2,0)+1),MATCH(G$1,[2]stages!$2:$2,0)-MATCH("temp_stage",[2]stages!$2:$2,0)+1,FALSE)</f>
        <v>降臨42</v>
      </c>
      <c r="H13" s="77">
        <v>3</v>
      </c>
      <c r="I13" s="82">
        <f t="shared" si="0"/>
        <v>12</v>
      </c>
      <c r="J13" s="78" t="str">
        <f t="shared" si="4"/>
        <v>4004212</v>
      </c>
      <c r="K13" s="76" t="s">
        <v>197</v>
      </c>
      <c r="L13" s="79" t="s">
        <v>333</v>
      </c>
      <c r="M13" s="124" t="s">
        <v>340</v>
      </c>
      <c r="N13" s="54" t="s">
        <v>198</v>
      </c>
      <c r="O13" s="186" t="str">
        <f t="shared" ref="O13:O17" si="6">LEN(M13)&amp;"文字"</f>
        <v>63文字</v>
      </c>
      <c r="P13" s="213" t="str">
        <f t="shared" si="5"/>
        <v>１２３４５６７８９０１２３４５６７８９０ガルムはHPが少なくなると強力な_x000D_ハートパネル&amp;ハートボムパネル吸収攻撃_x000D_を使用します_x000D_スキルやフィーバーで一気に倒しましょう</v>
      </c>
    </row>
    <row r="14" spans="1:17" ht="60" x14ac:dyDescent="0.15">
      <c r="A14" s="74" t="s">
        <v>196</v>
      </c>
      <c r="B14" s="7">
        <v>40042</v>
      </c>
      <c r="C14" s="75" t="str">
        <f ca="1">VLOOKUP($B14,OFFSET([2]quests!$A$1,0,0,COUNTA([2]quests!$A:$A),MATCH(C$1,[2]quests!$1:$1,0)-MATCH($B$1,[2]quests!$1:$1,0)+1),MATCH(C$1,[2]quests!$1:$1,0)-MATCH($B$1,[2]quests!$1:$1,0)+1,FALSE)</f>
        <v>ヘル襲来！</v>
      </c>
      <c r="D14" s="75" t="str">
        <f ca="1">VLOOKUP($B14,OFFSET([2]quests!$A$1,0,0,COUNTA([2]quests!$A:$A),MATCH(D$1,[2]quests!$1:$1,0)-MATCH($B$1,[2]quests!$1:$1,0)+1),MATCH(D$1,[2]quests!$1:$1,0)-MATCH($B$1,[2]quests!$1:$1,0)+1,FALSE)</f>
        <v>降臨42</v>
      </c>
      <c r="E14" s="76">
        <v>2</v>
      </c>
      <c r="F14" s="75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【ウィザード級】ヘル襲来</v>
      </c>
      <c r="G14" s="75" t="str">
        <f ca="1">VLOOKUP($B14&amp;"_"&amp;$E14,OFFSET([2]stages!$A$1,0,0,COUNTA([2]stages!$A:$A),MATCH(G$1,[2]stages!$2:$2,0)-MATCH("temp_stage",[2]stages!$2:$2,0)+1),MATCH(G$1,[2]stages!$2:$2,0)-MATCH("temp_stage",[2]stages!$2:$2,0)+1,FALSE)</f>
        <v>降臨42</v>
      </c>
      <c r="H14" s="77">
        <v>4</v>
      </c>
      <c r="I14" s="82">
        <f t="shared" si="0"/>
        <v>13</v>
      </c>
      <c r="J14" s="78" t="str">
        <f t="shared" si="4"/>
        <v>4004213</v>
      </c>
      <c r="K14" s="76" t="s">
        <v>197</v>
      </c>
      <c r="L14" s="79" t="s">
        <v>333</v>
      </c>
      <c r="M14" s="124" t="s">
        <v>334</v>
      </c>
      <c r="N14" s="54" t="s">
        <v>198</v>
      </c>
      <c r="O14" s="186" t="str">
        <f t="shared" si="6"/>
        <v>56文字</v>
      </c>
      <c r="P14" s="213" t="str">
        <f t="shared" si="5"/>
        <v>１２３４５６７８９０１２３４５６７８９０ヘルは1ターン目に赤・青・緑、それぞれの_x000D_ダメージパネル吸収攻撃を行います_x000D_フィーバーで盤面をリセットしましょう</v>
      </c>
    </row>
    <row r="15" spans="1:17" ht="60" x14ac:dyDescent="0.15">
      <c r="A15" s="74" t="s">
        <v>196</v>
      </c>
      <c r="B15" s="7">
        <v>40042</v>
      </c>
      <c r="C15" s="75" t="str">
        <f ca="1">VLOOKUP($B15,OFFSET([2]quests!$A$1,0,0,COUNTA([2]quests!$A:$A),MATCH(C$1,[2]quests!$1:$1,0)-MATCH($B$1,[2]quests!$1:$1,0)+1),MATCH(C$1,[2]quests!$1:$1,0)-MATCH($B$1,[2]quests!$1:$1,0)+1,FALSE)</f>
        <v>ヘル襲来！</v>
      </c>
      <c r="D15" s="75" t="str">
        <f ca="1">VLOOKUP($B15,OFFSET([2]quests!$A$1,0,0,COUNTA([2]quests!$A:$A),MATCH(D$1,[2]quests!$1:$1,0)-MATCH($B$1,[2]quests!$1:$1,0)+1),MATCH(D$1,[2]quests!$1:$1,0)-MATCH($B$1,[2]quests!$1:$1,0)+1,FALSE)</f>
        <v>降臨42</v>
      </c>
      <c r="E15" s="76">
        <v>2</v>
      </c>
      <c r="F15" s="75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【ウィザード級】ヘル襲来</v>
      </c>
      <c r="G15" s="75" t="str">
        <f ca="1">VLOOKUP($B15&amp;"_"&amp;$E15,OFFSET([2]stages!$A$1,0,0,COUNTA([2]stages!$A:$A),MATCH(G$1,[2]stages!$2:$2,0)-MATCH("temp_stage",[2]stages!$2:$2,0)+1),MATCH(G$1,[2]stages!$2:$2,0)-MATCH("temp_stage",[2]stages!$2:$2,0)+1,FALSE)</f>
        <v>降臨42</v>
      </c>
      <c r="H15" s="77">
        <v>4</v>
      </c>
      <c r="I15" s="82">
        <f t="shared" si="0"/>
        <v>14</v>
      </c>
      <c r="J15" s="78" t="str">
        <f t="shared" si="4"/>
        <v>4004214</v>
      </c>
      <c r="K15" s="76" t="s">
        <v>197</v>
      </c>
      <c r="L15" s="79" t="s">
        <v>333</v>
      </c>
      <c r="M15" s="124" t="s">
        <v>435</v>
      </c>
      <c r="N15" s="54" t="s">
        <v>198</v>
      </c>
      <c r="O15" s="186" t="str">
        <f t="shared" si="6"/>
        <v>61文字</v>
      </c>
      <c r="P15" s="213" t="str">
        <f t="shared" si="5"/>
        <v>１２３４５６７８９０１２３４５６７８９０ヘルは3ゲージ目のHPが半分以下になると_x000D_数ターン後大ダメージの全体攻撃を行います_x000D_スキルやフィーバーで一気に倒しましょう</v>
      </c>
    </row>
    <row r="16" spans="1:17" ht="60" x14ac:dyDescent="0.15">
      <c r="A16" s="74" t="s">
        <v>199</v>
      </c>
      <c r="B16" s="7">
        <v>40042</v>
      </c>
      <c r="C16" s="75" t="str">
        <f ca="1">VLOOKUP($B16,OFFSET([2]quests!$A$1,0,0,COUNTA([2]quests!$A:$A),MATCH(C$1,[2]quests!$1:$1,0)-MATCH($B$1,[2]quests!$1:$1,0)+1),MATCH(C$1,[2]quests!$1:$1,0)-MATCH($B$1,[2]quests!$1:$1,0)+1,FALSE)</f>
        <v>ヘル襲来！</v>
      </c>
      <c r="D16" s="75" t="str">
        <f ca="1">VLOOKUP($B16,OFFSET([2]quests!$A$1,0,0,COUNTA([2]quests!$A:$A),MATCH(D$1,[2]quests!$1:$1,0)-MATCH($B$1,[2]quests!$1:$1,0)+1),MATCH(D$1,[2]quests!$1:$1,0)-MATCH($B$1,[2]quests!$1:$1,0)+1,FALSE)</f>
        <v>降臨42</v>
      </c>
      <c r="E16" s="76">
        <v>2</v>
      </c>
      <c r="F16" s="75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【ウィザード級】ヘル襲来</v>
      </c>
      <c r="G16" s="75" t="str">
        <f ca="1">VLOOKUP($B16&amp;"_"&amp;$E16,OFFSET([2]stages!$A$1,0,0,COUNTA([2]stages!$A:$A),MATCH(G$1,[2]stages!$2:$2,0)-MATCH("temp_stage",[2]stages!$2:$2,0)+1),MATCH(G$1,[2]stages!$2:$2,0)-MATCH("temp_stage",[2]stages!$2:$2,0)+1,FALSE)</f>
        <v>降臨42</v>
      </c>
      <c r="H16" s="77">
        <v>0</v>
      </c>
      <c r="I16" s="82">
        <f t="shared" si="0"/>
        <v>15</v>
      </c>
      <c r="J16" s="78" t="str">
        <f t="shared" ref="J16:J17" si="7">B16&amp;TEXT(I16,"00")</f>
        <v>4004215</v>
      </c>
      <c r="K16" s="76" t="s">
        <v>197</v>
      </c>
      <c r="L16" s="79" t="s">
        <v>441</v>
      </c>
      <c r="M16" s="124" t="s">
        <v>447</v>
      </c>
      <c r="N16" s="54" t="s">
        <v>198</v>
      </c>
      <c r="O16" s="186" t="str">
        <f t="shared" si="6"/>
        <v>51文字</v>
      </c>
      <c r="P16" s="213" t="str">
        <f t="shared" si="5"/>
        <v>１２３４５６７８９０１２３４５６７８９０ヘルは様々な破壊活動を行ってきましたが_x000D_それにはロキによる思考回路の改竄が_x000D_密接に関係しているようです</v>
      </c>
    </row>
    <row r="17" spans="1:16" ht="75" x14ac:dyDescent="0.15">
      <c r="A17" s="74" t="s">
        <v>199</v>
      </c>
      <c r="B17" s="7">
        <v>40042</v>
      </c>
      <c r="C17" s="75" t="str">
        <f ca="1">VLOOKUP($B17,OFFSET([2]quests!$A$1,0,0,COUNTA([2]quests!$A:$A),MATCH(C$1,[2]quests!$1:$1,0)-MATCH($B$1,[2]quests!$1:$1,0)+1),MATCH(C$1,[2]quests!$1:$1,0)-MATCH($B$1,[2]quests!$1:$1,0)+1,FALSE)</f>
        <v>ヘル襲来！</v>
      </c>
      <c r="D17" s="75" t="str">
        <f ca="1">VLOOKUP($B17,OFFSET([2]quests!$A$1,0,0,COUNTA([2]quests!$A:$A),MATCH(D$1,[2]quests!$1:$1,0)-MATCH($B$1,[2]quests!$1:$1,0)+1),MATCH(D$1,[2]quests!$1:$1,0)-MATCH($B$1,[2]quests!$1:$1,0)+1,FALSE)</f>
        <v>降臨42</v>
      </c>
      <c r="E17" s="76">
        <v>2</v>
      </c>
      <c r="F17" s="75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【ウィザード級】ヘル襲来</v>
      </c>
      <c r="G17" s="75" t="str">
        <f ca="1">VLOOKUP($B17&amp;"_"&amp;$E17,OFFSET([2]stages!$A$1,0,0,COUNTA([2]stages!$A:$A),MATCH(G$1,[2]stages!$2:$2,0)-MATCH("temp_stage",[2]stages!$2:$2,0)+1),MATCH(G$1,[2]stages!$2:$2,0)-MATCH("temp_stage",[2]stages!$2:$2,0)+1,FALSE)</f>
        <v>降臨42</v>
      </c>
      <c r="H17" s="77">
        <v>0</v>
      </c>
      <c r="I17" s="82">
        <f t="shared" si="0"/>
        <v>16</v>
      </c>
      <c r="J17" s="78" t="str">
        <f t="shared" si="7"/>
        <v>4004216</v>
      </c>
      <c r="K17" s="76" t="s">
        <v>197</v>
      </c>
      <c r="L17" s="79" t="s">
        <v>440</v>
      </c>
      <c r="M17" s="124" t="s">
        <v>446</v>
      </c>
      <c r="N17" s="54" t="s">
        <v>198</v>
      </c>
      <c r="O17" s="186" t="str">
        <f t="shared" si="6"/>
        <v>63文字</v>
      </c>
      <c r="P17" s="213" t="str">
        <f t="shared" si="5"/>
        <v>１２３４５６７８９０１２３４５６７８９０女王が暴走するまでのヘルは_x000D_ロキが演算により導き出した対案を_x000D_精査・記録して使える状態にするなど_x000D_事務的な補佐を担っていました</v>
      </c>
    </row>
    <row r="18" spans="1:16" ht="60" x14ac:dyDescent="0.15">
      <c r="A18" s="74" t="s">
        <v>199</v>
      </c>
      <c r="B18" s="7">
        <v>40042</v>
      </c>
      <c r="C18" s="75" t="str">
        <f ca="1">VLOOKUP($B18,OFFSET([2]quests!$A$1,0,0,COUNTA([2]quests!$A:$A),MATCH(C$1,[2]quests!$1:$1,0)-MATCH($B$1,[2]quests!$1:$1,0)+1),MATCH(C$1,[2]quests!$1:$1,0)-MATCH($B$1,[2]quests!$1:$1,0)+1,FALSE)</f>
        <v>ヘル襲来！</v>
      </c>
      <c r="D18" s="75" t="str">
        <f ca="1">VLOOKUP($B18,OFFSET([2]quests!$A$1,0,0,COUNTA([2]quests!$A:$A),MATCH(D$1,[2]quests!$1:$1,0)-MATCH($B$1,[2]quests!$1:$1,0)+1),MATCH(D$1,[2]quests!$1:$1,0)-MATCH($B$1,[2]quests!$1:$1,0)+1,FALSE)</f>
        <v>降臨42</v>
      </c>
      <c r="E18" s="76">
        <v>2</v>
      </c>
      <c r="F18" s="75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【ウィザード級】ヘル襲来</v>
      </c>
      <c r="G18" s="75" t="str">
        <f ca="1">VLOOKUP($B18&amp;"_"&amp;$E18,OFFSET([2]stages!$A$1,0,0,COUNTA([2]stages!$A:$A),MATCH(G$1,[2]stages!$2:$2,0)-MATCH("temp_stage",[2]stages!$2:$2,0)+1),MATCH(G$1,[2]stages!$2:$2,0)-MATCH("temp_stage",[2]stages!$2:$2,0)+1,FALSE)</f>
        <v>降臨42</v>
      </c>
      <c r="H18" s="77">
        <v>0</v>
      </c>
      <c r="I18" s="82">
        <f t="shared" si="0"/>
        <v>17</v>
      </c>
      <c r="J18" s="78" t="str">
        <f t="shared" ref="J18" si="8">B18&amp;TEXT(I18,"00")</f>
        <v>4004217</v>
      </c>
      <c r="K18" s="76" t="s">
        <v>127</v>
      </c>
      <c r="L18" s="79" t="s">
        <v>439</v>
      </c>
      <c r="M18" s="124" t="s">
        <v>438</v>
      </c>
      <c r="N18" s="54" t="s">
        <v>198</v>
      </c>
      <c r="O18" s="186" t="str">
        <f t="shared" ref="O18" si="9">LEN(M18)&amp;"文字"</f>
        <v>57文字</v>
      </c>
      <c r="P18" s="213" t="str">
        <f t="shared" ref="P18" si="10">"１２３４５６７８９０１２３４５６７８９０"&amp;M18</f>
        <v>１２３４５６７８９０１２３４５６７８９０今回の「ユグドラシルウォール」襲撃では_x000D_ヘルはロキが最深部に辿り着くまで_x000D_追っ手を足止めするよう命じられていました</v>
      </c>
    </row>
    <row r="19" spans="1:16" ht="76" thickBot="1" x14ac:dyDescent="0.2">
      <c r="A19" s="177" t="s">
        <v>199</v>
      </c>
      <c r="B19" s="138">
        <v>40042</v>
      </c>
      <c r="C19" s="178" t="str">
        <f ca="1">VLOOKUP($B19,OFFSET([2]quests!$A$1,0,0,COUNTA([2]quests!$A:$A),MATCH(C$1,[2]quests!$1:$1,0)-MATCH($B$1,[2]quests!$1:$1,0)+1),MATCH(C$1,[2]quests!$1:$1,0)-MATCH($B$1,[2]quests!$1:$1,0)+1,FALSE)</f>
        <v>ヘル襲来！</v>
      </c>
      <c r="D19" s="178" t="str">
        <f ca="1">VLOOKUP($B19,OFFSET([2]quests!$A$1,0,0,COUNTA([2]quests!$A:$A),MATCH(D$1,[2]quests!$1:$1,0)-MATCH($B$1,[2]quests!$1:$1,0)+1),MATCH(D$1,[2]quests!$1:$1,0)-MATCH($B$1,[2]quests!$1:$1,0)+1,FALSE)</f>
        <v>降臨42</v>
      </c>
      <c r="E19" s="179">
        <v>2</v>
      </c>
      <c r="F19" s="178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【ウィザード級】ヘル襲来</v>
      </c>
      <c r="G19" s="178" t="str">
        <f ca="1">VLOOKUP($B19&amp;"_"&amp;$E19,OFFSET([2]stages!$A$1,0,0,COUNTA([2]stages!$A:$A),MATCH(G$1,[2]stages!$2:$2,0)-MATCH("temp_stage",[2]stages!$2:$2,0)+1),MATCH(G$1,[2]stages!$2:$2,0)-MATCH("temp_stage",[2]stages!$2:$2,0)+1,FALSE)</f>
        <v>降臨42</v>
      </c>
      <c r="H19" s="180">
        <v>0</v>
      </c>
      <c r="I19" s="181">
        <f t="shared" si="0"/>
        <v>18</v>
      </c>
      <c r="J19" s="182" t="str">
        <f t="shared" ref="J19" si="11">B19&amp;TEXT(I19,"00")</f>
        <v>4004218</v>
      </c>
      <c r="K19" s="179" t="s">
        <v>127</v>
      </c>
      <c r="L19" s="183" t="s">
        <v>437</v>
      </c>
      <c r="M19" s="210" t="s">
        <v>436</v>
      </c>
      <c r="N19" s="184" t="s">
        <v>198</v>
      </c>
      <c r="O19" s="187" t="str">
        <f t="shared" ref="O19" si="12">LEN(M19)&amp;"文字"</f>
        <v>64文字</v>
      </c>
      <c r="P19" s="214" t="str">
        <f t="shared" ref="P19" si="13">"１２３４５６７８９０１２３４５６７８９０"&amp;M19</f>
        <v>１２３４５６７８９０１２３４５６７８９０現在のヘルの思考回路は_x000D_ロキの命令には何でも従う状態です_x000D_一方でロキはヘルを駒としか思っておらず_x000D_親子の関係とは言い難いようです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D13" sqref="D1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6" t="s">
        <v>211</v>
      </c>
      <c r="B1" s="87" t="s">
        <v>212</v>
      </c>
      <c r="C1" s="70" t="s">
        <v>213</v>
      </c>
      <c r="D1" s="70" t="s">
        <v>33</v>
      </c>
      <c r="E1" s="87" t="s">
        <v>214</v>
      </c>
      <c r="F1" s="70" t="s">
        <v>215</v>
      </c>
      <c r="G1" s="70" t="s">
        <v>33</v>
      </c>
      <c r="H1" s="87" t="s">
        <v>216</v>
      </c>
      <c r="I1" s="87" t="s">
        <v>217</v>
      </c>
      <c r="J1" s="87" t="s">
        <v>218</v>
      </c>
      <c r="K1" s="66" t="s">
        <v>219</v>
      </c>
      <c r="L1" s="66" t="s">
        <v>220</v>
      </c>
      <c r="M1" s="66" t="s">
        <v>156</v>
      </c>
      <c r="N1" s="70" t="s">
        <v>16</v>
      </c>
      <c r="O1" s="66" t="s">
        <v>221</v>
      </c>
      <c r="P1" s="66" t="s">
        <v>56</v>
      </c>
      <c r="Q1" s="66" t="s">
        <v>222</v>
      </c>
      <c r="R1" s="66" t="s">
        <v>38</v>
      </c>
      <c r="S1" s="66" t="s">
        <v>40</v>
      </c>
      <c r="T1" s="66" t="s">
        <v>42</v>
      </c>
      <c r="U1" s="66" t="s">
        <v>44</v>
      </c>
      <c r="V1" s="66" t="s">
        <v>46</v>
      </c>
      <c r="W1" s="66" t="s">
        <v>223</v>
      </c>
      <c r="X1" s="66" t="s">
        <v>224</v>
      </c>
    </row>
    <row r="2" spans="1:24" x14ac:dyDescent="0.15">
      <c r="A2" s="88" t="str">
        <f>B2&amp;"_"&amp;E2&amp;"_"&amp;H2&amp;"_"&amp;I2&amp;"_"&amp;J2</f>
        <v>40042_2_everyone_full_member_1</v>
      </c>
      <c r="B2" s="7">
        <v>40042</v>
      </c>
      <c r="C2" s="75" t="str">
        <f ca="1">VLOOKUP($B2,OFFSET([2]quests!$A$1,0,0,COUNTA([2]quests!$A:$A),MATCH(C$1,[2]quests!$1:$1,0)-MATCH($B$1,[2]quests!$1:$1,0)+1),MATCH(C$1,[2]quests!$1:$1,0)-MATCH($B$1,[2]quests!$1:$1,0)+1,FALSE)</f>
        <v>ヘル襲来！</v>
      </c>
      <c r="D2" s="75" t="str">
        <f ca="1">VLOOKUP($B2,OFFSET([2]quests!$A$1,0,0,COUNTA([2]quests!$A:$A),MATCH(D$1,[2]quests!$1:$1,0)-MATCH($B$1,[2]quests!$1:$1,0)+1),MATCH(D$1,[2]quests!$1:$1,0)-MATCH($B$1,[2]quests!$1:$1,0)+1,FALSE)</f>
        <v>降臨42</v>
      </c>
      <c r="E2" s="76">
        <v>2</v>
      </c>
      <c r="F2" s="75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【ウィザード級】ヘル襲来</v>
      </c>
      <c r="G2" s="75" t="str">
        <f ca="1">VLOOKUP($B2&amp;"_"&amp;$E2,OFFSET([2]stages!$A$1,0,0,COUNTA([2]stages!$A:$A),MATCH(G$1,[2]stages!$2:$2,0)-MATCH("temp_stage",[2]stages!$2:$2,0)+1),MATCH(G$1,[2]stages!$2:$2,0)-MATCH("temp_stage",[2]stages!$2:$2,0)+1,FALSE)</f>
        <v>降臨42</v>
      </c>
      <c r="H2" s="77" t="s">
        <v>225</v>
      </c>
      <c r="I2" s="76" t="s">
        <v>442</v>
      </c>
      <c r="J2" s="76">
        <v>1</v>
      </c>
      <c r="K2" s="76">
        <v>1000</v>
      </c>
      <c r="L2" s="76" t="s">
        <v>226</v>
      </c>
      <c r="M2" s="76">
        <v>1256</v>
      </c>
      <c r="N2" s="89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ヘル</v>
      </c>
      <c r="O2" s="76">
        <v>1</v>
      </c>
      <c r="P2" s="76">
        <v>1</v>
      </c>
      <c r="Q2" s="76">
        <v>1</v>
      </c>
      <c r="R2" s="76">
        <v>0</v>
      </c>
      <c r="S2" s="76">
        <v>0</v>
      </c>
      <c r="T2" s="76">
        <v>0</v>
      </c>
      <c r="U2" s="76">
        <v>0</v>
      </c>
      <c r="V2" s="76">
        <v>1</v>
      </c>
      <c r="W2" s="90" t="s">
        <v>227</v>
      </c>
      <c r="X2" s="91" t="s">
        <v>228</v>
      </c>
    </row>
    <row r="3" spans="1:24" x14ac:dyDescent="0.15">
      <c r="A3" s="88" t="str">
        <f>B3&amp;"_"&amp;E3&amp;"_"&amp;H3&amp;"_"&amp;I3&amp;"_"&amp;J3</f>
        <v>40042_2_everyone_no_continue_1</v>
      </c>
      <c r="B3" s="7">
        <v>40042</v>
      </c>
      <c r="C3" s="75" t="str">
        <f ca="1">VLOOKUP($B3,OFFSET([2]quests!$A$1,0,0,COUNTA([2]quests!$A:$A),MATCH(C$1,[2]quests!$1:$1,0)-MATCH($B$1,[2]quests!$1:$1,0)+1),MATCH(C$1,[2]quests!$1:$1,0)-MATCH($B$1,[2]quests!$1:$1,0)+1,FALSE)</f>
        <v>ヘル襲来！</v>
      </c>
      <c r="D3" s="75" t="str">
        <f ca="1">VLOOKUP($B3,OFFSET([2]quests!$A$1,0,0,COUNTA([2]quests!$A:$A),MATCH(D$1,[2]quests!$1:$1,0)-MATCH($B$1,[2]quests!$1:$1,0)+1),MATCH(D$1,[2]quests!$1:$1,0)-MATCH($B$1,[2]quests!$1:$1,0)+1,FALSE)</f>
        <v>降臨42</v>
      </c>
      <c r="E3" s="76">
        <v>2</v>
      </c>
      <c r="F3" s="75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【ウィザード級】ヘル襲来</v>
      </c>
      <c r="G3" s="75" t="str">
        <f ca="1">VLOOKUP($B3&amp;"_"&amp;$E3,OFFSET([2]stages!$A$1,0,0,COUNTA([2]stages!$A:$A),MATCH(G$1,[2]stages!$2:$2,0)-MATCH("temp_stage",[2]stages!$2:$2,0)+1),MATCH(G$1,[2]stages!$2:$2,0)-MATCH("temp_stage",[2]stages!$2:$2,0)+1,FALSE)</f>
        <v>降臨42</v>
      </c>
      <c r="H3" s="77" t="s">
        <v>225</v>
      </c>
      <c r="I3" s="76" t="s">
        <v>229</v>
      </c>
      <c r="J3" s="76">
        <v>1</v>
      </c>
      <c r="K3" s="76">
        <v>1000</v>
      </c>
      <c r="L3" s="76" t="s">
        <v>226</v>
      </c>
      <c r="M3" s="76">
        <v>1256</v>
      </c>
      <c r="N3" s="89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ヘル</v>
      </c>
      <c r="O3" s="76">
        <v>1</v>
      </c>
      <c r="P3" s="76">
        <v>1</v>
      </c>
      <c r="Q3" s="76">
        <v>1</v>
      </c>
      <c r="R3" s="76">
        <v>0</v>
      </c>
      <c r="S3" s="76">
        <v>0</v>
      </c>
      <c r="T3" s="76">
        <v>0</v>
      </c>
      <c r="U3" s="76">
        <v>0</v>
      </c>
      <c r="V3" s="76">
        <v>1</v>
      </c>
      <c r="W3" s="90" t="s">
        <v>227</v>
      </c>
      <c r="X3" s="91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2017-03-30T03:34:58Z</dcterms:modified>
</cp:coreProperties>
</file>