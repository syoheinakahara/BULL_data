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4"/>
  </bookViews>
  <sheets>
    <sheet name="確率の考え方" sheetId="110" r:id="rId1"/>
    <sheet name="Sheet1" sheetId="107" r:id="rId2"/>
    <sheet name="output" sheetId="103" r:id="rId3"/>
    <sheet name="input_548010" sheetId="157" r:id="rId4"/>
    <sheet name="tables_548010" sheetId="158" r:id="rId5"/>
    <sheet name="input_548100" sheetId="153" r:id="rId6"/>
    <sheet name="tables_548100" sheetId="154" r:id="rId7"/>
    <sheet name="input_settle_548100" sheetId="160" r:id="rId8"/>
    <sheet name="tables_settle_548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tables_548010!$A$1:$V$346</definedName>
    <definedName name="_xlnm._FilterDatabase" localSheetId="6" hidden="1">tables_548100!$A$1:$V$294</definedName>
    <definedName name="_xlnm._FilterDatabase" localSheetId="8" hidden="1">tables_settle_548100!$A$1:$V$294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48" i="161" l="1"/>
  <c r="D348" i="161"/>
  <c r="J348" i="161"/>
  <c r="E348" i="161"/>
  <c r="F348" i="161"/>
  <c r="C348" i="161"/>
  <c r="H348" i="161"/>
  <c r="K348" i="161"/>
  <c r="L348" i="161"/>
  <c r="M348" i="161"/>
  <c r="N348" i="161"/>
  <c r="A2" i="160"/>
  <c r="I349" i="161"/>
  <c r="D349" i="161"/>
  <c r="J349" i="161"/>
  <c r="E349" i="161"/>
  <c r="F349" i="161"/>
  <c r="C349" i="161"/>
  <c r="I350" i="161"/>
  <c r="D350" i="161"/>
  <c r="J350" i="161"/>
  <c r="E350" i="161"/>
  <c r="F350" i="161"/>
  <c r="C350" i="161"/>
  <c r="I351" i="161"/>
  <c r="D351" i="161"/>
  <c r="J351" i="161"/>
  <c r="E351" i="161"/>
  <c r="F351" i="161"/>
  <c r="C351" i="161"/>
  <c r="I352" i="161"/>
  <c r="D352" i="161"/>
  <c r="J352" i="161"/>
  <c r="E352" i="161"/>
  <c r="F352" i="161"/>
  <c r="C352" i="161"/>
  <c r="I353" i="161"/>
  <c r="D353" i="161"/>
  <c r="J353" i="161"/>
  <c r="E353" i="161"/>
  <c r="F353" i="161"/>
  <c r="C353" i="161"/>
  <c r="I354" i="161"/>
  <c r="D354" i="161"/>
  <c r="J354" i="161"/>
  <c r="E354" i="161"/>
  <c r="F354" i="161"/>
  <c r="C354" i="161"/>
  <c r="I355" i="161"/>
  <c r="D355" i="161"/>
  <c r="J355" i="161"/>
  <c r="E355" i="161"/>
  <c r="F355" i="161"/>
  <c r="C355" i="161"/>
  <c r="I356" i="161"/>
  <c r="D356" i="161"/>
  <c r="J356" i="161"/>
  <c r="E356" i="161"/>
  <c r="F356" i="161"/>
  <c r="C356" i="161"/>
  <c r="I357" i="161"/>
  <c r="D357" i="161"/>
  <c r="J357" i="161"/>
  <c r="E357" i="161"/>
  <c r="F357" i="161"/>
  <c r="C357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O348" i="161"/>
  <c r="E6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9" i="161"/>
  <c r="O350" i="161"/>
  <c r="O351" i="161"/>
  <c r="O352" i="161"/>
  <c r="O353" i="161"/>
  <c r="O354" i="161"/>
  <c r="O355" i="161"/>
  <c r="G31" i="160"/>
  <c r="E31" i="160"/>
  <c r="H31" i="160"/>
  <c r="O356" i="161"/>
  <c r="O357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P356" i="161"/>
  <c r="H357" i="161"/>
  <c r="K357" i="161"/>
  <c r="L357" i="161"/>
  <c r="M357" i="161"/>
  <c r="N357" i="161"/>
  <c r="P357" i="161"/>
  <c r="A357" i="161"/>
  <c r="A356" i="161"/>
  <c r="A355" i="161"/>
  <c r="A354" i="161"/>
  <c r="A353" i="161"/>
  <c r="A352" i="161"/>
  <c r="A351" i="161"/>
  <c r="A350" i="161"/>
  <c r="A349" i="161"/>
  <c r="A348" i="161"/>
  <c r="I348" i="154"/>
  <c r="D348" i="154"/>
  <c r="J348" i="154"/>
  <c r="E348" i="154"/>
  <c r="F348" i="154"/>
  <c r="C348" i="154"/>
  <c r="H348" i="154"/>
  <c r="K348" i="154"/>
  <c r="L348" i="154"/>
  <c r="M348" i="154"/>
  <c r="N348" i="154"/>
  <c r="A2" i="153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48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B23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9" i="154"/>
  <c r="O350" i="154"/>
  <c r="O351" i="154"/>
  <c r="O352" i="154"/>
  <c r="O353" i="154"/>
  <c r="O354" i="154"/>
  <c r="O355" i="154"/>
  <c r="G31" i="153"/>
  <c r="E31" i="153"/>
  <c r="H31" i="153"/>
  <c r="O356" i="154"/>
  <c r="O357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P356" i="154"/>
  <c r="H357" i="154"/>
  <c r="K357" i="154"/>
  <c r="L357" i="154"/>
  <c r="M357" i="154"/>
  <c r="N357" i="154"/>
  <c r="P357" i="154"/>
  <c r="A357" i="154"/>
  <c r="A356" i="154"/>
  <c r="A355" i="154"/>
  <c r="A354" i="154"/>
  <c r="A353" i="154"/>
  <c r="A352" i="154"/>
  <c r="A351" i="154"/>
  <c r="A350" i="154"/>
  <c r="A349" i="154"/>
  <c r="A348" i="154"/>
  <c r="I348" i="158"/>
  <c r="D348" i="158"/>
  <c r="J348" i="158"/>
  <c r="E348" i="158"/>
  <c r="F348" i="158"/>
  <c r="C348" i="158"/>
  <c r="H348" i="158"/>
  <c r="K348" i="158"/>
  <c r="L348" i="158"/>
  <c r="M348" i="158"/>
  <c r="N348" i="158"/>
  <c r="A2" i="157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348" i="158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9" i="158"/>
  <c r="O350" i="158"/>
  <c r="O351" i="158"/>
  <c r="O352" i="158"/>
  <c r="O353" i="158"/>
  <c r="O354" i="158"/>
  <c r="O355" i="158"/>
  <c r="G31" i="157"/>
  <c r="E31" i="157"/>
  <c r="H31" i="157"/>
  <c r="O356" i="158"/>
  <c r="O357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H356" i="158"/>
  <c r="K356" i="158"/>
  <c r="L356" i="158"/>
  <c r="M356" i="158"/>
  <c r="N356" i="158"/>
  <c r="P356" i="158"/>
  <c r="H357" i="158"/>
  <c r="K357" i="158"/>
  <c r="L357" i="158"/>
  <c r="M357" i="158"/>
  <c r="N357" i="158"/>
  <c r="P357" i="158"/>
  <c r="A357" i="158"/>
  <c r="A356" i="158"/>
  <c r="A355" i="158"/>
  <c r="A354" i="158"/>
  <c r="A353" i="158"/>
  <c r="A352" i="158"/>
  <c r="A351" i="158"/>
  <c r="A350" i="158"/>
  <c r="A349" i="158"/>
  <c r="A348" i="158"/>
  <c r="A347" i="158"/>
  <c r="I347" i="158"/>
  <c r="D347" i="158"/>
  <c r="J347" i="158"/>
  <c r="E347" i="158"/>
  <c r="F347" i="158"/>
  <c r="C347" i="158"/>
  <c r="H347" i="158"/>
  <c r="K347" i="158"/>
  <c r="L347" i="158"/>
  <c r="M347" i="158"/>
  <c r="N347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B31" i="157"/>
  <c r="B10" i="157"/>
  <c r="B6" i="157"/>
  <c r="B30" i="157"/>
  <c r="P347" i="158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B6" i="153"/>
  <c r="I2" i="16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B10" i="160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B10" i="153"/>
  <c r="B31" i="153"/>
  <c r="R3" i="157"/>
  <c r="R4" i="157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G48" i="153"/>
  <c r="F41" i="153"/>
  <c r="G41" i="153"/>
  <c r="F34" i="153"/>
  <c r="B30" i="153"/>
  <c r="F48" i="157"/>
  <c r="F49" i="157"/>
  <c r="G48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<sst xmlns="http://schemas.openxmlformats.org/spreadsheetml/2006/main" count="632" uniqueCount="264">
  <si>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</si>
  <si>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</si>
  <si>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</si>
  <si>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</si>
  <si>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</si>
  <si>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</si>
  <si>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</si>
  <si>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</si>
  <si>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</si>
  <si>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</si>
  <si>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</si>
  <si>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</si>
  <si>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</si>
  <si>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</si>
  <si>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</si>
  <si>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</si>
  <si>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</si>
  <si>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</si>
  <si>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</si>
  <si>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</si>
  <si>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</si>
  <si>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</si>
  <si>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</si>
  <si>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</si>
  <si>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</si>
  <si>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</si>
  <si>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</si>
  <si>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</si>
  <si>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</si>
  <si>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</si>
  <si>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</si>
  <si>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</si>
  <si>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</si>
  <si>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</si>
  <si>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</si>
  <si>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</si>
  <si>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</si>
  <si>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</si>
  <si>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</si>
  <si>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</si>
  <si>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</si>
  <si>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</si>
  <si>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</si>
  <si>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</si>
  <si>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</si>
  <si>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</si>
  <si>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</si>
  <si>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</si>
  <si>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</si>
  <si>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</si>
  <si>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</si>
  <si>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</si>
  <si>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</si>
  <si>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</si>
  <si>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</si>
  <si>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</si>
  <si>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</si>
  <si>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</si>
  <si>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</si>
  <si>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</si>
  <si>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</si>
  <si>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</si>
  <si>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</si>
  <si>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</si>
  <si>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</si>
  <si>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</si>
  <si>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</si>
  <si>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</si>
  <si>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</si>
  <si>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</si>
  <si>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</si>
  <si>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</si>
  <si>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</si>
  <si>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</si>
  <si>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</si>
  <si>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</si>
  <si>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</si>
  <si>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</si>
  <si>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</si>
  <si>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</si>
  <si>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</si>
  <si>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</si>
  <si>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</si>
  <si>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</si>
  <si>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</si>
  <si>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</si>
  <si>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</si>
  <si>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</si>
  <si>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</si>
  <si>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</si>
  <si>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</si>
  <si>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</si>
  <si>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</si>
  <si>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</si>
  <si>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</si>
  <si>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</si>
  <si>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</si>
  <si>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</si>
  <si>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</si>
  <si>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</si>
  <si>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</si>
  <si>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</si>
  <si>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</si>
  <si>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</si>
  <si>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</si>
  <si>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</si>
  <si>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</si>
  <si>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</si>
  <si>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</si>
  <si>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</si>
  <si>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</si>
  <si>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</si>
  <si>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</si>
  <si>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</si>
  <si>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</si>
  <si>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</si>
  <si>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</si>
  <si>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</si>
  <si>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</si>
  <si>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</si>
  <si>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</si>
  <si>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</si>
  <si>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</si>
  <si>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</si>
  <si>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</si>
  <si>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</si>
  <si>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</si>
  <si>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</si>
  <si>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</si>
  <si>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</si>
  <si>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</si>
  <si>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</si>
  <si>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</si>
  <si>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</si>
  <si>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</si>
  <si>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</si>
  <si>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</si>
  <si>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</si>
  <si>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</si>
  <si>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</si>
  <si>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</si>
  <si>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</si>
  <si>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</si>
  <si>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</si>
  <si>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</si>
  <si>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</si>
  <si>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</si>
  <si>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</si>
  <si>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</si>
  <si>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</si>
  <si>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</si>
  <si>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</si>
  <si>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</si>
  <si>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</si>
  <si>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</si>
  <si>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</si>
  <si>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</si>
  <si>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</si>
  <si>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</si>
  <si>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</si>
  <si>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</si>
  <si>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</si>
  <si>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</si>
  <si>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</si>
  <si>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</si>
  <si>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</si>
  <si>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</si>
  <si>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</si>
  <si>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</si>
  <si>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</si>
  <si>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</si>
  <si>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</si>
  <si>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</si>
  <si>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</si>
  <si>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</si>
  <si>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</si>
  <si>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</si>
  <si>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</si>
  <si>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</si>
  <si>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</si>
  <si>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</si>
  <si>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</si>
  <si>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</si>
  <si>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</si>
  <si>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</si>
  <si>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</si>
  <si>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</si>
  <si>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</si>
  <si>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</si>
  <si>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</si>
  <si>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</si>
  <si>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</si>
  <si>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</si>
  <si>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</si>
  <si>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</si>
  <si>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</si>
  <si>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</si>
  <si>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</si>
  <si>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</si>
  <si>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</si>
  <si>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</si>
  <si>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</si>
  <si>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</si>
  <si>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</si>
  <si>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</si>
  <si>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</si>
  <si>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</si>
  <si>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</si>
  <si>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</si>
  <si>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</si>
  <si>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</si>
  <si>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</si>
  <si>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</si>
  <si>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</si>
  <si>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</si>
  <si>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</si>
  <si>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</si>
  <si>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</si>
  <si>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</si>
  <si>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</si>
  <si>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</si>
  <si>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</si>
  <si>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</si>
  <si>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</si>
  <si>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</si>
  <si>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</si>
  <si>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</si>
  <si>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</si>
  <si>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</si>
  <si>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</si>
  <si>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</si>
  <si>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</si>
  <si>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</si>
  <si>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</si>
  <si>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</si>
  <si>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</si>
  <si>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</si>
  <si>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</si>
  <si>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</si>
  <si>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</si>
  <si>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</si>
  <si>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</si>
  <si>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</si>
  <si>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</si>
  <si>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</si>
  <si>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</si>
  <si>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</si>
  <si>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</si>
  <si>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</si>
  <si>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</si>
  <si>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</si>
  <si>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</si>
  <si>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old</t>
    <phoneticPr fontId="21"/>
  </si>
  <si>
    <t>item</t>
    <phoneticPr fontId="21"/>
  </si>
  <si>
    <t>ja</t>
    <phoneticPr fontId="21"/>
  </si>
  <si>
    <t>★6覚醒可能ユニットチケット</t>
    <phoneticPr fontId="21"/>
  </si>
  <si>
    <t>フィーバーフェスティバル特典</t>
    <phoneticPr fontId="21"/>
  </si>
  <si>
    <t>old</t>
    <phoneticPr fontId="21"/>
  </si>
  <si>
    <t>old</t>
    <phoneticPr fontId="21"/>
  </si>
  <si>
    <t>5回目の特典として「★6覚醒可能ユニットチケット」を1枚プレゼント！</t>
    <phoneticPr fontId="21"/>
  </si>
  <si>
    <t>通常確率</t>
    <rPh sb="0" eb="4">
      <t>ツウジョ</t>
    </rPh>
    <phoneticPr fontId="21"/>
  </si>
  <si>
    <t>tables_548100</t>
    <phoneticPr fontId="21"/>
  </si>
  <si>
    <t>tables_548010</t>
    <phoneticPr fontId="21"/>
  </si>
  <si>
    <t>tables_settle_548100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</si>
</sst>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1" fillId="4" borderId="1" xfId="2978" applyFont="1" applyFill="1" applyBorder="1"/>
    <xf numFmtId="0" fontId="26" fillId="4" borderId="0" xfId="2" applyFont="1" applyFill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/>
          <cell r="E1187"/>
          <cell r="F1187"/>
          <cell r="G1187"/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/>
          <cell r="E1188"/>
          <cell r="F1188"/>
          <cell r="G1188"/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/>
          <cell r="E1189"/>
          <cell r="F1189"/>
          <cell r="G1189"/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/>
          <cell r="E1190"/>
          <cell r="F1190"/>
          <cell r="G1190"/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/>
          <cell r="E1191"/>
          <cell r="F1191"/>
          <cell r="G1191"/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/>
          <cell r="E1201"/>
          <cell r="F1201"/>
          <cell r="G1201"/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/>
          <cell r="E1202"/>
          <cell r="F1202"/>
          <cell r="G1202"/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/>
          <cell r="E1203"/>
          <cell r="F1203"/>
          <cell r="G1203"/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/>
          <cell r="E1204"/>
          <cell r="F1204"/>
          <cell r="G1204"/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/>
          <cell r="E1205"/>
          <cell r="F1205"/>
          <cell r="G1205"/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/>
          <cell r="E1206"/>
          <cell r="F1206"/>
          <cell r="G1206"/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/>
          <cell r="E1207"/>
          <cell r="F1207"/>
          <cell r="G1207"/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/>
          <cell r="E1208"/>
          <cell r="F1208"/>
          <cell r="G1208"/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/>
          <cell r="E1209"/>
          <cell r="F1209"/>
          <cell r="G1209"/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/>
          <cell r="E1210"/>
          <cell r="F1210"/>
          <cell r="G1210"/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/>
          <cell r="E1211"/>
          <cell r="F1211"/>
          <cell r="G1211"/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/>
          <cell r="E1212"/>
          <cell r="F1212"/>
          <cell r="G1212"/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/>
          <cell r="E1213"/>
          <cell r="F1213"/>
          <cell r="G1213"/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/>
          <cell r="E1214"/>
          <cell r="F1214"/>
          <cell r="G1214"/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/>
          <cell r="E1215"/>
          <cell r="F1215"/>
          <cell r="G1215"/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/>
          <cell r="E1216"/>
          <cell r="F1216"/>
          <cell r="G1216"/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/>
          <cell r="E1217"/>
          <cell r="F1217"/>
          <cell r="G1217"/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/>
          <cell r="E1218"/>
          <cell r="F1218"/>
          <cell r="G1218"/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/>
          <cell r="E1219"/>
          <cell r="F1219"/>
          <cell r="G1219"/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/>
          <cell r="E1220"/>
          <cell r="F1220"/>
          <cell r="G1220"/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/>
          <cell r="E1221"/>
          <cell r="F1221"/>
          <cell r="G1221"/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/>
          <cell r="E1222"/>
          <cell r="F1222"/>
          <cell r="G1222"/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/>
          <cell r="E1223"/>
          <cell r="F1223"/>
          <cell r="G1223"/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/>
          <cell r="E1224"/>
          <cell r="F1224"/>
          <cell r="G1224"/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/>
          <cell r="E1225"/>
          <cell r="F1225"/>
          <cell r="G1225"/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/>
          <cell r="E1226"/>
          <cell r="F1226"/>
          <cell r="G1226"/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/>
          <cell r="E1227"/>
          <cell r="F1227"/>
          <cell r="G1227"/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/>
          <cell r="E1228"/>
          <cell r="F1228"/>
          <cell r="G1228"/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/>
          <cell r="E1229"/>
          <cell r="F1229"/>
          <cell r="G1229"/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/>
          <cell r="E1230"/>
          <cell r="F1230"/>
          <cell r="G1230"/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/>
          <cell r="E1231"/>
          <cell r="F1231"/>
          <cell r="G1231"/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/>
          <cell r="E1232"/>
          <cell r="F1232"/>
          <cell r="G1232"/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/>
          <cell r="E1233"/>
          <cell r="F1233"/>
          <cell r="G1233"/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/>
          <cell r="E1234"/>
          <cell r="F1234"/>
          <cell r="G1234"/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/>
          <cell r="E1235"/>
          <cell r="F1235"/>
          <cell r="G1235"/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/>
          <cell r="E1236"/>
          <cell r="F1236"/>
          <cell r="G1236"/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/>
          <cell r="E1237"/>
          <cell r="F1237"/>
          <cell r="G1237"/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/>
          <cell r="E1238"/>
          <cell r="F1238"/>
          <cell r="G1238"/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/>
          <cell r="E1239"/>
          <cell r="F1239"/>
          <cell r="G1239"/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/>
          <cell r="E1240"/>
          <cell r="F1240"/>
          <cell r="G1240"/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/>
          <cell r="E1241"/>
          <cell r="F1241"/>
          <cell r="G1241"/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/>
          <cell r="E1242"/>
          <cell r="F1242"/>
          <cell r="G1242"/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/>
          <cell r="E1243"/>
          <cell r="F1243"/>
          <cell r="G1243"/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/>
          <cell r="E1244"/>
          <cell r="F1244"/>
          <cell r="G1244"/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/>
          <cell r="E1245"/>
          <cell r="F1245"/>
          <cell r="G1245"/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/>
          <cell r="E1246"/>
          <cell r="F1246"/>
          <cell r="G1246"/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/>
          <cell r="E1247"/>
          <cell r="F1247"/>
          <cell r="G1247"/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/>
          <cell r="E1248"/>
          <cell r="F1248"/>
          <cell r="G1248"/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/>
          <cell r="E1249"/>
          <cell r="F1249"/>
          <cell r="G1249"/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/>
          <cell r="E1250"/>
          <cell r="F1250"/>
          <cell r="G1250"/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/>
          <cell r="E1251"/>
          <cell r="F1251"/>
          <cell r="G1251"/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/>
          <cell r="E1252"/>
          <cell r="F1252"/>
          <cell r="G1252"/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/>
          <cell r="E1253"/>
          <cell r="F1253"/>
          <cell r="G1253"/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/>
          <cell r="E1254"/>
          <cell r="F1254"/>
          <cell r="G1254"/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/>
          <cell r="E1255"/>
          <cell r="F1255"/>
          <cell r="G1255"/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/>
          <cell r="E1256"/>
          <cell r="F1256"/>
          <cell r="G1256"/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/>
          <cell r="E1257"/>
          <cell r="F1257"/>
          <cell r="G1257"/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/>
          <cell r="E1258"/>
          <cell r="F1258"/>
          <cell r="G1258"/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/>
          <cell r="E1259"/>
          <cell r="F1259"/>
          <cell r="G1259"/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/>
          <cell r="E1260"/>
          <cell r="F1260"/>
          <cell r="G1260"/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/>
          <cell r="E1261"/>
          <cell r="F1261"/>
          <cell r="G1261"/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/>
          <cell r="E1262"/>
          <cell r="F1262"/>
          <cell r="G1262"/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/>
          <cell r="E1263"/>
          <cell r="F1263"/>
          <cell r="G1263"/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/>
          <cell r="E1264"/>
          <cell r="F1264"/>
          <cell r="G1264"/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/>
          <cell r="E1265"/>
          <cell r="F1265"/>
          <cell r="G1265"/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/>
          <cell r="E1266"/>
          <cell r="F1266"/>
          <cell r="G1266"/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/>
          <cell r="E1267"/>
          <cell r="F1267"/>
          <cell r="G1267"/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/>
          <cell r="E1268"/>
          <cell r="F1268"/>
          <cell r="G1268"/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/>
          <cell r="E1269"/>
          <cell r="F1269"/>
          <cell r="G1269"/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/>
          <cell r="E1270"/>
          <cell r="F1270"/>
          <cell r="G1270"/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/>
          <cell r="E1271"/>
          <cell r="F1271"/>
          <cell r="G1271"/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/>
          <cell r="E1272"/>
          <cell r="F1272"/>
          <cell r="G1272"/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/>
          <cell r="E1273"/>
          <cell r="F1273"/>
          <cell r="G1273"/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/>
          <cell r="E1274"/>
          <cell r="F1274"/>
          <cell r="G1274"/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/>
          <cell r="E1275"/>
          <cell r="F1275"/>
          <cell r="G1275"/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/>
          <cell r="E1276"/>
          <cell r="F1276"/>
          <cell r="G1276"/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/>
          <cell r="E1277"/>
          <cell r="F1277"/>
          <cell r="G1277"/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/>
          <cell r="E1278"/>
          <cell r="F1278"/>
          <cell r="G1278"/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/>
          <cell r="E1279"/>
          <cell r="F1279"/>
          <cell r="G1279"/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/>
          <cell r="E1280"/>
          <cell r="F1280"/>
          <cell r="G1280"/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/>
          <cell r="E1281"/>
          <cell r="F1281"/>
          <cell r="G1281"/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/>
          <cell r="E1282"/>
          <cell r="F1282"/>
          <cell r="G1282"/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/>
          <cell r="E1283"/>
          <cell r="F1283"/>
          <cell r="G1283"/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/>
          <cell r="E1284"/>
          <cell r="F1284"/>
          <cell r="G1284"/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/>
          <cell r="E1285"/>
          <cell r="F1285"/>
          <cell r="G1285"/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/>
          <cell r="E1286"/>
          <cell r="F1286"/>
          <cell r="G1286"/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/>
          <cell r="E1287"/>
          <cell r="F1287"/>
          <cell r="G1287"/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/>
          <cell r="E1288"/>
          <cell r="F1288"/>
          <cell r="G1288"/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/>
          <cell r="E1289"/>
          <cell r="F1289"/>
          <cell r="G1289"/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/>
          <cell r="E1290"/>
          <cell r="F1290"/>
          <cell r="G1290"/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/>
          <cell r="E1291"/>
          <cell r="F1291"/>
          <cell r="G1291"/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/>
          <cell r="E1292"/>
          <cell r="F1292"/>
          <cell r="G1292"/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/>
          <cell r="E1293"/>
          <cell r="F1293"/>
          <cell r="G1293"/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/>
          <cell r="E1294"/>
          <cell r="F1294"/>
          <cell r="G1294"/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/>
          <cell r="E1295"/>
          <cell r="F1295"/>
          <cell r="G1295"/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/>
          <cell r="E1296"/>
          <cell r="F1296"/>
          <cell r="G1296"/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/>
          <cell r="E1297"/>
          <cell r="F1297"/>
          <cell r="G1297"/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/>
          <cell r="E1298"/>
          <cell r="F1298"/>
          <cell r="G1298"/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/>
          <cell r="E1299"/>
          <cell r="F1299"/>
          <cell r="G1299"/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/>
          <cell r="E1300"/>
          <cell r="F1300"/>
          <cell r="G1300"/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/>
          <cell r="E1301"/>
          <cell r="F1301"/>
          <cell r="G1301"/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/>
          <cell r="E1302"/>
          <cell r="F1302"/>
          <cell r="G1302"/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/>
          <cell r="E1303"/>
          <cell r="F1303"/>
          <cell r="G1303"/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/>
          <cell r="E1304"/>
          <cell r="F1304"/>
          <cell r="G1304"/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/>
          <cell r="E1305"/>
          <cell r="F1305"/>
          <cell r="G1305"/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/>
          <cell r="E1306"/>
          <cell r="F1306"/>
          <cell r="G1306"/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/>
          <cell r="E1307"/>
          <cell r="F1307"/>
          <cell r="G1307"/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/>
          <cell r="E1308"/>
          <cell r="F1308"/>
          <cell r="G1308"/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/>
          <cell r="E1309"/>
          <cell r="F1309"/>
          <cell r="G1309"/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/>
          <cell r="E1310"/>
          <cell r="F1310"/>
          <cell r="G1310"/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/>
          <cell r="E1311"/>
          <cell r="F1311"/>
          <cell r="G1311"/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/>
          <cell r="E1312"/>
          <cell r="F1312"/>
          <cell r="G1312"/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/>
          <cell r="E1313"/>
          <cell r="F1313"/>
          <cell r="G1313"/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/>
          <cell r="E1314"/>
          <cell r="F1314"/>
          <cell r="G1314"/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/>
          <cell r="E1315"/>
          <cell r="F1315"/>
          <cell r="G1315"/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/>
          <cell r="E1316"/>
          <cell r="F1316"/>
          <cell r="G1316"/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/>
          <cell r="E1317"/>
          <cell r="F1317"/>
          <cell r="G1317"/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/>
          <cell r="E1318"/>
          <cell r="F1318"/>
          <cell r="G1318"/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/>
          <cell r="E1319"/>
          <cell r="F1319"/>
          <cell r="G1319"/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/>
          <cell r="E1320"/>
          <cell r="F1320"/>
          <cell r="G1320"/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/>
          <cell r="E1321"/>
          <cell r="F1321"/>
          <cell r="G1321"/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/>
          <cell r="E1322"/>
          <cell r="F1322"/>
          <cell r="G1322"/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/>
          <cell r="E1323"/>
          <cell r="F1323"/>
          <cell r="G1323"/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/>
          <cell r="E1324"/>
          <cell r="F1324"/>
          <cell r="G1324"/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/>
          <cell r="E1325"/>
          <cell r="F1325"/>
          <cell r="G1325"/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/>
          <cell r="E1326"/>
          <cell r="F1326"/>
          <cell r="G1326"/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/>
          <cell r="E1327"/>
          <cell r="F1327"/>
          <cell r="G1327"/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/>
          <cell r="E1328"/>
          <cell r="F1328"/>
          <cell r="G1328"/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/>
          <cell r="E1329"/>
          <cell r="F1329"/>
          <cell r="G1329"/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/>
          <cell r="E1330"/>
          <cell r="F1330"/>
          <cell r="G1330"/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/>
          <cell r="E1331"/>
          <cell r="F1331"/>
          <cell r="G1331"/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/>
          <cell r="E1332"/>
          <cell r="F1332"/>
          <cell r="G1332"/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/>
          <cell r="E1333"/>
          <cell r="F1333"/>
          <cell r="G1333"/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/>
          <cell r="E1334"/>
          <cell r="F1334"/>
          <cell r="G1334"/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/>
          <cell r="E1335"/>
          <cell r="F1335"/>
          <cell r="G1335"/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/>
          <cell r="E1336"/>
          <cell r="F1336"/>
          <cell r="G1336"/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/>
          <cell r="E1337"/>
          <cell r="F1337"/>
          <cell r="G1337"/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/>
          <cell r="E1338"/>
          <cell r="F1338"/>
          <cell r="G1338"/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/>
          <cell r="E1339"/>
          <cell r="F1339"/>
          <cell r="G1339"/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/>
          <cell r="E1340"/>
          <cell r="F1340"/>
          <cell r="G1340"/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/>
          <cell r="E1341"/>
          <cell r="F1341"/>
          <cell r="G1341"/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/>
          <cell r="E1342"/>
          <cell r="F1342"/>
          <cell r="G1342"/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/>
          <cell r="E1343"/>
          <cell r="F1343"/>
          <cell r="G1343"/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/>
          <cell r="E1344"/>
          <cell r="F1344"/>
          <cell r="G1344"/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D1345"/>
          <cell r="E1345"/>
          <cell r="F1345"/>
          <cell r="G1345"/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D1346"/>
          <cell r="E1346"/>
          <cell r="F1346"/>
          <cell r="G1346"/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/>
          <cell r="E1347"/>
          <cell r="F1347"/>
          <cell r="G1347"/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/>
          <cell r="E1348"/>
          <cell r="F1348"/>
          <cell r="G1348"/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D1349"/>
          <cell r="E1349"/>
          <cell r="F1349"/>
          <cell r="G1349"/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D1350"/>
          <cell r="E1350"/>
          <cell r="F1350"/>
          <cell r="G1350"/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/>
          <cell r="E1351"/>
          <cell r="F1351"/>
          <cell r="G1351"/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/>
          <cell r="E1352"/>
          <cell r="F1352"/>
          <cell r="G1352"/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/>
          <cell r="E1353"/>
          <cell r="F1353"/>
          <cell r="G1353"/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/>
          <cell r="E1354"/>
          <cell r="F1354"/>
          <cell r="G1354"/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/>
          <cell r="E1355"/>
          <cell r="F1355"/>
          <cell r="G1355"/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/>
          <cell r="E1356"/>
          <cell r="F1356"/>
          <cell r="G1356"/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/>
          <cell r="E1357"/>
          <cell r="F1357"/>
          <cell r="G1357"/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/>
          <cell r="E1358"/>
          <cell r="F1358"/>
          <cell r="G1358"/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/>
          <cell r="E1359"/>
          <cell r="F1359"/>
          <cell r="G1359"/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/>
          <cell r="E1360"/>
          <cell r="F1360"/>
          <cell r="G1360"/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/>
          <cell r="E1361"/>
          <cell r="F1361"/>
          <cell r="G1361"/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/>
          <cell r="E1362"/>
          <cell r="F1362"/>
          <cell r="G1362"/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/>
          <cell r="E1363"/>
          <cell r="F1363"/>
          <cell r="G1363"/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/>
          <cell r="E1364"/>
          <cell r="F1364"/>
          <cell r="G1364"/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/>
          <cell r="E1365"/>
          <cell r="F1365"/>
          <cell r="G1365"/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/>
          <cell r="E1366"/>
          <cell r="F1366"/>
          <cell r="G1366"/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/>
          <cell r="E1367"/>
          <cell r="F1367"/>
          <cell r="G1367"/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/>
          <cell r="E1368"/>
          <cell r="F1368"/>
          <cell r="G1368"/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/>
          <cell r="E1369"/>
          <cell r="F1369"/>
          <cell r="G1369"/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/>
          <cell r="E1370"/>
          <cell r="F1370"/>
          <cell r="G1370"/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/>
          <cell r="E1371"/>
          <cell r="F1371"/>
          <cell r="G1371"/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/>
          <cell r="E1372"/>
          <cell r="F1372"/>
          <cell r="G1372"/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/>
          <cell r="E1373"/>
          <cell r="F1373"/>
          <cell r="G1373"/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/>
          <cell r="E1374"/>
          <cell r="F1374"/>
          <cell r="G1374"/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/>
          <cell r="E1375"/>
          <cell r="F1375"/>
          <cell r="G1375"/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/>
          <cell r="E1376"/>
          <cell r="F1376"/>
          <cell r="G1376"/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/>
          <cell r="E1377"/>
          <cell r="F1377"/>
          <cell r="G1377"/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/>
          <cell r="E1378"/>
          <cell r="F1378"/>
          <cell r="G1378"/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/>
          <cell r="E1379"/>
          <cell r="F1379"/>
          <cell r="G1379"/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/>
          <cell r="E1380"/>
          <cell r="F1380"/>
          <cell r="G1380"/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/>
          <cell r="E1381"/>
          <cell r="F1381"/>
          <cell r="G1381"/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D1382"/>
          <cell r="E1382"/>
          <cell r="F1382"/>
          <cell r="G1382"/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D1383"/>
          <cell r="E1383"/>
          <cell r="F1383"/>
          <cell r="G1383"/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D1384"/>
          <cell r="E1384"/>
          <cell r="F1384"/>
          <cell r="G1384"/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D1385"/>
          <cell r="E1385"/>
          <cell r="F1385"/>
          <cell r="G1385"/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D1386"/>
          <cell r="E1386"/>
          <cell r="F1386"/>
          <cell r="G1386"/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D1387"/>
          <cell r="E1387"/>
          <cell r="F1387"/>
          <cell r="G1387"/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D1388"/>
          <cell r="E1388"/>
          <cell r="F1388"/>
          <cell r="G1388"/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D1393"/>
          <cell r="E1393"/>
          <cell r="F1393"/>
          <cell r="G1393"/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D1394"/>
          <cell r="E1394"/>
          <cell r="F1394"/>
          <cell r="G1394"/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D1395"/>
          <cell r="E1395"/>
          <cell r="F1395"/>
          <cell r="G1395"/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D1396"/>
          <cell r="E1396"/>
          <cell r="F1396"/>
          <cell r="G1396"/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D1397"/>
          <cell r="E1397"/>
          <cell r="F1397"/>
          <cell r="G1397"/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D1398"/>
          <cell r="E1398"/>
          <cell r="F1398"/>
          <cell r="G1398"/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D1399"/>
          <cell r="E1399"/>
          <cell r="F1399"/>
          <cell r="G1399"/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D1407"/>
          <cell r="E1407"/>
          <cell r="F1407"/>
          <cell r="G1407"/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D1408"/>
          <cell r="E1408"/>
          <cell r="F1408"/>
          <cell r="G1408"/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D1409"/>
          <cell r="E1409"/>
          <cell r="F1409"/>
          <cell r="G1409"/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D1410"/>
          <cell r="E1410"/>
          <cell r="F1410"/>
          <cell r="G1410"/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D1411"/>
          <cell r="E1411"/>
          <cell r="F1411"/>
          <cell r="G1411"/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D1412"/>
          <cell r="E1412"/>
          <cell r="F1412"/>
          <cell r="G1412"/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D1413"/>
          <cell r="E1413"/>
          <cell r="F1413"/>
          <cell r="G1413"/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D1414"/>
          <cell r="E1414"/>
          <cell r="F1414"/>
          <cell r="G1414"/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D1415"/>
          <cell r="E1415"/>
          <cell r="F1415"/>
          <cell r="G1415"/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D1416"/>
          <cell r="E1416"/>
          <cell r="F1416"/>
          <cell r="G1416"/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D1417"/>
          <cell r="E1417"/>
          <cell r="F1417"/>
          <cell r="G1417"/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D1418"/>
          <cell r="E1418"/>
          <cell r="F1418"/>
          <cell r="G1418"/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D1419"/>
          <cell r="E1419"/>
          <cell r="F1419"/>
          <cell r="G1419"/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D1422"/>
          <cell r="E1422"/>
          <cell r="F1422"/>
          <cell r="G1422"/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D1423"/>
          <cell r="E1423"/>
          <cell r="F1423"/>
          <cell r="G1423"/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D1424"/>
          <cell r="E1424"/>
          <cell r="F1424"/>
          <cell r="G1424"/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D1425"/>
          <cell r="E1425"/>
          <cell r="F1425"/>
          <cell r="G1425"/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D1426"/>
          <cell r="E1426"/>
          <cell r="F1426"/>
          <cell r="G1426"/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D1427"/>
          <cell r="E1427"/>
          <cell r="F1427"/>
          <cell r="G1427"/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D1428"/>
          <cell r="E1428"/>
          <cell r="F1428"/>
          <cell r="G1428"/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D1429"/>
          <cell r="E1429"/>
          <cell r="F1429"/>
          <cell r="G1429"/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D1430"/>
          <cell r="E1430"/>
          <cell r="F1430"/>
          <cell r="G1430"/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D1431"/>
          <cell r="E1431"/>
          <cell r="F1431"/>
          <cell r="G1431"/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D1432"/>
          <cell r="E1432"/>
          <cell r="F1432"/>
          <cell r="G1432"/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D1433"/>
          <cell r="E1433"/>
          <cell r="F1433"/>
          <cell r="G1433"/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D1434"/>
          <cell r="E1434"/>
          <cell r="F1434"/>
          <cell r="G1434"/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D1435"/>
          <cell r="E1435"/>
          <cell r="F1435"/>
          <cell r="G1435"/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D1436"/>
          <cell r="E1436"/>
          <cell r="F1436"/>
          <cell r="G1436"/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D1437"/>
          <cell r="E1437"/>
          <cell r="F1437"/>
          <cell r="G1437"/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D1438"/>
          <cell r="E1438"/>
          <cell r="F1438"/>
          <cell r="G1438"/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D1439"/>
          <cell r="E1439"/>
          <cell r="F1439"/>
          <cell r="G1439"/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D1440"/>
          <cell r="E1440"/>
          <cell r="F1440"/>
          <cell r="G1440"/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D1441"/>
          <cell r="E1441"/>
          <cell r="F1441"/>
          <cell r="G1441"/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D1442"/>
          <cell r="E1442"/>
          <cell r="F1442"/>
          <cell r="G1442"/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D1443"/>
          <cell r="E1443"/>
          <cell r="F1443"/>
          <cell r="G1443"/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D1444"/>
          <cell r="E1444"/>
          <cell r="F1444"/>
          <cell r="G1444"/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D1445"/>
          <cell r="E1445"/>
          <cell r="F1445"/>
          <cell r="G1445"/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D1446"/>
          <cell r="E1446"/>
          <cell r="F1446"/>
          <cell r="G1446"/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D1447"/>
          <cell r="E1447"/>
          <cell r="F1447"/>
          <cell r="G1447"/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D1448"/>
          <cell r="E1448"/>
          <cell r="F1448"/>
          <cell r="G1448"/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D1449"/>
          <cell r="E1449"/>
          <cell r="F1449"/>
          <cell r="G1449"/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D1450"/>
          <cell r="E1450"/>
          <cell r="F1450"/>
          <cell r="G1450"/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D1451"/>
          <cell r="E1451"/>
          <cell r="F1451"/>
          <cell r="G1451"/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D1452"/>
          <cell r="E1452"/>
          <cell r="F1452"/>
          <cell r="G1452"/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D1453"/>
          <cell r="E1453"/>
          <cell r="F1453"/>
          <cell r="G1453"/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D1454"/>
          <cell r="E1454"/>
          <cell r="F1454"/>
          <cell r="G1454"/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D1455"/>
          <cell r="E1455"/>
          <cell r="F1455"/>
          <cell r="G1455"/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D1456"/>
          <cell r="E1456"/>
          <cell r="F1456"/>
          <cell r="G1456"/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D1457"/>
          <cell r="E1457"/>
          <cell r="F1457"/>
          <cell r="G1457"/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D1458"/>
          <cell r="E1458"/>
          <cell r="F1458"/>
          <cell r="G1458"/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D1459"/>
          <cell r="E1459"/>
          <cell r="F1459"/>
          <cell r="G1459"/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D1460"/>
          <cell r="E1460"/>
          <cell r="F1460"/>
          <cell r="G1460"/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D1461"/>
          <cell r="E1461"/>
          <cell r="F1461"/>
          <cell r="G1461"/>
          <cell r="H1461" t="str">
            <v>blue</v>
          </cell>
          <cell r="I1461">
            <v>6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D1462"/>
          <cell r="E1462"/>
          <cell r="F1462"/>
          <cell r="G1462"/>
          <cell r="H1462" t="str">
            <v>blue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D1463"/>
          <cell r="E1463"/>
          <cell r="F1463"/>
          <cell r="G1463"/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D1464"/>
          <cell r="E1464"/>
          <cell r="F1464"/>
          <cell r="G1464"/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D1465"/>
          <cell r="E1465"/>
          <cell r="F1465"/>
          <cell r="G1465"/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D1466"/>
          <cell r="E1466"/>
          <cell r="F1466"/>
          <cell r="G1466"/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D1467"/>
          <cell r="E1467"/>
          <cell r="F1467"/>
          <cell r="G1467"/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D1468"/>
          <cell r="E1468"/>
          <cell r="F1468"/>
          <cell r="G1468"/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D1577"/>
          <cell r="E1577"/>
          <cell r="F1577"/>
          <cell r="G1577"/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D1578"/>
          <cell r="E1578"/>
          <cell r="F1578"/>
          <cell r="G1578"/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D1579"/>
          <cell r="E1579"/>
          <cell r="F1579"/>
          <cell r="G1579"/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D1580"/>
          <cell r="E1580"/>
          <cell r="F1580"/>
          <cell r="G1580"/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D1581"/>
          <cell r="E1581"/>
          <cell r="F1581"/>
          <cell r="G1581"/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D1582"/>
          <cell r="E1582"/>
          <cell r="F1582"/>
          <cell r="G1582"/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D1583"/>
          <cell r="E1583"/>
          <cell r="F1583"/>
          <cell r="G1583"/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D1584"/>
          <cell r="E1584"/>
          <cell r="F1584"/>
          <cell r="G1584"/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D1594"/>
          <cell r="E1594"/>
          <cell r="F1594"/>
          <cell r="G1594"/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D1595"/>
          <cell r="E1595"/>
          <cell r="F1595"/>
          <cell r="G1595"/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11" sqref="D1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548100</v>
      </c>
      <c r="D2" s="19" t="s">
        <v>45</v>
      </c>
      <c r="E2" s="17" t="str">
        <f t="shared" ref="E2" si="1">B2&amp;C2&amp;D2</f>
        <v>gacha_select_tables_548100.tmp</v>
      </c>
      <c r="F2" s="101" t="s">
        <v>261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548010</v>
      </c>
      <c r="D3" s="19" t="s">
        <v>45</v>
      </c>
      <c r="E3" s="17" t="str">
        <f t="shared" ref="E3:E10" si="3">B3&amp;C3&amp;D3</f>
        <v>gacha_select_tables_548010.tmp</v>
      </c>
      <c r="F3" s="101" t="s">
        <v>262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251</v>
      </c>
      <c r="B4" s="95" t="s">
        <v>247</v>
      </c>
      <c r="C4" s="96" t="str">
        <f t="shared" si="2"/>
        <v>548100</v>
      </c>
      <c r="D4" s="19" t="s">
        <v>248</v>
      </c>
      <c r="E4" s="17" t="str">
        <f t="shared" si="3"/>
        <v>gacha_settle_tables_548100.tmp</v>
      </c>
      <c r="F4" s="101" t="s">
        <v>263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9" t="s">
        <v>252</v>
      </c>
      <c r="B8" s="27" t="s">
        <v>50</v>
      </c>
      <c r="C8" s="32">
        <v>548</v>
      </c>
      <c r="D8" s="19" t="s">
        <v>46</v>
      </c>
      <c r="E8" s="17" t="str">
        <f t="shared" si="3"/>
        <v>gacha_bonus_tables_548.tmp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9" t="s">
        <v>257</v>
      </c>
      <c r="B9" s="19" t="s">
        <v>48</v>
      </c>
      <c r="C9" s="32">
        <v>548</v>
      </c>
      <c r="D9" s="19" t="s">
        <v>46</v>
      </c>
      <c r="E9" s="17" t="str">
        <f t="shared" si="3"/>
        <v>gifts_tmp_548.tmp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9" t="s">
        <v>258</v>
      </c>
      <c r="B10" s="19" t="s">
        <v>49</v>
      </c>
      <c r="C10" s="32">
        <v>548</v>
      </c>
      <c r="D10" s="19" t="s">
        <v>46</v>
      </c>
      <c r="E10" s="17" t="str">
        <f t="shared" si="3"/>
        <v>gifts_i18n_548.tmp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7" sqref="B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VLOOKUP(L3,tables_548010!B:C,2,FALSE)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VLOOKUP(L4,tables_548010!B:C,2,FALSE)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6.9444444444444447E-4</v>
      </c>
      <c r="F5">
        <f>(COUNTIF(tables_548010!C:C,input_548010!A28)+COUNTIF(tables_548010!C:C,input_548010!A29))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VLOOKUP(L5,tables_548010!B:C,2,FALSE)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0.45000000000000007</v>
      </c>
      <c r="D6" t="s">
        <v>202</v>
      </c>
      <c r="E6" s="76">
        <f>(B10-H6)/(F6-I6)</f>
        <v>9.7916666666666655E-3</v>
      </c>
      <c r="F6">
        <f>(COUNTIF(tables_548010!C:C,input_548010!A25)+COUNTIF(tables_548010!C:C,input_548010!A18)+COUNTIF(tables_548010!C:C,input_548010!A20)+COUNTIF(tables_548010!C:C,input_548010!A22))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VLOOKUP(L6,tables_548010!B:C,2,FALSE)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VLOOKUP(L7,tables_548010!B:C,2,FALSE)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VLOOKUP(L8,tables_548010!B:C,2,FALSE)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VLOOKUP(L9,tables_548010!B:C,2,FALSE)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VLOOKUP(L10,tables_548010!B:C,2,FALSE)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260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VLOOKUP(L11,tables_548010!B:C,2,FALSE)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VLOOKUP(L12,tables_548010!B:C,2,FALSE)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VLOOKUP(L13,tables_548010!B:C,2,FALSE)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VLOOKUP(L14,tables_548010!B:C,2,FALSE)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VLOOKUP(L15,tables_548010!B:C,2,FALSE)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VLOOKUP(L16,tables_548010!B:C,2,FALSE)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0.20325000000000001</v>
      </c>
      <c r="C17" s="85">
        <f t="shared" ref="C17:C31" si="2">SUMIF(Q:Q,A17,N:N)</f>
        <v>0</v>
      </c>
      <c r="D17" s="74">
        <f t="shared" ref="D17:D32" si="3">B17-C17</f>
        <v>0.20325000000000001</v>
      </c>
      <c r="E17">
        <f>COUNTIF(tables_548010!C:C,input_548010!A17)-COUNTIF(Q:Q,A17)</f>
        <v>20</v>
      </c>
      <c r="F17" s="43">
        <f>IFERROR(B17/E17,0)</f>
        <v>1.0162500000000001E-2</v>
      </c>
      <c r="G17">
        <f t="shared" ref="G17:G31" si="4">A$36*B17</f>
        <v>1170720</v>
      </c>
      <c r="H17">
        <f t="shared" ref="H17:H31" si="5">IFERROR(ROUND(G17/E17,5),0)</f>
        <v>58536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VLOOKUP(L17,tables_548010!B:C,2,FALSE)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1.5375000000000069E-2</v>
      </c>
      <c r="C18" s="85">
        <f t="shared" si="2"/>
        <v>0</v>
      </c>
      <c r="D18" s="74">
        <f t="shared" si="3"/>
        <v>1.5375000000000069E-2</v>
      </c>
      <c r="E18">
        <f>COUNTIF(tables_548010!C:C,input_548010!A18)-COUNTIF(Q:Q,A18)</f>
        <v>20</v>
      </c>
      <c r="F18" s="43">
        <f>IFERROR(B18/E18,0)</f>
        <v>7.6875000000000348E-4</v>
      </c>
      <c r="G18">
        <f t="shared" si="4"/>
        <v>88560.000000000393</v>
      </c>
      <c r="H18">
        <f t="shared" si="5"/>
        <v>4428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VLOOKUP(L18,tables_548010!B:C,2,FALSE)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0.229125</v>
      </c>
      <c r="C19" s="85">
        <f t="shared" si="2"/>
        <v>0</v>
      </c>
      <c r="D19" s="74">
        <f t="shared" si="3"/>
        <v>0.229125</v>
      </c>
      <c r="E19">
        <f>COUNTIF(tables_548010!C:C,input_548010!A19)-COUNTIF(Q:Q,A19)</f>
        <v>52</v>
      </c>
      <c r="F19" s="43">
        <f t="shared" ref="F19:F31" si="8">IFERROR(B19/E19,0)</f>
        <v>4.4062499999999996E-3</v>
      </c>
      <c r="G19">
        <f t="shared" si="4"/>
        <v>1319760</v>
      </c>
      <c r="H19">
        <f t="shared" si="5"/>
        <v>25380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VLOOKUP(L19,tables_548010!B:C,2,FALSE)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0.22912500000000002</v>
      </c>
      <c r="C20" s="85">
        <f t="shared" si="2"/>
        <v>0</v>
      </c>
      <c r="D20" s="74">
        <f t="shared" si="3"/>
        <v>0.22912500000000002</v>
      </c>
      <c r="E20">
        <f>COUNTIF(tables_548010!C:C,input_548010!A20)-COUNTIF(Q:Q,A20)</f>
        <v>52</v>
      </c>
      <c r="F20" s="43">
        <f t="shared" si="8"/>
        <v>4.4062500000000004E-3</v>
      </c>
      <c r="G20">
        <f t="shared" si="4"/>
        <v>1319760.0000000002</v>
      </c>
      <c r="H20">
        <f t="shared" si="5"/>
        <v>25380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VLOOKUP(L20,tables_548010!B:C,2,FALSE)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2.8125000000000004E-2</v>
      </c>
      <c r="C21" s="85">
        <f t="shared" si="2"/>
        <v>0</v>
      </c>
      <c r="D21" s="74">
        <f t="shared" si="3"/>
        <v>2.8125000000000004E-2</v>
      </c>
      <c r="E21">
        <f>COUNTIF(tables_548010!C:C,input_548010!A21)-COUNTIF(Q:Q,A21)</f>
        <v>52</v>
      </c>
      <c r="F21" s="43">
        <f t="shared" si="8"/>
        <v>5.4086538461538465E-4</v>
      </c>
      <c r="G21">
        <f t="shared" si="4"/>
        <v>162000.00000000003</v>
      </c>
      <c r="H21">
        <f t="shared" si="5"/>
        <v>3115.3846199999998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COUNTIF(tables_548010!C:C,input_548010!A22)-COUNTIF(Q:Q,A22)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COUNTIF(tables_548010!C:C,input_548010!A23)-COUNTIF(Q:Q,A23)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1.7624999999999998E-2</v>
      </c>
      <c r="C24" s="85">
        <f t="shared" si="2"/>
        <v>0</v>
      </c>
      <c r="D24" s="74">
        <f t="shared" si="3"/>
        <v>1.7624999999999998E-2</v>
      </c>
      <c r="E24">
        <f>COUNTIF(tables_548010!C:C,input_548010!A24)-COUNTIF(Q:Q,A24)</f>
        <v>4</v>
      </c>
      <c r="F24" s="43">
        <f t="shared" si="8"/>
        <v>4.4062499999999996E-3</v>
      </c>
      <c r="G24">
        <f t="shared" si="4"/>
        <v>101519.99999999999</v>
      </c>
      <c r="H24">
        <f t="shared" si="5"/>
        <v>25380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1.7625000000000002E-2</v>
      </c>
      <c r="C25" s="85">
        <f t="shared" si="2"/>
        <v>0</v>
      </c>
      <c r="D25" s="74">
        <f t="shared" si="3"/>
        <v>1.7625000000000002E-2</v>
      </c>
      <c r="E25">
        <f>COUNTIF(tables_548010!C:C,input_548010!A25)-COUNTIF(Q:Q,A25)</f>
        <v>4</v>
      </c>
      <c r="F25" s="43">
        <f t="shared" si="8"/>
        <v>4.4062500000000004E-3</v>
      </c>
      <c r="G25">
        <f t="shared" si="4"/>
        <v>101520.00000000001</v>
      </c>
      <c r="H25">
        <f t="shared" si="5"/>
        <v>25380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COUNTIF(tables_548010!C:C,input_548010!A26)-COUNTIF(Q:Q,A26)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COUNTIF(tables_548010!C:C,input_548010!A27)-COUNTIF(Q:Q,A27)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COUNTIF(tables_548010!C:C,input_548010!A28)-COUNTIF(Q:Q,A28)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COUNTIF(tables_548010!C:C,input_548010!A29)-COUNTIF(Q:Q,A29)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COUNTIF(tables_548010!C:C,input_548010!A30)-COUNTIF(Q:Q,A30)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COUNTIF(tables_548010!C:C,input_548010!A31)-COUNTIF(Q:Q,A31)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SUMIF(tables_548010!C:C,input_548010!A40,tables_548010!O:O)</f>
        <v>1319760</v>
      </c>
      <c r="C40" s="54">
        <f t="shared" ref="C40:C46" ca="1" si="9">B40/B$47</f>
        <v>0.45297784119940326</v>
      </c>
      <c r="E40">
        <v>3</v>
      </c>
      <c r="F40">
        <f ca="1">SUMIF(tables_548010!J:J,input_548010!E40,tables_548010!O:O)</f>
        <v>2592000</v>
      </c>
      <c r="G40">
        <f ca="1">F40/A36</f>
        <v>0.45</v>
      </c>
    </row>
    <row r="41" spans="1:7" x14ac:dyDescent="0.15">
      <c r="A41" s="33" t="s">
        <v>104</v>
      </c>
      <c r="B41">
        <f ca="1">SUMIF(tables_548010!C:C,input_548010!A41,tables_548010!O:O)</f>
        <v>1319760</v>
      </c>
      <c r="C41" s="54">
        <f t="shared" ca="1" si="9"/>
        <v>0.45297784119940326</v>
      </c>
      <c r="E41">
        <v>4</v>
      </c>
      <c r="F41">
        <f ca="1">SUMIF(tables_548010!J:J,input_548010!E41,tables_548010!O:O)</f>
        <v>2592000</v>
      </c>
      <c r="G41">
        <f ca="1">F41/A36</f>
        <v>0.45</v>
      </c>
    </row>
    <row r="42" spans="1:7" x14ac:dyDescent="0.15">
      <c r="A42" s="33" t="s">
        <v>106</v>
      </c>
      <c r="B42">
        <f ca="1">SUMIF(tables_548010!C:C,input_548010!A42,tables_548010!O:O)</f>
        <v>100800</v>
      </c>
      <c r="C42" s="54">
        <f t="shared" ca="1" si="9"/>
        <v>3.4597325568966969E-2</v>
      </c>
      <c r="E42">
        <v>5</v>
      </c>
      <c r="F42">
        <f ca="1">SUMIF(tables_548010!J:J,input_548010!E42,tables_548010!O:O)</f>
        <v>576000.00023999996</v>
      </c>
      <c r="G42">
        <f ca="1">F42/A36</f>
        <v>0.10000000004166666</v>
      </c>
    </row>
    <row r="43" spans="1:7" x14ac:dyDescent="0.15">
      <c r="A43" s="33" t="s">
        <v>109</v>
      </c>
      <c r="B43">
        <f>SUMIF(tables_548010!C:C,input_548010!A43,tables_548010!O:O)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SUMIF(tables_548010!C:C,input_548010!A44,tables_548010!O:O)</f>
        <v>162000.00023999991</v>
      </c>
      <c r="C44" s="54">
        <f t="shared" ca="1" si="9"/>
        <v>5.560284474678575E-2</v>
      </c>
      <c r="E44" t="s">
        <v>54</v>
      </c>
      <c r="F44" s="55"/>
    </row>
    <row r="45" spans="1:7" x14ac:dyDescent="0.15">
      <c r="A45" s="33" t="s">
        <v>107</v>
      </c>
      <c r="B45">
        <f ca="1">SUMIF(tables_548010!C:C,input_548010!A45,tables_548010!O:O)</f>
        <v>11200</v>
      </c>
      <c r="C45" s="54">
        <f t="shared" ca="1" si="9"/>
        <v>3.8441472854407743E-3</v>
      </c>
      <c r="E45" t="s">
        <v>204</v>
      </c>
      <c r="F45" s="55">
        <f ca="1">SUMIF(tables_548010!I:I,input_548010!E45,tables_548010!P:P)</f>
        <v>0.22449999999064563</v>
      </c>
    </row>
    <row r="46" spans="1:7" x14ac:dyDescent="0.15">
      <c r="A46" s="33" t="s">
        <v>108</v>
      </c>
      <c r="B46">
        <f>SUMIF(tables_548010!C:C,input_548010!A46,tables_548010!O:O)</f>
        <v>0</v>
      </c>
      <c r="C46" s="54">
        <f t="shared" ca="1" si="9"/>
        <v>0</v>
      </c>
      <c r="E46" t="s">
        <v>205</v>
      </c>
      <c r="F46" s="55">
        <f ca="1">SUMIF(tables_548010!I:I,input_548010!E46,tables_548010!P:P)</f>
        <v>0.18838221154423404</v>
      </c>
    </row>
    <row r="47" spans="1:7" x14ac:dyDescent="0.15">
      <c r="A47" s="39" t="s">
        <v>59</v>
      </c>
      <c r="B47">
        <f ca="1">SUM(B40:B46)</f>
        <v>2913520.00024</v>
      </c>
      <c r="C47" s="55">
        <f ca="1">SUM(C40:C46)</f>
        <v>1</v>
      </c>
      <c r="E47" t="s">
        <v>206</v>
      </c>
      <c r="F47" s="55">
        <f ca="1">SUMIF(tables_548010!I:I,input_548010!E47,tables_548010!P:P)</f>
        <v>0.52711778846761936</v>
      </c>
    </row>
    <row r="48" spans="1:7" x14ac:dyDescent="0.15">
      <c r="E48" t="s">
        <v>207</v>
      </c>
      <c r="F48" s="55">
        <f ca="1">SUMIF(tables_548010!I:I,input_548010!E48,tables_548010!P:P)</f>
        <v>4.3749999998177067E-2</v>
      </c>
      <c r="G48" s="55">
        <f ca="1">0.05-F48-F49</f>
        <v>2.08335345502908E-12</v>
      </c>
    </row>
    <row r="49" spans="5:7" x14ac:dyDescent="0.15">
      <c r="E49" t="s">
        <v>249</v>
      </c>
      <c r="F49" s="55">
        <f ca="1">SUMIF(tables_548010!I:I,input_548010!E49,tables_548010!P:P)</f>
        <v>6.2499999997395828E-3</v>
      </c>
      <c r="G49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9"/>
  <sheetViews>
    <sheetView showGridLines="0" tabSelected="1" zoomScale="75" zoomScaleNormal="75" zoomScalePageLayoutView="75" workbookViewId="0">
      <pane ySplit="1" topLeftCell="A330" activePane="bottomLeft" state="frozen"/>
      <selection activeCell="H276" sqref="H276"/>
      <selection pane="bottomLeft" activeCell="L340" sqref="L3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input_548010!A$2</f>
        <v>548010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IFERROR(VLOOKUP(B2,input_548010!L:R,7,FALSE),VLOOKUP(tables_548010!C2,input_548010!A:H,8,FALSE))</f>
        <v>58536</v>
      </c>
      <c r="P2" s="46">
        <f t="shared" ref="P2:P65" ca="1" si="1">O2/SUM(O:O)</f>
        <v>1.0162499999576559E-2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input_548010!A$2</f>
        <v>548010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IFERROR(VLOOKUP(B3,input_548010!L:R,7,FALSE),VLOOKUP(tables_548010!C3,input_548010!A:H,8,FALSE))</f>
        <v>4428</v>
      </c>
      <c r="P3" s="46">
        <f t="shared" ca="1" si="1"/>
        <v>7.6874999996796856E-4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input_548010!A$2</f>
        <v>548010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IFERROR(VLOOKUP(B4,input_548010!L:R,7,FALSE),VLOOKUP(tables_548010!C4,input_548010!A:H,8,FALSE))</f>
        <v>58536</v>
      </c>
      <c r="P4" s="46">
        <f t="shared" ca="1" si="1"/>
        <v>1.0162499999576559E-2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input_548010!A$2</f>
        <v>548010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IFERROR(VLOOKUP(B5,input_548010!L:R,7,FALSE),VLOOKUP(tables_548010!C5,input_548010!A:H,8,FALSE))</f>
        <v>4428</v>
      </c>
      <c r="P5" s="46">
        <f t="shared" ca="1" si="1"/>
        <v>7.6874999996796856E-4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input_548010!A$2</f>
        <v>548010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IFERROR(VLOOKUP(B6,input_548010!L:R,7,FALSE),VLOOKUP(tables_548010!C6,input_548010!A:H,8,FALSE))</f>
        <v>58536</v>
      </c>
      <c r="P6" s="46">
        <f t="shared" ca="1" si="1"/>
        <v>1.0162499999576559E-2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input_548010!A$2</f>
        <v>548010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IFERROR(VLOOKUP(B7,input_548010!L:R,7,FALSE),VLOOKUP(tables_548010!C7,input_548010!A:H,8,FALSE))</f>
        <v>4428</v>
      </c>
      <c r="P7" s="46">
        <f t="shared" ca="1" si="1"/>
        <v>7.6874999996796856E-4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input_548010!A$2</f>
        <v>548010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IFERROR(VLOOKUP(B8,input_548010!L:R,7,FALSE),VLOOKUP(tables_548010!C8,input_548010!A:H,8,FALSE))</f>
        <v>58536</v>
      </c>
      <c r="P8" s="46">
        <f t="shared" ca="1" si="1"/>
        <v>1.0162499999576559E-2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input_548010!A$2</f>
        <v>548010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IFERROR(VLOOKUP(B9,input_548010!L:R,7,FALSE),VLOOKUP(tables_548010!C9,input_548010!A:H,8,FALSE))</f>
        <v>4428</v>
      </c>
      <c r="P9" s="46">
        <f t="shared" ca="1" si="1"/>
        <v>7.6874999996796856E-4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input_548010!A$2</f>
        <v>548010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IFERROR(VLOOKUP(B10,input_548010!L:R,7,FALSE),VLOOKUP(tables_548010!C10,input_548010!A:H,8,FALSE))</f>
        <v>58536</v>
      </c>
      <c r="P10" s="46">
        <f t="shared" ca="1" si="1"/>
        <v>1.0162499999576559E-2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input_548010!A$2</f>
        <v>548010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IFERROR(VLOOKUP(B11,input_548010!L:R,7,FALSE),VLOOKUP(tables_548010!C11,input_548010!A:H,8,FALSE))</f>
        <v>4428</v>
      </c>
      <c r="P11" s="46">
        <f t="shared" ca="1" si="1"/>
        <v>7.6874999996796856E-4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input_548010!A$2</f>
        <v>548010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IFERROR(VLOOKUP(B12,input_548010!L:R,7,FALSE),VLOOKUP(tables_548010!C12,input_548010!A:H,8,FALSE))</f>
        <v>58536</v>
      </c>
      <c r="P12" s="46">
        <f t="shared" ca="1" si="1"/>
        <v>1.0162499999576559E-2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input_548010!A$2</f>
        <v>548010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IFERROR(VLOOKUP(B13,input_548010!L:R,7,FALSE),VLOOKUP(tables_548010!C13,input_548010!A:H,8,FALSE))</f>
        <v>4428</v>
      </c>
      <c r="P13" s="46">
        <f t="shared" ca="1" si="1"/>
        <v>7.6874999996796856E-4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input_548010!A$2</f>
        <v>548010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IFERROR(VLOOKUP(B14,input_548010!L:R,7,FALSE),VLOOKUP(tables_548010!C14,input_548010!A:H,8,FALSE))</f>
        <v>58536</v>
      </c>
      <c r="P14" s="46">
        <f t="shared" ca="1" si="1"/>
        <v>1.0162499999576559E-2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input_548010!A$2</f>
        <v>548010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IFERROR(VLOOKUP(B15,input_548010!L:R,7,FALSE),VLOOKUP(tables_548010!C15,input_548010!A:H,8,FALSE))</f>
        <v>4428</v>
      </c>
      <c r="P15" s="46">
        <f t="shared" ca="1" si="1"/>
        <v>7.6874999996796856E-4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input_548010!A$2</f>
        <v>548010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IFERROR(VLOOKUP(B16,input_548010!L:R,7,FALSE),VLOOKUP(tables_548010!C16,input_548010!A:H,8,FALSE))</f>
        <v>58536</v>
      </c>
      <c r="P16" s="46">
        <f t="shared" ca="1" si="1"/>
        <v>1.0162499999576559E-2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input_548010!A$2</f>
        <v>548010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IFERROR(VLOOKUP(B17,input_548010!L:R,7,FALSE),VLOOKUP(tables_548010!C17,input_548010!A:H,8,FALSE))</f>
        <v>4428</v>
      </c>
      <c r="P17" s="46">
        <f t="shared" ca="1" si="1"/>
        <v>7.6874999996796856E-4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input_548010!A$2</f>
        <v>548010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IFERROR(VLOOKUP(B18,input_548010!L:R,7,FALSE),VLOOKUP(tables_548010!C18,input_548010!A:H,8,FALSE))</f>
        <v>58536</v>
      </c>
      <c r="P18" s="46">
        <f t="shared" ca="1" si="1"/>
        <v>1.0162499999576559E-2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input_548010!A$2</f>
        <v>548010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IFERROR(VLOOKUP(B19,input_548010!L:R,7,FALSE),VLOOKUP(tables_548010!C19,input_548010!A:H,8,FALSE))</f>
        <v>4428</v>
      </c>
      <c r="P19" s="46">
        <f t="shared" ca="1" si="1"/>
        <v>7.6874999996796856E-4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input_548010!A$2</f>
        <v>548010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IFERROR(VLOOKUP(B20,input_548010!L:R,7,FALSE),VLOOKUP(tables_548010!C20,input_548010!A:H,8,FALSE))</f>
        <v>58536</v>
      </c>
      <c r="P20" s="46">
        <f t="shared" ca="1" si="1"/>
        <v>1.0162499999576559E-2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input_548010!A$2</f>
        <v>548010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IFERROR(VLOOKUP(B21,input_548010!L:R,7,FALSE),VLOOKUP(tables_548010!C21,input_548010!A:H,8,FALSE))</f>
        <v>4428</v>
      </c>
      <c r="P21" s="46">
        <f t="shared" ca="1" si="1"/>
        <v>7.6874999996796856E-4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input_548010!A$2</f>
        <v>548010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IFERROR(VLOOKUP(B22,input_548010!L:R,7,FALSE),VLOOKUP(tables_548010!C22,input_548010!A:H,8,FALSE))</f>
        <v>58536</v>
      </c>
      <c r="P22" s="46">
        <f t="shared" ca="1" si="1"/>
        <v>1.0162499999576559E-2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input_548010!A$2</f>
        <v>548010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IFERROR(VLOOKUP(B23,input_548010!L:R,7,FALSE),VLOOKUP(tables_548010!C23,input_548010!A:H,8,FALSE))</f>
        <v>4428</v>
      </c>
      <c r="P23" s="46">
        <f t="shared" ca="1" si="1"/>
        <v>7.6874999996796856E-4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input_548010!A$2</f>
        <v>548010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IFERROR(VLOOKUP(B24,input_548010!L:R,7,FALSE),VLOOKUP(tables_548010!C24,input_548010!A:H,8,FALSE))</f>
        <v>58536</v>
      </c>
      <c r="P24" s="46">
        <f t="shared" ca="1" si="1"/>
        <v>1.0162499999576559E-2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input_548010!A$2</f>
        <v>548010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IFERROR(VLOOKUP(B25,input_548010!L:R,7,FALSE),VLOOKUP(tables_548010!C25,input_548010!A:H,8,FALSE))</f>
        <v>4428</v>
      </c>
      <c r="P25" s="46">
        <f t="shared" ca="1" si="1"/>
        <v>7.6874999996796856E-4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input_548010!A$2</f>
        <v>548010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IFERROR(VLOOKUP(B26,input_548010!L:R,7,FALSE),VLOOKUP(tables_548010!C26,input_548010!A:H,8,FALSE))</f>
        <v>58536</v>
      </c>
      <c r="P26" s="46">
        <f t="shared" ca="1" si="1"/>
        <v>1.0162499999576559E-2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input_548010!A$2</f>
        <v>548010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IFERROR(VLOOKUP(B27,input_548010!L:R,7,FALSE),VLOOKUP(tables_548010!C27,input_548010!A:H,8,FALSE))</f>
        <v>4428</v>
      </c>
      <c r="P27" s="46">
        <f t="shared" ca="1" si="1"/>
        <v>7.6874999996796856E-4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input_548010!A$2</f>
        <v>548010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IFERROR(VLOOKUP(B28,input_548010!L:R,7,FALSE),VLOOKUP(tables_548010!C28,input_548010!A:H,8,FALSE))</f>
        <v>58536</v>
      </c>
      <c r="P28" s="46">
        <f t="shared" ca="1" si="1"/>
        <v>1.0162499999576559E-2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input_548010!A$2</f>
        <v>548010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IFERROR(VLOOKUP(B29,input_548010!L:R,7,FALSE),VLOOKUP(tables_548010!C29,input_548010!A:H,8,FALSE))</f>
        <v>4428</v>
      </c>
      <c r="P29" s="46">
        <f t="shared" ca="1" si="1"/>
        <v>7.6874999996796856E-4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input_548010!A$2</f>
        <v>548010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IFERROR(VLOOKUP(B30,input_548010!L:R,7,FALSE),VLOOKUP(tables_548010!C30,input_548010!A:H,8,FALSE))</f>
        <v>58536</v>
      </c>
      <c r="P30" s="46">
        <f t="shared" ca="1" si="1"/>
        <v>1.0162499999576559E-2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input_548010!A$2</f>
        <v>548010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IFERROR(VLOOKUP(B31,input_548010!L:R,7,FALSE),VLOOKUP(tables_548010!C31,input_548010!A:H,8,FALSE))</f>
        <v>4428</v>
      </c>
      <c r="P31" s="46">
        <f t="shared" ca="1" si="1"/>
        <v>7.6874999996796856E-4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input_548010!A$2</f>
        <v>548010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IFERROR(VLOOKUP(B32,input_548010!L:R,7,FALSE),VLOOKUP(tables_548010!C32,input_548010!A:H,8,FALSE))</f>
        <v>58536</v>
      </c>
      <c r="P32" s="46">
        <f t="shared" ca="1" si="1"/>
        <v>1.0162499999576559E-2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input_548010!A$2</f>
        <v>548010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IFERROR(VLOOKUP(B33,input_548010!L:R,7,FALSE),VLOOKUP(tables_548010!C33,input_548010!A:H,8,FALSE))</f>
        <v>4428</v>
      </c>
      <c r="P33" s="46">
        <f t="shared" ca="1" si="1"/>
        <v>7.6874999996796856E-4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input_548010!A$2</f>
        <v>548010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IFERROR(VLOOKUP(B34,input_548010!L:R,7,FALSE),VLOOKUP(tables_548010!C34,input_548010!A:H,8,FALSE))</f>
        <v>58536</v>
      </c>
      <c r="P34" s="46">
        <f t="shared" ca="1" si="1"/>
        <v>1.0162499999576559E-2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input_548010!A$2</f>
        <v>548010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IFERROR(VLOOKUP(B35,input_548010!L:R,7,FALSE),VLOOKUP(tables_548010!C35,input_548010!A:H,8,FALSE))</f>
        <v>4428</v>
      </c>
      <c r="P35" s="46">
        <f t="shared" ca="1" si="1"/>
        <v>7.6874999996796856E-4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input_548010!A$2</f>
        <v>548010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IFERROR(VLOOKUP(B36,input_548010!L:R,7,FALSE),VLOOKUP(tables_548010!C36,input_548010!A:H,8,FALSE))</f>
        <v>58536</v>
      </c>
      <c r="P36" s="46">
        <f t="shared" ca="1" si="1"/>
        <v>1.0162499999576559E-2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input_548010!A$2</f>
        <v>548010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IFERROR(VLOOKUP(B37,input_548010!L:R,7,FALSE),VLOOKUP(tables_548010!C37,input_548010!A:H,8,FALSE))</f>
        <v>4428</v>
      </c>
      <c r="P37" s="46">
        <f t="shared" ca="1" si="1"/>
        <v>7.6874999996796856E-4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input_548010!A$2</f>
        <v>548010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IFERROR(VLOOKUP(B38,input_548010!L:R,7,FALSE),VLOOKUP(tables_548010!C38,input_548010!A:H,8,FALSE))</f>
        <v>58536</v>
      </c>
      <c r="P38" s="46">
        <f t="shared" ca="1" si="1"/>
        <v>1.0162499999576559E-2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input_548010!A$2</f>
        <v>548010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IFERROR(VLOOKUP(B39,input_548010!L:R,7,FALSE),VLOOKUP(tables_548010!C39,input_548010!A:H,8,FALSE))</f>
        <v>4428</v>
      </c>
      <c r="P39" s="46">
        <f t="shared" ca="1" si="1"/>
        <v>7.6874999996796856E-4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input_548010!A$2</f>
        <v>548010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IFERROR(VLOOKUP(B40,input_548010!L:R,7,FALSE),VLOOKUP(tables_548010!C40,input_548010!A:H,8,FALSE))</f>
        <v>58536</v>
      </c>
      <c r="P40" s="46">
        <f t="shared" ca="1" si="1"/>
        <v>1.0162499999576559E-2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input_548010!A$2</f>
        <v>548010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IFERROR(VLOOKUP(B41,input_548010!L:R,7,FALSE),VLOOKUP(tables_548010!C41,input_548010!A:H,8,FALSE))</f>
        <v>4428</v>
      </c>
      <c r="P41" s="46">
        <f t="shared" ca="1" si="1"/>
        <v>7.6874999996796856E-4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input_548010!A$2</f>
        <v>548010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IFERROR(VLOOKUP(B42,input_548010!L:R,7,FALSE),VLOOKUP(tables_548010!C42,input_548010!A:H,8,FALSE))</f>
        <v>25380</v>
      </c>
      <c r="P42" s="46">
        <f t="shared" ca="1" si="1"/>
        <v>4.4062499998164051E-3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input_548010!A$2</f>
        <v>548010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IFERROR(VLOOKUP(B43,input_548010!L:R,7,FALSE),VLOOKUP(tables_548010!C43,input_548010!A:H,8,FALSE))</f>
        <v>25380</v>
      </c>
      <c r="P43" s="46">
        <f t="shared" ca="1" si="1"/>
        <v>4.4062499998164051E-3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input_548010!A$2</f>
        <v>548010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IFERROR(VLOOKUP(B44,input_548010!L:R,7,FALSE),VLOOKUP(tables_548010!C44,input_548010!A:H,8,FALSE))</f>
        <v>5640</v>
      </c>
      <c r="P44" s="46">
        <f t="shared" ca="1" si="1"/>
        <v>9.7916666662586785E-4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input_548010!A$2</f>
        <v>548010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IFERROR(VLOOKUP(B45,input_548010!L:R,7,FALSE),VLOOKUP(tables_548010!C45,input_548010!A:H,8,FALSE))</f>
        <v>25380</v>
      </c>
      <c r="P45" s="46">
        <f t="shared" ca="1" si="1"/>
        <v>4.4062499998164051E-3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input_548010!A$2</f>
        <v>548010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IFERROR(VLOOKUP(B46,input_548010!L:R,7,FALSE),VLOOKUP(tables_548010!C46,input_548010!A:H,8,FALSE))</f>
        <v>25380</v>
      </c>
      <c r="P46" s="46">
        <f t="shared" ca="1" si="1"/>
        <v>4.4062499998164051E-3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input_548010!A$2</f>
        <v>548010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IFERROR(VLOOKUP(B47,input_548010!L:R,7,FALSE),VLOOKUP(tables_548010!C47,input_548010!A:H,8,FALSE))</f>
        <v>5640</v>
      </c>
      <c r="P47" s="46">
        <f t="shared" ca="1" si="1"/>
        <v>9.7916666662586785E-4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input_548010!A$2</f>
        <v>548010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IFERROR(VLOOKUP(B48,input_548010!L:R,7,FALSE),VLOOKUP(tables_548010!C48,input_548010!A:H,8,FALSE))</f>
        <v>25380</v>
      </c>
      <c r="P48" s="46">
        <f t="shared" ca="1" si="1"/>
        <v>4.4062499998164051E-3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input_548010!A$2</f>
        <v>548010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IFERROR(VLOOKUP(B49,input_548010!L:R,7,FALSE),VLOOKUP(tables_548010!C49,input_548010!A:H,8,FALSE))</f>
        <v>25380</v>
      </c>
      <c r="P49" s="46">
        <f t="shared" ca="1" si="1"/>
        <v>4.4062499998164051E-3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input_548010!A$2</f>
        <v>548010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IFERROR(VLOOKUP(B50,input_548010!L:R,7,FALSE),VLOOKUP(tables_548010!C50,input_548010!A:H,8,FALSE))</f>
        <v>5640</v>
      </c>
      <c r="P50" s="46">
        <f t="shared" ca="1" si="1"/>
        <v>9.7916666662586785E-4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input_548010!A$2</f>
        <v>548010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IFERROR(VLOOKUP(B51,input_548010!L:R,7,FALSE),VLOOKUP(tables_548010!C51,input_548010!A:H,8,FALSE))</f>
        <v>25380</v>
      </c>
      <c r="P51" s="46">
        <f t="shared" ca="1" si="1"/>
        <v>4.4062499998164051E-3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input_548010!A$2</f>
        <v>548010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IFERROR(VLOOKUP(B52,input_548010!L:R,7,FALSE),VLOOKUP(tables_548010!C52,input_548010!A:H,8,FALSE))</f>
        <v>25380</v>
      </c>
      <c r="P52" s="46">
        <f t="shared" ca="1" si="1"/>
        <v>4.4062499998164051E-3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input_548010!A$2</f>
        <v>548010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IFERROR(VLOOKUP(B53,input_548010!L:R,7,FALSE),VLOOKUP(tables_548010!C53,input_548010!A:H,8,FALSE))</f>
        <v>3115.3846199999998</v>
      </c>
      <c r="P53" s="46">
        <f t="shared" ca="1" si="1"/>
        <v>5.4086538539413042E-4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input_548010!A$2</f>
        <v>548010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IFERROR(VLOOKUP(B54,input_548010!L:R,7,FALSE),VLOOKUP(tables_548010!C54,input_548010!A:H,8,FALSE))</f>
        <v>25380</v>
      </c>
      <c r="P54" s="46">
        <f t="shared" ca="1" si="1"/>
        <v>4.4062499998164051E-3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input_548010!A$2</f>
        <v>548010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IFERROR(VLOOKUP(B55,input_548010!L:R,7,FALSE),VLOOKUP(tables_548010!C55,input_548010!A:H,8,FALSE))</f>
        <v>25380</v>
      </c>
      <c r="P55" s="46">
        <f t="shared" ca="1" si="1"/>
        <v>4.4062499998164051E-3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input_548010!A$2</f>
        <v>548010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IFERROR(VLOOKUP(B56,input_548010!L:R,7,FALSE),VLOOKUP(tables_548010!C56,input_548010!A:H,8,FALSE))</f>
        <v>3115.3846199999998</v>
      </c>
      <c r="P56" s="46">
        <f t="shared" ca="1" si="1"/>
        <v>5.4086538539413042E-4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input_548010!A$2</f>
        <v>548010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IFERROR(VLOOKUP(B57,input_548010!L:R,7,FALSE),VLOOKUP(tables_548010!C57,input_548010!A:H,8,FALSE))</f>
        <v>25380</v>
      </c>
      <c r="P57" s="46">
        <f t="shared" ca="1" si="1"/>
        <v>4.4062499998164051E-3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input_548010!A$2</f>
        <v>548010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IFERROR(VLOOKUP(B58,input_548010!L:R,7,FALSE),VLOOKUP(tables_548010!C58,input_548010!A:H,8,FALSE))</f>
        <v>25380</v>
      </c>
      <c r="P58" s="46">
        <f t="shared" ca="1" si="1"/>
        <v>4.4062499998164051E-3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input_548010!A$2</f>
        <v>548010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IFERROR(VLOOKUP(B59,input_548010!L:R,7,FALSE),VLOOKUP(tables_548010!C59,input_548010!A:H,8,FALSE))</f>
        <v>3115.3846199999998</v>
      </c>
      <c r="P59" s="46">
        <f t="shared" ca="1" si="1"/>
        <v>5.4086538539413042E-4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input_548010!A$2</f>
        <v>548010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IFERROR(VLOOKUP(B60,input_548010!L:R,7,FALSE),VLOOKUP(tables_548010!C60,input_548010!A:H,8,FALSE))</f>
        <v>25380</v>
      </c>
      <c r="P60" s="46">
        <f t="shared" ca="1" si="1"/>
        <v>4.4062499998164051E-3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input_548010!A$2</f>
        <v>548010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IFERROR(VLOOKUP(B61,input_548010!L:R,7,FALSE),VLOOKUP(tables_548010!C61,input_548010!A:H,8,FALSE))</f>
        <v>25380</v>
      </c>
      <c r="P61" s="46">
        <f t="shared" ca="1" si="1"/>
        <v>4.4062499998164051E-3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input_548010!A$2</f>
        <v>548010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IFERROR(VLOOKUP(B62,input_548010!L:R,7,FALSE),VLOOKUP(tables_548010!C62,input_548010!A:H,8,FALSE))</f>
        <v>3115.3846199999998</v>
      </c>
      <c r="P62" s="46">
        <f t="shared" ca="1" si="1"/>
        <v>5.4086538539413042E-4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input_548010!A$2</f>
        <v>548010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IFERROR(VLOOKUP(B63,input_548010!L:R,7,FALSE),VLOOKUP(tables_548010!C63,input_548010!A:H,8,FALSE))</f>
        <v>25380</v>
      </c>
      <c r="P63" s="46">
        <f t="shared" ca="1" si="1"/>
        <v>4.4062499998164051E-3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input_548010!A$2</f>
        <v>548010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IFERROR(VLOOKUP(B64,input_548010!L:R,7,FALSE),VLOOKUP(tables_548010!C64,input_548010!A:H,8,FALSE))</f>
        <v>25380</v>
      </c>
      <c r="P64" s="46">
        <f t="shared" ca="1" si="1"/>
        <v>4.4062499998164051E-3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input_548010!A$2</f>
        <v>548010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IFERROR(VLOOKUP(B65,input_548010!L:R,7,FALSE),VLOOKUP(tables_548010!C65,input_548010!A:H,8,FALSE))</f>
        <v>3115.3846199999998</v>
      </c>
      <c r="P65" s="46">
        <f t="shared" ca="1" si="1"/>
        <v>5.4086538539413042E-4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input_548010!A$2</f>
        <v>548010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IFERROR(VLOOKUP(B66,input_548010!L:R,7,FALSE),VLOOKUP(tables_548010!C66,input_548010!A:H,8,FALSE))</f>
        <v>25380</v>
      </c>
      <c r="P66" s="46">
        <f t="shared" ref="P66:P129" ca="1" si="4">O66/SUM(O:O)</f>
        <v>4.4062499998164051E-3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input_548010!A$2</f>
        <v>548010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IFERROR(VLOOKUP(B67,input_548010!L:R,7,FALSE),VLOOKUP(tables_548010!C67,input_548010!A:H,8,FALSE))</f>
        <v>25380</v>
      </c>
      <c r="P67" s="46">
        <f t="shared" ca="1" si="4"/>
        <v>4.4062499998164051E-3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input_548010!A$2</f>
        <v>548010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IFERROR(VLOOKUP(B68,input_548010!L:R,7,FALSE),VLOOKUP(tables_548010!C68,input_548010!A:H,8,FALSE))</f>
        <v>3115.3846199999998</v>
      </c>
      <c r="P68" s="46">
        <f t="shared" ca="1" si="4"/>
        <v>5.4086538539413042E-4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input_548010!A$2</f>
        <v>548010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IFERROR(VLOOKUP(B69,input_548010!L:R,7,FALSE),VLOOKUP(tables_548010!C69,input_548010!A:H,8,FALSE))</f>
        <v>25380</v>
      </c>
      <c r="P69" s="46">
        <f t="shared" ca="1" si="4"/>
        <v>4.4062499998164051E-3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input_548010!A$2</f>
        <v>548010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IFERROR(VLOOKUP(B70,input_548010!L:R,7,FALSE),VLOOKUP(tables_548010!C70,input_548010!A:H,8,FALSE))</f>
        <v>25380</v>
      </c>
      <c r="P70" s="46">
        <f t="shared" ca="1" si="4"/>
        <v>4.4062499998164051E-3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input_548010!A$2</f>
        <v>548010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IFERROR(VLOOKUP(B71,input_548010!L:R,7,FALSE),VLOOKUP(tables_548010!C71,input_548010!A:H,8,FALSE))</f>
        <v>3115.3846199999998</v>
      </c>
      <c r="P71" s="46">
        <f t="shared" ca="1" si="4"/>
        <v>5.4086538539413042E-4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input_548010!A$2</f>
        <v>548010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IFERROR(VLOOKUP(B72,input_548010!L:R,7,FALSE),VLOOKUP(tables_548010!C72,input_548010!A:H,8,FALSE))</f>
        <v>25380</v>
      </c>
      <c r="P72" s="46">
        <f t="shared" ca="1" si="4"/>
        <v>4.4062499998164051E-3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input_548010!A$2</f>
        <v>548010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IFERROR(VLOOKUP(B73,input_548010!L:R,7,FALSE),VLOOKUP(tables_548010!C73,input_548010!A:H,8,FALSE))</f>
        <v>25380</v>
      </c>
      <c r="P73" s="46">
        <f t="shared" ca="1" si="4"/>
        <v>4.4062499998164051E-3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input_548010!A$2</f>
        <v>548010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IFERROR(VLOOKUP(B74,input_548010!L:R,7,FALSE),VLOOKUP(tables_548010!C74,input_548010!A:H,8,FALSE))</f>
        <v>3115.3846199999998</v>
      </c>
      <c r="P74" s="46">
        <f t="shared" ca="1" si="4"/>
        <v>5.4086538539413042E-4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input_548010!A$2</f>
        <v>548010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IFERROR(VLOOKUP(B75,input_548010!L:R,7,FALSE),VLOOKUP(tables_548010!C75,input_548010!A:H,8,FALSE))</f>
        <v>25380</v>
      </c>
      <c r="P75" s="46">
        <f t="shared" ca="1" si="4"/>
        <v>4.4062499998164051E-3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input_548010!A$2</f>
        <v>548010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IFERROR(VLOOKUP(B76,input_548010!L:R,7,FALSE),VLOOKUP(tables_548010!C76,input_548010!A:H,8,FALSE))</f>
        <v>25380</v>
      </c>
      <c r="P76" s="46">
        <f t="shared" ca="1" si="4"/>
        <v>4.4062499998164051E-3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input_548010!A$2</f>
        <v>548010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IFERROR(VLOOKUP(B77,input_548010!L:R,7,FALSE),VLOOKUP(tables_548010!C77,input_548010!A:H,8,FALSE))</f>
        <v>3115.3846199999998</v>
      </c>
      <c r="P77" s="46">
        <f t="shared" ca="1" si="4"/>
        <v>5.4086538539413042E-4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input_548010!A$2</f>
        <v>548010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IFERROR(VLOOKUP(B78,input_548010!L:R,7,FALSE),VLOOKUP(tables_548010!C78,input_548010!A:H,8,FALSE))</f>
        <v>25380</v>
      </c>
      <c r="P78" s="46">
        <f t="shared" ca="1" si="4"/>
        <v>4.4062499998164051E-3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input_548010!A$2</f>
        <v>548010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IFERROR(VLOOKUP(B79,input_548010!L:R,7,FALSE),VLOOKUP(tables_548010!C79,input_548010!A:H,8,FALSE))</f>
        <v>25380</v>
      </c>
      <c r="P79" s="46">
        <f t="shared" ca="1" si="4"/>
        <v>4.4062499998164051E-3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input_548010!A$2</f>
        <v>548010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IFERROR(VLOOKUP(B80,input_548010!L:R,7,FALSE),VLOOKUP(tables_548010!C80,input_548010!A:H,8,FALSE))</f>
        <v>3115.3846199999998</v>
      </c>
      <c r="P80" s="46">
        <f t="shared" ca="1" si="4"/>
        <v>5.4086538539413042E-4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input_548010!A$2</f>
        <v>548010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IFERROR(VLOOKUP(B81,input_548010!L:R,7,FALSE),VLOOKUP(tables_548010!C81,input_548010!A:H,8,FALSE))</f>
        <v>25380</v>
      </c>
      <c r="P81" s="46">
        <f t="shared" ca="1" si="4"/>
        <v>4.4062499998164051E-3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input_548010!A$2</f>
        <v>548010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IFERROR(VLOOKUP(B82,input_548010!L:R,7,FALSE),VLOOKUP(tables_548010!C82,input_548010!A:H,8,FALSE))</f>
        <v>25380</v>
      </c>
      <c r="P82" s="46">
        <f t="shared" ca="1" si="4"/>
        <v>4.4062499998164051E-3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input_548010!A$2</f>
        <v>548010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IFERROR(VLOOKUP(B83,input_548010!L:R,7,FALSE),VLOOKUP(tables_548010!C83,input_548010!A:H,8,FALSE))</f>
        <v>3115.3846199999998</v>
      </c>
      <c r="P83" s="46">
        <f t="shared" ca="1" si="4"/>
        <v>5.4086538539413042E-4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input_548010!A$2</f>
        <v>548010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IFERROR(VLOOKUP(B84,input_548010!L:R,7,FALSE),VLOOKUP(tables_548010!C84,input_548010!A:H,8,FALSE))</f>
        <v>25380</v>
      </c>
      <c r="P84" s="46">
        <f t="shared" ca="1" si="4"/>
        <v>4.4062499998164051E-3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input_548010!A$2</f>
        <v>548010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IFERROR(VLOOKUP(B85,input_548010!L:R,7,FALSE),VLOOKUP(tables_548010!C85,input_548010!A:H,8,FALSE))</f>
        <v>25380</v>
      </c>
      <c r="P85" s="46">
        <f t="shared" ca="1" si="4"/>
        <v>4.4062499998164051E-3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input_548010!A$2</f>
        <v>548010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IFERROR(VLOOKUP(B86,input_548010!L:R,7,FALSE),VLOOKUP(tables_548010!C86,input_548010!A:H,8,FALSE))</f>
        <v>3115.3846199999998</v>
      </c>
      <c r="P86" s="46">
        <f t="shared" ca="1" si="4"/>
        <v>5.4086538539413042E-4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input_548010!A$2</f>
        <v>548010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IFERROR(VLOOKUP(B87,input_548010!L:R,7,FALSE),VLOOKUP(tables_548010!C87,input_548010!A:H,8,FALSE))</f>
        <v>25380</v>
      </c>
      <c r="P87" s="46">
        <f t="shared" ca="1" si="4"/>
        <v>4.4062499998164051E-3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input_548010!A$2</f>
        <v>548010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IFERROR(VLOOKUP(B88,input_548010!L:R,7,FALSE),VLOOKUP(tables_548010!C88,input_548010!A:H,8,FALSE))</f>
        <v>25380</v>
      </c>
      <c r="P88" s="46">
        <f t="shared" ca="1" si="4"/>
        <v>4.4062499998164051E-3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input_548010!A$2</f>
        <v>548010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IFERROR(VLOOKUP(B89,input_548010!L:R,7,FALSE),VLOOKUP(tables_548010!C89,input_548010!A:H,8,FALSE))</f>
        <v>3115.3846199999998</v>
      </c>
      <c r="P89" s="46">
        <f t="shared" ca="1" si="4"/>
        <v>5.4086538539413042E-4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input_548010!A$2</f>
        <v>548010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IFERROR(VLOOKUP(B90,input_548010!L:R,7,FALSE),VLOOKUP(tables_548010!C90,input_548010!A:H,8,FALSE))</f>
        <v>25380</v>
      </c>
      <c r="P90" s="46">
        <f t="shared" ca="1" si="4"/>
        <v>4.4062499998164051E-3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input_548010!A$2</f>
        <v>548010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IFERROR(VLOOKUP(B91,input_548010!L:R,7,FALSE),VLOOKUP(tables_548010!C91,input_548010!A:H,8,FALSE))</f>
        <v>25380</v>
      </c>
      <c r="P91" s="46">
        <f t="shared" ca="1" si="4"/>
        <v>4.4062499998164051E-3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input_548010!A$2</f>
        <v>548010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IFERROR(VLOOKUP(B92,input_548010!L:R,7,FALSE),VLOOKUP(tables_548010!C92,input_548010!A:H,8,FALSE))</f>
        <v>3115.3846199999998</v>
      </c>
      <c r="P92" s="46">
        <f t="shared" ca="1" si="4"/>
        <v>5.4086538539413042E-4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input_548010!A$2</f>
        <v>548010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IFERROR(VLOOKUP(B93,input_548010!L:R,7,FALSE),VLOOKUP(tables_548010!C93,input_548010!A:H,8,FALSE))</f>
        <v>25380</v>
      </c>
      <c r="P93" s="46">
        <f t="shared" ca="1" si="4"/>
        <v>4.4062499998164051E-3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input_548010!A$2</f>
        <v>548010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IFERROR(VLOOKUP(B94,input_548010!L:R,7,FALSE),VLOOKUP(tables_548010!C94,input_548010!A:H,8,FALSE))</f>
        <v>25380</v>
      </c>
      <c r="P94" s="46">
        <f t="shared" ca="1" si="4"/>
        <v>4.4062499998164051E-3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input_548010!A$2</f>
        <v>548010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IFERROR(VLOOKUP(B95,input_548010!L:R,7,FALSE),VLOOKUP(tables_548010!C95,input_548010!A:H,8,FALSE))</f>
        <v>3115.3846199999998</v>
      </c>
      <c r="P95" s="46">
        <f t="shared" ca="1" si="4"/>
        <v>5.4086538539413042E-4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input_548010!A$2</f>
        <v>548010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IFERROR(VLOOKUP(B96,input_548010!L:R,7,FALSE),VLOOKUP(tables_548010!C96,input_548010!A:H,8,FALSE))</f>
        <v>25380</v>
      </c>
      <c r="P96" s="46">
        <f t="shared" ca="1" si="4"/>
        <v>4.4062499998164051E-3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input_548010!A$2</f>
        <v>548010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IFERROR(VLOOKUP(B97,input_548010!L:R,7,FALSE),VLOOKUP(tables_548010!C97,input_548010!A:H,8,FALSE))</f>
        <v>25380</v>
      </c>
      <c r="P97" s="46">
        <f t="shared" ca="1" si="4"/>
        <v>4.4062499998164051E-3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input_548010!A$2</f>
        <v>548010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IFERROR(VLOOKUP(B98,input_548010!L:R,7,FALSE),VLOOKUP(tables_548010!C98,input_548010!A:H,8,FALSE))</f>
        <v>3115.3846199999998</v>
      </c>
      <c r="P98" s="46">
        <f t="shared" ca="1" si="4"/>
        <v>5.4086538539413042E-4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input_548010!A$2</f>
        <v>548010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IFERROR(VLOOKUP(B99,input_548010!L:R,7,FALSE),VLOOKUP(tables_548010!C99,input_548010!A:H,8,FALSE))</f>
        <v>25380</v>
      </c>
      <c r="P99" s="46">
        <f t="shared" ca="1" si="4"/>
        <v>4.4062499998164051E-3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input_548010!A$2</f>
        <v>548010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IFERROR(VLOOKUP(B100,input_548010!L:R,7,FALSE),VLOOKUP(tables_548010!C100,input_548010!A:H,8,FALSE))</f>
        <v>25380</v>
      </c>
      <c r="P100" s="46">
        <f t="shared" ca="1" si="4"/>
        <v>4.4062499998164051E-3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input_548010!A$2</f>
        <v>548010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IFERROR(VLOOKUP(B101,input_548010!L:R,7,FALSE),VLOOKUP(tables_548010!C101,input_548010!A:H,8,FALSE))</f>
        <v>3115.3846199999998</v>
      </c>
      <c r="P101" s="46">
        <f t="shared" ca="1" si="4"/>
        <v>5.4086538539413042E-4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input_548010!A$2</f>
        <v>548010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IFERROR(VLOOKUP(B102,input_548010!L:R,7,FALSE),VLOOKUP(tables_548010!C102,input_548010!A:H,8,FALSE))</f>
        <v>25380</v>
      </c>
      <c r="P102" s="46">
        <f t="shared" ca="1" si="4"/>
        <v>4.4062499998164051E-3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input_548010!A$2</f>
        <v>548010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IFERROR(VLOOKUP(B103,input_548010!L:R,7,FALSE),VLOOKUP(tables_548010!C103,input_548010!A:H,8,FALSE))</f>
        <v>25380</v>
      </c>
      <c r="P103" s="46">
        <f t="shared" ca="1" si="4"/>
        <v>4.4062499998164051E-3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input_548010!A$2</f>
        <v>548010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IFERROR(VLOOKUP(B104,input_548010!L:R,7,FALSE),VLOOKUP(tables_548010!C104,input_548010!A:H,8,FALSE))</f>
        <v>3115.3846199999998</v>
      </c>
      <c r="P104" s="46">
        <f t="shared" ca="1" si="4"/>
        <v>5.4086538539413042E-4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input_548010!A$2</f>
        <v>548010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IFERROR(VLOOKUP(B105,input_548010!L:R,7,FALSE),VLOOKUP(tables_548010!C105,input_548010!A:H,8,FALSE))</f>
        <v>25380</v>
      </c>
      <c r="P105" s="46">
        <f t="shared" ca="1" si="4"/>
        <v>4.4062499998164051E-3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input_548010!A$2</f>
        <v>548010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IFERROR(VLOOKUP(B106,input_548010!L:R,7,FALSE),VLOOKUP(tables_548010!C106,input_548010!A:H,8,FALSE))</f>
        <v>25380</v>
      </c>
      <c r="P106" s="46">
        <f t="shared" ca="1" si="4"/>
        <v>4.4062499998164051E-3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input_548010!A$2</f>
        <v>548010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IFERROR(VLOOKUP(B107,input_548010!L:R,7,FALSE),VLOOKUP(tables_548010!C107,input_548010!A:H,8,FALSE))</f>
        <v>3115.3846199999998</v>
      </c>
      <c r="P107" s="46">
        <f t="shared" ca="1" si="4"/>
        <v>5.4086538539413042E-4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input_548010!A$2</f>
        <v>548010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IFERROR(VLOOKUP(B108,input_548010!L:R,7,FALSE),VLOOKUP(tables_548010!C108,input_548010!A:H,8,FALSE))</f>
        <v>25380</v>
      </c>
      <c r="P108" s="46">
        <f t="shared" ca="1" si="4"/>
        <v>4.4062499998164051E-3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input_548010!A$2</f>
        <v>548010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IFERROR(VLOOKUP(B109,input_548010!L:R,7,FALSE),VLOOKUP(tables_548010!C109,input_548010!A:H,8,FALSE))</f>
        <v>25380</v>
      </c>
      <c r="P109" s="46">
        <f t="shared" ca="1" si="4"/>
        <v>4.4062499998164051E-3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input_548010!A$2</f>
        <v>548010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IFERROR(VLOOKUP(B110,input_548010!L:R,7,FALSE),VLOOKUP(tables_548010!C110,input_548010!A:H,8,FALSE))</f>
        <v>3115.3846199999998</v>
      </c>
      <c r="P110" s="46">
        <f t="shared" ca="1" si="4"/>
        <v>5.4086538539413042E-4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input_548010!A$2</f>
        <v>548010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IFERROR(VLOOKUP(B111,input_548010!L:R,7,FALSE),VLOOKUP(tables_548010!C111,input_548010!A:H,8,FALSE))</f>
        <v>25380</v>
      </c>
      <c r="P111" s="46">
        <f t="shared" ca="1" si="4"/>
        <v>4.4062499998164051E-3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input_548010!A$2</f>
        <v>548010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IFERROR(VLOOKUP(B112,input_548010!L:R,7,FALSE),VLOOKUP(tables_548010!C112,input_548010!A:H,8,FALSE))</f>
        <v>25380</v>
      </c>
      <c r="P112" s="46">
        <f t="shared" ca="1" si="4"/>
        <v>4.4062499998164051E-3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input_548010!A$2</f>
        <v>548010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IFERROR(VLOOKUP(B113,input_548010!L:R,7,FALSE),VLOOKUP(tables_548010!C113,input_548010!A:H,8,FALSE))</f>
        <v>5640</v>
      </c>
      <c r="P113" s="46">
        <f t="shared" ca="1" si="4"/>
        <v>9.7916666662586785E-4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input_548010!A$2</f>
        <v>548010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IFERROR(VLOOKUP(B114,input_548010!L:R,7,FALSE),VLOOKUP(tables_548010!C114,input_548010!A:H,8,FALSE))</f>
        <v>25380</v>
      </c>
      <c r="P114" s="46">
        <f t="shared" ca="1" si="4"/>
        <v>4.4062499998164051E-3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input_548010!A$2</f>
        <v>548010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IFERROR(VLOOKUP(B115,input_548010!L:R,7,FALSE),VLOOKUP(tables_548010!C115,input_548010!A:H,8,FALSE))</f>
        <v>25380</v>
      </c>
      <c r="P115" s="46">
        <f t="shared" ca="1" si="4"/>
        <v>4.4062499998164051E-3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input_548010!A$2</f>
        <v>548010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IFERROR(VLOOKUP(B116,input_548010!L:R,7,FALSE),VLOOKUP(tables_548010!C116,input_548010!A:H,8,FALSE))</f>
        <v>3115.3846199999998</v>
      </c>
      <c r="P116" s="46">
        <f t="shared" ca="1" si="4"/>
        <v>5.4086538539413042E-4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input_548010!A$2</f>
        <v>548010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IFERROR(VLOOKUP(B117,input_548010!L:R,7,FALSE),VLOOKUP(tables_548010!C117,input_548010!A:H,8,FALSE))</f>
        <v>25380</v>
      </c>
      <c r="P117" s="46">
        <f t="shared" ca="1" si="4"/>
        <v>4.4062499998164051E-3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input_548010!A$2</f>
        <v>548010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IFERROR(VLOOKUP(B118,input_548010!L:R,7,FALSE),VLOOKUP(tables_548010!C118,input_548010!A:H,8,FALSE))</f>
        <v>25380</v>
      </c>
      <c r="P118" s="46">
        <f t="shared" ca="1" si="4"/>
        <v>4.4062499998164051E-3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input_548010!A$2</f>
        <v>548010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IFERROR(VLOOKUP(B119,input_548010!L:R,7,FALSE),VLOOKUP(tables_548010!C119,input_548010!A:H,8,FALSE))</f>
        <v>3115.3846199999998</v>
      </c>
      <c r="P119" s="46">
        <f t="shared" ca="1" si="4"/>
        <v>5.4086538539413042E-4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input_548010!A$2</f>
        <v>548010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IFERROR(VLOOKUP(B120,input_548010!L:R,7,FALSE),VLOOKUP(tables_548010!C120,input_548010!A:H,8,FALSE))</f>
        <v>25380</v>
      </c>
      <c r="P120" s="46">
        <f t="shared" ca="1" si="4"/>
        <v>4.4062499998164051E-3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input_548010!A$2</f>
        <v>548010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IFERROR(VLOOKUP(B121,input_548010!L:R,7,FALSE),VLOOKUP(tables_548010!C121,input_548010!A:H,8,FALSE))</f>
        <v>25380</v>
      </c>
      <c r="P121" s="46">
        <f t="shared" ca="1" si="4"/>
        <v>4.4062499998164051E-3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input_548010!A$2</f>
        <v>548010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IFERROR(VLOOKUP(B122,input_548010!L:R,7,FALSE),VLOOKUP(tables_548010!C122,input_548010!A:H,8,FALSE))</f>
        <v>3115.3846199999998</v>
      </c>
      <c r="P122" s="46">
        <f t="shared" ca="1" si="4"/>
        <v>5.4086538539413042E-4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input_548010!A$2</f>
        <v>548010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IFERROR(VLOOKUP(B123,input_548010!L:R,7,FALSE),VLOOKUP(tables_548010!C123,input_548010!A:H,8,FALSE))</f>
        <v>25380</v>
      </c>
      <c r="P123" s="46">
        <f t="shared" ca="1" si="4"/>
        <v>4.4062499998164051E-3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input_548010!A$2</f>
        <v>548010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IFERROR(VLOOKUP(B124,input_548010!L:R,7,FALSE),VLOOKUP(tables_548010!C124,input_548010!A:H,8,FALSE))</f>
        <v>25380</v>
      </c>
      <c r="P124" s="46">
        <f t="shared" ca="1" si="4"/>
        <v>4.4062499998164051E-3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input_548010!A$2</f>
        <v>548010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IFERROR(VLOOKUP(B125,input_548010!L:R,7,FALSE),VLOOKUP(tables_548010!C125,input_548010!A:H,8,FALSE))</f>
        <v>3115.3846199999998</v>
      </c>
      <c r="P125" s="46">
        <f t="shared" ca="1" si="4"/>
        <v>5.4086538539413042E-4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input_548010!A$2</f>
        <v>548010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IFERROR(VLOOKUP(B126,input_548010!L:R,7,FALSE),VLOOKUP(tables_548010!C126,input_548010!A:H,8,FALSE))</f>
        <v>25380</v>
      </c>
      <c r="P126" s="46">
        <f t="shared" ca="1" si="4"/>
        <v>4.4062499998164051E-3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input_548010!A$2</f>
        <v>548010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IFERROR(VLOOKUP(B127,input_548010!L:R,7,FALSE),VLOOKUP(tables_548010!C127,input_548010!A:H,8,FALSE))</f>
        <v>25380</v>
      </c>
      <c r="P127" s="46">
        <f t="shared" ca="1" si="4"/>
        <v>4.4062499998164051E-3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input_548010!A$2</f>
        <v>548010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IFERROR(VLOOKUP(B128,input_548010!L:R,7,FALSE),VLOOKUP(tables_548010!C128,input_548010!A:H,8,FALSE))</f>
        <v>3115.3846199999998</v>
      </c>
      <c r="P128" s="46">
        <f t="shared" ca="1" si="4"/>
        <v>5.4086538539413042E-4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input_548010!A$2</f>
        <v>548010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IFERROR(VLOOKUP(B129,input_548010!L:R,7,FALSE),VLOOKUP(tables_548010!C129,input_548010!A:H,8,FALSE))</f>
        <v>25380</v>
      </c>
      <c r="P129" s="46">
        <f t="shared" ca="1" si="4"/>
        <v>4.4062499998164051E-3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input_548010!A$2</f>
        <v>548010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IFERROR(VLOOKUP(B130,input_548010!L:R,7,FALSE),VLOOKUP(tables_548010!C130,input_548010!A:H,8,FALSE))</f>
        <v>25380</v>
      </c>
      <c r="P130" s="46">
        <f t="shared" ref="P130:P193" ca="1" si="7">O130/SUM(O:O)</f>
        <v>4.4062499998164051E-3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input_548010!A$2</f>
        <v>548010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IFERROR(VLOOKUP(B131,input_548010!L:R,7,FALSE),VLOOKUP(tables_548010!C131,input_548010!A:H,8,FALSE))</f>
        <v>3115.3846199999998</v>
      </c>
      <c r="P131" s="46">
        <f t="shared" ca="1" si="7"/>
        <v>5.4086538539413042E-4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input_548010!A$2</f>
        <v>548010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IFERROR(VLOOKUP(B132,input_548010!L:R,7,FALSE),VLOOKUP(tables_548010!C132,input_548010!A:H,8,FALSE))</f>
        <v>25380</v>
      </c>
      <c r="P132" s="46">
        <f t="shared" ca="1" si="7"/>
        <v>4.4062499998164051E-3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input_548010!A$2</f>
        <v>548010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IFERROR(VLOOKUP(B133,input_548010!L:R,7,FALSE),VLOOKUP(tables_548010!C133,input_548010!A:H,8,FALSE))</f>
        <v>25380</v>
      </c>
      <c r="P133" s="46">
        <f t="shared" ca="1" si="7"/>
        <v>4.4062499998164051E-3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input_548010!A$2</f>
        <v>548010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IFERROR(VLOOKUP(B134,input_548010!L:R,7,FALSE),VLOOKUP(tables_548010!C134,input_548010!A:H,8,FALSE))</f>
        <v>3115.3846199999998</v>
      </c>
      <c r="P134" s="46">
        <f t="shared" ca="1" si="7"/>
        <v>5.4086538539413042E-4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input_548010!A$2</f>
        <v>548010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IFERROR(VLOOKUP(B135,input_548010!L:R,7,FALSE),VLOOKUP(tables_548010!C135,input_548010!A:H,8,FALSE))</f>
        <v>25380</v>
      </c>
      <c r="P135" s="46">
        <f t="shared" ca="1" si="7"/>
        <v>4.4062499998164051E-3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input_548010!A$2</f>
        <v>548010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IFERROR(VLOOKUP(B136,input_548010!L:R,7,FALSE),VLOOKUP(tables_548010!C136,input_548010!A:H,8,FALSE))</f>
        <v>25380</v>
      </c>
      <c r="P136" s="46">
        <f t="shared" ca="1" si="7"/>
        <v>4.4062499998164051E-3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input_548010!A$2</f>
        <v>548010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IFERROR(VLOOKUP(B137,input_548010!L:R,7,FALSE),VLOOKUP(tables_548010!C137,input_548010!A:H,8,FALSE))</f>
        <v>3115.3846199999998</v>
      </c>
      <c r="P137" s="46">
        <f t="shared" ca="1" si="7"/>
        <v>5.4086538539413042E-4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input_548010!A$2</f>
        <v>548010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IFERROR(VLOOKUP(B138,input_548010!L:R,7,FALSE),VLOOKUP(tables_548010!C138,input_548010!A:H,8,FALSE))</f>
        <v>3600</v>
      </c>
      <c r="P138" s="46">
        <f t="shared" ca="1" si="7"/>
        <v>6.2499999997395813E-4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input_548010!A$2</f>
        <v>548010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IFERROR(VLOOKUP(B139,input_548010!L:R,7,FALSE),VLOOKUP(tables_548010!C139,input_548010!A:H,8,FALSE))</f>
        <v>400</v>
      </c>
      <c r="P139" s="46">
        <f t="shared" ca="1" si="7"/>
        <v>6.9444444441550899E-5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input_548010!A$2</f>
        <v>548010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IFERROR(VLOOKUP(B140,input_548010!L:R,7,FALSE),VLOOKUP(tables_548010!C140,input_548010!A:H,8,FALSE))</f>
        <v>3600</v>
      </c>
      <c r="P140" s="46">
        <f t="shared" ca="1" si="7"/>
        <v>6.2499999997395813E-4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input_548010!A$2</f>
        <v>548010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IFERROR(VLOOKUP(B141,input_548010!L:R,7,FALSE),VLOOKUP(tables_548010!C141,input_548010!A:H,8,FALSE))</f>
        <v>400</v>
      </c>
      <c r="P141" s="46">
        <f t="shared" ca="1" si="7"/>
        <v>6.9444444441550899E-5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input_548010!A$2</f>
        <v>548010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IFERROR(VLOOKUP(B142,input_548010!L:R,7,FALSE),VLOOKUP(tables_548010!C142,input_548010!A:H,8,FALSE))</f>
        <v>3600</v>
      </c>
      <c r="P142" s="46">
        <f t="shared" ca="1" si="7"/>
        <v>6.2499999997395813E-4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input_548010!A$2</f>
        <v>548010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IFERROR(VLOOKUP(B143,input_548010!L:R,7,FALSE),VLOOKUP(tables_548010!C143,input_548010!A:H,8,FALSE))</f>
        <v>400</v>
      </c>
      <c r="P143" s="46">
        <f t="shared" ca="1" si="7"/>
        <v>6.9444444441550899E-5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input_548010!A$2</f>
        <v>548010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IFERROR(VLOOKUP(B144,input_548010!L:R,7,FALSE),VLOOKUP(tables_548010!C144,input_548010!A:H,8,FALSE))</f>
        <v>3600</v>
      </c>
      <c r="P144" s="46">
        <f t="shared" ca="1" si="7"/>
        <v>6.2499999997395813E-4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input_548010!A$2</f>
        <v>548010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IFERROR(VLOOKUP(B145,input_548010!L:R,7,FALSE),VLOOKUP(tables_548010!C145,input_548010!A:H,8,FALSE))</f>
        <v>400</v>
      </c>
      <c r="P145" s="46">
        <f t="shared" ca="1" si="7"/>
        <v>6.9444444441550899E-5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input_548010!A$2</f>
        <v>548010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IFERROR(VLOOKUP(B146,input_548010!L:R,7,FALSE),VLOOKUP(tables_548010!C146,input_548010!A:H,8,FALSE))</f>
        <v>25380</v>
      </c>
      <c r="P146" s="46">
        <f t="shared" ca="1" si="7"/>
        <v>4.4062499998164051E-3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input_548010!A$2</f>
        <v>548010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IFERROR(VLOOKUP(B147,input_548010!L:R,7,FALSE),VLOOKUP(tables_548010!C147,input_548010!A:H,8,FALSE))</f>
        <v>25380</v>
      </c>
      <c r="P147" s="46">
        <f t="shared" ca="1" si="7"/>
        <v>4.4062499998164051E-3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input_548010!A$2</f>
        <v>548010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IFERROR(VLOOKUP(B148,input_548010!L:R,7,FALSE),VLOOKUP(tables_548010!C148,input_548010!A:H,8,FALSE))</f>
        <v>3115.3846199999998</v>
      </c>
      <c r="P148" s="46">
        <f t="shared" ca="1" si="7"/>
        <v>5.4086538539413042E-4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input_548010!A$2</f>
        <v>548010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IFERROR(VLOOKUP(B149,input_548010!L:R,7,FALSE),VLOOKUP(tables_548010!C149,input_548010!A:H,8,FALSE))</f>
        <v>3600</v>
      </c>
      <c r="P149" s="46">
        <f t="shared" ca="1" si="7"/>
        <v>6.2499999997395813E-4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input_548010!A$2</f>
        <v>548010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IFERROR(VLOOKUP(B150,input_548010!L:R,7,FALSE),VLOOKUP(tables_548010!C150,input_548010!A:H,8,FALSE))</f>
        <v>400</v>
      </c>
      <c r="P150" s="46">
        <f t="shared" ca="1" si="7"/>
        <v>6.9444444441550899E-5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input_548010!A$2</f>
        <v>548010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IFERROR(VLOOKUP(B151,input_548010!L:R,7,FALSE),VLOOKUP(tables_548010!C151,input_548010!A:H,8,FALSE))</f>
        <v>3600</v>
      </c>
      <c r="P151" s="46">
        <f t="shared" ca="1" si="7"/>
        <v>6.2499999997395813E-4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input_548010!A$2</f>
        <v>548010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IFERROR(VLOOKUP(B152,input_548010!L:R,7,FALSE),VLOOKUP(tables_548010!C152,input_548010!A:H,8,FALSE))</f>
        <v>400</v>
      </c>
      <c r="P152" s="46">
        <f t="shared" ca="1" si="7"/>
        <v>6.9444444441550899E-5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input_548010!A$2</f>
        <v>548010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IFERROR(VLOOKUP(B153,input_548010!L:R,7,FALSE),VLOOKUP(tables_548010!C153,input_548010!A:H,8,FALSE))</f>
        <v>25380</v>
      </c>
      <c r="P153" s="46">
        <f t="shared" ca="1" si="7"/>
        <v>4.4062499998164051E-3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input_548010!A$2</f>
        <v>548010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IFERROR(VLOOKUP(B154,input_548010!L:R,7,FALSE),VLOOKUP(tables_548010!C154,input_548010!A:H,8,FALSE))</f>
        <v>25380</v>
      </c>
      <c r="P154" s="46">
        <f t="shared" ca="1" si="7"/>
        <v>4.4062499998164051E-3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input_548010!A$2</f>
        <v>548010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IFERROR(VLOOKUP(B155,input_548010!L:R,7,FALSE),VLOOKUP(tables_548010!C155,input_548010!A:H,8,FALSE))</f>
        <v>3115.3846199999998</v>
      </c>
      <c r="P155" s="46">
        <f t="shared" ca="1" si="7"/>
        <v>5.4086538539413042E-4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input_548010!A$2</f>
        <v>548010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IFERROR(VLOOKUP(B156,input_548010!L:R,7,FALSE),VLOOKUP(tables_548010!C156,input_548010!A:H,8,FALSE))</f>
        <v>3600</v>
      </c>
      <c r="P156" s="46">
        <f t="shared" ca="1" si="7"/>
        <v>6.2499999997395813E-4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input_548010!A$2</f>
        <v>548010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IFERROR(VLOOKUP(B157,input_548010!L:R,7,FALSE),VLOOKUP(tables_548010!C157,input_548010!A:H,8,FALSE))</f>
        <v>400</v>
      </c>
      <c r="P157" s="46">
        <f t="shared" ca="1" si="7"/>
        <v>6.9444444441550899E-5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input_548010!A$2</f>
        <v>548010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IFERROR(VLOOKUP(B158,input_548010!L:R,7,FALSE),VLOOKUP(tables_548010!C158,input_548010!A:H,8,FALSE))</f>
        <v>25380</v>
      </c>
      <c r="P158" s="46">
        <f t="shared" ca="1" si="7"/>
        <v>4.4062499998164051E-3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input_548010!A$2</f>
        <v>548010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IFERROR(VLOOKUP(B159,input_548010!L:R,7,FALSE),VLOOKUP(tables_548010!C159,input_548010!A:H,8,FALSE))</f>
        <v>25380</v>
      </c>
      <c r="P159" s="46">
        <f t="shared" ca="1" si="7"/>
        <v>4.4062499998164051E-3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input_548010!A$2</f>
        <v>548010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IFERROR(VLOOKUP(B160,input_548010!L:R,7,FALSE),VLOOKUP(tables_548010!C160,input_548010!A:H,8,FALSE))</f>
        <v>3115.3846199999998</v>
      </c>
      <c r="P160" s="46">
        <f t="shared" ca="1" si="7"/>
        <v>5.4086538539413042E-4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input_548010!A$2</f>
        <v>548010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IFERROR(VLOOKUP(B161,input_548010!L:R,7,FALSE),VLOOKUP(tables_548010!C161,input_548010!A:H,8,FALSE))</f>
        <v>25380</v>
      </c>
      <c r="P161" s="46">
        <f t="shared" ca="1" si="7"/>
        <v>4.4062499998164051E-3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input_548010!A$2</f>
        <v>548010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IFERROR(VLOOKUP(B162,input_548010!L:R,7,FALSE),VLOOKUP(tables_548010!C162,input_548010!A:H,8,FALSE))</f>
        <v>25380</v>
      </c>
      <c r="P162" s="46">
        <f t="shared" ca="1" si="7"/>
        <v>4.4062499998164051E-3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input_548010!A$2</f>
        <v>548010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IFERROR(VLOOKUP(B163,input_548010!L:R,7,FALSE),VLOOKUP(tables_548010!C163,input_548010!A:H,8,FALSE))</f>
        <v>3115.3846199999998</v>
      </c>
      <c r="P163" s="46">
        <f t="shared" ca="1" si="7"/>
        <v>5.4086538539413042E-4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input_548010!A$2</f>
        <v>548010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IFERROR(VLOOKUP(B164,input_548010!L:R,7,FALSE),VLOOKUP(tables_548010!C164,input_548010!A:H,8,FALSE))</f>
        <v>3600</v>
      </c>
      <c r="P164" s="46">
        <f t="shared" ca="1" si="7"/>
        <v>6.2499999997395813E-4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input_548010!A$2</f>
        <v>548010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IFERROR(VLOOKUP(B165,input_548010!L:R,7,FALSE),VLOOKUP(tables_548010!C165,input_548010!A:H,8,FALSE))</f>
        <v>400</v>
      </c>
      <c r="P165" s="46">
        <f t="shared" ca="1" si="7"/>
        <v>6.9444444441550899E-5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input_548010!A$2</f>
        <v>548010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IFERROR(VLOOKUP(B166,input_548010!L:R,7,FALSE),VLOOKUP(tables_548010!C166,input_548010!A:H,8,FALSE))</f>
        <v>25380</v>
      </c>
      <c r="P166" s="46">
        <f t="shared" ca="1" si="7"/>
        <v>4.4062499998164051E-3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input_548010!A$2</f>
        <v>548010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IFERROR(VLOOKUP(B167,input_548010!L:R,7,FALSE),VLOOKUP(tables_548010!C167,input_548010!A:H,8,FALSE))</f>
        <v>25380</v>
      </c>
      <c r="P167" s="46">
        <f t="shared" ca="1" si="7"/>
        <v>4.4062499998164051E-3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input_548010!A$2</f>
        <v>548010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IFERROR(VLOOKUP(B168,input_548010!L:R,7,FALSE),VLOOKUP(tables_548010!C168,input_548010!A:H,8,FALSE))</f>
        <v>3115.3846199999998</v>
      </c>
      <c r="P168" s="46">
        <f t="shared" ca="1" si="7"/>
        <v>5.4086538539413042E-4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input_548010!A$2</f>
        <v>548010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IFERROR(VLOOKUP(B169,input_548010!L:R,7,FALSE),VLOOKUP(tables_548010!C169,input_548010!A:H,8,FALSE))</f>
        <v>3600</v>
      </c>
      <c r="P169" s="46">
        <f t="shared" ca="1" si="7"/>
        <v>6.2499999997395813E-4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input_548010!A$2</f>
        <v>548010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IFERROR(VLOOKUP(B170,input_548010!L:R,7,FALSE),VLOOKUP(tables_548010!C170,input_548010!A:H,8,FALSE))</f>
        <v>400</v>
      </c>
      <c r="P170" s="46">
        <f t="shared" ca="1" si="7"/>
        <v>6.9444444441550899E-5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input_548010!A$2</f>
        <v>548010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IFERROR(VLOOKUP(B171,input_548010!L:R,7,FALSE),VLOOKUP(tables_548010!C171,input_548010!A:H,8,FALSE))</f>
        <v>25380</v>
      </c>
      <c r="P171" s="46">
        <f t="shared" ca="1" si="7"/>
        <v>4.4062499998164051E-3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input_548010!A$2</f>
        <v>548010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IFERROR(VLOOKUP(B172,input_548010!L:R,7,FALSE),VLOOKUP(tables_548010!C172,input_548010!A:H,8,FALSE))</f>
        <v>25380</v>
      </c>
      <c r="P172" s="46">
        <f t="shared" ca="1" si="7"/>
        <v>4.4062499998164051E-3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input_548010!A$2</f>
        <v>548010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IFERROR(VLOOKUP(B173,input_548010!L:R,7,FALSE),VLOOKUP(tables_548010!C173,input_548010!A:H,8,FALSE))</f>
        <v>3115.3846199999998</v>
      </c>
      <c r="P173" s="46">
        <f t="shared" ca="1" si="7"/>
        <v>5.4086538539413042E-4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input_548010!A$2</f>
        <v>548010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IFERROR(VLOOKUP(B174,input_548010!L:R,7,FALSE),VLOOKUP(tables_548010!C174,input_548010!A:H,8,FALSE))</f>
        <v>3600</v>
      </c>
      <c r="P174" s="46">
        <f t="shared" ca="1" si="7"/>
        <v>6.2499999997395813E-4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input_548010!A$2</f>
        <v>548010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IFERROR(VLOOKUP(B175,input_548010!L:R,7,FALSE),VLOOKUP(tables_548010!C175,input_548010!A:H,8,FALSE))</f>
        <v>400</v>
      </c>
      <c r="P175" s="46">
        <f t="shared" ca="1" si="7"/>
        <v>6.9444444441550899E-5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input_548010!A$2</f>
        <v>548010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IFERROR(VLOOKUP(B176,input_548010!L:R,7,FALSE),VLOOKUP(tables_548010!C176,input_548010!A:H,8,FALSE))</f>
        <v>3600</v>
      </c>
      <c r="P176" s="46">
        <f t="shared" ca="1" si="7"/>
        <v>6.2499999997395813E-4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input_548010!A$2</f>
        <v>548010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IFERROR(VLOOKUP(B177,input_548010!L:R,7,FALSE),VLOOKUP(tables_548010!C177,input_548010!A:H,8,FALSE))</f>
        <v>400</v>
      </c>
      <c r="P177" s="46">
        <f t="shared" ca="1" si="7"/>
        <v>6.9444444441550899E-5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input_548010!A$2</f>
        <v>548010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IFERROR(VLOOKUP(B178,input_548010!L:R,7,FALSE),VLOOKUP(tables_548010!C178,input_548010!A:H,8,FALSE))</f>
        <v>25380</v>
      </c>
      <c r="P178" s="46">
        <f t="shared" ca="1" si="7"/>
        <v>4.4062499998164051E-3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input_548010!A$2</f>
        <v>548010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IFERROR(VLOOKUP(B179,input_548010!L:R,7,FALSE),VLOOKUP(tables_548010!C179,input_548010!A:H,8,FALSE))</f>
        <v>25380</v>
      </c>
      <c r="P179" s="46">
        <f t="shared" ca="1" si="7"/>
        <v>4.4062499998164051E-3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input_548010!A$2</f>
        <v>548010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IFERROR(VLOOKUP(B180,input_548010!L:R,7,FALSE),VLOOKUP(tables_548010!C180,input_548010!A:H,8,FALSE))</f>
        <v>3115.3846199999998</v>
      </c>
      <c r="P180" s="46">
        <f t="shared" ca="1" si="7"/>
        <v>5.4086538539413042E-4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input_548010!A$2</f>
        <v>548010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IFERROR(VLOOKUP(B181,input_548010!L:R,7,FALSE),VLOOKUP(tables_548010!C181,input_548010!A:H,8,FALSE))</f>
        <v>25380</v>
      </c>
      <c r="P181" s="46">
        <f t="shared" ca="1" si="7"/>
        <v>4.4062499998164051E-3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input_548010!A$2</f>
        <v>548010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IFERROR(VLOOKUP(B182,input_548010!L:R,7,FALSE),VLOOKUP(tables_548010!C182,input_548010!A:H,8,FALSE))</f>
        <v>25380</v>
      </c>
      <c r="P182" s="46">
        <f t="shared" ca="1" si="7"/>
        <v>4.4062499998164051E-3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input_548010!A$2</f>
        <v>548010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IFERROR(VLOOKUP(B183,input_548010!L:R,7,FALSE),VLOOKUP(tables_548010!C183,input_548010!A:H,8,FALSE))</f>
        <v>3115.3846199999998</v>
      </c>
      <c r="P183" s="46">
        <f t="shared" ca="1" si="7"/>
        <v>5.4086538539413042E-4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input_548010!A$2</f>
        <v>548010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IFERROR(VLOOKUP(B184,input_548010!L:R,7,FALSE),VLOOKUP(tables_548010!C184,input_548010!A:H,8,FALSE))</f>
        <v>3600</v>
      </c>
      <c r="P184" s="46">
        <f t="shared" ca="1" si="7"/>
        <v>6.2499999997395813E-4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input_548010!A$2</f>
        <v>548010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IFERROR(VLOOKUP(B185,input_548010!L:R,7,FALSE),VLOOKUP(tables_548010!C185,input_548010!A:H,8,FALSE))</f>
        <v>400</v>
      </c>
      <c r="P185" s="46">
        <f t="shared" ca="1" si="7"/>
        <v>6.9444444441550899E-5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input_548010!A$2</f>
        <v>548010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IFERROR(VLOOKUP(B186,input_548010!L:R,7,FALSE),VLOOKUP(tables_548010!C186,input_548010!A:H,8,FALSE))</f>
        <v>25380</v>
      </c>
      <c r="P186" s="46">
        <f t="shared" ca="1" si="7"/>
        <v>4.4062499998164051E-3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input_548010!A$2</f>
        <v>548010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IFERROR(VLOOKUP(B187,input_548010!L:R,7,FALSE),VLOOKUP(tables_548010!C187,input_548010!A:H,8,FALSE))</f>
        <v>25380</v>
      </c>
      <c r="P187" s="46">
        <f t="shared" ca="1" si="7"/>
        <v>4.4062499998164051E-3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input_548010!A$2</f>
        <v>548010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IFERROR(VLOOKUP(B188,input_548010!L:R,7,FALSE),VLOOKUP(tables_548010!C188,input_548010!A:H,8,FALSE))</f>
        <v>3115.3846199999998</v>
      </c>
      <c r="P188" s="46">
        <f t="shared" ca="1" si="7"/>
        <v>5.4086538539413042E-4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input_548010!A$2</f>
        <v>548010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IFERROR(VLOOKUP(B189,input_548010!L:R,7,FALSE),VLOOKUP(tables_548010!C189,input_548010!A:H,8,FALSE))</f>
        <v>3600</v>
      </c>
      <c r="P189" s="46">
        <f t="shared" ca="1" si="7"/>
        <v>6.2499999997395813E-4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input_548010!A$2</f>
        <v>548010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IFERROR(VLOOKUP(B190,input_548010!L:R,7,FALSE),VLOOKUP(tables_548010!C190,input_548010!A:H,8,FALSE))</f>
        <v>400</v>
      </c>
      <c r="P190" s="46">
        <f t="shared" ca="1" si="7"/>
        <v>6.9444444441550899E-5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input_548010!A$2</f>
        <v>548010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IFERROR(VLOOKUP(B191,input_548010!L:R,7,FALSE),VLOOKUP(tables_548010!C191,input_548010!A:H,8,FALSE))</f>
        <v>3600</v>
      </c>
      <c r="P191" s="46">
        <f t="shared" ca="1" si="7"/>
        <v>6.2499999997395813E-4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input_548010!A$2</f>
        <v>548010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IFERROR(VLOOKUP(B192,input_548010!L:R,7,FALSE),VLOOKUP(tables_548010!C192,input_548010!A:H,8,FALSE))</f>
        <v>400</v>
      </c>
      <c r="P192" s="46">
        <f t="shared" ca="1" si="7"/>
        <v>6.9444444441550899E-5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input_548010!A$2</f>
        <v>548010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IFERROR(VLOOKUP(B193,input_548010!L:R,7,FALSE),VLOOKUP(tables_548010!C193,input_548010!A:H,8,FALSE))</f>
        <v>25380</v>
      </c>
      <c r="P193" s="46">
        <f t="shared" ca="1" si="7"/>
        <v>4.4062499998164051E-3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input_548010!A$2</f>
        <v>548010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IFERROR(VLOOKUP(B194,input_548010!L:R,7,FALSE),VLOOKUP(tables_548010!C194,input_548010!A:H,8,FALSE))</f>
        <v>25380</v>
      </c>
      <c r="P194" s="46">
        <f t="shared" ref="P194:P257" ca="1" si="10">O194/SUM(O:O)</f>
        <v>4.4062499998164051E-3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input_548010!A$2</f>
        <v>548010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IFERROR(VLOOKUP(B195,input_548010!L:R,7,FALSE),VLOOKUP(tables_548010!C195,input_548010!A:H,8,FALSE))</f>
        <v>3115.3846199999998</v>
      </c>
      <c r="P195" s="46">
        <f t="shared" ca="1" si="10"/>
        <v>5.4086538539413042E-4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input_548010!A$2</f>
        <v>548010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IFERROR(VLOOKUP(B196,input_548010!L:R,7,FALSE),VLOOKUP(tables_548010!C196,input_548010!A:H,8,FALSE))</f>
        <v>3600</v>
      </c>
      <c r="P196" s="46">
        <f t="shared" ca="1" si="10"/>
        <v>6.2499999997395813E-4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input_548010!A$2</f>
        <v>548010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IFERROR(VLOOKUP(B197,input_548010!L:R,7,FALSE),VLOOKUP(tables_548010!C197,input_548010!A:H,8,FALSE))</f>
        <v>400</v>
      </c>
      <c r="P197" s="46">
        <f t="shared" ca="1" si="10"/>
        <v>6.9444444441550899E-5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input_548010!A$2</f>
        <v>548010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IFERROR(VLOOKUP(B198,input_548010!L:R,7,FALSE),VLOOKUP(tables_548010!C198,input_548010!A:H,8,FALSE))</f>
        <v>25380</v>
      </c>
      <c r="P198" s="46">
        <f t="shared" ca="1" si="10"/>
        <v>4.4062499998164051E-3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input_548010!A$2</f>
        <v>548010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IFERROR(VLOOKUP(B199,input_548010!L:R,7,FALSE),VLOOKUP(tables_548010!C199,input_548010!A:H,8,FALSE))</f>
        <v>25380</v>
      </c>
      <c r="P199" s="46">
        <f t="shared" ca="1" si="10"/>
        <v>4.4062499998164051E-3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input_548010!A$2</f>
        <v>548010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IFERROR(VLOOKUP(B200,input_548010!L:R,7,FALSE),VLOOKUP(tables_548010!C200,input_548010!A:H,8,FALSE))</f>
        <v>3115.3846199999998</v>
      </c>
      <c r="P200" s="46">
        <f t="shared" ca="1" si="10"/>
        <v>5.4086538539413042E-4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input_548010!A$2</f>
        <v>548010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IFERROR(VLOOKUP(B201,input_548010!L:R,7,FALSE),VLOOKUP(tables_548010!C201,input_548010!A:H,8,FALSE))</f>
        <v>3600</v>
      </c>
      <c r="P201" s="46">
        <f t="shared" ca="1" si="10"/>
        <v>6.2499999997395813E-4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input_548010!A$2</f>
        <v>548010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IFERROR(VLOOKUP(B202,input_548010!L:R,7,FALSE),VLOOKUP(tables_548010!C202,input_548010!A:H,8,FALSE))</f>
        <v>400</v>
      </c>
      <c r="P202" s="46">
        <f t="shared" ca="1" si="10"/>
        <v>6.9444444441550899E-5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input_548010!A$2</f>
        <v>548010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IFERROR(VLOOKUP(B203,input_548010!L:R,7,FALSE),VLOOKUP(tables_548010!C203,input_548010!A:H,8,FALSE))</f>
        <v>25380</v>
      </c>
      <c r="P203" s="46">
        <f t="shared" ca="1" si="10"/>
        <v>4.4062499998164051E-3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input_548010!A$2</f>
        <v>548010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IFERROR(VLOOKUP(B204,input_548010!L:R,7,FALSE),VLOOKUP(tables_548010!C204,input_548010!A:H,8,FALSE))</f>
        <v>25380</v>
      </c>
      <c r="P204" s="46">
        <f t="shared" ca="1" si="10"/>
        <v>4.4062499998164051E-3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input_548010!A$2</f>
        <v>548010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IFERROR(VLOOKUP(B205,input_548010!L:R,7,FALSE),VLOOKUP(tables_548010!C205,input_548010!A:H,8,FALSE))</f>
        <v>3115.3846199999998</v>
      </c>
      <c r="P205" s="46">
        <f t="shared" ca="1" si="10"/>
        <v>5.4086538539413042E-4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input_548010!A$2</f>
        <v>548010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IFERROR(VLOOKUP(B206,input_548010!L:R,7,FALSE),VLOOKUP(tables_548010!C206,input_548010!A:H,8,FALSE))</f>
        <v>3600</v>
      </c>
      <c r="P206" s="46">
        <f t="shared" ca="1" si="10"/>
        <v>6.2499999997395813E-4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input_548010!A$2</f>
        <v>548010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IFERROR(VLOOKUP(B207,input_548010!L:R,7,FALSE),VLOOKUP(tables_548010!C207,input_548010!A:H,8,FALSE))</f>
        <v>400</v>
      </c>
      <c r="P207" s="46">
        <f t="shared" ca="1" si="10"/>
        <v>6.9444444441550899E-5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input_548010!A$2</f>
        <v>548010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IFERROR(VLOOKUP(B208,input_548010!L:R,7,FALSE),VLOOKUP(tables_548010!C208,input_548010!A:H,8,FALSE))</f>
        <v>3600</v>
      </c>
      <c r="P208" s="46">
        <f t="shared" ca="1" si="10"/>
        <v>6.2499999997395813E-4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input_548010!A$2</f>
        <v>548010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IFERROR(VLOOKUP(B209,input_548010!L:R,7,FALSE),VLOOKUP(tables_548010!C209,input_548010!A:H,8,FALSE))</f>
        <v>400</v>
      </c>
      <c r="P209" s="46">
        <f t="shared" ca="1" si="10"/>
        <v>6.9444444441550899E-5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input_548010!A$2</f>
        <v>548010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IFERROR(VLOOKUP(B210,input_548010!L:R,7,FALSE),VLOOKUP(tables_548010!C210,input_548010!A:H,8,FALSE))</f>
        <v>25380</v>
      </c>
      <c r="P210" s="46">
        <f t="shared" ca="1" si="10"/>
        <v>4.4062499998164051E-3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input_548010!A$2</f>
        <v>548010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IFERROR(VLOOKUP(B211,input_548010!L:R,7,FALSE),VLOOKUP(tables_548010!C211,input_548010!A:H,8,FALSE))</f>
        <v>25380</v>
      </c>
      <c r="P211" s="46">
        <f t="shared" ca="1" si="10"/>
        <v>4.4062499998164051E-3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input_548010!A$2</f>
        <v>548010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IFERROR(VLOOKUP(B212,input_548010!L:R,7,FALSE),VLOOKUP(tables_548010!C212,input_548010!A:H,8,FALSE))</f>
        <v>3115.3846199999998</v>
      </c>
      <c r="P212" s="46">
        <f t="shared" ca="1" si="10"/>
        <v>5.4086538539413042E-4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input_548010!A$2</f>
        <v>548010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IFERROR(VLOOKUP(B213,input_548010!L:R,7,FALSE),VLOOKUP(tables_548010!C213,input_548010!A:H,8,FALSE))</f>
        <v>3600</v>
      </c>
      <c r="P213" s="46">
        <f t="shared" ca="1" si="10"/>
        <v>6.2499999997395813E-4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input_548010!A$2</f>
        <v>548010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IFERROR(VLOOKUP(B214,input_548010!L:R,7,FALSE),VLOOKUP(tables_548010!C214,input_548010!A:H,8,FALSE))</f>
        <v>400</v>
      </c>
      <c r="P214" s="46">
        <f t="shared" ca="1" si="10"/>
        <v>6.9444444441550899E-5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input_548010!A$2</f>
        <v>548010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IFERROR(VLOOKUP(B215,input_548010!L:R,7,FALSE),VLOOKUP(tables_548010!C215,input_548010!A:H,8,FALSE))</f>
        <v>5640</v>
      </c>
      <c r="P215" s="46">
        <f t="shared" ca="1" si="10"/>
        <v>9.7916666662586785E-4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input_548010!A$2</f>
        <v>548010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IFERROR(VLOOKUP(B216,input_548010!L:R,7,FALSE),VLOOKUP(tables_548010!C216,input_548010!A:H,8,FALSE))</f>
        <v>5640</v>
      </c>
      <c r="P216" s="46">
        <f t="shared" ca="1" si="10"/>
        <v>9.7916666662586785E-4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input_548010!A$2</f>
        <v>548010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IFERROR(VLOOKUP(B217,input_548010!L:R,7,FALSE),VLOOKUP(tables_548010!C217,input_548010!A:H,8,FALSE))</f>
        <v>5640</v>
      </c>
      <c r="P217" s="46">
        <f t="shared" ca="1" si="10"/>
        <v>9.7916666662586785E-4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input_548010!A$2</f>
        <v>548010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IFERROR(VLOOKUP(B218,input_548010!L:R,7,FALSE),VLOOKUP(tables_548010!C218,input_548010!A:H,8,FALSE))</f>
        <v>5640</v>
      </c>
      <c r="P218" s="46">
        <f t="shared" ca="1" si="10"/>
        <v>9.7916666662586785E-4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input_548010!A$2</f>
        <v>548010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IFERROR(VLOOKUP(B219,input_548010!L:R,7,FALSE),VLOOKUP(tables_548010!C219,input_548010!A:H,8,FALSE))</f>
        <v>5640</v>
      </c>
      <c r="P219" s="46">
        <f t="shared" ca="1" si="10"/>
        <v>9.7916666662586785E-4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input_548010!A$2</f>
        <v>548010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IFERROR(VLOOKUP(B220,input_548010!L:R,7,FALSE),VLOOKUP(tables_548010!C220,input_548010!A:H,8,FALSE))</f>
        <v>5640</v>
      </c>
      <c r="P220" s="46">
        <f t="shared" ca="1" si="10"/>
        <v>9.7916666662586785E-4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input_548010!A$2</f>
        <v>548010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IFERROR(VLOOKUP(B221,input_548010!L:R,7,FALSE),VLOOKUP(tables_548010!C221,input_548010!A:H,8,FALSE))</f>
        <v>3600</v>
      </c>
      <c r="P221" s="46">
        <f t="shared" ca="1" si="10"/>
        <v>6.2499999997395813E-4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input_548010!A$2</f>
        <v>548010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IFERROR(VLOOKUP(B222,input_548010!L:R,7,FALSE),VLOOKUP(tables_548010!C222,input_548010!A:H,8,FALSE))</f>
        <v>400</v>
      </c>
      <c r="P222" s="46">
        <f t="shared" ca="1" si="10"/>
        <v>6.9444444441550899E-5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input_548010!A$2</f>
        <v>548010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IFERROR(VLOOKUP(B223,input_548010!L:R,7,FALSE),VLOOKUP(tables_548010!C223,input_548010!A:H,8,FALSE))</f>
        <v>25380</v>
      </c>
      <c r="P223" s="46">
        <f t="shared" ca="1" si="10"/>
        <v>4.4062499998164051E-3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input_548010!A$2</f>
        <v>548010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IFERROR(VLOOKUP(B224,input_548010!L:R,7,FALSE),VLOOKUP(tables_548010!C224,input_548010!A:H,8,FALSE))</f>
        <v>25380</v>
      </c>
      <c r="P224" s="46">
        <f t="shared" ca="1" si="10"/>
        <v>4.4062499998164051E-3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input_548010!A$2</f>
        <v>548010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IFERROR(VLOOKUP(B225,input_548010!L:R,7,FALSE),VLOOKUP(tables_548010!C225,input_548010!A:H,8,FALSE))</f>
        <v>3115.3846199999998</v>
      </c>
      <c r="P225" s="46">
        <f t="shared" ca="1" si="10"/>
        <v>5.4086538539413042E-4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input_548010!A$2</f>
        <v>548010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IFERROR(VLOOKUP(B226,input_548010!L:R,7,FALSE),VLOOKUP(tables_548010!C226,input_548010!A:H,8,FALSE))</f>
        <v>25380</v>
      </c>
      <c r="P226" s="46">
        <f t="shared" ca="1" si="10"/>
        <v>4.4062499998164051E-3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input_548010!A$2</f>
        <v>548010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IFERROR(VLOOKUP(B227,input_548010!L:R,7,FALSE),VLOOKUP(tables_548010!C227,input_548010!A:H,8,FALSE))</f>
        <v>25380</v>
      </c>
      <c r="P227" s="46">
        <f t="shared" ca="1" si="10"/>
        <v>4.4062499998164051E-3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input_548010!A$2</f>
        <v>548010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IFERROR(VLOOKUP(B228,input_548010!L:R,7,FALSE),VLOOKUP(tables_548010!C228,input_548010!A:H,8,FALSE))</f>
        <v>3115.3846199999998</v>
      </c>
      <c r="P228" s="46">
        <f t="shared" ca="1" si="10"/>
        <v>5.4086538539413042E-4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input_548010!A$2</f>
        <v>548010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IFERROR(VLOOKUP(B229,input_548010!L:R,7,FALSE),VLOOKUP(tables_548010!C229,input_548010!A:H,8,FALSE))</f>
        <v>3600</v>
      </c>
      <c r="P229" s="46">
        <f t="shared" ca="1" si="10"/>
        <v>6.2499999997395813E-4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input_548010!A$2</f>
        <v>548010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IFERROR(VLOOKUP(B230,input_548010!L:R,7,FALSE),VLOOKUP(tables_548010!C230,input_548010!A:H,8,FALSE))</f>
        <v>400</v>
      </c>
      <c r="P230" s="46">
        <f t="shared" ca="1" si="10"/>
        <v>6.9444444441550899E-5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input_548010!A$2</f>
        <v>548010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IFERROR(VLOOKUP(B231,input_548010!L:R,7,FALSE),VLOOKUP(tables_548010!C231,input_548010!A:H,8,FALSE))</f>
        <v>25380</v>
      </c>
      <c r="P231" s="46">
        <f t="shared" ca="1" si="10"/>
        <v>4.4062499998164051E-3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input_548010!A$2</f>
        <v>548010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IFERROR(VLOOKUP(B232,input_548010!L:R,7,FALSE),VLOOKUP(tables_548010!C232,input_548010!A:H,8,FALSE))</f>
        <v>25380</v>
      </c>
      <c r="P232" s="46">
        <f t="shared" ca="1" si="10"/>
        <v>4.4062499998164051E-3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input_548010!A$2</f>
        <v>548010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IFERROR(VLOOKUP(B233,input_548010!L:R,7,FALSE),VLOOKUP(tables_548010!C233,input_548010!A:H,8,FALSE))</f>
        <v>3115.3846199999998</v>
      </c>
      <c r="P233" s="46">
        <f t="shared" ca="1" si="10"/>
        <v>5.4086538539413042E-4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input_548010!A$2</f>
        <v>548010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IFERROR(VLOOKUP(B234,input_548010!L:R,7,FALSE),VLOOKUP(tables_548010!C234,input_548010!A:H,8,FALSE))</f>
        <v>25380</v>
      </c>
      <c r="P234" s="46">
        <f t="shared" ca="1" si="10"/>
        <v>4.4062499998164051E-3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input_548010!A$2</f>
        <v>548010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IFERROR(VLOOKUP(B235,input_548010!L:R,7,FALSE),VLOOKUP(tables_548010!C235,input_548010!A:H,8,FALSE))</f>
        <v>25380</v>
      </c>
      <c r="P235" s="46">
        <f t="shared" ca="1" si="10"/>
        <v>4.4062499998164051E-3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input_548010!A$2</f>
        <v>548010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IFERROR(VLOOKUP(B236,input_548010!L:R,7,FALSE),VLOOKUP(tables_548010!C236,input_548010!A:H,8,FALSE))</f>
        <v>3115.3846199999998</v>
      </c>
      <c r="P236" s="46">
        <f t="shared" ca="1" si="10"/>
        <v>5.4086538539413042E-4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input_548010!A$2</f>
        <v>548010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IFERROR(VLOOKUP(B237,input_548010!L:R,7,FALSE),VLOOKUP(tables_548010!C237,input_548010!A:H,8,FALSE))</f>
        <v>3600</v>
      </c>
      <c r="P237" s="46">
        <f t="shared" ca="1" si="10"/>
        <v>6.2499999997395813E-4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input_548010!A$2</f>
        <v>548010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IFERROR(VLOOKUP(B238,input_548010!L:R,7,FALSE),VLOOKUP(tables_548010!C238,input_548010!A:H,8,FALSE))</f>
        <v>400</v>
      </c>
      <c r="P238" s="46">
        <f t="shared" ca="1" si="10"/>
        <v>6.9444444441550899E-5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input_548010!A$2</f>
        <v>548010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IFERROR(VLOOKUP(B239,input_548010!L:R,7,FALSE),VLOOKUP(tables_548010!C239,input_548010!A:H,8,FALSE))</f>
        <v>25380</v>
      </c>
      <c r="P239" s="46">
        <f t="shared" ca="1" si="10"/>
        <v>4.4062499998164051E-3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input_548010!A$2</f>
        <v>548010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IFERROR(VLOOKUP(B240,input_548010!L:R,7,FALSE),VLOOKUP(tables_548010!C240,input_548010!A:H,8,FALSE))</f>
        <v>25380</v>
      </c>
      <c r="P240" s="46">
        <f t="shared" ca="1" si="10"/>
        <v>4.4062499998164051E-3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input_548010!A$2</f>
        <v>548010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IFERROR(VLOOKUP(B241,input_548010!L:R,7,FALSE),VLOOKUP(tables_548010!C241,input_548010!A:H,8,FALSE))</f>
        <v>3115.3846199999998</v>
      </c>
      <c r="P241" s="46">
        <f t="shared" ca="1" si="10"/>
        <v>5.4086538539413042E-4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input_548010!A$2</f>
        <v>548010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IFERROR(VLOOKUP(B242,input_548010!L:R,7,FALSE),VLOOKUP(tables_548010!C242,input_548010!A:H,8,FALSE))</f>
        <v>3600</v>
      </c>
      <c r="P242" s="46">
        <f t="shared" ca="1" si="10"/>
        <v>6.2499999997395813E-4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input_548010!A$2</f>
        <v>548010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IFERROR(VLOOKUP(B243,input_548010!L:R,7,FALSE),VLOOKUP(tables_548010!C243,input_548010!A:H,8,FALSE))</f>
        <v>400</v>
      </c>
      <c r="P243" s="46">
        <f t="shared" ca="1" si="10"/>
        <v>6.9444444441550899E-5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input_548010!A$2</f>
        <v>548010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IFERROR(VLOOKUP(B244,input_548010!L:R,7,FALSE),VLOOKUP(tables_548010!C244,input_548010!A:H,8,FALSE))</f>
        <v>3600</v>
      </c>
      <c r="P244" s="46">
        <f t="shared" ca="1" si="10"/>
        <v>6.2499999997395813E-4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input_548010!A$2</f>
        <v>548010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IFERROR(VLOOKUP(B245,input_548010!L:R,7,FALSE),VLOOKUP(tables_548010!C245,input_548010!A:H,8,FALSE))</f>
        <v>400</v>
      </c>
      <c r="P245" s="46">
        <f t="shared" ca="1" si="10"/>
        <v>6.9444444441550899E-5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input_548010!A$2</f>
        <v>548010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IFERROR(VLOOKUP(B246,input_548010!L:R,7,FALSE),VLOOKUP(tables_548010!C246,input_548010!A:H,8,FALSE))</f>
        <v>25380</v>
      </c>
      <c r="P246" s="46">
        <f t="shared" ca="1" si="10"/>
        <v>4.4062499998164051E-3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input_548010!A$2</f>
        <v>548010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IFERROR(VLOOKUP(B247,input_548010!L:R,7,FALSE),VLOOKUP(tables_548010!C247,input_548010!A:H,8,FALSE))</f>
        <v>25380</v>
      </c>
      <c r="P247" s="46">
        <f t="shared" ca="1" si="10"/>
        <v>4.4062499998164051E-3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input_548010!A$2</f>
        <v>548010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IFERROR(VLOOKUP(B248,input_548010!L:R,7,FALSE),VLOOKUP(tables_548010!C248,input_548010!A:H,8,FALSE))</f>
        <v>3115.3846199999998</v>
      </c>
      <c r="P248" s="46">
        <f t="shared" ca="1" si="10"/>
        <v>5.4086538539413042E-4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input_548010!A$2</f>
        <v>548010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IFERROR(VLOOKUP(B249,input_548010!L:R,7,FALSE),VLOOKUP(tables_548010!C249,input_548010!A:H,8,FALSE))</f>
        <v>25380</v>
      </c>
      <c r="P249" s="46">
        <f t="shared" ca="1" si="10"/>
        <v>4.4062499998164051E-3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input_548010!A$2</f>
        <v>548010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IFERROR(VLOOKUP(B250,input_548010!L:R,7,FALSE),VLOOKUP(tables_548010!C250,input_548010!A:H,8,FALSE))</f>
        <v>25380</v>
      </c>
      <c r="P250" s="46">
        <f t="shared" ca="1" si="10"/>
        <v>4.4062499998164051E-3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input_548010!A$2</f>
        <v>548010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IFERROR(VLOOKUP(B251,input_548010!L:R,7,FALSE),VLOOKUP(tables_548010!C251,input_548010!A:H,8,FALSE))</f>
        <v>3115.3846199999998</v>
      </c>
      <c r="P251" s="46">
        <f t="shared" ca="1" si="10"/>
        <v>5.4086538539413042E-4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input_548010!A$2</f>
        <v>548010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IFERROR(VLOOKUP(B252,input_548010!L:R,7,FALSE),VLOOKUP(tables_548010!C252,input_548010!A:H,8,FALSE))</f>
        <v>25380</v>
      </c>
      <c r="P252" s="46">
        <f t="shared" ca="1" si="10"/>
        <v>4.4062499998164051E-3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input_548010!A$2</f>
        <v>548010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IFERROR(VLOOKUP(B253,input_548010!L:R,7,FALSE),VLOOKUP(tables_548010!C253,input_548010!A:H,8,FALSE))</f>
        <v>25380</v>
      </c>
      <c r="P253" s="46">
        <f t="shared" ca="1" si="10"/>
        <v>4.4062499998164051E-3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input_548010!A$2</f>
        <v>548010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IFERROR(VLOOKUP(B254,input_548010!L:R,7,FALSE),VLOOKUP(tables_548010!C254,input_548010!A:H,8,FALSE))</f>
        <v>3115.3846199999998</v>
      </c>
      <c r="P254" s="46">
        <f t="shared" ca="1" si="10"/>
        <v>5.4086538539413042E-4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input_548010!A$2</f>
        <v>548010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IFERROR(VLOOKUP(B255,input_548010!L:R,7,FALSE),VLOOKUP(tables_548010!C255,input_548010!A:H,8,FALSE))</f>
        <v>25380</v>
      </c>
      <c r="P255" s="46">
        <f t="shared" ca="1" si="10"/>
        <v>4.4062499998164051E-3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input_548010!A$2</f>
        <v>548010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IFERROR(VLOOKUP(B256,input_548010!L:R,7,FALSE),VLOOKUP(tables_548010!C256,input_548010!A:H,8,FALSE))</f>
        <v>25380</v>
      </c>
      <c r="P256" s="46">
        <f t="shared" ca="1" si="10"/>
        <v>4.4062499998164051E-3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input_548010!A$2</f>
        <v>548010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IFERROR(VLOOKUP(B257,input_548010!L:R,7,FALSE),VLOOKUP(tables_548010!C257,input_548010!A:H,8,FALSE))</f>
        <v>3115.3846199999998</v>
      </c>
      <c r="P257" s="46">
        <f t="shared" ca="1" si="10"/>
        <v>5.4086538539413042E-4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input_548010!A$2</f>
        <v>548010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IFERROR(VLOOKUP(B258,input_548010!L:R,7,FALSE),VLOOKUP(tables_548010!C258,input_548010!A:H,8,FALSE))</f>
        <v>3600</v>
      </c>
      <c r="P258" s="46">
        <f t="shared" ref="P258:P321" ca="1" si="13">O258/SUM(O:O)</f>
        <v>6.2499999997395813E-4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input_548010!A$2</f>
        <v>548010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IFERROR(VLOOKUP(B259,input_548010!L:R,7,FALSE),VLOOKUP(tables_548010!C259,input_548010!A:H,8,FALSE))</f>
        <v>400</v>
      </c>
      <c r="P259" s="46">
        <f t="shared" ca="1" si="13"/>
        <v>6.9444444441550899E-5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input_548010!A$2</f>
        <v>548010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IFERROR(VLOOKUP(B260,input_548010!L:R,7,FALSE),VLOOKUP(tables_548010!C260,input_548010!A:H,8,FALSE))</f>
        <v>3600</v>
      </c>
      <c r="P260" s="46">
        <f t="shared" ca="1" si="13"/>
        <v>6.2499999997395813E-4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input_548010!A$2</f>
        <v>548010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IFERROR(VLOOKUP(B261,input_548010!L:R,7,FALSE),VLOOKUP(tables_548010!C261,input_548010!A:H,8,FALSE))</f>
        <v>400</v>
      </c>
      <c r="P261" s="46">
        <f t="shared" ca="1" si="13"/>
        <v>6.9444444441550899E-5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input_548010!A$2</f>
        <v>548010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IFERROR(VLOOKUP(B262,input_548010!L:R,7,FALSE),VLOOKUP(tables_548010!C262,input_548010!A:H,8,FALSE))</f>
        <v>49068</v>
      </c>
      <c r="P262" s="46">
        <f t="shared" ca="1" si="13"/>
        <v>8.5187499996450498E-3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input_548010!A$2</f>
        <v>548010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IFERROR(VLOOKUP(B263,input_548010!L:R,7,FALSE),VLOOKUP(tables_548010!C263,input_548010!A:H,8,FALSE))</f>
        <v>5640</v>
      </c>
      <c r="P263" s="46">
        <f t="shared" ca="1" si="13"/>
        <v>9.7916666662586785E-4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input_548010!A$2</f>
        <v>548010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IFERROR(VLOOKUP(B264,input_548010!L:R,7,FALSE),VLOOKUP(tables_548010!C264,input_548010!A:H,8,FALSE))</f>
        <v>49068</v>
      </c>
      <c r="P264" s="46">
        <f t="shared" ca="1" si="13"/>
        <v>8.5187499996450498E-3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input_548010!A$2</f>
        <v>548010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IFERROR(VLOOKUP(B265,input_548010!L:R,7,FALSE),VLOOKUP(tables_548010!C265,input_548010!A:H,8,FALSE))</f>
        <v>5640</v>
      </c>
      <c r="P265" s="46">
        <f t="shared" ca="1" si="13"/>
        <v>9.7916666662586785E-4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input_548010!A$2</f>
        <v>548010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IFERROR(VLOOKUP(B266,input_548010!L:R,7,FALSE),VLOOKUP(tables_548010!C266,input_548010!A:H,8,FALSE))</f>
        <v>4000</v>
      </c>
      <c r="P266" s="46">
        <f t="shared" ca="1" si="13"/>
        <v>6.9444444441550907E-4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input_548010!A$2</f>
        <v>548010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IFERROR(VLOOKUP(B267,input_548010!L:R,7,FALSE),VLOOKUP(tables_548010!C267,input_548010!A:H,8,FALSE))</f>
        <v>4000</v>
      </c>
      <c r="P267" s="46">
        <f t="shared" ca="1" si="13"/>
        <v>6.9444444441550907E-4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input_548010!A$2</f>
        <v>548010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IFERROR(VLOOKUP(B268,input_548010!L:R,7,FALSE),VLOOKUP(tables_548010!C268,input_548010!A:H,8,FALSE))</f>
        <v>4000</v>
      </c>
      <c r="P268" s="46">
        <f t="shared" ca="1" si="13"/>
        <v>6.9444444441550907E-4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input_548010!A$2</f>
        <v>548010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IFERROR(VLOOKUP(B269,input_548010!L:R,7,FALSE),VLOOKUP(tables_548010!C269,input_548010!A:H,8,FALSE))</f>
        <v>4000</v>
      </c>
      <c r="P269" s="46">
        <f t="shared" ca="1" si="13"/>
        <v>6.9444444441550907E-4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input_548010!A$2</f>
        <v>548010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IFERROR(VLOOKUP(B270,input_548010!L:R,7,FALSE),VLOOKUP(tables_548010!C270,input_548010!A:H,8,FALSE))</f>
        <v>49068</v>
      </c>
      <c r="P270" s="46">
        <f t="shared" ca="1" si="13"/>
        <v>8.5187499996450498E-3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input_548010!A$2</f>
        <v>548010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IFERROR(VLOOKUP(B271,input_548010!L:R,7,FALSE),VLOOKUP(tables_548010!C271,input_548010!A:H,8,FALSE))</f>
        <v>5640</v>
      </c>
      <c r="P271" s="46">
        <f t="shared" ca="1" si="13"/>
        <v>9.7916666662586785E-4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input_548010!A$2</f>
        <v>548010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IFERROR(VLOOKUP(B272,input_548010!L:R,7,FALSE),VLOOKUP(tables_548010!C272,input_548010!A:H,8,FALSE))</f>
        <v>49068</v>
      </c>
      <c r="P272" s="46">
        <f t="shared" ca="1" si="13"/>
        <v>8.5187499996450498E-3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input_548010!A$2</f>
        <v>548010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IFERROR(VLOOKUP(B273,input_548010!L:R,7,FALSE),VLOOKUP(tables_548010!C273,input_548010!A:H,8,FALSE))</f>
        <v>5640</v>
      </c>
      <c r="P273" s="46">
        <f t="shared" ca="1" si="13"/>
        <v>9.7916666662586785E-4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input_548010!A$2</f>
        <v>548010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IFERROR(VLOOKUP(B274,input_548010!L:R,7,FALSE),VLOOKUP(tables_548010!C274,input_548010!A:H,8,FALSE))</f>
        <v>3600</v>
      </c>
      <c r="P274" s="46">
        <f t="shared" ca="1" si="13"/>
        <v>6.2499999997395813E-4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input_548010!A$2</f>
        <v>548010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IFERROR(VLOOKUP(B275,input_548010!L:R,7,FALSE),VLOOKUP(tables_548010!C275,input_548010!A:H,8,FALSE))</f>
        <v>400</v>
      </c>
      <c r="P275" s="46">
        <f t="shared" ca="1" si="13"/>
        <v>6.9444444441550899E-5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input_548010!A$2</f>
        <v>548010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IFERROR(VLOOKUP(B276,input_548010!L:R,7,FALSE),VLOOKUP(tables_548010!C276,input_548010!A:H,8,FALSE))</f>
        <v>3600</v>
      </c>
      <c r="P276" s="46">
        <f t="shared" ca="1" si="13"/>
        <v>6.2499999997395813E-4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input_548010!A$2</f>
        <v>548010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IFERROR(VLOOKUP(B277,input_548010!L:R,7,FALSE),VLOOKUP(tables_548010!C277,input_548010!A:H,8,FALSE))</f>
        <v>400</v>
      </c>
      <c r="P277" s="46">
        <f t="shared" ca="1" si="13"/>
        <v>6.9444444441550899E-5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input_548010!A$2</f>
        <v>548010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IFERROR(VLOOKUP(B278,input_548010!L:R,7,FALSE),VLOOKUP(tables_548010!C278,input_548010!A:H,8,FALSE))</f>
        <v>25380</v>
      </c>
      <c r="P278" s="46">
        <f t="shared" ca="1" si="13"/>
        <v>4.4062499998164051E-3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input_548010!A$2</f>
        <v>548010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IFERROR(VLOOKUP(B279,input_548010!L:R,7,FALSE),VLOOKUP(tables_548010!C279,input_548010!A:H,8,FALSE))</f>
        <v>25380</v>
      </c>
      <c r="P279" s="46">
        <f t="shared" ca="1" si="13"/>
        <v>4.4062499998164051E-3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input_548010!A$2</f>
        <v>548010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IFERROR(VLOOKUP(B280,input_548010!L:R,7,FALSE),VLOOKUP(tables_548010!C280,input_548010!A:H,8,FALSE))</f>
        <v>3115.3846199999998</v>
      </c>
      <c r="P280" s="46">
        <f t="shared" ca="1" si="13"/>
        <v>5.4086538539413042E-4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input_548010!A$2</f>
        <v>548010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IFERROR(VLOOKUP(B281,input_548010!L:R,7,FALSE),VLOOKUP(tables_548010!C281,input_548010!A:H,8,FALSE))</f>
        <v>25380</v>
      </c>
      <c r="P281" s="46">
        <f t="shared" ca="1" si="13"/>
        <v>4.4062499998164051E-3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input_548010!A$2</f>
        <v>548010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IFERROR(VLOOKUP(B282,input_548010!L:R,7,FALSE),VLOOKUP(tables_548010!C282,input_548010!A:H,8,FALSE))</f>
        <v>25380</v>
      </c>
      <c r="P282" s="46">
        <f t="shared" ca="1" si="13"/>
        <v>4.4062499998164051E-3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input_548010!A$2</f>
        <v>548010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IFERROR(VLOOKUP(B283,input_548010!L:R,7,FALSE),VLOOKUP(tables_548010!C283,input_548010!A:H,8,FALSE))</f>
        <v>3115.3846199999998</v>
      </c>
      <c r="P283" s="46">
        <f t="shared" ca="1" si="13"/>
        <v>5.4086538539413042E-4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input_548010!A$2</f>
        <v>548010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IFERROR(VLOOKUP(B284,input_548010!L:R,7,FALSE),VLOOKUP(tables_548010!C284,input_548010!A:H,8,FALSE))</f>
        <v>4000</v>
      </c>
      <c r="P284" s="46">
        <f t="shared" ca="1" si="13"/>
        <v>6.9444444441550907E-4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input_548010!A$2</f>
        <v>548010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IFERROR(VLOOKUP(B285,input_548010!L:R,7,FALSE),VLOOKUP(tables_548010!C285,input_548010!A:H,8,FALSE))</f>
        <v>4000</v>
      </c>
      <c r="P285" s="46">
        <f t="shared" ca="1" si="13"/>
        <v>6.9444444441550907E-4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input_548010!A$2</f>
        <v>548010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IFERROR(VLOOKUP(B286,input_548010!L:R,7,FALSE),VLOOKUP(tables_548010!C286,input_548010!A:H,8,FALSE))</f>
        <v>49068</v>
      </c>
      <c r="P286" s="46">
        <f t="shared" ca="1" si="13"/>
        <v>8.5187499996450498E-3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input_548010!A$2</f>
        <v>548010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IFERROR(VLOOKUP(B287,input_548010!L:R,7,FALSE),VLOOKUP(tables_548010!C287,input_548010!A:H,8,FALSE))</f>
        <v>5640</v>
      </c>
      <c r="P287" s="46">
        <f t="shared" ca="1" si="13"/>
        <v>9.7916666662586785E-4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input_548010!A$2</f>
        <v>548010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IFERROR(VLOOKUP(B288,input_548010!L:R,7,FALSE),VLOOKUP(tables_548010!C288,input_548010!A:H,8,FALSE))</f>
        <v>49068</v>
      </c>
      <c r="P288" s="46">
        <f t="shared" ca="1" si="13"/>
        <v>8.5187499996450498E-3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input_548010!A$2</f>
        <v>548010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IFERROR(VLOOKUP(B289,input_548010!L:R,7,FALSE),VLOOKUP(tables_548010!C289,input_548010!A:H,8,FALSE))</f>
        <v>5640</v>
      </c>
      <c r="P289" s="46">
        <f t="shared" ca="1" si="13"/>
        <v>9.7916666662586785E-4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input_548010!A$2</f>
        <v>548010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IFERROR(VLOOKUP(B290,input_548010!L:R,7,FALSE),VLOOKUP(tables_548010!C290,input_548010!A:H,8,FALSE))</f>
        <v>49068</v>
      </c>
      <c r="P290" s="46">
        <f t="shared" ca="1" si="13"/>
        <v>8.5187499996450498E-3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input_548010!A$2</f>
        <v>548010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IFERROR(VLOOKUP(B291,input_548010!L:R,7,FALSE),VLOOKUP(tables_548010!C291,input_548010!A:H,8,FALSE))</f>
        <v>5640</v>
      </c>
      <c r="P291" s="46">
        <f t="shared" ca="1" si="13"/>
        <v>9.7916666662586785E-4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input_548010!A$2</f>
        <v>548010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IFERROR(VLOOKUP(B292,input_548010!L:R,7,FALSE),VLOOKUP(tables_548010!C292,input_548010!A:H,8,FALSE))</f>
        <v>49068</v>
      </c>
      <c r="P292" s="46">
        <f t="shared" ca="1" si="13"/>
        <v>8.5187499996450498E-3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input_548010!A$2</f>
        <v>548010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IFERROR(VLOOKUP(B293,input_548010!L:R,7,FALSE),VLOOKUP(tables_548010!C293,input_548010!A:H,8,FALSE))</f>
        <v>5640</v>
      </c>
      <c r="P293" s="46">
        <f t="shared" ca="1" si="13"/>
        <v>9.7916666662586785E-4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input_548010!A$2</f>
        <v>548010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IFERROR(VLOOKUP(B294,input_548010!L:R,7,FALSE),VLOOKUP(tables_548010!C294,input_548010!A:H,8,FALSE))</f>
        <v>4000</v>
      </c>
      <c r="P294" s="46">
        <f t="shared" ca="1" si="13"/>
        <v>6.9444444441550907E-4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input_548010!A$2</f>
        <v>548010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IFERROR(VLOOKUP(B295,input_548010!L:R,7,FALSE),VLOOKUP(tables_548010!C295,input_548010!A:H,8,FALSE))</f>
        <v>4000</v>
      </c>
      <c r="P295" s="46">
        <f t="shared" ca="1" si="13"/>
        <v>6.9444444441550907E-4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input_548010!A$2</f>
        <v>548010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IFERROR(VLOOKUP(B296,input_548010!L:R,7,FALSE),VLOOKUP(tables_548010!C296,input_548010!A:H,8,FALSE))</f>
        <v>4000</v>
      </c>
      <c r="P296" s="46">
        <f t="shared" ca="1" si="13"/>
        <v>6.9444444441550907E-4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input_548010!A$2</f>
        <v>548010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IFERROR(VLOOKUP(B297,input_548010!L:R,7,FALSE),VLOOKUP(tables_548010!C297,input_548010!A:H,8,FALSE))</f>
        <v>49068</v>
      </c>
      <c r="P297" s="46">
        <f t="shared" ca="1" si="13"/>
        <v>8.5187499996450498E-3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input_548010!A$2</f>
        <v>548010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IFERROR(VLOOKUP(B298,input_548010!L:R,7,FALSE),VLOOKUP(tables_548010!C298,input_548010!A:H,8,FALSE))</f>
        <v>5640</v>
      </c>
      <c r="P298" s="46">
        <f t="shared" ca="1" si="13"/>
        <v>9.7916666662586785E-4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input_548010!A$2</f>
        <v>548010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IFERROR(VLOOKUP(B299,input_548010!L:R,7,FALSE),VLOOKUP(tables_548010!C299,input_548010!A:H,8,FALSE))</f>
        <v>4000</v>
      </c>
      <c r="P299" s="46">
        <f t="shared" ca="1" si="13"/>
        <v>6.9444444441550907E-4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input_548010!A$2</f>
        <v>548010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IFERROR(VLOOKUP(B300,input_548010!L:R,7,FALSE),VLOOKUP(tables_548010!C300,input_548010!A:H,8,FALSE))</f>
        <v>4000</v>
      </c>
      <c r="P300" s="46">
        <f t="shared" ca="1" si="13"/>
        <v>6.9444444441550907E-4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input_548010!A$2</f>
        <v>548010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IFERROR(VLOOKUP(B301,input_548010!L:R,7,FALSE),VLOOKUP(tables_548010!C301,input_548010!A:H,8,FALSE))</f>
        <v>4000</v>
      </c>
      <c r="P301" s="46">
        <f t="shared" ca="1" si="13"/>
        <v>6.9444444441550907E-4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input_548010!A$2</f>
        <v>548010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IFERROR(VLOOKUP(B302,input_548010!L:R,7,FALSE),VLOOKUP(tables_548010!C302,input_548010!A:H,8,FALSE))</f>
        <v>4000</v>
      </c>
      <c r="P302" s="46">
        <f t="shared" ca="1" si="13"/>
        <v>6.9444444441550907E-4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input_548010!A$2</f>
        <v>548010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IFERROR(VLOOKUP(B303,input_548010!L:R,7,FALSE),VLOOKUP(tables_548010!C303,input_548010!A:H,8,FALSE))</f>
        <v>49068</v>
      </c>
      <c r="P303" s="46">
        <f t="shared" ca="1" si="13"/>
        <v>8.5187499996450498E-3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input_548010!A$2</f>
        <v>548010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IFERROR(VLOOKUP(B304,input_548010!L:R,7,FALSE),VLOOKUP(tables_548010!C304,input_548010!A:H,8,FALSE))</f>
        <v>5640</v>
      </c>
      <c r="P304" s="46">
        <f t="shared" ca="1" si="13"/>
        <v>9.7916666662586785E-4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input_548010!A$2</f>
        <v>548010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IFERROR(VLOOKUP(B305,input_548010!L:R,7,FALSE),VLOOKUP(tables_548010!C305,input_548010!A:H,8,FALSE))</f>
        <v>4000</v>
      </c>
      <c r="P305" s="46">
        <f t="shared" ca="1" si="13"/>
        <v>6.9444444441550907E-4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input_548010!A$2</f>
        <v>548010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IFERROR(VLOOKUP(B306,input_548010!L:R,7,FALSE),VLOOKUP(tables_548010!C306,input_548010!A:H,8,FALSE))</f>
        <v>49068</v>
      </c>
      <c r="P306" s="46">
        <f t="shared" ca="1" si="13"/>
        <v>8.5187499996450498E-3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input_548010!A$2</f>
        <v>548010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IFERROR(VLOOKUP(B307,input_548010!L:R,7,FALSE),VLOOKUP(tables_548010!C307,input_548010!A:H,8,FALSE))</f>
        <v>5640</v>
      </c>
      <c r="P307" s="46">
        <f t="shared" ca="1" si="13"/>
        <v>9.7916666662586785E-4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input_548010!A$2</f>
        <v>548010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IFERROR(VLOOKUP(B308,input_548010!L:R,7,FALSE),VLOOKUP(tables_548010!C308,input_548010!A:H,8,FALSE))</f>
        <v>4000</v>
      </c>
      <c r="P308" s="46">
        <f t="shared" ca="1" si="13"/>
        <v>6.9444444441550907E-4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input_548010!A$2</f>
        <v>548010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IFERROR(VLOOKUP(B309,input_548010!L:R,7,FALSE),VLOOKUP(tables_548010!C309,input_548010!A:H,8,FALSE))</f>
        <v>4000</v>
      </c>
      <c r="P309" s="46">
        <f t="shared" ca="1" si="13"/>
        <v>6.9444444441550907E-4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input_548010!A$2</f>
        <v>548010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IFERROR(VLOOKUP(B310,input_548010!L:R,7,FALSE),VLOOKUP(tables_548010!C310,input_548010!A:H,8,FALSE))</f>
        <v>4000</v>
      </c>
      <c r="P310" s="46">
        <f t="shared" ca="1" si="13"/>
        <v>6.9444444441550907E-4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input_548010!A$2</f>
        <v>548010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IFERROR(VLOOKUP(B311,input_548010!L:R,7,FALSE),VLOOKUP(tables_548010!C311,input_548010!A:H,8,FALSE))</f>
        <v>49068</v>
      </c>
      <c r="P311" s="46">
        <f t="shared" ca="1" si="13"/>
        <v>8.5187499996450498E-3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input_548010!A$2</f>
        <v>548010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IFERROR(VLOOKUP(B312,input_548010!L:R,7,FALSE),VLOOKUP(tables_548010!C312,input_548010!A:H,8,FALSE))</f>
        <v>5640</v>
      </c>
      <c r="P312" s="46">
        <f t="shared" ca="1" si="13"/>
        <v>9.7916666662586785E-4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input_548010!A$2</f>
        <v>548010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IFERROR(VLOOKUP(B313,input_548010!L:R,7,FALSE),VLOOKUP(tables_548010!C313,input_548010!A:H,8,FALSE))</f>
        <v>4000</v>
      </c>
      <c r="P313" s="46">
        <f t="shared" ca="1" si="13"/>
        <v>6.9444444441550907E-4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input_548010!A$2</f>
        <v>548010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IFERROR(VLOOKUP(B314,input_548010!L:R,7,FALSE),VLOOKUP(tables_548010!C314,input_548010!A:H,8,FALSE))</f>
        <v>4000</v>
      </c>
      <c r="P314" s="46">
        <f t="shared" ca="1" si="13"/>
        <v>6.9444444441550907E-4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input_548010!A$2</f>
        <v>548010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IFERROR(VLOOKUP(B315,input_548010!L:R,7,FALSE),VLOOKUP(tables_548010!C315,input_548010!A:H,8,FALSE))</f>
        <v>4000</v>
      </c>
      <c r="P315" s="46">
        <f t="shared" ca="1" si="13"/>
        <v>6.9444444441550907E-4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input_548010!A$2</f>
        <v>548010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IFERROR(VLOOKUP(B316,input_548010!L:R,7,FALSE),VLOOKUP(tables_548010!C316,input_548010!A:H,8,FALSE))</f>
        <v>4000</v>
      </c>
      <c r="P316" s="46">
        <f t="shared" ca="1" si="13"/>
        <v>6.9444444441550907E-4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input_548010!A$2</f>
        <v>548010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IFERROR(VLOOKUP(B317,input_548010!L:R,7,FALSE),VLOOKUP(tables_548010!C317,input_548010!A:H,8,FALSE))</f>
        <v>4000</v>
      </c>
      <c r="P317" s="46">
        <f t="shared" ca="1" si="13"/>
        <v>6.9444444441550907E-4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input_548010!A$2</f>
        <v>548010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IFERROR(VLOOKUP(B318,input_548010!L:R,7,FALSE),VLOOKUP(tables_548010!C318,input_548010!A:H,8,FALSE))</f>
        <v>49068</v>
      </c>
      <c r="P318" s="46">
        <f t="shared" ca="1" si="13"/>
        <v>8.5187499996450498E-3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input_548010!A$2</f>
        <v>548010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IFERROR(VLOOKUP(B319,input_548010!L:R,7,FALSE),VLOOKUP(tables_548010!C319,input_548010!A:H,8,FALSE))</f>
        <v>5640</v>
      </c>
      <c r="P319" s="46">
        <f t="shared" ca="1" si="13"/>
        <v>9.7916666662586785E-4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input_548010!A$2</f>
        <v>548010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IFERROR(VLOOKUP(B320,input_548010!L:R,7,FALSE),VLOOKUP(tables_548010!C320,input_548010!A:H,8,FALSE))</f>
        <v>4000</v>
      </c>
      <c r="P320" s="46">
        <f t="shared" ca="1" si="13"/>
        <v>6.9444444441550907E-4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input_548010!A$2</f>
        <v>548010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IFERROR(VLOOKUP(B321,input_548010!L:R,7,FALSE),VLOOKUP(tables_548010!C321,input_548010!A:H,8,FALSE))</f>
        <v>4000</v>
      </c>
      <c r="P321" s="46">
        <f t="shared" ca="1" si="13"/>
        <v>6.9444444441550907E-4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input_548010!A$2</f>
        <v>548010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IFERROR(VLOOKUP(B322,input_548010!L:R,7,FALSE),VLOOKUP(tables_548010!C322,input_548010!A:H,8,FALSE))</f>
        <v>4000</v>
      </c>
      <c r="P322" s="46">
        <f t="shared" ref="P322:P346" ca="1" si="23">O322/SUM(O:O)</f>
        <v>6.9444444441550907E-4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input_548010!A$2</f>
        <v>548010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IFERROR(VLOOKUP(B323,input_548010!L:R,7,FALSE),VLOOKUP(tables_548010!C323,input_548010!A:H,8,FALSE))</f>
        <v>4000</v>
      </c>
      <c r="P323" s="46">
        <f t="shared" ca="1" si="23"/>
        <v>6.9444444441550907E-4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input_548010!A$2</f>
        <v>548010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IFERROR(VLOOKUP(B324,input_548010!L:R,7,FALSE),VLOOKUP(tables_548010!C324,input_548010!A:H,8,FALSE))</f>
        <v>49068</v>
      </c>
      <c r="P324" s="46">
        <f t="shared" ca="1" si="23"/>
        <v>8.5187499996450498E-3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input_548010!A$2</f>
        <v>548010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IFERROR(VLOOKUP(B325,input_548010!L:R,7,FALSE),VLOOKUP(tables_548010!C325,input_548010!A:H,8,FALSE))</f>
        <v>5640</v>
      </c>
      <c r="P325" s="46">
        <f t="shared" ca="1" si="23"/>
        <v>9.7916666662586785E-4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input_548010!A$2</f>
        <v>548010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IFERROR(VLOOKUP(B326,input_548010!L:R,7,FALSE),VLOOKUP(tables_548010!C326,input_548010!A:H,8,FALSE))</f>
        <v>49068</v>
      </c>
      <c r="P326" s="46">
        <f t="shared" ca="1" si="23"/>
        <v>8.5187499996450498E-3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input_548010!A$2</f>
        <v>548010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IFERROR(VLOOKUP(B327,input_548010!L:R,7,FALSE),VLOOKUP(tables_548010!C327,input_548010!A:H,8,FALSE))</f>
        <v>5640</v>
      </c>
      <c r="P327" s="46">
        <f t="shared" ca="1" si="23"/>
        <v>9.7916666662586785E-4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input_548010!A$2</f>
        <v>548010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IFERROR(VLOOKUP(B328,input_548010!L:R,7,FALSE),VLOOKUP(tables_548010!C328,input_548010!A:H,8,FALSE))</f>
        <v>4000</v>
      </c>
      <c r="P328" s="46">
        <f t="shared" ca="1" si="23"/>
        <v>6.9444444441550907E-4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input_548010!A$2</f>
        <v>548010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IFERROR(VLOOKUP(B329,input_548010!L:R,7,FALSE),VLOOKUP(tables_548010!C329,input_548010!A:H,8,FALSE))</f>
        <v>4000</v>
      </c>
      <c r="P329" s="46">
        <f t="shared" ca="1" si="23"/>
        <v>6.9444444441550907E-4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input_548010!A$2</f>
        <v>548010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IFERROR(VLOOKUP(B330,input_548010!L:R,7,FALSE),VLOOKUP(tables_548010!C330,input_548010!A:H,8,FALSE))</f>
        <v>4000</v>
      </c>
      <c r="P330" s="46">
        <f t="shared" ca="1" si="23"/>
        <v>6.9444444441550907E-4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input_548010!A$2</f>
        <v>548010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IFERROR(VLOOKUP(B331,input_548010!L:R,7,FALSE),VLOOKUP(tables_548010!C331,input_548010!A:H,8,FALSE))</f>
        <v>4000</v>
      </c>
      <c r="P331" s="46">
        <f t="shared" ca="1" si="23"/>
        <v>6.9444444441550907E-4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input_548010!A$2</f>
        <v>548010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IFERROR(VLOOKUP(B332,input_548010!L:R,7,FALSE),VLOOKUP(tables_548010!C332,input_548010!A:H,8,FALSE))</f>
        <v>4000</v>
      </c>
      <c r="P332" s="46">
        <f t="shared" ca="1" si="23"/>
        <v>6.9444444441550907E-4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input_548010!A$2</f>
        <v>548010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IFERROR(VLOOKUP(B333,input_548010!L:R,7,FALSE),VLOOKUP(tables_548010!C333,input_548010!A:H,8,FALSE))</f>
        <v>4000</v>
      </c>
      <c r="P333" s="46">
        <f t="shared" ca="1" si="23"/>
        <v>6.9444444441550907E-4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input_548010!A$2</f>
        <v>548010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IFERROR(VLOOKUP(B334,input_548010!L:R,7,FALSE),VLOOKUP(tables_548010!C334,input_548010!A:H,8,FALSE))</f>
        <v>49068</v>
      </c>
      <c r="P334" s="46">
        <f t="shared" ca="1" si="23"/>
        <v>8.5187499996450498E-3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input_548010!A$2</f>
        <v>548010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IFERROR(VLOOKUP(B335,input_548010!L:R,7,FALSE),VLOOKUP(tables_548010!C335,input_548010!A:H,8,FALSE))</f>
        <v>5640</v>
      </c>
      <c r="P335" s="46">
        <f t="shared" ca="1" si="23"/>
        <v>9.7916666662586785E-4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input_548010!A$2</f>
        <v>548010</v>
      </c>
      <c r="B336" s="2">
        <v>1224</v>
      </c>
      <c r="C336" s="7" t="str">
        <f t="shared" ref="C336:C340" si="28">D336&amp;J336&amp;E336&amp;F336&amp;G336</f>
        <v>Premium4R3less</v>
      </c>
      <c r="D336" s="9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IFERROR(VLOOKUP(B336,input_548010!L:R,7,FALSE),VLOOKUP(tables_548010!C336,input_548010!A:H,8,FALSE))</f>
        <v>49068</v>
      </c>
      <c r="P336" s="46">
        <f t="shared" ca="1" si="23"/>
        <v>8.5187499996450498E-3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input_548010!A$2</f>
        <v>548010</v>
      </c>
      <c r="B337" s="2">
        <v>1225</v>
      </c>
      <c r="C337" s="7" t="str">
        <f t="shared" si="28"/>
        <v>Premium5R3less</v>
      </c>
      <c r="D337" s="9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IFERROR(VLOOKUP(B337,input_548010!L:R,7,FALSE),VLOOKUP(tables_548010!C337,input_548010!A:H,8,FALSE))</f>
        <v>5640</v>
      </c>
      <c r="P337" s="46">
        <f t="shared" ca="1" si="23"/>
        <v>9.7916666662586785E-4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input_548010!A$2</f>
        <v>548010</v>
      </c>
      <c r="B338" s="2">
        <v>1226</v>
      </c>
      <c r="C338" s="7" t="str">
        <f t="shared" si="28"/>
        <v>PremiumSS5R5only</v>
      </c>
      <c r="D338" s="9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IFERROR(VLOOKUP(B338,input_548010!L:R,7,FALSE),VLOOKUP(tables_548010!C338,input_548010!A:H,8,FALSE))</f>
        <v>4000</v>
      </c>
      <c r="P338" s="46">
        <f t="shared" ca="1" si="23"/>
        <v>6.9444444441550907E-4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input_548010!A$2</f>
        <v>548010</v>
      </c>
      <c r="B339" s="2">
        <v>1228</v>
      </c>
      <c r="C339" s="7" t="str">
        <f t="shared" si="28"/>
        <v>PremiumSS5R5only</v>
      </c>
      <c r="D339" s="9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IFERROR(VLOOKUP(B339,input_548010!L:R,7,FALSE),VLOOKUP(tables_548010!C339,input_548010!A:H,8,FALSE))</f>
        <v>4000</v>
      </c>
      <c r="P339" s="46">
        <f t="shared" ca="1" si="23"/>
        <v>6.9444444441550907E-4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input_548010!A$2</f>
        <v>548010</v>
      </c>
      <c r="B340" s="2">
        <v>1230</v>
      </c>
      <c r="C340" s="7" t="str">
        <f t="shared" si="28"/>
        <v>PremiumSS5R5only</v>
      </c>
      <c r="D340" s="9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IFERROR(VLOOKUP(B340,input_548010!L:R,7,FALSE),VLOOKUP(tables_548010!C340,input_548010!A:H,8,FALSE))</f>
        <v>4000</v>
      </c>
      <c r="P340" s="46">
        <f t="shared" ca="1" si="23"/>
        <v>6.9444444441550907E-4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input_548010!A$2</f>
        <v>548010</v>
      </c>
      <c r="B341" s="98">
        <v>1244</v>
      </c>
      <c r="C341" s="7" t="str">
        <f t="shared" ref="C341:C342" si="30">D341&amp;J341&amp;E341&amp;F341&amp;G341</f>
        <v>PremiumSS5R5only</v>
      </c>
      <c r="D341" s="9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IFERROR(VLOOKUP(B341,input_548010!L:R,7,FALSE),VLOOKUP(tables_548010!C341,input_548010!A:H,8,FALSE))</f>
        <v>4000</v>
      </c>
      <c r="P341" s="46">
        <f t="shared" ca="1" si="23"/>
        <v>6.9444444441550907E-4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input_548010!A$2</f>
        <v>548010</v>
      </c>
      <c r="B342" s="98">
        <v>1246</v>
      </c>
      <c r="C342" s="7" t="str">
        <f t="shared" si="30"/>
        <v>PremiumSS5R5only</v>
      </c>
      <c r="D342" s="9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IFERROR(VLOOKUP(B342,input_548010!L:R,7,FALSE),VLOOKUP(tables_548010!C342,input_548010!A:H,8,FALSE))</f>
        <v>4000</v>
      </c>
      <c r="P342" s="46">
        <f t="shared" ca="1" si="23"/>
        <v>6.9444444441550907E-4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input_548010!A$2</f>
        <v>548010</v>
      </c>
      <c r="B343" s="98">
        <v>1248</v>
      </c>
      <c r="C343" s="7" t="str">
        <f t="shared" ref="C343:C345" si="32">D343&amp;J343&amp;E343&amp;F343&amp;G343</f>
        <v>Premium4R3less</v>
      </c>
      <c r="D343" s="9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IFERROR(VLOOKUP(B343,input_548010!L:R,7,FALSE),VLOOKUP(tables_548010!C343,input_548010!A:H,8,FALSE))</f>
        <v>49068</v>
      </c>
      <c r="P343" s="46">
        <f t="shared" ca="1" si="23"/>
        <v>8.5187499996450498E-3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input_548010!A$2</f>
        <v>548010</v>
      </c>
      <c r="B344" s="98">
        <v>1249</v>
      </c>
      <c r="C344" s="7" t="str">
        <f t="shared" si="32"/>
        <v>Premium5R3less</v>
      </c>
      <c r="D344" s="9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IFERROR(VLOOKUP(B344,input_548010!L:R,7,FALSE),VLOOKUP(tables_548010!C344,input_548010!A:H,8,FALSE))</f>
        <v>5640</v>
      </c>
      <c r="P344" s="46">
        <f t="shared" ca="1" si="23"/>
        <v>9.7916666662586785E-4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input_548010!A$2</f>
        <v>548010</v>
      </c>
      <c r="B345" s="98">
        <v>1250</v>
      </c>
      <c r="C345" s="7" t="str">
        <f t="shared" si="32"/>
        <v>PremiumSS5R5only</v>
      </c>
      <c r="D345" s="9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IFERROR(VLOOKUP(B345,input_548010!L:R,7,FALSE),VLOOKUP(tables_548010!C345,input_548010!A:H,8,FALSE))</f>
        <v>4000</v>
      </c>
      <c r="P345" s="46">
        <f t="shared" ca="1" si="23"/>
        <v>6.9444444441550907E-4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input_548010!A$2</f>
        <v>548010</v>
      </c>
      <c r="B346" s="1">
        <v>1260</v>
      </c>
      <c r="C346" s="7" t="str">
        <f t="shared" ref="C346" si="34">D346&amp;J346&amp;E346&amp;F346&amp;G346</f>
        <v>PremiumSS5R5only</v>
      </c>
      <c r="D346" s="9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IFERROR(VLOOKUP(B346,input_548010!L:R,7,FALSE),VLOOKUP(tables_548010!C346,input_548010!A:H,8,FALSE))</f>
        <v>4000</v>
      </c>
      <c r="P346" s="46">
        <f t="shared" ca="1" si="23"/>
        <v>6.9444444441550907E-4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input_548010!A$2</f>
        <v>548010</v>
      </c>
      <c r="B347" s="1">
        <v>1262</v>
      </c>
      <c r="C347" s="7" t="str">
        <f t="shared" ref="C347:C348" si="36">D347&amp;J347&amp;E347&amp;F347&amp;G347</f>
        <v>PremiumSS5R5only</v>
      </c>
      <c r="D347" s="97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IFERROR(VLOOKUP(B347,input_548010!L:R,7,FALSE),VLOOKUP(tables_548010!C347,input_548010!A:H,8,FALSE))</f>
        <v>4000</v>
      </c>
      <c r="P347" s="46">
        <f t="shared" ref="P347:P348" ca="1" si="38">O347/SUM(O:O)</f>
        <v>6.9444444441550907E-4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input_548010!A$2</f>
        <v>548010</v>
      </c>
      <c r="B348" s="1">
        <v>1264</v>
      </c>
      <c r="C348" s="7" t="str">
        <f t="shared" si="36"/>
        <v>PremiumSS5R5only</v>
      </c>
      <c r="D348" s="9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IFERROR(VLOOKUP(B348,input_548010!L:R,7,FALSE),VLOOKUP(tables_548010!C348,input_548010!A:H,8,FALSE))</f>
        <v>4000</v>
      </c>
      <c r="P348" s="46">
        <f t="shared" ca="1" si="38"/>
        <v>6.9444444441550907E-4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input_548010!A$2</f>
        <v>548010</v>
      </c>
      <c r="B349" s="1">
        <v>1266</v>
      </c>
      <c r="C349" s="7" t="str">
        <f t="shared" ref="C349:C357" si="39">D349&amp;J349&amp;E349&amp;F349&amp;G349</f>
        <v>Premium4R3less</v>
      </c>
      <c r="D349" s="97" t="str">
        <f t="shared" ref="D349:D357" si="40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IFERROR(VLOOKUP(B349,input_548010!L:R,7,FALSE),VLOOKUP(tables_548010!C349,input_548010!A:H,8,FALSE))</f>
        <v>49068</v>
      </c>
      <c r="P349" s="46">
        <f t="shared" ref="P349:P357" ca="1" si="41">O349/SUM(O:O)</f>
        <v>8.5187499996450498E-3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input_548010!A$2</f>
        <v>548010</v>
      </c>
      <c r="B350" s="1">
        <v>1267</v>
      </c>
      <c r="C350" s="7" t="str">
        <f t="shared" si="39"/>
        <v>Premium5R3less</v>
      </c>
      <c r="D350" s="97" t="str">
        <f t="shared" si="40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IFERROR(VLOOKUP(B350,input_548010!L:R,7,FALSE),VLOOKUP(tables_548010!C350,input_548010!A:H,8,FALSE))</f>
        <v>5640</v>
      </c>
      <c r="P350" s="46">
        <f t="shared" ca="1" si="41"/>
        <v>9.7916666662586785E-4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input_548010!A$2</f>
        <v>548010</v>
      </c>
      <c r="B351" s="102">
        <v>1332</v>
      </c>
      <c r="C351" s="7" t="str">
        <f t="shared" si="39"/>
        <v>PremiumSS5R5only</v>
      </c>
      <c r="D351" s="97" t="str">
        <f t="shared" si="40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IFERROR(VLOOKUP(B351,input_548010!L:R,7,FALSE),VLOOKUP(tables_548010!C351,input_548010!A:H,8,FALSE))</f>
        <v>4000</v>
      </c>
      <c r="P351" s="46">
        <f t="shared" ca="1" si="41"/>
        <v>6.9444444441550907E-4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input_548010!A$2</f>
        <v>548010</v>
      </c>
      <c r="B352" s="102">
        <v>1336</v>
      </c>
      <c r="C352" s="7" t="str">
        <f t="shared" si="39"/>
        <v>PremiumSS5R5only</v>
      </c>
      <c r="D352" s="97" t="str">
        <f t="shared" si="40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IFERROR(VLOOKUP(B352,input_548010!L:R,7,FALSE),VLOOKUP(tables_548010!C352,input_548010!A:H,8,FALSE))</f>
        <v>4000</v>
      </c>
      <c r="P352" s="46">
        <f t="shared" ca="1" si="41"/>
        <v>6.9444444441550907E-4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input_548010!A$2</f>
        <v>548010</v>
      </c>
      <c r="B353" s="102">
        <v>1338</v>
      </c>
      <c r="C353" s="7" t="str">
        <f t="shared" si="39"/>
        <v>PremiumSS5R5only</v>
      </c>
      <c r="D353" s="97" t="str">
        <f t="shared" si="40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IFERROR(VLOOKUP(B353,input_548010!L:R,7,FALSE),VLOOKUP(tables_548010!C353,input_548010!A:H,8,FALSE))</f>
        <v>4000</v>
      </c>
      <c r="P353" s="46">
        <f t="shared" ca="1" si="41"/>
        <v>6.9444444441550907E-4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input_548010!A$2</f>
        <v>548010</v>
      </c>
      <c r="B354" s="102">
        <v>1334</v>
      </c>
      <c r="C354" s="7" t="str">
        <f t="shared" si="39"/>
        <v>Premium4R3less</v>
      </c>
      <c r="D354" s="97" t="str">
        <f t="shared" si="40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IFERROR(VLOOKUP(B354,input_548010!L:R,7,FALSE),VLOOKUP(tables_548010!C354,input_548010!A:H,8,FALSE))</f>
        <v>49068</v>
      </c>
      <c r="P354" s="46">
        <f t="shared" ca="1" si="41"/>
        <v>8.5187499996450498E-3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input_548010!A$2</f>
        <v>548010</v>
      </c>
      <c r="B355" s="102">
        <v>1335</v>
      </c>
      <c r="C355" s="7" t="str">
        <f t="shared" si="39"/>
        <v>Premium5R3less</v>
      </c>
      <c r="D355" s="97" t="str">
        <f t="shared" si="40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IFERROR(VLOOKUP(B355,input_548010!L:R,7,FALSE),VLOOKUP(tables_548010!C355,input_548010!A:H,8,FALSE))</f>
        <v>5640</v>
      </c>
      <c r="P355" s="46">
        <f t="shared" ca="1" si="41"/>
        <v>9.7916666662586785E-4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input_548010!A$2</f>
        <v>548010</v>
      </c>
      <c r="B356" s="102">
        <v>1425</v>
      </c>
      <c r="C356" s="7" t="str">
        <f t="shared" si="39"/>
        <v>PremiumSSS5R3less</v>
      </c>
      <c r="D356" s="97" t="str">
        <f t="shared" si="40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ヴォルタ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IFERROR(VLOOKUP(B356,input_548010!L:R,7,FALSE),VLOOKUP(tables_548010!C356,input_548010!A:H,8,FALSE))</f>
        <v>28800</v>
      </c>
      <c r="P356" s="46">
        <f t="shared" ca="1" si="41"/>
        <v>4.999999999791665E-3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input_548010!A$2</f>
        <v>548010</v>
      </c>
      <c r="B357" s="102">
        <v>489</v>
      </c>
      <c r="C357" s="7" t="str">
        <f t="shared" si="39"/>
        <v>PremiumSSS5R3less</v>
      </c>
      <c r="D357" s="97" t="str">
        <f t="shared" si="40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宇宙の拡超 ハップル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technical</v>
      </c>
      <c r="M357" s="7" t="str">
        <f>VLOOKUP(B357,[1]characters!$A:$M,13,FALSE)</f>
        <v>human</v>
      </c>
      <c r="N357" s="7" t="str">
        <f>VLOOKUP(B357,[1]characters!$A:$G,7,FALSE)</f>
        <v>女性</v>
      </c>
      <c r="O357" s="45">
        <f ca="1">IFERROR(VLOOKUP(B357,input_548010!L:R,7,FALSE),VLOOKUP(tables_548010!C357,input_548010!A:H,8,FALSE))</f>
        <v>28800</v>
      </c>
      <c r="P357" s="46">
        <f t="shared" ca="1" si="41"/>
        <v>4.999999999791665E-3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/>
    </row>
    <row r="359" spans="1:22" ht="21" customHeight="1" x14ac:dyDescent="0.15">
      <c r="A359" s="2"/>
    </row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8" sqref="B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VLOOKUP(L3,tables_548100!B:C,2,FALSE)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VLOOKUP(L4,tables_548100!B:C,2,FALSE)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(COUNTIF(tables_548100!C:C,input_548100!A28)+COUNTIF(tables_548100!C:C,input_548100!A29))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VLOOKUP(L5,tables_548100!B:C,2,FALSE)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9.7916666666666655E-3</v>
      </c>
      <c r="F6">
        <f>(COUNTIF(tables_548100!C:C,input_548100!A25)+COUNTIF(tables_548100!C:C,input_548100!A18)+COUNTIF(tables_548100!C:C,input_548100!A20)+COUNTIF(tables_548100!C:C,input_548100!A22))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VLOOKUP(L6,tables_548100!B:C,2,FALSE)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VLOOKUP(L7,tables_548100!B:C,2,FALSE)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VLOOKUP(L8,tables_548100!B:C,2,FALSE)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VLOOKUP(L9,tables_548100!B:C,2,FALSE)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VLOOKUP(L10,tables_548100!B:C,2,FALSE)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VLOOKUP(L11,tables_548100!B:C,2,FALSE)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VLOOKUP(L12,tables_548100!B:C,2,FALSE)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VLOOKUP(L13,tables_548100!B:C,2,FALSE)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VLOOKUP(L14,tables_548100!B:C,2,FALSE)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VLOOKUP(L15,tables_548100!B:C,2,FALSE)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VLOOKUP(L16,tables_548100!B:C,2,FALSE)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COUNTIF(tables_548100!C:C,input_548100!A17)-COUNTIF(Q:Q,A17)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VLOOKUP(L17,tables_548100!B:C,2,FALSE)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0.21862500000000007</v>
      </c>
      <c r="C18" s="85">
        <f t="shared" si="2"/>
        <v>0</v>
      </c>
      <c r="D18" s="74">
        <f t="shared" si="3"/>
        <v>0.21862500000000007</v>
      </c>
      <c r="E18">
        <f>COUNTIF(tables_548100!C:C,input_548100!A18)-COUNTIF(Q:Q,A18)</f>
        <v>20</v>
      </c>
      <c r="F18" s="43">
        <f>IFERROR(B18/E18,0)</f>
        <v>1.0931250000000003E-2</v>
      </c>
      <c r="G18">
        <f t="shared" si="4"/>
        <v>1259280.0000000005</v>
      </c>
      <c r="H18">
        <f t="shared" si="5"/>
        <v>62964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VLOOKUP(L18,tables_548100!B:C,2,FALSE)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COUNTIF(tables_548100!C:C,input_548100!A19)-COUNTIF(Q:Q,A19)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VLOOKUP(L19,tables_548100!B:C,2,FALSE)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0.45824999999999999</v>
      </c>
      <c r="C20" s="85">
        <f t="shared" si="2"/>
        <v>0</v>
      </c>
      <c r="D20" s="74">
        <f t="shared" si="3"/>
        <v>0.45824999999999999</v>
      </c>
      <c r="E20">
        <f>COUNTIF(tables_548100!C:C,input_548100!A20)-COUNTIF(Q:Q,A20)</f>
        <v>52</v>
      </c>
      <c r="F20" s="43">
        <f t="shared" si="8"/>
        <v>8.8124999999999992E-3</v>
      </c>
      <c r="G20">
        <f t="shared" si="4"/>
        <v>2639520</v>
      </c>
      <c r="H20">
        <f t="shared" si="5"/>
        <v>50760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VLOOKUP(L20,tables_548100!B:C,2,FALSE)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2.8125000000000004E-2</v>
      </c>
      <c r="C21" s="85">
        <f t="shared" si="2"/>
        <v>0</v>
      </c>
      <c r="D21" s="74">
        <f t="shared" si="3"/>
        <v>2.8125000000000004E-2</v>
      </c>
      <c r="E21">
        <f>COUNTIF(tables_548100!C:C,input_548100!A21)-COUNTIF(Q:Q,A21)</f>
        <v>52</v>
      </c>
      <c r="F21" s="43">
        <f t="shared" si="8"/>
        <v>5.4086538461538465E-4</v>
      </c>
      <c r="G21">
        <f t="shared" si="4"/>
        <v>162000.00000000003</v>
      </c>
      <c r="H21">
        <f t="shared" si="5"/>
        <v>3115.3846199999998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COUNTIF(tables_548100!C:C,input_548100!A22)-COUNTIF(Q:Q,A22)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COUNTIF(tables_548100!C:C,input_548100!A23)-COUNTIF(Q:Q,A23)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COUNTIF(tables_548100!C:C,input_548100!A24)-COUNTIF(Q:Q,A24)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3.5249999999999997E-2</v>
      </c>
      <c r="C25" s="85">
        <f t="shared" si="2"/>
        <v>0</v>
      </c>
      <c r="D25" s="74">
        <f t="shared" si="3"/>
        <v>3.5249999999999997E-2</v>
      </c>
      <c r="E25">
        <f>COUNTIF(tables_548100!C:C,input_548100!A25)-COUNTIF(Q:Q,A25)</f>
        <v>4</v>
      </c>
      <c r="F25" s="43">
        <f t="shared" si="8"/>
        <v>8.8124999999999992E-3</v>
      </c>
      <c r="G25">
        <f t="shared" si="4"/>
        <v>203039.99999999997</v>
      </c>
      <c r="H25">
        <f t="shared" si="5"/>
        <v>50760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COUNTIF(tables_548100!C:C,input_548100!A26)-COUNTIF(Q:Q,A26)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COUNTIF(tables_548100!C:C,input_548100!A27)-COUNTIF(Q:Q,A27)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COUNTIF(tables_548100!C:C,input_548100!A28)-COUNTIF(Q:Q,A28)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COUNTIF(tables_548100!C:C,input_548100!A29)-COUNTIF(Q:Q,A29)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COUNTIF(tables_548100!C:C,input_548100!A30)-COUNTIF(Q:Q,A30)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COUNTIF(tables_548100!C:C,input_548100!A31)-COUNTIF(Q:Q,A31)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SUMIF(tables_548100!C:C,input_548100!A40,tables_548100!O:O)</f>
        <v>0</v>
      </c>
      <c r="C40" s="54">
        <f t="shared" ref="C40:C46" ca="1" si="9">B40/B$47</f>
        <v>0</v>
      </c>
      <c r="E40">
        <v>3</v>
      </c>
      <c r="F40">
        <f ca="1">SUMIF(tables_548100!J:J,input_548100!E40,tables_548100!O:O)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SUMIF(tables_548100!C:C,input_548100!A41,tables_548100!O:O)</f>
        <v>2639520</v>
      </c>
      <c r="C41" s="54">
        <f t="shared" ca="1" si="9"/>
        <v>0.90595568239880653</v>
      </c>
      <c r="E41">
        <v>4</v>
      </c>
      <c r="F41">
        <f ca="1">SUMIF(tables_548100!J:J,input_548100!E41,tables_548100!O:O)</f>
        <v>5184000</v>
      </c>
      <c r="G41">
        <f ca="1">F41/A36</f>
        <v>0.9</v>
      </c>
    </row>
    <row r="42" spans="1:7" x14ac:dyDescent="0.15">
      <c r="A42" s="33" t="s">
        <v>106</v>
      </c>
      <c r="B42">
        <f ca="1">SUMIF(tables_548100!C:C,input_548100!A42,tables_548100!O:O)</f>
        <v>100800</v>
      </c>
      <c r="C42" s="54">
        <f t="shared" ca="1" si="9"/>
        <v>3.4597325568966969E-2</v>
      </c>
      <c r="E42">
        <v>5</v>
      </c>
      <c r="F42">
        <f ca="1">SUMIF(tables_548100!J:J,input_548100!E42,tables_548100!O:O)</f>
        <v>576000.00023999996</v>
      </c>
      <c r="G42">
        <f ca="1">F42/A36</f>
        <v>0.10000000004166666</v>
      </c>
    </row>
    <row r="43" spans="1:7" x14ac:dyDescent="0.15">
      <c r="A43" s="33" t="s">
        <v>109</v>
      </c>
      <c r="B43">
        <f>SUMIF(tables_548100!C:C,input_548100!A43,tables_548100!O:O)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SUMIF(tables_548100!C:C,input_548100!A44,tables_548100!O:O)</f>
        <v>162000.00023999991</v>
      </c>
      <c r="C44" s="54">
        <f t="shared" ca="1" si="9"/>
        <v>5.560284474678575E-2</v>
      </c>
      <c r="E44" t="s">
        <v>54</v>
      </c>
      <c r="F44" s="55"/>
    </row>
    <row r="45" spans="1:7" x14ac:dyDescent="0.15">
      <c r="A45" s="33" t="s">
        <v>107</v>
      </c>
      <c r="B45">
        <f ca="1">SUMIF(tables_548100!C:C,input_548100!A45,tables_548100!O:O)</f>
        <v>11200</v>
      </c>
      <c r="C45" s="54">
        <f t="shared" ca="1" si="9"/>
        <v>3.8441472854407743E-3</v>
      </c>
      <c r="E45" t="s">
        <v>204</v>
      </c>
      <c r="F45" s="55">
        <f ca="1">SUMIF(tables_548100!I:I,input_548100!E45,tables_548100!P:P)</f>
        <v>0.22449999999064585</v>
      </c>
    </row>
    <row r="46" spans="1:7" x14ac:dyDescent="0.15">
      <c r="A46" s="33" t="s">
        <v>108</v>
      </c>
      <c r="B46">
        <f>SUMIF(tables_548100!C:C,input_548100!A46,tables_548100!O:O)</f>
        <v>0</v>
      </c>
      <c r="C46" s="54">
        <f t="shared" ca="1" si="9"/>
        <v>0</v>
      </c>
      <c r="E46" t="s">
        <v>205</v>
      </c>
      <c r="F46" s="55">
        <f ca="1">SUMIF(tables_548100!I:I,input_548100!E46,tables_548100!P:P)</f>
        <v>0.18838221154423415</v>
      </c>
    </row>
    <row r="47" spans="1:7" x14ac:dyDescent="0.15">
      <c r="A47" s="39" t="s">
        <v>59</v>
      </c>
      <c r="B47">
        <f ca="1">SUM(B40:B46)</f>
        <v>2913520.00024</v>
      </c>
      <c r="C47" s="55">
        <f ca="1">SUM(C40:C46)</f>
        <v>1</v>
      </c>
      <c r="E47" t="s">
        <v>206</v>
      </c>
      <c r="F47" s="55">
        <f ca="1">SUMIF(tables_548100!I:I,input_548100!E47,tables_548100!P:P)</f>
        <v>0.52711778846761914</v>
      </c>
    </row>
    <row r="48" spans="1:7" x14ac:dyDescent="0.15">
      <c r="E48" t="s">
        <v>207</v>
      </c>
      <c r="F48" s="55">
        <f ca="1">SUMIF(tables_548100!I:I,input_548100!E48,tables_548100!P:P)</f>
        <v>4.3749999998177067E-2</v>
      </c>
      <c r="G48" s="55">
        <f ca="1">0.05-F48-F49</f>
        <v>2.08335345502908E-12</v>
      </c>
    </row>
    <row r="49" spans="5:7" x14ac:dyDescent="0.15">
      <c r="E49" t="s">
        <v>250</v>
      </c>
      <c r="F49" s="55">
        <f ca="1">SUMIF(tables_548100!I:I,input_548100!E49,tables_548100!P:P)</f>
        <v>6.2499999997395828E-3</v>
      </c>
      <c r="G49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0" activePane="bottomLeft" state="frozen"/>
      <selection activeCell="B33" sqref="B33"/>
      <selection pane="bottomLeft" activeCell="A357" sqref="A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input_548100!A$2</f>
        <v>548100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IFERROR(VLOOKUP(B2,input_548100!L:R,7,FALSE),VLOOKUP(tables_548100!C2,input_548100!A:H,8,FALSE))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input_548100!A$2</f>
        <v>548100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IFERROR(VLOOKUP(B3,input_548100!L:R,7,FALSE),VLOOKUP(tables_548100!C3,input_548100!A:H,8,FALSE))</f>
        <v>62964</v>
      </c>
      <c r="P3" s="46">
        <f t="shared" ca="1" si="1"/>
        <v>1.0931249999544528E-2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input_548100!A$2</f>
        <v>548100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IFERROR(VLOOKUP(B4,input_548100!L:R,7,FALSE),VLOOKUP(tables_548100!C4,input_548100!A:H,8,FALSE))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input_548100!A$2</f>
        <v>548100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IFERROR(VLOOKUP(B5,input_548100!L:R,7,FALSE),VLOOKUP(tables_548100!C5,input_548100!A:H,8,FALSE))</f>
        <v>62964</v>
      </c>
      <c r="P5" s="46">
        <f t="shared" ca="1" si="1"/>
        <v>1.0931249999544528E-2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input_548100!A$2</f>
        <v>548100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IFERROR(VLOOKUP(B6,input_548100!L:R,7,FALSE),VLOOKUP(tables_548100!C6,input_548100!A:H,8,FALSE))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input_548100!A$2</f>
        <v>548100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IFERROR(VLOOKUP(B7,input_548100!L:R,7,FALSE),VLOOKUP(tables_548100!C7,input_548100!A:H,8,FALSE))</f>
        <v>62964</v>
      </c>
      <c r="P7" s="46">
        <f t="shared" ca="1" si="1"/>
        <v>1.0931249999544528E-2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input_548100!A$2</f>
        <v>548100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IFERROR(VLOOKUP(B8,input_548100!L:R,7,FALSE),VLOOKUP(tables_548100!C8,input_548100!A:H,8,FALSE))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input_548100!A$2</f>
        <v>548100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IFERROR(VLOOKUP(B9,input_548100!L:R,7,FALSE),VLOOKUP(tables_548100!C9,input_548100!A:H,8,FALSE))</f>
        <v>62964</v>
      </c>
      <c r="P9" s="46">
        <f t="shared" ca="1" si="1"/>
        <v>1.0931249999544528E-2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input_548100!A$2</f>
        <v>548100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IFERROR(VLOOKUP(B10,input_548100!L:R,7,FALSE),VLOOKUP(tables_548100!C10,input_548100!A:H,8,FALSE))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input_548100!A$2</f>
        <v>548100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IFERROR(VLOOKUP(B11,input_548100!L:R,7,FALSE),VLOOKUP(tables_548100!C11,input_548100!A:H,8,FALSE))</f>
        <v>62964</v>
      </c>
      <c r="P11" s="46">
        <f t="shared" ca="1" si="1"/>
        <v>1.0931249999544528E-2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input_548100!A$2</f>
        <v>548100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IFERROR(VLOOKUP(B12,input_548100!L:R,7,FALSE),VLOOKUP(tables_548100!C12,input_548100!A:H,8,FALSE))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input_548100!A$2</f>
        <v>548100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IFERROR(VLOOKUP(B13,input_548100!L:R,7,FALSE),VLOOKUP(tables_548100!C13,input_548100!A:H,8,FALSE))</f>
        <v>62964</v>
      </c>
      <c r="P13" s="46">
        <f t="shared" ca="1" si="1"/>
        <v>1.0931249999544528E-2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input_548100!A$2</f>
        <v>548100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IFERROR(VLOOKUP(B14,input_548100!L:R,7,FALSE),VLOOKUP(tables_548100!C14,input_548100!A:H,8,FALSE))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input_548100!A$2</f>
        <v>548100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IFERROR(VLOOKUP(B15,input_548100!L:R,7,FALSE),VLOOKUP(tables_548100!C15,input_548100!A:H,8,FALSE))</f>
        <v>62964</v>
      </c>
      <c r="P15" s="46">
        <f t="shared" ca="1" si="1"/>
        <v>1.0931249999544528E-2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input_548100!A$2</f>
        <v>548100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IFERROR(VLOOKUP(B16,input_548100!L:R,7,FALSE),VLOOKUP(tables_548100!C16,input_548100!A:H,8,FALSE))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input_548100!A$2</f>
        <v>548100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IFERROR(VLOOKUP(B17,input_548100!L:R,7,FALSE),VLOOKUP(tables_548100!C17,input_548100!A:H,8,FALSE))</f>
        <v>62964</v>
      </c>
      <c r="P17" s="46">
        <f t="shared" ca="1" si="1"/>
        <v>1.0931249999544528E-2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input_548100!A$2</f>
        <v>548100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IFERROR(VLOOKUP(B18,input_548100!L:R,7,FALSE),VLOOKUP(tables_548100!C18,input_548100!A:H,8,FALSE))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input_548100!A$2</f>
        <v>548100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IFERROR(VLOOKUP(B19,input_548100!L:R,7,FALSE),VLOOKUP(tables_548100!C19,input_548100!A:H,8,FALSE))</f>
        <v>62964</v>
      </c>
      <c r="P19" s="46">
        <f t="shared" ca="1" si="1"/>
        <v>1.0931249999544528E-2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input_548100!A$2</f>
        <v>548100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IFERROR(VLOOKUP(B20,input_548100!L:R,7,FALSE),VLOOKUP(tables_548100!C20,input_548100!A:H,8,FALSE))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input_548100!A$2</f>
        <v>548100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IFERROR(VLOOKUP(B21,input_548100!L:R,7,FALSE),VLOOKUP(tables_548100!C21,input_548100!A:H,8,FALSE))</f>
        <v>62964</v>
      </c>
      <c r="P21" s="46">
        <f t="shared" ca="1" si="1"/>
        <v>1.0931249999544528E-2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input_548100!A$2</f>
        <v>548100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IFERROR(VLOOKUP(B22,input_548100!L:R,7,FALSE),VLOOKUP(tables_548100!C22,input_548100!A:H,8,FALSE))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input_548100!A$2</f>
        <v>548100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IFERROR(VLOOKUP(B23,input_548100!L:R,7,FALSE),VLOOKUP(tables_548100!C23,input_548100!A:H,8,FALSE))</f>
        <v>62964</v>
      </c>
      <c r="P23" s="46">
        <f t="shared" ca="1" si="1"/>
        <v>1.0931249999544528E-2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input_548100!A$2</f>
        <v>548100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IFERROR(VLOOKUP(B24,input_548100!L:R,7,FALSE),VLOOKUP(tables_548100!C24,input_548100!A:H,8,FALSE))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input_548100!A$2</f>
        <v>548100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IFERROR(VLOOKUP(B25,input_548100!L:R,7,FALSE),VLOOKUP(tables_548100!C25,input_548100!A:H,8,FALSE))</f>
        <v>62964</v>
      </c>
      <c r="P25" s="46">
        <f t="shared" ca="1" si="1"/>
        <v>1.0931249999544528E-2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input_548100!A$2</f>
        <v>548100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IFERROR(VLOOKUP(B26,input_548100!L:R,7,FALSE),VLOOKUP(tables_548100!C26,input_548100!A:H,8,FALSE))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input_548100!A$2</f>
        <v>548100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IFERROR(VLOOKUP(B27,input_548100!L:R,7,FALSE),VLOOKUP(tables_548100!C27,input_548100!A:H,8,FALSE))</f>
        <v>62964</v>
      </c>
      <c r="P27" s="46">
        <f t="shared" ca="1" si="1"/>
        <v>1.0931249999544528E-2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input_548100!A$2</f>
        <v>548100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IFERROR(VLOOKUP(B28,input_548100!L:R,7,FALSE),VLOOKUP(tables_548100!C28,input_548100!A:H,8,FALSE))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input_548100!A$2</f>
        <v>548100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IFERROR(VLOOKUP(B29,input_548100!L:R,7,FALSE),VLOOKUP(tables_548100!C29,input_548100!A:H,8,FALSE))</f>
        <v>62964</v>
      </c>
      <c r="P29" s="46">
        <f t="shared" ca="1" si="1"/>
        <v>1.0931249999544528E-2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input_548100!A$2</f>
        <v>548100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IFERROR(VLOOKUP(B30,input_548100!L:R,7,FALSE),VLOOKUP(tables_548100!C30,input_548100!A:H,8,FALSE))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input_548100!A$2</f>
        <v>548100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IFERROR(VLOOKUP(B31,input_548100!L:R,7,FALSE),VLOOKUP(tables_548100!C31,input_548100!A:H,8,FALSE))</f>
        <v>62964</v>
      </c>
      <c r="P31" s="46">
        <f t="shared" ca="1" si="1"/>
        <v>1.0931249999544528E-2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input_548100!A$2</f>
        <v>548100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IFERROR(VLOOKUP(B32,input_548100!L:R,7,FALSE),VLOOKUP(tables_548100!C32,input_548100!A:H,8,FALSE))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input_548100!A$2</f>
        <v>548100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IFERROR(VLOOKUP(B33,input_548100!L:R,7,FALSE),VLOOKUP(tables_548100!C33,input_548100!A:H,8,FALSE))</f>
        <v>62964</v>
      </c>
      <c r="P33" s="46">
        <f t="shared" ca="1" si="1"/>
        <v>1.0931249999544528E-2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input_548100!A$2</f>
        <v>548100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IFERROR(VLOOKUP(B34,input_548100!L:R,7,FALSE),VLOOKUP(tables_548100!C34,input_548100!A:H,8,FALSE))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input_548100!A$2</f>
        <v>548100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IFERROR(VLOOKUP(B35,input_548100!L:R,7,FALSE),VLOOKUP(tables_548100!C35,input_548100!A:H,8,FALSE))</f>
        <v>62964</v>
      </c>
      <c r="P35" s="46">
        <f t="shared" ca="1" si="1"/>
        <v>1.0931249999544528E-2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input_548100!A$2</f>
        <v>548100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IFERROR(VLOOKUP(B36,input_548100!L:R,7,FALSE),VLOOKUP(tables_548100!C36,input_548100!A:H,8,FALSE))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input_548100!A$2</f>
        <v>548100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IFERROR(VLOOKUP(B37,input_548100!L:R,7,FALSE),VLOOKUP(tables_548100!C37,input_548100!A:H,8,FALSE))</f>
        <v>62964</v>
      </c>
      <c r="P37" s="46">
        <f t="shared" ca="1" si="1"/>
        <v>1.0931249999544528E-2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input_548100!A$2</f>
        <v>548100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IFERROR(VLOOKUP(B38,input_548100!L:R,7,FALSE),VLOOKUP(tables_548100!C38,input_548100!A:H,8,FALSE))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input_548100!A$2</f>
        <v>548100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IFERROR(VLOOKUP(B39,input_548100!L:R,7,FALSE),VLOOKUP(tables_548100!C39,input_548100!A:H,8,FALSE))</f>
        <v>62964</v>
      </c>
      <c r="P39" s="46">
        <f t="shared" ca="1" si="1"/>
        <v>1.0931249999544528E-2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input_548100!A$2</f>
        <v>548100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IFERROR(VLOOKUP(B40,input_548100!L:R,7,FALSE),VLOOKUP(tables_548100!C40,input_548100!A:H,8,FALSE))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input_548100!A$2</f>
        <v>548100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IFERROR(VLOOKUP(B41,input_548100!L:R,7,FALSE),VLOOKUP(tables_548100!C41,input_548100!A:H,8,FALSE))</f>
        <v>62964</v>
      </c>
      <c r="P41" s="46">
        <f t="shared" ca="1" si="1"/>
        <v>1.0931249999544528E-2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input_548100!A$2</f>
        <v>548100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IFERROR(VLOOKUP(B42,input_548100!L:R,7,FALSE),VLOOKUP(tables_548100!C42,input_548100!A:H,8,FALSE))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input_548100!A$2</f>
        <v>548100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IFERROR(VLOOKUP(B43,input_548100!L:R,7,FALSE),VLOOKUP(tables_548100!C43,input_548100!A:H,8,FALSE))</f>
        <v>50760</v>
      </c>
      <c r="P43" s="46">
        <f t="shared" ca="1" si="1"/>
        <v>8.8124999996328102E-3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input_548100!A$2</f>
        <v>548100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IFERROR(VLOOKUP(B44,input_548100!L:R,7,FALSE),VLOOKUP(tables_548100!C44,input_548100!A:H,8,FALSE))</f>
        <v>5640</v>
      </c>
      <c r="P44" s="46">
        <f t="shared" ca="1" si="1"/>
        <v>9.7916666662586785E-4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input_548100!A$2</f>
        <v>548100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IFERROR(VLOOKUP(B45,input_548100!L:R,7,FALSE),VLOOKUP(tables_548100!C45,input_548100!A:H,8,FALSE))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input_548100!A$2</f>
        <v>548100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IFERROR(VLOOKUP(B46,input_548100!L:R,7,FALSE),VLOOKUP(tables_548100!C46,input_548100!A:H,8,FALSE))</f>
        <v>50760</v>
      </c>
      <c r="P46" s="46">
        <f t="shared" ca="1" si="1"/>
        <v>8.8124999996328102E-3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input_548100!A$2</f>
        <v>548100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IFERROR(VLOOKUP(B47,input_548100!L:R,7,FALSE),VLOOKUP(tables_548100!C47,input_548100!A:H,8,FALSE))</f>
        <v>5640</v>
      </c>
      <c r="P47" s="46">
        <f t="shared" ca="1" si="1"/>
        <v>9.7916666662586785E-4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input_548100!A$2</f>
        <v>548100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IFERROR(VLOOKUP(B48,input_548100!L:R,7,FALSE),VLOOKUP(tables_548100!C48,input_548100!A:H,8,FALSE))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input_548100!A$2</f>
        <v>548100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IFERROR(VLOOKUP(B49,input_548100!L:R,7,FALSE),VLOOKUP(tables_548100!C49,input_548100!A:H,8,FALSE))</f>
        <v>50760</v>
      </c>
      <c r="P49" s="46">
        <f t="shared" ca="1" si="1"/>
        <v>8.8124999996328102E-3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input_548100!A$2</f>
        <v>548100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IFERROR(VLOOKUP(B50,input_548100!L:R,7,FALSE),VLOOKUP(tables_548100!C50,input_548100!A:H,8,FALSE))</f>
        <v>5640</v>
      </c>
      <c r="P50" s="46">
        <f t="shared" ca="1" si="1"/>
        <v>9.7916666662586785E-4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input_548100!A$2</f>
        <v>548100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IFERROR(VLOOKUP(B51,input_548100!L:R,7,FALSE),VLOOKUP(tables_548100!C51,input_548100!A:H,8,FALSE))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input_548100!A$2</f>
        <v>548100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IFERROR(VLOOKUP(B52,input_548100!L:R,7,FALSE),VLOOKUP(tables_548100!C52,input_548100!A:H,8,FALSE))</f>
        <v>50760</v>
      </c>
      <c r="P52" s="46">
        <f t="shared" ca="1" si="1"/>
        <v>8.8124999996328102E-3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input_548100!A$2</f>
        <v>548100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IFERROR(VLOOKUP(B53,input_548100!L:R,7,FALSE),VLOOKUP(tables_548100!C53,input_548100!A:H,8,FALSE))</f>
        <v>3115.3846199999998</v>
      </c>
      <c r="P53" s="46">
        <f t="shared" ca="1" si="1"/>
        <v>5.4086538539413042E-4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input_548100!A$2</f>
        <v>548100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IFERROR(VLOOKUP(B54,input_548100!L:R,7,FALSE),VLOOKUP(tables_548100!C54,input_548100!A:H,8,FALSE))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input_548100!A$2</f>
        <v>548100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IFERROR(VLOOKUP(B55,input_548100!L:R,7,FALSE),VLOOKUP(tables_548100!C55,input_548100!A:H,8,FALSE))</f>
        <v>50760</v>
      </c>
      <c r="P55" s="46">
        <f t="shared" ca="1" si="1"/>
        <v>8.8124999996328102E-3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input_548100!A$2</f>
        <v>548100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IFERROR(VLOOKUP(B56,input_548100!L:R,7,FALSE),VLOOKUP(tables_548100!C56,input_548100!A:H,8,FALSE))</f>
        <v>3115.3846199999998</v>
      </c>
      <c r="P56" s="46">
        <f t="shared" ca="1" si="1"/>
        <v>5.4086538539413042E-4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input_548100!A$2</f>
        <v>548100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IFERROR(VLOOKUP(B57,input_548100!L:R,7,FALSE),VLOOKUP(tables_548100!C57,input_548100!A:H,8,FALSE))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input_548100!A$2</f>
        <v>548100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IFERROR(VLOOKUP(B58,input_548100!L:R,7,FALSE),VLOOKUP(tables_548100!C58,input_548100!A:H,8,FALSE))</f>
        <v>50760</v>
      </c>
      <c r="P58" s="46">
        <f t="shared" ca="1" si="1"/>
        <v>8.8124999996328102E-3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input_548100!A$2</f>
        <v>548100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IFERROR(VLOOKUP(B59,input_548100!L:R,7,FALSE),VLOOKUP(tables_548100!C59,input_548100!A:H,8,FALSE))</f>
        <v>3115.3846199999998</v>
      </c>
      <c r="P59" s="46">
        <f t="shared" ca="1" si="1"/>
        <v>5.4086538539413042E-4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input_548100!A$2</f>
        <v>548100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IFERROR(VLOOKUP(B60,input_548100!L:R,7,FALSE),VLOOKUP(tables_548100!C60,input_548100!A:H,8,FALSE))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input_548100!A$2</f>
        <v>548100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IFERROR(VLOOKUP(B61,input_548100!L:R,7,FALSE),VLOOKUP(tables_548100!C61,input_548100!A:H,8,FALSE))</f>
        <v>50760</v>
      </c>
      <c r="P61" s="46">
        <f t="shared" ca="1" si="1"/>
        <v>8.8124999996328102E-3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input_548100!A$2</f>
        <v>548100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IFERROR(VLOOKUP(B62,input_548100!L:R,7,FALSE),VLOOKUP(tables_548100!C62,input_548100!A:H,8,FALSE))</f>
        <v>3115.3846199999998</v>
      </c>
      <c r="P62" s="46">
        <f t="shared" ca="1" si="1"/>
        <v>5.4086538539413042E-4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input_548100!A$2</f>
        <v>548100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IFERROR(VLOOKUP(B63,input_548100!L:R,7,FALSE),VLOOKUP(tables_548100!C63,input_548100!A:H,8,FALSE))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input_548100!A$2</f>
        <v>548100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IFERROR(VLOOKUP(B64,input_548100!L:R,7,FALSE),VLOOKUP(tables_548100!C64,input_548100!A:H,8,FALSE))</f>
        <v>50760</v>
      </c>
      <c r="P64" s="46">
        <f t="shared" ca="1" si="1"/>
        <v>8.8124999996328102E-3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input_548100!A$2</f>
        <v>548100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IFERROR(VLOOKUP(B65,input_548100!L:R,7,FALSE),VLOOKUP(tables_548100!C65,input_548100!A:H,8,FALSE))</f>
        <v>3115.3846199999998</v>
      </c>
      <c r="P65" s="46">
        <f t="shared" ca="1" si="1"/>
        <v>5.4086538539413042E-4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input_548100!A$2</f>
        <v>548100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IFERROR(VLOOKUP(B66,input_548100!L:R,7,FALSE),VLOOKUP(tables_548100!C66,input_548100!A:H,8,FALSE))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input_548100!A$2</f>
        <v>548100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IFERROR(VLOOKUP(B67,input_548100!L:R,7,FALSE),VLOOKUP(tables_548100!C67,input_548100!A:H,8,FALSE))</f>
        <v>50760</v>
      </c>
      <c r="P67" s="46">
        <f t="shared" ca="1" si="4"/>
        <v>8.8124999996328102E-3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input_548100!A$2</f>
        <v>548100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IFERROR(VLOOKUP(B68,input_548100!L:R,7,FALSE),VLOOKUP(tables_548100!C68,input_548100!A:H,8,FALSE))</f>
        <v>3115.3846199999998</v>
      </c>
      <c r="P68" s="46">
        <f t="shared" ca="1" si="4"/>
        <v>5.4086538539413042E-4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input_548100!A$2</f>
        <v>548100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IFERROR(VLOOKUP(B69,input_548100!L:R,7,FALSE),VLOOKUP(tables_548100!C69,input_548100!A:H,8,FALSE))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input_548100!A$2</f>
        <v>548100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IFERROR(VLOOKUP(B70,input_548100!L:R,7,FALSE),VLOOKUP(tables_548100!C70,input_548100!A:H,8,FALSE))</f>
        <v>50760</v>
      </c>
      <c r="P70" s="46">
        <f t="shared" ca="1" si="4"/>
        <v>8.8124999996328102E-3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input_548100!A$2</f>
        <v>548100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IFERROR(VLOOKUP(B71,input_548100!L:R,7,FALSE),VLOOKUP(tables_548100!C71,input_548100!A:H,8,FALSE))</f>
        <v>3115.3846199999998</v>
      </c>
      <c r="P71" s="46">
        <f t="shared" ca="1" si="4"/>
        <v>5.4086538539413042E-4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input_548100!A$2</f>
        <v>548100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IFERROR(VLOOKUP(B72,input_548100!L:R,7,FALSE),VLOOKUP(tables_548100!C72,input_548100!A:H,8,FALSE))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input_548100!A$2</f>
        <v>548100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IFERROR(VLOOKUP(B73,input_548100!L:R,7,FALSE),VLOOKUP(tables_548100!C73,input_548100!A:H,8,FALSE))</f>
        <v>50760</v>
      </c>
      <c r="P73" s="46">
        <f t="shared" ca="1" si="4"/>
        <v>8.8124999996328102E-3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input_548100!A$2</f>
        <v>548100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IFERROR(VLOOKUP(B74,input_548100!L:R,7,FALSE),VLOOKUP(tables_548100!C74,input_548100!A:H,8,FALSE))</f>
        <v>3115.3846199999998</v>
      </c>
      <c r="P74" s="46">
        <f t="shared" ca="1" si="4"/>
        <v>5.4086538539413042E-4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input_548100!A$2</f>
        <v>548100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IFERROR(VLOOKUP(B75,input_548100!L:R,7,FALSE),VLOOKUP(tables_548100!C75,input_548100!A:H,8,FALSE))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input_548100!A$2</f>
        <v>548100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IFERROR(VLOOKUP(B76,input_548100!L:R,7,FALSE),VLOOKUP(tables_548100!C76,input_548100!A:H,8,FALSE))</f>
        <v>50760</v>
      </c>
      <c r="P76" s="46">
        <f t="shared" ca="1" si="4"/>
        <v>8.8124999996328102E-3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input_548100!A$2</f>
        <v>548100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IFERROR(VLOOKUP(B77,input_548100!L:R,7,FALSE),VLOOKUP(tables_548100!C77,input_548100!A:H,8,FALSE))</f>
        <v>3115.3846199999998</v>
      </c>
      <c r="P77" s="46">
        <f t="shared" ca="1" si="4"/>
        <v>5.4086538539413042E-4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input_548100!A$2</f>
        <v>548100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IFERROR(VLOOKUP(B78,input_548100!L:R,7,FALSE),VLOOKUP(tables_548100!C78,input_548100!A:H,8,FALSE))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input_548100!A$2</f>
        <v>548100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IFERROR(VLOOKUP(B79,input_548100!L:R,7,FALSE),VLOOKUP(tables_548100!C79,input_548100!A:H,8,FALSE))</f>
        <v>50760</v>
      </c>
      <c r="P79" s="46">
        <f t="shared" ca="1" si="4"/>
        <v>8.8124999996328102E-3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input_548100!A$2</f>
        <v>548100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IFERROR(VLOOKUP(B80,input_548100!L:R,7,FALSE),VLOOKUP(tables_548100!C80,input_548100!A:H,8,FALSE))</f>
        <v>3115.3846199999998</v>
      </c>
      <c r="P80" s="46">
        <f t="shared" ca="1" si="4"/>
        <v>5.4086538539413042E-4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input_548100!A$2</f>
        <v>548100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IFERROR(VLOOKUP(B81,input_548100!L:R,7,FALSE),VLOOKUP(tables_548100!C81,input_548100!A:H,8,FALSE))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input_548100!A$2</f>
        <v>548100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IFERROR(VLOOKUP(B82,input_548100!L:R,7,FALSE),VLOOKUP(tables_548100!C82,input_548100!A:H,8,FALSE))</f>
        <v>50760</v>
      </c>
      <c r="P82" s="46">
        <f t="shared" ca="1" si="4"/>
        <v>8.8124999996328102E-3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input_548100!A$2</f>
        <v>548100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IFERROR(VLOOKUP(B83,input_548100!L:R,7,FALSE),VLOOKUP(tables_548100!C83,input_548100!A:H,8,FALSE))</f>
        <v>3115.3846199999998</v>
      </c>
      <c r="P83" s="46">
        <f t="shared" ca="1" si="4"/>
        <v>5.4086538539413042E-4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input_548100!A$2</f>
        <v>548100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IFERROR(VLOOKUP(B84,input_548100!L:R,7,FALSE),VLOOKUP(tables_548100!C84,input_548100!A:H,8,FALSE))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input_548100!A$2</f>
        <v>548100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IFERROR(VLOOKUP(B85,input_548100!L:R,7,FALSE),VLOOKUP(tables_548100!C85,input_548100!A:H,8,FALSE))</f>
        <v>50760</v>
      </c>
      <c r="P85" s="46">
        <f t="shared" ca="1" si="4"/>
        <v>8.8124999996328102E-3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input_548100!A$2</f>
        <v>548100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IFERROR(VLOOKUP(B86,input_548100!L:R,7,FALSE),VLOOKUP(tables_548100!C86,input_548100!A:H,8,FALSE))</f>
        <v>3115.3846199999998</v>
      </c>
      <c r="P86" s="46">
        <f t="shared" ca="1" si="4"/>
        <v>5.4086538539413042E-4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input_548100!A$2</f>
        <v>548100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IFERROR(VLOOKUP(B87,input_548100!L:R,7,FALSE),VLOOKUP(tables_548100!C87,input_548100!A:H,8,FALSE))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input_548100!A$2</f>
        <v>548100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IFERROR(VLOOKUP(B88,input_548100!L:R,7,FALSE),VLOOKUP(tables_548100!C88,input_548100!A:H,8,FALSE))</f>
        <v>50760</v>
      </c>
      <c r="P88" s="46">
        <f t="shared" ca="1" si="4"/>
        <v>8.8124999996328102E-3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input_548100!A$2</f>
        <v>548100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IFERROR(VLOOKUP(B89,input_548100!L:R,7,FALSE),VLOOKUP(tables_548100!C89,input_548100!A:H,8,FALSE))</f>
        <v>3115.3846199999998</v>
      </c>
      <c r="P89" s="46">
        <f t="shared" ca="1" si="4"/>
        <v>5.4086538539413042E-4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input_548100!A$2</f>
        <v>548100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IFERROR(VLOOKUP(B90,input_548100!L:R,7,FALSE),VLOOKUP(tables_548100!C90,input_548100!A:H,8,FALSE))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input_548100!A$2</f>
        <v>548100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IFERROR(VLOOKUP(B91,input_548100!L:R,7,FALSE),VLOOKUP(tables_548100!C91,input_548100!A:H,8,FALSE))</f>
        <v>50760</v>
      </c>
      <c r="P91" s="46">
        <f t="shared" ca="1" si="4"/>
        <v>8.8124999996328102E-3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input_548100!A$2</f>
        <v>548100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IFERROR(VLOOKUP(B92,input_548100!L:R,7,FALSE),VLOOKUP(tables_548100!C92,input_548100!A:H,8,FALSE))</f>
        <v>3115.3846199999998</v>
      </c>
      <c r="P92" s="46">
        <f t="shared" ca="1" si="4"/>
        <v>5.4086538539413042E-4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input_548100!A$2</f>
        <v>548100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IFERROR(VLOOKUP(B93,input_548100!L:R,7,FALSE),VLOOKUP(tables_548100!C93,input_548100!A:H,8,FALSE))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input_548100!A$2</f>
        <v>548100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IFERROR(VLOOKUP(B94,input_548100!L:R,7,FALSE),VLOOKUP(tables_548100!C94,input_548100!A:H,8,FALSE))</f>
        <v>50760</v>
      </c>
      <c r="P94" s="46">
        <f t="shared" ca="1" si="4"/>
        <v>8.8124999996328102E-3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input_548100!A$2</f>
        <v>548100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IFERROR(VLOOKUP(B95,input_548100!L:R,7,FALSE),VLOOKUP(tables_548100!C95,input_548100!A:H,8,FALSE))</f>
        <v>3115.3846199999998</v>
      </c>
      <c r="P95" s="46">
        <f t="shared" ca="1" si="4"/>
        <v>5.4086538539413042E-4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input_548100!A$2</f>
        <v>548100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IFERROR(VLOOKUP(B96,input_548100!L:R,7,FALSE),VLOOKUP(tables_548100!C96,input_548100!A:H,8,FALSE))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input_548100!A$2</f>
        <v>548100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IFERROR(VLOOKUP(B97,input_548100!L:R,7,FALSE),VLOOKUP(tables_548100!C97,input_548100!A:H,8,FALSE))</f>
        <v>50760</v>
      </c>
      <c r="P97" s="46">
        <f t="shared" ca="1" si="4"/>
        <v>8.8124999996328102E-3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input_548100!A$2</f>
        <v>548100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IFERROR(VLOOKUP(B98,input_548100!L:R,7,FALSE),VLOOKUP(tables_548100!C98,input_548100!A:H,8,FALSE))</f>
        <v>3115.3846199999998</v>
      </c>
      <c r="P98" s="46">
        <f t="shared" ca="1" si="4"/>
        <v>5.4086538539413042E-4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input_548100!A$2</f>
        <v>548100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IFERROR(VLOOKUP(B99,input_548100!L:R,7,FALSE),VLOOKUP(tables_548100!C99,input_548100!A:H,8,FALSE))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input_548100!A$2</f>
        <v>548100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IFERROR(VLOOKUP(B100,input_548100!L:R,7,FALSE),VLOOKUP(tables_548100!C100,input_548100!A:H,8,FALSE))</f>
        <v>50760</v>
      </c>
      <c r="P100" s="46">
        <f t="shared" ca="1" si="4"/>
        <v>8.8124999996328102E-3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input_548100!A$2</f>
        <v>548100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IFERROR(VLOOKUP(B101,input_548100!L:R,7,FALSE),VLOOKUP(tables_548100!C101,input_548100!A:H,8,FALSE))</f>
        <v>3115.3846199999998</v>
      </c>
      <c r="P101" s="46">
        <f t="shared" ca="1" si="4"/>
        <v>5.4086538539413042E-4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input_548100!A$2</f>
        <v>548100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IFERROR(VLOOKUP(B102,input_548100!L:R,7,FALSE),VLOOKUP(tables_548100!C102,input_548100!A:H,8,FALSE))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input_548100!A$2</f>
        <v>548100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IFERROR(VLOOKUP(B103,input_548100!L:R,7,FALSE),VLOOKUP(tables_548100!C103,input_548100!A:H,8,FALSE))</f>
        <v>50760</v>
      </c>
      <c r="P103" s="46">
        <f t="shared" ca="1" si="4"/>
        <v>8.8124999996328102E-3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input_548100!A$2</f>
        <v>548100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IFERROR(VLOOKUP(B104,input_548100!L:R,7,FALSE),VLOOKUP(tables_548100!C104,input_548100!A:H,8,FALSE))</f>
        <v>3115.3846199999998</v>
      </c>
      <c r="P104" s="46">
        <f t="shared" ca="1" si="4"/>
        <v>5.4086538539413042E-4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input_548100!A$2</f>
        <v>548100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IFERROR(VLOOKUP(B105,input_548100!L:R,7,FALSE),VLOOKUP(tables_548100!C105,input_548100!A:H,8,FALSE))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input_548100!A$2</f>
        <v>548100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IFERROR(VLOOKUP(B106,input_548100!L:R,7,FALSE),VLOOKUP(tables_548100!C106,input_548100!A:H,8,FALSE))</f>
        <v>50760</v>
      </c>
      <c r="P106" s="46">
        <f t="shared" ca="1" si="4"/>
        <v>8.8124999996328102E-3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input_548100!A$2</f>
        <v>548100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IFERROR(VLOOKUP(B107,input_548100!L:R,7,FALSE),VLOOKUP(tables_548100!C107,input_548100!A:H,8,FALSE))</f>
        <v>3115.3846199999998</v>
      </c>
      <c r="P107" s="46">
        <f t="shared" ca="1" si="4"/>
        <v>5.4086538539413042E-4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input_548100!A$2</f>
        <v>548100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IFERROR(VLOOKUP(B108,input_548100!L:R,7,FALSE),VLOOKUP(tables_548100!C108,input_548100!A:H,8,FALSE))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input_548100!A$2</f>
        <v>548100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IFERROR(VLOOKUP(B109,input_548100!L:R,7,FALSE),VLOOKUP(tables_548100!C109,input_548100!A:H,8,FALSE))</f>
        <v>50760</v>
      </c>
      <c r="P109" s="46">
        <f t="shared" ca="1" si="4"/>
        <v>8.8124999996328102E-3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input_548100!A$2</f>
        <v>548100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IFERROR(VLOOKUP(B110,input_548100!L:R,7,FALSE),VLOOKUP(tables_548100!C110,input_548100!A:H,8,FALSE))</f>
        <v>3115.3846199999998</v>
      </c>
      <c r="P110" s="46">
        <f t="shared" ca="1" si="4"/>
        <v>5.4086538539413042E-4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input_548100!A$2</f>
        <v>548100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IFERROR(VLOOKUP(B111,input_548100!L:R,7,FALSE),VLOOKUP(tables_548100!C111,input_548100!A:H,8,FALSE))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input_548100!A$2</f>
        <v>548100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IFERROR(VLOOKUP(B112,input_548100!L:R,7,FALSE),VLOOKUP(tables_548100!C112,input_548100!A:H,8,FALSE))</f>
        <v>50760</v>
      </c>
      <c r="P112" s="46">
        <f t="shared" ca="1" si="4"/>
        <v>8.8124999996328102E-3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input_548100!A$2</f>
        <v>548100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IFERROR(VLOOKUP(B113,input_548100!L:R,7,FALSE),VLOOKUP(tables_548100!C113,input_548100!A:H,8,FALSE))</f>
        <v>5640</v>
      </c>
      <c r="P113" s="46">
        <f t="shared" ca="1" si="4"/>
        <v>9.7916666662586785E-4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input_548100!A$2</f>
        <v>548100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IFERROR(VLOOKUP(B114,input_548100!L:R,7,FALSE),VLOOKUP(tables_548100!C114,input_548100!A:H,8,FALSE))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input_548100!A$2</f>
        <v>548100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IFERROR(VLOOKUP(B115,input_548100!L:R,7,FALSE),VLOOKUP(tables_548100!C115,input_548100!A:H,8,FALSE))</f>
        <v>50760</v>
      </c>
      <c r="P115" s="46">
        <f t="shared" ca="1" si="4"/>
        <v>8.8124999996328102E-3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input_548100!A$2</f>
        <v>548100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IFERROR(VLOOKUP(B116,input_548100!L:R,7,FALSE),VLOOKUP(tables_548100!C116,input_548100!A:H,8,FALSE))</f>
        <v>3115.3846199999998</v>
      </c>
      <c r="P116" s="46">
        <f t="shared" ca="1" si="4"/>
        <v>5.4086538539413042E-4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input_548100!A$2</f>
        <v>548100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IFERROR(VLOOKUP(B117,input_548100!L:R,7,FALSE),VLOOKUP(tables_548100!C117,input_548100!A:H,8,FALSE))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input_548100!A$2</f>
        <v>548100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IFERROR(VLOOKUP(B118,input_548100!L:R,7,FALSE),VLOOKUP(tables_548100!C118,input_548100!A:H,8,FALSE))</f>
        <v>50760</v>
      </c>
      <c r="P118" s="46">
        <f t="shared" ca="1" si="4"/>
        <v>8.8124999996328102E-3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input_548100!A$2</f>
        <v>548100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IFERROR(VLOOKUP(B119,input_548100!L:R,7,FALSE),VLOOKUP(tables_548100!C119,input_548100!A:H,8,FALSE))</f>
        <v>3115.3846199999998</v>
      </c>
      <c r="P119" s="46">
        <f t="shared" ca="1" si="4"/>
        <v>5.4086538539413042E-4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input_548100!A$2</f>
        <v>548100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IFERROR(VLOOKUP(B120,input_548100!L:R,7,FALSE),VLOOKUP(tables_548100!C120,input_548100!A:H,8,FALSE))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input_548100!A$2</f>
        <v>548100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IFERROR(VLOOKUP(B121,input_548100!L:R,7,FALSE),VLOOKUP(tables_548100!C121,input_548100!A:H,8,FALSE))</f>
        <v>50760</v>
      </c>
      <c r="P121" s="46">
        <f t="shared" ca="1" si="4"/>
        <v>8.8124999996328102E-3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input_548100!A$2</f>
        <v>548100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IFERROR(VLOOKUP(B122,input_548100!L:R,7,FALSE),VLOOKUP(tables_548100!C122,input_548100!A:H,8,FALSE))</f>
        <v>3115.3846199999998</v>
      </c>
      <c r="P122" s="46">
        <f t="shared" ca="1" si="4"/>
        <v>5.4086538539413042E-4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input_548100!A$2</f>
        <v>548100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IFERROR(VLOOKUP(B123,input_548100!L:R,7,FALSE),VLOOKUP(tables_548100!C123,input_548100!A:H,8,FALSE))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input_548100!A$2</f>
        <v>548100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IFERROR(VLOOKUP(B124,input_548100!L:R,7,FALSE),VLOOKUP(tables_548100!C124,input_548100!A:H,8,FALSE))</f>
        <v>50760</v>
      </c>
      <c r="P124" s="46">
        <f t="shared" ca="1" si="4"/>
        <v>8.8124999996328102E-3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input_548100!A$2</f>
        <v>548100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IFERROR(VLOOKUP(B125,input_548100!L:R,7,FALSE),VLOOKUP(tables_548100!C125,input_548100!A:H,8,FALSE))</f>
        <v>3115.3846199999998</v>
      </c>
      <c r="P125" s="46">
        <f t="shared" ca="1" si="4"/>
        <v>5.4086538539413042E-4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input_548100!A$2</f>
        <v>548100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IFERROR(VLOOKUP(B126,input_548100!L:R,7,FALSE),VLOOKUP(tables_548100!C126,input_548100!A:H,8,FALSE))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input_548100!A$2</f>
        <v>548100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IFERROR(VLOOKUP(B127,input_548100!L:R,7,FALSE),VLOOKUP(tables_548100!C127,input_548100!A:H,8,FALSE))</f>
        <v>50760</v>
      </c>
      <c r="P127" s="46">
        <f t="shared" ca="1" si="4"/>
        <v>8.8124999996328102E-3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input_548100!A$2</f>
        <v>548100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IFERROR(VLOOKUP(B128,input_548100!L:R,7,FALSE),VLOOKUP(tables_548100!C128,input_548100!A:H,8,FALSE))</f>
        <v>3115.3846199999998</v>
      </c>
      <c r="P128" s="46">
        <f t="shared" ca="1" si="4"/>
        <v>5.4086538539413042E-4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input_548100!A$2</f>
        <v>548100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IFERROR(VLOOKUP(B129,input_548100!L:R,7,FALSE),VLOOKUP(tables_548100!C129,input_548100!A:H,8,FALSE))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input_548100!A$2</f>
        <v>548100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IFERROR(VLOOKUP(B130,input_548100!L:R,7,FALSE),VLOOKUP(tables_548100!C130,input_548100!A:H,8,FALSE))</f>
        <v>50760</v>
      </c>
      <c r="P130" s="46">
        <f t="shared" ref="P130:P193" ca="1" si="7">O130/SUM(O:O)</f>
        <v>8.8124999996328102E-3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input_548100!A$2</f>
        <v>548100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IFERROR(VLOOKUP(B131,input_548100!L:R,7,FALSE),VLOOKUP(tables_548100!C131,input_548100!A:H,8,FALSE))</f>
        <v>3115.3846199999998</v>
      </c>
      <c r="P131" s="46">
        <f t="shared" ca="1" si="7"/>
        <v>5.4086538539413042E-4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input_548100!A$2</f>
        <v>548100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IFERROR(VLOOKUP(B132,input_548100!L:R,7,FALSE),VLOOKUP(tables_548100!C132,input_548100!A:H,8,FALSE))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input_548100!A$2</f>
        <v>548100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IFERROR(VLOOKUP(B133,input_548100!L:R,7,FALSE),VLOOKUP(tables_548100!C133,input_548100!A:H,8,FALSE))</f>
        <v>50760</v>
      </c>
      <c r="P133" s="46">
        <f t="shared" ca="1" si="7"/>
        <v>8.8124999996328102E-3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input_548100!A$2</f>
        <v>548100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IFERROR(VLOOKUP(B134,input_548100!L:R,7,FALSE),VLOOKUP(tables_548100!C134,input_548100!A:H,8,FALSE))</f>
        <v>3115.3846199999998</v>
      </c>
      <c r="P134" s="46">
        <f t="shared" ca="1" si="7"/>
        <v>5.4086538539413042E-4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input_548100!A$2</f>
        <v>548100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IFERROR(VLOOKUP(B135,input_548100!L:R,7,FALSE),VLOOKUP(tables_548100!C135,input_548100!A:H,8,FALSE))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input_548100!A$2</f>
        <v>548100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IFERROR(VLOOKUP(B136,input_548100!L:R,7,FALSE),VLOOKUP(tables_548100!C136,input_548100!A:H,8,FALSE))</f>
        <v>50760</v>
      </c>
      <c r="P136" s="46">
        <f t="shared" ca="1" si="7"/>
        <v>8.8124999996328102E-3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input_548100!A$2</f>
        <v>548100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IFERROR(VLOOKUP(B137,input_548100!L:R,7,FALSE),VLOOKUP(tables_548100!C137,input_548100!A:H,8,FALSE))</f>
        <v>3115.3846199999998</v>
      </c>
      <c r="P137" s="46">
        <f t="shared" ca="1" si="7"/>
        <v>5.4086538539413042E-4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input_548100!A$2</f>
        <v>548100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IFERROR(VLOOKUP(B138,input_548100!L:R,7,FALSE),VLOOKUP(tables_548100!C138,input_548100!A:H,8,FALSE))</f>
        <v>3600</v>
      </c>
      <c r="P138" s="46">
        <f t="shared" ca="1" si="7"/>
        <v>6.2499999997395813E-4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input_548100!A$2</f>
        <v>548100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IFERROR(VLOOKUP(B139,input_548100!L:R,7,FALSE),VLOOKUP(tables_548100!C139,input_548100!A:H,8,FALSE))</f>
        <v>400</v>
      </c>
      <c r="P139" s="46">
        <f t="shared" ca="1" si="7"/>
        <v>6.9444444441550899E-5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input_548100!A$2</f>
        <v>548100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IFERROR(VLOOKUP(B140,input_548100!L:R,7,FALSE),VLOOKUP(tables_548100!C140,input_548100!A:H,8,FALSE))</f>
        <v>3600</v>
      </c>
      <c r="P140" s="46">
        <f t="shared" ca="1" si="7"/>
        <v>6.2499999997395813E-4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input_548100!A$2</f>
        <v>548100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IFERROR(VLOOKUP(B141,input_548100!L:R,7,FALSE),VLOOKUP(tables_548100!C141,input_548100!A:H,8,FALSE))</f>
        <v>400</v>
      </c>
      <c r="P141" s="46">
        <f t="shared" ca="1" si="7"/>
        <v>6.9444444441550899E-5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input_548100!A$2</f>
        <v>548100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IFERROR(VLOOKUP(B142,input_548100!L:R,7,FALSE),VLOOKUP(tables_548100!C142,input_548100!A:H,8,FALSE))</f>
        <v>3600</v>
      </c>
      <c r="P142" s="46">
        <f t="shared" ca="1" si="7"/>
        <v>6.2499999997395813E-4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input_548100!A$2</f>
        <v>548100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IFERROR(VLOOKUP(B143,input_548100!L:R,7,FALSE),VLOOKUP(tables_548100!C143,input_548100!A:H,8,FALSE))</f>
        <v>400</v>
      </c>
      <c r="P143" s="46">
        <f t="shared" ca="1" si="7"/>
        <v>6.9444444441550899E-5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input_548100!A$2</f>
        <v>548100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IFERROR(VLOOKUP(B144,input_548100!L:R,7,FALSE),VLOOKUP(tables_548100!C144,input_548100!A:H,8,FALSE))</f>
        <v>3600</v>
      </c>
      <c r="P144" s="46">
        <f t="shared" ca="1" si="7"/>
        <v>6.2499999997395813E-4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input_548100!A$2</f>
        <v>548100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IFERROR(VLOOKUP(B145,input_548100!L:R,7,FALSE),VLOOKUP(tables_548100!C145,input_548100!A:H,8,FALSE))</f>
        <v>400</v>
      </c>
      <c r="P145" s="46">
        <f t="shared" ca="1" si="7"/>
        <v>6.9444444441550899E-5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input_548100!A$2</f>
        <v>548100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IFERROR(VLOOKUP(B146,input_548100!L:R,7,FALSE),VLOOKUP(tables_548100!C146,input_548100!A:H,8,FALSE))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input_548100!A$2</f>
        <v>548100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IFERROR(VLOOKUP(B147,input_548100!L:R,7,FALSE),VLOOKUP(tables_548100!C147,input_548100!A:H,8,FALSE))</f>
        <v>50760</v>
      </c>
      <c r="P147" s="46">
        <f t="shared" ca="1" si="7"/>
        <v>8.8124999996328102E-3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input_548100!A$2</f>
        <v>548100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IFERROR(VLOOKUP(B148,input_548100!L:R,7,FALSE),VLOOKUP(tables_548100!C148,input_548100!A:H,8,FALSE))</f>
        <v>3115.3846199999998</v>
      </c>
      <c r="P148" s="46">
        <f t="shared" ca="1" si="7"/>
        <v>5.4086538539413042E-4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input_548100!A$2</f>
        <v>548100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IFERROR(VLOOKUP(B149,input_548100!L:R,7,FALSE),VLOOKUP(tables_548100!C149,input_548100!A:H,8,FALSE))</f>
        <v>3600</v>
      </c>
      <c r="P149" s="46">
        <f t="shared" ca="1" si="7"/>
        <v>6.2499999997395813E-4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input_548100!A$2</f>
        <v>548100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IFERROR(VLOOKUP(B150,input_548100!L:R,7,FALSE),VLOOKUP(tables_548100!C150,input_548100!A:H,8,FALSE))</f>
        <v>400</v>
      </c>
      <c r="P150" s="46">
        <f t="shared" ca="1" si="7"/>
        <v>6.9444444441550899E-5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input_548100!A$2</f>
        <v>548100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IFERROR(VLOOKUP(B151,input_548100!L:R,7,FALSE),VLOOKUP(tables_548100!C151,input_548100!A:H,8,FALSE))</f>
        <v>3600</v>
      </c>
      <c r="P151" s="46">
        <f t="shared" ca="1" si="7"/>
        <v>6.2499999997395813E-4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input_548100!A$2</f>
        <v>548100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IFERROR(VLOOKUP(B152,input_548100!L:R,7,FALSE),VLOOKUP(tables_548100!C152,input_548100!A:H,8,FALSE))</f>
        <v>400</v>
      </c>
      <c r="P152" s="46">
        <f t="shared" ca="1" si="7"/>
        <v>6.9444444441550899E-5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input_548100!A$2</f>
        <v>548100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IFERROR(VLOOKUP(B153,input_548100!L:R,7,FALSE),VLOOKUP(tables_548100!C153,input_548100!A:H,8,FALSE))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input_548100!A$2</f>
        <v>548100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IFERROR(VLOOKUP(B154,input_548100!L:R,7,FALSE),VLOOKUP(tables_548100!C154,input_548100!A:H,8,FALSE))</f>
        <v>50760</v>
      </c>
      <c r="P154" s="46">
        <f t="shared" ca="1" si="7"/>
        <v>8.8124999996328102E-3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input_548100!A$2</f>
        <v>548100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IFERROR(VLOOKUP(B155,input_548100!L:R,7,FALSE),VLOOKUP(tables_548100!C155,input_548100!A:H,8,FALSE))</f>
        <v>3115.3846199999998</v>
      </c>
      <c r="P155" s="46">
        <f t="shared" ca="1" si="7"/>
        <v>5.4086538539413042E-4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input_548100!A$2</f>
        <v>548100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IFERROR(VLOOKUP(B156,input_548100!L:R,7,FALSE),VLOOKUP(tables_548100!C156,input_548100!A:H,8,FALSE))</f>
        <v>3600</v>
      </c>
      <c r="P156" s="46">
        <f t="shared" ca="1" si="7"/>
        <v>6.2499999997395813E-4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input_548100!A$2</f>
        <v>548100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IFERROR(VLOOKUP(B157,input_548100!L:R,7,FALSE),VLOOKUP(tables_548100!C157,input_548100!A:H,8,FALSE))</f>
        <v>400</v>
      </c>
      <c r="P157" s="46">
        <f t="shared" ca="1" si="7"/>
        <v>6.9444444441550899E-5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input_548100!A$2</f>
        <v>548100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IFERROR(VLOOKUP(B158,input_548100!L:R,7,FALSE),VLOOKUP(tables_548100!C158,input_548100!A:H,8,FALSE))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input_548100!A$2</f>
        <v>548100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IFERROR(VLOOKUP(B159,input_548100!L:R,7,FALSE),VLOOKUP(tables_548100!C159,input_548100!A:H,8,FALSE))</f>
        <v>50760</v>
      </c>
      <c r="P159" s="46">
        <f t="shared" ca="1" si="7"/>
        <v>8.8124999996328102E-3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input_548100!A$2</f>
        <v>548100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IFERROR(VLOOKUP(B160,input_548100!L:R,7,FALSE),VLOOKUP(tables_548100!C160,input_548100!A:H,8,FALSE))</f>
        <v>3115.3846199999998</v>
      </c>
      <c r="P160" s="46">
        <f t="shared" ca="1" si="7"/>
        <v>5.4086538539413042E-4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input_548100!A$2</f>
        <v>548100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IFERROR(VLOOKUP(B161,input_548100!L:R,7,FALSE),VLOOKUP(tables_548100!C161,input_548100!A:H,8,FALSE))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input_548100!A$2</f>
        <v>548100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IFERROR(VLOOKUP(B162,input_548100!L:R,7,FALSE),VLOOKUP(tables_548100!C162,input_548100!A:H,8,FALSE))</f>
        <v>50760</v>
      </c>
      <c r="P162" s="46">
        <f t="shared" ca="1" si="7"/>
        <v>8.8124999996328102E-3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input_548100!A$2</f>
        <v>548100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IFERROR(VLOOKUP(B163,input_548100!L:R,7,FALSE),VLOOKUP(tables_548100!C163,input_548100!A:H,8,FALSE))</f>
        <v>3115.3846199999998</v>
      </c>
      <c r="P163" s="46">
        <f t="shared" ca="1" si="7"/>
        <v>5.4086538539413042E-4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input_548100!A$2</f>
        <v>548100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IFERROR(VLOOKUP(B164,input_548100!L:R,7,FALSE),VLOOKUP(tables_548100!C164,input_548100!A:H,8,FALSE))</f>
        <v>3600</v>
      </c>
      <c r="P164" s="46">
        <f t="shared" ca="1" si="7"/>
        <v>6.2499999997395813E-4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input_548100!A$2</f>
        <v>548100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IFERROR(VLOOKUP(B165,input_548100!L:R,7,FALSE),VLOOKUP(tables_548100!C165,input_548100!A:H,8,FALSE))</f>
        <v>400</v>
      </c>
      <c r="P165" s="46">
        <f t="shared" ca="1" si="7"/>
        <v>6.9444444441550899E-5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input_548100!A$2</f>
        <v>548100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IFERROR(VLOOKUP(B166,input_548100!L:R,7,FALSE),VLOOKUP(tables_548100!C166,input_548100!A:H,8,FALSE))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input_548100!A$2</f>
        <v>548100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IFERROR(VLOOKUP(B167,input_548100!L:R,7,FALSE),VLOOKUP(tables_548100!C167,input_548100!A:H,8,FALSE))</f>
        <v>50760</v>
      </c>
      <c r="P167" s="46">
        <f t="shared" ca="1" si="7"/>
        <v>8.8124999996328102E-3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input_548100!A$2</f>
        <v>548100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IFERROR(VLOOKUP(B168,input_548100!L:R,7,FALSE),VLOOKUP(tables_548100!C168,input_548100!A:H,8,FALSE))</f>
        <v>3115.3846199999998</v>
      </c>
      <c r="P168" s="46">
        <f t="shared" ca="1" si="7"/>
        <v>5.4086538539413042E-4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input_548100!A$2</f>
        <v>548100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IFERROR(VLOOKUP(B169,input_548100!L:R,7,FALSE),VLOOKUP(tables_548100!C169,input_548100!A:H,8,FALSE))</f>
        <v>3600</v>
      </c>
      <c r="P169" s="46">
        <f t="shared" ca="1" si="7"/>
        <v>6.2499999997395813E-4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input_548100!A$2</f>
        <v>548100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IFERROR(VLOOKUP(B170,input_548100!L:R,7,FALSE),VLOOKUP(tables_548100!C170,input_548100!A:H,8,FALSE))</f>
        <v>400</v>
      </c>
      <c r="P170" s="46">
        <f t="shared" ca="1" si="7"/>
        <v>6.9444444441550899E-5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input_548100!A$2</f>
        <v>548100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IFERROR(VLOOKUP(B171,input_548100!L:R,7,FALSE),VLOOKUP(tables_548100!C171,input_548100!A:H,8,FALSE))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input_548100!A$2</f>
        <v>548100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IFERROR(VLOOKUP(B172,input_548100!L:R,7,FALSE),VLOOKUP(tables_548100!C172,input_548100!A:H,8,FALSE))</f>
        <v>50760</v>
      </c>
      <c r="P172" s="46">
        <f t="shared" ca="1" si="7"/>
        <v>8.8124999996328102E-3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input_548100!A$2</f>
        <v>548100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IFERROR(VLOOKUP(B173,input_548100!L:R,7,FALSE),VLOOKUP(tables_548100!C173,input_548100!A:H,8,FALSE))</f>
        <v>3115.3846199999998</v>
      </c>
      <c r="P173" s="46">
        <f t="shared" ca="1" si="7"/>
        <v>5.4086538539413042E-4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input_548100!A$2</f>
        <v>548100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IFERROR(VLOOKUP(B174,input_548100!L:R,7,FALSE),VLOOKUP(tables_548100!C174,input_548100!A:H,8,FALSE))</f>
        <v>3600</v>
      </c>
      <c r="P174" s="46">
        <f t="shared" ca="1" si="7"/>
        <v>6.2499999997395813E-4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input_548100!A$2</f>
        <v>548100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IFERROR(VLOOKUP(B175,input_548100!L:R,7,FALSE),VLOOKUP(tables_548100!C175,input_548100!A:H,8,FALSE))</f>
        <v>400</v>
      </c>
      <c r="P175" s="46">
        <f t="shared" ca="1" si="7"/>
        <v>6.9444444441550899E-5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input_548100!A$2</f>
        <v>548100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IFERROR(VLOOKUP(B176,input_548100!L:R,7,FALSE),VLOOKUP(tables_548100!C176,input_548100!A:H,8,FALSE))</f>
        <v>3600</v>
      </c>
      <c r="P176" s="46">
        <f t="shared" ca="1" si="7"/>
        <v>6.2499999997395813E-4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input_548100!A$2</f>
        <v>548100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IFERROR(VLOOKUP(B177,input_548100!L:R,7,FALSE),VLOOKUP(tables_548100!C177,input_548100!A:H,8,FALSE))</f>
        <v>400</v>
      </c>
      <c r="P177" s="46">
        <f t="shared" ca="1" si="7"/>
        <v>6.9444444441550899E-5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input_548100!A$2</f>
        <v>548100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IFERROR(VLOOKUP(B178,input_548100!L:R,7,FALSE),VLOOKUP(tables_548100!C178,input_548100!A:H,8,FALSE))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input_548100!A$2</f>
        <v>548100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IFERROR(VLOOKUP(B179,input_548100!L:R,7,FALSE),VLOOKUP(tables_548100!C179,input_548100!A:H,8,FALSE))</f>
        <v>50760</v>
      </c>
      <c r="P179" s="46">
        <f t="shared" ca="1" si="7"/>
        <v>8.8124999996328102E-3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input_548100!A$2</f>
        <v>548100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IFERROR(VLOOKUP(B180,input_548100!L:R,7,FALSE),VLOOKUP(tables_548100!C180,input_548100!A:H,8,FALSE))</f>
        <v>3115.3846199999998</v>
      </c>
      <c r="P180" s="46">
        <f t="shared" ca="1" si="7"/>
        <v>5.4086538539413042E-4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input_548100!A$2</f>
        <v>548100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IFERROR(VLOOKUP(B181,input_548100!L:R,7,FALSE),VLOOKUP(tables_548100!C181,input_548100!A:H,8,FALSE))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input_548100!A$2</f>
        <v>548100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IFERROR(VLOOKUP(B182,input_548100!L:R,7,FALSE),VLOOKUP(tables_548100!C182,input_548100!A:H,8,FALSE))</f>
        <v>50760</v>
      </c>
      <c r="P182" s="46">
        <f t="shared" ca="1" si="7"/>
        <v>8.8124999996328102E-3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input_548100!A$2</f>
        <v>548100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IFERROR(VLOOKUP(B183,input_548100!L:R,7,FALSE),VLOOKUP(tables_548100!C183,input_548100!A:H,8,FALSE))</f>
        <v>3115.3846199999998</v>
      </c>
      <c r="P183" s="46">
        <f t="shared" ca="1" si="7"/>
        <v>5.4086538539413042E-4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input_548100!A$2</f>
        <v>548100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IFERROR(VLOOKUP(B184,input_548100!L:R,7,FALSE),VLOOKUP(tables_548100!C184,input_548100!A:H,8,FALSE))</f>
        <v>3600</v>
      </c>
      <c r="P184" s="46">
        <f t="shared" ca="1" si="7"/>
        <v>6.2499999997395813E-4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input_548100!A$2</f>
        <v>548100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IFERROR(VLOOKUP(B185,input_548100!L:R,7,FALSE),VLOOKUP(tables_548100!C185,input_548100!A:H,8,FALSE))</f>
        <v>400</v>
      </c>
      <c r="P185" s="46">
        <f t="shared" ca="1" si="7"/>
        <v>6.9444444441550899E-5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input_548100!A$2</f>
        <v>548100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IFERROR(VLOOKUP(B186,input_548100!L:R,7,FALSE),VLOOKUP(tables_548100!C186,input_548100!A:H,8,FALSE))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input_548100!A$2</f>
        <v>548100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IFERROR(VLOOKUP(B187,input_548100!L:R,7,FALSE),VLOOKUP(tables_548100!C187,input_548100!A:H,8,FALSE))</f>
        <v>50760</v>
      </c>
      <c r="P187" s="46">
        <f t="shared" ca="1" si="7"/>
        <v>8.8124999996328102E-3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input_548100!A$2</f>
        <v>548100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IFERROR(VLOOKUP(B188,input_548100!L:R,7,FALSE),VLOOKUP(tables_548100!C188,input_548100!A:H,8,FALSE))</f>
        <v>3115.3846199999998</v>
      </c>
      <c r="P188" s="46">
        <f t="shared" ca="1" si="7"/>
        <v>5.4086538539413042E-4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input_548100!A$2</f>
        <v>548100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IFERROR(VLOOKUP(B189,input_548100!L:R,7,FALSE),VLOOKUP(tables_548100!C189,input_548100!A:H,8,FALSE))</f>
        <v>3600</v>
      </c>
      <c r="P189" s="46">
        <f t="shared" ca="1" si="7"/>
        <v>6.2499999997395813E-4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input_548100!A$2</f>
        <v>548100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IFERROR(VLOOKUP(B190,input_548100!L:R,7,FALSE),VLOOKUP(tables_548100!C190,input_548100!A:H,8,FALSE))</f>
        <v>400</v>
      </c>
      <c r="P190" s="46">
        <f t="shared" ca="1" si="7"/>
        <v>6.9444444441550899E-5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input_548100!A$2</f>
        <v>548100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IFERROR(VLOOKUP(B191,input_548100!L:R,7,FALSE),VLOOKUP(tables_548100!C191,input_548100!A:H,8,FALSE))</f>
        <v>3600</v>
      </c>
      <c r="P191" s="46">
        <f t="shared" ca="1" si="7"/>
        <v>6.2499999997395813E-4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input_548100!A$2</f>
        <v>548100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IFERROR(VLOOKUP(B192,input_548100!L:R,7,FALSE),VLOOKUP(tables_548100!C192,input_548100!A:H,8,FALSE))</f>
        <v>400</v>
      </c>
      <c r="P192" s="46">
        <f t="shared" ca="1" si="7"/>
        <v>6.9444444441550899E-5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input_548100!A$2</f>
        <v>548100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IFERROR(VLOOKUP(B193,input_548100!L:R,7,FALSE),VLOOKUP(tables_548100!C193,input_548100!A:H,8,FALSE))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input_548100!A$2</f>
        <v>548100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IFERROR(VLOOKUP(B194,input_548100!L:R,7,FALSE),VLOOKUP(tables_548100!C194,input_548100!A:H,8,FALSE))</f>
        <v>50760</v>
      </c>
      <c r="P194" s="46">
        <f t="shared" ref="P194:P257" ca="1" si="10">O194/SUM(O:O)</f>
        <v>8.8124999996328102E-3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input_548100!A$2</f>
        <v>548100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IFERROR(VLOOKUP(B195,input_548100!L:R,7,FALSE),VLOOKUP(tables_548100!C195,input_548100!A:H,8,FALSE))</f>
        <v>3115.3846199999998</v>
      </c>
      <c r="P195" s="46">
        <f t="shared" ca="1" si="10"/>
        <v>5.4086538539413042E-4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input_548100!A$2</f>
        <v>548100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IFERROR(VLOOKUP(B196,input_548100!L:R,7,FALSE),VLOOKUP(tables_548100!C196,input_548100!A:H,8,FALSE))</f>
        <v>3600</v>
      </c>
      <c r="P196" s="46">
        <f t="shared" ca="1" si="10"/>
        <v>6.2499999997395813E-4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input_548100!A$2</f>
        <v>548100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IFERROR(VLOOKUP(B197,input_548100!L:R,7,FALSE),VLOOKUP(tables_548100!C197,input_548100!A:H,8,FALSE))</f>
        <v>400</v>
      </c>
      <c r="P197" s="46">
        <f t="shared" ca="1" si="10"/>
        <v>6.9444444441550899E-5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input_548100!A$2</f>
        <v>548100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IFERROR(VLOOKUP(B198,input_548100!L:R,7,FALSE),VLOOKUP(tables_548100!C198,input_548100!A:H,8,FALSE))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input_548100!A$2</f>
        <v>548100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IFERROR(VLOOKUP(B199,input_548100!L:R,7,FALSE),VLOOKUP(tables_548100!C199,input_548100!A:H,8,FALSE))</f>
        <v>50760</v>
      </c>
      <c r="P199" s="46">
        <f t="shared" ca="1" si="10"/>
        <v>8.8124999996328102E-3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input_548100!A$2</f>
        <v>548100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IFERROR(VLOOKUP(B200,input_548100!L:R,7,FALSE),VLOOKUP(tables_548100!C200,input_548100!A:H,8,FALSE))</f>
        <v>3115.3846199999998</v>
      </c>
      <c r="P200" s="46">
        <f t="shared" ca="1" si="10"/>
        <v>5.4086538539413042E-4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input_548100!A$2</f>
        <v>548100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IFERROR(VLOOKUP(B201,input_548100!L:R,7,FALSE),VLOOKUP(tables_548100!C201,input_548100!A:H,8,FALSE))</f>
        <v>3600</v>
      </c>
      <c r="P201" s="46">
        <f t="shared" ca="1" si="10"/>
        <v>6.2499999997395813E-4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input_548100!A$2</f>
        <v>548100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IFERROR(VLOOKUP(B202,input_548100!L:R,7,FALSE),VLOOKUP(tables_548100!C202,input_548100!A:H,8,FALSE))</f>
        <v>400</v>
      </c>
      <c r="P202" s="46">
        <f t="shared" ca="1" si="10"/>
        <v>6.9444444441550899E-5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input_548100!A$2</f>
        <v>548100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IFERROR(VLOOKUP(B203,input_548100!L:R,7,FALSE),VLOOKUP(tables_548100!C203,input_548100!A:H,8,FALSE))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input_548100!A$2</f>
        <v>548100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IFERROR(VLOOKUP(B204,input_548100!L:R,7,FALSE),VLOOKUP(tables_548100!C204,input_548100!A:H,8,FALSE))</f>
        <v>50760</v>
      </c>
      <c r="P204" s="46">
        <f t="shared" ca="1" si="10"/>
        <v>8.8124999996328102E-3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input_548100!A$2</f>
        <v>548100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IFERROR(VLOOKUP(B205,input_548100!L:R,7,FALSE),VLOOKUP(tables_548100!C205,input_548100!A:H,8,FALSE))</f>
        <v>3115.3846199999998</v>
      </c>
      <c r="P205" s="46">
        <f t="shared" ca="1" si="10"/>
        <v>5.4086538539413042E-4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input_548100!A$2</f>
        <v>548100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IFERROR(VLOOKUP(B206,input_548100!L:R,7,FALSE),VLOOKUP(tables_548100!C206,input_548100!A:H,8,FALSE))</f>
        <v>3600</v>
      </c>
      <c r="P206" s="46">
        <f t="shared" ca="1" si="10"/>
        <v>6.2499999997395813E-4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input_548100!A$2</f>
        <v>548100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IFERROR(VLOOKUP(B207,input_548100!L:R,7,FALSE),VLOOKUP(tables_548100!C207,input_548100!A:H,8,FALSE))</f>
        <v>400</v>
      </c>
      <c r="P207" s="46">
        <f t="shared" ca="1" si="10"/>
        <v>6.9444444441550899E-5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input_548100!A$2</f>
        <v>548100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IFERROR(VLOOKUP(B208,input_548100!L:R,7,FALSE),VLOOKUP(tables_548100!C208,input_548100!A:H,8,FALSE))</f>
        <v>3600</v>
      </c>
      <c r="P208" s="46">
        <f t="shared" ca="1" si="10"/>
        <v>6.2499999997395813E-4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input_548100!A$2</f>
        <v>548100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IFERROR(VLOOKUP(B209,input_548100!L:R,7,FALSE),VLOOKUP(tables_548100!C209,input_548100!A:H,8,FALSE))</f>
        <v>400</v>
      </c>
      <c r="P209" s="46">
        <f t="shared" ca="1" si="10"/>
        <v>6.9444444441550899E-5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input_548100!A$2</f>
        <v>548100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IFERROR(VLOOKUP(B210,input_548100!L:R,7,FALSE),VLOOKUP(tables_548100!C210,input_548100!A:H,8,FALSE))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input_548100!A$2</f>
        <v>548100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IFERROR(VLOOKUP(B211,input_548100!L:R,7,FALSE),VLOOKUP(tables_548100!C211,input_548100!A:H,8,FALSE))</f>
        <v>50760</v>
      </c>
      <c r="P211" s="46">
        <f t="shared" ca="1" si="10"/>
        <v>8.8124999996328102E-3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input_548100!A$2</f>
        <v>548100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IFERROR(VLOOKUP(B212,input_548100!L:R,7,FALSE),VLOOKUP(tables_548100!C212,input_548100!A:H,8,FALSE))</f>
        <v>3115.3846199999998</v>
      </c>
      <c r="P212" s="46">
        <f t="shared" ca="1" si="10"/>
        <v>5.4086538539413042E-4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input_548100!A$2</f>
        <v>548100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IFERROR(VLOOKUP(B213,input_548100!L:R,7,FALSE),VLOOKUP(tables_548100!C213,input_548100!A:H,8,FALSE))</f>
        <v>3600</v>
      </c>
      <c r="P213" s="46">
        <f t="shared" ca="1" si="10"/>
        <v>6.2499999997395813E-4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input_548100!A$2</f>
        <v>548100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IFERROR(VLOOKUP(B214,input_548100!L:R,7,FALSE),VLOOKUP(tables_548100!C214,input_548100!A:H,8,FALSE))</f>
        <v>400</v>
      </c>
      <c r="P214" s="46">
        <f t="shared" ca="1" si="10"/>
        <v>6.9444444441550899E-5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input_548100!A$2</f>
        <v>548100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IFERROR(VLOOKUP(B215,input_548100!L:R,7,FALSE),VLOOKUP(tables_548100!C215,input_548100!A:H,8,FALSE))</f>
        <v>5640</v>
      </c>
      <c r="P215" s="46">
        <f t="shared" ca="1" si="10"/>
        <v>9.7916666662586785E-4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input_548100!A$2</f>
        <v>548100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IFERROR(VLOOKUP(B216,input_548100!L:R,7,FALSE),VLOOKUP(tables_548100!C216,input_548100!A:H,8,FALSE))</f>
        <v>5640</v>
      </c>
      <c r="P216" s="46">
        <f t="shared" ca="1" si="10"/>
        <v>9.7916666662586785E-4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input_548100!A$2</f>
        <v>548100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IFERROR(VLOOKUP(B217,input_548100!L:R,7,FALSE),VLOOKUP(tables_548100!C217,input_548100!A:H,8,FALSE))</f>
        <v>5640</v>
      </c>
      <c r="P217" s="46">
        <f t="shared" ca="1" si="10"/>
        <v>9.7916666662586785E-4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input_548100!A$2</f>
        <v>548100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IFERROR(VLOOKUP(B218,input_548100!L:R,7,FALSE),VLOOKUP(tables_548100!C218,input_548100!A:H,8,FALSE))</f>
        <v>5640</v>
      </c>
      <c r="P218" s="46">
        <f t="shared" ca="1" si="10"/>
        <v>9.7916666662586785E-4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input_548100!A$2</f>
        <v>548100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IFERROR(VLOOKUP(B219,input_548100!L:R,7,FALSE),VLOOKUP(tables_548100!C219,input_548100!A:H,8,FALSE))</f>
        <v>5640</v>
      </c>
      <c r="P219" s="46">
        <f t="shared" ca="1" si="10"/>
        <v>9.7916666662586785E-4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input_548100!A$2</f>
        <v>548100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IFERROR(VLOOKUP(B220,input_548100!L:R,7,FALSE),VLOOKUP(tables_548100!C220,input_548100!A:H,8,FALSE))</f>
        <v>5640</v>
      </c>
      <c r="P220" s="46">
        <f t="shared" ca="1" si="10"/>
        <v>9.7916666662586785E-4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input_548100!A$2</f>
        <v>548100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IFERROR(VLOOKUP(B221,input_548100!L:R,7,FALSE),VLOOKUP(tables_548100!C221,input_548100!A:H,8,FALSE))</f>
        <v>3600</v>
      </c>
      <c r="P221" s="46">
        <f t="shared" ca="1" si="10"/>
        <v>6.2499999997395813E-4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input_548100!A$2</f>
        <v>548100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IFERROR(VLOOKUP(B222,input_548100!L:R,7,FALSE),VLOOKUP(tables_548100!C222,input_548100!A:H,8,FALSE))</f>
        <v>400</v>
      </c>
      <c r="P222" s="46">
        <f t="shared" ca="1" si="10"/>
        <v>6.9444444441550899E-5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input_548100!A$2</f>
        <v>548100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IFERROR(VLOOKUP(B223,input_548100!L:R,7,FALSE),VLOOKUP(tables_548100!C223,input_548100!A:H,8,FALSE))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input_548100!A$2</f>
        <v>548100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IFERROR(VLOOKUP(B224,input_548100!L:R,7,FALSE),VLOOKUP(tables_548100!C224,input_548100!A:H,8,FALSE))</f>
        <v>50760</v>
      </c>
      <c r="P224" s="46">
        <f t="shared" ca="1" si="10"/>
        <v>8.8124999996328102E-3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input_548100!A$2</f>
        <v>548100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IFERROR(VLOOKUP(B225,input_548100!L:R,7,FALSE),VLOOKUP(tables_548100!C225,input_548100!A:H,8,FALSE))</f>
        <v>3115.3846199999998</v>
      </c>
      <c r="P225" s="46">
        <f t="shared" ca="1" si="10"/>
        <v>5.4086538539413042E-4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input_548100!A$2</f>
        <v>548100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IFERROR(VLOOKUP(B226,input_548100!L:R,7,FALSE),VLOOKUP(tables_548100!C226,input_548100!A:H,8,FALSE))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input_548100!A$2</f>
        <v>548100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IFERROR(VLOOKUP(B227,input_548100!L:R,7,FALSE),VLOOKUP(tables_548100!C227,input_548100!A:H,8,FALSE))</f>
        <v>50760</v>
      </c>
      <c r="P227" s="46">
        <f t="shared" ca="1" si="10"/>
        <v>8.8124999996328102E-3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input_548100!A$2</f>
        <v>548100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IFERROR(VLOOKUP(B228,input_548100!L:R,7,FALSE),VLOOKUP(tables_548100!C228,input_548100!A:H,8,FALSE))</f>
        <v>3115.3846199999998</v>
      </c>
      <c r="P228" s="46">
        <f t="shared" ca="1" si="10"/>
        <v>5.4086538539413042E-4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input_548100!A$2</f>
        <v>548100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IFERROR(VLOOKUP(B229,input_548100!L:R,7,FALSE),VLOOKUP(tables_548100!C229,input_548100!A:H,8,FALSE))</f>
        <v>3600</v>
      </c>
      <c r="P229" s="46">
        <f t="shared" ca="1" si="10"/>
        <v>6.2499999997395813E-4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input_548100!A$2</f>
        <v>548100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IFERROR(VLOOKUP(B230,input_548100!L:R,7,FALSE),VLOOKUP(tables_548100!C230,input_548100!A:H,8,FALSE))</f>
        <v>400</v>
      </c>
      <c r="P230" s="46">
        <f t="shared" ca="1" si="10"/>
        <v>6.9444444441550899E-5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input_548100!A$2</f>
        <v>548100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IFERROR(VLOOKUP(B231,input_548100!L:R,7,FALSE),VLOOKUP(tables_548100!C231,input_548100!A:H,8,FALSE))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input_548100!A$2</f>
        <v>548100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IFERROR(VLOOKUP(B232,input_548100!L:R,7,FALSE),VLOOKUP(tables_548100!C232,input_548100!A:H,8,FALSE))</f>
        <v>50760</v>
      </c>
      <c r="P232" s="46">
        <f t="shared" ca="1" si="10"/>
        <v>8.8124999996328102E-3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input_548100!A$2</f>
        <v>548100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IFERROR(VLOOKUP(B233,input_548100!L:R,7,FALSE),VLOOKUP(tables_548100!C233,input_548100!A:H,8,FALSE))</f>
        <v>3115.3846199999998</v>
      </c>
      <c r="P233" s="46">
        <f t="shared" ca="1" si="10"/>
        <v>5.4086538539413042E-4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input_548100!A$2</f>
        <v>548100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IFERROR(VLOOKUP(B234,input_548100!L:R,7,FALSE),VLOOKUP(tables_548100!C234,input_548100!A:H,8,FALSE))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input_548100!A$2</f>
        <v>548100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IFERROR(VLOOKUP(B235,input_548100!L:R,7,FALSE),VLOOKUP(tables_548100!C235,input_548100!A:H,8,FALSE))</f>
        <v>50760</v>
      </c>
      <c r="P235" s="46">
        <f t="shared" ca="1" si="10"/>
        <v>8.8124999996328102E-3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input_548100!A$2</f>
        <v>548100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IFERROR(VLOOKUP(B236,input_548100!L:R,7,FALSE),VLOOKUP(tables_548100!C236,input_548100!A:H,8,FALSE))</f>
        <v>3115.3846199999998</v>
      </c>
      <c r="P236" s="46">
        <f t="shared" ca="1" si="10"/>
        <v>5.4086538539413042E-4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input_548100!A$2</f>
        <v>548100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IFERROR(VLOOKUP(B237,input_548100!L:R,7,FALSE),VLOOKUP(tables_548100!C237,input_548100!A:H,8,FALSE))</f>
        <v>3600</v>
      </c>
      <c r="P237" s="46">
        <f t="shared" ca="1" si="10"/>
        <v>6.2499999997395813E-4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input_548100!A$2</f>
        <v>548100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IFERROR(VLOOKUP(B238,input_548100!L:R,7,FALSE),VLOOKUP(tables_548100!C238,input_548100!A:H,8,FALSE))</f>
        <v>400</v>
      </c>
      <c r="P238" s="46">
        <f t="shared" ca="1" si="10"/>
        <v>6.9444444441550899E-5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input_548100!A$2</f>
        <v>548100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IFERROR(VLOOKUP(B239,input_548100!L:R,7,FALSE),VLOOKUP(tables_548100!C239,input_548100!A:H,8,FALSE))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input_548100!A$2</f>
        <v>548100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IFERROR(VLOOKUP(B240,input_548100!L:R,7,FALSE),VLOOKUP(tables_548100!C240,input_548100!A:H,8,FALSE))</f>
        <v>50760</v>
      </c>
      <c r="P240" s="46">
        <f t="shared" ca="1" si="10"/>
        <v>8.8124999996328102E-3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input_548100!A$2</f>
        <v>548100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IFERROR(VLOOKUP(B241,input_548100!L:R,7,FALSE),VLOOKUP(tables_548100!C241,input_548100!A:H,8,FALSE))</f>
        <v>3115.3846199999998</v>
      </c>
      <c r="P241" s="46">
        <f t="shared" ca="1" si="10"/>
        <v>5.4086538539413042E-4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input_548100!A$2</f>
        <v>548100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IFERROR(VLOOKUP(B242,input_548100!L:R,7,FALSE),VLOOKUP(tables_548100!C242,input_548100!A:H,8,FALSE))</f>
        <v>3600</v>
      </c>
      <c r="P242" s="46">
        <f t="shared" ca="1" si="10"/>
        <v>6.2499999997395813E-4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input_548100!A$2</f>
        <v>548100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IFERROR(VLOOKUP(B243,input_548100!L:R,7,FALSE),VLOOKUP(tables_548100!C243,input_548100!A:H,8,FALSE))</f>
        <v>400</v>
      </c>
      <c r="P243" s="46">
        <f t="shared" ca="1" si="10"/>
        <v>6.9444444441550899E-5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input_548100!A$2</f>
        <v>548100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IFERROR(VLOOKUP(B244,input_548100!L:R,7,FALSE),VLOOKUP(tables_548100!C244,input_548100!A:H,8,FALSE))</f>
        <v>3600</v>
      </c>
      <c r="P244" s="46">
        <f t="shared" ca="1" si="10"/>
        <v>6.2499999997395813E-4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input_548100!A$2</f>
        <v>548100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IFERROR(VLOOKUP(B245,input_548100!L:R,7,FALSE),VLOOKUP(tables_548100!C245,input_548100!A:H,8,FALSE))</f>
        <v>400</v>
      </c>
      <c r="P245" s="46">
        <f t="shared" ca="1" si="10"/>
        <v>6.9444444441550899E-5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input_548100!A$2</f>
        <v>548100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IFERROR(VLOOKUP(B246,input_548100!L:R,7,FALSE),VLOOKUP(tables_548100!C246,input_548100!A:H,8,FALSE))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input_548100!A$2</f>
        <v>548100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IFERROR(VLOOKUP(B247,input_548100!L:R,7,FALSE),VLOOKUP(tables_548100!C247,input_548100!A:H,8,FALSE))</f>
        <v>50760</v>
      </c>
      <c r="P247" s="46">
        <f t="shared" ca="1" si="10"/>
        <v>8.8124999996328102E-3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input_548100!A$2</f>
        <v>548100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IFERROR(VLOOKUP(B248,input_548100!L:R,7,FALSE),VLOOKUP(tables_548100!C248,input_548100!A:H,8,FALSE))</f>
        <v>3115.3846199999998</v>
      </c>
      <c r="P248" s="46">
        <f t="shared" ca="1" si="10"/>
        <v>5.4086538539413042E-4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input_548100!A$2</f>
        <v>548100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IFERROR(VLOOKUP(B249,input_548100!L:R,7,FALSE),VLOOKUP(tables_548100!C249,input_548100!A:H,8,FALSE))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input_548100!A$2</f>
        <v>548100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IFERROR(VLOOKUP(B250,input_548100!L:R,7,FALSE),VLOOKUP(tables_548100!C250,input_548100!A:H,8,FALSE))</f>
        <v>50760</v>
      </c>
      <c r="P250" s="46">
        <f t="shared" ca="1" si="10"/>
        <v>8.8124999996328102E-3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input_548100!A$2</f>
        <v>548100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IFERROR(VLOOKUP(B251,input_548100!L:R,7,FALSE),VLOOKUP(tables_548100!C251,input_548100!A:H,8,FALSE))</f>
        <v>3115.3846199999998</v>
      </c>
      <c r="P251" s="46">
        <f t="shared" ca="1" si="10"/>
        <v>5.4086538539413042E-4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input_548100!A$2</f>
        <v>548100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IFERROR(VLOOKUP(B252,input_548100!L:R,7,FALSE),VLOOKUP(tables_548100!C252,input_548100!A:H,8,FALSE))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input_548100!A$2</f>
        <v>548100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IFERROR(VLOOKUP(B253,input_548100!L:R,7,FALSE),VLOOKUP(tables_548100!C253,input_548100!A:H,8,FALSE))</f>
        <v>50760</v>
      </c>
      <c r="P253" s="46">
        <f t="shared" ca="1" si="10"/>
        <v>8.8124999996328102E-3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input_548100!A$2</f>
        <v>548100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IFERROR(VLOOKUP(B254,input_548100!L:R,7,FALSE),VLOOKUP(tables_548100!C254,input_548100!A:H,8,FALSE))</f>
        <v>3115.3846199999998</v>
      </c>
      <c r="P254" s="46">
        <f t="shared" ca="1" si="10"/>
        <v>5.4086538539413042E-4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input_548100!A$2</f>
        <v>548100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IFERROR(VLOOKUP(B255,input_548100!L:R,7,FALSE),VLOOKUP(tables_548100!C255,input_548100!A:H,8,FALSE))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input_548100!A$2</f>
        <v>548100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IFERROR(VLOOKUP(B256,input_548100!L:R,7,FALSE),VLOOKUP(tables_548100!C256,input_548100!A:H,8,FALSE))</f>
        <v>50760</v>
      </c>
      <c r="P256" s="46">
        <f t="shared" ca="1" si="10"/>
        <v>8.8124999996328102E-3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input_548100!A$2</f>
        <v>548100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IFERROR(VLOOKUP(B257,input_548100!L:R,7,FALSE),VLOOKUP(tables_548100!C257,input_548100!A:H,8,FALSE))</f>
        <v>3115.3846199999998</v>
      </c>
      <c r="P257" s="46">
        <f t="shared" ca="1" si="10"/>
        <v>5.4086538539413042E-4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input_548100!A$2</f>
        <v>548100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IFERROR(VLOOKUP(B258,input_548100!L:R,7,FALSE),VLOOKUP(tables_548100!C258,input_548100!A:H,8,FALSE))</f>
        <v>3600</v>
      </c>
      <c r="P258" s="46">
        <f t="shared" ref="P258:P321" ca="1" si="13">O258/SUM(O:O)</f>
        <v>6.2499999997395813E-4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input_548100!A$2</f>
        <v>548100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IFERROR(VLOOKUP(B259,input_548100!L:R,7,FALSE),VLOOKUP(tables_548100!C259,input_548100!A:H,8,FALSE))</f>
        <v>400</v>
      </c>
      <c r="P259" s="46">
        <f t="shared" ca="1" si="13"/>
        <v>6.9444444441550899E-5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input_548100!A$2</f>
        <v>548100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IFERROR(VLOOKUP(B260,input_548100!L:R,7,FALSE),VLOOKUP(tables_548100!C260,input_548100!A:H,8,FALSE))</f>
        <v>3600</v>
      </c>
      <c r="P260" s="46">
        <f t="shared" ca="1" si="13"/>
        <v>6.2499999997395813E-4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input_548100!A$2</f>
        <v>548100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IFERROR(VLOOKUP(B261,input_548100!L:R,7,FALSE),VLOOKUP(tables_548100!C261,input_548100!A:H,8,FALSE))</f>
        <v>400</v>
      </c>
      <c r="P261" s="46">
        <f t="shared" ca="1" si="13"/>
        <v>6.9444444441550899E-5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input_548100!A$2</f>
        <v>548100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IFERROR(VLOOKUP(B262,input_548100!L:R,7,FALSE),VLOOKUP(tables_548100!C262,input_548100!A:H,8,FALSE))</f>
        <v>49068</v>
      </c>
      <c r="P262" s="46">
        <f t="shared" ca="1" si="13"/>
        <v>8.5187499996450498E-3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input_548100!A$2</f>
        <v>548100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IFERROR(VLOOKUP(B263,input_548100!L:R,7,FALSE),VLOOKUP(tables_548100!C263,input_548100!A:H,8,FALSE))</f>
        <v>5640</v>
      </c>
      <c r="P263" s="46">
        <f t="shared" ca="1" si="13"/>
        <v>9.7916666662586785E-4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input_548100!A$2</f>
        <v>548100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IFERROR(VLOOKUP(B264,input_548100!L:R,7,FALSE),VLOOKUP(tables_548100!C264,input_548100!A:H,8,FALSE))</f>
        <v>49068</v>
      </c>
      <c r="P264" s="46">
        <f t="shared" ca="1" si="13"/>
        <v>8.5187499996450498E-3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input_548100!A$2</f>
        <v>548100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IFERROR(VLOOKUP(B265,input_548100!L:R,7,FALSE),VLOOKUP(tables_548100!C265,input_548100!A:H,8,FALSE))</f>
        <v>5640</v>
      </c>
      <c r="P265" s="46">
        <f t="shared" ca="1" si="13"/>
        <v>9.7916666662586785E-4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input_548100!A$2</f>
        <v>548100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IFERROR(VLOOKUP(B266,input_548100!L:R,7,FALSE),VLOOKUP(tables_548100!C266,input_548100!A:H,8,FALSE))</f>
        <v>4000</v>
      </c>
      <c r="P266" s="46">
        <f t="shared" ca="1" si="13"/>
        <v>6.9444444441550907E-4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input_548100!A$2</f>
        <v>548100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IFERROR(VLOOKUP(B267,input_548100!L:R,7,FALSE),VLOOKUP(tables_548100!C267,input_548100!A:H,8,FALSE))</f>
        <v>4000</v>
      </c>
      <c r="P267" s="46">
        <f t="shared" ca="1" si="13"/>
        <v>6.9444444441550907E-4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input_548100!A$2</f>
        <v>548100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IFERROR(VLOOKUP(B268,input_548100!L:R,7,FALSE),VLOOKUP(tables_548100!C268,input_548100!A:H,8,FALSE))</f>
        <v>4000</v>
      </c>
      <c r="P268" s="46">
        <f t="shared" ca="1" si="13"/>
        <v>6.9444444441550907E-4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input_548100!A$2</f>
        <v>548100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IFERROR(VLOOKUP(B269,input_548100!L:R,7,FALSE),VLOOKUP(tables_548100!C269,input_548100!A:H,8,FALSE))</f>
        <v>4000</v>
      </c>
      <c r="P269" s="46">
        <f t="shared" ca="1" si="13"/>
        <v>6.9444444441550907E-4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input_548100!A$2</f>
        <v>548100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IFERROR(VLOOKUP(B270,input_548100!L:R,7,FALSE),VLOOKUP(tables_548100!C270,input_548100!A:H,8,FALSE))</f>
        <v>49068</v>
      </c>
      <c r="P270" s="46">
        <f t="shared" ca="1" si="13"/>
        <v>8.5187499996450498E-3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input_548100!A$2</f>
        <v>548100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IFERROR(VLOOKUP(B271,input_548100!L:R,7,FALSE),VLOOKUP(tables_548100!C271,input_548100!A:H,8,FALSE))</f>
        <v>5640</v>
      </c>
      <c r="P271" s="46">
        <f t="shared" ca="1" si="13"/>
        <v>9.7916666662586785E-4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input_548100!A$2</f>
        <v>548100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IFERROR(VLOOKUP(B272,input_548100!L:R,7,FALSE),VLOOKUP(tables_548100!C272,input_548100!A:H,8,FALSE))</f>
        <v>49068</v>
      </c>
      <c r="P272" s="46">
        <f t="shared" ca="1" si="13"/>
        <v>8.5187499996450498E-3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input_548100!A$2</f>
        <v>548100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IFERROR(VLOOKUP(B273,input_548100!L:R,7,FALSE),VLOOKUP(tables_548100!C273,input_548100!A:H,8,FALSE))</f>
        <v>5640</v>
      </c>
      <c r="P273" s="46">
        <f t="shared" ca="1" si="13"/>
        <v>9.7916666662586785E-4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input_548100!A$2</f>
        <v>548100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IFERROR(VLOOKUP(B274,input_548100!L:R,7,FALSE),VLOOKUP(tables_548100!C274,input_548100!A:H,8,FALSE))</f>
        <v>3600</v>
      </c>
      <c r="P274" s="46">
        <f t="shared" ca="1" si="13"/>
        <v>6.2499999997395813E-4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input_548100!A$2</f>
        <v>548100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IFERROR(VLOOKUP(B275,input_548100!L:R,7,FALSE),VLOOKUP(tables_548100!C275,input_548100!A:H,8,FALSE))</f>
        <v>400</v>
      </c>
      <c r="P275" s="46">
        <f t="shared" ca="1" si="13"/>
        <v>6.9444444441550899E-5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input_548100!A$2</f>
        <v>548100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IFERROR(VLOOKUP(B276,input_548100!L:R,7,FALSE),VLOOKUP(tables_548100!C276,input_548100!A:H,8,FALSE))</f>
        <v>3600</v>
      </c>
      <c r="P276" s="46">
        <f t="shared" ca="1" si="13"/>
        <v>6.2499999997395813E-4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input_548100!A$2</f>
        <v>548100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IFERROR(VLOOKUP(B277,input_548100!L:R,7,FALSE),VLOOKUP(tables_548100!C277,input_548100!A:H,8,FALSE))</f>
        <v>400</v>
      </c>
      <c r="P277" s="46">
        <f t="shared" ca="1" si="13"/>
        <v>6.9444444441550899E-5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input_548100!A$2</f>
        <v>548100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IFERROR(VLOOKUP(B278,input_548100!L:R,7,FALSE),VLOOKUP(tables_548100!C278,input_548100!A:H,8,FALSE))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input_548100!A$2</f>
        <v>548100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IFERROR(VLOOKUP(B279,input_548100!L:R,7,FALSE),VLOOKUP(tables_548100!C279,input_548100!A:H,8,FALSE))</f>
        <v>50760</v>
      </c>
      <c r="P279" s="46">
        <f t="shared" ca="1" si="13"/>
        <v>8.8124999996328102E-3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input_548100!A$2</f>
        <v>548100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IFERROR(VLOOKUP(B280,input_548100!L:R,7,FALSE),VLOOKUP(tables_548100!C280,input_548100!A:H,8,FALSE))</f>
        <v>3115.3846199999998</v>
      </c>
      <c r="P280" s="46">
        <f t="shared" ca="1" si="13"/>
        <v>5.4086538539413042E-4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input_548100!A$2</f>
        <v>548100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IFERROR(VLOOKUP(B281,input_548100!L:R,7,FALSE),VLOOKUP(tables_548100!C281,input_548100!A:H,8,FALSE))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input_548100!A$2</f>
        <v>548100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IFERROR(VLOOKUP(B282,input_548100!L:R,7,FALSE),VLOOKUP(tables_548100!C282,input_548100!A:H,8,FALSE))</f>
        <v>50760</v>
      </c>
      <c r="P282" s="46">
        <f t="shared" ca="1" si="13"/>
        <v>8.8124999996328102E-3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input_548100!A$2</f>
        <v>548100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IFERROR(VLOOKUP(B283,input_548100!L:R,7,FALSE),VLOOKUP(tables_548100!C283,input_548100!A:H,8,FALSE))</f>
        <v>3115.3846199999998</v>
      </c>
      <c r="P283" s="46">
        <f t="shared" ca="1" si="13"/>
        <v>5.4086538539413042E-4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input_548100!A$2</f>
        <v>548100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IFERROR(VLOOKUP(B284,input_548100!L:R,7,FALSE),VLOOKUP(tables_548100!C284,input_548100!A:H,8,FALSE))</f>
        <v>4000</v>
      </c>
      <c r="P284" s="46">
        <f t="shared" ca="1" si="13"/>
        <v>6.9444444441550907E-4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input_548100!A$2</f>
        <v>548100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IFERROR(VLOOKUP(B285,input_548100!L:R,7,FALSE),VLOOKUP(tables_548100!C285,input_548100!A:H,8,FALSE))</f>
        <v>4000</v>
      </c>
      <c r="P285" s="46">
        <f t="shared" ca="1" si="13"/>
        <v>6.9444444441550907E-4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input_548100!A$2</f>
        <v>548100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IFERROR(VLOOKUP(B286,input_548100!L:R,7,FALSE),VLOOKUP(tables_548100!C286,input_548100!A:H,8,FALSE))</f>
        <v>49068</v>
      </c>
      <c r="P286" s="46">
        <f t="shared" ca="1" si="13"/>
        <v>8.5187499996450498E-3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input_548100!A$2</f>
        <v>548100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IFERROR(VLOOKUP(B287,input_548100!L:R,7,FALSE),VLOOKUP(tables_548100!C287,input_548100!A:H,8,FALSE))</f>
        <v>5640</v>
      </c>
      <c r="P287" s="46">
        <f t="shared" ca="1" si="13"/>
        <v>9.7916666662586785E-4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input_548100!A$2</f>
        <v>548100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IFERROR(VLOOKUP(B288,input_548100!L:R,7,FALSE),VLOOKUP(tables_548100!C288,input_548100!A:H,8,FALSE))</f>
        <v>49068</v>
      </c>
      <c r="P288" s="46">
        <f t="shared" ca="1" si="13"/>
        <v>8.5187499996450498E-3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input_548100!A$2</f>
        <v>548100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IFERROR(VLOOKUP(B289,input_548100!L:R,7,FALSE),VLOOKUP(tables_548100!C289,input_548100!A:H,8,FALSE))</f>
        <v>5640</v>
      </c>
      <c r="P289" s="46">
        <f t="shared" ca="1" si="13"/>
        <v>9.7916666662586785E-4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input_548100!A$2</f>
        <v>548100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IFERROR(VLOOKUP(B290,input_548100!L:R,7,FALSE),VLOOKUP(tables_548100!C290,input_548100!A:H,8,FALSE))</f>
        <v>49068</v>
      </c>
      <c r="P290" s="46">
        <f t="shared" ca="1" si="13"/>
        <v>8.5187499996450498E-3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input_548100!A$2</f>
        <v>548100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IFERROR(VLOOKUP(B291,input_548100!L:R,7,FALSE),VLOOKUP(tables_548100!C291,input_548100!A:H,8,FALSE))</f>
        <v>5640</v>
      </c>
      <c r="P291" s="46">
        <f t="shared" ca="1" si="13"/>
        <v>9.7916666662586785E-4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input_548100!A$2</f>
        <v>548100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IFERROR(VLOOKUP(B292,input_548100!L:R,7,FALSE),VLOOKUP(tables_548100!C292,input_548100!A:H,8,FALSE))</f>
        <v>49068</v>
      </c>
      <c r="P292" s="46">
        <f t="shared" ca="1" si="13"/>
        <v>8.5187499996450498E-3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input_548100!A$2</f>
        <v>548100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IFERROR(VLOOKUP(B293,input_548100!L:R,7,FALSE),VLOOKUP(tables_548100!C293,input_548100!A:H,8,FALSE))</f>
        <v>5640</v>
      </c>
      <c r="P293" s="46">
        <f t="shared" ca="1" si="13"/>
        <v>9.7916666662586785E-4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input_548100!A$2</f>
        <v>548100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IFERROR(VLOOKUP(B294,input_548100!L:R,7,FALSE),VLOOKUP(tables_548100!C294,input_548100!A:H,8,FALSE))</f>
        <v>4000</v>
      </c>
      <c r="P294" s="46">
        <f t="shared" ca="1" si="13"/>
        <v>6.9444444441550907E-4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input_548100!A$2</f>
        <v>548100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IFERROR(VLOOKUP(B295,input_548100!L:R,7,FALSE),VLOOKUP(tables_548100!C295,input_548100!A:H,8,FALSE))</f>
        <v>4000</v>
      </c>
      <c r="P295" s="46">
        <f t="shared" ca="1" si="13"/>
        <v>6.9444444441550907E-4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input_548100!A$2</f>
        <v>548100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IFERROR(VLOOKUP(B296,input_548100!L:R,7,FALSE),VLOOKUP(tables_548100!C296,input_548100!A:H,8,FALSE))</f>
        <v>4000</v>
      </c>
      <c r="P296" s="46">
        <f t="shared" ca="1" si="13"/>
        <v>6.9444444441550907E-4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input_548100!A$2</f>
        <v>548100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IFERROR(VLOOKUP(B297,input_548100!L:R,7,FALSE),VLOOKUP(tables_548100!C297,input_548100!A:H,8,FALSE))</f>
        <v>49068</v>
      </c>
      <c r="P297" s="46">
        <f t="shared" ca="1" si="13"/>
        <v>8.5187499996450498E-3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input_548100!A$2</f>
        <v>548100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IFERROR(VLOOKUP(B298,input_548100!L:R,7,FALSE),VLOOKUP(tables_548100!C298,input_548100!A:H,8,FALSE))</f>
        <v>5640</v>
      </c>
      <c r="P298" s="46">
        <f t="shared" ca="1" si="13"/>
        <v>9.7916666662586785E-4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input_548100!A$2</f>
        <v>548100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IFERROR(VLOOKUP(B299,input_548100!L:R,7,FALSE),VLOOKUP(tables_548100!C299,input_548100!A:H,8,FALSE))</f>
        <v>4000</v>
      </c>
      <c r="P299" s="46">
        <f t="shared" ca="1" si="13"/>
        <v>6.9444444441550907E-4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input_548100!A$2</f>
        <v>548100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IFERROR(VLOOKUP(B300,input_548100!L:R,7,FALSE),VLOOKUP(tables_548100!C300,input_548100!A:H,8,FALSE))</f>
        <v>4000</v>
      </c>
      <c r="P300" s="46">
        <f t="shared" ca="1" si="13"/>
        <v>6.9444444441550907E-4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input_548100!A$2</f>
        <v>548100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IFERROR(VLOOKUP(B301,input_548100!L:R,7,FALSE),VLOOKUP(tables_548100!C301,input_548100!A:H,8,FALSE))</f>
        <v>4000</v>
      </c>
      <c r="P301" s="46">
        <f t="shared" ca="1" si="13"/>
        <v>6.9444444441550907E-4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input_548100!A$2</f>
        <v>548100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IFERROR(VLOOKUP(B302,input_548100!L:R,7,FALSE),VLOOKUP(tables_548100!C302,input_548100!A:H,8,FALSE))</f>
        <v>4000</v>
      </c>
      <c r="P302" s="46">
        <f t="shared" ca="1" si="13"/>
        <v>6.9444444441550907E-4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input_548100!A$2</f>
        <v>548100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IFERROR(VLOOKUP(B303,input_548100!L:R,7,FALSE),VLOOKUP(tables_548100!C303,input_548100!A:H,8,FALSE))</f>
        <v>49068</v>
      </c>
      <c r="P303" s="46">
        <f t="shared" ca="1" si="13"/>
        <v>8.5187499996450498E-3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input_548100!A$2</f>
        <v>548100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IFERROR(VLOOKUP(B304,input_548100!L:R,7,FALSE),VLOOKUP(tables_548100!C304,input_548100!A:H,8,FALSE))</f>
        <v>5640</v>
      </c>
      <c r="P304" s="46">
        <f t="shared" ca="1" si="13"/>
        <v>9.7916666662586785E-4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input_548100!A$2</f>
        <v>548100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IFERROR(VLOOKUP(B305,input_548100!L:R,7,FALSE),VLOOKUP(tables_548100!C305,input_548100!A:H,8,FALSE))</f>
        <v>4000</v>
      </c>
      <c r="P305" s="46">
        <f t="shared" ca="1" si="13"/>
        <v>6.9444444441550907E-4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input_548100!A$2</f>
        <v>548100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IFERROR(VLOOKUP(B306,input_548100!L:R,7,FALSE),VLOOKUP(tables_548100!C306,input_548100!A:H,8,FALSE))</f>
        <v>49068</v>
      </c>
      <c r="P306" s="46">
        <f t="shared" ca="1" si="13"/>
        <v>8.5187499996450498E-3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input_548100!A$2</f>
        <v>548100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IFERROR(VLOOKUP(B307,input_548100!L:R,7,FALSE),VLOOKUP(tables_548100!C307,input_548100!A:H,8,FALSE))</f>
        <v>5640</v>
      </c>
      <c r="P307" s="46">
        <f t="shared" ca="1" si="13"/>
        <v>9.7916666662586785E-4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input_548100!A$2</f>
        <v>548100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IFERROR(VLOOKUP(B308,input_548100!L:R,7,FALSE),VLOOKUP(tables_548100!C308,input_548100!A:H,8,FALSE))</f>
        <v>4000</v>
      </c>
      <c r="P308" s="46">
        <f t="shared" ca="1" si="13"/>
        <v>6.9444444441550907E-4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input_548100!A$2</f>
        <v>548100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IFERROR(VLOOKUP(B309,input_548100!L:R,7,FALSE),VLOOKUP(tables_548100!C309,input_548100!A:H,8,FALSE))</f>
        <v>4000</v>
      </c>
      <c r="P309" s="46">
        <f t="shared" ca="1" si="13"/>
        <v>6.9444444441550907E-4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input_548100!A$2</f>
        <v>548100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IFERROR(VLOOKUP(B310,input_548100!L:R,7,FALSE),VLOOKUP(tables_548100!C310,input_548100!A:H,8,FALSE))</f>
        <v>4000</v>
      </c>
      <c r="P310" s="46">
        <f t="shared" ca="1" si="13"/>
        <v>6.9444444441550907E-4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input_548100!A$2</f>
        <v>548100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IFERROR(VLOOKUP(B311,input_548100!L:R,7,FALSE),VLOOKUP(tables_548100!C311,input_548100!A:H,8,FALSE))</f>
        <v>49068</v>
      </c>
      <c r="P311" s="46">
        <f t="shared" ca="1" si="13"/>
        <v>8.5187499996450498E-3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input_548100!A$2</f>
        <v>548100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IFERROR(VLOOKUP(B312,input_548100!L:R,7,FALSE),VLOOKUP(tables_548100!C312,input_548100!A:H,8,FALSE))</f>
        <v>5640</v>
      </c>
      <c r="P312" s="46">
        <f t="shared" ca="1" si="13"/>
        <v>9.7916666662586785E-4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input_548100!A$2</f>
        <v>548100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IFERROR(VLOOKUP(B313,input_548100!L:R,7,FALSE),VLOOKUP(tables_548100!C313,input_548100!A:H,8,FALSE))</f>
        <v>4000</v>
      </c>
      <c r="P313" s="46">
        <f t="shared" ca="1" si="13"/>
        <v>6.9444444441550907E-4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input_548100!A$2</f>
        <v>548100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IFERROR(VLOOKUP(B314,input_548100!L:R,7,FALSE),VLOOKUP(tables_548100!C314,input_548100!A:H,8,FALSE))</f>
        <v>4000</v>
      </c>
      <c r="P314" s="46">
        <f t="shared" ca="1" si="13"/>
        <v>6.9444444441550907E-4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input_548100!A$2</f>
        <v>548100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IFERROR(VLOOKUP(B315,input_548100!L:R,7,FALSE),VLOOKUP(tables_548100!C315,input_548100!A:H,8,FALSE))</f>
        <v>4000</v>
      </c>
      <c r="P315" s="46">
        <f t="shared" ca="1" si="13"/>
        <v>6.9444444441550907E-4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input_548100!A$2</f>
        <v>548100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IFERROR(VLOOKUP(B316,input_548100!L:R,7,FALSE),VLOOKUP(tables_548100!C316,input_548100!A:H,8,FALSE))</f>
        <v>4000</v>
      </c>
      <c r="P316" s="46">
        <f t="shared" ca="1" si="13"/>
        <v>6.9444444441550907E-4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input_548100!A$2</f>
        <v>548100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IFERROR(VLOOKUP(B317,input_548100!L:R,7,FALSE),VLOOKUP(tables_548100!C317,input_548100!A:H,8,FALSE))</f>
        <v>4000</v>
      </c>
      <c r="P317" s="46">
        <f t="shared" ca="1" si="13"/>
        <v>6.9444444441550907E-4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input_548100!A$2</f>
        <v>548100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IFERROR(VLOOKUP(B318,input_548100!L:R,7,FALSE),VLOOKUP(tables_548100!C318,input_548100!A:H,8,FALSE))</f>
        <v>49068</v>
      </c>
      <c r="P318" s="46">
        <f t="shared" ca="1" si="13"/>
        <v>8.5187499996450498E-3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input_548100!A$2</f>
        <v>548100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IFERROR(VLOOKUP(B319,input_548100!L:R,7,FALSE),VLOOKUP(tables_548100!C319,input_548100!A:H,8,FALSE))</f>
        <v>5640</v>
      </c>
      <c r="P319" s="46">
        <f t="shared" ca="1" si="13"/>
        <v>9.7916666662586785E-4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input_548100!A$2</f>
        <v>548100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IFERROR(VLOOKUP(B320,input_548100!L:R,7,FALSE),VLOOKUP(tables_548100!C320,input_548100!A:H,8,FALSE))</f>
        <v>4000</v>
      </c>
      <c r="P320" s="46">
        <f t="shared" ca="1" si="13"/>
        <v>6.9444444441550907E-4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input_548100!A$2</f>
        <v>548100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IFERROR(VLOOKUP(B321,input_548100!L:R,7,FALSE),VLOOKUP(tables_548100!C321,input_548100!A:H,8,FALSE))</f>
        <v>4000</v>
      </c>
      <c r="P321" s="46">
        <f t="shared" ca="1" si="13"/>
        <v>6.9444444441550907E-4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input_548100!A$2</f>
        <v>548100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IFERROR(VLOOKUP(B322,input_548100!L:R,7,FALSE),VLOOKUP(tables_548100!C322,input_548100!A:H,8,FALSE))</f>
        <v>4000</v>
      </c>
      <c r="P322" s="46">
        <f t="shared" ref="P322:P340" ca="1" si="26">O322/SUM(O:O)</f>
        <v>6.9444444441550907E-4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input_548100!A$2</f>
        <v>548100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IFERROR(VLOOKUP(B323,input_548100!L:R,7,FALSE),VLOOKUP(tables_548100!C323,input_548100!A:H,8,FALSE))</f>
        <v>4000</v>
      </c>
      <c r="P323" s="46">
        <f t="shared" ca="1" si="26"/>
        <v>6.9444444441550907E-4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input_548100!A$2</f>
        <v>548100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IFERROR(VLOOKUP(B324,input_548100!L:R,7,FALSE),VLOOKUP(tables_548100!C324,input_548100!A:H,8,FALSE))</f>
        <v>49068</v>
      </c>
      <c r="P324" s="46">
        <f t="shared" ca="1" si="26"/>
        <v>8.5187499996450498E-3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input_548100!A$2</f>
        <v>548100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IFERROR(VLOOKUP(B325,input_548100!L:R,7,FALSE),VLOOKUP(tables_548100!C325,input_548100!A:H,8,FALSE))</f>
        <v>5640</v>
      </c>
      <c r="P325" s="46">
        <f t="shared" ca="1" si="26"/>
        <v>9.7916666662586785E-4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input_548100!A$2</f>
        <v>548100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IFERROR(VLOOKUP(B326,input_548100!L:R,7,FALSE),VLOOKUP(tables_548100!C326,input_548100!A:H,8,FALSE))</f>
        <v>49068</v>
      </c>
      <c r="P326" s="46">
        <f t="shared" ca="1" si="26"/>
        <v>8.5187499996450498E-3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input_548100!A$2</f>
        <v>548100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IFERROR(VLOOKUP(B327,input_548100!L:R,7,FALSE),VLOOKUP(tables_548100!C327,input_548100!A:H,8,FALSE))</f>
        <v>5640</v>
      </c>
      <c r="P327" s="46">
        <f t="shared" ca="1" si="26"/>
        <v>9.7916666662586785E-4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input_548100!A$2</f>
        <v>548100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IFERROR(VLOOKUP(B328,input_548100!L:R,7,FALSE),VLOOKUP(tables_548100!C328,input_548100!A:H,8,FALSE))</f>
        <v>4000</v>
      </c>
      <c r="P328" s="46">
        <f t="shared" ca="1" si="26"/>
        <v>6.9444444441550907E-4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input_548100!A$2</f>
        <v>548100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IFERROR(VLOOKUP(B329,input_548100!L:R,7,FALSE),VLOOKUP(tables_548100!C329,input_548100!A:H,8,FALSE))</f>
        <v>4000</v>
      </c>
      <c r="P329" s="46">
        <f t="shared" ca="1" si="26"/>
        <v>6.9444444441550907E-4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input_548100!A$2</f>
        <v>548100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IFERROR(VLOOKUP(B330,input_548100!L:R,7,FALSE),VLOOKUP(tables_548100!C330,input_548100!A:H,8,FALSE))</f>
        <v>4000</v>
      </c>
      <c r="P330" s="46">
        <f t="shared" ca="1" si="26"/>
        <v>6.9444444441550907E-4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input_548100!A$2</f>
        <v>548100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IFERROR(VLOOKUP(B331,input_548100!L:R,7,FALSE),VLOOKUP(tables_548100!C331,input_548100!A:H,8,FALSE))</f>
        <v>4000</v>
      </c>
      <c r="P331" s="46">
        <f t="shared" ca="1" si="26"/>
        <v>6.9444444441550907E-4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input_548100!A$2</f>
        <v>548100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IFERROR(VLOOKUP(B332,input_548100!L:R,7,FALSE),VLOOKUP(tables_548100!C332,input_548100!A:H,8,FALSE))</f>
        <v>4000</v>
      </c>
      <c r="P332" s="46">
        <f t="shared" ca="1" si="26"/>
        <v>6.9444444441550907E-4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input_548100!A$2</f>
        <v>548100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IFERROR(VLOOKUP(B333,input_548100!L:R,7,FALSE),VLOOKUP(tables_548100!C333,input_548100!A:H,8,FALSE))</f>
        <v>4000</v>
      </c>
      <c r="P333" s="46">
        <f t="shared" ca="1" si="26"/>
        <v>6.9444444441550907E-4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input_548100!A$2</f>
        <v>548100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IFERROR(VLOOKUP(B334,input_548100!L:R,7,FALSE),VLOOKUP(tables_548100!C334,input_548100!A:H,8,FALSE))</f>
        <v>49068</v>
      </c>
      <c r="P334" s="46">
        <f t="shared" ca="1" si="26"/>
        <v>8.5187499996450498E-3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input_548100!A$2</f>
        <v>548100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IFERROR(VLOOKUP(B335,input_548100!L:R,7,FALSE),VLOOKUP(tables_548100!C335,input_548100!A:H,8,FALSE))</f>
        <v>5640</v>
      </c>
      <c r="P335" s="46">
        <f t="shared" ca="1" si="26"/>
        <v>9.7916666662586785E-4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input_548100!A$2</f>
        <v>548100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IFERROR(VLOOKUP(B336,input_548100!L:R,7,FALSE),VLOOKUP(tables_548100!C336,input_548100!A:H,8,FALSE))</f>
        <v>49068</v>
      </c>
      <c r="P336" s="46">
        <f t="shared" ca="1" si="26"/>
        <v>8.5187499996450498E-3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input_548100!A$2</f>
        <v>548100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IFERROR(VLOOKUP(B337,input_548100!L:R,7,FALSE),VLOOKUP(tables_548100!C337,input_548100!A:H,8,FALSE))</f>
        <v>5640</v>
      </c>
      <c r="P337" s="46">
        <f t="shared" ca="1" si="26"/>
        <v>9.7916666662586785E-4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input_548100!A$2</f>
        <v>548100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IFERROR(VLOOKUP(B338,input_548100!L:R,7,FALSE),VLOOKUP(tables_548100!C338,input_548100!A:H,8,FALSE))</f>
        <v>4000</v>
      </c>
      <c r="P338" s="46">
        <f t="shared" ca="1" si="26"/>
        <v>6.9444444441550907E-4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input_548100!A$2</f>
        <v>548100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IFERROR(VLOOKUP(B339,input_548100!L:R,7,FALSE),VLOOKUP(tables_548100!C339,input_548100!A:H,8,FALSE))</f>
        <v>4000</v>
      </c>
      <c r="P339" s="46">
        <f t="shared" ca="1" si="26"/>
        <v>6.9444444441550907E-4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input_548100!A$2</f>
        <v>548100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IFERROR(VLOOKUP(B340,input_548100!L:R,7,FALSE),VLOOKUP(tables_548100!C340,input_548100!A:H,8,FALSE))</f>
        <v>4000</v>
      </c>
      <c r="P340" s="46">
        <f t="shared" ca="1" si="26"/>
        <v>6.9444444441550907E-4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input_548100!A$2</f>
        <v>548100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IFERROR(VLOOKUP(B341,input_548100!L:R,7,FALSE),VLOOKUP(tables_548100!C341,input_548100!A:H,8,FALSE))</f>
        <v>4000</v>
      </c>
      <c r="P341" s="46">
        <f t="shared" ref="P341:P346" ca="1" si="35">O341/SUM(O:O)</f>
        <v>6.9444444441550907E-4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input_548100!A$2</f>
        <v>548100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IFERROR(VLOOKUP(B342,input_548100!L:R,7,FALSE),VLOOKUP(tables_548100!C342,input_548100!A:H,8,FALSE))</f>
        <v>4000</v>
      </c>
      <c r="P342" s="46">
        <f t="shared" ca="1" si="35"/>
        <v>6.9444444441550907E-4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input_548100!A$2</f>
        <v>548100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IFERROR(VLOOKUP(B343,input_548100!L:R,7,FALSE),VLOOKUP(tables_548100!C343,input_548100!A:H,8,FALSE))</f>
        <v>49068</v>
      </c>
      <c r="P343" s="46">
        <f t="shared" ca="1" si="35"/>
        <v>8.5187499996450498E-3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input_548100!A$2</f>
        <v>548100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IFERROR(VLOOKUP(B344,input_548100!L:R,7,FALSE),VLOOKUP(tables_548100!C344,input_548100!A:H,8,FALSE))</f>
        <v>5640</v>
      </c>
      <c r="P344" s="46">
        <f t="shared" ca="1" si="35"/>
        <v>9.7916666662586785E-4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input_548100!A$2</f>
        <v>548100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IFERROR(VLOOKUP(B345,input_548100!L:R,7,FALSE),VLOOKUP(tables_548100!C345,input_548100!A:H,8,FALSE))</f>
        <v>4000</v>
      </c>
      <c r="P345" s="46">
        <f t="shared" ca="1" si="35"/>
        <v>6.9444444441550907E-4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input_548100!A$2</f>
        <v>548100</v>
      </c>
      <c r="B346" s="1">
        <v>1260</v>
      </c>
      <c r="C346" s="7" t="str">
        <f t="shared" si="33"/>
        <v>PremiumSS5R5only</v>
      </c>
      <c r="D346" s="9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IFERROR(VLOOKUP(B346,input_548100!L:R,7,FALSE),VLOOKUP(tables_548100!C346,input_548100!A:H,8,FALSE))</f>
        <v>4000</v>
      </c>
      <c r="P346" s="46">
        <f t="shared" ca="1" si="35"/>
        <v>6.9444444441550907E-4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input_548100!A$2</f>
        <v>548100</v>
      </c>
      <c r="B347" s="1">
        <v>1262</v>
      </c>
      <c r="C347" s="7" t="str">
        <f t="shared" ref="C347" si="36">D347&amp;J347&amp;E347&amp;F347&amp;G347</f>
        <v>PremiumSS5R5only</v>
      </c>
      <c r="D347" s="97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IFERROR(VLOOKUP(B347,input_548100!L:R,7,FALSE),VLOOKUP(tables_548100!C347,input_548100!A:H,8,FALSE))</f>
        <v>4000</v>
      </c>
      <c r="P347" s="46">
        <f ca="1">O347/SUM(O:O)</f>
        <v>6.9444444441550907E-4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input_548100!A$2</f>
        <v>548100</v>
      </c>
      <c r="B348" s="1">
        <v>1264</v>
      </c>
      <c r="C348" s="7" t="str">
        <f t="shared" ref="C348:C357" si="38">D348&amp;J348&amp;E348&amp;F348&amp;G348</f>
        <v>PremiumSS5R5only</v>
      </c>
      <c r="D348" s="97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IFERROR(VLOOKUP(B348,input_548100!L:R,7,FALSE),VLOOKUP(tables_548100!C348,input_548100!A:H,8,FALSE))</f>
        <v>4000</v>
      </c>
      <c r="P348" s="46">
        <f t="shared" ref="P348:P357" ca="1" si="40">O348/SUM(O:O)</f>
        <v>6.9444444441550907E-4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input_548100!A$2</f>
        <v>548100</v>
      </c>
      <c r="B349" s="1">
        <v>1266</v>
      </c>
      <c r="C349" s="7" t="str">
        <f t="shared" si="38"/>
        <v>Premium4R3less</v>
      </c>
      <c r="D349" s="9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IFERROR(VLOOKUP(B349,input_548100!L:R,7,FALSE),VLOOKUP(tables_548100!C349,input_548100!A:H,8,FALSE))</f>
        <v>49068</v>
      </c>
      <c r="P349" s="46">
        <f t="shared" ca="1" si="40"/>
        <v>8.5187499996450498E-3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input_548100!A$2</f>
        <v>548100</v>
      </c>
      <c r="B350" s="1">
        <v>1267</v>
      </c>
      <c r="C350" s="7" t="str">
        <f t="shared" si="38"/>
        <v>Premium5R3less</v>
      </c>
      <c r="D350" s="9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IFERROR(VLOOKUP(B350,input_548100!L:R,7,FALSE),VLOOKUP(tables_548100!C350,input_548100!A:H,8,FALSE))</f>
        <v>5640</v>
      </c>
      <c r="P350" s="46">
        <f t="shared" ca="1" si="40"/>
        <v>9.7916666662586785E-4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input_548100!A$2</f>
        <v>548100</v>
      </c>
      <c r="B351" s="102">
        <v>1332</v>
      </c>
      <c r="C351" s="7" t="str">
        <f t="shared" si="38"/>
        <v>PremiumSS5R5only</v>
      </c>
      <c r="D351" s="9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IFERROR(VLOOKUP(B351,input_548100!L:R,7,FALSE),VLOOKUP(tables_548100!C351,input_548100!A:H,8,FALSE))</f>
        <v>4000</v>
      </c>
      <c r="P351" s="46">
        <f t="shared" ca="1" si="40"/>
        <v>6.9444444441550907E-4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input_548100!A$2</f>
        <v>548100</v>
      </c>
      <c r="B352" s="102">
        <v>1336</v>
      </c>
      <c r="C352" s="7" t="str">
        <f t="shared" si="38"/>
        <v>PremiumSS5R5only</v>
      </c>
      <c r="D352" s="9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IFERROR(VLOOKUP(B352,input_548100!L:R,7,FALSE),VLOOKUP(tables_548100!C352,input_548100!A:H,8,FALSE))</f>
        <v>4000</v>
      </c>
      <c r="P352" s="46">
        <f t="shared" ca="1" si="40"/>
        <v>6.9444444441550907E-4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input_548100!A$2</f>
        <v>548100</v>
      </c>
      <c r="B353" s="102">
        <v>1338</v>
      </c>
      <c r="C353" s="7" t="str">
        <f t="shared" si="38"/>
        <v>PremiumSS5R5only</v>
      </c>
      <c r="D353" s="9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IFERROR(VLOOKUP(B353,input_548100!L:R,7,FALSE),VLOOKUP(tables_548100!C353,input_548100!A:H,8,FALSE))</f>
        <v>4000</v>
      </c>
      <c r="P353" s="46">
        <f t="shared" ca="1" si="40"/>
        <v>6.9444444441550907E-4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input_548100!A$2</f>
        <v>548100</v>
      </c>
      <c r="B354" s="102">
        <v>1334</v>
      </c>
      <c r="C354" s="7" t="str">
        <f t="shared" si="38"/>
        <v>Premium4R3less</v>
      </c>
      <c r="D354" s="9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IFERROR(VLOOKUP(B354,input_548100!L:R,7,FALSE),VLOOKUP(tables_548100!C354,input_548100!A:H,8,FALSE))</f>
        <v>49068</v>
      </c>
      <c r="P354" s="46">
        <f t="shared" ca="1" si="40"/>
        <v>8.5187499996450498E-3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input_548100!A$2</f>
        <v>548100</v>
      </c>
      <c r="B355" s="102">
        <v>1335</v>
      </c>
      <c r="C355" s="7" t="str">
        <f t="shared" si="38"/>
        <v>Premium5R3less</v>
      </c>
      <c r="D355" s="9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IFERROR(VLOOKUP(B355,input_548100!L:R,7,FALSE),VLOOKUP(tables_548100!C355,input_548100!A:H,8,FALSE))</f>
        <v>5640</v>
      </c>
      <c r="P355" s="46">
        <f t="shared" ca="1" si="40"/>
        <v>9.7916666662586785E-4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input_548100!A$2</f>
        <v>548100</v>
      </c>
      <c r="B356" s="102">
        <v>1425</v>
      </c>
      <c r="C356" s="7" t="str">
        <f t="shared" si="38"/>
        <v>PremiumSSS5R3less</v>
      </c>
      <c r="D356" s="97" t="str">
        <f t="shared" si="3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ヴォルタ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IFERROR(VLOOKUP(B356,input_548100!L:R,7,FALSE),VLOOKUP(tables_548100!C356,input_548100!A:H,8,FALSE))</f>
        <v>28800</v>
      </c>
      <c r="P356" s="46">
        <f t="shared" ca="1" si="40"/>
        <v>4.999999999791665E-3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input_548100!A$2</f>
        <v>548100</v>
      </c>
      <c r="B357" s="102">
        <v>489</v>
      </c>
      <c r="C357" s="7" t="str">
        <f t="shared" si="38"/>
        <v>PremiumSSS5R3less</v>
      </c>
      <c r="D357" s="97" t="str">
        <f t="shared" si="3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宇宙の拡超 ハップル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technical</v>
      </c>
      <c r="M357" s="7" t="str">
        <f>VLOOKUP(B357,[1]characters!$A:$M,13,FALSE)</f>
        <v>human</v>
      </c>
      <c r="N357" s="7" t="str">
        <f>VLOOKUP(B357,[1]characters!$A:$G,7,FALSE)</f>
        <v>女性</v>
      </c>
      <c r="O357" s="45">
        <f ca="1">IFERROR(VLOOKUP(B357,input_548100!L:R,7,FALSE),VLOOKUP(tables_548100!C357,input_548100!A:H,8,FALSE))</f>
        <v>28800</v>
      </c>
      <c r="P357" s="46">
        <f t="shared" ca="1" si="40"/>
        <v>4.999999999791665E-3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VLOOKUP(L3,tables_settle_548100!B:C,2,FALSE)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VLOOKUP(L4,tables_settle_548100!B:C,2,FALSE)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(COUNTIF(tables_settle_548100!C:C,input_settle_548100!A28)+COUNTIF(tables_settle_548100!C:C,input_settle_548100!A29))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VLOOKUP(L5,tables_settle_548100!B:C,2,FALSE)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9.7916666666666655E-3</v>
      </c>
      <c r="F6">
        <f>(COUNTIF(tables_settle_548100!C:C,input_settle_548100!A25)+COUNTIF(tables_settle_548100!C:C,input_settle_548100!A18)+COUNTIF(tables_settle_548100!C:C,input_settle_548100!A20)+COUNTIF(tables_settle_548100!C:C,input_settle_548100!A22))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VLOOKUP(L6,tables_settle_548100!B:C,2,FALSE)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VLOOKUP(L7,tables_settle_548100!B:C,2,FALSE)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VLOOKUP(L8,tables_settle_548100!B:C,2,FALSE)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VLOOKUP(L9,tables_settle_548100!B:C,2,FALSE)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VLOOKUP(L10,tables_settle_548100!B:C,2,FALSE)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VLOOKUP(L11,tables_settle_548100!B:C,2,FALSE)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VLOOKUP(L12,tables_settle_548100!B:C,2,FALSE)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VLOOKUP(L13,tables_settle_548100!B:C,2,FALSE)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VLOOKUP(L14,tables_settle_548100!B:C,2,FALSE)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VLOOKUP(L15,tables_settle_548100!B:C,2,FALSE)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VLOOKUP(L16,tables_settle_548100!B:C,2,FALSE)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COUNTIF(tables_settle_548100!C:C,input_settle_548100!A17)-COUNTIF(Q:Q,A17)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VLOOKUP(L17,tables_settle_548100!B:C,2,FALSE)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5">
        <f t="shared" si="2"/>
        <v>0</v>
      </c>
      <c r="D18" s="74">
        <f t="shared" si="3"/>
        <v>0</v>
      </c>
      <c r="E18">
        <f>COUNTIF(tables_settle_548100!C:C,input_settle_548100!A18)-COUNTIF(Q:Q,A18)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VLOOKUP(L18,tables_settle_548100!B:C,2,FALSE)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COUNTIF(tables_settle_548100!C:C,input_settle_548100!A19)-COUNTIF(Q:Q,A19)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VLOOKUP(L19,tables_settle_548100!B:C,2,FALSE)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COUNTIF(tables_settle_548100!C:C,input_settle_548100!A20)-COUNTIF(Q:Q,A20)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VLOOKUP(L20,tables_settle_548100!B:C,2,FALSE)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0.64624999999999988</v>
      </c>
      <c r="C21" s="85">
        <f t="shared" si="2"/>
        <v>0</v>
      </c>
      <c r="D21" s="74">
        <f t="shared" si="3"/>
        <v>0.64624999999999988</v>
      </c>
      <c r="E21">
        <f>COUNTIF(tables_settle_548100!C:C,input_settle_548100!A21)-COUNTIF(Q:Q,A21)</f>
        <v>52</v>
      </c>
      <c r="F21" s="43">
        <f t="shared" si="8"/>
        <v>1.2427884615384613E-2</v>
      </c>
      <c r="G21">
        <f t="shared" si="4"/>
        <v>3722399.9999999995</v>
      </c>
      <c r="H21">
        <f t="shared" si="5"/>
        <v>71584.615380000003</v>
      </c>
      <c r="I21">
        <f t="shared" si="6"/>
        <v>0.61538000000291504</v>
      </c>
      <c r="J21">
        <f t="shared" si="7"/>
        <v>1.6250121875837094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COUNTIF(tables_settle_548100!C:C,input_settle_548100!A22)-COUNTIF(Q:Q,A22)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0.25458333333333333</v>
      </c>
      <c r="C23" s="85">
        <f t="shared" si="2"/>
        <v>0</v>
      </c>
      <c r="D23" s="74">
        <f t="shared" si="3"/>
        <v>0.25458333333333333</v>
      </c>
      <c r="E23">
        <f>COUNTIF(tables_settle_548100!C:C,input_settle_548100!A23)-COUNTIF(Q:Q,A23)</f>
        <v>26</v>
      </c>
      <c r="F23" s="43">
        <f t="shared" si="8"/>
        <v>9.7916666666666673E-3</v>
      </c>
      <c r="G23">
        <f t="shared" si="4"/>
        <v>1466400</v>
      </c>
      <c r="H23">
        <f t="shared" si="5"/>
        <v>56400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COUNTIF(tables_settle_548100!C:C,input_settle_548100!A24)-COUNTIF(Q:Q,A24)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COUNTIF(tables_settle_548100!C:C,input_settle_548100!A25)-COUNTIF(Q:Q,A25)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3.9166666666666662E-2</v>
      </c>
      <c r="C26" s="85">
        <f t="shared" si="2"/>
        <v>0</v>
      </c>
      <c r="D26" s="74">
        <f t="shared" si="3"/>
        <v>3.9166666666666662E-2</v>
      </c>
      <c r="E26">
        <f>COUNTIF(tables_settle_548100!C:C,input_settle_548100!A26)-COUNTIF(Q:Q,A26)</f>
        <v>4</v>
      </c>
      <c r="F26" s="43">
        <f t="shared" si="8"/>
        <v>9.7916666666666655E-3</v>
      </c>
      <c r="G26">
        <f t="shared" si="4"/>
        <v>225599.99999999997</v>
      </c>
      <c r="H26">
        <f t="shared" si="5"/>
        <v>56400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COUNTIF(tables_settle_548100!C:C,input_settle_548100!A27)-COUNTIF(Q:Q,A27)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1.9444444444444445E-2</v>
      </c>
      <c r="C28" s="85">
        <f t="shared" si="2"/>
        <v>0</v>
      </c>
      <c r="D28" s="74">
        <f t="shared" si="3"/>
        <v>1.9444444444444445E-2</v>
      </c>
      <c r="E28">
        <f>COUNTIF(tables_settle_548100!C:C,input_settle_548100!A28)-COUNTIF(Q:Q,A28)</f>
        <v>28</v>
      </c>
      <c r="F28" s="43">
        <f t="shared" si="8"/>
        <v>6.9444444444444447E-4</v>
      </c>
      <c r="G28">
        <f t="shared" si="4"/>
        <v>112000</v>
      </c>
      <c r="H28">
        <f t="shared" si="5"/>
        <v>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COUNTIF(tables_settle_548100!C:C,input_settle_548100!A29)-COUNTIF(Q:Q,A29)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COUNTIF(tables_settle_548100!C:C,input_settle_548100!A30)-COUNTIF(Q:Q,A30)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COUNTIF(tables_settle_548100!C:C,input_settle_548100!A31)-COUNTIF(Q:Q,A31)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SUMIF(tables_settle_548100!C:C,input_settle_548100!A40,tables_settle_548100!O:O)</f>
        <v>0</v>
      </c>
      <c r="C40" s="54">
        <f t="shared" ref="C40:C46" ca="1" si="9">B40/B$47</f>
        <v>0</v>
      </c>
      <c r="E40">
        <v>3</v>
      </c>
      <c r="F40">
        <f ca="1">SUMIF(tables_settle_548100!J:J,input_settle_548100!E40,tables_settle_548100!O:O)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SUMIF(tables_settle_548100!C:C,input_settle_548100!A41,tables_settle_548100!O:O)</f>
        <v>0</v>
      </c>
      <c r="C41" s="54">
        <f t="shared" ca="1" si="9"/>
        <v>0</v>
      </c>
      <c r="E41">
        <v>4</v>
      </c>
      <c r="F41">
        <f ca="1">SUMIF(tables_settle_548100!J:J,input_settle_548100!E41,tables_settle_548100!O:O)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SUMIF(tables_settle_548100!C:C,input_settle_548100!A42,tables_settle_548100!O:O)</f>
        <v>0</v>
      </c>
      <c r="C42" s="54">
        <f t="shared" ca="1" si="9"/>
        <v>0</v>
      </c>
      <c r="E42">
        <v>5</v>
      </c>
      <c r="F42">
        <f ca="1">SUMIF(tables_settle_548100!J:J,input_settle_548100!E42,tables_settle_548100!O:O)</f>
        <v>5759999.9997599982</v>
      </c>
      <c r="G42">
        <f ca="1">F42/A36</f>
        <v>0.999999999958333</v>
      </c>
    </row>
    <row r="43" spans="1:7" x14ac:dyDescent="0.15">
      <c r="A43" s="33" t="s">
        <v>109</v>
      </c>
      <c r="B43">
        <f>SUMIF(tables_settle_548100!C:C,input_settle_548100!A43,tables_settle_548100!O:O)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SUMIF(tables_settle_548100!C:C,input_settle_548100!A44,tables_settle_548100!O:O)</f>
        <v>3722399.9997599977</v>
      </c>
      <c r="C44" s="54">
        <f t="shared" ca="1" si="9"/>
        <v>0.97079073648888736</v>
      </c>
      <c r="E44" t="s">
        <v>54</v>
      </c>
      <c r="F44" s="55"/>
    </row>
    <row r="45" spans="1:7" x14ac:dyDescent="0.15">
      <c r="A45" s="33" t="s">
        <v>107</v>
      </c>
      <c r="B45">
        <f ca="1">SUMIF(tables_settle_548100!C:C,input_settle_548100!A45,tables_settle_548100!O:O)</f>
        <v>112000</v>
      </c>
      <c r="C45" s="54">
        <f t="shared" ca="1" si="9"/>
        <v>2.9209263511112634E-2</v>
      </c>
      <c r="E45" t="s">
        <v>204</v>
      </c>
      <c r="F45" s="55">
        <f ca="1">SUMIF(tables_settle_548100!I:I,input_settle_548100!E45,tables_settle_548100!P:P)</f>
        <v>5.8750000002447934E-2</v>
      </c>
    </row>
    <row r="46" spans="1:7" x14ac:dyDescent="0.15">
      <c r="A46" s="33" t="s">
        <v>108</v>
      </c>
      <c r="B46">
        <f>SUMIF(tables_settle_548100!C:C,input_settle_548100!A46,tables_settle_548100!O:O)</f>
        <v>0</v>
      </c>
      <c r="C46" s="54">
        <f t="shared" ca="1" si="9"/>
        <v>0</v>
      </c>
      <c r="E46" t="s">
        <v>205</v>
      </c>
      <c r="F46" s="55">
        <f ca="1">SUMIF(tables_settle_548100!I:I,input_settle_548100!E46,tables_settle_548100!P:P)</f>
        <v>0.24064903845794378</v>
      </c>
    </row>
    <row r="47" spans="1:7" x14ac:dyDescent="0.15">
      <c r="A47" s="39" t="s">
        <v>59</v>
      </c>
      <c r="B47">
        <f ca="1">SUM(B40:B46)</f>
        <v>3834399.9997599977</v>
      </c>
      <c r="C47" s="55">
        <f ca="1">SUM(C40:C46)</f>
        <v>1</v>
      </c>
      <c r="E47" t="s">
        <v>206</v>
      </c>
      <c r="F47" s="55">
        <f ca="1">SUMIF(tables_settle_548100!I:I,input_settle_548100!E47,tables_settle_548100!P:P)</f>
        <v>0.64060096153710888</v>
      </c>
    </row>
    <row r="48" spans="1:7" x14ac:dyDescent="0.15">
      <c r="E48" t="s">
        <v>207</v>
      </c>
      <c r="F48" s="55">
        <f ca="1">SUMIF(tables_settle_548100!I:I,input_settle_548100!E48,tables_settle_548100!P:P)</f>
        <v>4.3750000001822907E-2</v>
      </c>
      <c r="G48" s="55">
        <f ca="1">0.05-F48-F49</f>
        <v>-2.0833230973682504E-12</v>
      </c>
    </row>
    <row r="49" spans="5:7" x14ac:dyDescent="0.15">
      <c r="E49" t="s">
        <v>249</v>
      </c>
      <c r="F49" s="55">
        <f ca="1">SUMIF(tables_settle_548100!I:I,input_settle_548100!E49,tables_settle_548100!P:P)</f>
        <v>6.2500000002604188E-3</v>
      </c>
      <c r="G49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0" activePane="bottomLeft" state="frozen"/>
      <selection activeCell="P347" sqref="P347"/>
      <selection pane="bottomLeft" activeCell="I357" sqref="I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input_settle_548100!A$2</f>
        <v>548100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IFERROR(VLOOKUP(B2,input_settle_548100!L:R,7,FALSE),VLOOKUP(tables_settle_548100!C2,input_settle_548100!A:H,8,FALSE))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input_settle_548100!A$2</f>
        <v>548100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IFERROR(VLOOKUP(B3,input_settle_548100!L:R,7,FALSE),VLOOKUP(tables_settle_548100!C3,input_settle_548100!A:H,8,FALSE))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input_settle_548100!A$2</f>
        <v>548100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IFERROR(VLOOKUP(B4,input_settle_548100!L:R,7,FALSE),VLOOKUP(tables_settle_548100!C4,input_settle_548100!A:H,8,FALSE))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input_settle_548100!A$2</f>
        <v>548100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IFERROR(VLOOKUP(B5,input_settle_548100!L:R,7,FALSE),VLOOKUP(tables_settle_548100!C5,input_settle_548100!A:H,8,FALSE))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input_settle_548100!A$2</f>
        <v>548100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IFERROR(VLOOKUP(B6,input_settle_548100!L:R,7,FALSE),VLOOKUP(tables_settle_548100!C6,input_settle_548100!A:H,8,FALSE))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input_settle_548100!A$2</f>
        <v>548100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IFERROR(VLOOKUP(B7,input_settle_548100!L:R,7,FALSE),VLOOKUP(tables_settle_548100!C7,input_settle_548100!A:H,8,FALSE))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input_settle_548100!A$2</f>
        <v>548100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IFERROR(VLOOKUP(B8,input_settle_548100!L:R,7,FALSE),VLOOKUP(tables_settle_548100!C8,input_settle_548100!A:H,8,FALSE))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input_settle_548100!A$2</f>
        <v>548100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IFERROR(VLOOKUP(B9,input_settle_548100!L:R,7,FALSE),VLOOKUP(tables_settle_548100!C9,input_settle_548100!A:H,8,FALSE))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input_settle_548100!A$2</f>
        <v>548100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IFERROR(VLOOKUP(B10,input_settle_548100!L:R,7,FALSE),VLOOKUP(tables_settle_548100!C10,input_settle_548100!A:H,8,FALSE))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input_settle_548100!A$2</f>
        <v>548100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IFERROR(VLOOKUP(B11,input_settle_548100!L:R,7,FALSE),VLOOKUP(tables_settle_548100!C11,input_settle_548100!A:H,8,FALSE))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input_settle_548100!A$2</f>
        <v>548100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IFERROR(VLOOKUP(B12,input_settle_548100!L:R,7,FALSE),VLOOKUP(tables_settle_548100!C12,input_settle_548100!A:H,8,FALSE))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input_settle_548100!A$2</f>
        <v>548100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IFERROR(VLOOKUP(B13,input_settle_548100!L:R,7,FALSE),VLOOKUP(tables_settle_548100!C13,input_settle_548100!A:H,8,FALSE))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input_settle_548100!A$2</f>
        <v>548100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IFERROR(VLOOKUP(B14,input_settle_548100!L:R,7,FALSE),VLOOKUP(tables_settle_548100!C14,input_settle_548100!A:H,8,FALSE))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input_settle_548100!A$2</f>
        <v>548100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IFERROR(VLOOKUP(B15,input_settle_548100!L:R,7,FALSE),VLOOKUP(tables_settle_548100!C15,input_settle_548100!A:H,8,FALSE))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input_settle_548100!A$2</f>
        <v>548100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IFERROR(VLOOKUP(B16,input_settle_548100!L:R,7,FALSE),VLOOKUP(tables_settle_548100!C16,input_settle_548100!A:H,8,FALSE))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input_settle_548100!A$2</f>
        <v>548100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IFERROR(VLOOKUP(B17,input_settle_548100!L:R,7,FALSE),VLOOKUP(tables_settle_548100!C17,input_settle_548100!A:H,8,FALSE))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input_settle_548100!A$2</f>
        <v>548100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IFERROR(VLOOKUP(B18,input_settle_548100!L:R,7,FALSE),VLOOKUP(tables_settle_548100!C18,input_settle_548100!A:H,8,FALSE))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input_settle_548100!A$2</f>
        <v>548100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IFERROR(VLOOKUP(B19,input_settle_548100!L:R,7,FALSE),VLOOKUP(tables_settle_548100!C19,input_settle_548100!A:H,8,FALSE))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input_settle_548100!A$2</f>
        <v>548100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IFERROR(VLOOKUP(B20,input_settle_548100!L:R,7,FALSE),VLOOKUP(tables_settle_548100!C20,input_settle_548100!A:H,8,FALSE))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input_settle_548100!A$2</f>
        <v>548100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IFERROR(VLOOKUP(B21,input_settle_548100!L:R,7,FALSE),VLOOKUP(tables_settle_548100!C21,input_settle_548100!A:H,8,FALSE))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input_settle_548100!A$2</f>
        <v>548100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IFERROR(VLOOKUP(B22,input_settle_548100!L:R,7,FALSE),VLOOKUP(tables_settle_548100!C22,input_settle_548100!A:H,8,FALSE))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input_settle_548100!A$2</f>
        <v>548100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IFERROR(VLOOKUP(B23,input_settle_548100!L:R,7,FALSE),VLOOKUP(tables_settle_548100!C23,input_settle_548100!A:H,8,FALSE))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input_settle_548100!A$2</f>
        <v>548100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IFERROR(VLOOKUP(B24,input_settle_548100!L:R,7,FALSE),VLOOKUP(tables_settle_548100!C24,input_settle_548100!A:H,8,FALSE))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input_settle_548100!A$2</f>
        <v>548100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IFERROR(VLOOKUP(B25,input_settle_548100!L:R,7,FALSE),VLOOKUP(tables_settle_548100!C25,input_settle_548100!A:H,8,FALSE))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input_settle_548100!A$2</f>
        <v>548100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IFERROR(VLOOKUP(B26,input_settle_548100!L:R,7,FALSE),VLOOKUP(tables_settle_548100!C26,input_settle_548100!A:H,8,FALSE))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input_settle_548100!A$2</f>
        <v>548100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IFERROR(VLOOKUP(B27,input_settle_548100!L:R,7,FALSE),VLOOKUP(tables_settle_548100!C27,input_settle_548100!A:H,8,FALSE))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input_settle_548100!A$2</f>
        <v>548100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IFERROR(VLOOKUP(B28,input_settle_548100!L:R,7,FALSE),VLOOKUP(tables_settle_548100!C28,input_settle_548100!A:H,8,FALSE))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input_settle_548100!A$2</f>
        <v>548100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IFERROR(VLOOKUP(B29,input_settle_548100!L:R,7,FALSE),VLOOKUP(tables_settle_548100!C29,input_settle_548100!A:H,8,FALSE))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input_settle_548100!A$2</f>
        <v>548100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IFERROR(VLOOKUP(B30,input_settle_548100!L:R,7,FALSE),VLOOKUP(tables_settle_548100!C30,input_settle_548100!A:H,8,FALSE))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input_settle_548100!A$2</f>
        <v>548100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IFERROR(VLOOKUP(B31,input_settle_548100!L:R,7,FALSE),VLOOKUP(tables_settle_548100!C31,input_settle_548100!A:H,8,FALSE))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input_settle_548100!A$2</f>
        <v>548100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IFERROR(VLOOKUP(B32,input_settle_548100!L:R,7,FALSE),VLOOKUP(tables_settle_548100!C32,input_settle_548100!A:H,8,FALSE))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input_settle_548100!A$2</f>
        <v>548100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IFERROR(VLOOKUP(B33,input_settle_548100!L:R,7,FALSE),VLOOKUP(tables_settle_548100!C33,input_settle_548100!A:H,8,FALSE))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input_settle_548100!A$2</f>
        <v>548100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IFERROR(VLOOKUP(B34,input_settle_548100!L:R,7,FALSE),VLOOKUP(tables_settle_548100!C34,input_settle_548100!A:H,8,FALSE))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input_settle_548100!A$2</f>
        <v>548100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IFERROR(VLOOKUP(B35,input_settle_548100!L:R,7,FALSE),VLOOKUP(tables_settle_548100!C35,input_settle_548100!A:H,8,FALSE))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input_settle_548100!A$2</f>
        <v>548100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IFERROR(VLOOKUP(B36,input_settle_548100!L:R,7,FALSE),VLOOKUP(tables_settle_548100!C36,input_settle_548100!A:H,8,FALSE))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input_settle_548100!A$2</f>
        <v>548100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IFERROR(VLOOKUP(B37,input_settle_548100!L:R,7,FALSE),VLOOKUP(tables_settle_548100!C37,input_settle_548100!A:H,8,FALSE))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input_settle_548100!A$2</f>
        <v>548100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IFERROR(VLOOKUP(B38,input_settle_548100!L:R,7,FALSE),VLOOKUP(tables_settle_548100!C38,input_settle_548100!A:H,8,FALSE))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input_settle_548100!A$2</f>
        <v>548100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IFERROR(VLOOKUP(B39,input_settle_548100!L:R,7,FALSE),VLOOKUP(tables_settle_548100!C39,input_settle_548100!A:H,8,FALSE))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input_settle_548100!A$2</f>
        <v>548100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IFERROR(VLOOKUP(B40,input_settle_548100!L:R,7,FALSE),VLOOKUP(tables_settle_548100!C40,input_settle_548100!A:H,8,FALSE))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input_settle_548100!A$2</f>
        <v>548100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IFERROR(VLOOKUP(B41,input_settle_548100!L:R,7,FALSE),VLOOKUP(tables_settle_548100!C41,input_settle_548100!A:H,8,FALSE))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input_settle_548100!A$2</f>
        <v>548100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IFERROR(VLOOKUP(B42,input_settle_548100!L:R,7,FALSE),VLOOKUP(tables_settle_548100!C42,input_settle_548100!A:H,8,FALSE))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input_settle_548100!A$2</f>
        <v>548100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IFERROR(VLOOKUP(B43,input_settle_548100!L:R,7,FALSE),VLOOKUP(tables_settle_548100!C43,input_settle_548100!A:H,8,FALSE))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input_settle_548100!A$2</f>
        <v>548100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IFERROR(VLOOKUP(B44,input_settle_548100!L:R,7,FALSE),VLOOKUP(tables_settle_548100!C44,input_settle_548100!A:H,8,FALSE))</f>
        <v>56400</v>
      </c>
      <c r="P44" s="46">
        <f t="shared" ca="1" si="1"/>
        <v>9.7916666670746551E-3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input_settle_548100!A$2</f>
        <v>548100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IFERROR(VLOOKUP(B45,input_settle_548100!L:R,7,FALSE),VLOOKUP(tables_settle_548100!C45,input_settle_548100!A:H,8,FALSE))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input_settle_548100!A$2</f>
        <v>548100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IFERROR(VLOOKUP(B46,input_settle_548100!L:R,7,FALSE),VLOOKUP(tables_settle_548100!C46,input_settle_548100!A:H,8,FALSE))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input_settle_548100!A$2</f>
        <v>548100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IFERROR(VLOOKUP(B47,input_settle_548100!L:R,7,FALSE),VLOOKUP(tables_settle_548100!C47,input_settle_548100!A:H,8,FALSE))</f>
        <v>56400</v>
      </c>
      <c r="P47" s="46">
        <f t="shared" ca="1" si="1"/>
        <v>9.7916666670746551E-3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input_settle_548100!A$2</f>
        <v>548100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IFERROR(VLOOKUP(B48,input_settle_548100!L:R,7,FALSE),VLOOKUP(tables_settle_548100!C48,input_settle_548100!A:H,8,FALSE))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input_settle_548100!A$2</f>
        <v>548100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IFERROR(VLOOKUP(B49,input_settle_548100!L:R,7,FALSE),VLOOKUP(tables_settle_548100!C49,input_settle_548100!A:H,8,FALSE))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input_settle_548100!A$2</f>
        <v>548100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IFERROR(VLOOKUP(B50,input_settle_548100!L:R,7,FALSE),VLOOKUP(tables_settle_548100!C50,input_settle_548100!A:H,8,FALSE))</f>
        <v>56400</v>
      </c>
      <c r="P50" s="46">
        <f t="shared" ca="1" si="1"/>
        <v>9.7916666670746551E-3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input_settle_548100!A$2</f>
        <v>548100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IFERROR(VLOOKUP(B51,input_settle_548100!L:R,7,FALSE),VLOOKUP(tables_settle_548100!C51,input_settle_548100!A:H,8,FALSE))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input_settle_548100!A$2</f>
        <v>548100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IFERROR(VLOOKUP(B52,input_settle_548100!L:R,7,FALSE),VLOOKUP(tables_settle_548100!C52,input_settle_548100!A:H,8,FALSE))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input_settle_548100!A$2</f>
        <v>548100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IFERROR(VLOOKUP(B53,input_settle_548100!L:R,7,FALSE),VLOOKUP(tables_settle_548100!C53,input_settle_548100!A:H,8,FALSE))</f>
        <v>71584.615380000003</v>
      </c>
      <c r="P53" s="46">
        <f t="shared" ca="1" si="1"/>
        <v>1.2427884615101166E-2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input_settle_548100!A$2</f>
        <v>548100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IFERROR(VLOOKUP(B54,input_settle_548100!L:R,7,FALSE),VLOOKUP(tables_settle_548100!C54,input_settle_548100!A:H,8,FALSE))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input_settle_548100!A$2</f>
        <v>548100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IFERROR(VLOOKUP(B55,input_settle_548100!L:R,7,FALSE),VLOOKUP(tables_settle_548100!C55,input_settle_548100!A:H,8,FALSE))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input_settle_548100!A$2</f>
        <v>548100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IFERROR(VLOOKUP(B56,input_settle_548100!L:R,7,FALSE),VLOOKUP(tables_settle_548100!C56,input_settle_548100!A:H,8,FALSE))</f>
        <v>71584.615380000003</v>
      </c>
      <c r="P56" s="46">
        <f t="shared" ca="1" si="1"/>
        <v>1.2427884615101166E-2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input_settle_548100!A$2</f>
        <v>548100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IFERROR(VLOOKUP(B57,input_settle_548100!L:R,7,FALSE),VLOOKUP(tables_settle_548100!C57,input_settle_548100!A:H,8,FALSE))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input_settle_548100!A$2</f>
        <v>548100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IFERROR(VLOOKUP(B58,input_settle_548100!L:R,7,FALSE),VLOOKUP(tables_settle_548100!C58,input_settle_548100!A:H,8,FALSE))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input_settle_548100!A$2</f>
        <v>548100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IFERROR(VLOOKUP(B59,input_settle_548100!L:R,7,FALSE),VLOOKUP(tables_settle_548100!C59,input_settle_548100!A:H,8,FALSE))</f>
        <v>71584.615380000003</v>
      </c>
      <c r="P59" s="46">
        <f t="shared" ca="1" si="1"/>
        <v>1.2427884615101166E-2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input_settle_548100!A$2</f>
        <v>548100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IFERROR(VLOOKUP(B60,input_settle_548100!L:R,7,FALSE),VLOOKUP(tables_settle_548100!C60,input_settle_548100!A:H,8,FALSE))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input_settle_548100!A$2</f>
        <v>548100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IFERROR(VLOOKUP(B61,input_settle_548100!L:R,7,FALSE),VLOOKUP(tables_settle_548100!C61,input_settle_548100!A:H,8,FALSE))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input_settle_548100!A$2</f>
        <v>548100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IFERROR(VLOOKUP(B62,input_settle_548100!L:R,7,FALSE),VLOOKUP(tables_settle_548100!C62,input_settle_548100!A:H,8,FALSE))</f>
        <v>71584.615380000003</v>
      </c>
      <c r="P62" s="46">
        <f t="shared" ca="1" si="1"/>
        <v>1.2427884615101166E-2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input_settle_548100!A$2</f>
        <v>548100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IFERROR(VLOOKUP(B63,input_settle_548100!L:R,7,FALSE),VLOOKUP(tables_settle_548100!C63,input_settle_548100!A:H,8,FALSE))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input_settle_548100!A$2</f>
        <v>548100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IFERROR(VLOOKUP(B64,input_settle_548100!L:R,7,FALSE),VLOOKUP(tables_settle_548100!C64,input_settle_548100!A:H,8,FALSE))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input_settle_548100!A$2</f>
        <v>548100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IFERROR(VLOOKUP(B65,input_settle_548100!L:R,7,FALSE),VLOOKUP(tables_settle_548100!C65,input_settle_548100!A:H,8,FALSE))</f>
        <v>71584.615380000003</v>
      </c>
      <c r="P65" s="46">
        <f t="shared" ca="1" si="1"/>
        <v>1.2427884615101166E-2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input_settle_548100!A$2</f>
        <v>548100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IFERROR(VLOOKUP(B66,input_settle_548100!L:R,7,FALSE),VLOOKUP(tables_settle_548100!C66,input_settle_548100!A:H,8,FALSE))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input_settle_548100!A$2</f>
        <v>548100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IFERROR(VLOOKUP(B67,input_settle_548100!L:R,7,FALSE),VLOOKUP(tables_settle_548100!C67,input_settle_548100!A:H,8,FALSE))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input_settle_548100!A$2</f>
        <v>548100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IFERROR(VLOOKUP(B68,input_settle_548100!L:R,7,FALSE),VLOOKUP(tables_settle_548100!C68,input_settle_548100!A:H,8,FALSE))</f>
        <v>71584.615380000003</v>
      </c>
      <c r="P68" s="46">
        <f t="shared" ca="1" si="4"/>
        <v>1.2427884615101166E-2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input_settle_548100!A$2</f>
        <v>548100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IFERROR(VLOOKUP(B69,input_settle_548100!L:R,7,FALSE),VLOOKUP(tables_settle_548100!C69,input_settle_548100!A:H,8,FALSE))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input_settle_548100!A$2</f>
        <v>548100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IFERROR(VLOOKUP(B70,input_settle_548100!L:R,7,FALSE),VLOOKUP(tables_settle_548100!C70,input_settle_548100!A:H,8,FALSE))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input_settle_548100!A$2</f>
        <v>548100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IFERROR(VLOOKUP(B71,input_settle_548100!L:R,7,FALSE),VLOOKUP(tables_settle_548100!C71,input_settle_548100!A:H,8,FALSE))</f>
        <v>71584.615380000003</v>
      </c>
      <c r="P71" s="46">
        <f t="shared" ca="1" si="4"/>
        <v>1.2427884615101166E-2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input_settle_548100!A$2</f>
        <v>548100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IFERROR(VLOOKUP(B72,input_settle_548100!L:R,7,FALSE),VLOOKUP(tables_settle_548100!C72,input_settle_548100!A:H,8,FALSE))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input_settle_548100!A$2</f>
        <v>548100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IFERROR(VLOOKUP(B73,input_settle_548100!L:R,7,FALSE),VLOOKUP(tables_settle_548100!C73,input_settle_548100!A:H,8,FALSE))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input_settle_548100!A$2</f>
        <v>548100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IFERROR(VLOOKUP(B74,input_settle_548100!L:R,7,FALSE),VLOOKUP(tables_settle_548100!C74,input_settle_548100!A:H,8,FALSE))</f>
        <v>71584.615380000003</v>
      </c>
      <c r="P74" s="46">
        <f t="shared" ca="1" si="4"/>
        <v>1.2427884615101166E-2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input_settle_548100!A$2</f>
        <v>548100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IFERROR(VLOOKUP(B75,input_settle_548100!L:R,7,FALSE),VLOOKUP(tables_settle_548100!C75,input_settle_548100!A:H,8,FALSE))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input_settle_548100!A$2</f>
        <v>548100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IFERROR(VLOOKUP(B76,input_settle_548100!L:R,7,FALSE),VLOOKUP(tables_settle_548100!C76,input_settle_548100!A:H,8,FALSE))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input_settle_548100!A$2</f>
        <v>548100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IFERROR(VLOOKUP(B77,input_settle_548100!L:R,7,FALSE),VLOOKUP(tables_settle_548100!C77,input_settle_548100!A:H,8,FALSE))</f>
        <v>71584.615380000003</v>
      </c>
      <c r="P77" s="46">
        <f t="shared" ca="1" si="4"/>
        <v>1.2427884615101166E-2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input_settle_548100!A$2</f>
        <v>548100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IFERROR(VLOOKUP(B78,input_settle_548100!L:R,7,FALSE),VLOOKUP(tables_settle_548100!C78,input_settle_548100!A:H,8,FALSE))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input_settle_548100!A$2</f>
        <v>548100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IFERROR(VLOOKUP(B79,input_settle_548100!L:R,7,FALSE),VLOOKUP(tables_settle_548100!C79,input_settle_548100!A:H,8,FALSE))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input_settle_548100!A$2</f>
        <v>548100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IFERROR(VLOOKUP(B80,input_settle_548100!L:R,7,FALSE),VLOOKUP(tables_settle_548100!C80,input_settle_548100!A:H,8,FALSE))</f>
        <v>71584.615380000003</v>
      </c>
      <c r="P80" s="46">
        <f t="shared" ca="1" si="4"/>
        <v>1.2427884615101166E-2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input_settle_548100!A$2</f>
        <v>548100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IFERROR(VLOOKUP(B81,input_settle_548100!L:R,7,FALSE),VLOOKUP(tables_settle_548100!C81,input_settle_548100!A:H,8,FALSE))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input_settle_548100!A$2</f>
        <v>548100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IFERROR(VLOOKUP(B82,input_settle_548100!L:R,7,FALSE),VLOOKUP(tables_settle_548100!C82,input_settle_548100!A:H,8,FALSE))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input_settle_548100!A$2</f>
        <v>548100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IFERROR(VLOOKUP(B83,input_settle_548100!L:R,7,FALSE),VLOOKUP(tables_settle_548100!C83,input_settle_548100!A:H,8,FALSE))</f>
        <v>71584.615380000003</v>
      </c>
      <c r="P83" s="46">
        <f t="shared" ca="1" si="4"/>
        <v>1.2427884615101166E-2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input_settle_548100!A$2</f>
        <v>548100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IFERROR(VLOOKUP(B84,input_settle_548100!L:R,7,FALSE),VLOOKUP(tables_settle_548100!C84,input_settle_548100!A:H,8,FALSE))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input_settle_548100!A$2</f>
        <v>548100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IFERROR(VLOOKUP(B85,input_settle_548100!L:R,7,FALSE),VLOOKUP(tables_settle_548100!C85,input_settle_548100!A:H,8,FALSE))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input_settle_548100!A$2</f>
        <v>548100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IFERROR(VLOOKUP(B86,input_settle_548100!L:R,7,FALSE),VLOOKUP(tables_settle_548100!C86,input_settle_548100!A:H,8,FALSE))</f>
        <v>71584.615380000003</v>
      </c>
      <c r="P86" s="46">
        <f t="shared" ca="1" si="4"/>
        <v>1.2427884615101166E-2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input_settle_548100!A$2</f>
        <v>548100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IFERROR(VLOOKUP(B87,input_settle_548100!L:R,7,FALSE),VLOOKUP(tables_settle_548100!C87,input_settle_548100!A:H,8,FALSE))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input_settle_548100!A$2</f>
        <v>548100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IFERROR(VLOOKUP(B88,input_settle_548100!L:R,7,FALSE),VLOOKUP(tables_settle_548100!C88,input_settle_548100!A:H,8,FALSE))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input_settle_548100!A$2</f>
        <v>548100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IFERROR(VLOOKUP(B89,input_settle_548100!L:R,7,FALSE),VLOOKUP(tables_settle_548100!C89,input_settle_548100!A:H,8,FALSE))</f>
        <v>71584.615380000003</v>
      </c>
      <c r="P89" s="46">
        <f t="shared" ca="1" si="4"/>
        <v>1.2427884615101166E-2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input_settle_548100!A$2</f>
        <v>548100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IFERROR(VLOOKUP(B90,input_settle_548100!L:R,7,FALSE),VLOOKUP(tables_settle_548100!C90,input_settle_548100!A:H,8,FALSE))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input_settle_548100!A$2</f>
        <v>548100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IFERROR(VLOOKUP(B91,input_settle_548100!L:R,7,FALSE),VLOOKUP(tables_settle_548100!C91,input_settle_548100!A:H,8,FALSE))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input_settle_548100!A$2</f>
        <v>548100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IFERROR(VLOOKUP(B92,input_settle_548100!L:R,7,FALSE),VLOOKUP(tables_settle_548100!C92,input_settle_548100!A:H,8,FALSE))</f>
        <v>71584.615380000003</v>
      </c>
      <c r="P92" s="46">
        <f t="shared" ca="1" si="4"/>
        <v>1.2427884615101166E-2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input_settle_548100!A$2</f>
        <v>548100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IFERROR(VLOOKUP(B93,input_settle_548100!L:R,7,FALSE),VLOOKUP(tables_settle_548100!C93,input_settle_548100!A:H,8,FALSE))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input_settle_548100!A$2</f>
        <v>548100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IFERROR(VLOOKUP(B94,input_settle_548100!L:R,7,FALSE),VLOOKUP(tables_settle_548100!C94,input_settle_548100!A:H,8,FALSE))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input_settle_548100!A$2</f>
        <v>548100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IFERROR(VLOOKUP(B95,input_settle_548100!L:R,7,FALSE),VLOOKUP(tables_settle_548100!C95,input_settle_548100!A:H,8,FALSE))</f>
        <v>71584.615380000003</v>
      </c>
      <c r="P95" s="46">
        <f t="shared" ca="1" si="4"/>
        <v>1.2427884615101166E-2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input_settle_548100!A$2</f>
        <v>548100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IFERROR(VLOOKUP(B96,input_settle_548100!L:R,7,FALSE),VLOOKUP(tables_settle_548100!C96,input_settle_548100!A:H,8,FALSE))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input_settle_548100!A$2</f>
        <v>548100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IFERROR(VLOOKUP(B97,input_settle_548100!L:R,7,FALSE),VLOOKUP(tables_settle_548100!C97,input_settle_548100!A:H,8,FALSE))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input_settle_548100!A$2</f>
        <v>548100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IFERROR(VLOOKUP(B98,input_settle_548100!L:R,7,FALSE),VLOOKUP(tables_settle_548100!C98,input_settle_548100!A:H,8,FALSE))</f>
        <v>71584.615380000003</v>
      </c>
      <c r="P98" s="46">
        <f t="shared" ca="1" si="4"/>
        <v>1.2427884615101166E-2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input_settle_548100!A$2</f>
        <v>548100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IFERROR(VLOOKUP(B99,input_settle_548100!L:R,7,FALSE),VLOOKUP(tables_settle_548100!C99,input_settle_548100!A:H,8,FALSE))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input_settle_548100!A$2</f>
        <v>548100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IFERROR(VLOOKUP(B100,input_settle_548100!L:R,7,FALSE),VLOOKUP(tables_settle_548100!C100,input_settle_548100!A:H,8,FALSE))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input_settle_548100!A$2</f>
        <v>548100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IFERROR(VLOOKUP(B101,input_settle_548100!L:R,7,FALSE),VLOOKUP(tables_settle_548100!C101,input_settle_548100!A:H,8,FALSE))</f>
        <v>71584.615380000003</v>
      </c>
      <c r="P101" s="46">
        <f t="shared" ca="1" si="4"/>
        <v>1.2427884615101166E-2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input_settle_548100!A$2</f>
        <v>548100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IFERROR(VLOOKUP(B102,input_settle_548100!L:R,7,FALSE),VLOOKUP(tables_settle_548100!C102,input_settle_548100!A:H,8,FALSE))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input_settle_548100!A$2</f>
        <v>548100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IFERROR(VLOOKUP(B103,input_settle_548100!L:R,7,FALSE),VLOOKUP(tables_settle_548100!C103,input_settle_548100!A:H,8,FALSE))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input_settle_548100!A$2</f>
        <v>548100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IFERROR(VLOOKUP(B104,input_settle_548100!L:R,7,FALSE),VLOOKUP(tables_settle_548100!C104,input_settle_548100!A:H,8,FALSE))</f>
        <v>71584.615380000003</v>
      </c>
      <c r="P104" s="46">
        <f t="shared" ca="1" si="4"/>
        <v>1.2427884615101166E-2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input_settle_548100!A$2</f>
        <v>548100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IFERROR(VLOOKUP(B105,input_settle_548100!L:R,7,FALSE),VLOOKUP(tables_settle_548100!C105,input_settle_548100!A:H,8,FALSE))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input_settle_548100!A$2</f>
        <v>548100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IFERROR(VLOOKUP(B106,input_settle_548100!L:R,7,FALSE),VLOOKUP(tables_settle_548100!C106,input_settle_548100!A:H,8,FALSE))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input_settle_548100!A$2</f>
        <v>548100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IFERROR(VLOOKUP(B107,input_settle_548100!L:R,7,FALSE),VLOOKUP(tables_settle_548100!C107,input_settle_548100!A:H,8,FALSE))</f>
        <v>71584.615380000003</v>
      </c>
      <c r="P107" s="46">
        <f t="shared" ca="1" si="4"/>
        <v>1.2427884615101166E-2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input_settle_548100!A$2</f>
        <v>548100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IFERROR(VLOOKUP(B108,input_settle_548100!L:R,7,FALSE),VLOOKUP(tables_settle_548100!C108,input_settle_548100!A:H,8,FALSE))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input_settle_548100!A$2</f>
        <v>548100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IFERROR(VLOOKUP(B109,input_settle_548100!L:R,7,FALSE),VLOOKUP(tables_settle_548100!C109,input_settle_548100!A:H,8,FALSE))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input_settle_548100!A$2</f>
        <v>548100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IFERROR(VLOOKUP(B110,input_settle_548100!L:R,7,FALSE),VLOOKUP(tables_settle_548100!C110,input_settle_548100!A:H,8,FALSE))</f>
        <v>71584.615380000003</v>
      </c>
      <c r="P110" s="46">
        <f t="shared" ca="1" si="4"/>
        <v>1.2427884615101166E-2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input_settle_548100!A$2</f>
        <v>548100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IFERROR(VLOOKUP(B111,input_settle_548100!L:R,7,FALSE),VLOOKUP(tables_settle_548100!C111,input_settle_548100!A:H,8,FALSE))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input_settle_548100!A$2</f>
        <v>548100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IFERROR(VLOOKUP(B112,input_settle_548100!L:R,7,FALSE),VLOOKUP(tables_settle_548100!C112,input_settle_548100!A:H,8,FALSE))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input_settle_548100!A$2</f>
        <v>548100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IFERROR(VLOOKUP(B113,input_settle_548100!L:R,7,FALSE),VLOOKUP(tables_settle_548100!C113,input_settle_548100!A:H,8,FALSE))</f>
        <v>56400</v>
      </c>
      <c r="P113" s="46">
        <f t="shared" ca="1" si="4"/>
        <v>9.7916666670746551E-3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input_settle_548100!A$2</f>
        <v>548100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IFERROR(VLOOKUP(B114,input_settle_548100!L:R,7,FALSE),VLOOKUP(tables_settle_548100!C114,input_settle_548100!A:H,8,FALSE))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input_settle_548100!A$2</f>
        <v>548100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IFERROR(VLOOKUP(B115,input_settle_548100!L:R,7,FALSE),VLOOKUP(tables_settle_548100!C115,input_settle_548100!A:H,8,FALSE))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input_settle_548100!A$2</f>
        <v>548100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IFERROR(VLOOKUP(B116,input_settle_548100!L:R,7,FALSE),VLOOKUP(tables_settle_548100!C116,input_settle_548100!A:H,8,FALSE))</f>
        <v>71584.615380000003</v>
      </c>
      <c r="P116" s="46">
        <f t="shared" ca="1" si="4"/>
        <v>1.2427884615101166E-2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input_settle_548100!A$2</f>
        <v>548100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IFERROR(VLOOKUP(B117,input_settle_548100!L:R,7,FALSE),VLOOKUP(tables_settle_548100!C117,input_settle_548100!A:H,8,FALSE))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input_settle_548100!A$2</f>
        <v>548100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IFERROR(VLOOKUP(B118,input_settle_548100!L:R,7,FALSE),VLOOKUP(tables_settle_548100!C118,input_settle_548100!A:H,8,FALSE))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input_settle_548100!A$2</f>
        <v>548100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IFERROR(VLOOKUP(B119,input_settle_548100!L:R,7,FALSE),VLOOKUP(tables_settle_548100!C119,input_settle_548100!A:H,8,FALSE))</f>
        <v>71584.615380000003</v>
      </c>
      <c r="P119" s="46">
        <f t="shared" ca="1" si="4"/>
        <v>1.2427884615101166E-2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input_settle_548100!A$2</f>
        <v>548100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IFERROR(VLOOKUP(B120,input_settle_548100!L:R,7,FALSE),VLOOKUP(tables_settle_548100!C120,input_settle_548100!A:H,8,FALSE))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input_settle_548100!A$2</f>
        <v>548100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IFERROR(VLOOKUP(B121,input_settle_548100!L:R,7,FALSE),VLOOKUP(tables_settle_548100!C121,input_settle_548100!A:H,8,FALSE))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input_settle_548100!A$2</f>
        <v>548100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IFERROR(VLOOKUP(B122,input_settle_548100!L:R,7,FALSE),VLOOKUP(tables_settle_548100!C122,input_settle_548100!A:H,8,FALSE))</f>
        <v>71584.615380000003</v>
      </c>
      <c r="P122" s="46">
        <f t="shared" ca="1" si="4"/>
        <v>1.2427884615101166E-2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input_settle_548100!A$2</f>
        <v>548100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IFERROR(VLOOKUP(B123,input_settle_548100!L:R,7,FALSE),VLOOKUP(tables_settle_548100!C123,input_settle_548100!A:H,8,FALSE))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input_settle_548100!A$2</f>
        <v>548100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IFERROR(VLOOKUP(B124,input_settle_548100!L:R,7,FALSE),VLOOKUP(tables_settle_548100!C124,input_settle_548100!A:H,8,FALSE))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input_settle_548100!A$2</f>
        <v>548100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IFERROR(VLOOKUP(B125,input_settle_548100!L:R,7,FALSE),VLOOKUP(tables_settle_548100!C125,input_settle_548100!A:H,8,FALSE))</f>
        <v>71584.615380000003</v>
      </c>
      <c r="P125" s="46">
        <f t="shared" ca="1" si="4"/>
        <v>1.2427884615101166E-2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input_settle_548100!A$2</f>
        <v>548100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IFERROR(VLOOKUP(B126,input_settle_548100!L:R,7,FALSE),VLOOKUP(tables_settle_548100!C126,input_settle_548100!A:H,8,FALSE))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input_settle_548100!A$2</f>
        <v>548100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IFERROR(VLOOKUP(B127,input_settle_548100!L:R,7,FALSE),VLOOKUP(tables_settle_548100!C127,input_settle_548100!A:H,8,FALSE))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input_settle_548100!A$2</f>
        <v>548100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IFERROR(VLOOKUP(B128,input_settle_548100!L:R,7,FALSE),VLOOKUP(tables_settle_548100!C128,input_settle_548100!A:H,8,FALSE))</f>
        <v>71584.615380000003</v>
      </c>
      <c r="P128" s="46">
        <f t="shared" ca="1" si="4"/>
        <v>1.2427884615101166E-2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input_settle_548100!A$2</f>
        <v>548100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IFERROR(VLOOKUP(B129,input_settle_548100!L:R,7,FALSE),VLOOKUP(tables_settle_548100!C129,input_settle_548100!A:H,8,FALSE))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input_settle_548100!A$2</f>
        <v>548100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IFERROR(VLOOKUP(B130,input_settle_548100!L:R,7,FALSE),VLOOKUP(tables_settle_548100!C130,input_settle_548100!A:H,8,FALSE))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input_settle_548100!A$2</f>
        <v>548100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IFERROR(VLOOKUP(B131,input_settle_548100!L:R,7,FALSE),VLOOKUP(tables_settle_548100!C131,input_settle_548100!A:H,8,FALSE))</f>
        <v>71584.615380000003</v>
      </c>
      <c r="P131" s="46">
        <f t="shared" ca="1" si="7"/>
        <v>1.2427884615101166E-2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input_settle_548100!A$2</f>
        <v>548100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IFERROR(VLOOKUP(B132,input_settle_548100!L:R,7,FALSE),VLOOKUP(tables_settle_548100!C132,input_settle_548100!A:H,8,FALSE))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input_settle_548100!A$2</f>
        <v>548100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IFERROR(VLOOKUP(B133,input_settle_548100!L:R,7,FALSE),VLOOKUP(tables_settle_548100!C133,input_settle_548100!A:H,8,FALSE))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input_settle_548100!A$2</f>
        <v>548100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IFERROR(VLOOKUP(B134,input_settle_548100!L:R,7,FALSE),VLOOKUP(tables_settle_548100!C134,input_settle_548100!A:H,8,FALSE))</f>
        <v>71584.615380000003</v>
      </c>
      <c r="P134" s="46">
        <f t="shared" ca="1" si="7"/>
        <v>1.2427884615101166E-2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input_settle_548100!A$2</f>
        <v>548100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IFERROR(VLOOKUP(B135,input_settle_548100!L:R,7,FALSE),VLOOKUP(tables_settle_548100!C135,input_settle_548100!A:H,8,FALSE))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input_settle_548100!A$2</f>
        <v>548100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IFERROR(VLOOKUP(B136,input_settle_548100!L:R,7,FALSE),VLOOKUP(tables_settle_548100!C136,input_settle_548100!A:H,8,FALSE))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input_settle_548100!A$2</f>
        <v>548100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IFERROR(VLOOKUP(B137,input_settle_548100!L:R,7,FALSE),VLOOKUP(tables_settle_548100!C137,input_settle_548100!A:H,8,FALSE))</f>
        <v>71584.615380000003</v>
      </c>
      <c r="P137" s="46">
        <f t="shared" ca="1" si="7"/>
        <v>1.2427884615101166E-2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input_settle_548100!A$2</f>
        <v>548100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IFERROR(VLOOKUP(B138,input_settle_548100!L:R,7,FALSE),VLOOKUP(tables_settle_548100!C138,input_settle_548100!A:H,8,FALSE))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input_settle_548100!A$2</f>
        <v>548100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IFERROR(VLOOKUP(B139,input_settle_548100!L:R,7,FALSE),VLOOKUP(tables_settle_548100!C139,input_settle_548100!A:H,8,FALSE))</f>
        <v>4000</v>
      </c>
      <c r="P139" s="46">
        <f t="shared" ca="1" si="7"/>
        <v>6.9444444447337988E-4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input_settle_548100!A$2</f>
        <v>548100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IFERROR(VLOOKUP(B140,input_settle_548100!L:R,7,FALSE),VLOOKUP(tables_settle_548100!C140,input_settle_548100!A:H,8,FALSE))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input_settle_548100!A$2</f>
        <v>548100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IFERROR(VLOOKUP(B141,input_settle_548100!L:R,7,FALSE),VLOOKUP(tables_settle_548100!C141,input_settle_548100!A:H,8,FALSE))</f>
        <v>4000</v>
      </c>
      <c r="P141" s="46">
        <f t="shared" ca="1" si="7"/>
        <v>6.9444444447337988E-4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input_settle_548100!A$2</f>
        <v>548100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IFERROR(VLOOKUP(B142,input_settle_548100!L:R,7,FALSE),VLOOKUP(tables_settle_548100!C142,input_settle_548100!A:H,8,FALSE))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input_settle_548100!A$2</f>
        <v>548100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IFERROR(VLOOKUP(B143,input_settle_548100!L:R,7,FALSE),VLOOKUP(tables_settle_548100!C143,input_settle_548100!A:H,8,FALSE))</f>
        <v>4000</v>
      </c>
      <c r="P143" s="46">
        <f t="shared" ca="1" si="7"/>
        <v>6.9444444447337988E-4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input_settle_548100!A$2</f>
        <v>548100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IFERROR(VLOOKUP(B144,input_settle_548100!L:R,7,FALSE),VLOOKUP(tables_settle_548100!C144,input_settle_548100!A:H,8,FALSE))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input_settle_548100!A$2</f>
        <v>548100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IFERROR(VLOOKUP(B145,input_settle_548100!L:R,7,FALSE),VLOOKUP(tables_settle_548100!C145,input_settle_548100!A:H,8,FALSE))</f>
        <v>4000</v>
      </c>
      <c r="P145" s="46">
        <f t="shared" ca="1" si="7"/>
        <v>6.9444444447337988E-4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input_settle_548100!A$2</f>
        <v>548100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IFERROR(VLOOKUP(B146,input_settle_548100!L:R,7,FALSE),VLOOKUP(tables_settle_548100!C146,input_settle_548100!A:H,8,FALSE))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input_settle_548100!A$2</f>
        <v>548100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IFERROR(VLOOKUP(B147,input_settle_548100!L:R,7,FALSE),VLOOKUP(tables_settle_548100!C147,input_settle_548100!A:H,8,FALSE))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input_settle_548100!A$2</f>
        <v>548100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IFERROR(VLOOKUP(B148,input_settle_548100!L:R,7,FALSE),VLOOKUP(tables_settle_548100!C148,input_settle_548100!A:H,8,FALSE))</f>
        <v>71584.615380000003</v>
      </c>
      <c r="P148" s="46">
        <f t="shared" ca="1" si="7"/>
        <v>1.2427884615101166E-2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input_settle_548100!A$2</f>
        <v>548100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IFERROR(VLOOKUP(B149,input_settle_548100!L:R,7,FALSE),VLOOKUP(tables_settle_548100!C149,input_settle_548100!A:H,8,FALSE))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input_settle_548100!A$2</f>
        <v>548100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IFERROR(VLOOKUP(B150,input_settle_548100!L:R,7,FALSE),VLOOKUP(tables_settle_548100!C150,input_settle_548100!A:H,8,FALSE))</f>
        <v>4000</v>
      </c>
      <c r="P150" s="46">
        <f t="shared" ca="1" si="7"/>
        <v>6.9444444447337988E-4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input_settle_548100!A$2</f>
        <v>548100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IFERROR(VLOOKUP(B151,input_settle_548100!L:R,7,FALSE),VLOOKUP(tables_settle_548100!C151,input_settle_548100!A:H,8,FALSE))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input_settle_548100!A$2</f>
        <v>548100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IFERROR(VLOOKUP(B152,input_settle_548100!L:R,7,FALSE),VLOOKUP(tables_settle_548100!C152,input_settle_548100!A:H,8,FALSE))</f>
        <v>4000</v>
      </c>
      <c r="P152" s="46">
        <f t="shared" ca="1" si="7"/>
        <v>6.9444444447337988E-4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input_settle_548100!A$2</f>
        <v>548100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IFERROR(VLOOKUP(B153,input_settle_548100!L:R,7,FALSE),VLOOKUP(tables_settle_548100!C153,input_settle_548100!A:H,8,FALSE))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input_settle_548100!A$2</f>
        <v>548100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IFERROR(VLOOKUP(B154,input_settle_548100!L:R,7,FALSE),VLOOKUP(tables_settle_548100!C154,input_settle_548100!A:H,8,FALSE))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input_settle_548100!A$2</f>
        <v>548100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IFERROR(VLOOKUP(B155,input_settle_548100!L:R,7,FALSE),VLOOKUP(tables_settle_548100!C155,input_settle_548100!A:H,8,FALSE))</f>
        <v>71584.615380000003</v>
      </c>
      <c r="P155" s="46">
        <f t="shared" ca="1" si="7"/>
        <v>1.2427884615101166E-2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input_settle_548100!A$2</f>
        <v>548100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IFERROR(VLOOKUP(B156,input_settle_548100!L:R,7,FALSE),VLOOKUP(tables_settle_548100!C156,input_settle_548100!A:H,8,FALSE))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input_settle_548100!A$2</f>
        <v>548100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IFERROR(VLOOKUP(B157,input_settle_548100!L:R,7,FALSE),VLOOKUP(tables_settle_548100!C157,input_settle_548100!A:H,8,FALSE))</f>
        <v>4000</v>
      </c>
      <c r="P157" s="46">
        <f t="shared" ca="1" si="7"/>
        <v>6.9444444447337988E-4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input_settle_548100!A$2</f>
        <v>548100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IFERROR(VLOOKUP(B158,input_settle_548100!L:R,7,FALSE),VLOOKUP(tables_settle_548100!C158,input_settle_548100!A:H,8,FALSE))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input_settle_548100!A$2</f>
        <v>548100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IFERROR(VLOOKUP(B159,input_settle_548100!L:R,7,FALSE),VLOOKUP(tables_settle_548100!C159,input_settle_548100!A:H,8,FALSE))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input_settle_548100!A$2</f>
        <v>548100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IFERROR(VLOOKUP(B160,input_settle_548100!L:R,7,FALSE),VLOOKUP(tables_settle_548100!C160,input_settle_548100!A:H,8,FALSE))</f>
        <v>71584.615380000003</v>
      </c>
      <c r="P160" s="46">
        <f t="shared" ca="1" si="7"/>
        <v>1.2427884615101166E-2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input_settle_548100!A$2</f>
        <v>548100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IFERROR(VLOOKUP(B161,input_settle_548100!L:R,7,FALSE),VLOOKUP(tables_settle_548100!C161,input_settle_548100!A:H,8,FALSE))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input_settle_548100!A$2</f>
        <v>548100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IFERROR(VLOOKUP(B162,input_settle_548100!L:R,7,FALSE),VLOOKUP(tables_settle_548100!C162,input_settle_548100!A:H,8,FALSE))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input_settle_548100!A$2</f>
        <v>548100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IFERROR(VLOOKUP(B163,input_settle_548100!L:R,7,FALSE),VLOOKUP(tables_settle_548100!C163,input_settle_548100!A:H,8,FALSE))</f>
        <v>71584.615380000003</v>
      </c>
      <c r="P163" s="46">
        <f t="shared" ca="1" si="7"/>
        <v>1.2427884615101166E-2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input_settle_548100!A$2</f>
        <v>548100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IFERROR(VLOOKUP(B164,input_settle_548100!L:R,7,FALSE),VLOOKUP(tables_settle_548100!C164,input_settle_548100!A:H,8,FALSE))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input_settle_548100!A$2</f>
        <v>548100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IFERROR(VLOOKUP(B165,input_settle_548100!L:R,7,FALSE),VLOOKUP(tables_settle_548100!C165,input_settle_548100!A:H,8,FALSE))</f>
        <v>4000</v>
      </c>
      <c r="P165" s="46">
        <f t="shared" ca="1" si="7"/>
        <v>6.9444444447337988E-4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input_settle_548100!A$2</f>
        <v>548100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IFERROR(VLOOKUP(B166,input_settle_548100!L:R,7,FALSE),VLOOKUP(tables_settle_548100!C166,input_settle_548100!A:H,8,FALSE))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input_settle_548100!A$2</f>
        <v>548100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IFERROR(VLOOKUP(B167,input_settle_548100!L:R,7,FALSE),VLOOKUP(tables_settle_548100!C167,input_settle_548100!A:H,8,FALSE))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input_settle_548100!A$2</f>
        <v>548100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IFERROR(VLOOKUP(B168,input_settle_548100!L:R,7,FALSE),VLOOKUP(tables_settle_548100!C168,input_settle_548100!A:H,8,FALSE))</f>
        <v>71584.615380000003</v>
      </c>
      <c r="P168" s="46">
        <f t="shared" ca="1" si="7"/>
        <v>1.2427884615101166E-2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input_settle_548100!A$2</f>
        <v>548100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IFERROR(VLOOKUP(B169,input_settle_548100!L:R,7,FALSE),VLOOKUP(tables_settle_548100!C169,input_settle_548100!A:H,8,FALSE))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input_settle_548100!A$2</f>
        <v>548100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IFERROR(VLOOKUP(B170,input_settle_548100!L:R,7,FALSE),VLOOKUP(tables_settle_548100!C170,input_settle_548100!A:H,8,FALSE))</f>
        <v>4000</v>
      </c>
      <c r="P170" s="46">
        <f t="shared" ca="1" si="7"/>
        <v>6.9444444447337988E-4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input_settle_548100!A$2</f>
        <v>548100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IFERROR(VLOOKUP(B171,input_settle_548100!L:R,7,FALSE),VLOOKUP(tables_settle_548100!C171,input_settle_548100!A:H,8,FALSE))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input_settle_548100!A$2</f>
        <v>548100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IFERROR(VLOOKUP(B172,input_settle_548100!L:R,7,FALSE),VLOOKUP(tables_settle_548100!C172,input_settle_548100!A:H,8,FALSE))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input_settle_548100!A$2</f>
        <v>548100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IFERROR(VLOOKUP(B173,input_settle_548100!L:R,7,FALSE),VLOOKUP(tables_settle_548100!C173,input_settle_548100!A:H,8,FALSE))</f>
        <v>71584.615380000003</v>
      </c>
      <c r="P173" s="46">
        <f t="shared" ca="1" si="7"/>
        <v>1.2427884615101166E-2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input_settle_548100!A$2</f>
        <v>548100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IFERROR(VLOOKUP(B174,input_settle_548100!L:R,7,FALSE),VLOOKUP(tables_settle_548100!C174,input_settle_548100!A:H,8,FALSE))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input_settle_548100!A$2</f>
        <v>548100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IFERROR(VLOOKUP(B175,input_settle_548100!L:R,7,FALSE),VLOOKUP(tables_settle_548100!C175,input_settle_548100!A:H,8,FALSE))</f>
        <v>4000</v>
      </c>
      <c r="P175" s="46">
        <f t="shared" ca="1" si="7"/>
        <v>6.9444444447337988E-4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input_settle_548100!A$2</f>
        <v>548100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IFERROR(VLOOKUP(B176,input_settle_548100!L:R,7,FALSE),VLOOKUP(tables_settle_548100!C176,input_settle_548100!A:H,8,FALSE))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input_settle_548100!A$2</f>
        <v>548100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IFERROR(VLOOKUP(B177,input_settle_548100!L:R,7,FALSE),VLOOKUP(tables_settle_548100!C177,input_settle_548100!A:H,8,FALSE))</f>
        <v>4000</v>
      </c>
      <c r="P177" s="46">
        <f t="shared" ca="1" si="7"/>
        <v>6.9444444447337988E-4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input_settle_548100!A$2</f>
        <v>548100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IFERROR(VLOOKUP(B178,input_settle_548100!L:R,7,FALSE),VLOOKUP(tables_settle_548100!C178,input_settle_548100!A:H,8,FALSE))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input_settle_548100!A$2</f>
        <v>548100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IFERROR(VLOOKUP(B179,input_settle_548100!L:R,7,FALSE),VLOOKUP(tables_settle_548100!C179,input_settle_548100!A:H,8,FALSE))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input_settle_548100!A$2</f>
        <v>548100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IFERROR(VLOOKUP(B180,input_settle_548100!L:R,7,FALSE),VLOOKUP(tables_settle_548100!C180,input_settle_548100!A:H,8,FALSE))</f>
        <v>71584.615380000003</v>
      </c>
      <c r="P180" s="46">
        <f t="shared" ca="1" si="7"/>
        <v>1.2427884615101166E-2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input_settle_548100!A$2</f>
        <v>548100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IFERROR(VLOOKUP(B181,input_settle_548100!L:R,7,FALSE),VLOOKUP(tables_settle_548100!C181,input_settle_548100!A:H,8,FALSE))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input_settle_548100!A$2</f>
        <v>548100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IFERROR(VLOOKUP(B182,input_settle_548100!L:R,7,FALSE),VLOOKUP(tables_settle_548100!C182,input_settle_548100!A:H,8,FALSE))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input_settle_548100!A$2</f>
        <v>548100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IFERROR(VLOOKUP(B183,input_settle_548100!L:R,7,FALSE),VLOOKUP(tables_settle_548100!C183,input_settle_548100!A:H,8,FALSE))</f>
        <v>71584.615380000003</v>
      </c>
      <c r="P183" s="46">
        <f t="shared" ca="1" si="7"/>
        <v>1.2427884615101166E-2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input_settle_548100!A$2</f>
        <v>548100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IFERROR(VLOOKUP(B184,input_settle_548100!L:R,7,FALSE),VLOOKUP(tables_settle_548100!C184,input_settle_548100!A:H,8,FALSE))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input_settle_548100!A$2</f>
        <v>548100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IFERROR(VLOOKUP(B185,input_settle_548100!L:R,7,FALSE),VLOOKUP(tables_settle_548100!C185,input_settle_548100!A:H,8,FALSE))</f>
        <v>4000</v>
      </c>
      <c r="P185" s="46">
        <f t="shared" ca="1" si="7"/>
        <v>6.9444444447337988E-4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input_settle_548100!A$2</f>
        <v>548100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IFERROR(VLOOKUP(B186,input_settle_548100!L:R,7,FALSE),VLOOKUP(tables_settle_548100!C186,input_settle_548100!A:H,8,FALSE))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input_settle_548100!A$2</f>
        <v>548100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IFERROR(VLOOKUP(B187,input_settle_548100!L:R,7,FALSE),VLOOKUP(tables_settle_548100!C187,input_settle_548100!A:H,8,FALSE))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input_settle_548100!A$2</f>
        <v>548100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IFERROR(VLOOKUP(B188,input_settle_548100!L:R,7,FALSE),VLOOKUP(tables_settle_548100!C188,input_settle_548100!A:H,8,FALSE))</f>
        <v>71584.615380000003</v>
      </c>
      <c r="P188" s="46">
        <f t="shared" ca="1" si="7"/>
        <v>1.2427884615101166E-2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input_settle_548100!A$2</f>
        <v>548100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IFERROR(VLOOKUP(B189,input_settle_548100!L:R,7,FALSE),VLOOKUP(tables_settle_548100!C189,input_settle_548100!A:H,8,FALSE))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input_settle_548100!A$2</f>
        <v>548100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IFERROR(VLOOKUP(B190,input_settle_548100!L:R,7,FALSE),VLOOKUP(tables_settle_548100!C190,input_settle_548100!A:H,8,FALSE))</f>
        <v>4000</v>
      </c>
      <c r="P190" s="46">
        <f t="shared" ca="1" si="7"/>
        <v>6.9444444447337988E-4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input_settle_548100!A$2</f>
        <v>548100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IFERROR(VLOOKUP(B191,input_settle_548100!L:R,7,FALSE),VLOOKUP(tables_settle_548100!C191,input_settle_548100!A:H,8,FALSE))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input_settle_548100!A$2</f>
        <v>548100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IFERROR(VLOOKUP(B192,input_settle_548100!L:R,7,FALSE),VLOOKUP(tables_settle_548100!C192,input_settle_548100!A:H,8,FALSE))</f>
        <v>4000</v>
      </c>
      <c r="P192" s="46">
        <f t="shared" ca="1" si="7"/>
        <v>6.9444444447337988E-4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input_settle_548100!A$2</f>
        <v>548100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IFERROR(VLOOKUP(B193,input_settle_548100!L:R,7,FALSE),VLOOKUP(tables_settle_548100!C193,input_settle_548100!A:H,8,FALSE))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input_settle_548100!A$2</f>
        <v>548100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IFERROR(VLOOKUP(B194,input_settle_548100!L:R,7,FALSE),VLOOKUP(tables_settle_548100!C194,input_settle_548100!A:H,8,FALSE))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input_settle_548100!A$2</f>
        <v>548100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IFERROR(VLOOKUP(B195,input_settle_548100!L:R,7,FALSE),VLOOKUP(tables_settle_548100!C195,input_settle_548100!A:H,8,FALSE))</f>
        <v>71584.615380000003</v>
      </c>
      <c r="P195" s="46">
        <f t="shared" ca="1" si="10"/>
        <v>1.2427884615101166E-2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input_settle_548100!A$2</f>
        <v>548100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IFERROR(VLOOKUP(B196,input_settle_548100!L:R,7,FALSE),VLOOKUP(tables_settle_548100!C196,input_settle_548100!A:H,8,FALSE))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input_settle_548100!A$2</f>
        <v>548100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IFERROR(VLOOKUP(B197,input_settle_548100!L:R,7,FALSE),VLOOKUP(tables_settle_548100!C197,input_settle_548100!A:H,8,FALSE))</f>
        <v>4000</v>
      </c>
      <c r="P197" s="46">
        <f t="shared" ca="1" si="10"/>
        <v>6.9444444447337988E-4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input_settle_548100!A$2</f>
        <v>548100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IFERROR(VLOOKUP(B198,input_settle_548100!L:R,7,FALSE),VLOOKUP(tables_settle_548100!C198,input_settle_548100!A:H,8,FALSE))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input_settle_548100!A$2</f>
        <v>548100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IFERROR(VLOOKUP(B199,input_settle_548100!L:R,7,FALSE),VLOOKUP(tables_settle_548100!C199,input_settle_548100!A:H,8,FALSE))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input_settle_548100!A$2</f>
        <v>548100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IFERROR(VLOOKUP(B200,input_settle_548100!L:R,7,FALSE),VLOOKUP(tables_settle_548100!C200,input_settle_548100!A:H,8,FALSE))</f>
        <v>71584.615380000003</v>
      </c>
      <c r="P200" s="46">
        <f t="shared" ca="1" si="10"/>
        <v>1.2427884615101166E-2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input_settle_548100!A$2</f>
        <v>548100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IFERROR(VLOOKUP(B201,input_settle_548100!L:R,7,FALSE),VLOOKUP(tables_settle_548100!C201,input_settle_548100!A:H,8,FALSE))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input_settle_548100!A$2</f>
        <v>548100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IFERROR(VLOOKUP(B202,input_settle_548100!L:R,7,FALSE),VLOOKUP(tables_settle_548100!C202,input_settle_548100!A:H,8,FALSE))</f>
        <v>4000</v>
      </c>
      <c r="P202" s="46">
        <f t="shared" ca="1" si="10"/>
        <v>6.9444444447337988E-4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input_settle_548100!A$2</f>
        <v>548100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IFERROR(VLOOKUP(B203,input_settle_548100!L:R,7,FALSE),VLOOKUP(tables_settle_548100!C203,input_settle_548100!A:H,8,FALSE))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input_settle_548100!A$2</f>
        <v>548100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IFERROR(VLOOKUP(B204,input_settle_548100!L:R,7,FALSE),VLOOKUP(tables_settle_548100!C204,input_settle_548100!A:H,8,FALSE))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input_settle_548100!A$2</f>
        <v>548100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IFERROR(VLOOKUP(B205,input_settle_548100!L:R,7,FALSE),VLOOKUP(tables_settle_548100!C205,input_settle_548100!A:H,8,FALSE))</f>
        <v>71584.615380000003</v>
      </c>
      <c r="P205" s="46">
        <f t="shared" ca="1" si="10"/>
        <v>1.2427884615101166E-2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input_settle_548100!A$2</f>
        <v>548100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IFERROR(VLOOKUP(B206,input_settle_548100!L:R,7,FALSE),VLOOKUP(tables_settle_548100!C206,input_settle_548100!A:H,8,FALSE))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input_settle_548100!A$2</f>
        <v>548100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IFERROR(VLOOKUP(B207,input_settle_548100!L:R,7,FALSE),VLOOKUP(tables_settle_548100!C207,input_settle_548100!A:H,8,FALSE))</f>
        <v>4000</v>
      </c>
      <c r="P207" s="46">
        <f t="shared" ca="1" si="10"/>
        <v>6.9444444447337988E-4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input_settle_548100!A$2</f>
        <v>548100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IFERROR(VLOOKUP(B208,input_settle_548100!L:R,7,FALSE),VLOOKUP(tables_settle_548100!C208,input_settle_548100!A:H,8,FALSE))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input_settle_548100!A$2</f>
        <v>548100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IFERROR(VLOOKUP(B209,input_settle_548100!L:R,7,FALSE),VLOOKUP(tables_settle_548100!C209,input_settle_548100!A:H,8,FALSE))</f>
        <v>4000</v>
      </c>
      <c r="P209" s="46">
        <f t="shared" ca="1" si="10"/>
        <v>6.9444444447337988E-4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input_settle_548100!A$2</f>
        <v>548100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IFERROR(VLOOKUP(B210,input_settle_548100!L:R,7,FALSE),VLOOKUP(tables_settle_548100!C210,input_settle_548100!A:H,8,FALSE))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input_settle_548100!A$2</f>
        <v>548100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IFERROR(VLOOKUP(B211,input_settle_548100!L:R,7,FALSE),VLOOKUP(tables_settle_548100!C211,input_settle_548100!A:H,8,FALSE))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input_settle_548100!A$2</f>
        <v>548100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IFERROR(VLOOKUP(B212,input_settle_548100!L:R,7,FALSE),VLOOKUP(tables_settle_548100!C212,input_settle_548100!A:H,8,FALSE))</f>
        <v>71584.615380000003</v>
      </c>
      <c r="P212" s="46">
        <f t="shared" ca="1" si="10"/>
        <v>1.2427884615101166E-2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input_settle_548100!A$2</f>
        <v>548100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IFERROR(VLOOKUP(B213,input_settle_548100!L:R,7,FALSE),VLOOKUP(tables_settle_548100!C213,input_settle_548100!A:H,8,FALSE))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input_settle_548100!A$2</f>
        <v>548100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IFERROR(VLOOKUP(B214,input_settle_548100!L:R,7,FALSE),VLOOKUP(tables_settle_548100!C214,input_settle_548100!A:H,8,FALSE))</f>
        <v>4000</v>
      </c>
      <c r="P214" s="46">
        <f t="shared" ca="1" si="10"/>
        <v>6.9444444447337988E-4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input_settle_548100!A$2</f>
        <v>548100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IFERROR(VLOOKUP(B215,input_settle_548100!L:R,7,FALSE),VLOOKUP(tables_settle_548100!C215,input_settle_548100!A:H,8,FALSE))</f>
        <v>56400</v>
      </c>
      <c r="P215" s="46">
        <f t="shared" ca="1" si="10"/>
        <v>9.7916666670746551E-3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input_settle_548100!A$2</f>
        <v>548100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IFERROR(VLOOKUP(B216,input_settle_548100!L:R,7,FALSE),VLOOKUP(tables_settle_548100!C216,input_settle_548100!A:H,8,FALSE))</f>
        <v>56400</v>
      </c>
      <c r="P216" s="46">
        <f t="shared" ca="1" si="10"/>
        <v>9.7916666670746551E-3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input_settle_548100!A$2</f>
        <v>548100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IFERROR(VLOOKUP(B217,input_settle_548100!L:R,7,FALSE),VLOOKUP(tables_settle_548100!C217,input_settle_548100!A:H,8,FALSE))</f>
        <v>56400</v>
      </c>
      <c r="P217" s="46">
        <f t="shared" ca="1" si="10"/>
        <v>9.7916666670746551E-3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input_settle_548100!A$2</f>
        <v>548100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IFERROR(VLOOKUP(B218,input_settle_548100!L:R,7,FALSE),VLOOKUP(tables_settle_548100!C218,input_settle_548100!A:H,8,FALSE))</f>
        <v>56400</v>
      </c>
      <c r="P218" s="46">
        <f t="shared" ca="1" si="10"/>
        <v>9.7916666670746551E-3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input_settle_548100!A$2</f>
        <v>548100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IFERROR(VLOOKUP(B219,input_settle_548100!L:R,7,FALSE),VLOOKUP(tables_settle_548100!C219,input_settle_548100!A:H,8,FALSE))</f>
        <v>56400</v>
      </c>
      <c r="P219" s="46">
        <f t="shared" ca="1" si="10"/>
        <v>9.7916666670746551E-3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input_settle_548100!A$2</f>
        <v>548100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IFERROR(VLOOKUP(B220,input_settle_548100!L:R,7,FALSE),VLOOKUP(tables_settle_548100!C220,input_settle_548100!A:H,8,FALSE))</f>
        <v>56400</v>
      </c>
      <c r="P220" s="46">
        <f t="shared" ca="1" si="10"/>
        <v>9.7916666670746551E-3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input_settle_548100!A$2</f>
        <v>548100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IFERROR(VLOOKUP(B221,input_settle_548100!L:R,7,FALSE),VLOOKUP(tables_settle_548100!C221,input_settle_548100!A:H,8,FALSE))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input_settle_548100!A$2</f>
        <v>548100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IFERROR(VLOOKUP(B222,input_settle_548100!L:R,7,FALSE),VLOOKUP(tables_settle_548100!C222,input_settle_548100!A:H,8,FALSE))</f>
        <v>4000</v>
      </c>
      <c r="P222" s="46">
        <f t="shared" ca="1" si="10"/>
        <v>6.9444444447337988E-4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input_settle_548100!A$2</f>
        <v>548100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IFERROR(VLOOKUP(B223,input_settle_548100!L:R,7,FALSE),VLOOKUP(tables_settle_548100!C223,input_settle_548100!A:H,8,FALSE))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input_settle_548100!A$2</f>
        <v>548100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IFERROR(VLOOKUP(B224,input_settle_548100!L:R,7,FALSE),VLOOKUP(tables_settle_548100!C224,input_settle_548100!A:H,8,FALSE))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input_settle_548100!A$2</f>
        <v>548100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IFERROR(VLOOKUP(B225,input_settle_548100!L:R,7,FALSE),VLOOKUP(tables_settle_548100!C225,input_settle_548100!A:H,8,FALSE))</f>
        <v>71584.615380000003</v>
      </c>
      <c r="P225" s="46">
        <f t="shared" ca="1" si="10"/>
        <v>1.2427884615101166E-2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input_settle_548100!A$2</f>
        <v>548100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IFERROR(VLOOKUP(B226,input_settle_548100!L:R,7,FALSE),VLOOKUP(tables_settle_548100!C226,input_settle_548100!A:H,8,FALSE))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input_settle_548100!A$2</f>
        <v>548100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IFERROR(VLOOKUP(B227,input_settle_548100!L:R,7,FALSE),VLOOKUP(tables_settle_548100!C227,input_settle_548100!A:H,8,FALSE))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input_settle_548100!A$2</f>
        <v>548100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IFERROR(VLOOKUP(B228,input_settle_548100!L:R,7,FALSE),VLOOKUP(tables_settle_548100!C228,input_settle_548100!A:H,8,FALSE))</f>
        <v>71584.615380000003</v>
      </c>
      <c r="P228" s="46">
        <f t="shared" ca="1" si="10"/>
        <v>1.2427884615101166E-2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input_settle_548100!A$2</f>
        <v>548100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IFERROR(VLOOKUP(B229,input_settle_548100!L:R,7,FALSE),VLOOKUP(tables_settle_548100!C229,input_settle_548100!A:H,8,FALSE))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input_settle_548100!A$2</f>
        <v>548100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IFERROR(VLOOKUP(B230,input_settle_548100!L:R,7,FALSE),VLOOKUP(tables_settle_548100!C230,input_settle_548100!A:H,8,FALSE))</f>
        <v>4000</v>
      </c>
      <c r="P230" s="46">
        <f t="shared" ca="1" si="10"/>
        <v>6.9444444447337988E-4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input_settle_548100!A$2</f>
        <v>548100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IFERROR(VLOOKUP(B231,input_settle_548100!L:R,7,FALSE),VLOOKUP(tables_settle_548100!C231,input_settle_548100!A:H,8,FALSE))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input_settle_548100!A$2</f>
        <v>548100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IFERROR(VLOOKUP(B232,input_settle_548100!L:R,7,FALSE),VLOOKUP(tables_settle_548100!C232,input_settle_548100!A:H,8,FALSE))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input_settle_548100!A$2</f>
        <v>548100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IFERROR(VLOOKUP(B233,input_settle_548100!L:R,7,FALSE),VLOOKUP(tables_settle_548100!C233,input_settle_548100!A:H,8,FALSE))</f>
        <v>71584.615380000003</v>
      </c>
      <c r="P233" s="46">
        <f t="shared" ca="1" si="10"/>
        <v>1.2427884615101166E-2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input_settle_548100!A$2</f>
        <v>548100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IFERROR(VLOOKUP(B234,input_settle_548100!L:R,7,FALSE),VLOOKUP(tables_settle_548100!C234,input_settle_548100!A:H,8,FALSE))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input_settle_548100!A$2</f>
        <v>548100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IFERROR(VLOOKUP(B235,input_settle_548100!L:R,7,FALSE),VLOOKUP(tables_settle_548100!C235,input_settle_548100!A:H,8,FALSE))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input_settle_548100!A$2</f>
        <v>548100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IFERROR(VLOOKUP(B236,input_settle_548100!L:R,7,FALSE),VLOOKUP(tables_settle_548100!C236,input_settle_548100!A:H,8,FALSE))</f>
        <v>71584.615380000003</v>
      </c>
      <c r="P236" s="46">
        <f t="shared" ca="1" si="10"/>
        <v>1.2427884615101166E-2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input_settle_548100!A$2</f>
        <v>548100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IFERROR(VLOOKUP(B237,input_settle_548100!L:R,7,FALSE),VLOOKUP(tables_settle_548100!C237,input_settle_548100!A:H,8,FALSE))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input_settle_548100!A$2</f>
        <v>548100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IFERROR(VLOOKUP(B238,input_settle_548100!L:R,7,FALSE),VLOOKUP(tables_settle_548100!C238,input_settle_548100!A:H,8,FALSE))</f>
        <v>4000</v>
      </c>
      <c r="P238" s="46">
        <f t="shared" ca="1" si="10"/>
        <v>6.9444444447337988E-4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input_settle_548100!A$2</f>
        <v>548100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IFERROR(VLOOKUP(B239,input_settle_548100!L:R,7,FALSE),VLOOKUP(tables_settle_548100!C239,input_settle_548100!A:H,8,FALSE))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input_settle_548100!A$2</f>
        <v>548100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IFERROR(VLOOKUP(B240,input_settle_548100!L:R,7,FALSE),VLOOKUP(tables_settle_548100!C240,input_settle_548100!A:H,8,FALSE))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input_settle_548100!A$2</f>
        <v>548100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IFERROR(VLOOKUP(B241,input_settle_548100!L:R,7,FALSE),VLOOKUP(tables_settle_548100!C241,input_settle_548100!A:H,8,FALSE))</f>
        <v>71584.615380000003</v>
      </c>
      <c r="P241" s="46">
        <f t="shared" ca="1" si="10"/>
        <v>1.2427884615101166E-2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input_settle_548100!A$2</f>
        <v>548100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IFERROR(VLOOKUP(B242,input_settle_548100!L:R,7,FALSE),VLOOKUP(tables_settle_548100!C242,input_settle_548100!A:H,8,FALSE))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input_settle_548100!A$2</f>
        <v>548100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IFERROR(VLOOKUP(B243,input_settle_548100!L:R,7,FALSE),VLOOKUP(tables_settle_548100!C243,input_settle_548100!A:H,8,FALSE))</f>
        <v>4000</v>
      </c>
      <c r="P243" s="46">
        <f t="shared" ca="1" si="10"/>
        <v>6.9444444447337988E-4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input_settle_548100!A$2</f>
        <v>548100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IFERROR(VLOOKUP(B244,input_settle_548100!L:R,7,FALSE),VLOOKUP(tables_settle_548100!C244,input_settle_548100!A:H,8,FALSE))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input_settle_548100!A$2</f>
        <v>548100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IFERROR(VLOOKUP(B245,input_settle_548100!L:R,7,FALSE),VLOOKUP(tables_settle_548100!C245,input_settle_548100!A:H,8,FALSE))</f>
        <v>4000</v>
      </c>
      <c r="P245" s="46">
        <f t="shared" ca="1" si="10"/>
        <v>6.9444444447337988E-4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input_settle_548100!A$2</f>
        <v>548100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IFERROR(VLOOKUP(B246,input_settle_548100!L:R,7,FALSE),VLOOKUP(tables_settle_548100!C246,input_settle_548100!A:H,8,FALSE))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input_settle_548100!A$2</f>
        <v>548100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IFERROR(VLOOKUP(B247,input_settle_548100!L:R,7,FALSE),VLOOKUP(tables_settle_548100!C247,input_settle_548100!A:H,8,FALSE))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input_settle_548100!A$2</f>
        <v>548100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IFERROR(VLOOKUP(B248,input_settle_548100!L:R,7,FALSE),VLOOKUP(tables_settle_548100!C248,input_settle_548100!A:H,8,FALSE))</f>
        <v>71584.615380000003</v>
      </c>
      <c r="P248" s="46">
        <f t="shared" ca="1" si="10"/>
        <v>1.2427884615101166E-2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input_settle_548100!A$2</f>
        <v>548100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IFERROR(VLOOKUP(B249,input_settle_548100!L:R,7,FALSE),VLOOKUP(tables_settle_548100!C249,input_settle_548100!A:H,8,FALSE))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input_settle_548100!A$2</f>
        <v>548100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IFERROR(VLOOKUP(B250,input_settle_548100!L:R,7,FALSE),VLOOKUP(tables_settle_548100!C250,input_settle_548100!A:H,8,FALSE))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input_settle_548100!A$2</f>
        <v>548100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IFERROR(VLOOKUP(B251,input_settle_548100!L:R,7,FALSE),VLOOKUP(tables_settle_548100!C251,input_settle_548100!A:H,8,FALSE))</f>
        <v>71584.615380000003</v>
      </c>
      <c r="P251" s="46">
        <f t="shared" ca="1" si="10"/>
        <v>1.2427884615101166E-2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input_settle_548100!A$2</f>
        <v>548100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IFERROR(VLOOKUP(B252,input_settle_548100!L:R,7,FALSE),VLOOKUP(tables_settle_548100!C252,input_settle_548100!A:H,8,FALSE))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input_settle_548100!A$2</f>
        <v>548100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IFERROR(VLOOKUP(B253,input_settle_548100!L:R,7,FALSE),VLOOKUP(tables_settle_548100!C253,input_settle_548100!A:H,8,FALSE))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input_settle_548100!A$2</f>
        <v>548100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IFERROR(VLOOKUP(B254,input_settle_548100!L:R,7,FALSE),VLOOKUP(tables_settle_548100!C254,input_settle_548100!A:H,8,FALSE))</f>
        <v>71584.615380000003</v>
      </c>
      <c r="P254" s="46">
        <f t="shared" ca="1" si="10"/>
        <v>1.2427884615101166E-2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input_settle_548100!A$2</f>
        <v>548100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IFERROR(VLOOKUP(B255,input_settle_548100!L:R,7,FALSE),VLOOKUP(tables_settle_548100!C255,input_settle_548100!A:H,8,FALSE))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input_settle_548100!A$2</f>
        <v>548100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IFERROR(VLOOKUP(B256,input_settle_548100!L:R,7,FALSE),VLOOKUP(tables_settle_548100!C256,input_settle_548100!A:H,8,FALSE))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input_settle_548100!A$2</f>
        <v>548100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IFERROR(VLOOKUP(B257,input_settle_548100!L:R,7,FALSE),VLOOKUP(tables_settle_548100!C257,input_settle_548100!A:H,8,FALSE))</f>
        <v>71584.615380000003</v>
      </c>
      <c r="P257" s="46">
        <f t="shared" ca="1" si="10"/>
        <v>1.2427884615101166E-2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input_settle_548100!A$2</f>
        <v>548100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IFERROR(VLOOKUP(B258,input_settle_548100!L:R,7,FALSE),VLOOKUP(tables_settle_548100!C258,input_settle_548100!A:H,8,FALSE))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input_settle_548100!A$2</f>
        <v>548100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IFERROR(VLOOKUP(B259,input_settle_548100!L:R,7,FALSE),VLOOKUP(tables_settle_548100!C259,input_settle_548100!A:H,8,FALSE))</f>
        <v>4000</v>
      </c>
      <c r="P259" s="46">
        <f t="shared" ca="1" si="13"/>
        <v>6.9444444447337988E-4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input_settle_548100!A$2</f>
        <v>548100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IFERROR(VLOOKUP(B260,input_settle_548100!L:R,7,FALSE),VLOOKUP(tables_settle_548100!C260,input_settle_548100!A:H,8,FALSE))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input_settle_548100!A$2</f>
        <v>548100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IFERROR(VLOOKUP(B261,input_settle_548100!L:R,7,FALSE),VLOOKUP(tables_settle_548100!C261,input_settle_548100!A:H,8,FALSE))</f>
        <v>4000</v>
      </c>
      <c r="P261" s="46">
        <f t="shared" ca="1" si="13"/>
        <v>6.9444444447337988E-4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input_settle_548100!A$2</f>
        <v>548100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IFERROR(VLOOKUP(B262,input_settle_548100!L:R,7,FALSE),VLOOKUP(tables_settle_548100!C262,input_settle_548100!A:H,8,FALSE))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input_settle_548100!A$2</f>
        <v>548100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IFERROR(VLOOKUP(B263,input_settle_548100!L:R,7,FALSE),VLOOKUP(tables_settle_548100!C263,input_settle_548100!A:H,8,FALSE))</f>
        <v>56400</v>
      </c>
      <c r="P263" s="46">
        <f t="shared" ca="1" si="13"/>
        <v>9.7916666670746551E-3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input_settle_548100!A$2</f>
        <v>548100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IFERROR(VLOOKUP(B264,input_settle_548100!L:R,7,FALSE),VLOOKUP(tables_settle_548100!C264,input_settle_548100!A:H,8,FALSE))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input_settle_548100!A$2</f>
        <v>548100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IFERROR(VLOOKUP(B265,input_settle_548100!L:R,7,FALSE),VLOOKUP(tables_settle_548100!C265,input_settle_548100!A:H,8,FALSE))</f>
        <v>56400</v>
      </c>
      <c r="P265" s="46">
        <f t="shared" ca="1" si="13"/>
        <v>9.7916666670746551E-3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input_settle_548100!A$2</f>
        <v>548100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IFERROR(VLOOKUP(B266,input_settle_548100!L:R,7,FALSE),VLOOKUP(tables_settle_548100!C266,input_settle_548100!A:H,8,FALSE))</f>
        <v>4000</v>
      </c>
      <c r="P266" s="46">
        <f t="shared" ca="1" si="13"/>
        <v>6.9444444447337988E-4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input_settle_548100!A$2</f>
        <v>548100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IFERROR(VLOOKUP(B267,input_settle_548100!L:R,7,FALSE),VLOOKUP(tables_settle_548100!C267,input_settle_548100!A:H,8,FALSE))</f>
        <v>4000</v>
      </c>
      <c r="P267" s="46">
        <f t="shared" ca="1" si="13"/>
        <v>6.9444444447337988E-4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input_settle_548100!A$2</f>
        <v>548100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IFERROR(VLOOKUP(B268,input_settle_548100!L:R,7,FALSE),VLOOKUP(tables_settle_548100!C268,input_settle_548100!A:H,8,FALSE))</f>
        <v>4000</v>
      </c>
      <c r="P268" s="46">
        <f t="shared" ca="1" si="13"/>
        <v>6.9444444447337988E-4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input_settle_548100!A$2</f>
        <v>548100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IFERROR(VLOOKUP(B269,input_settle_548100!L:R,7,FALSE),VLOOKUP(tables_settle_548100!C269,input_settle_548100!A:H,8,FALSE))</f>
        <v>4000</v>
      </c>
      <c r="P269" s="46">
        <f t="shared" ca="1" si="13"/>
        <v>6.9444444447337988E-4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input_settle_548100!A$2</f>
        <v>548100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IFERROR(VLOOKUP(B270,input_settle_548100!L:R,7,FALSE),VLOOKUP(tables_settle_548100!C270,input_settle_548100!A:H,8,FALSE))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input_settle_548100!A$2</f>
        <v>548100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IFERROR(VLOOKUP(B271,input_settle_548100!L:R,7,FALSE),VLOOKUP(tables_settle_548100!C271,input_settle_548100!A:H,8,FALSE))</f>
        <v>56400</v>
      </c>
      <c r="P271" s="46">
        <f t="shared" ca="1" si="13"/>
        <v>9.7916666670746551E-3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input_settle_548100!A$2</f>
        <v>548100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IFERROR(VLOOKUP(B272,input_settle_548100!L:R,7,FALSE),VLOOKUP(tables_settle_548100!C272,input_settle_548100!A:H,8,FALSE))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input_settle_548100!A$2</f>
        <v>548100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IFERROR(VLOOKUP(B273,input_settle_548100!L:R,7,FALSE),VLOOKUP(tables_settle_548100!C273,input_settle_548100!A:H,8,FALSE))</f>
        <v>56400</v>
      </c>
      <c r="P273" s="46">
        <f t="shared" ca="1" si="13"/>
        <v>9.7916666670746551E-3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input_settle_548100!A$2</f>
        <v>548100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IFERROR(VLOOKUP(B274,input_settle_548100!L:R,7,FALSE),VLOOKUP(tables_settle_548100!C274,input_settle_548100!A:H,8,FALSE))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input_settle_548100!A$2</f>
        <v>548100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IFERROR(VLOOKUP(B275,input_settle_548100!L:R,7,FALSE),VLOOKUP(tables_settle_548100!C275,input_settle_548100!A:H,8,FALSE))</f>
        <v>4000</v>
      </c>
      <c r="P275" s="46">
        <f t="shared" ca="1" si="13"/>
        <v>6.9444444447337988E-4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input_settle_548100!A$2</f>
        <v>548100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IFERROR(VLOOKUP(B276,input_settle_548100!L:R,7,FALSE),VLOOKUP(tables_settle_548100!C276,input_settle_548100!A:H,8,FALSE))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input_settle_548100!A$2</f>
        <v>548100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IFERROR(VLOOKUP(B277,input_settle_548100!L:R,7,FALSE),VLOOKUP(tables_settle_548100!C277,input_settle_548100!A:H,8,FALSE))</f>
        <v>4000</v>
      </c>
      <c r="P277" s="46">
        <f t="shared" ca="1" si="13"/>
        <v>6.9444444447337988E-4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input_settle_548100!A$2</f>
        <v>548100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IFERROR(VLOOKUP(B278,input_settle_548100!L:R,7,FALSE),VLOOKUP(tables_settle_548100!C278,input_settle_548100!A:H,8,FALSE))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input_settle_548100!A$2</f>
        <v>548100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IFERROR(VLOOKUP(B279,input_settle_548100!L:R,7,FALSE),VLOOKUP(tables_settle_548100!C279,input_settle_548100!A:H,8,FALSE))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input_settle_548100!A$2</f>
        <v>548100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IFERROR(VLOOKUP(B280,input_settle_548100!L:R,7,FALSE),VLOOKUP(tables_settle_548100!C280,input_settle_548100!A:H,8,FALSE))</f>
        <v>71584.615380000003</v>
      </c>
      <c r="P280" s="46">
        <f t="shared" ca="1" si="13"/>
        <v>1.2427884615101166E-2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input_settle_548100!A$2</f>
        <v>548100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IFERROR(VLOOKUP(B281,input_settle_548100!L:R,7,FALSE),VLOOKUP(tables_settle_548100!C281,input_settle_548100!A:H,8,FALSE))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input_settle_548100!A$2</f>
        <v>548100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IFERROR(VLOOKUP(B282,input_settle_548100!L:R,7,FALSE),VLOOKUP(tables_settle_548100!C282,input_settle_548100!A:H,8,FALSE))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input_settle_548100!A$2</f>
        <v>548100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IFERROR(VLOOKUP(B283,input_settle_548100!L:R,7,FALSE),VLOOKUP(tables_settle_548100!C283,input_settle_548100!A:H,8,FALSE))</f>
        <v>71584.615380000003</v>
      </c>
      <c r="P283" s="46">
        <f t="shared" ca="1" si="13"/>
        <v>1.2427884615101166E-2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input_settle_548100!A$2</f>
        <v>548100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IFERROR(VLOOKUP(B284,input_settle_548100!L:R,7,FALSE),VLOOKUP(tables_settle_548100!C284,input_settle_548100!A:H,8,FALSE))</f>
        <v>4000</v>
      </c>
      <c r="P284" s="46">
        <f t="shared" ca="1" si="13"/>
        <v>6.9444444447337988E-4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input_settle_548100!A$2</f>
        <v>548100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IFERROR(VLOOKUP(B285,input_settle_548100!L:R,7,FALSE),VLOOKUP(tables_settle_548100!C285,input_settle_548100!A:H,8,FALSE))</f>
        <v>4000</v>
      </c>
      <c r="P285" s="46">
        <f t="shared" ca="1" si="13"/>
        <v>6.9444444447337988E-4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input_settle_548100!A$2</f>
        <v>548100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IFERROR(VLOOKUP(B286,input_settle_548100!L:R,7,FALSE),VLOOKUP(tables_settle_548100!C286,input_settle_548100!A:H,8,FALSE))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input_settle_548100!A$2</f>
        <v>548100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IFERROR(VLOOKUP(B287,input_settle_548100!L:R,7,FALSE),VLOOKUP(tables_settle_548100!C287,input_settle_548100!A:H,8,FALSE))</f>
        <v>56400</v>
      </c>
      <c r="P287" s="46">
        <f t="shared" ca="1" si="13"/>
        <v>9.7916666670746551E-3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input_settle_548100!A$2</f>
        <v>548100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IFERROR(VLOOKUP(B288,input_settle_548100!L:R,7,FALSE),VLOOKUP(tables_settle_548100!C288,input_settle_548100!A:H,8,FALSE))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input_settle_548100!A$2</f>
        <v>548100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IFERROR(VLOOKUP(B289,input_settle_548100!L:R,7,FALSE),VLOOKUP(tables_settle_548100!C289,input_settle_548100!A:H,8,FALSE))</f>
        <v>56400</v>
      </c>
      <c r="P289" s="46">
        <f t="shared" ca="1" si="13"/>
        <v>9.7916666670746551E-3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input_settle_548100!A$2</f>
        <v>548100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IFERROR(VLOOKUP(B290,input_settle_548100!L:R,7,FALSE),VLOOKUP(tables_settle_548100!C290,input_settle_548100!A:H,8,FALSE))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input_settle_548100!A$2</f>
        <v>548100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IFERROR(VLOOKUP(B291,input_settle_548100!L:R,7,FALSE),VLOOKUP(tables_settle_548100!C291,input_settle_548100!A:H,8,FALSE))</f>
        <v>56400</v>
      </c>
      <c r="P291" s="46">
        <f t="shared" ca="1" si="13"/>
        <v>9.7916666670746551E-3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input_settle_548100!A$2</f>
        <v>548100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IFERROR(VLOOKUP(B292,input_settle_548100!L:R,7,FALSE),VLOOKUP(tables_settle_548100!C292,input_settle_548100!A:H,8,FALSE))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input_settle_548100!A$2</f>
        <v>548100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IFERROR(VLOOKUP(B293,input_settle_548100!L:R,7,FALSE),VLOOKUP(tables_settle_548100!C293,input_settle_548100!A:H,8,FALSE))</f>
        <v>56400</v>
      </c>
      <c r="P293" s="46">
        <f t="shared" ca="1" si="13"/>
        <v>9.7916666670746551E-3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input_settle_548100!A$2</f>
        <v>548100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IFERROR(VLOOKUP(B294,input_settle_548100!L:R,7,FALSE),VLOOKUP(tables_settle_548100!C294,input_settle_548100!A:H,8,FALSE))</f>
        <v>4000</v>
      </c>
      <c r="P294" s="46">
        <f t="shared" ca="1" si="13"/>
        <v>6.9444444447337988E-4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input_settle_548100!A$2</f>
        <v>548100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IFERROR(VLOOKUP(B295,input_settle_548100!L:R,7,FALSE),VLOOKUP(tables_settle_548100!C295,input_settle_548100!A:H,8,FALSE))</f>
        <v>4000</v>
      </c>
      <c r="P295" s="46">
        <f t="shared" ca="1" si="13"/>
        <v>6.9444444447337988E-4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input_settle_548100!A$2</f>
        <v>548100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IFERROR(VLOOKUP(B296,input_settle_548100!L:R,7,FALSE),VLOOKUP(tables_settle_548100!C296,input_settle_548100!A:H,8,FALSE))</f>
        <v>4000</v>
      </c>
      <c r="P296" s="46">
        <f t="shared" ca="1" si="13"/>
        <v>6.9444444447337988E-4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input_settle_548100!A$2</f>
        <v>548100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IFERROR(VLOOKUP(B297,input_settle_548100!L:R,7,FALSE),VLOOKUP(tables_settle_548100!C297,input_settle_548100!A:H,8,FALSE))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input_settle_548100!A$2</f>
        <v>548100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IFERROR(VLOOKUP(B298,input_settle_548100!L:R,7,FALSE),VLOOKUP(tables_settle_548100!C298,input_settle_548100!A:H,8,FALSE))</f>
        <v>56400</v>
      </c>
      <c r="P298" s="46">
        <f t="shared" ca="1" si="13"/>
        <v>9.7916666670746551E-3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input_settle_548100!A$2</f>
        <v>548100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IFERROR(VLOOKUP(B299,input_settle_548100!L:R,7,FALSE),VLOOKUP(tables_settle_548100!C299,input_settle_548100!A:H,8,FALSE))</f>
        <v>4000</v>
      </c>
      <c r="P299" s="46">
        <f t="shared" ca="1" si="13"/>
        <v>6.9444444447337988E-4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input_settle_548100!A$2</f>
        <v>548100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IFERROR(VLOOKUP(B300,input_settle_548100!L:R,7,FALSE),VLOOKUP(tables_settle_548100!C300,input_settle_548100!A:H,8,FALSE))</f>
        <v>4000</v>
      </c>
      <c r="P300" s="46">
        <f t="shared" ca="1" si="13"/>
        <v>6.9444444447337988E-4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input_settle_548100!A$2</f>
        <v>548100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IFERROR(VLOOKUP(B301,input_settle_548100!L:R,7,FALSE),VLOOKUP(tables_settle_548100!C301,input_settle_548100!A:H,8,FALSE))</f>
        <v>4000</v>
      </c>
      <c r="P301" s="46">
        <f t="shared" ca="1" si="13"/>
        <v>6.9444444447337988E-4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input_settle_548100!A$2</f>
        <v>548100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IFERROR(VLOOKUP(B302,input_settle_548100!L:R,7,FALSE),VLOOKUP(tables_settle_548100!C302,input_settle_548100!A:H,8,FALSE))</f>
        <v>4000</v>
      </c>
      <c r="P302" s="46">
        <f t="shared" ca="1" si="13"/>
        <v>6.9444444447337988E-4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input_settle_548100!A$2</f>
        <v>548100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IFERROR(VLOOKUP(B303,input_settle_548100!L:R,7,FALSE),VLOOKUP(tables_settle_548100!C303,input_settle_548100!A:H,8,FALSE))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input_settle_548100!A$2</f>
        <v>548100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IFERROR(VLOOKUP(B304,input_settle_548100!L:R,7,FALSE),VLOOKUP(tables_settle_548100!C304,input_settle_548100!A:H,8,FALSE))</f>
        <v>56400</v>
      </c>
      <c r="P304" s="46">
        <f t="shared" ca="1" si="13"/>
        <v>9.7916666670746551E-3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input_settle_548100!A$2</f>
        <v>548100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IFERROR(VLOOKUP(B305,input_settle_548100!L:R,7,FALSE),VLOOKUP(tables_settle_548100!C305,input_settle_548100!A:H,8,FALSE))</f>
        <v>4000</v>
      </c>
      <c r="P305" s="46">
        <f t="shared" ca="1" si="13"/>
        <v>6.9444444447337988E-4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input_settle_548100!A$2</f>
        <v>548100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IFERROR(VLOOKUP(B306,input_settle_548100!L:R,7,FALSE),VLOOKUP(tables_settle_548100!C306,input_settle_548100!A:H,8,FALSE))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input_settle_548100!A$2</f>
        <v>548100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IFERROR(VLOOKUP(B307,input_settle_548100!L:R,7,FALSE),VLOOKUP(tables_settle_548100!C307,input_settle_548100!A:H,8,FALSE))</f>
        <v>56400</v>
      </c>
      <c r="P307" s="46">
        <f t="shared" ca="1" si="13"/>
        <v>9.7916666670746551E-3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input_settle_548100!A$2</f>
        <v>548100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IFERROR(VLOOKUP(B308,input_settle_548100!L:R,7,FALSE),VLOOKUP(tables_settle_548100!C308,input_settle_548100!A:H,8,FALSE))</f>
        <v>4000</v>
      </c>
      <c r="P308" s="46">
        <f t="shared" ca="1" si="13"/>
        <v>6.9444444447337988E-4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input_settle_548100!A$2</f>
        <v>548100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IFERROR(VLOOKUP(B309,input_settle_548100!L:R,7,FALSE),VLOOKUP(tables_settle_548100!C309,input_settle_548100!A:H,8,FALSE))</f>
        <v>4000</v>
      </c>
      <c r="P309" s="46">
        <f t="shared" ca="1" si="13"/>
        <v>6.9444444447337988E-4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input_settle_548100!A$2</f>
        <v>548100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IFERROR(VLOOKUP(B310,input_settle_548100!L:R,7,FALSE),VLOOKUP(tables_settle_548100!C310,input_settle_548100!A:H,8,FALSE))</f>
        <v>4000</v>
      </c>
      <c r="P310" s="46">
        <f t="shared" ca="1" si="13"/>
        <v>6.9444444447337988E-4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input_settle_548100!A$2</f>
        <v>548100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IFERROR(VLOOKUP(B311,input_settle_548100!L:R,7,FALSE),VLOOKUP(tables_settle_548100!C311,input_settle_548100!A:H,8,FALSE))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input_settle_548100!A$2</f>
        <v>548100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IFERROR(VLOOKUP(B312,input_settle_548100!L:R,7,FALSE),VLOOKUP(tables_settle_548100!C312,input_settle_548100!A:H,8,FALSE))</f>
        <v>56400</v>
      </c>
      <c r="P312" s="46">
        <f t="shared" ca="1" si="13"/>
        <v>9.7916666670746551E-3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input_settle_548100!A$2</f>
        <v>548100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IFERROR(VLOOKUP(B313,input_settle_548100!L:R,7,FALSE),VLOOKUP(tables_settle_548100!C313,input_settle_548100!A:H,8,FALSE))</f>
        <v>4000</v>
      </c>
      <c r="P313" s="46">
        <f t="shared" ca="1" si="13"/>
        <v>6.9444444447337988E-4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input_settle_548100!A$2</f>
        <v>548100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IFERROR(VLOOKUP(B314,input_settle_548100!L:R,7,FALSE),VLOOKUP(tables_settle_548100!C314,input_settle_548100!A:H,8,FALSE))</f>
        <v>4000</v>
      </c>
      <c r="P314" s="46">
        <f t="shared" ca="1" si="13"/>
        <v>6.9444444447337988E-4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input_settle_548100!A$2</f>
        <v>548100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IFERROR(VLOOKUP(B315,input_settle_548100!L:R,7,FALSE),VLOOKUP(tables_settle_548100!C315,input_settle_548100!A:H,8,FALSE))</f>
        <v>4000</v>
      </c>
      <c r="P315" s="46">
        <f t="shared" ca="1" si="13"/>
        <v>6.9444444447337988E-4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input_settle_548100!A$2</f>
        <v>548100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IFERROR(VLOOKUP(B316,input_settle_548100!L:R,7,FALSE),VLOOKUP(tables_settle_548100!C316,input_settle_548100!A:H,8,FALSE))</f>
        <v>4000</v>
      </c>
      <c r="P316" s="46">
        <f t="shared" ca="1" si="13"/>
        <v>6.9444444447337988E-4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input_settle_548100!A$2</f>
        <v>548100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IFERROR(VLOOKUP(B317,input_settle_548100!L:R,7,FALSE),VLOOKUP(tables_settle_548100!C317,input_settle_548100!A:H,8,FALSE))</f>
        <v>4000</v>
      </c>
      <c r="P317" s="46">
        <f t="shared" ca="1" si="13"/>
        <v>6.9444444447337988E-4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input_settle_548100!A$2</f>
        <v>548100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IFERROR(VLOOKUP(B318,input_settle_548100!L:R,7,FALSE),VLOOKUP(tables_settle_548100!C318,input_settle_548100!A:H,8,FALSE))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input_settle_548100!A$2</f>
        <v>548100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IFERROR(VLOOKUP(B319,input_settle_548100!L:R,7,FALSE),VLOOKUP(tables_settle_548100!C319,input_settle_548100!A:H,8,FALSE))</f>
        <v>56400</v>
      </c>
      <c r="P319" s="46">
        <f t="shared" ca="1" si="13"/>
        <v>9.7916666670746551E-3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input_settle_548100!A$2</f>
        <v>548100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IFERROR(VLOOKUP(B320,input_settle_548100!L:R,7,FALSE),VLOOKUP(tables_settle_548100!C320,input_settle_548100!A:H,8,FALSE))</f>
        <v>4000</v>
      </c>
      <c r="P320" s="46">
        <f t="shared" ca="1" si="13"/>
        <v>6.9444444447337988E-4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input_settle_548100!A$2</f>
        <v>548100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IFERROR(VLOOKUP(B321,input_settle_548100!L:R,7,FALSE),VLOOKUP(tables_settle_548100!C321,input_settle_548100!A:H,8,FALSE))</f>
        <v>4000</v>
      </c>
      <c r="P321" s="46">
        <f t="shared" ca="1" si="13"/>
        <v>6.9444444447337988E-4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input_settle_548100!A$2</f>
        <v>548100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IFERROR(VLOOKUP(B322,input_settle_548100!L:R,7,FALSE),VLOOKUP(tables_settle_548100!C322,input_settle_548100!A:H,8,FALSE))</f>
        <v>4000</v>
      </c>
      <c r="P322" s="46">
        <f t="shared" ref="P322:P346" ca="1" si="16">O322/SUM(O:O)</f>
        <v>6.9444444447337988E-4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input_settle_548100!A$2</f>
        <v>548100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IFERROR(VLOOKUP(B323,input_settle_548100!L:R,7,FALSE),VLOOKUP(tables_settle_548100!C323,input_settle_548100!A:H,8,FALSE))</f>
        <v>4000</v>
      </c>
      <c r="P323" s="46">
        <f t="shared" ca="1" si="16"/>
        <v>6.9444444447337988E-4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input_settle_548100!A$2</f>
        <v>548100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IFERROR(VLOOKUP(B324,input_settle_548100!L:R,7,FALSE),VLOOKUP(tables_settle_548100!C324,input_settle_548100!A:H,8,FALSE))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input_settle_548100!A$2</f>
        <v>548100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IFERROR(VLOOKUP(B325,input_settle_548100!L:R,7,FALSE),VLOOKUP(tables_settle_548100!C325,input_settle_548100!A:H,8,FALSE))</f>
        <v>56400</v>
      </c>
      <c r="P325" s="46">
        <f t="shared" ca="1" si="16"/>
        <v>9.7916666670746551E-3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input_settle_548100!A$2</f>
        <v>548100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IFERROR(VLOOKUP(B326,input_settle_548100!L:R,7,FALSE),VLOOKUP(tables_settle_548100!C326,input_settle_548100!A:H,8,FALSE))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input_settle_548100!A$2</f>
        <v>548100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IFERROR(VLOOKUP(B327,input_settle_548100!L:R,7,FALSE),VLOOKUP(tables_settle_548100!C327,input_settle_548100!A:H,8,FALSE))</f>
        <v>56400</v>
      </c>
      <c r="P327" s="46">
        <f t="shared" ca="1" si="16"/>
        <v>9.7916666670746551E-3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input_settle_548100!A$2</f>
        <v>548100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IFERROR(VLOOKUP(B328,input_settle_548100!L:R,7,FALSE),VLOOKUP(tables_settle_548100!C328,input_settle_548100!A:H,8,FALSE))</f>
        <v>4000</v>
      </c>
      <c r="P328" s="46">
        <f t="shared" ca="1" si="16"/>
        <v>6.9444444447337988E-4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input_settle_548100!A$2</f>
        <v>548100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IFERROR(VLOOKUP(B329,input_settle_548100!L:R,7,FALSE),VLOOKUP(tables_settle_548100!C329,input_settle_548100!A:H,8,FALSE))</f>
        <v>4000</v>
      </c>
      <c r="P329" s="46">
        <f t="shared" ca="1" si="16"/>
        <v>6.9444444447337988E-4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input_settle_548100!A$2</f>
        <v>548100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IFERROR(VLOOKUP(B330,input_settle_548100!L:R,7,FALSE),VLOOKUP(tables_settle_548100!C330,input_settle_548100!A:H,8,FALSE))</f>
        <v>4000</v>
      </c>
      <c r="P330" s="46">
        <f t="shared" ca="1" si="16"/>
        <v>6.9444444447337988E-4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input_settle_548100!A$2</f>
        <v>548100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IFERROR(VLOOKUP(B331,input_settle_548100!L:R,7,FALSE),VLOOKUP(tables_settle_548100!C331,input_settle_548100!A:H,8,FALSE))</f>
        <v>4000</v>
      </c>
      <c r="P331" s="46">
        <f t="shared" ca="1" si="16"/>
        <v>6.9444444447337988E-4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input_settle_548100!A$2</f>
        <v>548100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IFERROR(VLOOKUP(B332,input_settle_548100!L:R,7,FALSE),VLOOKUP(tables_settle_548100!C332,input_settle_548100!A:H,8,FALSE))</f>
        <v>4000</v>
      </c>
      <c r="P332" s="46">
        <f t="shared" ca="1" si="16"/>
        <v>6.9444444447337988E-4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input_settle_548100!A$2</f>
        <v>548100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IFERROR(VLOOKUP(B333,input_settle_548100!L:R,7,FALSE),VLOOKUP(tables_settle_548100!C333,input_settle_548100!A:H,8,FALSE))</f>
        <v>4000</v>
      </c>
      <c r="P333" s="46">
        <f t="shared" ca="1" si="16"/>
        <v>6.9444444447337988E-4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input_settle_548100!A$2</f>
        <v>548100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IFERROR(VLOOKUP(B334,input_settle_548100!L:R,7,FALSE),VLOOKUP(tables_settle_548100!C334,input_settle_548100!A:H,8,FALSE))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input_settle_548100!A$2</f>
        <v>548100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IFERROR(VLOOKUP(B335,input_settle_548100!L:R,7,FALSE),VLOOKUP(tables_settle_548100!C335,input_settle_548100!A:H,8,FALSE))</f>
        <v>56400</v>
      </c>
      <c r="P335" s="46">
        <f t="shared" ca="1" si="16"/>
        <v>9.7916666670746551E-3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input_settle_548100!A$2</f>
        <v>548100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IFERROR(VLOOKUP(B336,input_settle_548100!L:R,7,FALSE),VLOOKUP(tables_settle_548100!C336,input_settle_548100!A:H,8,FALSE))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input_settle_548100!A$2</f>
        <v>548100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IFERROR(VLOOKUP(B337,input_settle_548100!L:R,7,FALSE),VLOOKUP(tables_settle_548100!C337,input_settle_548100!A:H,8,FALSE))</f>
        <v>56400</v>
      </c>
      <c r="P337" s="46">
        <f t="shared" ca="1" si="16"/>
        <v>9.7916666670746551E-3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input_settle_548100!A$2</f>
        <v>548100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IFERROR(VLOOKUP(B338,input_settle_548100!L:R,7,FALSE),VLOOKUP(tables_settle_548100!C338,input_settle_548100!A:H,8,FALSE))</f>
        <v>4000</v>
      </c>
      <c r="P338" s="46">
        <f t="shared" ca="1" si="16"/>
        <v>6.9444444447337988E-4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input_settle_548100!A$2</f>
        <v>548100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IFERROR(VLOOKUP(B339,input_settle_548100!L:R,7,FALSE),VLOOKUP(tables_settle_548100!C339,input_settle_548100!A:H,8,FALSE))</f>
        <v>4000</v>
      </c>
      <c r="P339" s="46">
        <f t="shared" ca="1" si="16"/>
        <v>6.9444444447337988E-4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input_settle_548100!A$2</f>
        <v>548100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IFERROR(VLOOKUP(B340,input_settle_548100!L:R,7,FALSE),VLOOKUP(tables_settle_548100!C340,input_settle_548100!A:H,8,FALSE))</f>
        <v>4000</v>
      </c>
      <c r="P340" s="46">
        <f t="shared" ca="1" si="16"/>
        <v>6.9444444447337988E-4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input_settle_548100!A$2</f>
        <v>548100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IFERROR(VLOOKUP(B341,input_settle_548100!L:R,7,FALSE),VLOOKUP(tables_settle_548100!C341,input_settle_548100!A:H,8,FALSE))</f>
        <v>4000</v>
      </c>
      <c r="P341" s="46">
        <f t="shared" ca="1" si="16"/>
        <v>6.9444444447337988E-4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input_settle_548100!A$2</f>
        <v>548100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IFERROR(VLOOKUP(B342,input_settle_548100!L:R,7,FALSE),VLOOKUP(tables_settle_548100!C342,input_settle_548100!A:H,8,FALSE))</f>
        <v>4000</v>
      </c>
      <c r="P342" s="46">
        <f t="shared" ca="1" si="16"/>
        <v>6.9444444447337988E-4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input_settle_548100!A$2</f>
        <v>548100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IFERROR(VLOOKUP(B343,input_settle_548100!L:R,7,FALSE),VLOOKUP(tables_settle_548100!C343,input_settle_548100!A:H,8,FALSE))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input_settle_548100!A$2</f>
        <v>548100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IFERROR(VLOOKUP(B344,input_settle_548100!L:R,7,FALSE),VLOOKUP(tables_settle_548100!C344,input_settle_548100!A:H,8,FALSE))</f>
        <v>56400</v>
      </c>
      <c r="P344" s="46">
        <f t="shared" ca="1" si="16"/>
        <v>9.7916666670746551E-3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input_settle_548100!A$2</f>
        <v>548100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IFERROR(VLOOKUP(B345,input_settle_548100!L:R,7,FALSE),VLOOKUP(tables_settle_548100!C345,input_settle_548100!A:H,8,FALSE))</f>
        <v>4000</v>
      </c>
      <c r="P345" s="46">
        <f t="shared" ca="1" si="16"/>
        <v>6.9444444447337988E-4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input_settle_548100!A$2</f>
        <v>548100</v>
      </c>
      <c r="B346" s="1">
        <v>1260</v>
      </c>
      <c r="C346" s="7" t="str">
        <f t="shared" si="15"/>
        <v>PremiumSS5R5only</v>
      </c>
      <c r="D346" s="9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IFERROR(VLOOKUP(B346,input_settle_548100!L:R,7,FALSE),VLOOKUP(tables_settle_548100!C346,input_settle_548100!A:H,8,FALSE))</f>
        <v>4000</v>
      </c>
      <c r="P346" s="46">
        <f t="shared" ca="1" si="16"/>
        <v>6.9444444447337988E-4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input_settle_548100!A$2</f>
        <v>548100</v>
      </c>
      <c r="B347" s="1">
        <v>1262</v>
      </c>
      <c r="C347" s="7" t="str">
        <f t="shared" si="15"/>
        <v>PremiumSS5R5only</v>
      </c>
      <c r="D347" s="9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IFERROR(VLOOKUP(B347,input_settle_548100!L:R,7,FALSE),VLOOKUP(tables_settle_548100!C347,input_settle_548100!A:H,8,FALSE))</f>
        <v>4000</v>
      </c>
      <c r="P347" s="46">
        <f ca="1">O347/SUM(O:O)</f>
        <v>6.9444444447337988E-4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input_settle_548100!A$2</f>
        <v>548100</v>
      </c>
      <c r="B348" s="1">
        <v>1264</v>
      </c>
      <c r="C348" s="7" t="str">
        <f t="shared" ref="C348:C357" si="18">D348&amp;J348&amp;E348&amp;F348&amp;G348</f>
        <v>PremiumSS5R5only</v>
      </c>
      <c r="D348" s="9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IFERROR(VLOOKUP(B348,input_settle_548100!L:R,7,FALSE),VLOOKUP(tables_settle_548100!C348,input_settle_548100!A:H,8,FALSE))</f>
        <v>4000</v>
      </c>
      <c r="P348" s="46">
        <f t="shared" ref="P348:P357" ca="1" si="20">O348/SUM(O:O)</f>
        <v>6.9444444447337988E-4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input_settle_548100!A$2</f>
        <v>548100</v>
      </c>
      <c r="B349" s="1">
        <v>1266</v>
      </c>
      <c r="C349" s="7" t="str">
        <f t="shared" si="18"/>
        <v>Premium4R3less</v>
      </c>
      <c r="D349" s="9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IFERROR(VLOOKUP(B349,input_settle_548100!L:R,7,FALSE),VLOOKUP(tables_settle_548100!C349,input_settle_548100!A:H,8,FALSE))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input_settle_548100!A$2</f>
        <v>548100</v>
      </c>
      <c r="B350" s="1">
        <v>1267</v>
      </c>
      <c r="C350" s="7" t="str">
        <f t="shared" si="18"/>
        <v>Premium5R3less</v>
      </c>
      <c r="D350" s="9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IFERROR(VLOOKUP(B350,input_settle_548100!L:R,7,FALSE),VLOOKUP(tables_settle_548100!C350,input_settle_548100!A:H,8,FALSE))</f>
        <v>56400</v>
      </c>
      <c r="P350" s="46">
        <f t="shared" ca="1" si="20"/>
        <v>9.7916666670746551E-3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input_settle_548100!A$2</f>
        <v>548100</v>
      </c>
      <c r="B351" s="102">
        <v>1332</v>
      </c>
      <c r="C351" s="7" t="str">
        <f t="shared" si="18"/>
        <v>PremiumSS5R5only</v>
      </c>
      <c r="D351" s="9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IFERROR(VLOOKUP(B351,input_settle_548100!L:R,7,FALSE),VLOOKUP(tables_settle_548100!C351,input_settle_548100!A:H,8,FALSE))</f>
        <v>4000</v>
      </c>
      <c r="P351" s="46">
        <f t="shared" ca="1" si="20"/>
        <v>6.9444444447337988E-4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input_settle_548100!A$2</f>
        <v>548100</v>
      </c>
      <c r="B352" s="102">
        <v>1336</v>
      </c>
      <c r="C352" s="7" t="str">
        <f t="shared" si="18"/>
        <v>PremiumSS5R5only</v>
      </c>
      <c r="D352" s="9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IFERROR(VLOOKUP(B352,input_settle_548100!L:R,7,FALSE),VLOOKUP(tables_settle_548100!C352,input_settle_548100!A:H,8,FALSE))</f>
        <v>4000</v>
      </c>
      <c r="P352" s="46">
        <f t="shared" ca="1" si="20"/>
        <v>6.9444444447337988E-4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input_settle_548100!A$2</f>
        <v>548100</v>
      </c>
      <c r="B353" s="102">
        <v>1338</v>
      </c>
      <c r="C353" s="7" t="str">
        <f t="shared" si="18"/>
        <v>PremiumSS5R5only</v>
      </c>
      <c r="D353" s="9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IFERROR(VLOOKUP(B353,input_settle_548100!L:R,7,FALSE),VLOOKUP(tables_settle_548100!C353,input_settle_548100!A:H,8,FALSE))</f>
        <v>4000</v>
      </c>
      <c r="P353" s="46">
        <f t="shared" ca="1" si="20"/>
        <v>6.9444444447337988E-4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input_settle_548100!A$2</f>
        <v>548100</v>
      </c>
      <c r="B354" s="102">
        <v>1334</v>
      </c>
      <c r="C354" s="7" t="str">
        <f t="shared" si="18"/>
        <v>Premium4R3less</v>
      </c>
      <c r="D354" s="9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IFERROR(VLOOKUP(B354,input_settle_548100!L:R,7,FALSE),VLOOKUP(tables_settle_548100!C354,input_settle_548100!A:H,8,FALSE))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input_settle_548100!A$2</f>
        <v>548100</v>
      </c>
      <c r="B355" s="102">
        <v>1335</v>
      </c>
      <c r="C355" s="7" t="str">
        <f t="shared" si="18"/>
        <v>Premium5R3less</v>
      </c>
      <c r="D355" s="9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IFERROR(VLOOKUP(B355,input_settle_548100!L:R,7,FALSE),VLOOKUP(tables_settle_548100!C355,input_settle_548100!A:H,8,FALSE))</f>
        <v>56400</v>
      </c>
      <c r="P355" s="46">
        <f t="shared" ca="1" si="20"/>
        <v>9.7916666670746551E-3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input_settle_548100!A$2</f>
        <v>548100</v>
      </c>
      <c r="B356" s="102">
        <v>1425</v>
      </c>
      <c r="C356" s="7" t="str">
        <f t="shared" si="18"/>
        <v>PremiumSSS5R3less</v>
      </c>
      <c r="D356" s="97" t="str">
        <f t="shared" si="1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ヴォルタ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IFERROR(VLOOKUP(B356,input_settle_548100!L:R,7,FALSE),VLOOKUP(tables_settle_548100!C356,input_settle_548100!A:H,8,FALSE))</f>
        <v>28800</v>
      </c>
      <c r="P356" s="46">
        <f t="shared" ca="1" si="20"/>
        <v>5.0000000002083352E-3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input_settle_548100!A$2</f>
        <v>548100</v>
      </c>
      <c r="B357" s="102">
        <v>489</v>
      </c>
      <c r="C357" s="7" t="str">
        <f t="shared" si="18"/>
        <v>PremiumSSS5R3less</v>
      </c>
      <c r="D357" s="97" t="str">
        <f t="shared" si="1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宇宙の拡超 ハップル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technical</v>
      </c>
      <c r="M357" s="7" t="str">
        <f>VLOOKUP(B357,[1]characters!$A:$M,13,FALSE)</f>
        <v>human</v>
      </c>
      <c r="N357" s="7" t="str">
        <f>VLOOKUP(B357,[1]characters!$A:$G,7,FALSE)</f>
        <v>女性</v>
      </c>
      <c r="O357" s="45">
        <f ca="1">IFERROR(VLOOKUP(B357,input_settle_548100!L:R,7,FALSE),VLOOKUP(tables_settle_548100!C357,input_settle_548100!A:H,8,FALSE))</f>
        <v>28800</v>
      </c>
      <c r="P357" s="46">
        <f t="shared" ca="1" si="20"/>
        <v>5.0000000002083352E-3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548105</v>
      </c>
      <c r="B2" s="100">
        <v>5481051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255</v>
      </c>
      <c r="P2" s="79" t="s">
        <v>256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input_548010</vt:lpstr>
      <vt:lpstr>tables_548010</vt:lpstr>
      <vt:lpstr>input_548100</vt:lpstr>
      <vt:lpstr>tables_548100</vt:lpstr>
      <vt:lpstr>input_settle_548100</vt:lpstr>
      <vt:lpstr>tables_settle_548100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2017-03-07T03:22:25Z</dcterms:modified>
</cp:coreProperties>
</file>