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180" yWindow="1160" windowWidth="33300" windowHeight="14660" tabRatio="740" firstSheet="1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enemy_habitats!$B$1:$AH$6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0" l="1"/>
  <c r="T12" i="10"/>
  <c r="W12" i="10"/>
  <c r="V12" i="10"/>
  <c r="X12" i="10"/>
  <c r="U12" i="10"/>
  <c r="Y12" i="10"/>
  <c r="N12" i="10"/>
  <c r="Q12" i="10"/>
  <c r="P12" i="10"/>
  <c r="R12" i="10"/>
  <c r="O12" i="10"/>
  <c r="S12" i="10"/>
  <c r="L12" i="10"/>
  <c r="J7" i="11"/>
  <c r="O14" i="9"/>
  <c r="N14" i="9"/>
  <c r="M14" i="9"/>
  <c r="L14" i="9"/>
  <c r="K14" i="9"/>
  <c r="J14" i="9"/>
  <c r="I14" i="9"/>
  <c r="H14" i="9"/>
  <c r="G14" i="9"/>
  <c r="E14" i="9"/>
  <c r="D14" i="9"/>
  <c r="A14" i="9"/>
  <c r="J10" i="11"/>
  <c r="J9" i="11"/>
  <c r="O12" i="9"/>
  <c r="N12" i="9"/>
  <c r="M12" i="9"/>
  <c r="L12" i="9"/>
  <c r="K12" i="9"/>
  <c r="J12" i="9"/>
  <c r="I12" i="9"/>
  <c r="H12" i="9"/>
  <c r="G12" i="9"/>
  <c r="E12" i="9"/>
  <c r="D12" i="9"/>
  <c r="A12" i="9"/>
  <c r="J8" i="11"/>
  <c r="O7" i="9"/>
  <c r="N7" i="9"/>
  <c r="M7" i="9"/>
  <c r="L7" i="9"/>
  <c r="K7" i="9"/>
  <c r="J7" i="9"/>
  <c r="I7" i="9"/>
  <c r="H7" i="9"/>
  <c r="G7" i="9"/>
  <c r="E7" i="9"/>
  <c r="D7" i="9"/>
  <c r="A7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4" i="11"/>
  <c r="O11" i="9"/>
  <c r="N11" i="9"/>
  <c r="M11" i="9"/>
  <c r="L11" i="9"/>
  <c r="K11" i="9"/>
  <c r="J11" i="9"/>
  <c r="I11" i="9"/>
  <c r="H11" i="9"/>
  <c r="G11" i="9"/>
  <c r="E11" i="9"/>
  <c r="D11" i="9"/>
  <c r="A11" i="9"/>
  <c r="O13" i="9"/>
  <c r="N13" i="9"/>
  <c r="M13" i="9"/>
  <c r="L13" i="9"/>
  <c r="K13" i="9"/>
  <c r="J13" i="9"/>
  <c r="I13" i="9"/>
  <c r="H13" i="9"/>
  <c r="G13" i="9"/>
  <c r="E13" i="9"/>
  <c r="D13" i="9"/>
  <c r="A13" i="9"/>
  <c r="W2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W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W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W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W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W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B20" i="1"/>
  <c r="AD20" i="1"/>
  <c r="AG20" i="1"/>
  <c r="AE20" i="1"/>
  <c r="AC20" i="1"/>
  <c r="AA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W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6" i="1"/>
  <c r="AD16" i="1"/>
  <c r="AG16" i="1"/>
  <c r="AE16" i="1"/>
  <c r="AC16" i="1"/>
  <c r="AA16" i="1"/>
  <c r="W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W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W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W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31" i="1"/>
  <c r="AD31" i="1"/>
  <c r="AG31" i="1"/>
  <c r="AE31" i="1"/>
  <c r="AC31" i="1"/>
  <c r="W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AA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AA29" i="1"/>
  <c r="W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6" i="1"/>
  <c r="AD26" i="1"/>
  <c r="AG26" i="1"/>
  <c r="AE26" i="1"/>
  <c r="AC26" i="1"/>
  <c r="AA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AA25" i="1"/>
  <c r="W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W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W22" i="1"/>
  <c r="W12" i="1"/>
  <c r="W17" i="1"/>
  <c r="J6" i="11"/>
  <c r="O10" i="9"/>
  <c r="N10" i="9"/>
  <c r="M10" i="9"/>
  <c r="L10" i="9"/>
  <c r="K10" i="9"/>
  <c r="J10" i="9"/>
  <c r="I10" i="9"/>
  <c r="H10" i="9"/>
  <c r="G10" i="9"/>
  <c r="E10" i="9"/>
  <c r="D10" i="9"/>
  <c r="A10" i="9"/>
  <c r="J3" i="11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L6" i="10"/>
  <c r="G3" i="10"/>
  <c r="J3" i="10"/>
  <c r="I3" i="10"/>
  <c r="K3" i="10"/>
  <c r="H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8" i="10"/>
  <c r="J8" i="10"/>
  <c r="I8" i="10"/>
  <c r="K8" i="10"/>
  <c r="H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AD32" i="1"/>
  <c r="AG32" i="1"/>
  <c r="AE32" i="1"/>
  <c r="AC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28" i="1"/>
  <c r="AD28" i="1"/>
  <c r="AG28" i="1"/>
  <c r="AE28" i="1"/>
  <c r="AC28" i="1"/>
  <c r="AA28" i="1"/>
  <c r="W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AA27" i="1"/>
  <c r="E2" i="9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2" i="1"/>
  <c r="AD22" i="1"/>
  <c r="AG22" i="1"/>
  <c r="AE22" i="1"/>
  <c r="AC22" i="1"/>
  <c r="AA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17" i="1"/>
  <c r="AD17" i="1"/>
  <c r="AG17" i="1"/>
  <c r="AE17" i="1"/>
  <c r="AC17" i="1"/>
  <c r="AA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J2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C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<sst xmlns="http://schemas.openxmlformats.org/spreadsheetml/2006/main" count="837" uniqueCount="256">
  <si>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</si>
  <si>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</si>
  <si>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</si>
  <si>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</si>
  <si>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</si>
  <si>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</si>
  <si>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</si>
  <si>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</si>
  <si>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</si>
  <si>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</si>
  <si>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</si>
  <si>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</si>
  <si>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</si>
  <si>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</si>
  <si>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</si>
  <si>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</si>
  <si>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</si>
  <si>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</si>
  <si>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</si>
  <si>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</si>
  <si>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</si>
  <si>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</si>
  <si>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</si>
  <si>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</si>
  <si>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</si>
  <si>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</si>
  <si>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</si>
  <si>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</si>
  <si>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</si>
  <si>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</si>
  <si>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</si>
  <si>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</si>
  <si>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</si>
  <si>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</si>
  <si>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</si>
  <si>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</si>
  <si>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</si>
  <si>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</si>
  <si>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</si>
  <si>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</si>
  <si>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</si>
  <si>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</si>
  <si>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</si>
  <si>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</si>
  <si>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</si>
  <si>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</si>
  <si>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</si>
  <si>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</si>
  <si>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</si>
  <si>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</si>
  <si>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</si>
  <si>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</si>
  <si>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</si>
  <si>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</si>
  <si>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</si>
  <si>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</si>
  <si>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</si>
  <si>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</si>
  <si>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</si>
  <si>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</si>
  <si>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</si>
  <si>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</si>
  <si>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</si>
  <si>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</si>
  <si>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</si>
  <si>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</si>
  <si>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</si>
  <si>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</si>
  <si>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</si>
  <si>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</si>
  <si>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</si>
  <si>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</si>
  <si>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</si>
  <si>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</si>
  <si>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</si>
  <si>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</si>
  <si>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</si>
  <si>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</si>
  <si>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</si>
  <si>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</si>
  <si>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</si>
  <si>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</si>
  <si>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</si>
  <si>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</si>
  <si>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</si>
  <si>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</si>
  <si>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</si>
  <si>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</si>
  <si>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</si>
  <si>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</si>
  <si>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</si>
  <si>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</si>
  <si>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</si>
  <si>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</si>
  <si>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</si>
  <si>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</si>
  <si>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</si>
  <si>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</si>
  <si>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</si>
  <si>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</si>
  <si>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</si>
  <si>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</si>
  <si>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</si>
  <si>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</si>
  <si>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</si>
  <si>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</si>
  <si>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</si>
  <si>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</si>
  <si>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</si>
  <si>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</si>
  <si>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</si>
  <si>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</si>
  <si>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</si>
  <si>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</si>
  <si>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</si>
  <si>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</si>
  <si>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</si>
  <si>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</si>
  <si>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</si>
  <si>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</si>
  <si>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</si>
  <si>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</si>
  <si>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</si>
  <si>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</si>
  <si>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</si>
  <si>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</si>
  <si>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</si>
  <si>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</si>
  <si>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</si>
  <si>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</si>
  <si>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</si>
  <si>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</si>
  <si>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</si>
  <si>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</si>
  <si>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</si>
  <si>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</si>
  <si>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</si>
  <si>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</si>
  <si>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</si>
  <si>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</si>
  <si>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</si>
  <si>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</si>
  <si>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</si>
  <si>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</si>
  <si>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</si>
  <si>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</si>
  <si>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</si>
  <si>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</si>
  <si>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</si>
  <si>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</si>
  <si>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</si>
  <si>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</si>
  <si>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</si>
  <si>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</si>
  <si>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</si>
  <si>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</si>
  <si>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</si>
  <si>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</si>
  <si>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</si>
  <si>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</si>
  <si>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</si>
  <si>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</si>
  <si>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</si>
  <si>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</si>
  <si>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</si>
  <si>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</si>
  <si>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</si>
  <si>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</si>
  <si>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</si>
  <si>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</si>
  <si>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</si>
  <si>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</si>
  <si>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</si>
  <si>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</si>
  <si>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</si>
  <si>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</si>
  <si>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</si>
  <si>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</si>
  <si>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</si>
  <si>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</si>
  <si>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</si>
  <si>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</si>
  <si>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</si>
  <si>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</si>
  <si>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</si>
  <si>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</si>
  <si>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</si>
  <si>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</si>
  <si>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</si>
  <si>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</si>
  <si>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</si>
  <si>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</si>
  <si>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</si>
  <si>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</si>
  <si>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</si>
  <si>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</si>
  <si>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</si>
  <si>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</si>
  <si>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</si>
  <si>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</si>
  <si>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</si>
  <si>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</si>
  <si>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</si>
  <si>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</si>
  <si>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</si>
  <si>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</si>
  <si>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</si>
  <si>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</si>
  <si>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</si>
  <si>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</si>
  <si>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</si>
  <si>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</si>
  <si>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</si>
  <si>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</si>
  <si>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</si>
  <si>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7回連続攻撃</t>
    <rPh sb="1" eb="2">
      <t>カイ</t>
    </rPh>
    <rPh sb="2" eb="4">
      <t>レンゾク</t>
    </rPh>
    <rPh sb="4" eb="6">
      <t>コウゲキ</t>
    </rPh>
    <phoneticPr fontId="5"/>
  </si>
  <si>
    <t>種族ゴッドのユニットに大ダメージ</t>
    <rPh sb="0" eb="2">
      <t>シュゾク</t>
    </rPh>
    <phoneticPr fontId="5"/>
  </si>
  <si>
    <t>[effect:rush, count:7, val:0.2]</t>
    <phoneticPr fontId="5"/>
  </si>
  <si>
    <t>[effect:enhance_enemy, target:myself, turn:5, status:attack, val:0.5, animation:enemy_enhance_enemy]</t>
    <phoneticPr fontId="5"/>
  </si>
  <si>
    <t>5ターン防御力アップ+次のターン強力な攻撃</t>
    <rPh sb="4" eb="6">
      <t>ボウギョ</t>
    </rPh>
    <rPh sb="6" eb="7">
      <t>リョク</t>
    </rPh>
    <rPh sb="11" eb="12">
      <t>ツギ</t>
    </rPh>
    <rPh sb="16" eb="18">
      <t>キョウリョク</t>
    </rPh>
    <rPh sb="19" eb="21">
      <t>コウゲキ</t>
    </rPh>
    <phoneticPr fontId="5"/>
  </si>
  <si>
    <t>[effect:enhance_enemy, target:enemy_all, turn:5, status:defense, val:5000, calc:add, animation:enemy_enhance_enemy],[effect:charge, status:attack, val:1.3, animation:enemy_charge]</t>
    <phoneticPr fontId="5"/>
  </si>
  <si>
    <t>[effect:damage_anti_tribe, target:unit_all, tribe:god, val1:1.6, val2:0.05]</t>
    <phoneticPr fontId="5"/>
  </si>
  <si>
    <t>[effect:critical, val:1.5, animation:enemy_critical]</t>
    <phoneticPr fontId="5"/>
  </si>
  <si>
    <t>攻撃力×1.5倍の攻撃</t>
    <phoneticPr fontId="5"/>
  </si>
  <si>
    <t>5ターン攻撃力UP</t>
    <rPh sb="4" eb="6">
      <t>コウゲキ</t>
    </rPh>
    <rPh sb="6" eb="7">
      <t>リョク</t>
    </rPh>
    <phoneticPr fontId="5"/>
  </si>
  <si>
    <t>黄パネル破壊攻撃</t>
    <rPh sb="0" eb="1">
      <t>キ</t>
    </rPh>
    <rPh sb="4" eb="6">
      <t>ハカイ</t>
    </rPh>
    <rPh sb="6" eb="8">
      <t>コウゲキ</t>
    </rPh>
    <phoneticPr fontId="5"/>
  </si>
  <si>
    <t>1ターン黄パネルが出現しない
次のターン黄パネル破壊攻撃</t>
    <rPh sb="4" eb="5">
      <t>キイロ</t>
    </rPh>
    <rPh sb="9" eb="11">
      <t>シュツゲン</t>
    </rPh>
    <rPh sb="15" eb="16">
      <t>ツギ</t>
    </rPh>
    <rPh sb="20" eb="21">
      <t>キイロ</t>
    </rPh>
    <rPh sb="24" eb="26">
      <t>ハカイ</t>
    </rPh>
    <rPh sb="26" eb="28">
      <t>コウゲキ</t>
    </rPh>
    <phoneticPr fontId="5"/>
  </si>
  <si>
    <t>出力レベルを最大にします</t>
  </si>
  <si>
    <t>適正レベルクリア
選定を開始します</t>
    <rPh sb="0" eb="2">
      <t>テキセイ</t>
    </rPh>
    <rPh sb="9" eb="11">
      <t>センテイ</t>
    </rPh>
    <rPh sb="12" eb="14">
      <t>カイシ</t>
    </rPh>
    <phoneticPr fontId="5"/>
  </si>
  <si>
    <t>流動せし稲妻</t>
    <rPh sb="0" eb="2">
      <t>リュウドウ</t>
    </rPh>
    <rPh sb="4" eb="6">
      <t>イナズマ</t>
    </rPh>
    <phoneticPr fontId="5"/>
  </si>
  <si>
    <t>選定の雷</t>
    <rPh sb="0" eb="2">
      <t>センテイ</t>
    </rPh>
    <rPh sb="3" eb="4">
      <t>イカズチ</t>
    </rPh>
    <phoneticPr fontId="5"/>
  </si>
  <si>
    <t>粉砕せし神槌</t>
    <rPh sb="0" eb="2">
      <t>フンサイ</t>
    </rPh>
    <rPh sb="4" eb="5">
      <t>シン</t>
    </rPh>
    <rPh sb="5" eb="6">
      <t>ツイ</t>
    </rPh>
    <phoneticPr fontId="5"/>
  </si>
  <si>
    <t>想定レベルを上回っています</t>
    <rPh sb="0" eb="2">
      <t>ソウテイ</t>
    </rPh>
    <rPh sb="6" eb="8">
      <t>ウワマワ</t>
    </rPh>
    <phoneticPr fontId="5"/>
  </si>
  <si>
    <t>[effect:nothing]</t>
  </si>
  <si>
    <t>標的オーディン対向条件クリア</t>
    <rPh sb="0" eb="2">
      <t>ヒョウテキ</t>
    </rPh>
    <rPh sb="7" eb="9">
      <t>タイコウ</t>
    </rPh>
    <rPh sb="9" eb="11">
      <t>ジョウケン</t>
    </rPh>
    <phoneticPr fontId="5"/>
  </si>
  <si>
    <t>限界出力</t>
    <rPh sb="0" eb="2">
      <t>ゲンカイ</t>
    </rPh>
    <rPh sb="2" eb="4">
      <t>シュツリョク</t>
    </rPh>
    <phoneticPr fontId="5"/>
  </si>
  <si>
    <t>荷電粒子弾</t>
    <rPh sb="0" eb="2">
      <t>カデン</t>
    </rPh>
    <rPh sb="2" eb="4">
      <t>リュウシ</t>
    </rPh>
    <rPh sb="4" eb="5">
      <t>ダン</t>
    </rPh>
    <phoneticPr fontId="5"/>
  </si>
  <si>
    <t>[effect:break_attack_fix, val:200, lowest_val:200, count:10, block:block_yellow, target:unit_all]</t>
    <phoneticPr fontId="5"/>
  </si>
  <si>
    <t>link</t>
    <phoneticPr fontId="5"/>
  </si>
  <si>
    <t>unit</t>
    <phoneticPr fontId="5"/>
  </si>
  <si>
    <t>link</t>
    <phoneticPr fontId="5"/>
  </si>
  <si>
    <t>null</t>
    <phoneticPr fontId="5"/>
  </si>
  <si>
    <t>自爆をしてくるF2から
優先して倒しましょう</t>
    <rPh sb="0" eb="2">
      <t>ジバク</t>
    </rPh>
    <rPh sb="12" eb="14">
      <t>ユウセン</t>
    </rPh>
    <rPh sb="16" eb="17">
      <t>タオ</t>
    </rPh>
    <phoneticPr fontId="5"/>
  </si>
  <si>
    <t>行動頻度が速いユニットから
先に倒しましょう</t>
    <phoneticPr fontId="5"/>
  </si>
  <si>
    <t>行動頻度が速いユニットから
先に倒しましょう</t>
    <phoneticPr fontId="5"/>
  </si>
  <si>
    <t>ミョルニルはゴッド種族ユニットに
大ダメージを与えてきます
ゴッド種族以外で編成を固めましょう</t>
    <rPh sb="36" eb="38">
      <t>イガイ</t>
    </rPh>
    <phoneticPr fontId="5"/>
  </si>
  <si>
    <t>[effect:fix_speed, target:myself, turn:1],[effect:change_panel_ratio, turn:1, block_type:yellow, val:0.0, animation:block_incidence04]</t>
    <phoneticPr fontId="5"/>
  </si>
  <si>
    <t>HPが一定以下になると攻撃力UPをしてきます
ダメージを与えすぎずに倒しましょう</t>
    <rPh sb="3" eb="5">
      <t>イッテイ</t>
    </rPh>
    <rPh sb="5" eb="7">
      <t>イカ</t>
    </rPh>
    <rPh sb="11" eb="14">
      <t>コウゲキリョク</t>
    </rPh>
    <rPh sb="29" eb="30">
      <t>アタ</t>
    </rPh>
    <rPh sb="35" eb="36">
      <t>タオ</t>
    </rPh>
    <phoneticPr fontId="5"/>
  </si>
  <si>
    <t>ミョルニルは防御力UP後
強力な攻撃を仕掛けてきます
防御力DOWNスキルで対処しましょう</t>
    <rPh sb="6" eb="8">
      <t>ボウギョ</t>
    </rPh>
    <rPh sb="8" eb="9">
      <t>リョク</t>
    </rPh>
    <rPh sb="11" eb="12">
      <t>ゴ</t>
    </rPh>
    <rPh sb="13" eb="15">
      <t>キョウリョク</t>
    </rPh>
    <rPh sb="16" eb="18">
      <t>コウゲキ</t>
    </rPh>
    <rPh sb="19" eb="21">
      <t>シカ</t>
    </rPh>
    <rPh sb="28" eb="30">
      <t>ボウギョ</t>
    </rPh>
    <rPh sb="30" eb="31">
      <t>リョク</t>
    </rPh>
    <rPh sb="39" eb="41">
      <t>タイショ</t>
    </rPh>
    <phoneticPr fontId="5"/>
  </si>
  <si>
    <t>[effect:break_attack_fix, val:575, lowest_val:575, count:-1, block:block_yellow, target:unit_all]</t>
    <phoneticPr fontId="5"/>
  </si>
  <si>
    <t>ミョルニルは大ダメージ攻撃を仕掛けてきます
防御力UPスキルを持ったユニットを
連れて行きましょう</t>
    <rPh sb="6" eb="7">
      <t>ダイ</t>
    </rPh>
    <rPh sb="11" eb="13">
      <t>コウゲキ</t>
    </rPh>
    <rPh sb="14" eb="16">
      <t>シカ</t>
    </rPh>
    <rPh sb="23" eb="26">
      <t>ボウギョリョク</t>
    </rPh>
    <rPh sb="32" eb="33">
      <t>モ</t>
    </rPh>
    <rPh sb="41" eb="42">
      <t>ツ</t>
    </rPh>
    <rPh sb="44" eb="45">
      <t>イ</t>
    </rPh>
    <phoneticPr fontId="5"/>
  </si>
  <si>
    <t>[effect:damage_anti_tribe, target:unit_all, tribe:god, val1:1.6, val2:0.05]</t>
    <phoneticPr fontId="5"/>
  </si>
  <si>
    <t>[effect:critical, val:1.3, animation:enemy_critical]</t>
    <phoneticPr fontId="5"/>
  </si>
  <si>
    <t>ミョルニルは黄パネル出現率0%の
スキル発動後に黄パネル破壊攻撃を
仕掛けてきます
黄パネルを優先して破壊しましょう</t>
    <rPh sb="6" eb="7">
      <t>キイロ</t>
    </rPh>
    <rPh sb="10" eb="13">
      <t>シュツゲンリツ</t>
    </rPh>
    <rPh sb="20" eb="23">
      <t>ハツドウゴ</t>
    </rPh>
    <rPh sb="24" eb="25">
      <t>キイロ</t>
    </rPh>
    <rPh sb="28" eb="30">
      <t>ハカイ</t>
    </rPh>
    <rPh sb="30" eb="32">
      <t>コウゲキ</t>
    </rPh>
    <rPh sb="34" eb="38">
      <t>シカケテクル</t>
    </rPh>
    <rPh sb="43" eb="44">
      <t>キ</t>
    </rPh>
    <rPh sb="48" eb="50">
      <t>ユウセン</t>
    </rPh>
    <rPh sb="52" eb="54">
      <t>ハカイ</t>
    </rPh>
    <phoneticPr fontId="5"/>
  </si>
  <si>
    <t>粉砕せし神鎚</t>
    <rPh sb="0" eb="2">
      <t>フンサイ</t>
    </rPh>
    <rPh sb="4" eb="5">
      <t>シン</t>
    </rPh>
    <rPh sb="5" eb="6">
      <t>ツt</t>
    </rPh>
    <phoneticPr fontId="5"/>
  </si>
  <si>
    <t>攻撃力×1.3倍の攻撃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</si>
</sst>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1" fillId="0" borderId="7" xfId="0" applyFont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/>
    </xf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16" fillId="31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177" fontId="11" fillId="0" borderId="23" xfId="0" applyNumberFormat="1" applyFont="1" applyBorder="1" applyAlignment="1">
      <alignment vertical="center"/>
    </xf>
    <xf numFmtId="177" fontId="11" fillId="0" borderId="24" xfId="0" applyNumberFormat="1" applyFont="1" applyBorder="1" applyAlignment="1">
      <alignment vertical="center"/>
    </xf>
    <xf numFmtId="177" fontId="11" fillId="0" borderId="25" xfId="0" applyNumberFormat="1" applyFont="1" applyBorder="1" applyAlignment="1">
      <alignment vertical="center"/>
    </xf>
    <xf numFmtId="177" fontId="11" fillId="0" borderId="26" xfId="0" applyNumberFormat="1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7" xfId="0" applyBorder="1"/>
    <xf numFmtId="0" fontId="27" fillId="0" borderId="27" xfId="0" applyFont="1" applyFill="1" applyBorder="1"/>
    <xf numFmtId="0" fontId="0" fillId="3" borderId="27" xfId="0" applyFill="1" applyBorder="1"/>
    <xf numFmtId="0" fontId="6" fillId="5" borderId="27" xfId="0" applyFont="1" applyFill="1" applyBorder="1" applyAlignment="1">
      <alignment vertical="center"/>
    </xf>
  </cellXfs>
  <cellStyles count="88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2" sqref="B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214</v>
      </c>
      <c r="B2" s="57" t="s">
        <v>107</v>
      </c>
      <c r="C2" s="62">
        <v>30024</v>
      </c>
      <c r="D2" s="57" t="s">
        <v>108</v>
      </c>
      <c r="E2" s="56" t="str">
        <f>B2&amp;C2&amp;D2</f>
        <v>floors_30024.tmp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214</v>
      </c>
      <c r="B3" s="57" t="s">
        <v>110</v>
      </c>
      <c r="C3" s="62">
        <f>C$2</f>
        <v>30024</v>
      </c>
      <c r="D3" s="57" t="s">
        <v>108</v>
      </c>
      <c r="E3" s="56" t="str">
        <f>B3&amp;C3&amp;D3</f>
        <v>enemy_habitats_30024.tmp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214</v>
      </c>
      <c r="B4" s="57" t="s">
        <v>112</v>
      </c>
      <c r="C4" s="62">
        <f t="shared" ref="C4:C12" si="0">C$2</f>
        <v>30024</v>
      </c>
      <c r="D4" s="57" t="s">
        <v>108</v>
      </c>
      <c r="E4" s="56" t="str">
        <f>B4&amp;C4&amp;D4</f>
        <v>enemy_habitat_S_30024.tmp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214</v>
      </c>
      <c r="B5" s="57" t="s">
        <v>114</v>
      </c>
      <c r="C5" s="62">
        <f t="shared" si="0"/>
        <v>30024</v>
      </c>
      <c r="D5" s="57" t="s">
        <v>108</v>
      </c>
      <c r="E5" s="56" t="str">
        <f>B5&amp;C5&amp;D5</f>
        <v>enemy_skill_sets_30024.tmp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214</v>
      </c>
      <c r="B6" s="57" t="s">
        <v>116</v>
      </c>
      <c r="C6" s="62">
        <f t="shared" si="0"/>
        <v>30024</v>
      </c>
      <c r="D6" s="57" t="s">
        <v>117</v>
      </c>
      <c r="E6" s="56" t="str">
        <f t="shared" ref="E6:E10" si="1">B6&amp;C6&amp;D6</f>
        <v>enemy_skills_tmp_30024.tmp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214</v>
      </c>
      <c r="B7" s="57" t="s">
        <v>118</v>
      </c>
      <c r="C7" s="62">
        <f t="shared" si="0"/>
        <v>30024</v>
      </c>
      <c r="D7" s="57" t="s">
        <v>108</v>
      </c>
      <c r="E7" s="56" t="str">
        <f>B7&amp;C7&amp;D7</f>
        <v>enemy_skills_i18n_30024.tmp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214</v>
      </c>
      <c r="B8" s="57" t="s">
        <v>120</v>
      </c>
      <c r="C8" s="62">
        <f t="shared" si="0"/>
        <v>30024</v>
      </c>
      <c r="D8" s="57" t="s">
        <v>121</v>
      </c>
      <c r="E8" s="56" t="str">
        <f t="shared" si="1"/>
        <v>enemy_skill_triggers_30024.tmp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214</v>
      </c>
      <c r="B9" s="67" t="s">
        <v>178</v>
      </c>
      <c r="C9" s="62">
        <f t="shared" si="0"/>
        <v>30024</v>
      </c>
      <c r="D9" s="67" t="s">
        <v>172</v>
      </c>
      <c r="E9" s="68" t="str">
        <f t="shared" si="1"/>
        <v>stage_bug_bonuses_30024.tmp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6" customFormat="1" x14ac:dyDescent="0.15">
      <c r="A10" s="61" t="s">
        <v>214</v>
      </c>
      <c r="B10" s="67" t="s">
        <v>202</v>
      </c>
      <c r="C10" s="62">
        <f>C$2</f>
        <v>30024</v>
      </c>
      <c r="D10" s="67" t="s">
        <v>181</v>
      </c>
      <c r="E10" s="68" t="str">
        <f t="shared" si="1"/>
        <v>stage_hints_data_c_30024.tmp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75" t="s">
        <v>185</v>
      </c>
    </row>
    <row r="11" spans="1:30" s="76" customFormat="1" x14ac:dyDescent="0.15">
      <c r="A11" s="61" t="s">
        <v>214</v>
      </c>
      <c r="B11" s="67" t="s">
        <v>203</v>
      </c>
      <c r="C11" s="62">
        <f t="shared" si="0"/>
        <v>30024</v>
      </c>
      <c r="D11" s="67" t="s">
        <v>172</v>
      </c>
      <c r="E11" s="68" t="str">
        <f t="shared" ref="E11:E12" si="2">B11&amp;C11&amp;D11</f>
        <v>stage_hints_data_f_30024.tmp</v>
      </c>
      <c r="F11" s="67" t="s">
        <v>212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75" t="s">
        <v>185</v>
      </c>
    </row>
    <row r="12" spans="1:30" s="76" customFormat="1" x14ac:dyDescent="0.15">
      <c r="A12" s="61" t="s">
        <v>214</v>
      </c>
      <c r="B12" s="67" t="s">
        <v>204</v>
      </c>
      <c r="C12" s="62">
        <f t="shared" si="0"/>
        <v>30024</v>
      </c>
      <c r="D12" s="67" t="s">
        <v>172</v>
      </c>
      <c r="E12" s="68" t="str">
        <f t="shared" si="2"/>
        <v>stage_hints_i18n_30024.tmp</v>
      </c>
      <c r="F12" s="67" t="s">
        <v>213</v>
      </c>
      <c r="G12" s="74" t="s">
        <v>205</v>
      </c>
      <c r="H12" s="96" t="s">
        <v>206</v>
      </c>
      <c r="I12" s="73" t="s">
        <v>207</v>
      </c>
      <c r="J12" s="97" t="s">
        <v>208</v>
      </c>
      <c r="K12" s="75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K6" sqref="K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30024_1-1</v>
      </c>
      <c r="B2" s="16" t="str">
        <f>IF(COUNTIF(enemy_habitats!$H:$H,A2),"OK","NG")</f>
        <v>OK</v>
      </c>
      <c r="C2" s="7">
        <v>30024</v>
      </c>
      <c r="D2" s="11" t="str">
        <f ca="1">VLOOKUP($C2,OFFSET([2]quests!$A$1,0,0,COUNTA([2]quests!$A:$A),MATCH(D$1,[2]quests!$1:$1,0)-MATCH($C$1,[2]quests!$1:$1,0)+1),MATCH(D$1,[2]quests!$1:$1,0)-MATCH($C$1,[2]quests!$1:$1,0)+1,FALSE)</f>
        <v>雷鎚の選定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ドロップイベント7（マルチ専用）</v>
      </c>
      <c r="F2" s="21">
        <v>1</v>
      </c>
      <c r="G2" s="23" t="str">
        <f>C2&amp;"_"&amp;F2</f>
        <v>30024_1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【中級】雷鎚の選定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11" si="0">G3&amp;"-"&amp;I3</f>
        <v>30024_1-2</v>
      </c>
      <c r="B3" s="16" t="str">
        <f>IF(COUNTIF(enemy_habitats!$H:$H,A3),"OK","NG")</f>
        <v>OK</v>
      </c>
      <c r="C3" s="7">
        <v>30024</v>
      </c>
      <c r="D3" s="11" t="str">
        <f ca="1">VLOOKUP($C3,OFFSET([2]quests!$A$1,0,0,COUNTA([2]quests!$A:$A),MATCH(D$1,[2]quests!$1:$1,0)-MATCH($C$1,[2]quests!$1:$1,0)+1),MATCH(D$1,[2]quests!$1:$1,0)-MATCH($C$1,[2]quests!$1:$1,0)+1,FALSE)</f>
        <v>雷鎚の選定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ドロップイベント7（マルチ専用）</v>
      </c>
      <c r="F3" s="21">
        <v>1</v>
      </c>
      <c r="G3" s="23" t="str">
        <f t="shared" ref="G3:G11" si="1">C3&amp;"_"&amp;F3</f>
        <v>30024_1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【中級】雷鎚の選定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30024_1-3</v>
      </c>
      <c r="B4" s="16" t="str">
        <f>IF(COUNTIF(enemy_habitats!$H:$H,A4),"OK","NG")</f>
        <v>OK</v>
      </c>
      <c r="C4" s="7">
        <v>30024</v>
      </c>
      <c r="D4" s="11" t="str">
        <f ca="1">VLOOKUP($C4,OFFSET([2]quests!$A$1,0,0,COUNTA([2]quests!$A:$A),MATCH(D$1,[2]quests!$1:$1,0)-MATCH($C$1,[2]quests!$1:$1,0)+1),MATCH(D$1,[2]quests!$1:$1,0)-MATCH($C$1,[2]quests!$1:$1,0)+1,FALSE)</f>
        <v>雷鎚の選定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ドロップイベント7（マルチ専用）</v>
      </c>
      <c r="F4" s="21">
        <v>1</v>
      </c>
      <c r="G4" s="23" t="str">
        <f t="shared" si="1"/>
        <v>30024_1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【中級】雷鎚の選定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30024_2-1</v>
      </c>
      <c r="B5" s="16" t="str">
        <f>IF(COUNTIF(enemy_habitats!$H:$H,A5),"OK","NG")</f>
        <v>OK</v>
      </c>
      <c r="C5" s="7">
        <v>30024</v>
      </c>
      <c r="D5" s="11" t="str">
        <f ca="1">VLOOKUP($C5,OFFSET([2]quests!$A$1,0,0,COUNTA([2]quests!$A:$A),MATCH(D$1,[2]quests!$1:$1,0)-MATCH($C$1,[2]quests!$1:$1,0)+1),MATCH(D$1,[2]quests!$1:$1,0)-MATCH($C$1,[2]quests!$1:$1,0)+1,FALSE)</f>
        <v>雷鎚の選定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ドロップイベント7（マルチ専用）</v>
      </c>
      <c r="F5" s="21">
        <v>2</v>
      </c>
      <c r="G5" s="23" t="str">
        <f t="shared" si="1"/>
        <v>30024_2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【上級】雷鎚の選定</v>
      </c>
      <c r="I5" s="21">
        <v>1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30024_2-2</v>
      </c>
      <c r="B6" s="16" t="str">
        <f>IF(COUNTIF(enemy_habitats!$H:$H,A6),"OK","NG")</f>
        <v>OK</v>
      </c>
      <c r="C6" s="7">
        <v>30024</v>
      </c>
      <c r="D6" s="11" t="str">
        <f ca="1">VLOOKUP($C6,OFFSET([2]quests!$A$1,0,0,COUNTA([2]quests!$A:$A),MATCH(D$1,[2]quests!$1:$1,0)-MATCH($C$1,[2]quests!$1:$1,0)+1),MATCH(D$1,[2]quests!$1:$1,0)-MATCH($C$1,[2]quests!$1:$1,0)+1,FALSE)</f>
        <v>雷鎚の選定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ドロップイベント7（マルチ専用）</v>
      </c>
      <c r="F6" s="21">
        <v>2</v>
      </c>
      <c r="G6" s="23" t="str">
        <f t="shared" si="1"/>
        <v>30024_2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【上級】雷鎚の選定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30024_2-3</v>
      </c>
      <c r="B7" s="16" t="str">
        <f>IF(COUNTIF(enemy_habitats!$H:$H,A7),"OK","NG")</f>
        <v>OK</v>
      </c>
      <c r="C7" s="7">
        <v>30024</v>
      </c>
      <c r="D7" s="11" t="str">
        <f ca="1">VLOOKUP($C7,OFFSET([2]quests!$A$1,0,0,COUNTA([2]quests!$A:$A),MATCH(D$1,[2]quests!$1:$1,0)-MATCH($C$1,[2]quests!$1:$1,0)+1),MATCH(D$1,[2]quests!$1:$1,0)-MATCH($C$1,[2]quests!$1:$1,0)+1,FALSE)</f>
        <v>雷鎚の選定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ドロップイベント7（マルチ専用）</v>
      </c>
      <c r="F7" s="21">
        <v>2</v>
      </c>
      <c r="G7" s="23" t="str">
        <f t="shared" si="1"/>
        <v>30024_2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【上級】雷鎚の選定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30024_3-1</v>
      </c>
      <c r="B8" s="16" t="str">
        <f>IF(COUNTIF(enemy_habitats!$H:$H,A8),"OK","NG")</f>
        <v>OK</v>
      </c>
      <c r="C8" s="7">
        <v>30024</v>
      </c>
      <c r="D8" s="11" t="str">
        <f ca="1">VLOOKUP($C8,OFFSET([2]quests!$A$1,0,0,COUNTA([2]quests!$A:$A),MATCH(D$1,[2]quests!$1:$1,0)-MATCH($C$1,[2]quests!$1:$1,0)+1),MATCH(D$1,[2]quests!$1:$1,0)-MATCH($C$1,[2]quests!$1:$1,0)+1,FALSE)</f>
        <v>雷鎚の選定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ドロップイベント7（マルチ専用）</v>
      </c>
      <c r="F8" s="21">
        <v>3</v>
      </c>
      <c r="G8" s="23" t="str">
        <f t="shared" si="1"/>
        <v>30024_3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【超級】雷鎚の選定</v>
      </c>
      <c r="I8" s="21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30024_3-2</v>
      </c>
      <c r="B9" s="16" t="str">
        <f>IF(COUNTIF(enemy_habitats!$H:$H,A9),"OK","NG")</f>
        <v>OK</v>
      </c>
      <c r="C9" s="7">
        <v>30024</v>
      </c>
      <c r="D9" s="11" t="str">
        <f ca="1">VLOOKUP($C9,OFFSET([2]quests!$A$1,0,0,COUNTA([2]quests!$A:$A),MATCH(D$1,[2]quests!$1:$1,0)-MATCH($C$1,[2]quests!$1:$1,0)+1),MATCH(D$1,[2]quests!$1:$1,0)-MATCH($C$1,[2]quests!$1:$1,0)+1,FALSE)</f>
        <v>雷鎚の選定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ドロップイベント7（マルチ専用）</v>
      </c>
      <c r="F9" s="21">
        <v>3</v>
      </c>
      <c r="G9" s="23" t="str">
        <f t="shared" si="1"/>
        <v>30024_3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【超級】雷鎚の選定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30024_3-3</v>
      </c>
      <c r="B10" s="16" t="str">
        <f>IF(COUNTIF(enemy_habitats!$H:$H,A10),"OK","NG")</f>
        <v>OK</v>
      </c>
      <c r="C10" s="7">
        <v>30024</v>
      </c>
      <c r="D10" s="11" t="str">
        <f ca="1">VLOOKUP($C10,OFFSET([2]quests!$A$1,0,0,COUNTA([2]quests!$A:$A),MATCH(D$1,[2]quests!$1:$1,0)-MATCH($C$1,[2]quests!$1:$1,0)+1),MATCH(D$1,[2]quests!$1:$1,0)-MATCH($C$1,[2]quests!$1:$1,0)+1,FALSE)</f>
        <v>雷鎚の選定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ドロップイベント7（マルチ専用）</v>
      </c>
      <c r="F10" s="21">
        <v>3</v>
      </c>
      <c r="G10" s="23" t="str">
        <f t="shared" si="1"/>
        <v>30024_3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【超級】雷鎚の選定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30024_3-4</v>
      </c>
      <c r="B11" s="16" t="str">
        <f>IF(COUNTIF(enemy_habitats!$H:$H,A11),"OK","NG")</f>
        <v>OK</v>
      </c>
      <c r="C11" s="7">
        <v>30024</v>
      </c>
      <c r="D11" s="11" t="str">
        <f ca="1">VLOOKUP($C11,OFFSET([2]quests!$A$1,0,0,COUNTA([2]quests!$A:$A),MATCH(D$1,[2]quests!$1:$1,0)-MATCH($C$1,[2]quests!$1:$1,0)+1),MATCH(D$1,[2]quests!$1:$1,0)-MATCH($C$1,[2]quests!$1:$1,0)+1,FALSE)</f>
        <v>雷鎚の選定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ドロップイベント7（マルチ専用）</v>
      </c>
      <c r="F11" s="21">
        <v>3</v>
      </c>
      <c r="G11" s="23" t="str">
        <f t="shared" si="1"/>
        <v>30024_3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【超級】雷鎚の選定</v>
      </c>
      <c r="I11" s="21">
        <v>4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2"/>
  <sheetViews>
    <sheetView showGridLines="0" workbookViewId="0">
      <pane xSplit="17" ySplit="1" topLeftCell="U16" activePane="bottomRight" state="frozen"/>
      <selection pane="topRight" activeCell="N1" sqref="N1"/>
      <selection pane="bottomLeft" activeCell="A2" sqref="A2"/>
      <selection pane="bottomRight" activeCell="AH19" sqref="AH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10" ca="1" si="0">B2&amp;"_"&amp;C2&amp;"-"&amp;G2&amp;"/"&amp;L2&amp;"&lt;lv"&amp;R2&amp;"&gt;s"&amp;AA2</f>
        <v>30024_1-1/1&lt;lv20&gt;s1</v>
      </c>
      <c r="B2" s="22">
        <v>30024</v>
      </c>
      <c r="C2" s="102">
        <v>1</v>
      </c>
      <c r="D2" s="2" t="str">
        <f t="shared" ref="D2:D10" si="1">B2&amp;"_"&amp;C2</f>
        <v>30024_1</v>
      </c>
      <c r="E2" s="4" t="str">
        <f ca="1">VLOOKUP($B2,OFFSET([2]quests!$A$1,0,0,COUNTA([2]quests!$A:$A),MATCH(E$1,[2]quests!$1:$1,0)-MATCH($B$1,[2]quests!$1:$1,0)+1),MATCH(E$1,[2]quests!$1:$1,0)-MATCH($B$1,[2]quests!$1:$1,0)+1,FALSE)</f>
        <v>雷鎚の選定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【中級】雷鎚の選定</v>
      </c>
      <c r="G2" s="102">
        <v>1</v>
      </c>
      <c r="H2" s="15" t="str">
        <f t="shared" ref="H2:H10" si="2">B2&amp;"_"&amp;C2&amp;"-"&amp;G2</f>
        <v>30024_1-1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20</v>
      </c>
      <c r="S2" s="25">
        <v>1</v>
      </c>
      <c r="T2" s="25">
        <v>0.8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10" si="3"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10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30024_1-1/27&lt;lv20&gt;s1</v>
      </c>
      <c r="B3" s="22">
        <v>30024</v>
      </c>
      <c r="C3" s="102">
        <v>1</v>
      </c>
      <c r="D3" s="2" t="str">
        <f t="shared" si="1"/>
        <v>30024_1</v>
      </c>
      <c r="E3" s="4" t="str">
        <f ca="1">VLOOKUP($B3,OFFSET([2]quests!$A$1,0,0,COUNTA([2]quests!$A:$A),MATCH(E$1,[2]quests!$1:$1,0)-MATCH($B$1,[2]quests!$1:$1,0)+1),MATCH(E$1,[2]quests!$1:$1,0)-MATCH($B$1,[2]quests!$1:$1,0)+1,FALSE)</f>
        <v>雷鎚の選定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【中級】雷鎚の選定</v>
      </c>
      <c r="G3" s="102">
        <v>1</v>
      </c>
      <c r="H3" s="15" t="str">
        <f t="shared" si="2"/>
        <v>30024_1-1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27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パトライン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20</v>
      </c>
      <c r="S3" s="25">
        <v>1</v>
      </c>
      <c r="T3" s="25">
        <v>1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 t="shared" si="3"/>
        <v>27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30024_1-1/29&lt;lv20&gt;s2</v>
      </c>
      <c r="B4" s="22">
        <v>30024</v>
      </c>
      <c r="C4" s="102">
        <v>1</v>
      </c>
      <c r="D4" s="2" t="str">
        <f t="shared" si="1"/>
        <v>30024_1</v>
      </c>
      <c r="E4" s="4" t="str">
        <f ca="1">VLOOKUP($B4,OFFSET([2]quests!$A$1,0,0,COUNTA([2]quests!$A:$A),MATCH(E$1,[2]quests!$1:$1,0)-MATCH($B$1,[2]quests!$1:$1,0)+1),MATCH(E$1,[2]quests!$1:$1,0)-MATCH($B$1,[2]quests!$1:$1,0)+1,FALSE)</f>
        <v>雷鎚の選定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【中級】雷鎚の選定</v>
      </c>
      <c r="G4" s="102">
        <v>1</v>
      </c>
      <c r="H4" s="15" t="str">
        <f t="shared" si="2"/>
        <v>30024_1-1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29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スケアクロウ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20</v>
      </c>
      <c r="S4" s="25">
        <v>1</v>
      </c>
      <c r="T4" s="25">
        <v>1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29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30024_1-1/31&lt;lv20&gt;s2</v>
      </c>
      <c r="B5" s="22">
        <v>30024</v>
      </c>
      <c r="C5" s="102">
        <v>1</v>
      </c>
      <c r="D5" s="2" t="str">
        <f t="shared" si="1"/>
        <v>30024_1</v>
      </c>
      <c r="E5" s="4" t="str">
        <f ca="1">VLOOKUP($B5,OFFSET([2]quests!$A$1,0,0,COUNTA([2]quests!$A:$A),MATCH(E$1,[2]quests!$1:$1,0)-MATCH($B$1,[2]quests!$1:$1,0)+1),MATCH(E$1,[2]quests!$1:$1,0)-MATCH($B$1,[2]quests!$1:$1,0)+1,FALSE)</f>
        <v>雷鎚の選定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【中級】雷鎚の選定</v>
      </c>
      <c r="G5" s="102">
        <v>1</v>
      </c>
      <c r="H5" s="15" t="str">
        <f t="shared" si="2"/>
        <v>30024_1-1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31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マービー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20</v>
      </c>
      <c r="S5" s="25">
        <v>0.9</v>
      </c>
      <c r="T5" s="25">
        <v>1</v>
      </c>
      <c r="U5" s="5">
        <v>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31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30024_1-1/35&lt;lv20&gt;s4</v>
      </c>
      <c r="B6" s="22">
        <v>30024</v>
      </c>
      <c r="C6" s="102">
        <v>1</v>
      </c>
      <c r="D6" s="2" t="str">
        <f t="shared" si="1"/>
        <v>30024_1</v>
      </c>
      <c r="E6" s="4" t="str">
        <f ca="1">VLOOKUP($B6,OFFSET([2]quests!$A$1,0,0,COUNTA([2]quests!$A:$A),MATCH(E$1,[2]quests!$1:$1,0)-MATCH($B$1,[2]quests!$1:$1,0)+1),MATCH(E$1,[2]quests!$1:$1,0)-MATCH($B$1,[2]quests!$1:$1,0)+1,FALSE)</f>
        <v>雷鎚の選定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【中級】雷鎚の選定</v>
      </c>
      <c r="G6" s="102">
        <v>1</v>
      </c>
      <c r="H6" s="15" t="str">
        <f t="shared" si="2"/>
        <v>30024_1-1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35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F2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20</v>
      </c>
      <c r="S6" s="25">
        <v>1</v>
      </c>
      <c r="T6" s="25">
        <v>1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6" s="4">
        <f ca="1">VLOOKUP($L6,OFFSET([3]enemies!$A$1,0,0,COUNTA([3]enemies!$A:$A),MATCH(W$1,[3]enemies!$1:$1,0)-MATCH($L$1,[3]enemies!$1:$1,0)+1),MATCH(W$1,[3]enemies!$1:$1,0)-MATCH($L$1,[3]enemies!$1:$1,0)+1,FALSE)</f>
        <v>35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4</v>
      </c>
      <c r="AB6" s="24">
        <f t="shared" si="3"/>
        <v>35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F2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30024_1-2/2&lt;lv25&gt;s1</v>
      </c>
      <c r="B7" s="22">
        <v>30024</v>
      </c>
      <c r="C7" s="102">
        <v>1</v>
      </c>
      <c r="D7" s="2" t="str">
        <f t="shared" si="1"/>
        <v>30024_1</v>
      </c>
      <c r="E7" s="4" t="str">
        <f ca="1">VLOOKUP($B7,OFFSET([2]quests!$A$1,0,0,COUNTA([2]quests!$A:$A),MATCH(E$1,[2]quests!$1:$1,0)-MATCH($B$1,[2]quests!$1:$1,0)+1),MATCH(E$1,[2]quests!$1:$1,0)-MATCH($B$1,[2]quests!$1:$1,0)+1,FALSE)</f>
        <v>雷鎚の選定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【中級】雷鎚の選定</v>
      </c>
      <c r="G7" s="103">
        <v>2</v>
      </c>
      <c r="H7" s="15" t="str">
        <f t="shared" si="2"/>
        <v>30024_1-2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イレギュラー・ジェリー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25</v>
      </c>
      <c r="S7" s="110">
        <v>1.2</v>
      </c>
      <c r="T7" s="111">
        <v>1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1</v>
      </c>
      <c r="AB7" s="24">
        <f t="shared" si="3"/>
        <v>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7">
        <v>1</v>
      </c>
      <c r="AG7" s="24">
        <f t="shared" ca="1" si="4"/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30024_1-2/28&lt;lv25&gt;s1</v>
      </c>
      <c r="B8" s="22">
        <v>30024</v>
      </c>
      <c r="C8" s="102">
        <v>1</v>
      </c>
      <c r="D8" s="2" t="str">
        <f t="shared" si="1"/>
        <v>30024_1</v>
      </c>
      <c r="E8" s="4" t="str">
        <f ca="1">VLOOKUP($B8,OFFSET([2]quests!$A$1,0,0,COUNTA([2]quests!$A:$A),MATCH(E$1,[2]quests!$1:$1,0)-MATCH($B$1,[2]quests!$1:$1,0)+1),MATCH(E$1,[2]quests!$1:$1,0)-MATCH($B$1,[2]quests!$1:$1,0)+1,FALSE)</f>
        <v>雷鎚の選定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【中級】雷鎚の選定</v>
      </c>
      <c r="G8" s="103">
        <v>2</v>
      </c>
      <c r="H8" s="15" t="str">
        <f t="shared" si="2"/>
        <v>30024_1-2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28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現場急行 パトラインカスタム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25</v>
      </c>
      <c r="S8" s="112">
        <v>1</v>
      </c>
      <c r="T8" s="113">
        <v>1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8" s="4">
        <f ca="1">VLOOKUP($L8,OFFSET([3]enemies!$A$1,0,0,COUNTA([3]enemies!$A:$A),MATCH(W$1,[3]enemies!$1:$1,0)-MATCH($L$1,[3]enemies!$1:$1,0)+1),MATCH(W$1,[3]enemies!$1:$1,0)-MATCH($L$1,[3]enemies!$1:$1,0)+1,FALSE)</f>
        <v>28</v>
      </c>
      <c r="X8" s="6">
        <v>0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1</v>
      </c>
      <c r="AB8" s="24">
        <f t="shared" si="3"/>
        <v>28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0"/>
        <v>30024_1-2/30&lt;lv25&gt;s2</v>
      </c>
      <c r="B9" s="22">
        <v>30024</v>
      </c>
      <c r="C9" s="102">
        <v>1</v>
      </c>
      <c r="D9" s="2" t="str">
        <f t="shared" si="1"/>
        <v>30024_1</v>
      </c>
      <c r="E9" s="4" t="str">
        <f ca="1">VLOOKUP($B9,OFFSET([2]quests!$A$1,0,0,COUNTA([2]quests!$A:$A),MATCH(E$1,[2]quests!$1:$1,0)-MATCH($B$1,[2]quests!$1:$1,0)+1),MATCH(E$1,[2]quests!$1:$1,0)-MATCH($B$1,[2]quests!$1:$1,0)+1,FALSE)</f>
        <v>雷鎚の選定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【中級】雷鎚の選定</v>
      </c>
      <c r="G9" s="103">
        <v>2</v>
      </c>
      <c r="H9" s="15" t="str">
        <f t="shared" si="2"/>
        <v>30024_1-2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30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護衛機人 スケアクロウ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25</v>
      </c>
      <c r="S9" s="112">
        <v>1.2</v>
      </c>
      <c r="T9" s="113">
        <v>1</v>
      </c>
      <c r="U9" s="5">
        <v>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4">
        <v>0</v>
      </c>
      <c r="X9" s="6">
        <v>0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3"/>
        <v>30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4">
        <f t="shared" ca="1" si="4"/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0"/>
        <v>30024_1-2/32&lt;lv25&gt;s5</v>
      </c>
      <c r="B10" s="22">
        <v>30024</v>
      </c>
      <c r="C10" s="102">
        <v>1</v>
      </c>
      <c r="D10" s="2" t="str">
        <f t="shared" si="1"/>
        <v>30024_1</v>
      </c>
      <c r="E10" s="4" t="str">
        <f ca="1">VLOOKUP($B10,OFFSET([2]quests!$A$1,0,0,COUNTA([2]quests!$A:$A),MATCH(E$1,[2]quests!$1:$1,0)-MATCH($B$1,[2]quests!$1:$1,0)+1),MATCH(E$1,[2]quests!$1:$1,0)-MATCH($B$1,[2]quests!$1:$1,0)+1,FALSE)</f>
        <v>雷鎚の選定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【中級】雷鎚の選定</v>
      </c>
      <c r="G10" s="103">
        <v>2</v>
      </c>
      <c r="H10" s="15" t="str">
        <f t="shared" si="2"/>
        <v>30024_1-2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32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沈黙のジャミング マービー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25</v>
      </c>
      <c r="S10" s="112">
        <v>1.2</v>
      </c>
      <c r="T10" s="113">
        <v>0.7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5</v>
      </c>
      <c r="AB10" s="24">
        <f t="shared" si="3"/>
        <v>32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t="shared" ca="1" si="4"/>
        <v>2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ref="A11:A32" si="5">B11&amp;"_"&amp;C11&amp;"-"&amp;G11&amp;"/"&amp;L11&amp;"&lt;lv"&amp;R11&amp;"&gt;s"&amp;AA11</f>
        <v>30024_1-3/583&lt;lv30&gt;s2</v>
      </c>
      <c r="B11" s="22">
        <v>30024</v>
      </c>
      <c r="C11" s="102">
        <v>1</v>
      </c>
      <c r="D11" s="2" t="str">
        <f t="shared" ref="D11:D32" si="6">B11&amp;"_"&amp;C11</f>
        <v>30024_1</v>
      </c>
      <c r="E11" s="4" t="str">
        <f ca="1">VLOOKUP($B11,OFFSET([2]quests!$A$1,0,0,COUNTA([2]quests!$A:$A),MATCH(E$1,[2]quests!$1:$1,0)-MATCH($B$1,[2]quests!$1:$1,0)+1),MATCH(E$1,[2]quests!$1:$1,0)-MATCH($B$1,[2]quests!$1:$1,0)+1,FALSE)</f>
        <v>雷鎚の選定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【中級】雷鎚の選定</v>
      </c>
      <c r="G11" s="108">
        <v>3</v>
      </c>
      <c r="H11" s="15" t="str">
        <f t="shared" ref="H11:H32" si="7">B11&amp;"_"&amp;C11&amp;"-"&amp;G11</f>
        <v>30024_1-3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 t="s">
        <v>53</v>
      </c>
      <c r="L11" s="20">
        <v>583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ミョルニル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30</v>
      </c>
      <c r="S11" s="25">
        <v>2.2999999999999998</v>
      </c>
      <c r="T11" s="25">
        <v>1.1000000000000001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107">
        <v>30024005</v>
      </c>
      <c r="X11" s="6">
        <v>0</v>
      </c>
      <c r="Y11" s="6">
        <v>100</v>
      </c>
      <c r="Z11" s="6">
        <v>0</v>
      </c>
      <c r="AA11" s="17">
        <v>2</v>
      </c>
      <c r="AB11" s="24">
        <f t="shared" ref="AB11:AB31" si="8">L11</f>
        <v>583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ミョルニル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4">
        <f t="shared" ref="AG11:AG32" ca="1" si="9">AD11</f>
        <v>4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ca="1" si="5"/>
        <v>30024_2-1/1&lt;lv35&gt;s1</v>
      </c>
      <c r="B12" s="22">
        <v>30024</v>
      </c>
      <c r="C12" s="103">
        <v>2</v>
      </c>
      <c r="D12" s="2" t="str">
        <f t="shared" si="6"/>
        <v>30024_2</v>
      </c>
      <c r="E12" s="4" t="str">
        <f ca="1">VLOOKUP($B12,OFFSET([2]quests!$A$1,0,0,COUNTA([2]quests!$A:$A),MATCH(E$1,[2]quests!$1:$1,0)-MATCH($B$1,[2]quests!$1:$1,0)+1),MATCH(E$1,[2]quests!$1:$1,0)-MATCH($B$1,[2]quests!$1:$1,0)+1,FALSE)</f>
        <v>雷鎚の選定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【上級】雷鎚の選定</v>
      </c>
      <c r="G12" s="109">
        <v>1</v>
      </c>
      <c r="H12" s="15" t="str">
        <f t="shared" si="7"/>
        <v>30024_2-1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ジェリー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0.9</v>
      </c>
      <c r="T12" s="25">
        <v>0.8</v>
      </c>
      <c r="U12" s="5">
        <v>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1</v>
      </c>
      <c r="AB12" s="24">
        <f t="shared" si="8"/>
        <v>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2" s="7">
        <v>1</v>
      </c>
      <c r="AG12" s="24">
        <f t="shared" ca="1" si="9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ca="1" si="5"/>
        <v>30024_2-1/27&lt;lv35&gt;s1</v>
      </c>
      <c r="B13" s="22">
        <v>30024</v>
      </c>
      <c r="C13" s="103">
        <v>2</v>
      </c>
      <c r="D13" s="2" t="str">
        <f t="shared" si="6"/>
        <v>30024_2</v>
      </c>
      <c r="E13" s="4" t="str">
        <f ca="1">VLOOKUP($B13,OFFSET([2]quests!$A$1,0,0,COUNTA([2]quests!$A:$A),MATCH(E$1,[2]quests!$1:$1,0)-MATCH($B$1,[2]quests!$1:$1,0)+1),MATCH(E$1,[2]quests!$1:$1,0)-MATCH($B$1,[2]quests!$1:$1,0)+1,FALSE)</f>
        <v>雷鎚の選定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【上級】雷鎚の選定</v>
      </c>
      <c r="G13" s="109">
        <v>1</v>
      </c>
      <c r="H13" s="15" t="str">
        <f t="shared" si="7"/>
        <v>30024_2-1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27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パトライン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35</v>
      </c>
      <c r="S13" s="25">
        <v>0.9</v>
      </c>
      <c r="T13" s="25">
        <v>1</v>
      </c>
      <c r="U13" s="5">
        <v>0</v>
      </c>
      <c r="V13" s="4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1</v>
      </c>
      <c r="AB13" s="24">
        <f t="shared" si="8"/>
        <v>27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9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5"/>
        <v>30024_2-1/29&lt;lv35&gt;s2</v>
      </c>
      <c r="B14" s="22">
        <v>30024</v>
      </c>
      <c r="C14" s="103">
        <v>2</v>
      </c>
      <c r="D14" s="2" t="str">
        <f t="shared" si="6"/>
        <v>30024_2</v>
      </c>
      <c r="E14" s="4" t="str">
        <f ca="1">VLOOKUP($B14,OFFSET([2]quests!$A$1,0,0,COUNTA([2]quests!$A:$A),MATCH(E$1,[2]quests!$1:$1,0)-MATCH($B$1,[2]quests!$1:$1,0)+1),MATCH(E$1,[2]quests!$1:$1,0)-MATCH($B$1,[2]quests!$1:$1,0)+1,FALSE)</f>
        <v>雷鎚の選定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【上級】雷鎚の選定</v>
      </c>
      <c r="G14" s="109">
        <v>1</v>
      </c>
      <c r="H14" s="15" t="str">
        <f t="shared" si="7"/>
        <v>30024_2-1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29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スケアクロウ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35</v>
      </c>
      <c r="S14" s="25">
        <v>0.9</v>
      </c>
      <c r="T14" s="25">
        <v>1</v>
      </c>
      <c r="U14" s="5">
        <v>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f t="shared" si="8"/>
        <v>29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9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5"/>
        <v>30024_2-1/31&lt;lv35&gt;s2</v>
      </c>
      <c r="B15" s="22">
        <v>30024</v>
      </c>
      <c r="C15" s="103">
        <v>2</v>
      </c>
      <c r="D15" s="2" t="str">
        <f t="shared" si="6"/>
        <v>30024_2</v>
      </c>
      <c r="E15" s="4" t="str">
        <f ca="1">VLOOKUP($B15,OFFSET([2]quests!$A$1,0,0,COUNTA([2]quests!$A:$A),MATCH(E$1,[2]quests!$1:$1,0)-MATCH($B$1,[2]quests!$1:$1,0)+1),MATCH(E$1,[2]quests!$1:$1,0)-MATCH($B$1,[2]quests!$1:$1,0)+1,FALSE)</f>
        <v>雷鎚の選定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【上級】雷鎚の選定</v>
      </c>
      <c r="G15" s="109">
        <v>1</v>
      </c>
      <c r="H15" s="15" t="str">
        <f t="shared" si="7"/>
        <v>30024_2-1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マービー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35</v>
      </c>
      <c r="S15" s="25">
        <v>0.8</v>
      </c>
      <c r="T15" s="25">
        <v>1</v>
      </c>
      <c r="U15" s="5">
        <v>0</v>
      </c>
      <c r="V15" s="4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4">
        <f ca="1">VLOOKUP($L15,OFFSET([3]enemies!$A$1,0,0,COUNTA([3]enemies!$A:$A),MATCH(W$1,[3]enemies!$1:$1,0)-MATCH($L$1,[3]enemies!$1:$1,0)+1),MATCH(W$1,[3]enemies!$1:$1,0)-MATCH($L$1,[3]enemies!$1:$1,0)+1,FALSE)</f>
        <v>0</v>
      </c>
      <c r="X15" s="6">
        <v>0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 t="shared" si="8"/>
        <v>31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9"/>
        <v>1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ca="1" si="5"/>
        <v>30024_2-1/35&lt;lv35&gt;s4</v>
      </c>
      <c r="B16" s="22">
        <v>30024</v>
      </c>
      <c r="C16" s="103">
        <v>2</v>
      </c>
      <c r="D16" s="2" t="str">
        <f t="shared" si="6"/>
        <v>30024_2</v>
      </c>
      <c r="E16" s="4" t="str">
        <f ca="1">VLOOKUP($B16,OFFSET([2]quests!$A$1,0,0,COUNTA([2]quests!$A:$A),MATCH(E$1,[2]quests!$1:$1,0)-MATCH($B$1,[2]quests!$1:$1,0)+1),MATCH(E$1,[2]quests!$1:$1,0)-MATCH($B$1,[2]quests!$1:$1,0)+1,FALSE)</f>
        <v>雷鎚の選定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【上級】雷鎚の選定</v>
      </c>
      <c r="G16" s="109">
        <v>1</v>
      </c>
      <c r="H16" s="15" t="str">
        <f t="shared" si="7"/>
        <v>30024_2-1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8" t="s">
        <v>53</v>
      </c>
      <c r="L16" s="20">
        <v>35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F2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35</v>
      </c>
      <c r="S16" s="25">
        <v>0.9</v>
      </c>
      <c r="T16" s="25">
        <v>1</v>
      </c>
      <c r="U16" s="5">
        <v>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6" s="4">
        <f ca="1">VLOOKUP($L16,OFFSET([3]enemies!$A$1,0,0,COUNTA([3]enemies!$A:$A),MATCH(W$1,[3]enemies!$1:$1,0)-MATCH($L$1,[3]enemies!$1:$1,0)+1),MATCH(W$1,[3]enemies!$1:$1,0)-MATCH($L$1,[3]enemies!$1:$1,0)+1,FALSE)</f>
        <v>35</v>
      </c>
      <c r="X16" s="6">
        <v>0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4</v>
      </c>
      <c r="AB16" s="24">
        <f t="shared" si="8"/>
        <v>35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F2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t="shared" ca="1" si="9"/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5"/>
        <v>30024_2-2/2&lt;lv40&gt;s1</v>
      </c>
      <c r="B17" s="22">
        <v>30024</v>
      </c>
      <c r="C17" s="103">
        <v>2</v>
      </c>
      <c r="D17" s="2" t="str">
        <f t="shared" si="6"/>
        <v>30024_2</v>
      </c>
      <c r="E17" s="4" t="str">
        <f ca="1">VLOOKUP($B17,OFFSET([2]quests!$A$1,0,0,COUNTA([2]quests!$A:$A),MATCH(E$1,[2]quests!$1:$1,0)-MATCH($B$1,[2]quests!$1:$1,0)+1),MATCH(E$1,[2]quests!$1:$1,0)-MATCH($B$1,[2]quests!$1:$1,0)+1,FALSE)</f>
        <v>雷鎚の選定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【上級】雷鎚の選定</v>
      </c>
      <c r="G17" s="103">
        <v>2</v>
      </c>
      <c r="H17" s="15" t="str">
        <f t="shared" si="7"/>
        <v>30024_2-2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イレギュラー・ジェリー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Drop1T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40</v>
      </c>
      <c r="S17" s="110">
        <v>1</v>
      </c>
      <c r="T17" s="111">
        <v>1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1</v>
      </c>
      <c r="AB17" s="24">
        <f t="shared" si="8"/>
        <v>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Drop1T</v>
      </c>
      <c r="AF17" s="7">
        <v>1</v>
      </c>
      <c r="AG17" s="24">
        <f t="shared" ca="1" si="9"/>
        <v>2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ref="A18:A20" ca="1" si="10">B18&amp;"_"&amp;C18&amp;"-"&amp;G18&amp;"/"&amp;L18&amp;"&lt;lv"&amp;R18&amp;"&gt;s"&amp;AA18</f>
        <v>30024_2-2/28&lt;lv40&gt;s1</v>
      </c>
      <c r="B18" s="22">
        <v>30024</v>
      </c>
      <c r="C18" s="103">
        <v>2</v>
      </c>
      <c r="D18" s="2" t="str">
        <f t="shared" ref="D18:D20" si="11">B18&amp;"_"&amp;C18</f>
        <v>30024_2</v>
      </c>
      <c r="E18" s="4" t="str">
        <f ca="1">VLOOKUP($B18,OFFSET([2]quests!$A$1,0,0,COUNTA([2]quests!$A:$A),MATCH(E$1,[2]quests!$1:$1,0)-MATCH($B$1,[2]quests!$1:$1,0)+1),MATCH(E$1,[2]quests!$1:$1,0)-MATCH($B$1,[2]quests!$1:$1,0)+1,FALSE)</f>
        <v>雷鎚の選定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【上級】雷鎚の選定</v>
      </c>
      <c r="G18" s="103">
        <v>2</v>
      </c>
      <c r="H18" s="15" t="str">
        <f t="shared" ref="H18:H20" si="12">B18&amp;"_"&amp;C18&amp;"-"&amp;G18</f>
        <v>30024_2-2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28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現場急行 パトラインカスタム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40</v>
      </c>
      <c r="S18" s="112">
        <v>0.8</v>
      </c>
      <c r="T18" s="113">
        <v>1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8" s="4">
        <f ca="1">VLOOKUP($L18,OFFSET([3]enemies!$A$1,0,0,COUNTA([3]enemies!$A:$A),MATCH(W$1,[3]enemies!$1:$1,0)-MATCH($L$1,[3]enemies!$1:$1,0)+1),MATCH(W$1,[3]enemies!$1:$1,0)-MATCH($L$1,[3]enemies!$1:$1,0)+1,FALSE)</f>
        <v>28</v>
      </c>
      <c r="X18" s="6">
        <v>0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1</v>
      </c>
      <c r="AB18" s="24">
        <f t="shared" ref="AB18:AB20" si="13">L18</f>
        <v>28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ref="AG18:AG20" ca="1" si="14">AD18</f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ca="1" si="10"/>
        <v>30024_2-2/30&lt;lv40&gt;s2</v>
      </c>
      <c r="B19" s="22">
        <v>30024</v>
      </c>
      <c r="C19" s="103">
        <v>2</v>
      </c>
      <c r="D19" s="2" t="str">
        <f t="shared" si="11"/>
        <v>30024_2</v>
      </c>
      <c r="E19" s="4" t="str">
        <f ca="1">VLOOKUP($B19,OFFSET([2]quests!$A$1,0,0,COUNTA([2]quests!$A:$A),MATCH(E$1,[2]quests!$1:$1,0)-MATCH($B$1,[2]quests!$1:$1,0)+1),MATCH(E$1,[2]quests!$1:$1,0)-MATCH($B$1,[2]quests!$1:$1,0)+1,FALSE)</f>
        <v>雷鎚の選定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【上級】雷鎚の選定</v>
      </c>
      <c r="G19" s="103">
        <v>2</v>
      </c>
      <c r="H19" s="15" t="str">
        <f t="shared" si="12"/>
        <v>30024_2-2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30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護衛機人 スケアクロウ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machine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40</v>
      </c>
      <c r="S19" s="112">
        <v>1</v>
      </c>
      <c r="T19" s="113">
        <v>1</v>
      </c>
      <c r="U19" s="5">
        <v>0</v>
      </c>
      <c r="V19" s="4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4">
        <v>0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f t="shared" si="13"/>
        <v>30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7">
        <v>1</v>
      </c>
      <c r="AG19" s="24">
        <f t="shared" ca="1" si="14"/>
        <v>2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ca="1" si="10"/>
        <v>30024_2-2/32&lt;lv40&gt;s5</v>
      </c>
      <c r="B20" s="22">
        <v>30024</v>
      </c>
      <c r="C20" s="103">
        <v>2</v>
      </c>
      <c r="D20" s="2" t="str">
        <f t="shared" si="11"/>
        <v>30024_2</v>
      </c>
      <c r="E20" s="4" t="str">
        <f ca="1">VLOOKUP($B20,OFFSET([2]quests!$A$1,0,0,COUNTA([2]quests!$A:$A),MATCH(E$1,[2]quests!$1:$1,0)-MATCH($B$1,[2]quests!$1:$1,0)+1),MATCH(E$1,[2]quests!$1:$1,0)-MATCH($B$1,[2]quests!$1:$1,0)+1,FALSE)</f>
        <v>雷鎚の選定</v>
      </c>
      <c r="F20" s="4" t="str">
        <f ca="1">VLOOKUP($D20,OFFSET([2]stages!$A$1,0,0,COUNTA([2]stages!$A:$A),MATCH(F$1,[2]stages!$2:$2,0)-MATCH($D$1,[2]stages!$2:$2,0)+1),MATCH(F$1,[2]stages!$2:$2,0)-MATCH($D$1,[2]stages!$2:$2,0)+1,FALSE)</f>
        <v>【上級】雷鎚の選定</v>
      </c>
      <c r="G20" s="103">
        <v>2</v>
      </c>
      <c r="H20" s="15" t="str">
        <f t="shared" si="12"/>
        <v>30024_2-2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32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沈黙のジャミング マービー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machine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40</v>
      </c>
      <c r="S20" s="112">
        <v>1</v>
      </c>
      <c r="T20" s="113">
        <v>0.7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4">
        <f ca="1">VLOOKUP($L20,OFFSET([3]enemies!$A$1,0,0,COUNTA([3]enemies!$A:$A),MATCH(W$1,[3]enemies!$1:$1,0)-MATCH($L$1,[3]enemies!$1:$1,0)+1),MATCH(W$1,[3]enemies!$1:$1,0)-MATCH($L$1,[3]enemies!$1:$1,0)+1,FALSE)</f>
        <v>0</v>
      </c>
      <c r="X20" s="6">
        <v>0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5</v>
      </c>
      <c r="AB20" s="24">
        <f t="shared" si="13"/>
        <v>32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7">
        <v>1</v>
      </c>
      <c r="AG20" s="24">
        <f t="shared" ca="1" si="14"/>
        <v>2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si="5"/>
        <v>30024_2-3/583&lt;lv45&gt;s2</v>
      </c>
      <c r="B21" s="22">
        <v>30024</v>
      </c>
      <c r="C21" s="103">
        <v>2</v>
      </c>
      <c r="D21" s="2" t="str">
        <f t="shared" si="6"/>
        <v>30024_2</v>
      </c>
      <c r="E21" s="4" t="str">
        <f ca="1">VLOOKUP($B21,OFFSET([2]quests!$A$1,0,0,COUNTA([2]quests!$A:$A),MATCH(E$1,[2]quests!$1:$1,0)-MATCH($B$1,[2]quests!$1:$1,0)+1),MATCH(E$1,[2]quests!$1:$1,0)-MATCH($B$1,[2]quests!$1:$1,0)+1,FALSE)</f>
        <v>雷鎚の選定</v>
      </c>
      <c r="F21" s="4" t="str">
        <f ca="1">VLOOKUP($D21,OFFSET([2]stages!$A$1,0,0,COUNTA([2]stages!$A:$A),MATCH(F$1,[2]stages!$2:$2,0)-MATCH($D$1,[2]stages!$2:$2,0)+1),MATCH(F$1,[2]stages!$2:$2,0)-MATCH($D$1,[2]stages!$2:$2,0)+1,FALSE)</f>
        <v>【上級】雷鎚の選定</v>
      </c>
      <c r="G21" s="108">
        <v>3</v>
      </c>
      <c r="H21" s="15" t="str">
        <f t="shared" si="7"/>
        <v>30024_2-3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8" t="s">
        <v>53</v>
      </c>
      <c r="L21" s="20">
        <v>583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ミョルニル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machine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45</v>
      </c>
      <c r="S21" s="25">
        <v>2.2000000000000002</v>
      </c>
      <c r="T21" s="25">
        <v>1</v>
      </c>
      <c r="U21" s="5">
        <v>0</v>
      </c>
      <c r="V21" s="4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1" s="101">
        <v>30024004</v>
      </c>
      <c r="X21" s="6">
        <v>0</v>
      </c>
      <c r="Y21" s="6">
        <v>100</v>
      </c>
      <c r="Z21" s="6">
        <v>0</v>
      </c>
      <c r="AA21" s="17">
        <v>2</v>
      </c>
      <c r="AB21" s="24">
        <f t="shared" si="8"/>
        <v>583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ミョルニル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Drop2N</v>
      </c>
      <c r="AF21" s="7">
        <v>1</v>
      </c>
      <c r="AG21" s="24">
        <f t="shared" ca="1" si="9"/>
        <v>4</v>
      </c>
      <c r="AH21" s="8">
        <v>50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ca="1" si="5"/>
        <v>30024_3-1/1&lt;lv50&gt;s1</v>
      </c>
      <c r="B22" s="22">
        <v>30024</v>
      </c>
      <c r="C22" s="104">
        <v>3</v>
      </c>
      <c r="D22" s="2" t="str">
        <f t="shared" si="6"/>
        <v>30024_3</v>
      </c>
      <c r="E22" s="4" t="str">
        <f ca="1">VLOOKUP($B22,OFFSET([2]quests!$A$1,0,0,COUNTA([2]quests!$A:$A),MATCH(E$1,[2]quests!$1:$1,0)-MATCH($B$1,[2]quests!$1:$1,0)+1),MATCH(E$1,[2]quests!$1:$1,0)-MATCH($B$1,[2]quests!$1:$1,0)+1,FALSE)</f>
        <v>雷鎚の選定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【超級】雷鎚の選定</v>
      </c>
      <c r="G22" s="102">
        <v>1</v>
      </c>
      <c r="H22" s="15" t="str">
        <f t="shared" si="7"/>
        <v>30024_3-1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1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ジェリー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50</v>
      </c>
      <c r="S22" s="25">
        <v>0.9</v>
      </c>
      <c r="T22" s="25">
        <v>0.8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1</v>
      </c>
      <c r="AB22" s="24">
        <f t="shared" si="8"/>
        <v>1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2" s="7">
        <v>1</v>
      </c>
      <c r="AG22" s="24">
        <f t="shared" ca="1" si="9"/>
        <v>1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ref="A23:A26" ca="1" si="15">B23&amp;"_"&amp;C23&amp;"-"&amp;G23&amp;"/"&amp;L23&amp;"&lt;lv"&amp;R23&amp;"&gt;s"&amp;AA23</f>
        <v>30024_3-1/27&lt;lv50&gt;s1</v>
      </c>
      <c r="B23" s="22">
        <v>30024</v>
      </c>
      <c r="C23" s="104">
        <v>3</v>
      </c>
      <c r="D23" s="2" t="str">
        <f t="shared" ref="D23:D26" si="16">B23&amp;"_"&amp;C23</f>
        <v>30024_3</v>
      </c>
      <c r="E23" s="4" t="str">
        <f ca="1">VLOOKUP($B23,OFFSET([2]quests!$A$1,0,0,COUNTA([2]quests!$A:$A),MATCH(E$1,[2]quests!$1:$1,0)-MATCH($B$1,[2]quests!$1:$1,0)+1),MATCH(E$1,[2]quests!$1:$1,0)-MATCH($B$1,[2]quests!$1:$1,0)+1,FALSE)</f>
        <v>雷鎚の選定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【超級】雷鎚の選定</v>
      </c>
      <c r="G23" s="102">
        <v>1</v>
      </c>
      <c r="H23" s="15" t="str">
        <f t="shared" ref="H23:H26" si="17">B23&amp;"_"&amp;C23&amp;"-"&amp;G23</f>
        <v>30024_3-1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27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パトライン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machine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50</v>
      </c>
      <c r="S23" s="25">
        <v>0.9</v>
      </c>
      <c r="T23" s="25">
        <v>1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1</v>
      </c>
      <c r="AB23" s="24">
        <f t="shared" ref="AB23:AB26" si="18">L23</f>
        <v>27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1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7">
        <v>1</v>
      </c>
      <c r="AG23" s="24">
        <f t="shared" ref="AG23:AG26" ca="1" si="19">AD23</f>
        <v>1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ca="1" si="15"/>
        <v>30024_3-1/29&lt;lv50&gt;s2</v>
      </c>
      <c r="B24" s="22">
        <v>30024</v>
      </c>
      <c r="C24" s="104">
        <v>3</v>
      </c>
      <c r="D24" s="2" t="str">
        <f t="shared" si="16"/>
        <v>30024_3</v>
      </c>
      <c r="E24" s="4" t="str">
        <f ca="1">VLOOKUP($B24,OFFSET([2]quests!$A$1,0,0,COUNTA([2]quests!$A:$A),MATCH(E$1,[2]quests!$1:$1,0)-MATCH($B$1,[2]quests!$1:$1,0)+1),MATCH(E$1,[2]quests!$1:$1,0)-MATCH($B$1,[2]quests!$1:$1,0)+1,FALSE)</f>
        <v>雷鎚の選定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【超級】雷鎚の選定</v>
      </c>
      <c r="G24" s="102">
        <v>1</v>
      </c>
      <c r="H24" s="15" t="str">
        <f t="shared" si="17"/>
        <v>30024_3-1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29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スケアクロウ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50</v>
      </c>
      <c r="S24" s="25">
        <v>0.9</v>
      </c>
      <c r="T24" s="25">
        <v>1</v>
      </c>
      <c r="U24" s="5">
        <v>0</v>
      </c>
      <c r="V24" s="4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4">
        <f ca="1">VLOOKUP($L24,OFFSET([3]enemies!$A$1,0,0,COUNTA([3]enemies!$A:$A),MATCH(W$1,[3]enemies!$1:$1,0)-MATCH($L$1,[3]enemies!$1:$1,0)+1),MATCH(W$1,[3]enemies!$1:$1,0)-MATCH($L$1,[3]enemies!$1:$1,0)+1,FALSE)</f>
        <v>0</v>
      </c>
      <c r="X24" s="6">
        <v>0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18"/>
        <v>29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1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7">
        <v>1</v>
      </c>
      <c r="AG24" s="24">
        <f t="shared" ca="1" si="19"/>
        <v>1</v>
      </c>
      <c r="AH24" s="8">
        <v>20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6" t="str">
        <f t="shared" ca="1" si="15"/>
        <v>30024_3-1/31&lt;lv50&gt;s2</v>
      </c>
      <c r="B25" s="22">
        <v>30024</v>
      </c>
      <c r="C25" s="104">
        <v>3</v>
      </c>
      <c r="D25" s="2" t="str">
        <f t="shared" si="16"/>
        <v>30024_3</v>
      </c>
      <c r="E25" s="4" t="str">
        <f ca="1">VLOOKUP($B25,OFFSET([2]quests!$A$1,0,0,COUNTA([2]quests!$A:$A),MATCH(E$1,[2]quests!$1:$1,0)-MATCH($B$1,[2]quests!$1:$1,0)+1),MATCH(E$1,[2]quests!$1:$1,0)-MATCH($B$1,[2]quests!$1:$1,0)+1,FALSE)</f>
        <v>雷鎚の選定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【超級】雷鎚の選定</v>
      </c>
      <c r="G25" s="102">
        <v>1</v>
      </c>
      <c r="H25" s="15" t="str">
        <f t="shared" si="17"/>
        <v>30024_3-1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31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マービー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machine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50</v>
      </c>
      <c r="S25" s="25">
        <v>0.8</v>
      </c>
      <c r="T25" s="25">
        <v>1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0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2</v>
      </c>
      <c r="AB25" s="24">
        <f t="shared" si="18"/>
        <v>31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1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7">
        <v>1</v>
      </c>
      <c r="AG25" s="24">
        <f t="shared" ca="1" si="19"/>
        <v>1</v>
      </c>
      <c r="AH25" s="8">
        <v>20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6" t="str">
        <f t="shared" ca="1" si="15"/>
        <v>30024_3-1/35&lt;lv50&gt;s4</v>
      </c>
      <c r="B26" s="22">
        <v>30024</v>
      </c>
      <c r="C26" s="104">
        <v>3</v>
      </c>
      <c r="D26" s="2" t="str">
        <f t="shared" si="16"/>
        <v>30024_3</v>
      </c>
      <c r="E26" s="4" t="str">
        <f ca="1">VLOOKUP($B26,OFFSET([2]quests!$A$1,0,0,COUNTA([2]quests!$A:$A),MATCH(E$1,[2]quests!$1:$1,0)-MATCH($B$1,[2]quests!$1:$1,0)+1),MATCH(E$1,[2]quests!$1:$1,0)-MATCH($B$1,[2]quests!$1:$1,0)+1,FALSE)</f>
        <v>雷鎚の選定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【超級】雷鎚の選定</v>
      </c>
      <c r="G26" s="102">
        <v>1</v>
      </c>
      <c r="H26" s="15" t="str">
        <f t="shared" si="17"/>
        <v>30024_3-1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20">
        <v>35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F2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50</v>
      </c>
      <c r="S26" s="25">
        <v>0.9</v>
      </c>
      <c r="T26" s="25">
        <v>1</v>
      </c>
      <c r="U26" s="5">
        <v>0</v>
      </c>
      <c r="V26" s="4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6" s="4">
        <f ca="1">VLOOKUP($L26,OFFSET([3]enemies!$A$1,0,0,COUNTA([3]enemies!$A:$A),MATCH(W$1,[3]enemies!$1:$1,0)-MATCH($L$1,[3]enemies!$1:$1,0)+1),MATCH(W$1,[3]enemies!$1:$1,0)-MATCH($L$1,[3]enemies!$1:$1,0)+1,FALSE)</f>
        <v>35</v>
      </c>
      <c r="X26" s="6">
        <v>0</v>
      </c>
      <c r="Y26" s="6">
        <v>100</v>
      </c>
      <c r="Z26" s="6">
        <v>0</v>
      </c>
      <c r="AA26" s="17">
        <f ca="1">VLOOKUP($L26,OFFSET([3]enemies!$A$1,0,0,COUNTA([3]enemies!$A:$A),MATCH(AA$1,[3]enemies!$1:$1,0)-MATCH($L$1,[3]enemies!$1:$1,0)+1),MATCH(AA$1,[3]enemies!$1:$1,0)-MATCH($L$1,[3]enemies!$1:$1,0)+1,FALSE)</f>
        <v>4</v>
      </c>
      <c r="AB26" s="24">
        <f t="shared" si="18"/>
        <v>35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F2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7">
        <v>1</v>
      </c>
      <c r="AG26" s="24">
        <f t="shared" ca="1" si="19"/>
        <v>2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6" t="str">
        <f t="shared" ca="1" si="5"/>
        <v>30024_3-2/249&lt;lv55&gt;s2</v>
      </c>
      <c r="B27" s="22">
        <v>30024</v>
      </c>
      <c r="C27" s="104">
        <v>3</v>
      </c>
      <c r="D27" s="2" t="str">
        <f t="shared" si="6"/>
        <v>30024_3</v>
      </c>
      <c r="E27" s="4" t="str">
        <f ca="1">VLOOKUP($B27,OFFSET([2]quests!$A$1,0,0,COUNTA([2]quests!$A:$A),MATCH(E$1,[2]quests!$1:$1,0)-MATCH($B$1,[2]quests!$1:$1,0)+1),MATCH(E$1,[2]quests!$1:$1,0)-MATCH($B$1,[2]quests!$1:$1,0)+1,FALSE)</f>
        <v>雷鎚の選定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【超級】雷鎚の選定</v>
      </c>
      <c r="G27" s="103">
        <v>2</v>
      </c>
      <c r="H27" s="15" t="str">
        <f t="shared" si="7"/>
        <v>30024_3-2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249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雷電の天使 ミカエル・ゲイナー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PremiumS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17">
        <f ca="1">VLOOKUP($L27,OFFSET([3]enemies!$A$1,0,0,COUNTA([3]enemies!$A:$A),MATCH(Q$1,[3]enemies!$1:$1,0)-MATCH($L$1,[3]enemies!$1:$1,0)+1),MATCH(Q$1,[3]enemies!$1:$1,0)-MATCH($L$1,[3]enemies!$1:$1,0)+1,FALSE)</f>
        <v>60</v>
      </c>
      <c r="R27" s="5">
        <v>55</v>
      </c>
      <c r="S27" s="25">
        <v>1.9</v>
      </c>
      <c r="T27" s="25">
        <v>1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7回連続攻撃</v>
      </c>
      <c r="W27" s="101">
        <v>30024001</v>
      </c>
      <c r="X27" s="6">
        <v>0</v>
      </c>
      <c r="Y27" s="6">
        <v>100</v>
      </c>
      <c r="Z27" s="6">
        <v>0</v>
      </c>
      <c r="AA27" s="17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f t="shared" si="8"/>
        <v>249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雷電の天使 ミカエル・ゲイナー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5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7" s="7">
        <v>1</v>
      </c>
      <c r="AG27" s="24">
        <f t="shared" ca="1" si="9"/>
        <v>5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ca="1" si="5"/>
        <v>30024_3-3/2&lt;lv53&gt;s1</v>
      </c>
      <c r="B28" s="22">
        <v>30024</v>
      </c>
      <c r="C28" s="104">
        <v>3</v>
      </c>
      <c r="D28" s="2" t="str">
        <f t="shared" si="6"/>
        <v>30024_3</v>
      </c>
      <c r="E28" s="4" t="str">
        <f ca="1">VLOOKUP($B28,OFFSET([2]quests!$A$1,0,0,COUNTA([2]quests!$A:$A),MATCH(E$1,[2]quests!$1:$1,0)-MATCH($B$1,[2]quests!$1:$1,0)+1),MATCH(E$1,[2]quests!$1:$1,0)-MATCH($B$1,[2]quests!$1:$1,0)+1,FALSE)</f>
        <v>雷鎚の選定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【超級】雷鎚の選定</v>
      </c>
      <c r="G28" s="104">
        <v>3</v>
      </c>
      <c r="H28" s="15" t="str">
        <f t="shared" si="7"/>
        <v>30024_3-3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53</v>
      </c>
      <c r="L28" s="20">
        <v>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イレギュラー・ジェリー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Drop1T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53</v>
      </c>
      <c r="S28" s="25">
        <v>1</v>
      </c>
      <c r="T28" s="25">
        <v>1</v>
      </c>
      <c r="U28" s="5">
        <v>0</v>
      </c>
      <c r="V28" s="4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4">
        <f ca="1">VLOOKUP($L28,OFFSET([3]enemies!$A$1,0,0,COUNTA([3]enemies!$A:$A),MATCH(W$1,[3]enemies!$1:$1,0)-MATCH($L$1,[3]enemies!$1:$1,0)+1),MATCH(W$1,[3]enemies!$1:$1,0)-MATCH($L$1,[3]enemies!$1:$1,0)+1,FALSE)</f>
        <v>0</v>
      </c>
      <c r="X28" s="6">
        <v>0</v>
      </c>
      <c r="Y28" s="6">
        <v>100</v>
      </c>
      <c r="Z28" s="6">
        <v>0</v>
      </c>
      <c r="AA28" s="17">
        <f ca="1">VLOOKUP($L28,OFFSET([3]enemies!$A$1,0,0,COUNTA([3]enemies!$A:$A),MATCH(AA$1,[3]enemies!$1:$1,0)-MATCH($L$1,[3]enemies!$1:$1,0)+1),MATCH(AA$1,[3]enemies!$1:$1,0)-MATCH($L$1,[3]enemies!$1:$1,0)+1,FALSE)</f>
        <v>1</v>
      </c>
      <c r="AB28" s="24">
        <f t="shared" si="8"/>
        <v>2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Drop1T</v>
      </c>
      <c r="AF28" s="7">
        <v>1</v>
      </c>
      <c r="AG28" s="24">
        <f t="shared" ca="1" si="9"/>
        <v>2</v>
      </c>
      <c r="AH28" s="8">
        <v>20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6" t="str">
        <f t="shared" ca="1" si="5"/>
        <v>30024_3-3/28&lt;lv53&gt;s1</v>
      </c>
      <c r="B29" s="22">
        <v>30024</v>
      </c>
      <c r="C29" s="104">
        <v>3</v>
      </c>
      <c r="D29" s="2" t="str">
        <f t="shared" si="6"/>
        <v>30024_3</v>
      </c>
      <c r="E29" s="4" t="str">
        <f ca="1">VLOOKUP($B29,OFFSET([2]quests!$A$1,0,0,COUNTA([2]quests!$A:$A),MATCH(E$1,[2]quests!$1:$1,0)-MATCH($B$1,[2]quests!$1:$1,0)+1),MATCH(E$1,[2]quests!$1:$1,0)-MATCH($B$1,[2]quests!$1:$1,0)+1,FALSE)</f>
        <v>雷鎚の選定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【超級】雷鎚の選定</v>
      </c>
      <c r="G29" s="104">
        <v>3</v>
      </c>
      <c r="H29" s="15" t="str">
        <f t="shared" si="7"/>
        <v>30024_3-3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 t="s">
        <v>53</v>
      </c>
      <c r="L29" s="20">
        <v>28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現場急行 パトラインカスタム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Drop1N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machine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53</v>
      </c>
      <c r="S29" s="25">
        <v>0.8</v>
      </c>
      <c r="T29" s="25">
        <v>1</v>
      </c>
      <c r="U29" s="5">
        <v>0</v>
      </c>
      <c r="V29" s="4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9" s="4">
        <f ca="1">VLOOKUP($L29,OFFSET([3]enemies!$A$1,0,0,COUNTA([3]enemies!$A:$A),MATCH(W$1,[3]enemies!$1:$1,0)-MATCH($L$1,[3]enemies!$1:$1,0)+1),MATCH(W$1,[3]enemies!$1:$1,0)-MATCH($L$1,[3]enemies!$1:$1,0)+1,FALSE)</f>
        <v>28</v>
      </c>
      <c r="X29" s="6">
        <v>0</v>
      </c>
      <c r="Y29" s="6">
        <v>100</v>
      </c>
      <c r="Z29" s="6">
        <v>0</v>
      </c>
      <c r="AA29" s="17">
        <f ca="1">VLOOKUP($L29,OFFSET([3]enemies!$A$1,0,0,COUNTA([3]enemies!$A:$A),MATCH(AA$1,[3]enemies!$1:$1,0)-MATCH($L$1,[3]enemies!$1:$1,0)+1),MATCH(AA$1,[3]enemies!$1:$1,0)-MATCH($L$1,[3]enemies!$1:$1,0)+1,FALSE)</f>
        <v>1</v>
      </c>
      <c r="AB29" s="24">
        <f t="shared" si="8"/>
        <v>28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Drop1N</v>
      </c>
      <c r="AF29" s="7">
        <v>1</v>
      </c>
      <c r="AG29" s="24">
        <f t="shared" ca="1" si="9"/>
        <v>2</v>
      </c>
      <c r="AH29" s="8">
        <v>20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 x14ac:dyDescent="0.15">
      <c r="A30" s="16" t="str">
        <f t="shared" ca="1" si="5"/>
        <v>30024_3-3/30&lt;lv53&gt;s2</v>
      </c>
      <c r="B30" s="22">
        <v>30024</v>
      </c>
      <c r="C30" s="104">
        <v>3</v>
      </c>
      <c r="D30" s="2" t="str">
        <f t="shared" si="6"/>
        <v>30024_3</v>
      </c>
      <c r="E30" s="4" t="str">
        <f ca="1">VLOOKUP($B30,OFFSET([2]quests!$A$1,0,0,COUNTA([2]quests!$A:$A),MATCH(E$1,[2]quests!$1:$1,0)-MATCH($B$1,[2]quests!$1:$1,0)+1),MATCH(E$1,[2]quests!$1:$1,0)-MATCH($B$1,[2]quests!$1:$1,0)+1,FALSE)</f>
        <v>雷鎚の選定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【超級】雷鎚の選定</v>
      </c>
      <c r="G30" s="104">
        <v>3</v>
      </c>
      <c r="H30" s="15" t="str">
        <f t="shared" si="7"/>
        <v>30024_3-3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 t="s">
        <v>53</v>
      </c>
      <c r="L30" s="20">
        <v>30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護衛機人 スケアクロウ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Drop1N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machine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53</v>
      </c>
      <c r="S30" s="25">
        <v>1</v>
      </c>
      <c r="T30" s="25">
        <v>1</v>
      </c>
      <c r="U30" s="5">
        <v>0</v>
      </c>
      <c r="V30" s="4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4">
        <v>0</v>
      </c>
      <c r="X30" s="6">
        <v>0</v>
      </c>
      <c r="Y30" s="6">
        <v>100</v>
      </c>
      <c r="Z30" s="6">
        <v>0</v>
      </c>
      <c r="AA30" s="17">
        <f ca="1">VLOOKUP($L30,OFFSET([3]enemies!$A$1,0,0,COUNTA([3]enemies!$A:$A),MATCH(AA$1,[3]enemies!$1:$1,0)-MATCH($L$1,[3]enemies!$1:$1,0)+1),MATCH(AA$1,[3]enemies!$1:$1,0)-MATCH($L$1,[3]enemies!$1:$1,0)+1,FALSE)</f>
        <v>2</v>
      </c>
      <c r="AB30" s="24">
        <f t="shared" si="8"/>
        <v>30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Drop1N</v>
      </c>
      <c r="AF30" s="7">
        <v>1</v>
      </c>
      <c r="AG30" s="24">
        <f t="shared" ca="1" si="9"/>
        <v>2</v>
      </c>
      <c r="AH30" s="8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 x14ac:dyDescent="0.15">
      <c r="A31" s="16" t="str">
        <f t="shared" si="5"/>
        <v>30024_3-3/32&lt;lv53&gt;s2</v>
      </c>
      <c r="B31" s="22">
        <v>30024</v>
      </c>
      <c r="C31" s="104">
        <v>3</v>
      </c>
      <c r="D31" s="2" t="str">
        <f t="shared" si="6"/>
        <v>30024_3</v>
      </c>
      <c r="E31" s="4" t="str">
        <f ca="1">VLOOKUP($B31,OFFSET([2]quests!$A$1,0,0,COUNTA([2]quests!$A:$A),MATCH(E$1,[2]quests!$1:$1,0)-MATCH($B$1,[2]quests!$1:$1,0)+1),MATCH(E$1,[2]quests!$1:$1,0)-MATCH($B$1,[2]quests!$1:$1,0)+1,FALSE)</f>
        <v>雷鎚の選定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【超級】雷鎚の選定</v>
      </c>
      <c r="G31" s="104">
        <v>3</v>
      </c>
      <c r="H31" s="15" t="str">
        <f t="shared" si="7"/>
        <v>30024_3-3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 t="s">
        <v>53</v>
      </c>
      <c r="L31" s="20">
        <v>32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沈黙のジャミング マービー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Drop1N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machine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53</v>
      </c>
      <c r="S31" s="25">
        <v>1</v>
      </c>
      <c r="T31" s="25">
        <v>0.7</v>
      </c>
      <c r="U31" s="5">
        <v>0</v>
      </c>
      <c r="V31" s="4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4">
        <f ca="1">VLOOKUP($L31,OFFSET([3]enemies!$A$1,0,0,COUNTA([3]enemies!$A:$A),MATCH(W$1,[3]enemies!$1:$1,0)-MATCH($L$1,[3]enemies!$1:$1,0)+1),MATCH(W$1,[3]enemies!$1:$1,0)-MATCH($L$1,[3]enemies!$1:$1,0)+1,FALSE)</f>
        <v>0</v>
      </c>
      <c r="X31" s="6">
        <v>0</v>
      </c>
      <c r="Y31" s="6">
        <v>100</v>
      </c>
      <c r="Z31" s="6">
        <v>0</v>
      </c>
      <c r="AA31" s="17">
        <v>2</v>
      </c>
      <c r="AB31" s="24">
        <f t="shared" si="8"/>
        <v>32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Drop1N</v>
      </c>
      <c r="AF31" s="7">
        <v>1</v>
      </c>
      <c r="AG31" s="24">
        <f t="shared" ca="1" si="9"/>
        <v>2</v>
      </c>
      <c r="AH31" s="8">
        <v>20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 x14ac:dyDescent="0.15">
      <c r="A32" s="16" t="str">
        <f t="shared" si="5"/>
        <v>30024_3-4/584&lt;lv60&gt;s1</v>
      </c>
      <c r="B32" s="22">
        <v>30024</v>
      </c>
      <c r="C32" s="104">
        <v>3</v>
      </c>
      <c r="D32" s="2" t="str">
        <f t="shared" si="6"/>
        <v>30024_3</v>
      </c>
      <c r="E32" s="4" t="str">
        <f ca="1">VLOOKUP($B32,OFFSET([2]quests!$A$1,0,0,COUNTA([2]quests!$A:$A),MATCH(E$1,[2]quests!$1:$1,0)-MATCH($B$1,[2]quests!$1:$1,0)+1),MATCH(E$1,[2]quests!$1:$1,0)-MATCH($B$1,[2]quests!$1:$1,0)+1,FALSE)</f>
        <v>雷鎚の選定</v>
      </c>
      <c r="F32" s="4" t="str">
        <f ca="1">VLOOKUP($D32,OFFSET([2]stages!$A$1,0,0,COUNTA([2]stages!$A:$A),MATCH(F$1,[2]stages!$2:$2,0)-MATCH($D$1,[2]stages!$2:$2,0)+1),MATCH(F$1,[2]stages!$2:$2,0)-MATCH($D$1,[2]stages!$2:$2,0)+1,FALSE)</f>
        <v>【超級】雷鎚の選定</v>
      </c>
      <c r="G32" s="102">
        <v>4</v>
      </c>
      <c r="H32" s="15" t="str">
        <f t="shared" si="7"/>
        <v>30024_3-4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>
        <v>1</v>
      </c>
      <c r="L32" s="20">
        <v>584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自律する召雷鎚 ミョルニル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Drop2N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machine</v>
      </c>
      <c r="Q32" s="17">
        <f ca="1">VLOOKUP($L32,OFFSET([3]enemies!$A$1,0,0,COUNTA([3]enemies!$A:$A),MATCH(Q$1,[3]enemies!$1:$1,0)-MATCH($L$1,[3]enemies!$1:$1,0)+1),MATCH(Q$1,[3]enemies!$1:$1,0)-MATCH($L$1,[3]enemies!$1:$1,0)+1,FALSE)</f>
        <v>60</v>
      </c>
      <c r="R32" s="5">
        <v>60</v>
      </c>
      <c r="S32" s="25">
        <v>2</v>
      </c>
      <c r="T32" s="25">
        <v>1</v>
      </c>
      <c r="U32" s="5">
        <v>0</v>
      </c>
      <c r="V32" s="4" t="e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2" s="101">
        <v>30024002</v>
      </c>
      <c r="X32" s="6">
        <v>0</v>
      </c>
      <c r="Y32" s="6">
        <v>100</v>
      </c>
      <c r="Z32" s="6">
        <v>0</v>
      </c>
      <c r="AA32" s="17">
        <v>1</v>
      </c>
      <c r="AB32" s="24">
        <v>583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ミョルニル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Drop2N</v>
      </c>
      <c r="AF32" s="7">
        <v>1</v>
      </c>
      <c r="AG32" s="24">
        <f t="shared" ca="1" si="9"/>
        <v>4</v>
      </c>
      <c r="AH32" s="8">
        <v>100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</sheetData>
  <sheetProtection selectLockedCells="1" selectUnlockedCells="1"/>
  <autoFilter ref="B1:AH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W4" sqref="W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30024_3-4/584&lt;lv60&gt;sq1st2</v>
      </c>
      <c r="B2" s="22">
        <v>30024</v>
      </c>
      <c r="C2" s="21">
        <v>3</v>
      </c>
      <c r="D2" s="2" t="str">
        <f>B2&amp;"_"&amp;C2</f>
        <v>30024_3</v>
      </c>
      <c r="E2" s="4" t="str">
        <f ca="1">VLOOKUP($B2,OFFSET([2]quests!$A$1,0,0,COUNTA([2]quests!$A:$A),MATCH(E$1,[2]quests!$1:$1,0)-MATCH($B$1,[2]quests!$1:$1,0)+1),MATCH(E$1,[2]quests!$1:$1,0)-MATCH($B$1,[2]quests!$1:$1,0)+1,FALSE)</f>
        <v>雷鎚の選定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【超級】雷鎚の選定</v>
      </c>
      <c r="G2" s="21">
        <v>4</v>
      </c>
      <c r="H2" s="15" t="str">
        <f>B2&amp;"_"&amp;C2&amp;"-"&amp;G2</f>
        <v>30024_3-4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自律する召雷鎚 ミョルニル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7">
        <v>30024003</v>
      </c>
      <c r="Y2" s="7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2"/>
  <sheetViews>
    <sheetView showGridLines="0" zoomScale="75" zoomScaleNormal="75" zoomScalePageLayoutView="75" workbookViewId="0">
      <pane ySplit="1" topLeftCell="A2" activePane="bottomLeft" state="frozenSplit"/>
      <selection pane="bottomLeft" activeCell="F17" sqref="F1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5">
        <v>30024001</v>
      </c>
      <c r="B2" s="47" t="s">
        <v>217</v>
      </c>
      <c r="C2" s="50">
        <v>3</v>
      </c>
      <c r="D2" s="50" t="s">
        <v>128</v>
      </c>
      <c r="E2" s="51" t="s">
        <v>236</v>
      </c>
      <c r="F2" s="51" t="s">
        <v>215</v>
      </c>
      <c r="G2" s="63" t="str">
        <f>IFERROR(LEFT(B2,FIND("],",B2)),B2)</f>
        <v>[effect:rush, count:7, val:0.2]</v>
      </c>
      <c r="H2" s="63">
        <f>FIND("effect:",G2)+7</f>
        <v>9</v>
      </c>
      <c r="I2" s="63">
        <f>IFERROR(FIND(",",G2),LEN(G2))</f>
        <v>13</v>
      </c>
      <c r="J2" s="63" t="e">
        <f>FIND("target:",G2)+7</f>
        <v>#VALUE!</v>
      </c>
      <c r="K2" s="63">
        <f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>IFERROR(RIGHT(B2,LEN(B2)-FIND("],",B2)-1),"none")</f>
        <v>none</v>
      </c>
      <c r="N2" s="48" t="str">
        <f t="shared" ref="N2:N7" si="0">IFERROR(LEFT(M2,FIND("],",M2)+S15),M2)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2" customHeight="1" x14ac:dyDescent="0.15">
      <c r="A3" s="105">
        <v>30024002</v>
      </c>
      <c r="B3" s="100" t="s">
        <v>218</v>
      </c>
      <c r="C3" s="50">
        <v>3</v>
      </c>
      <c r="D3" s="50" t="s">
        <v>128</v>
      </c>
      <c r="E3" s="51" t="s">
        <v>235</v>
      </c>
      <c r="F3" s="51" t="s">
        <v>224</v>
      </c>
      <c r="G3" s="63" t="str">
        <f>IFERROR(LEFT(B3,FIND("],",B3)),B3)</f>
        <v>[effect:enhance_enemy, target:myself, turn:5, status:attack, val:0.5, animation:enemy_enhance_enemy]</v>
      </c>
      <c r="H3" s="63">
        <f>FIND("effect:",G3)+7</f>
        <v>9</v>
      </c>
      <c r="I3" s="63">
        <f>IFERROR(FIND(",",G3),LEN(G3))</f>
        <v>22</v>
      </c>
      <c r="J3" s="63">
        <f>FIND("target:",G3)+7</f>
        <v>31</v>
      </c>
      <c r="K3" s="63">
        <f>FIND(",",G3,I3+1)</f>
        <v>37</v>
      </c>
      <c r="L3" s="63" t="str">
        <f>IFERROR(VLOOKUP(MID(G3,J3,K3-J3),[6]skilldef!$C:$D,2,FALSE),"-") &amp; " / " &amp; IFERROR(VLOOKUP(MID(G3,H3,I3-H3),[6]skilldef!$A:$B,2,FALSE),"-")</f>
        <v>自分自身に / ステータス強化</v>
      </c>
      <c r="M3" s="63" t="str">
        <f t="shared" ref="M3:M8" si="1">IFERROR(RIGHT(B3,LEN(B3)-FIND("],",B3)-1),"none")</f>
        <v>none</v>
      </c>
      <c r="N3" s="48" t="str">
        <f t="shared" si="0"/>
        <v>none</v>
      </c>
      <c r="O3" s="63" t="e">
        <f t="shared" ref="O3:O8" si="2">FIND("effect:",N3)+7</f>
        <v>#VALUE!</v>
      </c>
      <c r="P3" s="63">
        <f t="shared" ref="P3:P8" si="3">IFERROR(FIND(",",N3),LEN(N3))</f>
        <v>4</v>
      </c>
      <c r="Q3" s="63" t="e">
        <f t="shared" ref="Q3:Q8" si="4">FIND("target:",N3)+7</f>
        <v>#VALUE!</v>
      </c>
      <c r="R3" s="63" t="e">
        <f t="shared" ref="R3:R8" si="5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8" si="6">IFERROR(RIGHT(M3,LEN(M3)-FIND("],",M3)-1),"none")</f>
        <v>none</v>
      </c>
      <c r="U3" s="63" t="e">
        <f t="shared" ref="U3:U8" si="7">FIND("effect:",T3)+7</f>
        <v>#VALUE!</v>
      </c>
      <c r="V3" s="63">
        <f t="shared" ref="V3:V8" si="8">IFERROR(FIND(",",T3),LEN(T3))</f>
        <v>4</v>
      </c>
      <c r="W3" s="63" t="e">
        <f t="shared" ref="W3:W8" si="9">FIND("target:",T3)+7</f>
        <v>#VALUE!</v>
      </c>
      <c r="X3" s="63" t="e">
        <f t="shared" ref="X3:X8" si="10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2" customHeight="1" x14ac:dyDescent="0.15">
      <c r="A4" s="106">
        <v>30024003</v>
      </c>
      <c r="B4" s="100" t="s">
        <v>246</v>
      </c>
      <c r="C4" s="50">
        <v>3</v>
      </c>
      <c r="D4" s="50" t="s">
        <v>128</v>
      </c>
      <c r="E4" s="51" t="s">
        <v>228</v>
      </c>
      <c r="F4" s="51" t="s">
        <v>226</v>
      </c>
      <c r="G4" s="63"/>
      <c r="H4" s="63"/>
      <c r="I4" s="63"/>
      <c r="J4" s="63"/>
      <c r="K4" s="63"/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1"/>
        <v>[effect:change_panel_ratio, turn:1, block_type:yellow, val:0.0, animation:block_incidence04]</v>
      </c>
      <c r="N4" s="48" t="str">
        <f t="shared" si="0"/>
        <v>[effect:change_panel_ratio, turn:1, block_type:yellow, val:0.0, animation:block_incidence04]</v>
      </c>
      <c r="O4" s="63">
        <f t="shared" si="2"/>
        <v>9</v>
      </c>
      <c r="P4" s="63">
        <f t="shared" si="3"/>
        <v>27</v>
      </c>
      <c r="Q4" s="63" t="e">
        <f t="shared" si="4"/>
        <v>#VALUE!</v>
      </c>
      <c r="R4" s="63">
        <f t="shared" si="5"/>
        <v>35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6"/>
        <v>none</v>
      </c>
      <c r="U4" s="63" t="e">
        <f t="shared" si="7"/>
        <v>#VALUE!</v>
      </c>
      <c r="V4" s="63">
        <f t="shared" si="8"/>
        <v>4</v>
      </c>
      <c r="W4" s="63" t="e">
        <f t="shared" si="9"/>
        <v>#VALUE!</v>
      </c>
      <c r="X4" s="63" t="e">
        <f t="shared" si="10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2" customHeight="1" x14ac:dyDescent="0.15">
      <c r="A5" s="106">
        <v>30024004</v>
      </c>
      <c r="B5" s="100" t="s">
        <v>249</v>
      </c>
      <c r="C5" s="50">
        <v>3</v>
      </c>
      <c r="D5" s="50" t="s">
        <v>128</v>
      </c>
      <c r="E5" s="51" t="s">
        <v>229</v>
      </c>
      <c r="F5" s="51" t="s">
        <v>225</v>
      </c>
      <c r="G5" s="63"/>
      <c r="H5" s="63"/>
      <c r="I5" s="63"/>
      <c r="J5" s="63"/>
      <c r="K5" s="63"/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1"/>
        <v>none</v>
      </c>
      <c r="N5" s="48" t="str">
        <f t="shared" si="0"/>
        <v>none</v>
      </c>
      <c r="O5" s="63" t="e">
        <f t="shared" si="2"/>
        <v>#VALUE!</v>
      </c>
      <c r="P5" s="63">
        <f t="shared" si="3"/>
        <v>4</v>
      </c>
      <c r="Q5" s="63" t="e">
        <f t="shared" si="4"/>
        <v>#VALUE!</v>
      </c>
      <c r="R5" s="63" t="e">
        <f t="shared" si="5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6"/>
        <v>none</v>
      </c>
      <c r="U5" s="63" t="e">
        <f t="shared" si="7"/>
        <v>#VALUE!</v>
      </c>
      <c r="V5" s="63">
        <f t="shared" si="8"/>
        <v>4</v>
      </c>
      <c r="W5" s="63" t="e">
        <f t="shared" si="9"/>
        <v>#VALUE!</v>
      </c>
      <c r="X5" s="63" t="e">
        <f t="shared" si="10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2" customHeight="1" x14ac:dyDescent="0.15">
      <c r="A6" s="106">
        <v>30024005</v>
      </c>
      <c r="B6" s="47" t="s">
        <v>221</v>
      </c>
      <c r="C6" s="50">
        <v>3</v>
      </c>
      <c r="D6" s="50" t="s">
        <v>128</v>
      </c>
      <c r="E6" s="51" t="s">
        <v>230</v>
      </c>
      <c r="F6" s="47" t="s">
        <v>216</v>
      </c>
      <c r="G6" s="63"/>
      <c r="H6" s="63"/>
      <c r="I6" s="63"/>
      <c r="J6" s="63"/>
      <c r="K6" s="63"/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ref="M6" si="11">IFERROR(RIGHT(B6,LEN(B6)-FIND("],",B6)-1),"none")</f>
        <v>none</v>
      </c>
      <c r="N6" s="48" t="str">
        <f t="shared" si="0"/>
        <v>none</v>
      </c>
      <c r="O6" s="63" t="e">
        <f t="shared" si="2"/>
        <v>#VALUE!</v>
      </c>
      <c r="P6" s="63">
        <f t="shared" ref="P6" si="12">IFERROR(FIND(",",N6),LEN(N6))</f>
        <v>4</v>
      </c>
      <c r="Q6" s="63" t="e">
        <f t="shared" ref="Q6" si="13">FIND("target:",N6)+7</f>
        <v>#VALUE!</v>
      </c>
      <c r="R6" s="63" t="e">
        <f t="shared" ref="R6" si="14">FIND(",",N6,P6+1)</f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ref="T6" si="15">IFERROR(RIGHT(M6,LEN(M6)-FIND("],",M6)-1),"none")</f>
        <v>none</v>
      </c>
      <c r="U6" s="63" t="e">
        <f t="shared" si="7"/>
        <v>#VALUE!</v>
      </c>
      <c r="V6" s="63">
        <f t="shared" ref="V6" si="16">IFERROR(FIND(",",T6),LEN(T6))</f>
        <v>4</v>
      </c>
      <c r="W6" s="63" t="e">
        <f t="shared" ref="W6" si="17">FIND("target:",T6)+7</f>
        <v>#VALUE!</v>
      </c>
      <c r="X6" s="63" t="e">
        <f t="shared" ref="X6" si="18"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2" customHeight="1" x14ac:dyDescent="0.15">
      <c r="A7" s="47">
        <v>30024006</v>
      </c>
      <c r="B7" s="47" t="s">
        <v>222</v>
      </c>
      <c r="C7" s="50">
        <v>3</v>
      </c>
      <c r="D7" s="50" t="s">
        <v>128</v>
      </c>
      <c r="E7" s="51" t="s">
        <v>231</v>
      </c>
      <c r="F7" s="51" t="s">
        <v>223</v>
      </c>
      <c r="G7" s="63"/>
      <c r="H7" s="63"/>
      <c r="I7" s="63"/>
      <c r="J7" s="63"/>
      <c r="K7" s="63"/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ref="M7" si="19">IFERROR(RIGHT(B7,LEN(B7)-FIND("],",B7)-1),"none")</f>
        <v>none</v>
      </c>
      <c r="N7" s="48" t="str">
        <f t="shared" si="0"/>
        <v>none</v>
      </c>
      <c r="O7" s="63" t="e">
        <f t="shared" si="2"/>
        <v>#VALUE!</v>
      </c>
      <c r="P7" s="63">
        <f t="shared" ref="P7" si="20">IFERROR(FIND(",",N7),LEN(N7))</f>
        <v>4</v>
      </c>
      <c r="Q7" s="63" t="e">
        <f t="shared" ref="Q7" si="21">FIND("target:",N7)+7</f>
        <v>#VALUE!</v>
      </c>
      <c r="R7" s="63" t="e">
        <f t="shared" ref="R7" si="22">FIND(",",N7,P7+1)</f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ref="T7" si="23">IFERROR(RIGHT(M7,LEN(M7)-FIND("],",M7)-1),"none")</f>
        <v>none</v>
      </c>
      <c r="U7" s="63" t="e">
        <f t="shared" si="7"/>
        <v>#VALUE!</v>
      </c>
      <c r="V7" s="63">
        <f t="shared" ref="V7" si="24">IFERROR(FIND(",",T7),LEN(T7))</f>
        <v>4</v>
      </c>
      <c r="W7" s="63" t="e">
        <f t="shared" ref="W7" si="25">FIND("target:",T7)+7</f>
        <v>#VALUE!</v>
      </c>
      <c r="X7" s="63" t="e">
        <f t="shared" ref="X7" si="26">FIND(",",T7,V7+1)</f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30024007</v>
      </c>
      <c r="B8" s="100" t="s">
        <v>220</v>
      </c>
      <c r="C8" s="50">
        <v>3</v>
      </c>
      <c r="D8" s="50" t="s">
        <v>128</v>
      </c>
      <c r="E8" s="51" t="s">
        <v>227</v>
      </c>
      <c r="F8" s="51" t="s">
        <v>219</v>
      </c>
      <c r="G8" s="63" t="str">
        <f>IFERROR(LEFT(B8,FIND("],",B8)),B8)</f>
        <v>[effect:enhance_enemy, target:enemy_all, turn:5, status:defense, val:5000, calc:add, animation:enemy_enhance_enemy]</v>
      </c>
      <c r="H8" s="63">
        <f>FIND("effect:",G8)+7</f>
        <v>9</v>
      </c>
      <c r="I8" s="63">
        <f>IFERROR(FIND(",",G8),LEN(G8))</f>
        <v>22</v>
      </c>
      <c r="J8" s="63">
        <f>FIND("target:",G8)+7</f>
        <v>31</v>
      </c>
      <c r="K8" s="63">
        <f>FIND(",",G8,I8+1)</f>
        <v>40</v>
      </c>
      <c r="L8" s="63" t="str">
        <f>IFERROR(VLOOKUP(MID(G8,J8,K8-J8),[6]skilldef!$C:$D,2,FALSE),"-") &amp; " / " &amp; IFERROR(VLOOKUP(MID(G8,H8,I8-H8),[6]skilldef!$A:$B,2,FALSE),"-")</f>
        <v>敵全体に / ステータス強化</v>
      </c>
      <c r="M8" s="63" t="str">
        <f t="shared" si="1"/>
        <v>[effect:charge, status:attack, val:1.3, animation:enemy_charge]</v>
      </c>
      <c r="N8" s="48" t="str">
        <f>IFERROR(LEFT(M8,FIND("],",M8)+S19),M8)</f>
        <v>[effect:charge, status:attack, val:1.3, animation:enemy_charge]</v>
      </c>
      <c r="O8" s="63">
        <f t="shared" si="2"/>
        <v>9</v>
      </c>
      <c r="P8" s="63">
        <f t="shared" si="3"/>
        <v>15</v>
      </c>
      <c r="Q8" s="63" t="e">
        <f t="shared" si="4"/>
        <v>#VALUE!</v>
      </c>
      <c r="R8" s="63">
        <f t="shared" si="5"/>
        <v>30</v>
      </c>
      <c r="S8" s="63" t="str">
        <f>IFERROR(VLOOKUP(MID(N8,Q8,R8-Q8),[6]skilldef!$C:$D,2,FALSE),"-") &amp; " / " &amp; IFERROR(VLOOKUP(MID(N8,O8,P8-O8),[6]skilldef!$A:$B,2,FALSE),"-")</f>
        <v>- / 溜め</v>
      </c>
      <c r="T8" s="48" t="str">
        <f t="shared" si="6"/>
        <v>none</v>
      </c>
      <c r="U8" s="63" t="e">
        <f t="shared" si="7"/>
        <v>#VALUE!</v>
      </c>
      <c r="V8" s="63">
        <f t="shared" si="8"/>
        <v>4</v>
      </c>
      <c r="W8" s="63" t="e">
        <f t="shared" si="9"/>
        <v>#VALUE!</v>
      </c>
      <c r="X8" s="63" t="e">
        <f t="shared" si="10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30024008</v>
      </c>
      <c r="B9" s="100" t="s">
        <v>233</v>
      </c>
      <c r="C9" s="50">
        <v>3</v>
      </c>
      <c r="D9" s="50" t="s">
        <v>128</v>
      </c>
      <c r="E9" s="51" t="s">
        <v>232</v>
      </c>
      <c r="F9" s="51" t="s">
        <v>234</v>
      </c>
      <c r="G9" s="63" t="str">
        <f>IFERROR(LEFT(B9,FIND("],",B9)),B9)</f>
        <v>[effect:nothing]</v>
      </c>
      <c r="H9" s="63">
        <f>FIND("effect:",G9)+7</f>
        <v>9</v>
      </c>
      <c r="I9" s="63">
        <f>IFERROR(FIND(",",G9),LEN(G9))</f>
        <v>16</v>
      </c>
      <c r="J9" s="63" t="e">
        <f>FIND("target:",G9)+7</f>
        <v>#VALUE!</v>
      </c>
      <c r="K9" s="63" t="e">
        <f>FIND(",",G9,I9+1)</f>
        <v>#VALUE!</v>
      </c>
      <c r="L9" s="63" t="str">
        <f>IFERROR(VLOOKUP(MID(G9,J9,K9-J9),[6]skilldef!$C:$D,2,FALSE),"-") &amp; " / " &amp; IFERROR(VLOOKUP(MID(G9,H9,I9-H9),[6]skilldef!$A:$B,2,FALSE),"-")</f>
        <v>- / 何もしない</v>
      </c>
      <c r="M9" s="63" t="str">
        <f t="shared" ref="M9:M12" si="27">IFERROR(RIGHT(B9,LEN(B9)-FIND("],",B9)-1),"none")</f>
        <v>none</v>
      </c>
      <c r="N9" s="48" t="str">
        <f>IFERROR(LEFT(M9,FIND("],",M9)+S20),M9)</f>
        <v>none</v>
      </c>
      <c r="O9" s="63" t="e">
        <f t="shared" ref="O9:O12" si="28">FIND("effect:",N9)+7</f>
        <v>#VALUE!</v>
      </c>
      <c r="P9" s="63">
        <f t="shared" ref="P9:P12" si="29">IFERROR(FIND(",",N9),LEN(N9))</f>
        <v>4</v>
      </c>
      <c r="Q9" s="63" t="e">
        <f t="shared" ref="Q9:Q12" si="30">FIND("target:",N9)+7</f>
        <v>#VALUE!</v>
      </c>
      <c r="R9" s="63" t="e">
        <f t="shared" ref="R9:R12" si="31">FIND(",",N9,P9+1)</f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ref="T9:T12" si="32">IFERROR(RIGHT(M9,LEN(M9)-FIND("],",M9)-1),"none")</f>
        <v>none</v>
      </c>
      <c r="U9" s="63" t="e">
        <f t="shared" ref="U9:U12" si="33">FIND("effect:",T9)+7</f>
        <v>#VALUE!</v>
      </c>
      <c r="V9" s="63">
        <f t="shared" ref="V9:V12" si="34">IFERROR(FIND(",",T9),LEN(T9))</f>
        <v>4</v>
      </c>
      <c r="W9" s="63" t="e">
        <f t="shared" ref="W9:W12" si="35">FIND("target:",T9)+7</f>
        <v>#VALUE!</v>
      </c>
      <c r="X9" s="63" t="e">
        <f t="shared" ref="X9:X12" si="36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2" customHeight="1" x14ac:dyDescent="0.15">
      <c r="A10" s="106">
        <v>30024009</v>
      </c>
      <c r="B10" s="100" t="s">
        <v>237</v>
      </c>
      <c r="C10" s="50">
        <v>3</v>
      </c>
      <c r="D10" s="50" t="s">
        <v>128</v>
      </c>
      <c r="E10" s="51" t="s">
        <v>229</v>
      </c>
      <c r="F10" s="51" t="s">
        <v>225</v>
      </c>
      <c r="G10" s="63"/>
      <c r="H10" s="63"/>
      <c r="I10" s="63"/>
      <c r="J10" s="63"/>
      <c r="K10" s="63"/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27"/>
        <v>none</v>
      </c>
      <c r="N10" s="48" t="str">
        <f t="shared" ref="N10:N12" si="37">IFERROR(LEFT(M10,FIND("],",M10)+S23),M10)</f>
        <v>none</v>
      </c>
      <c r="O10" s="63" t="e">
        <f t="shared" si="28"/>
        <v>#VALUE!</v>
      </c>
      <c r="P10" s="63">
        <f t="shared" si="29"/>
        <v>4</v>
      </c>
      <c r="Q10" s="63" t="e">
        <f t="shared" si="30"/>
        <v>#VALUE!</v>
      </c>
      <c r="R10" s="63" t="e">
        <f t="shared" si="31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32"/>
        <v>none</v>
      </c>
      <c r="U10" s="63" t="e">
        <f t="shared" si="33"/>
        <v>#VALUE!</v>
      </c>
      <c r="V10" s="63">
        <f t="shared" si="34"/>
        <v>4</v>
      </c>
      <c r="W10" s="63" t="e">
        <f t="shared" si="35"/>
        <v>#VALUE!</v>
      </c>
      <c r="X10" s="63" t="e">
        <f t="shared" si="36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2" customHeight="1" x14ac:dyDescent="0.15">
      <c r="A11" s="106">
        <v>30024010</v>
      </c>
      <c r="B11" s="47" t="s">
        <v>251</v>
      </c>
      <c r="C11" s="50">
        <v>3</v>
      </c>
      <c r="D11" s="50" t="s">
        <v>128</v>
      </c>
      <c r="E11" s="51" t="s">
        <v>230</v>
      </c>
      <c r="F11" s="47" t="s">
        <v>216</v>
      </c>
      <c r="G11" s="63"/>
      <c r="H11" s="63"/>
      <c r="I11" s="63"/>
      <c r="J11" s="63"/>
      <c r="K11" s="63"/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27"/>
        <v>none</v>
      </c>
      <c r="N11" s="48" t="str">
        <f t="shared" si="37"/>
        <v>none</v>
      </c>
      <c r="O11" s="63" t="e">
        <f t="shared" si="28"/>
        <v>#VALUE!</v>
      </c>
      <c r="P11" s="63">
        <f t="shared" si="29"/>
        <v>4</v>
      </c>
      <c r="Q11" s="63" t="e">
        <f t="shared" si="30"/>
        <v>#VALUE!</v>
      </c>
      <c r="R11" s="63" t="e">
        <f t="shared" si="31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32"/>
        <v>none</v>
      </c>
      <c r="U11" s="63" t="e">
        <f t="shared" si="33"/>
        <v>#VALUE!</v>
      </c>
      <c r="V11" s="63">
        <f t="shared" si="34"/>
        <v>4</v>
      </c>
      <c r="W11" s="63" t="e">
        <f t="shared" si="35"/>
        <v>#VALUE!</v>
      </c>
      <c r="X11" s="63" t="e">
        <f t="shared" si="36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2" customHeight="1" x14ac:dyDescent="0.15">
      <c r="A12" s="47">
        <v>30024011</v>
      </c>
      <c r="B12" s="47" t="s">
        <v>252</v>
      </c>
      <c r="C12" s="50">
        <v>3</v>
      </c>
      <c r="D12" s="50" t="s">
        <v>128</v>
      </c>
      <c r="E12" s="51" t="s">
        <v>254</v>
      </c>
      <c r="F12" s="51" t="s">
        <v>255</v>
      </c>
      <c r="G12" s="63"/>
      <c r="H12" s="63"/>
      <c r="I12" s="63"/>
      <c r="J12" s="63"/>
      <c r="K12" s="63"/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27"/>
        <v>none</v>
      </c>
      <c r="N12" s="48" t="str">
        <f t="shared" si="37"/>
        <v>none</v>
      </c>
      <c r="O12" s="63" t="e">
        <f t="shared" si="28"/>
        <v>#VALUE!</v>
      </c>
      <c r="P12" s="63">
        <f t="shared" si="29"/>
        <v>4</v>
      </c>
      <c r="Q12" s="63" t="e">
        <f t="shared" si="30"/>
        <v>#VALUE!</v>
      </c>
      <c r="R12" s="63" t="e">
        <f t="shared" si="31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32"/>
        <v>none</v>
      </c>
      <c r="U12" s="63" t="e">
        <f t="shared" si="33"/>
        <v>#VALUE!</v>
      </c>
      <c r="V12" s="63">
        <f t="shared" si="34"/>
        <v>4</v>
      </c>
      <c r="W12" s="63" t="e">
        <f t="shared" si="35"/>
        <v>#VALUE!</v>
      </c>
      <c r="X12" s="63" t="e">
        <f t="shared" si="36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0"/>
  <sheetViews>
    <sheetView showGridLines="0" zoomScale="75" zoomScaleNormal="75" zoomScalePageLayoutView="75" workbookViewId="0">
      <pane ySplit="1" topLeftCell="A2" activePane="bottomLeft" state="frozenSplit"/>
      <selection pane="bottomLeft" activeCell="D15" sqref="D1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99">
        <v>30024001</v>
      </c>
      <c r="B2" s="47">
        <v>0</v>
      </c>
      <c r="C2" s="47">
        <v>1</v>
      </c>
      <c r="D2" s="47">
        <v>40</v>
      </c>
      <c r="E2" s="47" t="s">
        <v>89</v>
      </c>
      <c r="F2" s="47" t="s">
        <v>90</v>
      </c>
      <c r="G2" s="47" t="s">
        <v>89</v>
      </c>
      <c r="H2" s="47" t="s">
        <v>90</v>
      </c>
      <c r="I2" s="47" t="s">
        <v>90</v>
      </c>
      <c r="J2" s="48">
        <f t="shared" ref="J2" si="0">D2</f>
        <v>40</v>
      </c>
    </row>
    <row r="3" spans="1:11" ht="21" customHeight="1" x14ac:dyDescent="0.15">
      <c r="A3" s="99">
        <v>30024002</v>
      </c>
      <c r="B3" s="47">
        <v>0</v>
      </c>
      <c r="C3" s="47">
        <v>2</v>
      </c>
      <c r="D3" s="47">
        <v>100</v>
      </c>
      <c r="E3" s="47">
        <v>50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5" si="1">D3</f>
        <v>100</v>
      </c>
    </row>
    <row r="4" spans="1:11" ht="21" customHeight="1" x14ac:dyDescent="0.15">
      <c r="A4" s="99">
        <v>30024003</v>
      </c>
      <c r="B4" s="47">
        <v>1</v>
      </c>
      <c r="C4" s="47" t="s">
        <v>89</v>
      </c>
      <c r="D4" s="47">
        <v>100</v>
      </c>
      <c r="E4" s="47" t="s">
        <v>53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99">
        <v>30024004</v>
      </c>
      <c r="B5" s="47">
        <v>0</v>
      </c>
      <c r="C5" s="47">
        <v>3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90</v>
      </c>
      <c r="I5" s="47" t="s">
        <v>53</v>
      </c>
      <c r="J5" s="48">
        <f t="shared" si="1"/>
        <v>100</v>
      </c>
    </row>
    <row r="6" spans="1:11" ht="21" customHeight="1" x14ac:dyDescent="0.15">
      <c r="A6" s="99">
        <v>30024005</v>
      </c>
      <c r="B6" s="47">
        <v>0</v>
      </c>
      <c r="C6" s="47">
        <v>2</v>
      </c>
      <c r="D6" s="47">
        <v>40</v>
      </c>
      <c r="E6" s="47" t="s">
        <v>53</v>
      </c>
      <c r="F6" s="47" t="s">
        <v>53</v>
      </c>
      <c r="G6" s="47">
        <v>2</v>
      </c>
      <c r="H6" s="47" t="s">
        <v>53</v>
      </c>
      <c r="I6" s="47" t="s">
        <v>53</v>
      </c>
      <c r="J6" s="48">
        <f t="shared" ref="J6:J7" si="2">D6</f>
        <v>40</v>
      </c>
    </row>
    <row r="7" spans="1:11" ht="21" customHeight="1" x14ac:dyDescent="0.15">
      <c r="A7" s="99">
        <v>30024006</v>
      </c>
      <c r="B7" s="47">
        <v>0</v>
      </c>
      <c r="C7" s="47">
        <v>1</v>
      </c>
      <c r="D7" s="47">
        <v>40</v>
      </c>
      <c r="E7" s="47" t="s">
        <v>53</v>
      </c>
      <c r="F7" s="47" t="s">
        <v>53</v>
      </c>
      <c r="G7" s="47">
        <v>3</v>
      </c>
      <c r="H7" s="47" t="s">
        <v>53</v>
      </c>
      <c r="I7" s="47" t="s">
        <v>53</v>
      </c>
      <c r="J7" s="48">
        <f t="shared" si="2"/>
        <v>40</v>
      </c>
    </row>
    <row r="8" spans="1:11" ht="18" customHeight="1" x14ac:dyDescent="0.15">
      <c r="A8" s="99">
        <v>30024007</v>
      </c>
      <c r="B8" s="47">
        <v>0</v>
      </c>
      <c r="C8" s="47">
        <v>3</v>
      </c>
      <c r="D8" s="47">
        <v>100</v>
      </c>
      <c r="E8" s="47" t="s">
        <v>53</v>
      </c>
      <c r="F8" s="47" t="s">
        <v>53</v>
      </c>
      <c r="G8" s="47" t="s">
        <v>53</v>
      </c>
      <c r="H8" s="47">
        <v>3</v>
      </c>
      <c r="I8" s="47" t="s">
        <v>53</v>
      </c>
      <c r="J8" s="48">
        <f t="shared" ref="J8" si="3">D8</f>
        <v>100</v>
      </c>
    </row>
    <row r="9" spans="1:11" ht="18" customHeight="1" x14ac:dyDescent="0.15">
      <c r="A9" s="99">
        <v>30024008</v>
      </c>
      <c r="B9" s="47">
        <v>0</v>
      </c>
      <c r="C9" s="47">
        <v>3</v>
      </c>
      <c r="D9" s="47">
        <v>100</v>
      </c>
      <c r="E9" s="47" t="s">
        <v>53</v>
      </c>
      <c r="F9" s="47" t="s">
        <v>53</v>
      </c>
      <c r="G9" s="47" t="s">
        <v>53</v>
      </c>
      <c r="H9" s="47">
        <v>2</v>
      </c>
      <c r="I9" s="47" t="s">
        <v>53</v>
      </c>
      <c r="J9" s="48">
        <f t="shared" ref="J9:J10" si="4">D9</f>
        <v>100</v>
      </c>
    </row>
    <row r="10" spans="1:11" ht="21" customHeight="1" x14ac:dyDescent="0.15">
      <c r="A10" s="99">
        <v>30024009</v>
      </c>
      <c r="B10" s="47">
        <v>0</v>
      </c>
      <c r="C10" s="47">
        <v>5</v>
      </c>
      <c r="D10" s="47">
        <v>100</v>
      </c>
      <c r="E10" s="47">
        <v>50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4"/>
        <v>100</v>
      </c>
    </row>
  </sheetData>
  <autoFilter ref="A1:G1"/>
  <phoneticPr fontId="5"/>
  <conditionalFormatting sqref="K11:K1048576 K1:K4">
    <cfRule type="duplicateValues" dxfId="4" priority="6"/>
  </conditionalFormatting>
  <conditionalFormatting sqref="K5:K7">
    <cfRule type="duplicateValues" dxfId="3" priority="5"/>
  </conditionalFormatting>
  <conditionalFormatting sqref="K8">
    <cfRule type="duplicateValues" dxfId="2" priority="3"/>
  </conditionalFormatting>
  <conditionalFormatting sqref="K9">
    <cfRule type="duplicateValues" dxfId="1" priority="2"/>
  </conditionalFormatting>
  <conditionalFormatting sqref="K1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4" sqref="A4:XFD1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30024001_30024001</v>
      </c>
      <c r="B2" s="101">
        <v>30024001</v>
      </c>
      <c r="C2" s="47">
        <v>30024001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荷電粒子弾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2" s="47">
        <v>30024001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30024001_30024002</v>
      </c>
      <c r="B3" s="101">
        <v>30024001</v>
      </c>
      <c r="C3" s="47">
        <v>30024002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限界出力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3" s="47">
        <v>30024002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30024002_30024003</v>
      </c>
      <c r="B4" s="106">
        <v>30024002</v>
      </c>
      <c r="C4" s="47">
        <v>30024003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適正レベルクリア_x000D_選定を開始します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1ターン黄パネルが出現しない_x000D_次のターン黄パネル破壊攻撃</v>
      </c>
      <c r="F4" s="47">
        <v>30024003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9" si="2">B5&amp;"_"&amp;C5</f>
        <v>30024002_30024004</v>
      </c>
      <c r="B5" s="106">
        <v>30024002</v>
      </c>
      <c r="C5" s="47">
        <v>30024004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流動せし稲妻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黄パネル破壊攻撃</v>
      </c>
      <c r="F5" s="47">
        <v>30024004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30024002_30024005</v>
      </c>
      <c r="B6" s="106">
        <v>30024002</v>
      </c>
      <c r="C6" s="47">
        <v>30024005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選定の雷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6" s="47">
        <v>30024005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30024002_30024010</v>
      </c>
      <c r="B7" s="106">
        <v>30024002</v>
      </c>
      <c r="C7" s="47">
        <v>30024010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選定の雷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7" s="47">
        <v>30024007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30024003_30024006</v>
      </c>
      <c r="B8" s="107">
        <v>30024003</v>
      </c>
      <c r="C8" s="47">
        <v>30024006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粉砕せし神槌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8" s="47">
        <v>30024006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" s="47"/>
      <c r="Q8" s="47"/>
      <c r="R8" s="47"/>
    </row>
    <row r="9" spans="1:18" ht="21" customHeight="1" x14ac:dyDescent="0.15">
      <c r="A9" s="39" t="str">
        <f t="shared" si="2"/>
        <v>30024003_30024007</v>
      </c>
      <c r="B9" s="107">
        <v>30024003</v>
      </c>
      <c r="C9" s="47">
        <v>30024007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出力レベルを最大にします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5ターン防御力アップ+次のターン強力な攻撃</v>
      </c>
      <c r="F9" s="47">
        <v>30024009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3" si="4">B10&amp;"_"&amp;C10</f>
        <v>30024003_30024005</v>
      </c>
      <c r="B10" s="107">
        <v>30024003</v>
      </c>
      <c r="C10" s="47">
        <v>30024005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選定の雷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0" s="47">
        <v>30024005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7"/>
      <c r="Q10" s="47"/>
      <c r="R10" s="47"/>
    </row>
    <row r="11" spans="1:18" ht="21" customHeight="1" x14ac:dyDescent="0.15">
      <c r="A11" s="39" t="str">
        <f t="shared" ref="A11" si="5">B11&amp;"_"&amp;C11</f>
        <v>30024003_30024008</v>
      </c>
      <c r="B11" s="107">
        <v>30024003</v>
      </c>
      <c r="C11" s="47">
        <v>30024008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想定レベルを上回っています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標的オーディン対向条件クリア</v>
      </c>
      <c r="F11" s="47">
        <v>30024003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6">B12&amp;"_"&amp;C12</f>
        <v>30024003_30024010</v>
      </c>
      <c r="B12" s="107">
        <v>30024003</v>
      </c>
      <c r="C12" s="47">
        <v>30024010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選定の雷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2" s="47">
        <v>30024008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30024004_30024006</v>
      </c>
      <c r="B13" s="107">
        <v>30024004</v>
      </c>
      <c r="C13" s="47">
        <v>30024006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粉砕せし神槌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13" s="47">
        <v>30024006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47"/>
    </row>
    <row r="14" spans="1:18" ht="21" customHeight="1" x14ac:dyDescent="0.15">
      <c r="A14" s="39" t="str">
        <f t="shared" ref="A14" si="7">B14&amp;"_"&amp;C14</f>
        <v>30024005_30024011</v>
      </c>
      <c r="B14" s="107">
        <v>30024005</v>
      </c>
      <c r="C14" s="47">
        <v>30024011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粉砕せし神鎚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攻撃力×1.3倍の攻撃</v>
      </c>
      <c r="F14" s="47">
        <v>30024006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M18" sqref="M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30024</v>
      </c>
      <c r="B2" s="82">
        <v>1</v>
      </c>
      <c r="C2" s="71" t="str">
        <f>A2&amp; "_"&amp;B2</f>
        <v>30024_1</v>
      </c>
      <c r="D2" s="11" t="str">
        <f ca="1">VLOOKUP($C2,OFFSET([2]stages!$A$1,0,0,COUNTA([2]stages!$A:$A),MATCH(D$1,[2]stages!$2:$2,0)-MATCH($C$1,[2]stages!$2:$2,0)+1),MATCH(D$1,[2]stages!$2:$2,0)-MATCH($C$1,[2]stages!$2:$2,0)+1,FALSE)</f>
        <v>multionly</v>
      </c>
      <c r="E2" s="57">
        <v>1</v>
      </c>
      <c r="F2" s="82" t="s">
        <v>169</v>
      </c>
      <c r="G2" s="82">
        <v>3200</v>
      </c>
      <c r="H2" s="82" t="s">
        <v>241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200</v>
      </c>
      <c r="Q2" s="82" t="s">
        <v>170</v>
      </c>
      <c r="R2" s="82" t="s">
        <v>171</v>
      </c>
    </row>
    <row r="3" spans="1:18" x14ac:dyDescent="0.15">
      <c r="A3" s="57">
        <v>30024</v>
      </c>
      <c r="B3" s="82">
        <v>1</v>
      </c>
      <c r="C3" s="71" t="str">
        <f t="shared" ref="C3:C33" si="0">A3&amp; "_"&amp;B3</f>
        <v>30024_1</v>
      </c>
      <c r="D3" s="11" t="str">
        <f ca="1">VLOOKUP($C3,OFFSET([2]stages!$A$1,0,0,COUNTA([2]stages!$A:$A),MATCH(D$1,[2]stages!$2:$2,0)-MATCH($C$1,[2]stages!$2:$2,0)+1),MATCH(D$1,[2]stages!$2:$2,0)-MATCH($C$1,[2]stages!$2:$2,0)+1,FALSE)</f>
        <v>multionly</v>
      </c>
      <c r="E3" s="57">
        <v>2</v>
      </c>
      <c r="F3" s="82" t="s">
        <v>238</v>
      </c>
      <c r="G3" s="82">
        <v>20</v>
      </c>
      <c r="H3" s="82" t="s">
        <v>241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200</v>
      </c>
      <c r="Q3" s="82" t="s">
        <v>170</v>
      </c>
      <c r="R3" s="82" t="s">
        <v>171</v>
      </c>
    </row>
    <row r="4" spans="1:18" x14ac:dyDescent="0.15">
      <c r="A4" s="57">
        <v>30024</v>
      </c>
      <c r="B4" s="82">
        <v>1</v>
      </c>
      <c r="C4" s="71" t="str">
        <f t="shared" si="0"/>
        <v>30024_1</v>
      </c>
      <c r="D4" s="11" t="str">
        <f ca="1">VLOOKUP($C4,OFFSET([2]stages!$A$1,0,0,COUNTA([2]stages!$A:$A),MATCH(D$1,[2]stages!$2:$2,0)-MATCH($C$1,[2]stages!$2:$2,0)+1),MATCH(D$1,[2]stages!$2:$2,0)-MATCH($C$1,[2]stages!$2:$2,0)+1,FALSE)</f>
        <v>multionly</v>
      </c>
      <c r="E4" s="57">
        <v>3</v>
      </c>
      <c r="F4" s="82" t="s">
        <v>239</v>
      </c>
      <c r="G4" s="82">
        <v>344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70</v>
      </c>
      <c r="Q4" s="82" t="s">
        <v>170</v>
      </c>
      <c r="R4" s="82" t="s">
        <v>171</v>
      </c>
    </row>
    <row r="5" spans="1:18" x14ac:dyDescent="0.15">
      <c r="A5" s="57">
        <v>30024</v>
      </c>
      <c r="B5" s="82">
        <v>1</v>
      </c>
      <c r="C5" s="71" t="str">
        <f t="shared" si="0"/>
        <v>30024_1</v>
      </c>
      <c r="D5" s="11" t="str">
        <f ca="1">VLOOKUP($C5,OFFSET([2]stages!$A$1,0,0,COUNTA([2]stages!$A:$A),MATCH(D$1,[2]stages!$2:$2,0)-MATCH($C$1,[2]stages!$2:$2,0)+1),MATCH(D$1,[2]stages!$2:$2,0)-MATCH($C$1,[2]stages!$2:$2,0)+1,FALSE)</f>
        <v>multionly</v>
      </c>
      <c r="E5" s="57">
        <v>4</v>
      </c>
      <c r="F5" s="82" t="s">
        <v>239</v>
      </c>
      <c r="G5" s="82">
        <v>345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70</v>
      </c>
      <c r="Q5" s="82" t="s">
        <v>170</v>
      </c>
      <c r="R5" s="82" t="s">
        <v>171</v>
      </c>
    </row>
    <row r="6" spans="1:18" x14ac:dyDescent="0.15">
      <c r="A6" s="57">
        <v>30024</v>
      </c>
      <c r="B6" s="82">
        <v>1</v>
      </c>
      <c r="C6" s="71" t="str">
        <f t="shared" si="0"/>
        <v>30024_1</v>
      </c>
      <c r="D6" s="11" t="str">
        <f ca="1">VLOOKUP($C6,OFFSET([2]stages!$A$1,0,0,COUNTA([2]stages!$A:$A),MATCH(D$1,[2]stages!$2:$2,0)-MATCH($C$1,[2]stages!$2:$2,0)+1),MATCH(D$1,[2]stages!$2:$2,0)-MATCH($C$1,[2]stages!$2:$2,0)+1,FALSE)</f>
        <v>multionly</v>
      </c>
      <c r="E6" s="57">
        <v>5</v>
      </c>
      <c r="F6" s="82" t="s">
        <v>239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170</v>
      </c>
      <c r="R6" s="82" t="s">
        <v>171</v>
      </c>
    </row>
    <row r="7" spans="1:18" x14ac:dyDescent="0.15">
      <c r="A7" s="57">
        <v>30024</v>
      </c>
      <c r="B7" s="82">
        <v>1</v>
      </c>
      <c r="C7" s="71" t="str">
        <f t="shared" si="0"/>
        <v>30024_1</v>
      </c>
      <c r="D7" s="11" t="str">
        <f ca="1">VLOOKUP($C7,OFFSET([2]stages!$A$1,0,0,COUNTA([2]stages!$A:$A),MATCH(D$1,[2]stages!$2:$2,0)-MATCH($C$1,[2]stages!$2:$2,0)+1),MATCH(D$1,[2]stages!$2:$2,0)-MATCH($C$1,[2]stages!$2:$2,0)+1,FALSE)</f>
        <v>multionly</v>
      </c>
      <c r="E7" s="57">
        <v>6</v>
      </c>
      <c r="F7" s="82" t="s">
        <v>239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170</v>
      </c>
      <c r="R7" s="82" t="s">
        <v>171</v>
      </c>
    </row>
    <row r="8" spans="1:18" x14ac:dyDescent="0.15">
      <c r="A8" s="57">
        <v>30024</v>
      </c>
      <c r="B8" s="82">
        <v>1</v>
      </c>
      <c r="C8" s="71" t="str">
        <f t="shared" si="0"/>
        <v>30024_1</v>
      </c>
      <c r="D8" s="11" t="str">
        <f ca="1">VLOOKUP($C8,OFFSET([2]stages!$A$1,0,0,COUNTA([2]stages!$A:$A),MATCH(D$1,[2]stages!$2:$2,0)-MATCH($C$1,[2]stages!$2:$2,0)+1),MATCH(D$1,[2]stages!$2:$2,0)-MATCH($C$1,[2]stages!$2:$2,0)+1,FALSE)</f>
        <v>multionly</v>
      </c>
      <c r="E8" s="57">
        <v>7</v>
      </c>
      <c r="F8" s="82" t="s">
        <v>239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170</v>
      </c>
      <c r="R8" s="82" t="s">
        <v>171</v>
      </c>
    </row>
    <row r="9" spans="1:18" x14ac:dyDescent="0.15">
      <c r="A9" s="57">
        <v>30024</v>
      </c>
      <c r="B9" s="82">
        <v>1</v>
      </c>
      <c r="C9" s="71" t="str">
        <f t="shared" si="0"/>
        <v>30024_1</v>
      </c>
      <c r="D9" s="11" t="str">
        <f ca="1">VLOOKUP($C9,OFFSET([2]stages!$A$1,0,0,COUNTA([2]stages!$A:$A),MATCH(D$1,[2]stages!$2:$2,0)-MATCH($C$1,[2]stages!$2:$2,0)+1),MATCH(D$1,[2]stages!$2:$2,0)-MATCH($C$1,[2]stages!$2:$2,0)+1,FALSE)</f>
        <v>multionly</v>
      </c>
      <c r="E9" s="57">
        <v>8</v>
      </c>
      <c r="F9" s="82" t="s">
        <v>239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170</v>
      </c>
      <c r="R9" s="82" t="s">
        <v>171</v>
      </c>
    </row>
    <row r="10" spans="1:18" x14ac:dyDescent="0.15">
      <c r="A10" s="57">
        <v>30024</v>
      </c>
      <c r="B10" s="82">
        <v>1</v>
      </c>
      <c r="C10" s="71" t="str">
        <f t="shared" si="0"/>
        <v>30024_1</v>
      </c>
      <c r="D10" s="11" t="str">
        <f ca="1">VLOOKUP($C10,OFFSET([2]stages!$A$1,0,0,COUNTA([2]stages!$A:$A),MATCH(D$1,[2]stages!$2:$2,0)-MATCH($C$1,[2]stages!$2:$2,0)+1),MATCH(D$1,[2]stages!$2:$2,0)-MATCH($C$1,[2]stages!$2:$2,0)+1,FALSE)</f>
        <v>multionly</v>
      </c>
      <c r="E10" s="57">
        <v>9</v>
      </c>
      <c r="F10" s="82" t="s">
        <v>239</v>
      </c>
      <c r="G10" s="82">
        <v>583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200</v>
      </c>
      <c r="Q10" s="82" t="s">
        <v>170</v>
      </c>
      <c r="R10" s="82" t="s">
        <v>171</v>
      </c>
    </row>
    <row r="11" spans="1:18" ht="16" thickBot="1" x14ac:dyDescent="0.2">
      <c r="A11" s="119">
        <v>30024</v>
      </c>
      <c r="B11" s="120">
        <v>1</v>
      </c>
      <c r="C11" s="121" t="str">
        <f t="shared" si="0"/>
        <v>30024_1</v>
      </c>
      <c r="D11" s="122" t="str">
        <f ca="1">VLOOKUP($C11,OFFSET([2]stages!$A$1,0,0,COUNTA([2]stages!$A:$A),MATCH(D$1,[2]stages!$2:$2,0)-MATCH($C$1,[2]stages!$2:$2,0)+1),MATCH(D$1,[2]stages!$2:$2,0)-MATCH($C$1,[2]stages!$2:$2,0)+1,FALSE)</f>
        <v>multionly</v>
      </c>
      <c r="E11" s="119">
        <v>10</v>
      </c>
      <c r="F11" s="120" t="s">
        <v>239</v>
      </c>
      <c r="G11" s="120">
        <v>354</v>
      </c>
      <c r="H11" s="120">
        <v>1</v>
      </c>
      <c r="I11" s="120">
        <v>1</v>
      </c>
      <c r="J11" s="120">
        <v>1</v>
      </c>
      <c r="K11" s="120">
        <v>0</v>
      </c>
      <c r="L11" s="120">
        <v>0</v>
      </c>
      <c r="M11" s="120">
        <v>0</v>
      </c>
      <c r="N11" s="120">
        <v>0</v>
      </c>
      <c r="O11" s="120">
        <v>1</v>
      </c>
      <c r="P11" s="120">
        <v>100</v>
      </c>
      <c r="Q11" s="120" t="s">
        <v>170</v>
      </c>
      <c r="R11" s="120" t="s">
        <v>171</v>
      </c>
    </row>
    <row r="12" spans="1:18" ht="16" thickTop="1" x14ac:dyDescent="0.15">
      <c r="A12" s="115">
        <v>30024</v>
      </c>
      <c r="B12" s="116">
        <v>2</v>
      </c>
      <c r="C12" s="117" t="str">
        <f t="shared" si="0"/>
        <v>30024_2</v>
      </c>
      <c r="D12" s="118" t="str">
        <f ca="1">VLOOKUP($C12,OFFSET([2]stages!$A$1,0,0,COUNTA([2]stages!$A:$A),MATCH(D$1,[2]stages!$2:$2,0)-MATCH($C$1,[2]stages!$2:$2,0)+1),MATCH(D$1,[2]stages!$2:$2,0)-MATCH($C$1,[2]stages!$2:$2,0)+1,FALSE)</f>
        <v>multionly</v>
      </c>
      <c r="E12" s="115">
        <v>11</v>
      </c>
      <c r="F12" s="116" t="s">
        <v>169</v>
      </c>
      <c r="G12" s="116">
        <v>5000</v>
      </c>
      <c r="H12" s="116" t="s">
        <v>241</v>
      </c>
      <c r="I12" s="116">
        <v>1</v>
      </c>
      <c r="J12" s="116">
        <v>1</v>
      </c>
      <c r="K12" s="116">
        <v>0</v>
      </c>
      <c r="L12" s="116">
        <v>0</v>
      </c>
      <c r="M12" s="116">
        <v>0</v>
      </c>
      <c r="N12" s="116">
        <v>0</v>
      </c>
      <c r="O12" s="116">
        <v>1</v>
      </c>
      <c r="P12" s="116">
        <v>200</v>
      </c>
      <c r="Q12" s="116" t="s">
        <v>170</v>
      </c>
      <c r="R12" s="116" t="s">
        <v>171</v>
      </c>
    </row>
    <row r="13" spans="1:18" x14ac:dyDescent="0.15">
      <c r="A13" s="57">
        <v>30024</v>
      </c>
      <c r="B13" s="82">
        <v>2</v>
      </c>
      <c r="C13" s="71" t="str">
        <f t="shared" si="0"/>
        <v>30024_2</v>
      </c>
      <c r="D13" s="11" t="str">
        <f ca="1">VLOOKUP($C13,OFFSET([2]stages!$A$1,0,0,COUNTA([2]stages!$A:$A),MATCH(D$1,[2]stages!$2:$2,0)-MATCH($C$1,[2]stages!$2:$2,0)+1),MATCH(D$1,[2]stages!$2:$2,0)-MATCH($C$1,[2]stages!$2:$2,0)+1,FALSE)</f>
        <v>multionly</v>
      </c>
      <c r="E13" s="57">
        <v>12</v>
      </c>
      <c r="F13" s="82" t="s">
        <v>240</v>
      </c>
      <c r="G13" s="82">
        <v>25</v>
      </c>
      <c r="H13" s="82" t="s">
        <v>241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150</v>
      </c>
      <c r="Q13" s="82" t="s">
        <v>170</v>
      </c>
      <c r="R13" s="82" t="s">
        <v>171</v>
      </c>
    </row>
    <row r="14" spans="1:18" x14ac:dyDescent="0.15">
      <c r="A14" s="57">
        <v>30024</v>
      </c>
      <c r="B14" s="82">
        <v>2</v>
      </c>
      <c r="C14" s="71" t="str">
        <f t="shared" si="0"/>
        <v>30024_2</v>
      </c>
      <c r="D14" s="11" t="str">
        <f ca="1">VLOOKUP($C14,OFFSET([2]stages!$A$1,0,0,COUNTA([2]stages!$A:$A),MATCH(D$1,[2]stages!$2:$2,0)-MATCH($C$1,[2]stages!$2:$2,0)+1),MATCH(D$1,[2]stages!$2:$2,0)-MATCH($C$1,[2]stages!$2:$2,0)+1,FALSE)</f>
        <v>multionly</v>
      </c>
      <c r="E14" s="57">
        <v>13</v>
      </c>
      <c r="F14" s="82" t="s">
        <v>239</v>
      </c>
      <c r="G14" s="82">
        <v>344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56</v>
      </c>
      <c r="Q14" s="82" t="s">
        <v>170</v>
      </c>
      <c r="R14" s="82" t="s">
        <v>171</v>
      </c>
    </row>
    <row r="15" spans="1:18" x14ac:dyDescent="0.15">
      <c r="A15" s="57">
        <v>30024</v>
      </c>
      <c r="B15" s="82">
        <v>2</v>
      </c>
      <c r="C15" s="71" t="str">
        <f t="shared" si="0"/>
        <v>30024_2</v>
      </c>
      <c r="D15" s="11" t="str">
        <f ca="1">VLOOKUP($C15,OFFSET([2]stages!$A$1,0,0,COUNTA([2]stages!$A:$A),MATCH(D$1,[2]stages!$2:$2,0)-MATCH($C$1,[2]stages!$2:$2,0)+1),MATCH(D$1,[2]stages!$2:$2,0)-MATCH($C$1,[2]stages!$2:$2,0)+1,FALSE)</f>
        <v>multionly</v>
      </c>
      <c r="E15" s="57">
        <v>14</v>
      </c>
      <c r="F15" s="82" t="s">
        <v>239</v>
      </c>
      <c r="G15" s="82">
        <v>345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56</v>
      </c>
      <c r="Q15" s="82" t="s">
        <v>170</v>
      </c>
      <c r="R15" s="82" t="s">
        <v>171</v>
      </c>
    </row>
    <row r="16" spans="1:18" x14ac:dyDescent="0.15">
      <c r="A16" s="57">
        <v>30024</v>
      </c>
      <c r="B16" s="82">
        <v>2</v>
      </c>
      <c r="C16" s="71" t="str">
        <f t="shared" si="0"/>
        <v>30024_2</v>
      </c>
      <c r="D16" s="11" t="str">
        <f ca="1">VLOOKUP($C16,OFFSET([2]stages!$A$1,0,0,COUNTA([2]stages!$A:$A),MATCH(D$1,[2]stages!$2:$2,0)-MATCH($C$1,[2]stages!$2:$2,0)+1),MATCH(D$1,[2]stages!$2:$2,0)-MATCH($C$1,[2]stages!$2:$2,0)+1,FALSE)</f>
        <v>multionly</v>
      </c>
      <c r="E16" s="57">
        <v>15</v>
      </c>
      <c r="F16" s="82" t="s">
        <v>239</v>
      </c>
      <c r="G16" s="82">
        <v>346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28</v>
      </c>
      <c r="Q16" s="82" t="s">
        <v>170</v>
      </c>
      <c r="R16" s="82" t="s">
        <v>171</v>
      </c>
    </row>
    <row r="17" spans="1:18" x14ac:dyDescent="0.15">
      <c r="A17" s="57">
        <v>30024</v>
      </c>
      <c r="B17" s="82">
        <v>2</v>
      </c>
      <c r="C17" s="71" t="str">
        <f t="shared" si="0"/>
        <v>30024_2</v>
      </c>
      <c r="D17" s="11" t="str">
        <f ca="1">VLOOKUP($C17,OFFSET([2]stages!$A$1,0,0,COUNTA([2]stages!$A:$A),MATCH(D$1,[2]stages!$2:$2,0)-MATCH($C$1,[2]stages!$2:$2,0)+1),MATCH(D$1,[2]stages!$2:$2,0)-MATCH($C$1,[2]stages!$2:$2,0)+1,FALSE)</f>
        <v>multionly</v>
      </c>
      <c r="E17" s="57">
        <v>16</v>
      </c>
      <c r="F17" s="82" t="s">
        <v>239</v>
      </c>
      <c r="G17" s="82">
        <v>121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170</v>
      </c>
      <c r="R17" s="82" t="s">
        <v>171</v>
      </c>
    </row>
    <row r="18" spans="1:18" x14ac:dyDescent="0.15">
      <c r="A18" s="57">
        <v>30024</v>
      </c>
      <c r="B18" s="82">
        <v>2</v>
      </c>
      <c r="C18" s="71" t="str">
        <f t="shared" si="0"/>
        <v>30024_2</v>
      </c>
      <c r="D18" s="11" t="str">
        <f ca="1">VLOOKUP($C18,OFFSET([2]stages!$A$1,0,0,COUNTA([2]stages!$A:$A),MATCH(D$1,[2]stages!$2:$2,0)-MATCH($C$1,[2]stages!$2:$2,0)+1),MATCH(D$1,[2]stages!$2:$2,0)-MATCH($C$1,[2]stages!$2:$2,0)+1,FALSE)</f>
        <v>multionly</v>
      </c>
      <c r="E18" s="57">
        <v>17</v>
      </c>
      <c r="F18" s="82" t="s">
        <v>239</v>
      </c>
      <c r="G18" s="82">
        <v>122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170</v>
      </c>
      <c r="R18" s="82" t="s">
        <v>171</v>
      </c>
    </row>
    <row r="19" spans="1:18" x14ac:dyDescent="0.15">
      <c r="A19" s="57">
        <v>30024</v>
      </c>
      <c r="B19" s="82">
        <v>2</v>
      </c>
      <c r="C19" s="71" t="str">
        <f t="shared" si="0"/>
        <v>30024_2</v>
      </c>
      <c r="D19" s="11" t="str">
        <f ca="1">VLOOKUP($C19,OFFSET([2]stages!$A$1,0,0,COUNTA([2]stages!$A:$A),MATCH(D$1,[2]stages!$2:$2,0)-MATCH($C$1,[2]stages!$2:$2,0)+1),MATCH(D$1,[2]stages!$2:$2,0)-MATCH($C$1,[2]stages!$2:$2,0)+1,FALSE)</f>
        <v>multionly</v>
      </c>
      <c r="E19" s="57">
        <v>18</v>
      </c>
      <c r="F19" s="82" t="s">
        <v>239</v>
      </c>
      <c r="G19" s="82">
        <v>123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170</v>
      </c>
      <c r="R19" s="82" t="s">
        <v>171</v>
      </c>
    </row>
    <row r="20" spans="1:18" x14ac:dyDescent="0.15">
      <c r="A20" s="57">
        <v>30024</v>
      </c>
      <c r="B20" s="82">
        <v>2</v>
      </c>
      <c r="C20" s="71" t="str">
        <f t="shared" si="0"/>
        <v>30024_2</v>
      </c>
      <c r="D20" s="11" t="str">
        <f ca="1">VLOOKUP($C20,OFFSET([2]stages!$A$1,0,0,COUNTA([2]stages!$A:$A),MATCH(D$1,[2]stages!$2:$2,0)-MATCH($C$1,[2]stages!$2:$2,0)+1),MATCH(D$1,[2]stages!$2:$2,0)-MATCH($C$1,[2]stages!$2:$2,0)+1,FALSE)</f>
        <v>multionly</v>
      </c>
      <c r="E20" s="57">
        <v>19</v>
      </c>
      <c r="F20" s="82" t="s">
        <v>239</v>
      </c>
      <c r="G20" s="82">
        <v>125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</v>
      </c>
      <c r="Q20" s="82" t="s">
        <v>170</v>
      </c>
      <c r="R20" s="82" t="s">
        <v>171</v>
      </c>
    </row>
    <row r="21" spans="1:18" x14ac:dyDescent="0.15">
      <c r="A21" s="57">
        <v>30024</v>
      </c>
      <c r="B21" s="82">
        <v>2</v>
      </c>
      <c r="C21" s="71" t="str">
        <f t="shared" si="0"/>
        <v>30024_2</v>
      </c>
      <c r="D21" s="11" t="str">
        <f ca="1">VLOOKUP($C21,OFFSET([2]stages!$A$1,0,0,COUNTA([2]stages!$A:$A),MATCH(D$1,[2]stages!$2:$2,0)-MATCH($C$1,[2]stages!$2:$2,0)+1),MATCH(D$1,[2]stages!$2:$2,0)-MATCH($C$1,[2]stages!$2:$2,0)+1,FALSE)</f>
        <v>multionly</v>
      </c>
      <c r="E21" s="57">
        <v>20</v>
      </c>
      <c r="F21" s="82" t="s">
        <v>239</v>
      </c>
      <c r="G21" s="82">
        <v>583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250</v>
      </c>
      <c r="Q21" s="82" t="s">
        <v>170</v>
      </c>
      <c r="R21" s="82" t="s">
        <v>171</v>
      </c>
    </row>
    <row r="22" spans="1:18" ht="16" thickBot="1" x14ac:dyDescent="0.2">
      <c r="A22" s="119">
        <v>30024</v>
      </c>
      <c r="B22" s="120">
        <v>2</v>
      </c>
      <c r="C22" s="121" t="str">
        <f t="shared" si="0"/>
        <v>30024_2</v>
      </c>
      <c r="D22" s="122" t="str">
        <f ca="1">VLOOKUP($C22,OFFSET([2]stages!$A$1,0,0,COUNTA([2]stages!$A:$A),MATCH(D$1,[2]stages!$2:$2,0)-MATCH($C$1,[2]stages!$2:$2,0)+1),MATCH(D$1,[2]stages!$2:$2,0)-MATCH($C$1,[2]stages!$2:$2,0)+1,FALSE)</f>
        <v>multionly</v>
      </c>
      <c r="E22" s="119">
        <v>21</v>
      </c>
      <c r="F22" s="120" t="s">
        <v>239</v>
      </c>
      <c r="G22" s="120">
        <v>354</v>
      </c>
      <c r="H22" s="120">
        <v>1</v>
      </c>
      <c r="I22" s="120">
        <v>1</v>
      </c>
      <c r="J22" s="120">
        <v>1</v>
      </c>
      <c r="K22" s="120">
        <v>0</v>
      </c>
      <c r="L22" s="120">
        <v>0</v>
      </c>
      <c r="M22" s="120">
        <v>0</v>
      </c>
      <c r="N22" s="120">
        <v>0</v>
      </c>
      <c r="O22" s="120">
        <v>1</v>
      </c>
      <c r="P22" s="120">
        <v>100</v>
      </c>
      <c r="Q22" s="120" t="s">
        <v>170</v>
      </c>
      <c r="R22" s="120" t="s">
        <v>171</v>
      </c>
    </row>
    <row r="23" spans="1:18" ht="16" thickTop="1" x14ac:dyDescent="0.15">
      <c r="A23" s="115">
        <v>30024</v>
      </c>
      <c r="B23" s="116">
        <v>3</v>
      </c>
      <c r="C23" s="117" t="str">
        <f t="shared" si="0"/>
        <v>30024_3</v>
      </c>
      <c r="D23" s="118" t="str">
        <f ca="1">VLOOKUP($C23,OFFSET([2]stages!$A$1,0,0,COUNTA([2]stages!$A:$A),MATCH(D$1,[2]stages!$2:$2,0)-MATCH($C$1,[2]stages!$2:$2,0)+1),MATCH(D$1,[2]stages!$2:$2,0)-MATCH($C$1,[2]stages!$2:$2,0)+1,FALSE)</f>
        <v>multionly</v>
      </c>
      <c r="E23" s="115">
        <v>22</v>
      </c>
      <c r="F23" s="116" t="s">
        <v>169</v>
      </c>
      <c r="G23" s="116">
        <v>6500</v>
      </c>
      <c r="H23" s="116" t="s">
        <v>241</v>
      </c>
      <c r="I23" s="116">
        <v>1</v>
      </c>
      <c r="J23" s="116">
        <v>1</v>
      </c>
      <c r="K23" s="116">
        <v>0</v>
      </c>
      <c r="L23" s="116">
        <v>0</v>
      </c>
      <c r="M23" s="116">
        <v>0</v>
      </c>
      <c r="N23" s="116">
        <v>0</v>
      </c>
      <c r="O23" s="116">
        <v>1</v>
      </c>
      <c r="P23" s="116">
        <v>100</v>
      </c>
      <c r="Q23" s="116" t="s">
        <v>170</v>
      </c>
      <c r="R23" s="116" t="s">
        <v>171</v>
      </c>
    </row>
    <row r="24" spans="1:18" x14ac:dyDescent="0.15">
      <c r="A24" s="57">
        <v>30024</v>
      </c>
      <c r="B24" s="82">
        <v>3</v>
      </c>
      <c r="C24" s="71" t="str">
        <f t="shared" si="0"/>
        <v>30024_3</v>
      </c>
      <c r="D24" s="11" t="str">
        <f ca="1">VLOOKUP($C24,OFFSET([2]stages!$A$1,0,0,COUNTA([2]stages!$A:$A),MATCH(D$1,[2]stages!$2:$2,0)-MATCH($C$1,[2]stages!$2:$2,0)+1),MATCH(D$1,[2]stages!$2:$2,0)-MATCH($C$1,[2]stages!$2:$2,0)+1,FALSE)</f>
        <v>multionly</v>
      </c>
      <c r="E24" s="57">
        <v>23</v>
      </c>
      <c r="F24" s="82" t="s">
        <v>240</v>
      </c>
      <c r="G24" s="82">
        <v>25</v>
      </c>
      <c r="H24" s="82" t="s">
        <v>241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170</v>
      </c>
      <c r="R24" s="82" t="s">
        <v>171</v>
      </c>
    </row>
    <row r="25" spans="1:18" x14ac:dyDescent="0.15">
      <c r="A25" s="57">
        <v>30024</v>
      </c>
      <c r="B25" s="82">
        <v>3</v>
      </c>
      <c r="C25" s="71" t="str">
        <f t="shared" si="0"/>
        <v>30024_3</v>
      </c>
      <c r="D25" s="11" t="str">
        <f ca="1">VLOOKUP($C25,OFFSET([2]stages!$A$1,0,0,COUNTA([2]stages!$A:$A),MATCH(D$1,[2]stages!$2:$2,0)-MATCH($C$1,[2]stages!$2:$2,0)+1),MATCH(D$1,[2]stages!$2:$2,0)-MATCH($C$1,[2]stages!$2:$2,0)+1,FALSE)</f>
        <v>multionly</v>
      </c>
      <c r="E25" s="57">
        <v>24</v>
      </c>
      <c r="F25" s="82" t="s">
        <v>239</v>
      </c>
      <c r="G25" s="82">
        <v>344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28</v>
      </c>
      <c r="Q25" s="82" t="s">
        <v>170</v>
      </c>
      <c r="R25" s="82" t="s">
        <v>171</v>
      </c>
    </row>
    <row r="26" spans="1:18" x14ac:dyDescent="0.15">
      <c r="A26" s="57">
        <v>30024</v>
      </c>
      <c r="B26" s="82">
        <v>3</v>
      </c>
      <c r="C26" s="71" t="str">
        <f t="shared" si="0"/>
        <v>30024_3</v>
      </c>
      <c r="D26" s="11" t="str">
        <f ca="1">VLOOKUP($C26,OFFSET([2]stages!$A$1,0,0,COUNTA([2]stages!$A:$A),MATCH(D$1,[2]stages!$2:$2,0)-MATCH($C$1,[2]stages!$2:$2,0)+1),MATCH(D$1,[2]stages!$2:$2,0)-MATCH($C$1,[2]stages!$2:$2,0)+1,FALSE)</f>
        <v>multionly</v>
      </c>
      <c r="E26" s="57">
        <v>25</v>
      </c>
      <c r="F26" s="82" t="s">
        <v>239</v>
      </c>
      <c r="G26" s="82">
        <v>345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56</v>
      </c>
      <c r="Q26" s="82" t="s">
        <v>170</v>
      </c>
      <c r="R26" s="82" t="s">
        <v>171</v>
      </c>
    </row>
    <row r="27" spans="1:18" x14ac:dyDescent="0.15">
      <c r="A27" s="57">
        <v>30024</v>
      </c>
      <c r="B27" s="82">
        <v>3</v>
      </c>
      <c r="C27" s="71" t="str">
        <f t="shared" si="0"/>
        <v>30024_3</v>
      </c>
      <c r="D27" s="11" t="str">
        <f ca="1">VLOOKUP($C27,OFFSET([2]stages!$A$1,0,0,COUNTA([2]stages!$A:$A),MATCH(D$1,[2]stages!$2:$2,0)-MATCH($C$1,[2]stages!$2:$2,0)+1),MATCH(D$1,[2]stages!$2:$2,0)-MATCH($C$1,[2]stages!$2:$2,0)+1,FALSE)</f>
        <v>multionly</v>
      </c>
      <c r="E27" s="57">
        <v>26</v>
      </c>
      <c r="F27" s="82" t="s">
        <v>239</v>
      </c>
      <c r="G27" s="82">
        <v>346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56</v>
      </c>
      <c r="Q27" s="82" t="s">
        <v>170</v>
      </c>
      <c r="R27" s="82" t="s">
        <v>171</v>
      </c>
    </row>
    <row r="28" spans="1:18" x14ac:dyDescent="0.15">
      <c r="A28" s="57">
        <v>30024</v>
      </c>
      <c r="B28" s="82">
        <v>3</v>
      </c>
      <c r="C28" s="71" t="str">
        <f t="shared" si="0"/>
        <v>30024_3</v>
      </c>
      <c r="D28" s="11" t="str">
        <f ca="1">VLOOKUP($C28,OFFSET([2]stages!$A$1,0,0,COUNTA([2]stages!$A:$A),MATCH(D$1,[2]stages!$2:$2,0)-MATCH($C$1,[2]stages!$2:$2,0)+1),MATCH(D$1,[2]stages!$2:$2,0)-MATCH($C$1,[2]stages!$2:$2,0)+1,FALSE)</f>
        <v>multionly</v>
      </c>
      <c r="E28" s="57">
        <v>27</v>
      </c>
      <c r="F28" s="82" t="s">
        <v>239</v>
      </c>
      <c r="G28" s="82">
        <v>121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170</v>
      </c>
      <c r="R28" s="82" t="s">
        <v>171</v>
      </c>
    </row>
    <row r="29" spans="1:18" x14ac:dyDescent="0.15">
      <c r="A29" s="57">
        <v>30024</v>
      </c>
      <c r="B29" s="82">
        <v>3</v>
      </c>
      <c r="C29" s="71" t="str">
        <f t="shared" si="0"/>
        <v>30024_3</v>
      </c>
      <c r="D29" s="11" t="str">
        <f ca="1">VLOOKUP($C29,OFFSET([2]stages!$A$1,0,0,COUNTA([2]stages!$A:$A),MATCH(D$1,[2]stages!$2:$2,0)-MATCH($C$1,[2]stages!$2:$2,0)+1),MATCH(D$1,[2]stages!$2:$2,0)-MATCH($C$1,[2]stages!$2:$2,0)+1,FALSE)</f>
        <v>multionly</v>
      </c>
      <c r="E29" s="57">
        <v>28</v>
      </c>
      <c r="F29" s="82" t="s">
        <v>239</v>
      </c>
      <c r="G29" s="82">
        <v>122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170</v>
      </c>
      <c r="R29" s="82" t="s">
        <v>171</v>
      </c>
    </row>
    <row r="30" spans="1:18" x14ac:dyDescent="0.15">
      <c r="A30" s="57">
        <v>30024</v>
      </c>
      <c r="B30" s="82">
        <v>3</v>
      </c>
      <c r="C30" s="71" t="str">
        <f t="shared" si="0"/>
        <v>30024_3</v>
      </c>
      <c r="D30" s="11" t="str">
        <f ca="1">VLOOKUP($C30,OFFSET([2]stages!$A$1,0,0,COUNTA([2]stages!$A:$A),MATCH(D$1,[2]stages!$2:$2,0)-MATCH($C$1,[2]stages!$2:$2,0)+1),MATCH(D$1,[2]stages!$2:$2,0)-MATCH($C$1,[2]stages!$2:$2,0)+1,FALSE)</f>
        <v>multionly</v>
      </c>
      <c r="E30" s="57">
        <v>29</v>
      </c>
      <c r="F30" s="82" t="s">
        <v>239</v>
      </c>
      <c r="G30" s="82">
        <v>123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50</v>
      </c>
      <c r="Q30" s="82" t="s">
        <v>170</v>
      </c>
      <c r="R30" s="82" t="s">
        <v>171</v>
      </c>
    </row>
    <row r="31" spans="1:18" x14ac:dyDescent="0.15">
      <c r="A31" s="57">
        <v>30024</v>
      </c>
      <c r="B31" s="82">
        <v>3</v>
      </c>
      <c r="C31" s="71" t="str">
        <f t="shared" si="0"/>
        <v>30024_3</v>
      </c>
      <c r="D31" s="11" t="str">
        <f ca="1">VLOOKUP($C31,OFFSET([2]stages!$A$1,0,0,COUNTA([2]stages!$A:$A),MATCH(D$1,[2]stages!$2:$2,0)-MATCH($C$1,[2]stages!$2:$2,0)+1),MATCH(D$1,[2]stages!$2:$2,0)-MATCH($C$1,[2]stages!$2:$2,0)+1,FALSE)</f>
        <v>multionly</v>
      </c>
      <c r="E31" s="57">
        <v>30</v>
      </c>
      <c r="F31" s="82" t="s">
        <v>239</v>
      </c>
      <c r="G31" s="82">
        <v>125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</v>
      </c>
      <c r="Q31" s="82" t="s">
        <v>170</v>
      </c>
      <c r="R31" s="82" t="s">
        <v>171</v>
      </c>
    </row>
    <row r="32" spans="1:18" x14ac:dyDescent="0.15">
      <c r="A32" s="57">
        <v>30024</v>
      </c>
      <c r="B32" s="82">
        <v>3</v>
      </c>
      <c r="C32" s="71" t="str">
        <f t="shared" si="0"/>
        <v>30024_3</v>
      </c>
      <c r="D32" s="11" t="str">
        <f ca="1">VLOOKUP($C32,OFFSET([2]stages!$A$1,0,0,COUNTA([2]stages!$A:$A),MATCH(D$1,[2]stages!$2:$2,0)-MATCH($C$1,[2]stages!$2:$2,0)+1),MATCH(D$1,[2]stages!$2:$2,0)-MATCH($C$1,[2]stages!$2:$2,0)+1,FALSE)</f>
        <v>multionly</v>
      </c>
      <c r="E32" s="57">
        <v>31</v>
      </c>
      <c r="F32" s="82" t="s">
        <v>239</v>
      </c>
      <c r="G32" s="82">
        <v>583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400</v>
      </c>
      <c r="Q32" s="82" t="s">
        <v>170</v>
      </c>
      <c r="R32" s="82" t="s">
        <v>171</v>
      </c>
    </row>
    <row r="33" spans="1:18" x14ac:dyDescent="0.15">
      <c r="A33" s="57">
        <v>30024</v>
      </c>
      <c r="B33" s="82">
        <v>3</v>
      </c>
      <c r="C33" s="71" t="str">
        <f t="shared" si="0"/>
        <v>30024_3</v>
      </c>
      <c r="D33" s="11" t="str">
        <f ca="1">VLOOKUP($C33,OFFSET([2]stages!$A$1,0,0,COUNTA([2]stages!$A:$A),MATCH(D$1,[2]stages!$2:$2,0)-MATCH($C$1,[2]stages!$2:$2,0)+1),MATCH(D$1,[2]stages!$2:$2,0)-MATCH($C$1,[2]stages!$2:$2,0)+1,FALSE)</f>
        <v>multionly</v>
      </c>
      <c r="E33" s="57">
        <v>32</v>
      </c>
      <c r="F33" s="82" t="s">
        <v>239</v>
      </c>
      <c r="G33" s="82">
        <v>354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170</v>
      </c>
      <c r="R33" s="82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S51" sqref="S5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201</v>
      </c>
      <c r="B2" s="83">
        <f>floors!$C$2</f>
        <v>30024</v>
      </c>
      <c r="C2" s="84" t="str">
        <f ca="1">VLOOKUP($B2,OFFSET([2]quests!$A$1,0,0,COUNTA([2]quests!$A:$A),MATCH(C$1,[2]quests!$1:$1,0)-MATCH($B$1,[2]quests!$1:$1,0)+1),MATCH(C$1,[2]quests!$1:$1,0)-MATCH($B$1,[2]quests!$1:$1,0)+1,FALSE)</f>
        <v>雷鎚の選定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【中級】雷鎚の選定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0</v>
      </c>
      <c r="I2">
        <v>3</v>
      </c>
      <c r="J2" s="85" t="s">
        <v>198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2" t="s">
        <v>201</v>
      </c>
      <c r="B3" s="83">
        <f>floors!$C$2</f>
        <v>30024</v>
      </c>
      <c r="C3" s="84" t="str">
        <f ca="1">VLOOKUP($B3,OFFSET([2]quests!$A$1,0,0,COUNTA([2]quests!$A:$A),MATCH(C$1,[2]quests!$1:$1,0)-MATCH($B$1,[2]quests!$1:$1,0)+1),MATCH(C$1,[2]quests!$1:$1,0)-MATCH($B$1,[2]quests!$1:$1,0)+1,FALSE)</f>
        <v>雷鎚の選定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【中級】雷鎚の選定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0</v>
      </c>
      <c r="I3">
        <v>6</v>
      </c>
      <c r="J3" s="85" t="s">
        <v>198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2" t="s">
        <v>201</v>
      </c>
      <c r="B4" s="83">
        <f>floors!$C$2</f>
        <v>30024</v>
      </c>
      <c r="C4" s="84" t="str">
        <f ca="1">VLOOKUP($B4,OFFSET([2]quests!$A$1,0,0,COUNTA([2]quests!$A:$A),MATCH(C$1,[2]quests!$1:$1,0)-MATCH($B$1,[2]quests!$1:$1,0)+1),MATCH(C$1,[2]quests!$1:$1,0)-MATCH($B$1,[2]quests!$1:$1,0)+1,FALSE)</f>
        <v>雷鎚の選定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【中級】雷鎚の選定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0</v>
      </c>
      <c r="I4">
        <v>7</v>
      </c>
      <c r="J4" s="85" t="s">
        <v>198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2" t="s">
        <v>201</v>
      </c>
      <c r="B5" s="83">
        <f>floors!$C$2</f>
        <v>30024</v>
      </c>
      <c r="C5" s="84" t="str">
        <f ca="1">VLOOKUP($B5,OFFSET([2]quests!$A$1,0,0,COUNTA([2]quests!$A:$A),MATCH(C$1,[2]quests!$1:$1,0)-MATCH($B$1,[2]quests!$1:$1,0)+1),MATCH(C$1,[2]quests!$1:$1,0)-MATCH($B$1,[2]quests!$1:$1,0)+1,FALSE)</f>
        <v>雷鎚の選定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【中級】雷鎚の選定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0</v>
      </c>
      <c r="I5">
        <v>8</v>
      </c>
      <c r="J5" s="85" t="s">
        <v>198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2" t="s">
        <v>201</v>
      </c>
      <c r="B6" s="83">
        <f>floors!$C$2</f>
        <v>30024</v>
      </c>
      <c r="C6" s="84" t="str">
        <f ca="1">VLOOKUP($B6,OFFSET([2]quests!$A$1,0,0,COUNTA([2]quests!$A:$A),MATCH(C$1,[2]quests!$1:$1,0)-MATCH($B$1,[2]quests!$1:$1,0)+1),MATCH(C$1,[2]quests!$1:$1,0)-MATCH($B$1,[2]quests!$1:$1,0)+1,FALSE)</f>
        <v>雷鎚の選定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【中級】雷鎚の選定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0</v>
      </c>
      <c r="I6">
        <v>9</v>
      </c>
      <c r="J6" s="85" t="s">
        <v>198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2" t="s">
        <v>201</v>
      </c>
      <c r="B7" s="83">
        <f>floors!$C$2</f>
        <v>30024</v>
      </c>
      <c r="C7" s="84" t="str">
        <f ca="1">VLOOKUP($B7,OFFSET([2]quests!$A$1,0,0,COUNTA([2]quests!$A:$A),MATCH(C$1,[2]quests!$1:$1,0)-MATCH($B$1,[2]quests!$1:$1,0)+1),MATCH(C$1,[2]quests!$1:$1,0)-MATCH($B$1,[2]quests!$1:$1,0)+1,FALSE)</f>
        <v>雷鎚の選定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【中級】雷鎚の選定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0</v>
      </c>
      <c r="I7">
        <v>10</v>
      </c>
      <c r="J7" s="85" t="s">
        <v>198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2" t="s">
        <v>201</v>
      </c>
      <c r="B8" s="83">
        <f>floors!$C$2</f>
        <v>30024</v>
      </c>
      <c r="C8" s="84" t="str">
        <f ca="1">VLOOKUP($B8,OFFSET([2]quests!$A$1,0,0,COUNTA([2]quests!$A:$A),MATCH(C$1,[2]quests!$1:$1,0)-MATCH($B$1,[2]quests!$1:$1,0)+1),MATCH(C$1,[2]quests!$1:$1,0)-MATCH($B$1,[2]quests!$1:$1,0)+1,FALSE)</f>
        <v>雷鎚の選定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【中級】雷鎚の選定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0</v>
      </c>
      <c r="I8">
        <v>11</v>
      </c>
      <c r="J8" s="85" t="s">
        <v>198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2" t="s">
        <v>201</v>
      </c>
      <c r="B9" s="83">
        <f>floors!$C$2</f>
        <v>30024</v>
      </c>
      <c r="C9" s="84" t="str">
        <f ca="1">VLOOKUP($B9,OFFSET([2]quests!$A$1,0,0,COUNTA([2]quests!$A:$A),MATCH(C$1,[2]quests!$1:$1,0)-MATCH($B$1,[2]quests!$1:$1,0)+1),MATCH(C$1,[2]quests!$1:$1,0)-MATCH($B$1,[2]quests!$1:$1,0)+1,FALSE)</f>
        <v>雷鎚の選定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【中級】雷鎚の選定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0</v>
      </c>
      <c r="I9">
        <v>12</v>
      </c>
      <c r="J9" s="85" t="s">
        <v>198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2" t="s">
        <v>201</v>
      </c>
      <c r="B10" s="83">
        <f>floors!$C$2</f>
        <v>30024</v>
      </c>
      <c r="C10" s="84" t="str">
        <f ca="1">VLOOKUP($B10,OFFSET([2]quests!$A$1,0,0,COUNTA([2]quests!$A:$A),MATCH(C$1,[2]quests!$1:$1,0)-MATCH($B$1,[2]quests!$1:$1,0)+1),MATCH(C$1,[2]quests!$1:$1,0)-MATCH($B$1,[2]quests!$1:$1,0)+1,FALSE)</f>
        <v>雷鎚の選定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【中級】雷鎚の選定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0</v>
      </c>
      <c r="I10">
        <v>13</v>
      </c>
      <c r="J10" s="85" t="s">
        <v>198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30024</v>
      </c>
      <c r="C11" s="84" t="str">
        <f ca="1">VLOOKUP($B11,OFFSET([2]quests!$A$1,0,0,COUNTA([2]quests!$A:$A),MATCH(C$1,[2]quests!$1:$1,0)-MATCH($B$1,[2]quests!$1:$1,0)+1),MATCH(C$1,[2]quests!$1:$1,0)-MATCH($B$1,[2]quests!$1:$1,0)+1,FALSE)</f>
        <v>雷鎚の選定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【中級】雷鎚の選定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0</v>
      </c>
      <c r="I11">
        <v>14</v>
      </c>
      <c r="J11" s="85" t="s">
        <v>198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2" t="s">
        <v>201</v>
      </c>
      <c r="B12" s="83">
        <f>floors!$C$2</f>
        <v>30024</v>
      </c>
      <c r="C12" s="84" t="str">
        <f ca="1">VLOOKUP($B12,OFFSET([2]quests!$A$1,0,0,COUNTA([2]quests!$A:$A),MATCH(C$1,[2]quests!$1:$1,0)-MATCH($B$1,[2]quests!$1:$1,0)+1),MATCH(C$1,[2]quests!$1:$1,0)-MATCH($B$1,[2]quests!$1:$1,0)+1,FALSE)</f>
        <v>雷鎚の選定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【中級】雷鎚の選定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6">
        <v>0</v>
      </c>
      <c r="I12">
        <v>15</v>
      </c>
      <c r="J12" s="85" t="s">
        <v>198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2" t="s">
        <v>201</v>
      </c>
      <c r="B13" s="83">
        <f>floors!$C$2</f>
        <v>30024</v>
      </c>
      <c r="C13" s="84" t="str">
        <f ca="1">VLOOKUP($B13,OFFSET([2]quests!$A$1,0,0,COUNTA([2]quests!$A:$A),MATCH(C$1,[2]quests!$1:$1,0)-MATCH($B$1,[2]quests!$1:$1,0)+1),MATCH(C$1,[2]quests!$1:$1,0)-MATCH($B$1,[2]quests!$1:$1,0)+1,FALSE)</f>
        <v>雷鎚の選定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【中級】雷鎚の選定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6">
        <v>0</v>
      </c>
      <c r="I13">
        <v>16</v>
      </c>
      <c r="J13" s="85" t="s">
        <v>198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2" t="s">
        <v>201</v>
      </c>
      <c r="B14" s="83">
        <f>floors!$C$2</f>
        <v>30024</v>
      </c>
      <c r="C14" s="84" t="str">
        <f ca="1">VLOOKUP($B14,OFFSET([2]quests!$A$1,0,0,COUNTA([2]quests!$A:$A),MATCH(C$1,[2]quests!$1:$1,0)-MATCH($B$1,[2]quests!$1:$1,0)+1),MATCH(C$1,[2]quests!$1:$1,0)-MATCH($B$1,[2]quests!$1:$1,0)+1,FALSE)</f>
        <v>雷鎚の選定</v>
      </c>
      <c r="D14" s="84" t="str">
        <f ca="1">VLOOKUP($B14,OFFSET([2]quests!$A$1,0,0,COUNTA([2]quests!$A:$A),MATCH(D$1,[2]quests!$1:$1,0)-MATCH($B$1,[2]quests!$1:$1,0)+1),MATCH(D$1,[2]quests!$1:$1,0)-MATCH($B$1,[2]quests!$1:$1,0)+1,FALSE)</f>
        <v>ドロップイベント7（マルチ専用）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【中級】雷鎚の選定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4" s="86">
        <v>0</v>
      </c>
      <c r="I14">
        <v>17</v>
      </c>
      <c r="J14" s="85" t="s">
        <v>198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2" t="s">
        <v>201</v>
      </c>
      <c r="B15" s="83">
        <f>floors!$C$2</f>
        <v>30024</v>
      </c>
      <c r="C15" s="84" t="str">
        <f ca="1">VLOOKUP($B15,OFFSET([2]quests!$A$1,0,0,COUNTA([2]quests!$A:$A),MATCH(C$1,[2]quests!$1:$1,0)-MATCH($B$1,[2]quests!$1:$1,0)+1),MATCH(C$1,[2]quests!$1:$1,0)-MATCH($B$1,[2]quests!$1:$1,0)+1,FALSE)</f>
        <v>雷鎚の選定</v>
      </c>
      <c r="D15" s="84" t="str">
        <f ca="1">VLOOKUP($B15,OFFSET([2]quests!$A$1,0,0,COUNTA([2]quests!$A:$A),MATCH(D$1,[2]quests!$1:$1,0)-MATCH($B$1,[2]quests!$1:$1,0)+1),MATCH(D$1,[2]quests!$1:$1,0)-MATCH($B$1,[2]quests!$1:$1,0)+1,FALSE)</f>
        <v>ドロップイベント7（マルチ専用）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【中級】雷鎚の選定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5" s="86">
        <v>0</v>
      </c>
      <c r="I15">
        <v>18</v>
      </c>
      <c r="J15" s="85" t="s">
        <v>198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2" t="s">
        <v>201</v>
      </c>
      <c r="B16" s="83">
        <f>floors!$C$2</f>
        <v>30024</v>
      </c>
      <c r="C16" s="84" t="str">
        <f ca="1">VLOOKUP($B16,OFFSET([2]quests!$A$1,0,0,COUNTA([2]quests!$A:$A),MATCH(C$1,[2]quests!$1:$1,0)-MATCH($B$1,[2]quests!$1:$1,0)+1),MATCH(C$1,[2]quests!$1:$1,0)-MATCH($B$1,[2]quests!$1:$1,0)+1,FALSE)</f>
        <v>雷鎚の選定</v>
      </c>
      <c r="D16" s="84" t="str">
        <f ca="1">VLOOKUP($B16,OFFSET([2]quests!$A$1,0,0,COUNTA([2]quests!$A:$A),MATCH(D$1,[2]quests!$1:$1,0)-MATCH($B$1,[2]quests!$1:$1,0)+1),MATCH(D$1,[2]quests!$1:$1,0)-MATCH($B$1,[2]quests!$1:$1,0)+1,FALSE)</f>
        <v>ドロップイベント7（マルチ専用）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【中級】雷鎚の選定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6" s="86">
        <v>0</v>
      </c>
      <c r="I16">
        <v>19</v>
      </c>
      <c r="J16" s="85" t="s">
        <v>198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2" t="s">
        <v>201</v>
      </c>
      <c r="B17" s="83">
        <f>floors!$C$2</f>
        <v>30024</v>
      </c>
      <c r="C17" s="84" t="str">
        <f ca="1">VLOOKUP($B17,OFFSET([2]quests!$A$1,0,0,COUNTA([2]quests!$A:$A),MATCH(C$1,[2]quests!$1:$1,0)-MATCH($B$1,[2]quests!$1:$1,0)+1),MATCH(C$1,[2]quests!$1:$1,0)-MATCH($B$1,[2]quests!$1:$1,0)+1,FALSE)</f>
        <v>雷鎚の選定</v>
      </c>
      <c r="D17" s="84" t="str">
        <f ca="1">VLOOKUP($B17,OFFSET([2]quests!$A$1,0,0,COUNTA([2]quests!$A:$A),MATCH(D$1,[2]quests!$1:$1,0)-MATCH($B$1,[2]quests!$1:$1,0)+1),MATCH(D$1,[2]quests!$1:$1,0)-MATCH($B$1,[2]quests!$1:$1,0)+1,FALSE)</f>
        <v>ドロップイベント7（マルチ専用）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【中級】雷鎚の選定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7" s="86">
        <v>0</v>
      </c>
      <c r="I17">
        <v>20</v>
      </c>
      <c r="J17" s="85" t="s">
        <v>198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2" t="s">
        <v>201</v>
      </c>
      <c r="B18" s="83">
        <f>floors!$C$2</f>
        <v>30024</v>
      </c>
      <c r="C18" s="84" t="str">
        <f ca="1">VLOOKUP($B18,OFFSET([2]quests!$A$1,0,0,COUNTA([2]quests!$A:$A),MATCH(C$1,[2]quests!$1:$1,0)-MATCH($B$1,[2]quests!$1:$1,0)+1),MATCH(C$1,[2]quests!$1:$1,0)-MATCH($B$1,[2]quests!$1:$1,0)+1,FALSE)</f>
        <v>雷鎚の選定</v>
      </c>
      <c r="D18" s="84" t="str">
        <f ca="1">VLOOKUP($B18,OFFSET([2]quests!$A$1,0,0,COUNTA([2]quests!$A:$A),MATCH(D$1,[2]quests!$1:$1,0)-MATCH($B$1,[2]quests!$1:$1,0)+1),MATCH(D$1,[2]quests!$1:$1,0)-MATCH($B$1,[2]quests!$1:$1,0)+1,FALSE)</f>
        <v>ドロップイベント7（マルチ専用）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【中級】雷鎚の選定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8" s="86">
        <v>0</v>
      </c>
      <c r="I18">
        <v>21</v>
      </c>
      <c r="J18" s="85" t="s">
        <v>198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2" t="s">
        <v>201</v>
      </c>
      <c r="B19" s="83">
        <f>floors!$C$2</f>
        <v>30024</v>
      </c>
      <c r="C19" s="84" t="str">
        <f ca="1">VLOOKUP($B19,OFFSET([2]quests!$A$1,0,0,COUNTA([2]quests!$A:$A),MATCH(C$1,[2]quests!$1:$1,0)-MATCH($B$1,[2]quests!$1:$1,0)+1),MATCH(C$1,[2]quests!$1:$1,0)-MATCH($B$1,[2]quests!$1:$1,0)+1,FALSE)</f>
        <v>雷鎚の選定</v>
      </c>
      <c r="D19" s="84" t="str">
        <f ca="1">VLOOKUP($B19,OFFSET([2]quests!$A$1,0,0,COUNTA([2]quests!$A:$A),MATCH(D$1,[2]quests!$1:$1,0)-MATCH($B$1,[2]quests!$1:$1,0)+1),MATCH(D$1,[2]quests!$1:$1,0)-MATCH($B$1,[2]quests!$1:$1,0)+1,FALSE)</f>
        <v>ドロップイベント7（マルチ専用）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【中級】雷鎚の選定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9" s="86">
        <v>0</v>
      </c>
      <c r="I19">
        <v>22</v>
      </c>
      <c r="J19" s="85" t="s">
        <v>198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2" t="s">
        <v>201</v>
      </c>
      <c r="B20" s="83">
        <f>floors!$C$2</f>
        <v>30024</v>
      </c>
      <c r="C20" s="84" t="str">
        <f ca="1">VLOOKUP($B20,OFFSET([2]quests!$A$1,0,0,COUNTA([2]quests!$A:$A),MATCH(C$1,[2]quests!$1:$1,0)-MATCH($B$1,[2]quests!$1:$1,0)+1),MATCH(C$1,[2]quests!$1:$1,0)-MATCH($B$1,[2]quests!$1:$1,0)+1,FALSE)</f>
        <v>雷鎚の選定</v>
      </c>
      <c r="D20" s="84" t="str">
        <f ca="1">VLOOKUP($B20,OFFSET([2]quests!$A$1,0,0,COUNTA([2]quests!$A:$A),MATCH(D$1,[2]quests!$1:$1,0)-MATCH($B$1,[2]quests!$1:$1,0)+1),MATCH(D$1,[2]quests!$1:$1,0)-MATCH($B$1,[2]quests!$1:$1,0)+1,FALSE)</f>
        <v>ドロップイベント7（マルチ専用）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【中級】雷鎚の選定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0" s="86">
        <v>0</v>
      </c>
      <c r="I20">
        <v>23</v>
      </c>
      <c r="J20" s="85" t="s">
        <v>198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2" t="s">
        <v>201</v>
      </c>
      <c r="B21" s="83">
        <f>floors!$C$2</f>
        <v>30024</v>
      </c>
      <c r="C21" s="84" t="str">
        <f ca="1">VLOOKUP($B21,OFFSET([2]quests!$A$1,0,0,COUNTA([2]quests!$A:$A),MATCH(C$1,[2]quests!$1:$1,0)-MATCH($B$1,[2]quests!$1:$1,0)+1),MATCH(C$1,[2]quests!$1:$1,0)-MATCH($B$1,[2]quests!$1:$1,0)+1,FALSE)</f>
        <v>雷鎚の選定</v>
      </c>
      <c r="D21" s="84" t="str">
        <f ca="1">VLOOKUP($B21,OFFSET([2]quests!$A$1,0,0,COUNTA([2]quests!$A:$A),MATCH(D$1,[2]quests!$1:$1,0)-MATCH($B$1,[2]quests!$1:$1,0)+1),MATCH(D$1,[2]quests!$1:$1,0)-MATCH($B$1,[2]quests!$1:$1,0)+1,FALSE)</f>
        <v>ドロップイベント7（マルチ専用）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【中級】雷鎚の選定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1" s="86">
        <v>0</v>
      </c>
      <c r="I21">
        <v>24</v>
      </c>
      <c r="J21" s="85" t="s">
        <v>198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2" t="s">
        <v>201</v>
      </c>
      <c r="B22" s="83">
        <f>floors!$C$2</f>
        <v>30024</v>
      </c>
      <c r="C22" s="84" t="str">
        <f ca="1">VLOOKUP($B22,OFFSET([2]quests!$A$1,0,0,COUNTA([2]quests!$A:$A),MATCH(C$1,[2]quests!$1:$1,0)-MATCH($B$1,[2]quests!$1:$1,0)+1),MATCH(C$1,[2]quests!$1:$1,0)-MATCH($B$1,[2]quests!$1:$1,0)+1,FALSE)</f>
        <v>雷鎚の選定</v>
      </c>
      <c r="D22" s="84" t="str">
        <f ca="1">VLOOKUP($B22,OFFSET([2]quests!$A$1,0,0,COUNTA([2]quests!$A:$A),MATCH(D$1,[2]quests!$1:$1,0)-MATCH($B$1,[2]quests!$1:$1,0)+1),MATCH(D$1,[2]quests!$1:$1,0)-MATCH($B$1,[2]quests!$1:$1,0)+1,FALSE)</f>
        <v>ドロップイベント7（マルチ専用）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【中級】雷鎚の選定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2" s="86">
        <v>0</v>
      </c>
      <c r="I22">
        <v>25</v>
      </c>
      <c r="J22" s="85" t="s">
        <v>198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2" t="s">
        <v>201</v>
      </c>
      <c r="B23" s="83">
        <f>floors!$C$2</f>
        <v>30024</v>
      </c>
      <c r="C23" s="84" t="str">
        <f ca="1">VLOOKUP($B23,OFFSET([2]quests!$A$1,0,0,COUNTA([2]quests!$A:$A),MATCH(C$1,[2]quests!$1:$1,0)-MATCH($B$1,[2]quests!$1:$1,0)+1),MATCH(C$1,[2]quests!$1:$1,0)-MATCH($B$1,[2]quests!$1:$1,0)+1,FALSE)</f>
        <v>雷鎚の選定</v>
      </c>
      <c r="D23" s="84" t="str">
        <f ca="1">VLOOKUP($B23,OFFSET([2]quests!$A$1,0,0,COUNTA([2]quests!$A:$A),MATCH(D$1,[2]quests!$1:$1,0)-MATCH($B$1,[2]quests!$1:$1,0)+1),MATCH(D$1,[2]quests!$1:$1,0)-MATCH($B$1,[2]quests!$1:$1,0)+1,FALSE)</f>
        <v>ドロップイベント7（マルチ専用）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【中級】雷鎚の選定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3" s="86">
        <v>0</v>
      </c>
      <c r="I23">
        <v>26</v>
      </c>
      <c r="J23" s="85" t="s">
        <v>198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2" t="s">
        <v>201</v>
      </c>
      <c r="B24" s="83">
        <f>floors!$C$2</f>
        <v>30024</v>
      </c>
      <c r="C24" s="84" t="str">
        <f ca="1">VLOOKUP($B24,OFFSET([2]quests!$A$1,0,0,COUNTA([2]quests!$A:$A),MATCH(C$1,[2]quests!$1:$1,0)-MATCH($B$1,[2]quests!$1:$1,0)+1),MATCH(C$1,[2]quests!$1:$1,0)-MATCH($B$1,[2]quests!$1:$1,0)+1,FALSE)</f>
        <v>雷鎚の選定</v>
      </c>
      <c r="D24" s="84" t="str">
        <f ca="1">VLOOKUP($B24,OFFSET([2]quests!$A$1,0,0,COUNTA([2]quests!$A:$A),MATCH(D$1,[2]quests!$1:$1,0)-MATCH($B$1,[2]quests!$1:$1,0)+1),MATCH(D$1,[2]quests!$1:$1,0)-MATCH($B$1,[2]quests!$1:$1,0)+1,FALSE)</f>
        <v>ドロップイベント7（マルチ専用）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【中級】雷鎚の選定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4" s="86">
        <v>0</v>
      </c>
      <c r="I24">
        <v>27</v>
      </c>
      <c r="J24" s="85" t="s">
        <v>198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2" t="s">
        <v>201</v>
      </c>
      <c r="B25" s="83">
        <f>floors!$C$2</f>
        <v>30024</v>
      </c>
      <c r="C25" s="84" t="str">
        <f ca="1">VLOOKUP($B25,OFFSET([2]quests!$A$1,0,0,COUNTA([2]quests!$A:$A),MATCH(C$1,[2]quests!$1:$1,0)-MATCH($B$1,[2]quests!$1:$1,0)+1),MATCH(C$1,[2]quests!$1:$1,0)-MATCH($B$1,[2]quests!$1:$1,0)+1,FALSE)</f>
        <v>雷鎚の選定</v>
      </c>
      <c r="D25" s="84" t="str">
        <f ca="1">VLOOKUP($B25,OFFSET([2]quests!$A$1,0,0,COUNTA([2]quests!$A:$A),MATCH(D$1,[2]quests!$1:$1,0)-MATCH($B$1,[2]quests!$1:$1,0)+1),MATCH(D$1,[2]quests!$1:$1,0)-MATCH($B$1,[2]quests!$1:$1,0)+1,FALSE)</f>
        <v>ドロップイベント7（マルチ専用）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【中級】雷鎚の選定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5" s="86">
        <v>0</v>
      </c>
      <c r="I25">
        <v>28</v>
      </c>
      <c r="J25" s="85" t="s">
        <v>198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30024</v>
      </c>
      <c r="C26" s="84" t="str">
        <f ca="1">VLOOKUP($B26,OFFSET([2]quests!$A$1,0,0,COUNTA([2]quests!$A:$A),MATCH(C$1,[2]quests!$1:$1,0)-MATCH($B$1,[2]quests!$1:$1,0)+1),MATCH(C$1,[2]quests!$1:$1,0)-MATCH($B$1,[2]quests!$1:$1,0)+1,FALSE)</f>
        <v>雷鎚の選定</v>
      </c>
      <c r="D26" s="84" t="str">
        <f ca="1">VLOOKUP($B26,OFFSET([2]quests!$A$1,0,0,COUNTA([2]quests!$A:$A),MATCH(D$1,[2]quests!$1:$1,0)-MATCH($B$1,[2]quests!$1:$1,0)+1),MATCH(D$1,[2]quests!$1:$1,0)-MATCH($B$1,[2]quests!$1:$1,0)+1,FALSE)</f>
        <v>ドロップイベント7（マルチ専用）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【中級】雷鎚の選定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6" s="86">
        <v>0</v>
      </c>
      <c r="I26">
        <v>29</v>
      </c>
      <c r="J26" s="85" t="s">
        <v>198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2" t="s">
        <v>201</v>
      </c>
      <c r="B27" s="83">
        <f>floors!$C$2</f>
        <v>30024</v>
      </c>
      <c r="C27" s="84" t="str">
        <f ca="1">VLOOKUP($B27,OFFSET([2]quests!$A$1,0,0,COUNTA([2]quests!$A:$A),MATCH(C$1,[2]quests!$1:$1,0)-MATCH($B$1,[2]quests!$1:$1,0)+1),MATCH(C$1,[2]quests!$1:$1,0)-MATCH($B$1,[2]quests!$1:$1,0)+1,FALSE)</f>
        <v>雷鎚の選定</v>
      </c>
      <c r="D27" s="84" t="str">
        <f ca="1">VLOOKUP($B27,OFFSET([2]quests!$A$1,0,0,COUNTA([2]quests!$A:$A),MATCH(D$1,[2]quests!$1:$1,0)-MATCH($B$1,[2]quests!$1:$1,0)+1),MATCH(D$1,[2]quests!$1:$1,0)-MATCH($B$1,[2]quests!$1:$1,0)+1,FALSE)</f>
        <v>ドロップイベント7（マルチ専用）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【中級】雷鎚の選定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7" s="86">
        <v>0</v>
      </c>
      <c r="I27">
        <v>30</v>
      </c>
      <c r="J27" s="85" t="s">
        <v>198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2" t="s">
        <v>201</v>
      </c>
      <c r="B28" s="83">
        <f>floors!$C$2</f>
        <v>30024</v>
      </c>
      <c r="C28" s="84" t="str">
        <f ca="1">VLOOKUP($B28,OFFSET([2]quests!$A$1,0,0,COUNTA([2]quests!$A:$A),MATCH(C$1,[2]quests!$1:$1,0)-MATCH($B$1,[2]quests!$1:$1,0)+1),MATCH(C$1,[2]quests!$1:$1,0)-MATCH($B$1,[2]quests!$1:$1,0)+1,FALSE)</f>
        <v>雷鎚の選定</v>
      </c>
      <c r="D28" s="84" t="str">
        <f ca="1">VLOOKUP($B28,OFFSET([2]quests!$A$1,0,0,COUNTA([2]quests!$A:$A),MATCH(D$1,[2]quests!$1:$1,0)-MATCH($B$1,[2]quests!$1:$1,0)+1),MATCH(D$1,[2]quests!$1:$1,0)-MATCH($B$1,[2]quests!$1:$1,0)+1,FALSE)</f>
        <v>ドロップイベント7（マルチ専用）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【中級】雷鎚の選定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8" s="86">
        <v>0</v>
      </c>
      <c r="I28">
        <v>31</v>
      </c>
      <c r="J28" s="85" t="s">
        <v>198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2" t="s">
        <v>201</v>
      </c>
      <c r="B29" s="83">
        <f>floors!$C$2</f>
        <v>30024</v>
      </c>
      <c r="C29" s="84" t="str">
        <f ca="1">VLOOKUP($B29,OFFSET([2]quests!$A$1,0,0,COUNTA([2]quests!$A:$A),MATCH(C$1,[2]quests!$1:$1,0)-MATCH($B$1,[2]quests!$1:$1,0)+1),MATCH(C$1,[2]quests!$1:$1,0)-MATCH($B$1,[2]quests!$1:$1,0)+1,FALSE)</f>
        <v>雷鎚の選定</v>
      </c>
      <c r="D29" s="84" t="str">
        <f ca="1">VLOOKUP($B29,OFFSET([2]quests!$A$1,0,0,COUNTA([2]quests!$A:$A),MATCH(D$1,[2]quests!$1:$1,0)-MATCH($B$1,[2]quests!$1:$1,0)+1),MATCH(D$1,[2]quests!$1:$1,0)-MATCH($B$1,[2]quests!$1:$1,0)+1,FALSE)</f>
        <v>ドロップイベント7（マルチ専用）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【中級】雷鎚の選定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9" s="86">
        <v>0</v>
      </c>
      <c r="I29">
        <v>32</v>
      </c>
      <c r="J29" s="85" t="s">
        <v>198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2" t="s">
        <v>201</v>
      </c>
      <c r="B30" s="83">
        <f>floors!$C$2</f>
        <v>30024</v>
      </c>
      <c r="C30" s="84" t="str">
        <f ca="1">VLOOKUP($B30,OFFSET([2]quests!$A$1,0,0,COUNTA([2]quests!$A:$A),MATCH(C$1,[2]quests!$1:$1,0)-MATCH($B$1,[2]quests!$1:$1,0)+1),MATCH(C$1,[2]quests!$1:$1,0)-MATCH($B$1,[2]quests!$1:$1,0)+1,FALSE)</f>
        <v>雷鎚の選定</v>
      </c>
      <c r="D30" s="84" t="str">
        <f ca="1">VLOOKUP($B30,OFFSET([2]quests!$A$1,0,0,COUNTA([2]quests!$A:$A),MATCH(D$1,[2]quests!$1:$1,0)-MATCH($B$1,[2]quests!$1:$1,0)+1),MATCH(D$1,[2]quests!$1:$1,0)-MATCH($B$1,[2]quests!$1:$1,0)+1,FALSE)</f>
        <v>ドロップイベント7（マルチ専用）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【中級】雷鎚の選定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0" s="86">
        <v>0</v>
      </c>
      <c r="I30">
        <v>33</v>
      </c>
      <c r="J30" s="85" t="s">
        <v>198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2" t="s">
        <v>201</v>
      </c>
      <c r="B31" s="83">
        <f>floors!$C$2</f>
        <v>30024</v>
      </c>
      <c r="C31" s="84" t="str">
        <f ca="1">VLOOKUP($B31,OFFSET([2]quests!$A$1,0,0,COUNTA([2]quests!$A:$A),MATCH(C$1,[2]quests!$1:$1,0)-MATCH($B$1,[2]quests!$1:$1,0)+1),MATCH(C$1,[2]quests!$1:$1,0)-MATCH($B$1,[2]quests!$1:$1,0)+1,FALSE)</f>
        <v>雷鎚の選定</v>
      </c>
      <c r="D31" s="84" t="str">
        <f ca="1">VLOOKUP($B31,OFFSET([2]quests!$A$1,0,0,COUNTA([2]quests!$A:$A),MATCH(D$1,[2]quests!$1:$1,0)-MATCH($B$1,[2]quests!$1:$1,0)+1),MATCH(D$1,[2]quests!$1:$1,0)-MATCH($B$1,[2]quests!$1:$1,0)+1,FALSE)</f>
        <v>ドロップイベント7（マルチ専用）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【中級】雷鎚の選定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1" s="86">
        <v>0</v>
      </c>
      <c r="I31">
        <v>34</v>
      </c>
      <c r="J31" s="85" t="s">
        <v>198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2" t="s">
        <v>201</v>
      </c>
      <c r="B32" s="83">
        <f>floors!$C$2</f>
        <v>30024</v>
      </c>
      <c r="C32" s="84" t="str">
        <f ca="1">VLOOKUP($B32,OFFSET([2]quests!$A$1,0,0,COUNTA([2]quests!$A:$A),MATCH(C$1,[2]quests!$1:$1,0)-MATCH($B$1,[2]quests!$1:$1,0)+1),MATCH(C$1,[2]quests!$1:$1,0)-MATCH($B$1,[2]quests!$1:$1,0)+1,FALSE)</f>
        <v>雷鎚の選定</v>
      </c>
      <c r="D32" s="84" t="str">
        <f ca="1">VLOOKUP($B32,OFFSET([2]quests!$A$1,0,0,COUNTA([2]quests!$A:$A),MATCH(D$1,[2]quests!$1:$1,0)-MATCH($B$1,[2]quests!$1:$1,0)+1),MATCH(D$1,[2]quests!$1:$1,0)-MATCH($B$1,[2]quests!$1:$1,0)+1,FALSE)</f>
        <v>ドロップイベント7（マルチ専用）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【中級】雷鎚の選定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2" s="86">
        <v>0</v>
      </c>
      <c r="I32">
        <v>35</v>
      </c>
      <c r="J32" s="85" t="s">
        <v>198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2" t="s">
        <v>201</v>
      </c>
      <c r="B33" s="83">
        <f>floors!$C$2</f>
        <v>30024</v>
      </c>
      <c r="C33" s="84" t="str">
        <f ca="1">VLOOKUP($B33,OFFSET([2]quests!$A$1,0,0,COUNTA([2]quests!$A:$A),MATCH(C$1,[2]quests!$1:$1,0)-MATCH($B$1,[2]quests!$1:$1,0)+1),MATCH(C$1,[2]quests!$1:$1,0)-MATCH($B$1,[2]quests!$1:$1,0)+1,FALSE)</f>
        <v>雷鎚の選定</v>
      </c>
      <c r="D33" s="84" t="str">
        <f ca="1">VLOOKUP($B33,OFFSET([2]quests!$A$1,0,0,COUNTA([2]quests!$A:$A),MATCH(D$1,[2]quests!$1:$1,0)-MATCH($B$1,[2]quests!$1:$1,0)+1),MATCH(D$1,[2]quests!$1:$1,0)-MATCH($B$1,[2]quests!$1:$1,0)+1,FALSE)</f>
        <v>ドロップイベント7（マルチ専用）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【中級】雷鎚の選定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3" s="86">
        <v>0</v>
      </c>
      <c r="I33">
        <v>39</v>
      </c>
      <c r="J33" s="85" t="s">
        <v>198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211</v>
      </c>
    </row>
    <row r="34" spans="1:13" x14ac:dyDescent="0.15">
      <c r="A34" s="82" t="s">
        <v>201</v>
      </c>
      <c r="B34" s="83">
        <f>floors!$C$2</f>
        <v>30024</v>
      </c>
      <c r="C34" s="84" t="str">
        <f ca="1">VLOOKUP($B34,OFFSET([2]quests!$A$1,0,0,COUNTA([2]quests!$A:$A),MATCH(C$1,[2]quests!$1:$1,0)-MATCH($B$1,[2]quests!$1:$1,0)+1),MATCH(C$1,[2]quests!$1:$1,0)-MATCH($B$1,[2]quests!$1:$1,0)+1,FALSE)</f>
        <v>雷鎚の選定</v>
      </c>
      <c r="D34" s="84" t="str">
        <f ca="1">VLOOKUP($B34,OFFSET([2]quests!$A$1,0,0,COUNTA([2]quests!$A:$A),MATCH(D$1,[2]quests!$1:$1,0)-MATCH($B$1,[2]quests!$1:$1,0)+1),MATCH(D$1,[2]quests!$1:$1,0)-MATCH($B$1,[2]quests!$1:$1,0)+1,FALSE)</f>
        <v>ドロップイベント7（マルチ専用）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【上級】雷鎚の選定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4" s="86">
        <v>0</v>
      </c>
      <c r="I34" s="98">
        <v>3</v>
      </c>
      <c r="J34" s="85" t="s">
        <v>198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2" t="s">
        <v>201</v>
      </c>
      <c r="B35" s="83">
        <f>floors!$C$2</f>
        <v>30024</v>
      </c>
      <c r="C35" s="84" t="str">
        <f ca="1">VLOOKUP($B35,OFFSET([2]quests!$A$1,0,0,COUNTA([2]quests!$A:$A),MATCH(C$1,[2]quests!$1:$1,0)-MATCH($B$1,[2]quests!$1:$1,0)+1),MATCH(C$1,[2]quests!$1:$1,0)-MATCH($B$1,[2]quests!$1:$1,0)+1,FALSE)</f>
        <v>雷鎚の選定</v>
      </c>
      <c r="D35" s="84" t="str">
        <f ca="1">VLOOKUP($B35,OFFSET([2]quests!$A$1,0,0,COUNTA([2]quests!$A:$A),MATCH(D$1,[2]quests!$1:$1,0)-MATCH($B$1,[2]quests!$1:$1,0)+1),MATCH(D$1,[2]quests!$1:$1,0)-MATCH($B$1,[2]quests!$1:$1,0)+1,FALSE)</f>
        <v>ドロップイベント7（マルチ専用）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【上級】雷鎚の選定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5" s="86">
        <v>0</v>
      </c>
      <c r="I35" s="98">
        <v>6</v>
      </c>
      <c r="J35" s="85" t="s">
        <v>198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2" t="s">
        <v>201</v>
      </c>
      <c r="B36" s="83">
        <f>floors!$C$2</f>
        <v>30024</v>
      </c>
      <c r="C36" s="84" t="str">
        <f ca="1">VLOOKUP($B36,OFFSET([2]quests!$A$1,0,0,COUNTA([2]quests!$A:$A),MATCH(C$1,[2]quests!$1:$1,0)-MATCH($B$1,[2]quests!$1:$1,0)+1),MATCH(C$1,[2]quests!$1:$1,0)-MATCH($B$1,[2]quests!$1:$1,0)+1,FALSE)</f>
        <v>雷鎚の選定</v>
      </c>
      <c r="D36" s="84" t="str">
        <f ca="1">VLOOKUP($B36,OFFSET([2]quests!$A$1,0,0,COUNTA([2]quests!$A:$A),MATCH(D$1,[2]quests!$1:$1,0)-MATCH($B$1,[2]quests!$1:$1,0)+1),MATCH(D$1,[2]quests!$1:$1,0)-MATCH($B$1,[2]quests!$1:$1,0)+1,FALSE)</f>
        <v>ドロップイベント7（マルチ専用）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【上級】雷鎚の選定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6" s="86">
        <v>0</v>
      </c>
      <c r="I36" s="98">
        <v>7</v>
      </c>
      <c r="J36" s="85" t="s">
        <v>198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2" t="s">
        <v>201</v>
      </c>
      <c r="B37" s="83">
        <f>floors!$C$2</f>
        <v>30024</v>
      </c>
      <c r="C37" s="84" t="str">
        <f ca="1">VLOOKUP($B37,OFFSET([2]quests!$A$1,0,0,COUNTA([2]quests!$A:$A),MATCH(C$1,[2]quests!$1:$1,0)-MATCH($B$1,[2]quests!$1:$1,0)+1),MATCH(C$1,[2]quests!$1:$1,0)-MATCH($B$1,[2]quests!$1:$1,0)+1,FALSE)</f>
        <v>雷鎚の選定</v>
      </c>
      <c r="D37" s="84" t="str">
        <f ca="1">VLOOKUP($B37,OFFSET([2]quests!$A$1,0,0,COUNTA([2]quests!$A:$A),MATCH(D$1,[2]quests!$1:$1,0)-MATCH($B$1,[2]quests!$1:$1,0)+1),MATCH(D$1,[2]quests!$1:$1,0)-MATCH($B$1,[2]quests!$1:$1,0)+1,FALSE)</f>
        <v>ドロップイベント7（マルチ専用）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【上級】雷鎚の選定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7" s="86">
        <v>0</v>
      </c>
      <c r="I37" s="98">
        <v>8</v>
      </c>
      <c r="J37" s="85" t="s">
        <v>198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2" t="s">
        <v>201</v>
      </c>
      <c r="B38" s="83">
        <f>floors!$C$2</f>
        <v>30024</v>
      </c>
      <c r="C38" s="84" t="str">
        <f ca="1">VLOOKUP($B38,OFFSET([2]quests!$A$1,0,0,COUNTA([2]quests!$A:$A),MATCH(C$1,[2]quests!$1:$1,0)-MATCH($B$1,[2]quests!$1:$1,0)+1),MATCH(C$1,[2]quests!$1:$1,0)-MATCH($B$1,[2]quests!$1:$1,0)+1,FALSE)</f>
        <v>雷鎚の選定</v>
      </c>
      <c r="D38" s="84" t="str">
        <f ca="1">VLOOKUP($B38,OFFSET([2]quests!$A$1,0,0,COUNTA([2]quests!$A:$A),MATCH(D$1,[2]quests!$1:$1,0)-MATCH($B$1,[2]quests!$1:$1,0)+1),MATCH(D$1,[2]quests!$1:$1,0)-MATCH($B$1,[2]quests!$1:$1,0)+1,FALSE)</f>
        <v>ドロップイベント7（マルチ専用）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【上級】雷鎚の選定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8" s="86">
        <v>0</v>
      </c>
      <c r="I38" s="98">
        <v>9</v>
      </c>
      <c r="J38" s="85" t="s">
        <v>198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2" t="s">
        <v>201</v>
      </c>
      <c r="B39" s="83">
        <f>floors!$C$2</f>
        <v>30024</v>
      </c>
      <c r="C39" s="84" t="str">
        <f ca="1">VLOOKUP($B39,OFFSET([2]quests!$A$1,0,0,COUNTA([2]quests!$A:$A),MATCH(C$1,[2]quests!$1:$1,0)-MATCH($B$1,[2]quests!$1:$1,0)+1),MATCH(C$1,[2]quests!$1:$1,0)-MATCH($B$1,[2]quests!$1:$1,0)+1,FALSE)</f>
        <v>雷鎚の選定</v>
      </c>
      <c r="D39" s="84" t="str">
        <f ca="1">VLOOKUP($B39,OFFSET([2]quests!$A$1,0,0,COUNTA([2]quests!$A:$A),MATCH(D$1,[2]quests!$1:$1,0)-MATCH($B$1,[2]quests!$1:$1,0)+1),MATCH(D$1,[2]quests!$1:$1,0)-MATCH($B$1,[2]quests!$1:$1,0)+1,FALSE)</f>
        <v>ドロップイベント7（マルチ専用）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【上級】雷鎚の選定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9" s="86">
        <v>0</v>
      </c>
      <c r="I39" s="98">
        <v>10</v>
      </c>
      <c r="J39" s="85" t="s">
        <v>198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2" t="s">
        <v>201</v>
      </c>
      <c r="B40" s="83">
        <f>floors!$C$2</f>
        <v>30024</v>
      </c>
      <c r="C40" s="84" t="str">
        <f ca="1">VLOOKUP($B40,OFFSET([2]quests!$A$1,0,0,COUNTA([2]quests!$A:$A),MATCH(C$1,[2]quests!$1:$1,0)-MATCH($B$1,[2]quests!$1:$1,0)+1),MATCH(C$1,[2]quests!$1:$1,0)-MATCH($B$1,[2]quests!$1:$1,0)+1,FALSE)</f>
        <v>雷鎚の選定</v>
      </c>
      <c r="D40" s="84" t="str">
        <f ca="1">VLOOKUP($B40,OFFSET([2]quests!$A$1,0,0,COUNTA([2]quests!$A:$A),MATCH(D$1,[2]quests!$1:$1,0)-MATCH($B$1,[2]quests!$1:$1,0)+1),MATCH(D$1,[2]quests!$1:$1,0)-MATCH($B$1,[2]quests!$1:$1,0)+1,FALSE)</f>
        <v>ドロップイベント7（マルチ専用）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【上級】雷鎚の選定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0" s="86">
        <v>0</v>
      </c>
      <c r="I40" s="98">
        <v>11</v>
      </c>
      <c r="J40" s="85" t="s">
        <v>198</v>
      </c>
      <c r="K40" s="94" t="str">
        <f>VLOOKUP(I40,[7]stage_hints!$A:$C,3,FALSE)</f>
        <v>ランク解放クエスト</v>
      </c>
      <c r="L40" s="95" t="str">
        <f>VLOOKUP(I40,[7]stage_hints!$A:$D,4,FALSE)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2" t="s">
        <v>201</v>
      </c>
      <c r="B41" s="83">
        <f>floors!$C$2</f>
        <v>30024</v>
      </c>
      <c r="C41" s="84" t="str">
        <f ca="1">VLOOKUP($B41,OFFSET([2]quests!$A$1,0,0,COUNTA([2]quests!$A:$A),MATCH(C$1,[2]quests!$1:$1,0)-MATCH($B$1,[2]quests!$1:$1,0)+1),MATCH(C$1,[2]quests!$1:$1,0)-MATCH($B$1,[2]quests!$1:$1,0)+1,FALSE)</f>
        <v>雷鎚の選定</v>
      </c>
      <c r="D41" s="84" t="str">
        <f ca="1">VLOOKUP($B41,OFFSET([2]quests!$A$1,0,0,COUNTA([2]quests!$A:$A),MATCH(D$1,[2]quests!$1:$1,0)-MATCH($B$1,[2]quests!$1:$1,0)+1),MATCH(D$1,[2]quests!$1:$1,0)-MATCH($B$1,[2]quests!$1:$1,0)+1,FALSE)</f>
        <v>ドロップイベント7（マルチ専用）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【上級】雷鎚の選定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1" s="86">
        <v>0</v>
      </c>
      <c r="I41" s="98">
        <v>12</v>
      </c>
      <c r="J41" s="85" t="s">
        <v>198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2" t="s">
        <v>201</v>
      </c>
      <c r="B42" s="83">
        <f>floors!$C$2</f>
        <v>30024</v>
      </c>
      <c r="C42" s="84" t="str">
        <f ca="1">VLOOKUP($B42,OFFSET([2]quests!$A$1,0,0,COUNTA([2]quests!$A:$A),MATCH(C$1,[2]quests!$1:$1,0)-MATCH($B$1,[2]quests!$1:$1,0)+1),MATCH(C$1,[2]quests!$1:$1,0)-MATCH($B$1,[2]quests!$1:$1,0)+1,FALSE)</f>
        <v>雷鎚の選定</v>
      </c>
      <c r="D42" s="84" t="str">
        <f ca="1">VLOOKUP($B42,OFFSET([2]quests!$A$1,0,0,COUNTA([2]quests!$A:$A),MATCH(D$1,[2]quests!$1:$1,0)-MATCH($B$1,[2]quests!$1:$1,0)+1),MATCH(D$1,[2]quests!$1:$1,0)-MATCH($B$1,[2]quests!$1:$1,0)+1,FALSE)</f>
        <v>ドロップイベント7（マルチ専用）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【上級】雷鎚の選定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2" s="86">
        <v>0</v>
      </c>
      <c r="I42" s="98">
        <v>13</v>
      </c>
      <c r="J42" s="85" t="s">
        <v>198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2" t="s">
        <v>201</v>
      </c>
      <c r="B43" s="83">
        <f>floors!$C$2</f>
        <v>30024</v>
      </c>
      <c r="C43" s="84" t="str">
        <f ca="1">VLOOKUP($B43,OFFSET([2]quests!$A$1,0,0,COUNTA([2]quests!$A:$A),MATCH(C$1,[2]quests!$1:$1,0)-MATCH($B$1,[2]quests!$1:$1,0)+1),MATCH(C$1,[2]quests!$1:$1,0)-MATCH($B$1,[2]quests!$1:$1,0)+1,FALSE)</f>
        <v>雷鎚の選定</v>
      </c>
      <c r="D43" s="84" t="str">
        <f ca="1">VLOOKUP($B43,OFFSET([2]quests!$A$1,0,0,COUNTA([2]quests!$A:$A),MATCH(D$1,[2]quests!$1:$1,0)-MATCH($B$1,[2]quests!$1:$1,0)+1),MATCH(D$1,[2]quests!$1:$1,0)-MATCH($B$1,[2]quests!$1:$1,0)+1,FALSE)</f>
        <v>ドロップイベント7（マルチ専用）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【上級】雷鎚の選定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3" s="86">
        <v>0</v>
      </c>
      <c r="I43" s="98">
        <v>14</v>
      </c>
      <c r="J43" s="85" t="s">
        <v>198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2" t="s">
        <v>201</v>
      </c>
      <c r="B44" s="83">
        <f>floors!$C$2</f>
        <v>30024</v>
      </c>
      <c r="C44" s="84" t="str">
        <f ca="1">VLOOKUP($B44,OFFSET([2]quests!$A$1,0,0,COUNTA([2]quests!$A:$A),MATCH(C$1,[2]quests!$1:$1,0)-MATCH($B$1,[2]quests!$1:$1,0)+1),MATCH(C$1,[2]quests!$1:$1,0)-MATCH($B$1,[2]quests!$1:$1,0)+1,FALSE)</f>
        <v>雷鎚の選定</v>
      </c>
      <c r="D44" s="84" t="str">
        <f ca="1">VLOOKUP($B44,OFFSET([2]quests!$A$1,0,0,COUNTA([2]quests!$A:$A),MATCH(D$1,[2]quests!$1:$1,0)-MATCH($B$1,[2]quests!$1:$1,0)+1),MATCH(D$1,[2]quests!$1:$1,0)-MATCH($B$1,[2]quests!$1:$1,0)+1,FALSE)</f>
        <v>ドロップイベント7（マルチ専用）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【上級】雷鎚の選定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4" s="86">
        <v>0</v>
      </c>
      <c r="I44" s="98">
        <v>15</v>
      </c>
      <c r="J44" s="85" t="s">
        <v>198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2" t="s">
        <v>201</v>
      </c>
      <c r="B45" s="83">
        <f>floors!$C$2</f>
        <v>30024</v>
      </c>
      <c r="C45" s="84" t="str">
        <f ca="1">VLOOKUP($B45,OFFSET([2]quests!$A$1,0,0,COUNTA([2]quests!$A:$A),MATCH(C$1,[2]quests!$1:$1,0)-MATCH($B$1,[2]quests!$1:$1,0)+1),MATCH(C$1,[2]quests!$1:$1,0)-MATCH($B$1,[2]quests!$1:$1,0)+1,FALSE)</f>
        <v>雷鎚の選定</v>
      </c>
      <c r="D45" s="84" t="str">
        <f ca="1">VLOOKUP($B45,OFFSET([2]quests!$A$1,0,0,COUNTA([2]quests!$A:$A),MATCH(D$1,[2]quests!$1:$1,0)-MATCH($B$1,[2]quests!$1:$1,0)+1),MATCH(D$1,[2]quests!$1:$1,0)-MATCH($B$1,[2]quests!$1:$1,0)+1,FALSE)</f>
        <v>ドロップイベント7（マルチ専用）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【上級】雷鎚の選定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5" s="86">
        <v>0</v>
      </c>
      <c r="I45" s="98">
        <v>16</v>
      </c>
      <c r="J45" s="85" t="s">
        <v>198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2" t="s">
        <v>201</v>
      </c>
      <c r="B46" s="83">
        <f>floors!$C$2</f>
        <v>30024</v>
      </c>
      <c r="C46" s="84" t="str">
        <f ca="1">VLOOKUP($B46,OFFSET([2]quests!$A$1,0,0,COUNTA([2]quests!$A:$A),MATCH(C$1,[2]quests!$1:$1,0)-MATCH($B$1,[2]quests!$1:$1,0)+1),MATCH(C$1,[2]quests!$1:$1,0)-MATCH($B$1,[2]quests!$1:$1,0)+1,FALSE)</f>
        <v>雷鎚の選定</v>
      </c>
      <c r="D46" s="84" t="str">
        <f ca="1">VLOOKUP($B46,OFFSET([2]quests!$A$1,0,0,COUNTA([2]quests!$A:$A),MATCH(D$1,[2]quests!$1:$1,0)-MATCH($B$1,[2]quests!$1:$1,0)+1),MATCH(D$1,[2]quests!$1:$1,0)-MATCH($B$1,[2]quests!$1:$1,0)+1,FALSE)</f>
        <v>ドロップイベント7（マルチ専用）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【上級】雷鎚の選定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6" s="86">
        <v>0</v>
      </c>
      <c r="I46" s="98">
        <v>17</v>
      </c>
      <c r="J46" s="85" t="s">
        <v>198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2" t="s">
        <v>201</v>
      </c>
      <c r="B47" s="83">
        <f>floors!$C$2</f>
        <v>30024</v>
      </c>
      <c r="C47" s="84" t="str">
        <f ca="1">VLOOKUP($B47,OFFSET([2]quests!$A$1,0,0,COUNTA([2]quests!$A:$A),MATCH(C$1,[2]quests!$1:$1,0)-MATCH($B$1,[2]quests!$1:$1,0)+1),MATCH(C$1,[2]quests!$1:$1,0)-MATCH($B$1,[2]quests!$1:$1,0)+1,FALSE)</f>
        <v>雷鎚の選定</v>
      </c>
      <c r="D47" s="84" t="str">
        <f ca="1">VLOOKUP($B47,OFFSET([2]quests!$A$1,0,0,COUNTA([2]quests!$A:$A),MATCH(D$1,[2]quests!$1:$1,0)-MATCH($B$1,[2]quests!$1:$1,0)+1),MATCH(D$1,[2]quests!$1:$1,0)-MATCH($B$1,[2]quests!$1:$1,0)+1,FALSE)</f>
        <v>ドロップイベント7（マルチ専用）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【上級】雷鎚の選定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7" s="86">
        <v>0</v>
      </c>
      <c r="I47" s="98">
        <v>18</v>
      </c>
      <c r="J47" s="85" t="s">
        <v>198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2" t="s">
        <v>201</v>
      </c>
      <c r="B48" s="83">
        <f>floors!$C$2</f>
        <v>30024</v>
      </c>
      <c r="C48" s="84" t="str">
        <f ca="1">VLOOKUP($B48,OFFSET([2]quests!$A$1,0,0,COUNTA([2]quests!$A:$A),MATCH(C$1,[2]quests!$1:$1,0)-MATCH($B$1,[2]quests!$1:$1,0)+1),MATCH(C$1,[2]quests!$1:$1,0)-MATCH($B$1,[2]quests!$1:$1,0)+1,FALSE)</f>
        <v>雷鎚の選定</v>
      </c>
      <c r="D48" s="84" t="str">
        <f ca="1">VLOOKUP($B48,OFFSET([2]quests!$A$1,0,0,COUNTA([2]quests!$A:$A),MATCH(D$1,[2]quests!$1:$1,0)-MATCH($B$1,[2]quests!$1:$1,0)+1),MATCH(D$1,[2]quests!$1:$1,0)-MATCH($B$1,[2]quests!$1:$1,0)+1,FALSE)</f>
        <v>ドロップイベント7（マルチ専用）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【上級】雷鎚の選定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8" s="86">
        <v>0</v>
      </c>
      <c r="I48" s="98">
        <v>19</v>
      </c>
      <c r="J48" s="85" t="s">
        <v>198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211</v>
      </c>
    </row>
    <row r="49" spans="1:13" x14ac:dyDescent="0.15">
      <c r="A49" s="82" t="s">
        <v>201</v>
      </c>
      <c r="B49" s="83">
        <f>floors!$C$2</f>
        <v>30024</v>
      </c>
      <c r="C49" s="84" t="str">
        <f ca="1">VLOOKUP($B49,OFFSET([2]quests!$A$1,0,0,COUNTA([2]quests!$A:$A),MATCH(C$1,[2]quests!$1:$1,0)-MATCH($B$1,[2]quests!$1:$1,0)+1),MATCH(C$1,[2]quests!$1:$1,0)-MATCH($B$1,[2]quests!$1:$1,0)+1,FALSE)</f>
        <v>雷鎚の選定</v>
      </c>
      <c r="D49" s="84" t="str">
        <f ca="1">VLOOKUP($B49,OFFSET([2]quests!$A$1,0,0,COUNTA([2]quests!$A:$A),MATCH(D$1,[2]quests!$1:$1,0)-MATCH($B$1,[2]quests!$1:$1,0)+1),MATCH(D$1,[2]quests!$1:$1,0)-MATCH($B$1,[2]quests!$1:$1,0)+1,FALSE)</f>
        <v>ドロップイベント7（マルチ専用）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【上級】雷鎚の選定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9" s="86">
        <v>0</v>
      </c>
      <c r="I49" s="98">
        <v>20</v>
      </c>
      <c r="J49" s="85" t="s">
        <v>198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2" t="s">
        <v>201</v>
      </c>
      <c r="B50" s="83">
        <f>floors!$C$2</f>
        <v>30024</v>
      </c>
      <c r="C50" s="84" t="str">
        <f ca="1">VLOOKUP($B50,OFFSET([2]quests!$A$1,0,0,COUNTA([2]quests!$A:$A),MATCH(C$1,[2]quests!$1:$1,0)-MATCH($B$1,[2]quests!$1:$1,0)+1),MATCH(C$1,[2]quests!$1:$1,0)-MATCH($B$1,[2]quests!$1:$1,0)+1,FALSE)</f>
        <v>雷鎚の選定</v>
      </c>
      <c r="D50" s="84" t="str">
        <f ca="1">VLOOKUP($B50,OFFSET([2]quests!$A$1,0,0,COUNTA([2]quests!$A:$A),MATCH(D$1,[2]quests!$1:$1,0)-MATCH($B$1,[2]quests!$1:$1,0)+1),MATCH(D$1,[2]quests!$1:$1,0)-MATCH($B$1,[2]quests!$1:$1,0)+1,FALSE)</f>
        <v>ドロップイベント7（マルチ専用）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【上級】雷鎚の選定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0" s="86">
        <v>0</v>
      </c>
      <c r="I50" s="98">
        <v>21</v>
      </c>
      <c r="J50" s="85" t="s">
        <v>198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2" t="s">
        <v>201</v>
      </c>
      <c r="B51" s="83">
        <f>floors!$C$2</f>
        <v>30024</v>
      </c>
      <c r="C51" s="84" t="str">
        <f ca="1">VLOOKUP($B51,OFFSET([2]quests!$A$1,0,0,COUNTA([2]quests!$A:$A),MATCH(C$1,[2]quests!$1:$1,0)-MATCH($B$1,[2]quests!$1:$1,0)+1),MATCH(C$1,[2]quests!$1:$1,0)-MATCH($B$1,[2]quests!$1:$1,0)+1,FALSE)</f>
        <v>雷鎚の選定</v>
      </c>
      <c r="D51" s="84" t="str">
        <f ca="1">VLOOKUP($B51,OFFSET([2]quests!$A$1,0,0,COUNTA([2]quests!$A:$A),MATCH(D$1,[2]quests!$1:$1,0)-MATCH($B$1,[2]quests!$1:$1,0)+1),MATCH(D$1,[2]quests!$1:$1,0)-MATCH($B$1,[2]quests!$1:$1,0)+1,FALSE)</f>
        <v>ドロップイベント7（マルチ専用）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【上級】雷鎚の選定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1" s="86">
        <v>0</v>
      </c>
      <c r="I51" s="98">
        <v>22</v>
      </c>
      <c r="J51" s="85" t="s">
        <v>198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2" t="s">
        <v>201</v>
      </c>
      <c r="B52" s="83">
        <f>floors!$C$2</f>
        <v>30024</v>
      </c>
      <c r="C52" s="84" t="str">
        <f ca="1">VLOOKUP($B52,OFFSET([2]quests!$A$1,0,0,COUNTA([2]quests!$A:$A),MATCH(C$1,[2]quests!$1:$1,0)-MATCH($B$1,[2]quests!$1:$1,0)+1),MATCH(C$1,[2]quests!$1:$1,0)-MATCH($B$1,[2]quests!$1:$1,0)+1,FALSE)</f>
        <v>雷鎚の選定</v>
      </c>
      <c r="D52" s="84" t="str">
        <f ca="1">VLOOKUP($B52,OFFSET([2]quests!$A$1,0,0,COUNTA([2]quests!$A:$A),MATCH(D$1,[2]quests!$1:$1,0)-MATCH($B$1,[2]quests!$1:$1,0)+1),MATCH(D$1,[2]quests!$1:$1,0)-MATCH($B$1,[2]quests!$1:$1,0)+1,FALSE)</f>
        <v>ドロップイベント7（マルチ専用）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【上級】雷鎚の選定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2" s="86">
        <v>0</v>
      </c>
      <c r="I52" s="98">
        <v>23</v>
      </c>
      <c r="J52" s="85" t="s">
        <v>198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2" t="s">
        <v>201</v>
      </c>
      <c r="B53" s="83">
        <f>floors!$C$2</f>
        <v>30024</v>
      </c>
      <c r="C53" s="84" t="str">
        <f ca="1">VLOOKUP($B53,OFFSET([2]quests!$A$1,0,0,COUNTA([2]quests!$A:$A),MATCH(C$1,[2]quests!$1:$1,0)-MATCH($B$1,[2]quests!$1:$1,0)+1),MATCH(C$1,[2]quests!$1:$1,0)-MATCH($B$1,[2]quests!$1:$1,0)+1,FALSE)</f>
        <v>雷鎚の選定</v>
      </c>
      <c r="D53" s="84" t="str">
        <f ca="1">VLOOKUP($B53,OFFSET([2]quests!$A$1,0,0,COUNTA([2]quests!$A:$A),MATCH(D$1,[2]quests!$1:$1,0)-MATCH($B$1,[2]quests!$1:$1,0)+1),MATCH(D$1,[2]quests!$1:$1,0)-MATCH($B$1,[2]quests!$1:$1,0)+1,FALSE)</f>
        <v>ドロップイベント7（マルチ専用）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【上級】雷鎚の選定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3" s="86">
        <v>0</v>
      </c>
      <c r="I53" s="98">
        <v>24</v>
      </c>
      <c r="J53" s="85" t="s">
        <v>198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211</v>
      </c>
    </row>
    <row r="54" spans="1:13" x14ac:dyDescent="0.15">
      <c r="A54" s="82" t="s">
        <v>201</v>
      </c>
      <c r="B54" s="83">
        <f>floors!$C$2</f>
        <v>30024</v>
      </c>
      <c r="C54" s="84" t="str">
        <f ca="1">VLOOKUP($B54,OFFSET([2]quests!$A$1,0,0,COUNTA([2]quests!$A:$A),MATCH(C$1,[2]quests!$1:$1,0)-MATCH($B$1,[2]quests!$1:$1,0)+1),MATCH(C$1,[2]quests!$1:$1,0)-MATCH($B$1,[2]quests!$1:$1,0)+1,FALSE)</f>
        <v>雷鎚の選定</v>
      </c>
      <c r="D54" s="84" t="str">
        <f ca="1">VLOOKUP($B54,OFFSET([2]quests!$A$1,0,0,COUNTA([2]quests!$A:$A),MATCH(D$1,[2]quests!$1:$1,0)-MATCH($B$1,[2]quests!$1:$1,0)+1),MATCH(D$1,[2]quests!$1:$1,0)-MATCH($B$1,[2]quests!$1:$1,0)+1,FALSE)</f>
        <v>ドロップイベント7（マルチ専用）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【上級】雷鎚の選定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4" s="86">
        <v>0</v>
      </c>
      <c r="I54" s="98">
        <v>25</v>
      </c>
      <c r="J54" s="85" t="s">
        <v>198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211</v>
      </c>
    </row>
    <row r="55" spans="1:13" x14ac:dyDescent="0.15">
      <c r="A55" s="82" t="s">
        <v>201</v>
      </c>
      <c r="B55" s="83">
        <f>floors!$C$2</f>
        <v>30024</v>
      </c>
      <c r="C55" s="84" t="str">
        <f ca="1">VLOOKUP($B55,OFFSET([2]quests!$A$1,0,0,COUNTA([2]quests!$A:$A),MATCH(C$1,[2]quests!$1:$1,0)-MATCH($B$1,[2]quests!$1:$1,0)+1),MATCH(C$1,[2]quests!$1:$1,0)-MATCH($B$1,[2]quests!$1:$1,0)+1,FALSE)</f>
        <v>雷鎚の選定</v>
      </c>
      <c r="D55" s="84" t="str">
        <f ca="1">VLOOKUP($B55,OFFSET([2]quests!$A$1,0,0,COUNTA([2]quests!$A:$A),MATCH(D$1,[2]quests!$1:$1,0)-MATCH($B$1,[2]quests!$1:$1,0)+1),MATCH(D$1,[2]quests!$1:$1,0)-MATCH($B$1,[2]quests!$1:$1,0)+1,FALSE)</f>
        <v>ドロップイベント7（マルチ専用）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【上級】雷鎚の選定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5" s="86">
        <v>0</v>
      </c>
      <c r="I55" s="98">
        <v>26</v>
      </c>
      <c r="J55" s="85" t="s">
        <v>198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2" t="s">
        <v>201</v>
      </c>
      <c r="B56" s="83">
        <f>floors!$C$2</f>
        <v>30024</v>
      </c>
      <c r="C56" s="84" t="str">
        <f ca="1">VLOOKUP($B56,OFFSET([2]quests!$A$1,0,0,COUNTA([2]quests!$A:$A),MATCH(C$1,[2]quests!$1:$1,0)-MATCH($B$1,[2]quests!$1:$1,0)+1),MATCH(C$1,[2]quests!$1:$1,0)-MATCH($B$1,[2]quests!$1:$1,0)+1,FALSE)</f>
        <v>雷鎚の選定</v>
      </c>
      <c r="D56" s="84" t="str">
        <f ca="1">VLOOKUP($B56,OFFSET([2]quests!$A$1,0,0,COUNTA([2]quests!$A:$A),MATCH(D$1,[2]quests!$1:$1,0)-MATCH($B$1,[2]quests!$1:$1,0)+1),MATCH(D$1,[2]quests!$1:$1,0)-MATCH($B$1,[2]quests!$1:$1,0)+1,FALSE)</f>
        <v>ドロップイベント7（マルチ専用）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【上級】雷鎚の選定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6" s="86">
        <v>0</v>
      </c>
      <c r="I56" s="98">
        <v>27</v>
      </c>
      <c r="J56" s="85" t="s">
        <v>198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2" t="s">
        <v>201</v>
      </c>
      <c r="B57" s="83">
        <f>floors!$C$2</f>
        <v>30024</v>
      </c>
      <c r="C57" s="84" t="str">
        <f ca="1">VLOOKUP($B57,OFFSET([2]quests!$A$1,0,0,COUNTA([2]quests!$A:$A),MATCH(C$1,[2]quests!$1:$1,0)-MATCH($B$1,[2]quests!$1:$1,0)+1),MATCH(C$1,[2]quests!$1:$1,0)-MATCH($B$1,[2]quests!$1:$1,0)+1,FALSE)</f>
        <v>雷鎚の選定</v>
      </c>
      <c r="D57" s="84" t="str">
        <f ca="1">VLOOKUP($B57,OFFSET([2]quests!$A$1,0,0,COUNTA([2]quests!$A:$A),MATCH(D$1,[2]quests!$1:$1,0)-MATCH($B$1,[2]quests!$1:$1,0)+1),MATCH(D$1,[2]quests!$1:$1,0)-MATCH($B$1,[2]quests!$1:$1,0)+1,FALSE)</f>
        <v>ドロップイベント7（マルチ専用）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【上級】雷鎚の選定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7" s="86">
        <v>0</v>
      </c>
      <c r="I57" s="98">
        <v>28</v>
      </c>
      <c r="J57" s="85" t="s">
        <v>198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2" t="s">
        <v>201</v>
      </c>
      <c r="B58" s="83">
        <f>floors!$C$2</f>
        <v>30024</v>
      </c>
      <c r="C58" s="84" t="str">
        <f ca="1">VLOOKUP($B58,OFFSET([2]quests!$A$1,0,0,COUNTA([2]quests!$A:$A),MATCH(C$1,[2]quests!$1:$1,0)-MATCH($B$1,[2]quests!$1:$1,0)+1),MATCH(C$1,[2]quests!$1:$1,0)-MATCH($B$1,[2]quests!$1:$1,0)+1,FALSE)</f>
        <v>雷鎚の選定</v>
      </c>
      <c r="D58" s="84" t="str">
        <f ca="1">VLOOKUP($B58,OFFSET([2]quests!$A$1,0,0,COUNTA([2]quests!$A:$A),MATCH(D$1,[2]quests!$1:$1,0)-MATCH($B$1,[2]quests!$1:$1,0)+1),MATCH(D$1,[2]quests!$1:$1,0)-MATCH($B$1,[2]quests!$1:$1,0)+1,FALSE)</f>
        <v>ドロップイベント7（マルチ専用）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【上級】雷鎚の選定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8" s="86">
        <v>0</v>
      </c>
      <c r="I58" s="98">
        <v>29</v>
      </c>
      <c r="J58" s="85" t="s">
        <v>198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2" t="s">
        <v>201</v>
      </c>
      <c r="B59" s="83">
        <f>floors!$C$2</f>
        <v>30024</v>
      </c>
      <c r="C59" s="84" t="str">
        <f ca="1">VLOOKUP($B59,OFFSET([2]quests!$A$1,0,0,COUNTA([2]quests!$A:$A),MATCH(C$1,[2]quests!$1:$1,0)-MATCH($B$1,[2]quests!$1:$1,0)+1),MATCH(C$1,[2]quests!$1:$1,0)-MATCH($B$1,[2]quests!$1:$1,0)+1,FALSE)</f>
        <v>雷鎚の選定</v>
      </c>
      <c r="D59" s="84" t="str">
        <f ca="1">VLOOKUP($B59,OFFSET([2]quests!$A$1,0,0,COUNTA([2]quests!$A:$A),MATCH(D$1,[2]quests!$1:$1,0)-MATCH($B$1,[2]quests!$1:$1,0)+1),MATCH(D$1,[2]quests!$1:$1,0)-MATCH($B$1,[2]quests!$1:$1,0)+1,FALSE)</f>
        <v>ドロップイベント7（マルチ専用）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【上級】雷鎚の選定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9" s="86">
        <v>0</v>
      </c>
      <c r="I59" s="98">
        <v>30</v>
      </c>
      <c r="J59" s="85" t="s">
        <v>198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2" t="s">
        <v>201</v>
      </c>
      <c r="B60" s="83">
        <f>floors!$C$2</f>
        <v>30024</v>
      </c>
      <c r="C60" s="84" t="str">
        <f ca="1">VLOOKUP($B60,OFFSET([2]quests!$A$1,0,0,COUNTA([2]quests!$A:$A),MATCH(C$1,[2]quests!$1:$1,0)-MATCH($B$1,[2]quests!$1:$1,0)+1),MATCH(C$1,[2]quests!$1:$1,0)-MATCH($B$1,[2]quests!$1:$1,0)+1,FALSE)</f>
        <v>雷鎚の選定</v>
      </c>
      <c r="D60" s="84" t="str">
        <f ca="1">VLOOKUP($B60,OFFSET([2]quests!$A$1,0,0,COUNTA([2]quests!$A:$A),MATCH(D$1,[2]quests!$1:$1,0)-MATCH($B$1,[2]quests!$1:$1,0)+1),MATCH(D$1,[2]quests!$1:$1,0)-MATCH($B$1,[2]quests!$1:$1,0)+1,FALSE)</f>
        <v>ドロップイベント7（マルチ専用）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【上級】雷鎚の選定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0" s="86">
        <v>0</v>
      </c>
      <c r="I60" s="98">
        <v>31</v>
      </c>
      <c r="J60" s="85" t="s">
        <v>198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2" t="s">
        <v>201</v>
      </c>
      <c r="B61" s="83">
        <f>floors!$C$2</f>
        <v>30024</v>
      </c>
      <c r="C61" s="84" t="str">
        <f ca="1">VLOOKUP($B61,OFFSET([2]quests!$A$1,0,0,COUNTA([2]quests!$A:$A),MATCH(C$1,[2]quests!$1:$1,0)-MATCH($B$1,[2]quests!$1:$1,0)+1),MATCH(C$1,[2]quests!$1:$1,0)-MATCH($B$1,[2]quests!$1:$1,0)+1,FALSE)</f>
        <v>雷鎚の選定</v>
      </c>
      <c r="D61" s="84" t="str">
        <f ca="1">VLOOKUP($B61,OFFSET([2]quests!$A$1,0,0,COUNTA([2]quests!$A:$A),MATCH(D$1,[2]quests!$1:$1,0)-MATCH($B$1,[2]quests!$1:$1,0)+1),MATCH(D$1,[2]quests!$1:$1,0)-MATCH($B$1,[2]quests!$1:$1,0)+1,FALSE)</f>
        <v>ドロップイベント7（マルチ専用）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【上級】雷鎚の選定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1" s="86">
        <v>0</v>
      </c>
      <c r="I61" s="98">
        <v>32</v>
      </c>
      <c r="J61" s="85" t="s">
        <v>198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2" t="s">
        <v>201</v>
      </c>
      <c r="B62" s="83">
        <f>floors!$C$2</f>
        <v>30024</v>
      </c>
      <c r="C62" s="84" t="str">
        <f ca="1">VLOOKUP($B62,OFFSET([2]quests!$A$1,0,0,COUNTA([2]quests!$A:$A),MATCH(C$1,[2]quests!$1:$1,0)-MATCH($B$1,[2]quests!$1:$1,0)+1),MATCH(C$1,[2]quests!$1:$1,0)-MATCH($B$1,[2]quests!$1:$1,0)+1,FALSE)</f>
        <v>雷鎚の選定</v>
      </c>
      <c r="D62" s="84" t="str">
        <f ca="1">VLOOKUP($B62,OFFSET([2]quests!$A$1,0,0,COUNTA([2]quests!$A:$A),MATCH(D$1,[2]quests!$1:$1,0)-MATCH($B$1,[2]quests!$1:$1,0)+1),MATCH(D$1,[2]quests!$1:$1,0)-MATCH($B$1,[2]quests!$1:$1,0)+1,FALSE)</f>
        <v>ドロップイベント7（マルチ専用）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【上級】雷鎚の選定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2" s="86">
        <v>0</v>
      </c>
      <c r="I62" s="98">
        <v>33</v>
      </c>
      <c r="J62" s="85" t="s">
        <v>198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2" t="s">
        <v>201</v>
      </c>
      <c r="B63" s="83">
        <f>floors!$C$2</f>
        <v>30024</v>
      </c>
      <c r="C63" s="84" t="str">
        <f ca="1">VLOOKUP($B63,OFFSET([2]quests!$A$1,0,0,COUNTA([2]quests!$A:$A),MATCH(C$1,[2]quests!$1:$1,0)-MATCH($B$1,[2]quests!$1:$1,0)+1),MATCH(C$1,[2]quests!$1:$1,0)-MATCH($B$1,[2]quests!$1:$1,0)+1,FALSE)</f>
        <v>雷鎚の選定</v>
      </c>
      <c r="D63" s="84" t="str">
        <f ca="1">VLOOKUP($B63,OFFSET([2]quests!$A$1,0,0,COUNTA([2]quests!$A:$A),MATCH(D$1,[2]quests!$1:$1,0)-MATCH($B$1,[2]quests!$1:$1,0)+1),MATCH(D$1,[2]quests!$1:$1,0)-MATCH($B$1,[2]quests!$1:$1,0)+1,FALSE)</f>
        <v>ドロップイベント7（マルチ専用）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【上級】雷鎚の選定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3" s="86">
        <v>0</v>
      </c>
      <c r="I63" s="98">
        <v>34</v>
      </c>
      <c r="J63" s="85" t="s">
        <v>198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2" t="s">
        <v>201</v>
      </c>
      <c r="B64" s="83">
        <f>floors!$C$2</f>
        <v>30024</v>
      </c>
      <c r="C64" s="84" t="str">
        <f ca="1">VLOOKUP($B64,OFFSET([2]quests!$A$1,0,0,COUNTA([2]quests!$A:$A),MATCH(C$1,[2]quests!$1:$1,0)-MATCH($B$1,[2]quests!$1:$1,0)+1),MATCH(C$1,[2]quests!$1:$1,0)-MATCH($B$1,[2]quests!$1:$1,0)+1,FALSE)</f>
        <v>雷鎚の選定</v>
      </c>
      <c r="D64" s="84" t="str">
        <f ca="1">VLOOKUP($B64,OFFSET([2]quests!$A$1,0,0,COUNTA([2]quests!$A:$A),MATCH(D$1,[2]quests!$1:$1,0)-MATCH($B$1,[2]quests!$1:$1,0)+1),MATCH(D$1,[2]quests!$1:$1,0)-MATCH($B$1,[2]quests!$1:$1,0)+1,FALSE)</f>
        <v>ドロップイベント7（マルチ専用）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【上級】雷鎚の選定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4" s="86">
        <v>0</v>
      </c>
      <c r="I64" s="98">
        <v>35</v>
      </c>
      <c r="J64" s="85" t="s">
        <v>198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2" t="s">
        <v>201</v>
      </c>
      <c r="B65" s="83">
        <f>floors!$C$2</f>
        <v>30024</v>
      </c>
      <c r="C65" s="84" t="str">
        <f ca="1">VLOOKUP($B65,OFFSET([2]quests!$A$1,0,0,COUNTA([2]quests!$A:$A),MATCH(C$1,[2]quests!$1:$1,0)-MATCH($B$1,[2]quests!$1:$1,0)+1),MATCH(C$1,[2]quests!$1:$1,0)-MATCH($B$1,[2]quests!$1:$1,0)+1,FALSE)</f>
        <v>雷鎚の選定</v>
      </c>
      <c r="D65" s="84" t="str">
        <f ca="1">VLOOKUP($B65,OFFSET([2]quests!$A$1,0,0,COUNTA([2]quests!$A:$A),MATCH(D$1,[2]quests!$1:$1,0)-MATCH($B$1,[2]quests!$1:$1,0)+1),MATCH(D$1,[2]quests!$1:$1,0)-MATCH($B$1,[2]quests!$1:$1,0)+1,FALSE)</f>
        <v>ドロップイベント7（マルチ専用）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【上級】雷鎚の選定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5" s="86">
        <v>0</v>
      </c>
      <c r="I65" s="98">
        <v>36</v>
      </c>
      <c r="J65" s="85" t="s">
        <v>198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211</v>
      </c>
    </row>
    <row r="66" spans="1:13" x14ac:dyDescent="0.15">
      <c r="A66" s="82" t="s">
        <v>201</v>
      </c>
      <c r="B66" s="83">
        <f>floors!$C$2</f>
        <v>30024</v>
      </c>
      <c r="C66" s="84" t="str">
        <f ca="1">VLOOKUP($B66,OFFSET([2]quests!$A$1,0,0,COUNTA([2]quests!$A:$A),MATCH(C$1,[2]quests!$1:$1,0)-MATCH($B$1,[2]quests!$1:$1,0)+1),MATCH(C$1,[2]quests!$1:$1,0)-MATCH($B$1,[2]quests!$1:$1,0)+1,FALSE)</f>
        <v>雷鎚の選定</v>
      </c>
      <c r="D66" s="84" t="str">
        <f ca="1">VLOOKUP($B66,OFFSET([2]quests!$A$1,0,0,COUNTA([2]quests!$A:$A),MATCH(D$1,[2]quests!$1:$1,0)-MATCH($B$1,[2]quests!$1:$1,0)+1),MATCH(D$1,[2]quests!$1:$1,0)-MATCH($B$1,[2]quests!$1:$1,0)+1,FALSE)</f>
        <v>ドロップイベント7（マルチ専用）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【上級】雷鎚の選定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6" s="86">
        <v>0</v>
      </c>
      <c r="I66" s="98">
        <v>37</v>
      </c>
      <c r="J66" s="85" t="s">
        <v>198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2" t="s">
        <v>201</v>
      </c>
      <c r="B67" s="83">
        <f>floors!$C$2</f>
        <v>30024</v>
      </c>
      <c r="C67" s="84" t="str">
        <f ca="1">VLOOKUP($B67,OFFSET([2]quests!$A$1,0,0,COUNTA([2]quests!$A:$A),MATCH(C$1,[2]quests!$1:$1,0)-MATCH($B$1,[2]quests!$1:$1,0)+1),MATCH(C$1,[2]quests!$1:$1,0)-MATCH($B$1,[2]quests!$1:$1,0)+1,FALSE)</f>
        <v>雷鎚の選定</v>
      </c>
      <c r="D67" s="84" t="str">
        <f ca="1">VLOOKUP($B67,OFFSET([2]quests!$A$1,0,0,COUNTA([2]quests!$A:$A),MATCH(D$1,[2]quests!$1:$1,0)-MATCH($B$1,[2]quests!$1:$1,0)+1),MATCH(D$1,[2]quests!$1:$1,0)-MATCH($B$1,[2]quests!$1:$1,0)+1,FALSE)</f>
        <v>ドロップイベント7（マルチ専用）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【上級】雷鎚の選定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7" s="86">
        <v>0</v>
      </c>
      <c r="I67" s="98">
        <v>39</v>
      </c>
      <c r="J67" s="85" t="s">
        <v>198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211</v>
      </c>
    </row>
    <row r="68" spans="1:13" x14ac:dyDescent="0.15">
      <c r="A68" s="82" t="s">
        <v>201</v>
      </c>
      <c r="B68" s="83">
        <f>floors!$C$2</f>
        <v>30024</v>
      </c>
      <c r="C68" s="84" t="str">
        <f ca="1">VLOOKUP($B68,OFFSET([2]quests!$A$1,0,0,COUNTA([2]quests!$A:$A),MATCH(C$1,[2]quests!$1:$1,0)-MATCH($B$1,[2]quests!$1:$1,0)+1),MATCH(C$1,[2]quests!$1:$1,0)-MATCH($B$1,[2]quests!$1:$1,0)+1,FALSE)</f>
        <v>雷鎚の選定</v>
      </c>
      <c r="D68" s="84" t="str">
        <f ca="1">VLOOKUP($B68,OFFSET([2]quests!$A$1,0,0,COUNTA([2]quests!$A:$A),MATCH(D$1,[2]quests!$1:$1,0)-MATCH($B$1,[2]quests!$1:$1,0)+1),MATCH(D$1,[2]quests!$1:$1,0)-MATCH($B$1,[2]quests!$1:$1,0)+1,FALSE)</f>
        <v>ドロップイベント7（マルチ専用）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【超級】雷鎚の選定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8" s="86">
        <v>0</v>
      </c>
      <c r="I68">
        <v>12</v>
      </c>
      <c r="J68" s="85" t="s">
        <v>198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2" t="s">
        <v>201</v>
      </c>
      <c r="B69" s="83">
        <f>floors!$C$2</f>
        <v>30024</v>
      </c>
      <c r="C69" s="84" t="str">
        <f ca="1">VLOOKUP($B69,OFFSET([2]quests!$A$1,0,0,COUNTA([2]quests!$A:$A),MATCH(C$1,[2]quests!$1:$1,0)-MATCH($B$1,[2]quests!$1:$1,0)+1),MATCH(C$1,[2]quests!$1:$1,0)-MATCH($B$1,[2]quests!$1:$1,0)+1,FALSE)</f>
        <v>雷鎚の選定</v>
      </c>
      <c r="D69" s="84" t="str">
        <f ca="1">VLOOKUP($B69,OFFSET([2]quests!$A$1,0,0,COUNTA([2]quests!$A:$A),MATCH(D$1,[2]quests!$1:$1,0)-MATCH($B$1,[2]quests!$1:$1,0)+1),MATCH(D$1,[2]quests!$1:$1,0)-MATCH($B$1,[2]quests!$1:$1,0)+1,FALSE)</f>
        <v>ドロップイベント7（マルチ専用）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【超級】雷鎚の選定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9" s="86">
        <v>0</v>
      </c>
      <c r="I69">
        <v>17</v>
      </c>
      <c r="J69" s="85" t="s">
        <v>198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2" t="s">
        <v>201</v>
      </c>
      <c r="B70" s="83">
        <f>floors!$C$2</f>
        <v>30024</v>
      </c>
      <c r="C70" s="84" t="str">
        <f ca="1">VLOOKUP($B70,OFFSET([2]quests!$A$1,0,0,COUNTA([2]quests!$A:$A),MATCH(C$1,[2]quests!$1:$1,0)-MATCH($B$1,[2]quests!$1:$1,0)+1),MATCH(C$1,[2]quests!$1:$1,0)-MATCH($B$1,[2]quests!$1:$1,0)+1,FALSE)</f>
        <v>雷鎚の選定</v>
      </c>
      <c r="D70" s="84" t="str">
        <f ca="1">VLOOKUP($B70,OFFSET([2]quests!$A$1,0,0,COUNTA([2]quests!$A:$A),MATCH(D$1,[2]quests!$1:$1,0)-MATCH($B$1,[2]quests!$1:$1,0)+1),MATCH(D$1,[2]quests!$1:$1,0)-MATCH($B$1,[2]quests!$1:$1,0)+1,FALSE)</f>
        <v>ドロップイベント7（マルチ専用）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【超級】雷鎚の選定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0" s="86">
        <v>0</v>
      </c>
      <c r="I70">
        <v>19</v>
      </c>
      <c r="J70" s="85" t="s">
        <v>198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211</v>
      </c>
    </row>
    <row r="71" spans="1:13" x14ac:dyDescent="0.15">
      <c r="A71" s="82" t="s">
        <v>201</v>
      </c>
      <c r="B71" s="83">
        <f>floors!$C$2</f>
        <v>30024</v>
      </c>
      <c r="C71" s="84" t="str">
        <f ca="1">VLOOKUP($B71,OFFSET([2]quests!$A$1,0,0,COUNTA([2]quests!$A:$A),MATCH(C$1,[2]quests!$1:$1,0)-MATCH($B$1,[2]quests!$1:$1,0)+1),MATCH(C$1,[2]quests!$1:$1,0)-MATCH($B$1,[2]quests!$1:$1,0)+1,FALSE)</f>
        <v>雷鎚の選定</v>
      </c>
      <c r="D71" s="84" t="str">
        <f ca="1">VLOOKUP($B71,OFFSET([2]quests!$A$1,0,0,COUNTA([2]quests!$A:$A),MATCH(D$1,[2]quests!$1:$1,0)-MATCH($B$1,[2]quests!$1:$1,0)+1),MATCH(D$1,[2]quests!$1:$1,0)-MATCH($B$1,[2]quests!$1:$1,0)+1,FALSE)</f>
        <v>ドロップイベント7（マルチ専用）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【超級】雷鎚の選定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1" s="86">
        <v>0</v>
      </c>
      <c r="I71">
        <v>21</v>
      </c>
      <c r="J71" s="85" t="s">
        <v>198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2" t="s">
        <v>201</v>
      </c>
      <c r="B72" s="83">
        <f>floors!$C$2</f>
        <v>30024</v>
      </c>
      <c r="C72" s="84" t="str">
        <f ca="1">VLOOKUP($B72,OFFSET([2]quests!$A$1,0,0,COUNTA([2]quests!$A:$A),MATCH(C$1,[2]quests!$1:$1,0)-MATCH($B$1,[2]quests!$1:$1,0)+1),MATCH(C$1,[2]quests!$1:$1,0)-MATCH($B$1,[2]quests!$1:$1,0)+1,FALSE)</f>
        <v>雷鎚の選定</v>
      </c>
      <c r="D72" s="84" t="str">
        <f ca="1">VLOOKUP($B72,OFFSET([2]quests!$A$1,0,0,COUNTA([2]quests!$A:$A),MATCH(D$1,[2]quests!$1:$1,0)-MATCH($B$1,[2]quests!$1:$1,0)+1),MATCH(D$1,[2]quests!$1:$1,0)-MATCH($B$1,[2]quests!$1:$1,0)+1,FALSE)</f>
        <v>ドロップイベント7（マルチ専用）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【超級】雷鎚の選定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2" s="86">
        <v>0</v>
      </c>
      <c r="I72">
        <v>27</v>
      </c>
      <c r="J72" s="85" t="s">
        <v>198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2" t="s">
        <v>201</v>
      </c>
      <c r="B73" s="83">
        <f>floors!$C$2</f>
        <v>30024</v>
      </c>
      <c r="C73" s="84" t="str">
        <f ca="1">VLOOKUP($B73,OFFSET([2]quests!$A$1,0,0,COUNTA([2]quests!$A:$A),MATCH(C$1,[2]quests!$1:$1,0)-MATCH($B$1,[2]quests!$1:$1,0)+1),MATCH(C$1,[2]quests!$1:$1,0)-MATCH($B$1,[2]quests!$1:$1,0)+1,FALSE)</f>
        <v>雷鎚の選定</v>
      </c>
      <c r="D73" s="84" t="str">
        <f ca="1">VLOOKUP($B73,OFFSET([2]quests!$A$1,0,0,COUNTA([2]quests!$A:$A),MATCH(D$1,[2]quests!$1:$1,0)-MATCH($B$1,[2]quests!$1:$1,0)+1),MATCH(D$1,[2]quests!$1:$1,0)-MATCH($B$1,[2]quests!$1:$1,0)+1,FALSE)</f>
        <v>ドロップイベント7（マルチ専用）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【超級】雷鎚の選定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3" s="86">
        <v>0</v>
      </c>
      <c r="I73">
        <v>28</v>
      </c>
      <c r="J73" s="85" t="s">
        <v>198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2" t="s">
        <v>201</v>
      </c>
      <c r="B74" s="83">
        <f>floors!$C$2</f>
        <v>30024</v>
      </c>
      <c r="C74" s="84" t="str">
        <f ca="1">VLOOKUP($B74,OFFSET([2]quests!$A$1,0,0,COUNTA([2]quests!$A:$A),MATCH(C$1,[2]quests!$1:$1,0)-MATCH($B$1,[2]quests!$1:$1,0)+1),MATCH(C$1,[2]quests!$1:$1,0)-MATCH($B$1,[2]quests!$1:$1,0)+1,FALSE)</f>
        <v>雷鎚の選定</v>
      </c>
      <c r="D74" s="84" t="str">
        <f ca="1">VLOOKUP($B74,OFFSET([2]quests!$A$1,0,0,COUNTA([2]quests!$A:$A),MATCH(D$1,[2]quests!$1:$1,0)-MATCH($B$1,[2]quests!$1:$1,0)+1),MATCH(D$1,[2]quests!$1:$1,0)-MATCH($B$1,[2]quests!$1:$1,0)+1,FALSE)</f>
        <v>ドロップイベント7（マルチ専用）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【超級】雷鎚の選定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4" s="86">
        <v>0</v>
      </c>
      <c r="I74">
        <v>29</v>
      </c>
      <c r="J74" s="85" t="s">
        <v>198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2" t="s">
        <v>201</v>
      </c>
      <c r="B75" s="83">
        <f>floors!$C$2</f>
        <v>30024</v>
      </c>
      <c r="C75" s="84" t="str">
        <f ca="1">VLOOKUP($B75,OFFSET([2]quests!$A$1,0,0,COUNTA([2]quests!$A:$A),MATCH(C$1,[2]quests!$1:$1,0)-MATCH($B$1,[2]quests!$1:$1,0)+1),MATCH(C$1,[2]quests!$1:$1,0)-MATCH($B$1,[2]quests!$1:$1,0)+1,FALSE)</f>
        <v>雷鎚の選定</v>
      </c>
      <c r="D75" s="84" t="str">
        <f ca="1">VLOOKUP($B75,OFFSET([2]quests!$A$1,0,0,COUNTA([2]quests!$A:$A),MATCH(D$1,[2]quests!$1:$1,0)-MATCH($B$1,[2]quests!$1:$1,0)+1),MATCH(D$1,[2]quests!$1:$1,0)-MATCH($B$1,[2]quests!$1:$1,0)+1,FALSE)</f>
        <v>ドロップイベント7（マルチ専用）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【超級】雷鎚の選定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5" s="86">
        <v>0</v>
      </c>
      <c r="I75">
        <v>30</v>
      </c>
      <c r="J75" s="85" t="s">
        <v>198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2" t="s">
        <v>201</v>
      </c>
      <c r="B76" s="83">
        <f>floors!$C$2</f>
        <v>30024</v>
      </c>
      <c r="C76" s="84" t="str">
        <f ca="1">VLOOKUP($B76,OFFSET([2]quests!$A$1,0,0,COUNTA([2]quests!$A:$A),MATCH(C$1,[2]quests!$1:$1,0)-MATCH($B$1,[2]quests!$1:$1,0)+1),MATCH(C$1,[2]quests!$1:$1,0)-MATCH($B$1,[2]quests!$1:$1,0)+1,FALSE)</f>
        <v>雷鎚の選定</v>
      </c>
      <c r="D76" s="84" t="str">
        <f ca="1">VLOOKUP($B76,OFFSET([2]quests!$A$1,0,0,COUNTA([2]quests!$A:$A),MATCH(D$1,[2]quests!$1:$1,0)-MATCH($B$1,[2]quests!$1:$1,0)+1),MATCH(D$1,[2]quests!$1:$1,0)-MATCH($B$1,[2]quests!$1:$1,0)+1,FALSE)</f>
        <v>ドロップイベント7（マルチ専用）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【超級】雷鎚の選定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6" s="86">
        <v>0</v>
      </c>
      <c r="I76">
        <v>32</v>
      </c>
      <c r="J76" s="85" t="s">
        <v>198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2" t="s">
        <v>201</v>
      </c>
      <c r="B77" s="83">
        <f>floors!$C$2</f>
        <v>30024</v>
      </c>
      <c r="C77" s="84" t="str">
        <f ca="1">VLOOKUP($B77,OFFSET([2]quests!$A$1,0,0,COUNTA([2]quests!$A:$A),MATCH(C$1,[2]quests!$1:$1,0)-MATCH($B$1,[2]quests!$1:$1,0)+1),MATCH(C$1,[2]quests!$1:$1,0)-MATCH($B$1,[2]quests!$1:$1,0)+1,FALSE)</f>
        <v>雷鎚の選定</v>
      </c>
      <c r="D77" s="84" t="str">
        <f ca="1">VLOOKUP($B77,OFFSET([2]quests!$A$1,0,0,COUNTA([2]quests!$A:$A),MATCH(D$1,[2]quests!$1:$1,0)-MATCH($B$1,[2]quests!$1:$1,0)+1),MATCH(D$1,[2]quests!$1:$1,0)-MATCH($B$1,[2]quests!$1:$1,0)+1,FALSE)</f>
        <v>ドロップイベント7（マルチ専用）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【超級】雷鎚の選定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7" s="86">
        <v>0</v>
      </c>
      <c r="I77">
        <v>33</v>
      </c>
      <c r="J77" s="85" t="s">
        <v>198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2" t="s">
        <v>201</v>
      </c>
      <c r="B78" s="83">
        <f>floors!$C$2</f>
        <v>30024</v>
      </c>
      <c r="C78" s="84" t="str">
        <f ca="1">VLOOKUP($B78,OFFSET([2]quests!$A$1,0,0,COUNTA([2]quests!$A:$A),MATCH(C$1,[2]quests!$1:$1,0)-MATCH($B$1,[2]quests!$1:$1,0)+1),MATCH(C$1,[2]quests!$1:$1,0)-MATCH($B$1,[2]quests!$1:$1,0)+1,FALSE)</f>
        <v>雷鎚の選定</v>
      </c>
      <c r="D78" s="84" t="str">
        <f ca="1">VLOOKUP($B78,OFFSET([2]quests!$A$1,0,0,COUNTA([2]quests!$A:$A),MATCH(D$1,[2]quests!$1:$1,0)-MATCH($B$1,[2]quests!$1:$1,0)+1),MATCH(D$1,[2]quests!$1:$1,0)-MATCH($B$1,[2]quests!$1:$1,0)+1,FALSE)</f>
        <v>ドロップイベント7（マルチ専用）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【超級】雷鎚の選定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8" s="86">
        <v>0</v>
      </c>
      <c r="I78">
        <v>34</v>
      </c>
      <c r="J78" s="85" t="s">
        <v>198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2" t="s">
        <v>201</v>
      </c>
      <c r="B79" s="83">
        <f>floors!$C$2</f>
        <v>30024</v>
      </c>
      <c r="C79" s="84" t="str">
        <f ca="1">VLOOKUP($B79,OFFSET([2]quests!$A$1,0,0,COUNTA([2]quests!$A:$A),MATCH(C$1,[2]quests!$1:$1,0)-MATCH($B$1,[2]quests!$1:$1,0)+1),MATCH(C$1,[2]quests!$1:$1,0)-MATCH($B$1,[2]quests!$1:$1,0)+1,FALSE)</f>
        <v>雷鎚の選定</v>
      </c>
      <c r="D79" s="84" t="str">
        <f ca="1">VLOOKUP($B79,OFFSET([2]quests!$A$1,0,0,COUNTA([2]quests!$A:$A),MATCH(D$1,[2]quests!$1:$1,0)-MATCH($B$1,[2]quests!$1:$1,0)+1),MATCH(D$1,[2]quests!$1:$1,0)-MATCH($B$1,[2]quests!$1:$1,0)+1,FALSE)</f>
        <v>ドロップイベント7（マルチ専用）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【超級】雷鎚の選定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9" s="86">
        <v>0</v>
      </c>
      <c r="I79">
        <v>35</v>
      </c>
      <c r="J79" s="85" t="s">
        <v>198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2" t="s">
        <v>201</v>
      </c>
      <c r="B80" s="83">
        <f>floors!$C$2</f>
        <v>30024</v>
      </c>
      <c r="C80" s="84" t="str">
        <f ca="1">VLOOKUP($B80,OFFSET([2]quests!$A$1,0,0,COUNTA([2]quests!$A:$A),MATCH(C$1,[2]quests!$1:$1,0)-MATCH($B$1,[2]quests!$1:$1,0)+1),MATCH(C$1,[2]quests!$1:$1,0)-MATCH($B$1,[2]quests!$1:$1,0)+1,FALSE)</f>
        <v>雷鎚の選定</v>
      </c>
      <c r="D80" s="84" t="str">
        <f ca="1">VLOOKUP($B80,OFFSET([2]quests!$A$1,0,0,COUNTA([2]quests!$A:$A),MATCH(D$1,[2]quests!$1:$1,0)-MATCH($B$1,[2]quests!$1:$1,0)+1),MATCH(D$1,[2]quests!$1:$1,0)-MATCH($B$1,[2]quests!$1:$1,0)+1,FALSE)</f>
        <v>ドロップイベント7（マルチ専用）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【超級】雷鎚の選定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0" s="86">
        <v>0</v>
      </c>
      <c r="I80">
        <v>36</v>
      </c>
      <c r="J80" s="85" t="s">
        <v>198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211</v>
      </c>
    </row>
    <row r="81" spans="1:13" x14ac:dyDescent="0.15">
      <c r="A81" s="82" t="s">
        <v>201</v>
      </c>
      <c r="B81" s="83">
        <f>floors!$C$2</f>
        <v>30024</v>
      </c>
      <c r="C81" s="84" t="str">
        <f ca="1">VLOOKUP($B81,OFFSET([2]quests!$A$1,0,0,COUNTA([2]quests!$A:$A),MATCH(C$1,[2]quests!$1:$1,0)-MATCH($B$1,[2]quests!$1:$1,0)+1),MATCH(C$1,[2]quests!$1:$1,0)-MATCH($B$1,[2]quests!$1:$1,0)+1,FALSE)</f>
        <v>雷鎚の選定</v>
      </c>
      <c r="D81" s="84" t="str">
        <f ca="1">VLOOKUP($B81,OFFSET([2]quests!$A$1,0,0,COUNTA([2]quests!$A:$A),MATCH(D$1,[2]quests!$1:$1,0)-MATCH($B$1,[2]quests!$1:$1,0)+1),MATCH(D$1,[2]quests!$1:$1,0)-MATCH($B$1,[2]quests!$1:$1,0)+1,FALSE)</f>
        <v>ドロップイベント7（マルチ専用）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【超級】雷鎚の選定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1" s="86">
        <v>0</v>
      </c>
      <c r="I81">
        <v>37</v>
      </c>
      <c r="J81" s="85" t="s">
        <v>198</v>
      </c>
      <c r="K81" s="94" t="str">
        <f>VLOOKUP(I81,[7]stage_hints!$A:$C,3,FALSE)</f>
        <v>限界突破値の引き継ぎ</v>
      </c>
      <c r="L81" s="95" t="str">
        <f>VLOOKUP(I81,[7]stage_hints!$A:$D,4,FALSE)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2" t="s">
        <v>201</v>
      </c>
      <c r="B82" s="83">
        <f>floors!$C$2</f>
        <v>30024</v>
      </c>
      <c r="C82" s="84" t="str">
        <f ca="1">VLOOKUP($B82,OFFSET([2]quests!$A$1,0,0,COUNTA([2]quests!$A:$A),MATCH(C$1,[2]quests!$1:$1,0)-MATCH($B$1,[2]quests!$1:$1,0)+1),MATCH(C$1,[2]quests!$1:$1,0)-MATCH($B$1,[2]quests!$1:$1,0)+1,FALSE)</f>
        <v>雷鎚の選定</v>
      </c>
      <c r="D82" s="84" t="str">
        <f ca="1">VLOOKUP($B82,OFFSET([2]quests!$A$1,0,0,COUNTA([2]quests!$A:$A),MATCH(D$1,[2]quests!$1:$1,0)-MATCH($B$1,[2]quests!$1:$1,0)+1),MATCH(D$1,[2]quests!$1:$1,0)-MATCH($B$1,[2]quests!$1:$1,0)+1,FALSE)</f>
        <v>ドロップイベント7（マルチ専用）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【超級】雷鎚の選定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2" s="86">
        <v>0</v>
      </c>
      <c r="I82">
        <v>39</v>
      </c>
      <c r="J82" s="85" t="s">
        <v>198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4" activePane="bottomLeft" state="frozen"/>
      <selection pane="bottomLeft" activeCell="E15" sqref="E1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28" x14ac:dyDescent="0.15">
      <c r="A2" s="82" t="s">
        <v>197</v>
      </c>
      <c r="B2" s="83">
        <f>floors!$C$2</f>
        <v>30024</v>
      </c>
      <c r="C2" s="84" t="str">
        <f ca="1">VLOOKUP($B2,OFFSET([2]quests!$A$1,0,0,COUNTA([2]quests!$A:$A),MATCH(C$1,[2]quests!$1:$1,0)-MATCH($B$1,[2]quests!$1:$1,0)+1),MATCH(C$1,[2]quests!$1:$1,0)-MATCH($B$1,[2]quests!$1:$1,0)+1,FALSE)</f>
        <v>雷鎚の選定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【中級】雷鎚の選定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1</v>
      </c>
      <c r="I2" s="91">
        <f t="shared" ref="I2:I13" si="0">ROW()-1</f>
        <v>1</v>
      </c>
      <c r="J2" s="87" t="str">
        <f t="shared" ref="J2:J11" si="1">B2&amp;TEXT(I2,"00")</f>
        <v>3002401</v>
      </c>
      <c r="K2" s="85" t="s">
        <v>198</v>
      </c>
      <c r="L2" s="88" t="s">
        <v>199</v>
      </c>
      <c r="M2" s="114" t="s">
        <v>242</v>
      </c>
      <c r="N2" s="57" t="s">
        <v>200</v>
      </c>
    </row>
    <row r="3" spans="1:14" ht="28" x14ac:dyDescent="0.15">
      <c r="A3" s="82" t="s">
        <v>197</v>
      </c>
      <c r="B3" s="83">
        <f>floors!$C$2</f>
        <v>30024</v>
      </c>
      <c r="C3" s="84" t="str">
        <f ca="1">VLOOKUP($B3,OFFSET([2]quests!$A$1,0,0,COUNTA([2]quests!$A:$A),MATCH(C$1,[2]quests!$1:$1,0)-MATCH($B$1,[2]quests!$1:$1,0)+1),MATCH(C$1,[2]quests!$1:$1,0)-MATCH($B$1,[2]quests!$1:$1,0)+1,FALSE)</f>
        <v>雷鎚の選定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【中級】雷鎚の選定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2</v>
      </c>
      <c r="I3" s="91">
        <f t="shared" si="0"/>
        <v>2</v>
      </c>
      <c r="J3" s="87" t="str">
        <f t="shared" si="1"/>
        <v>3002402</v>
      </c>
      <c r="K3" s="85" t="s">
        <v>198</v>
      </c>
      <c r="L3" s="88" t="s">
        <v>199</v>
      </c>
      <c r="M3" s="114" t="s">
        <v>243</v>
      </c>
      <c r="N3" s="57" t="s">
        <v>200</v>
      </c>
    </row>
    <row r="4" spans="1:14" ht="56" x14ac:dyDescent="0.15">
      <c r="A4" s="82" t="s">
        <v>197</v>
      </c>
      <c r="B4" s="83">
        <f>floors!$C$2</f>
        <v>30024</v>
      </c>
      <c r="C4" s="84" t="str">
        <f ca="1">VLOOKUP($B4,OFFSET([2]quests!$A$1,0,0,COUNTA([2]quests!$A:$A),MATCH(C$1,[2]quests!$1:$1,0)-MATCH($B$1,[2]quests!$1:$1,0)+1),MATCH(C$1,[2]quests!$1:$1,0)-MATCH($B$1,[2]quests!$1:$1,0)+1,FALSE)</f>
        <v>雷鎚の選定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【中級】雷鎚の選定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3</v>
      </c>
      <c r="I4" s="91">
        <f t="shared" si="0"/>
        <v>3</v>
      </c>
      <c r="J4" s="87" t="str">
        <f t="shared" si="1"/>
        <v>3002403</v>
      </c>
      <c r="K4" s="85" t="s">
        <v>198</v>
      </c>
      <c r="L4" s="88" t="s">
        <v>199</v>
      </c>
      <c r="M4" s="114" t="s">
        <v>250</v>
      </c>
      <c r="N4" s="57" t="s">
        <v>200</v>
      </c>
    </row>
    <row r="5" spans="1:14" ht="28" x14ac:dyDescent="0.15">
      <c r="A5" s="82" t="s">
        <v>197</v>
      </c>
      <c r="B5" s="83">
        <f>floors!$C$2</f>
        <v>30024</v>
      </c>
      <c r="C5" s="84" t="str">
        <f ca="1">VLOOKUP($B5,OFFSET([2]quests!$A$1,0,0,COUNTA([2]quests!$A:$A),MATCH(C$1,[2]quests!$1:$1,0)-MATCH($B$1,[2]quests!$1:$1,0)+1),MATCH(C$1,[2]quests!$1:$1,0)-MATCH($B$1,[2]quests!$1:$1,0)+1,FALSE)</f>
        <v>雷鎚の選定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【上級】雷鎚の選定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1</v>
      </c>
      <c r="I5" s="91">
        <f t="shared" si="0"/>
        <v>4</v>
      </c>
      <c r="J5" s="87" t="str">
        <f t="shared" si="1"/>
        <v>3002404</v>
      </c>
      <c r="K5" s="85" t="s">
        <v>198</v>
      </c>
      <c r="L5" s="88" t="s">
        <v>199</v>
      </c>
      <c r="M5" s="114" t="s">
        <v>242</v>
      </c>
      <c r="N5" s="57" t="s">
        <v>200</v>
      </c>
    </row>
    <row r="6" spans="1:14" ht="28" x14ac:dyDescent="0.15">
      <c r="A6" s="82" t="s">
        <v>197</v>
      </c>
      <c r="B6" s="83">
        <f>floors!$C$2</f>
        <v>30024</v>
      </c>
      <c r="C6" s="84" t="str">
        <f ca="1">VLOOKUP($B6,OFFSET([2]quests!$A$1,0,0,COUNTA([2]quests!$A:$A),MATCH(C$1,[2]quests!$1:$1,0)-MATCH($B$1,[2]quests!$1:$1,0)+1),MATCH(C$1,[2]quests!$1:$1,0)-MATCH($B$1,[2]quests!$1:$1,0)+1,FALSE)</f>
        <v>雷鎚の選定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【上級】雷鎚の選定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2</v>
      </c>
      <c r="I6" s="91">
        <f t="shared" si="0"/>
        <v>5</v>
      </c>
      <c r="J6" s="87" t="str">
        <f t="shared" si="1"/>
        <v>3002405</v>
      </c>
      <c r="K6" s="85" t="s">
        <v>198</v>
      </c>
      <c r="L6" s="88" t="s">
        <v>199</v>
      </c>
      <c r="M6" s="114" t="s">
        <v>243</v>
      </c>
      <c r="N6" s="57" t="s">
        <v>200</v>
      </c>
    </row>
    <row r="7" spans="1:14" ht="56" x14ac:dyDescent="0.15">
      <c r="A7" s="82" t="s">
        <v>197</v>
      </c>
      <c r="B7" s="83">
        <f>floors!$C$2</f>
        <v>30024</v>
      </c>
      <c r="C7" s="84" t="str">
        <f ca="1">VLOOKUP($B7,OFFSET([2]quests!$A$1,0,0,COUNTA([2]quests!$A:$A),MATCH(C$1,[2]quests!$1:$1,0)-MATCH($B$1,[2]quests!$1:$1,0)+1),MATCH(C$1,[2]quests!$1:$1,0)-MATCH($B$1,[2]quests!$1:$1,0)+1,FALSE)</f>
        <v>雷鎚の選定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【上級】雷鎚の選定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3</v>
      </c>
      <c r="I7" s="91">
        <f t="shared" si="0"/>
        <v>6</v>
      </c>
      <c r="J7" s="87" t="str">
        <f t="shared" si="1"/>
        <v>3002406</v>
      </c>
      <c r="K7" s="85" t="s">
        <v>198</v>
      </c>
      <c r="L7" s="88" t="s">
        <v>199</v>
      </c>
      <c r="M7" s="114" t="s">
        <v>250</v>
      </c>
      <c r="N7" s="57" t="s">
        <v>200</v>
      </c>
    </row>
    <row r="8" spans="1:14" ht="28" x14ac:dyDescent="0.15">
      <c r="A8" s="82" t="s">
        <v>197</v>
      </c>
      <c r="B8" s="83">
        <f>floors!$C$2</f>
        <v>30024</v>
      </c>
      <c r="C8" s="84" t="str">
        <f ca="1">VLOOKUP($B8,OFFSET([2]quests!$A$1,0,0,COUNTA([2]quests!$A:$A),MATCH(C$1,[2]quests!$1:$1,0)-MATCH($B$1,[2]quests!$1:$1,0)+1),MATCH(C$1,[2]quests!$1:$1,0)-MATCH($B$1,[2]quests!$1:$1,0)+1,FALSE)</f>
        <v>雷鎚の選定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5">
        <v>3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【超級】雷鎚の選定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1</v>
      </c>
      <c r="I8" s="91">
        <f t="shared" si="0"/>
        <v>7</v>
      </c>
      <c r="J8" s="87" t="str">
        <f t="shared" si="1"/>
        <v>3002407</v>
      </c>
      <c r="K8" s="85" t="s">
        <v>198</v>
      </c>
      <c r="L8" s="88" t="s">
        <v>199</v>
      </c>
      <c r="M8" s="114" t="s">
        <v>242</v>
      </c>
      <c r="N8" s="57" t="s">
        <v>200</v>
      </c>
    </row>
    <row r="9" spans="1:14" ht="42" x14ac:dyDescent="0.15">
      <c r="A9" s="82" t="s">
        <v>197</v>
      </c>
      <c r="B9" s="83">
        <f>floors!$C$2</f>
        <v>30024</v>
      </c>
      <c r="C9" s="84" t="str">
        <f ca="1">VLOOKUP($B9,OFFSET([2]quests!$A$1,0,0,COUNTA([2]quests!$A:$A),MATCH(C$1,[2]quests!$1:$1,0)-MATCH($B$1,[2]quests!$1:$1,0)+1),MATCH(C$1,[2]quests!$1:$1,0)-MATCH($B$1,[2]quests!$1:$1,0)+1,FALSE)</f>
        <v>雷鎚の選定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5">
        <v>3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【超級】雷鎚の選定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2</v>
      </c>
      <c r="I9" s="91">
        <f t="shared" si="0"/>
        <v>8</v>
      </c>
      <c r="J9" s="87" t="str">
        <f t="shared" si="1"/>
        <v>3002408</v>
      </c>
      <c r="K9" s="85" t="s">
        <v>198</v>
      </c>
      <c r="L9" s="88" t="s">
        <v>199</v>
      </c>
      <c r="M9" s="114" t="s">
        <v>247</v>
      </c>
      <c r="N9" s="57" t="s">
        <v>200</v>
      </c>
    </row>
    <row r="10" spans="1:14" ht="28" x14ac:dyDescent="0.15">
      <c r="A10" s="82" t="s">
        <v>197</v>
      </c>
      <c r="B10" s="83">
        <f>floors!$C$2</f>
        <v>30024</v>
      </c>
      <c r="C10" s="84" t="str">
        <f ca="1">VLOOKUP($B10,OFFSET([2]quests!$A$1,0,0,COUNTA([2]quests!$A:$A),MATCH(C$1,[2]quests!$1:$1,0)-MATCH($B$1,[2]quests!$1:$1,0)+1),MATCH(C$1,[2]quests!$1:$1,0)-MATCH($B$1,[2]quests!$1:$1,0)+1,FALSE)</f>
        <v>雷鎚の選定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5">
        <v>3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【超級】雷鎚の選定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3</v>
      </c>
      <c r="I10" s="91">
        <f t="shared" si="0"/>
        <v>9</v>
      </c>
      <c r="J10" s="87" t="str">
        <f t="shared" si="1"/>
        <v>3002409</v>
      </c>
      <c r="K10" s="85" t="s">
        <v>198</v>
      </c>
      <c r="L10" s="88" t="s">
        <v>199</v>
      </c>
      <c r="M10" s="114" t="s">
        <v>244</v>
      </c>
      <c r="N10" s="57" t="s">
        <v>200</v>
      </c>
    </row>
    <row r="11" spans="1:14" ht="56" x14ac:dyDescent="0.15">
      <c r="A11" s="82" t="s">
        <v>197</v>
      </c>
      <c r="B11" s="83">
        <f>floors!$C$2</f>
        <v>30024</v>
      </c>
      <c r="C11" s="84" t="str">
        <f ca="1">VLOOKUP($B11,OFFSET([2]quests!$A$1,0,0,COUNTA([2]quests!$A:$A),MATCH(C$1,[2]quests!$1:$1,0)-MATCH($B$1,[2]quests!$1:$1,0)+1),MATCH(C$1,[2]quests!$1:$1,0)-MATCH($B$1,[2]quests!$1:$1,0)+1,FALSE)</f>
        <v>雷鎚の選定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5">
        <v>3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【超級】雷鎚の選定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4</v>
      </c>
      <c r="I11" s="91">
        <f t="shared" si="0"/>
        <v>10</v>
      </c>
      <c r="J11" s="87" t="str">
        <f t="shared" si="1"/>
        <v>3002410</v>
      </c>
      <c r="K11" s="85" t="s">
        <v>198</v>
      </c>
      <c r="L11" s="88" t="s">
        <v>199</v>
      </c>
      <c r="M11" s="114" t="s">
        <v>245</v>
      </c>
      <c r="N11" s="57" t="s">
        <v>200</v>
      </c>
    </row>
    <row r="12" spans="1:14" ht="56" x14ac:dyDescent="0.15">
      <c r="A12" s="82" t="s">
        <v>197</v>
      </c>
      <c r="B12" s="83">
        <f>floors!$C$2</f>
        <v>30024</v>
      </c>
      <c r="C12" s="84" t="str">
        <f ca="1">VLOOKUP($B12,OFFSET([2]quests!$A$1,0,0,COUNTA([2]quests!$A:$A),MATCH(C$1,[2]quests!$1:$1,0)-MATCH($B$1,[2]quests!$1:$1,0)+1),MATCH(C$1,[2]quests!$1:$1,0)-MATCH($B$1,[2]quests!$1:$1,0)+1,FALSE)</f>
        <v>雷鎚の選定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5">
        <v>3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【超級】雷鎚の選定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6">
        <v>4</v>
      </c>
      <c r="I12" s="91">
        <f t="shared" si="0"/>
        <v>11</v>
      </c>
      <c r="J12" s="87" t="str">
        <f t="shared" ref="J12" si="2">B12&amp;TEXT(I12,"00")</f>
        <v>3002411</v>
      </c>
      <c r="K12" s="85" t="s">
        <v>128</v>
      </c>
      <c r="L12" s="88" t="s">
        <v>199</v>
      </c>
      <c r="M12" s="114" t="s">
        <v>248</v>
      </c>
      <c r="N12" s="57" t="s">
        <v>200</v>
      </c>
    </row>
    <row r="13" spans="1:14" ht="70" x14ac:dyDescent="0.15">
      <c r="A13" s="82" t="s">
        <v>197</v>
      </c>
      <c r="B13" s="83">
        <f>floors!$C$2</f>
        <v>30024</v>
      </c>
      <c r="C13" s="84" t="str">
        <f ca="1">VLOOKUP($B13,OFFSET([2]quests!$A$1,0,0,COUNTA([2]quests!$A:$A),MATCH(C$1,[2]quests!$1:$1,0)-MATCH($B$1,[2]quests!$1:$1,0)+1),MATCH(C$1,[2]quests!$1:$1,0)-MATCH($B$1,[2]quests!$1:$1,0)+1,FALSE)</f>
        <v>雷鎚の選定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5">
        <v>3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【超級】雷鎚の選定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6">
        <v>4</v>
      </c>
      <c r="I13" s="91">
        <f t="shared" si="0"/>
        <v>12</v>
      </c>
      <c r="J13" s="87" t="str">
        <f t="shared" ref="J13" si="3">B13&amp;TEXT(I13,"00")</f>
        <v>3002412</v>
      </c>
      <c r="K13" s="85" t="s">
        <v>128</v>
      </c>
      <c r="L13" s="88" t="s">
        <v>199</v>
      </c>
      <c r="M13" s="114" t="s">
        <v>253</v>
      </c>
      <c r="N13" s="57" t="s">
        <v>200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2017-03-08T05:46:26Z</dcterms:modified>
</cp:coreProperties>
</file>