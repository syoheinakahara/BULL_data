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0" yWindow="460" windowWidth="28800" windowHeight="16260" tabRatio="963" activeTab="8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awake_materials" sheetId="3" r:id="rId6"/>
    <sheet name="→base値" sheetId="51" r:id="rId7"/>
    <sheet name="ghosts_label" sheetId="56" r:id="rId8"/>
    <sheet name="コスト" sheetId="13" r:id="rId9"/>
    <sheet name="レベル" sheetId="12" r:id="rId10"/>
    <sheet name="経験値" sheetId="10" r:id="rId11"/>
    <sheet name="RC6SV" sheetId="11" r:id="rId12"/>
    <sheet name="ビット" sheetId="15" r:id="rId13"/>
    <sheet name="チェックシート" sheetId="55" r:id="rId14"/>
  </sheets>
  <externalReferences>
    <externalReference r:id="rId15"/>
    <externalReference r:id="rId16"/>
    <externalReference r:id="rId17"/>
    <externalReference r:id="rId18"/>
  </externalReferences>
  <definedNames>
    <definedName name="_xlnm._FilterDatabase" localSheetId="5" hidden="1">awake_materials!$B$1:$H$1</definedName>
    <definedName name="_xlnm._FilterDatabase" localSheetId="3" hidden="1">crash_skills!$A$1:$J$1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4">#REF!</definedName>
    <definedName name="base_character_id">awake_materials!$B$1</definedName>
    <definedName name="character_id" localSheetId="4">#REF!</definedName>
    <definedName name="character_id">units!$A$1</definedName>
    <definedName name="LIMIT">INDIRECT("Definitions.xlsm!LIMIT")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0" i="23" l="1"/>
  <c r="BR10" i="23"/>
  <c r="H3" i="23"/>
  <c r="BR3" i="23"/>
  <c r="H4" i="23"/>
  <c r="BR4" i="23"/>
  <c r="H5" i="23"/>
  <c r="BR5" i="23"/>
  <c r="H6" i="23"/>
  <c r="BR6" i="23"/>
  <c r="H7" i="23"/>
  <c r="BR7" i="23"/>
  <c r="H8" i="23"/>
  <c r="BR8" i="23"/>
  <c r="H9" i="23"/>
  <c r="BR9" i="23"/>
  <c r="H11" i="23"/>
  <c r="BR11" i="23"/>
  <c r="H12" i="23"/>
  <c r="BR12" i="23"/>
  <c r="H13" i="23"/>
  <c r="BR13" i="23"/>
  <c r="H14" i="23"/>
  <c r="BR14" i="23"/>
  <c r="H15" i="23"/>
  <c r="BR15" i="23"/>
  <c r="H16" i="23"/>
  <c r="BR16" i="23"/>
  <c r="H17" i="23"/>
  <c r="BR17" i="23"/>
  <c r="H18" i="23"/>
  <c r="BR18" i="23"/>
  <c r="H19" i="23"/>
  <c r="BR19" i="23"/>
  <c r="H2" i="23"/>
  <c r="BR2" i="23"/>
  <c r="G3" i="52"/>
  <c r="G4" i="52"/>
  <c r="G5" i="52"/>
  <c r="G6" i="52"/>
  <c r="G7" i="52"/>
  <c r="G8" i="52"/>
  <c r="G9" i="52"/>
  <c r="G10" i="52"/>
  <c r="G11" i="52"/>
  <c r="G12" i="52"/>
  <c r="G13" i="52"/>
  <c r="G14" i="52"/>
  <c r="G15" i="52"/>
  <c r="E61" i="54"/>
  <c r="B9" i="23"/>
  <c r="B3" i="23"/>
  <c r="B61" i="54"/>
  <c r="E60" i="54"/>
  <c r="B60" i="54"/>
  <c r="E59" i="54"/>
  <c r="B59" i="54"/>
  <c r="E58" i="54"/>
  <c r="B58" i="54"/>
  <c r="E57" i="54"/>
  <c r="B8" i="23"/>
  <c r="B2" i="23"/>
  <c r="B57" i="54"/>
  <c r="E56" i="54"/>
  <c r="B56" i="54"/>
  <c r="E55" i="54"/>
  <c r="B55" i="54"/>
  <c r="G33" i="3"/>
  <c r="E33" i="3"/>
  <c r="D33" i="3"/>
  <c r="C33" i="3"/>
  <c r="A33" i="3"/>
  <c r="G32" i="3"/>
  <c r="E32" i="3"/>
  <c r="D32" i="3"/>
  <c r="C32" i="3"/>
  <c r="A32" i="3"/>
  <c r="G31" i="3"/>
  <c r="E31" i="3"/>
  <c r="D31" i="3"/>
  <c r="C31" i="3"/>
  <c r="A31" i="3"/>
  <c r="B48" i="54"/>
  <c r="E54" i="54"/>
  <c r="B7" i="23"/>
  <c r="B54" i="54"/>
  <c r="E53" i="54"/>
  <c r="B53" i="54"/>
  <c r="E52" i="54"/>
  <c r="B52" i="54"/>
  <c r="E51" i="54"/>
  <c r="B51" i="54"/>
  <c r="E50" i="54"/>
  <c r="B6" i="23"/>
  <c r="B50" i="54"/>
  <c r="E49" i="54"/>
  <c r="B49" i="54"/>
  <c r="E48" i="54"/>
  <c r="B5" i="23"/>
  <c r="B4" i="23"/>
  <c r="E47" i="54"/>
  <c r="B47" i="54"/>
  <c r="E46" i="54"/>
  <c r="B46" i="54"/>
  <c r="E45" i="54"/>
  <c r="B45" i="54"/>
  <c r="E44" i="54"/>
  <c r="B44" i="54"/>
  <c r="E43" i="54"/>
  <c r="B43" i="54"/>
  <c r="E42" i="54"/>
  <c r="B42" i="54"/>
  <c r="E41" i="54"/>
  <c r="B41" i="54"/>
  <c r="F28" i="3"/>
  <c r="F29" i="3"/>
  <c r="F30" i="3"/>
  <c r="G30" i="3"/>
  <c r="E30" i="3"/>
  <c r="D30" i="3"/>
  <c r="C30" i="3"/>
  <c r="A30" i="3"/>
  <c r="G29" i="3"/>
  <c r="E29" i="3"/>
  <c r="D29" i="3"/>
  <c r="C29" i="3"/>
  <c r="A29" i="3"/>
  <c r="G28" i="3"/>
  <c r="E28" i="3"/>
  <c r="D28" i="3"/>
  <c r="C28" i="3"/>
  <c r="A28" i="3"/>
  <c r="G27" i="3"/>
  <c r="E27" i="3"/>
  <c r="D27" i="3"/>
  <c r="C27" i="3"/>
  <c r="A27" i="3"/>
  <c r="G26" i="3"/>
  <c r="E26" i="3"/>
  <c r="D26" i="3"/>
  <c r="C26" i="3"/>
  <c r="A26" i="3"/>
  <c r="G25" i="3"/>
  <c r="E25" i="3"/>
  <c r="D25" i="3"/>
  <c r="C25" i="3"/>
  <c r="A25" i="3"/>
  <c r="G24" i="3"/>
  <c r="E24" i="3"/>
  <c r="D24" i="3"/>
  <c r="B16" i="23"/>
  <c r="C24" i="3"/>
  <c r="A24" i="3"/>
  <c r="E40" i="54"/>
  <c r="B19" i="23"/>
  <c r="B40" i="54"/>
  <c r="E39" i="54"/>
  <c r="B39" i="54"/>
  <c r="E38" i="54"/>
  <c r="B38" i="54"/>
  <c r="E37" i="54"/>
  <c r="B37" i="54"/>
  <c r="E36" i="54"/>
  <c r="B18" i="23"/>
  <c r="B36" i="54"/>
  <c r="E35" i="54"/>
  <c r="B35" i="54"/>
  <c r="E34" i="54"/>
  <c r="B34" i="54"/>
  <c r="E3" i="54"/>
  <c r="E4" i="54"/>
  <c r="E5" i="54"/>
  <c r="E6" i="54"/>
  <c r="E7" i="54"/>
  <c r="E8" i="54"/>
  <c r="E9" i="54"/>
  <c r="E10" i="54"/>
  <c r="E11" i="54"/>
  <c r="E12" i="54"/>
  <c r="E13" i="54"/>
  <c r="E14" i="54"/>
  <c r="E15" i="54"/>
  <c r="E16" i="54"/>
  <c r="E17" i="54"/>
  <c r="E18" i="54"/>
  <c r="E19" i="54"/>
  <c r="E20" i="54"/>
  <c r="E21" i="54"/>
  <c r="E22" i="54"/>
  <c r="E23" i="54"/>
  <c r="E24" i="54"/>
  <c r="E25" i="54"/>
  <c r="E26" i="54"/>
  <c r="E27" i="54"/>
  <c r="E28" i="54"/>
  <c r="E29" i="54"/>
  <c r="E30" i="54"/>
  <c r="E31" i="54"/>
  <c r="E32" i="54"/>
  <c r="E33" i="54"/>
  <c r="E2" i="54"/>
  <c r="B10" i="23"/>
  <c r="B2" i="54"/>
  <c r="B3" i="54"/>
  <c r="B11" i="23"/>
  <c r="B4" i="54"/>
  <c r="B5" i="54"/>
  <c r="B6" i="54"/>
  <c r="B12" i="23"/>
  <c r="B7" i="54"/>
  <c r="B8" i="54"/>
  <c r="B9" i="54"/>
  <c r="B10" i="54"/>
  <c r="B13" i="23"/>
  <c r="B11" i="54"/>
  <c r="B12" i="54"/>
  <c r="B14" i="23"/>
  <c r="B13" i="54"/>
  <c r="B14" i="54"/>
  <c r="B15" i="54"/>
  <c r="B15" i="23"/>
  <c r="B16" i="54"/>
  <c r="B17" i="54"/>
  <c r="B18" i="54"/>
  <c r="B19" i="54"/>
  <c r="B20" i="54"/>
  <c r="B21" i="54"/>
  <c r="B22" i="54"/>
  <c r="B17" i="23"/>
  <c r="B23" i="54"/>
  <c r="B24" i="54"/>
  <c r="B25" i="54"/>
  <c r="B26" i="54"/>
  <c r="B27" i="54"/>
  <c r="B28" i="54"/>
  <c r="B29" i="54"/>
  <c r="B30" i="54"/>
  <c r="B31" i="54"/>
  <c r="B32" i="54"/>
  <c r="B33" i="54"/>
  <c r="E14" i="52"/>
  <c r="E13" i="52"/>
  <c r="G16" i="23"/>
  <c r="BC16" i="23"/>
  <c r="BD16" i="23"/>
  <c r="Q16" i="23"/>
  <c r="V16" i="23"/>
  <c r="W16" i="23"/>
  <c r="AD16" i="23"/>
  <c r="I16" i="23"/>
  <c r="M16" i="23"/>
  <c r="BN16" i="23"/>
  <c r="G17" i="23"/>
  <c r="BC17" i="23"/>
  <c r="BD17" i="23"/>
  <c r="Q17" i="23"/>
  <c r="V17" i="23"/>
  <c r="W17" i="23"/>
  <c r="AD17" i="23"/>
  <c r="I17" i="23"/>
  <c r="M17" i="23"/>
  <c r="BN17" i="23"/>
  <c r="F16" i="53"/>
  <c r="D16" i="53"/>
  <c r="A16" i="52"/>
  <c r="J16" i="52"/>
  <c r="A17" i="52"/>
  <c r="J17" i="52"/>
  <c r="F21" i="3"/>
  <c r="F22" i="3"/>
  <c r="F23" i="3"/>
  <c r="G23" i="3"/>
  <c r="E23" i="3"/>
  <c r="D23" i="3"/>
  <c r="C23" i="3"/>
  <c r="A23" i="3"/>
  <c r="G22" i="3"/>
  <c r="E22" i="3"/>
  <c r="D22" i="3"/>
  <c r="C22" i="3"/>
  <c r="A22" i="3"/>
  <c r="G21" i="3"/>
  <c r="E21" i="3"/>
  <c r="D21" i="3"/>
  <c r="C21" i="3"/>
  <c r="A21" i="3"/>
  <c r="G20" i="3"/>
  <c r="E20" i="3"/>
  <c r="D20" i="3"/>
  <c r="C20" i="3"/>
  <c r="A20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" i="3"/>
  <c r="G19" i="3"/>
  <c r="E19" i="3"/>
  <c r="D19" i="3"/>
  <c r="A19" i="3"/>
  <c r="G18" i="3"/>
  <c r="E18" i="3"/>
  <c r="D18" i="3"/>
  <c r="A18" i="3"/>
  <c r="G17" i="3"/>
  <c r="E17" i="3"/>
  <c r="D17" i="3"/>
  <c r="A17" i="3"/>
  <c r="G16" i="3"/>
  <c r="E16" i="3"/>
  <c r="D16" i="3"/>
  <c r="A16" i="3"/>
  <c r="G15" i="3"/>
  <c r="E15" i="3"/>
  <c r="D15" i="3"/>
  <c r="A15" i="3"/>
  <c r="G14" i="3"/>
  <c r="E14" i="3"/>
  <c r="D14" i="3"/>
  <c r="A14" i="3"/>
  <c r="G13" i="3"/>
  <c r="E13" i="3"/>
  <c r="D13" i="3"/>
  <c r="A13" i="3"/>
  <c r="G12" i="3"/>
  <c r="E12" i="3"/>
  <c r="D12" i="3"/>
  <c r="A12" i="3"/>
  <c r="G11" i="3"/>
  <c r="E11" i="3"/>
  <c r="D11" i="3"/>
  <c r="A11" i="3"/>
  <c r="G10" i="3"/>
  <c r="E10" i="3"/>
  <c r="D10" i="3"/>
  <c r="A10" i="3"/>
  <c r="G9" i="3"/>
  <c r="E9" i="3"/>
  <c r="D9" i="3"/>
  <c r="A9" i="3"/>
  <c r="G8" i="3"/>
  <c r="E8" i="3"/>
  <c r="D8" i="3"/>
  <c r="A8" i="3"/>
  <c r="G7" i="3"/>
  <c r="E7" i="3"/>
  <c r="D7" i="3"/>
  <c r="A7" i="3"/>
  <c r="G6" i="3"/>
  <c r="E6" i="3"/>
  <c r="D6" i="3"/>
  <c r="A6" i="3"/>
  <c r="G5" i="3"/>
  <c r="E5" i="3"/>
  <c r="D5" i="3"/>
  <c r="A5" i="3"/>
  <c r="G4" i="3"/>
  <c r="E4" i="3"/>
  <c r="D4" i="3"/>
  <c r="A4" i="3"/>
  <c r="G3" i="3"/>
  <c r="E3" i="3"/>
  <c r="D3" i="3"/>
  <c r="A3" i="3"/>
  <c r="G2" i="3"/>
  <c r="E2" i="3"/>
  <c r="D2" i="3"/>
  <c r="A2" i="3"/>
  <c r="G10" i="23"/>
  <c r="A10" i="53"/>
  <c r="G10" i="53"/>
  <c r="A3" i="53"/>
  <c r="A4" i="53"/>
  <c r="A5" i="53"/>
  <c r="A6" i="53"/>
  <c r="A7" i="53"/>
  <c r="A8" i="53"/>
  <c r="A9" i="53"/>
  <c r="A11" i="53"/>
  <c r="A12" i="53"/>
  <c r="A13" i="53"/>
  <c r="A14" i="53"/>
  <c r="A15" i="53"/>
  <c r="A16" i="53"/>
  <c r="A17" i="53"/>
  <c r="A18" i="53"/>
  <c r="A19" i="53"/>
  <c r="AT10" i="23"/>
  <c r="A2" i="53"/>
  <c r="AU10" i="23"/>
  <c r="AV10" i="23"/>
  <c r="AW10" i="23"/>
  <c r="G11" i="53"/>
  <c r="AT11" i="23"/>
  <c r="AU11" i="23"/>
  <c r="AV11" i="23"/>
  <c r="AW11" i="23"/>
  <c r="G12" i="53"/>
  <c r="AT12" i="23"/>
  <c r="AU12" i="23"/>
  <c r="AV12" i="23"/>
  <c r="AW12" i="23"/>
  <c r="G13" i="53"/>
  <c r="AT13" i="23"/>
  <c r="AU13" i="23"/>
  <c r="AV13" i="23"/>
  <c r="AW13" i="23"/>
  <c r="G14" i="53"/>
  <c r="AT14" i="23"/>
  <c r="AU14" i="23"/>
  <c r="AV14" i="23"/>
  <c r="AW14" i="23"/>
  <c r="G15" i="53"/>
  <c r="AT15" i="23"/>
  <c r="AU15" i="23"/>
  <c r="AV15" i="23"/>
  <c r="AW15" i="23"/>
  <c r="G16" i="53"/>
  <c r="AT16" i="23"/>
  <c r="AU16" i="23"/>
  <c r="AV16" i="23"/>
  <c r="AW16" i="23"/>
  <c r="G17" i="53"/>
  <c r="AT17" i="23"/>
  <c r="AU17" i="23"/>
  <c r="AV17" i="23"/>
  <c r="AW17" i="23"/>
  <c r="G18" i="53"/>
  <c r="AT18" i="23"/>
  <c r="AU18" i="23"/>
  <c r="AV18" i="23"/>
  <c r="AW18" i="23"/>
  <c r="G19" i="53"/>
  <c r="AT19" i="23"/>
  <c r="AU19" i="23"/>
  <c r="AV19" i="23"/>
  <c r="AW19" i="23"/>
  <c r="A3" i="52"/>
  <c r="A4" i="52"/>
  <c r="A5" i="52"/>
  <c r="A6" i="52"/>
  <c r="A7" i="52"/>
  <c r="A8" i="52"/>
  <c r="A9" i="52"/>
  <c r="A10" i="52"/>
  <c r="A11" i="52"/>
  <c r="A12" i="52"/>
  <c r="A13" i="52"/>
  <c r="A14" i="52"/>
  <c r="A15" i="52"/>
  <c r="AP11" i="23"/>
  <c r="A2" i="52"/>
  <c r="AR11" i="23"/>
  <c r="AP10" i="23"/>
  <c r="AS10" i="23"/>
  <c r="AS11" i="23"/>
  <c r="AP12" i="23"/>
  <c r="AS12" i="23"/>
  <c r="AP13" i="23"/>
  <c r="AS13" i="23"/>
  <c r="AP14" i="23"/>
  <c r="AS14" i="23"/>
  <c r="AP15" i="23"/>
  <c r="AS15" i="23"/>
  <c r="AP16" i="23"/>
  <c r="AS16" i="23"/>
  <c r="AP17" i="23"/>
  <c r="AS17" i="23"/>
  <c r="AP18" i="23"/>
  <c r="AS18" i="23"/>
  <c r="AP19" i="23"/>
  <c r="AS19" i="23"/>
  <c r="AR10" i="23"/>
  <c r="AR12" i="23"/>
  <c r="AR13" i="23"/>
  <c r="AR14" i="23"/>
  <c r="AR15" i="23"/>
  <c r="AR16" i="23"/>
  <c r="AR17" i="23"/>
  <c r="AR18" i="23"/>
  <c r="AR19" i="23"/>
  <c r="J10" i="52"/>
  <c r="AQ10" i="23"/>
  <c r="J11" i="52"/>
  <c r="AQ11" i="23"/>
  <c r="J12" i="52"/>
  <c r="AQ12" i="23"/>
  <c r="J13" i="52"/>
  <c r="AQ13" i="23"/>
  <c r="J14" i="52"/>
  <c r="AQ14" i="23"/>
  <c r="J15" i="52"/>
  <c r="AQ15" i="23"/>
  <c r="AQ16" i="23"/>
  <c r="AQ17" i="23"/>
  <c r="AQ18" i="23"/>
  <c r="AQ19" i="23"/>
  <c r="G3" i="53"/>
  <c r="AE18" i="23"/>
  <c r="AE16" i="23"/>
  <c r="AE13" i="23"/>
  <c r="AE14" i="23"/>
  <c r="AE11" i="23"/>
  <c r="AE10" i="23"/>
  <c r="AE4" i="23"/>
  <c r="AE6" i="23"/>
  <c r="AE8" i="23"/>
  <c r="AE2" i="23"/>
  <c r="E3" i="53"/>
  <c r="G4" i="53"/>
  <c r="E4" i="53"/>
  <c r="G5" i="53"/>
  <c r="E5" i="53"/>
  <c r="G6" i="53"/>
  <c r="E6" i="53"/>
  <c r="G7" i="53"/>
  <c r="E7" i="53"/>
  <c r="G8" i="53"/>
  <c r="E8" i="53"/>
  <c r="G9" i="53"/>
  <c r="E9" i="53"/>
  <c r="E10" i="53"/>
  <c r="E11" i="53"/>
  <c r="E12" i="53"/>
  <c r="E13" i="53"/>
  <c r="E14" i="53"/>
  <c r="E15" i="53"/>
  <c r="E16" i="53"/>
  <c r="E17" i="53"/>
  <c r="E18" i="53"/>
  <c r="E19" i="53"/>
  <c r="G2" i="53"/>
  <c r="E2" i="53"/>
  <c r="AT3" i="23"/>
  <c r="AT4" i="23"/>
  <c r="AT5" i="23"/>
  <c r="AT6" i="23"/>
  <c r="AT7" i="23"/>
  <c r="AT8" i="23"/>
  <c r="AT9" i="23"/>
  <c r="AT2" i="23"/>
  <c r="AP3" i="23"/>
  <c r="AP4" i="23"/>
  <c r="AP5" i="23"/>
  <c r="AP6" i="23"/>
  <c r="AP7" i="23"/>
  <c r="AP8" i="23"/>
  <c r="AP9" i="23"/>
  <c r="AP2" i="23"/>
  <c r="J3" i="52"/>
  <c r="E3" i="52"/>
  <c r="H3" i="52"/>
  <c r="J4" i="52"/>
  <c r="E4" i="52"/>
  <c r="H4" i="52"/>
  <c r="J5" i="52"/>
  <c r="E5" i="52"/>
  <c r="H5" i="52"/>
  <c r="J6" i="52"/>
  <c r="E6" i="52"/>
  <c r="H6" i="52"/>
  <c r="J7" i="52"/>
  <c r="E7" i="52"/>
  <c r="H7" i="52"/>
  <c r="J8" i="52"/>
  <c r="E8" i="52"/>
  <c r="H8" i="52"/>
  <c r="J9" i="52"/>
  <c r="E9" i="52"/>
  <c r="H9" i="52"/>
  <c r="E10" i="52"/>
  <c r="H10" i="52"/>
  <c r="E11" i="52"/>
  <c r="H11" i="52"/>
  <c r="E12" i="52"/>
  <c r="H12" i="52"/>
  <c r="H13" i="52"/>
  <c r="H14" i="52"/>
  <c r="E15" i="52"/>
  <c r="H15" i="52"/>
  <c r="E16" i="52"/>
  <c r="G16" i="52"/>
  <c r="H16" i="52"/>
  <c r="E17" i="52"/>
  <c r="G17" i="52"/>
  <c r="H17" i="52"/>
  <c r="J2" i="52"/>
  <c r="H2" i="52"/>
  <c r="E2" i="52"/>
  <c r="G19" i="23"/>
  <c r="BC19" i="23"/>
  <c r="BD19" i="23"/>
  <c r="Q19" i="23"/>
  <c r="V19" i="23"/>
  <c r="W19" i="23"/>
  <c r="AD19" i="23"/>
  <c r="I19" i="23"/>
  <c r="M19" i="23"/>
  <c r="BN19" i="23"/>
  <c r="U19" i="23"/>
  <c r="AC19" i="23"/>
  <c r="L19" i="23"/>
  <c r="BM19" i="23"/>
  <c r="T19" i="23"/>
  <c r="AB19" i="23"/>
  <c r="K19" i="23"/>
  <c r="BL19" i="23"/>
  <c r="S19" i="23"/>
  <c r="AA19" i="23"/>
  <c r="J19" i="23"/>
  <c r="BK19" i="23"/>
  <c r="G18" i="23"/>
  <c r="BC18" i="23"/>
  <c r="BE19" i="23"/>
  <c r="BJ19" i="23"/>
  <c r="BI19" i="23"/>
  <c r="BH19" i="23"/>
  <c r="BG19" i="23"/>
  <c r="I18" i="23"/>
  <c r="J18" i="23"/>
  <c r="BF19" i="23"/>
  <c r="AX19" i="23"/>
  <c r="AN19" i="23"/>
  <c r="AM19" i="23"/>
  <c r="AL19" i="23"/>
  <c r="AK19" i="23"/>
  <c r="AI19" i="23"/>
  <c r="AG18" i="23"/>
  <c r="AG19" i="23"/>
  <c r="AH19" i="23"/>
  <c r="AF19" i="23"/>
  <c r="Y19" i="23"/>
  <c r="Z19" i="23"/>
  <c r="X19" i="23"/>
  <c r="R19" i="23"/>
  <c r="P19" i="23"/>
  <c r="O19" i="23"/>
  <c r="N19" i="23"/>
  <c r="F19" i="23"/>
  <c r="E19" i="23"/>
  <c r="D19" i="23"/>
  <c r="C19" i="23"/>
  <c r="BD18" i="23"/>
  <c r="Q18" i="23"/>
  <c r="V18" i="23"/>
  <c r="W18" i="23"/>
  <c r="AD18" i="23"/>
  <c r="M18" i="23"/>
  <c r="BN18" i="23"/>
  <c r="U18" i="23"/>
  <c r="AC18" i="23"/>
  <c r="L18" i="23"/>
  <c r="BM18" i="23"/>
  <c r="T18" i="23"/>
  <c r="AB18" i="23"/>
  <c r="K18" i="23"/>
  <c r="BL18" i="23"/>
  <c r="S18" i="23"/>
  <c r="AA18" i="23"/>
  <c r="BK18" i="23"/>
  <c r="BE18" i="23"/>
  <c r="BJ18" i="23"/>
  <c r="BI18" i="23"/>
  <c r="BH18" i="23"/>
  <c r="BG18" i="23"/>
  <c r="BF18" i="23"/>
  <c r="AX18" i="23"/>
  <c r="AN18" i="23"/>
  <c r="AM18" i="23"/>
  <c r="AL18" i="23"/>
  <c r="AK18" i="23"/>
  <c r="AI18" i="23"/>
  <c r="AH18" i="23"/>
  <c r="AF18" i="23"/>
  <c r="Y18" i="23"/>
  <c r="Z18" i="23"/>
  <c r="X18" i="23"/>
  <c r="R18" i="23"/>
  <c r="P18" i="23"/>
  <c r="O18" i="23"/>
  <c r="N18" i="23"/>
  <c r="F18" i="23"/>
  <c r="E18" i="23"/>
  <c r="D18" i="23"/>
  <c r="C18" i="23"/>
  <c r="U17" i="23"/>
  <c r="AC17" i="23"/>
  <c r="L17" i="23"/>
  <c r="BM17" i="23"/>
  <c r="T17" i="23"/>
  <c r="AB17" i="23"/>
  <c r="K17" i="23"/>
  <c r="BL17" i="23"/>
  <c r="S17" i="23"/>
  <c r="AA17" i="23"/>
  <c r="J17" i="23"/>
  <c r="BK17" i="23"/>
  <c r="BE17" i="23"/>
  <c r="BJ17" i="23"/>
  <c r="BI17" i="23"/>
  <c r="BH17" i="23"/>
  <c r="BG17" i="23"/>
  <c r="J16" i="23"/>
  <c r="BF17" i="23"/>
  <c r="AX17" i="23"/>
  <c r="AN17" i="23"/>
  <c r="AM17" i="23"/>
  <c r="AL17" i="23"/>
  <c r="AK17" i="23"/>
  <c r="AI17" i="23"/>
  <c r="AG16" i="23"/>
  <c r="AG17" i="23"/>
  <c r="AH17" i="23"/>
  <c r="AF17" i="23"/>
  <c r="Y17" i="23"/>
  <c r="Z17" i="23"/>
  <c r="X17" i="23"/>
  <c r="R17" i="23"/>
  <c r="P17" i="23"/>
  <c r="O17" i="23"/>
  <c r="N17" i="23"/>
  <c r="F17" i="23"/>
  <c r="E17" i="23"/>
  <c r="D17" i="23"/>
  <c r="C17" i="23"/>
  <c r="U16" i="23"/>
  <c r="AC16" i="23"/>
  <c r="L16" i="23"/>
  <c r="BM16" i="23"/>
  <c r="T16" i="23"/>
  <c r="AB16" i="23"/>
  <c r="K16" i="23"/>
  <c r="BL16" i="23"/>
  <c r="S16" i="23"/>
  <c r="AA16" i="23"/>
  <c r="BK16" i="23"/>
  <c r="BE16" i="23"/>
  <c r="BJ16" i="23"/>
  <c r="BI16" i="23"/>
  <c r="BH16" i="23"/>
  <c r="BG16" i="23"/>
  <c r="BF16" i="23"/>
  <c r="AX16" i="23"/>
  <c r="AN16" i="23"/>
  <c r="AM16" i="23"/>
  <c r="AL16" i="23"/>
  <c r="AK16" i="23"/>
  <c r="AI16" i="23"/>
  <c r="AH16" i="23"/>
  <c r="AF16" i="23"/>
  <c r="Y16" i="23"/>
  <c r="Z16" i="23"/>
  <c r="X16" i="23"/>
  <c r="R16" i="23"/>
  <c r="P16" i="23"/>
  <c r="O16" i="23"/>
  <c r="N16" i="23"/>
  <c r="F16" i="23"/>
  <c r="E16" i="23"/>
  <c r="D16" i="23"/>
  <c r="C16" i="23"/>
  <c r="G15" i="23"/>
  <c r="BC15" i="23"/>
  <c r="BD15" i="23"/>
  <c r="Q15" i="23"/>
  <c r="V15" i="23"/>
  <c r="W15" i="23"/>
  <c r="AD15" i="23"/>
  <c r="I15" i="23"/>
  <c r="M15" i="23"/>
  <c r="BN15" i="23"/>
  <c r="U15" i="23"/>
  <c r="AC15" i="23"/>
  <c r="L15" i="23"/>
  <c r="BM15" i="23"/>
  <c r="T15" i="23"/>
  <c r="AB15" i="23"/>
  <c r="K15" i="23"/>
  <c r="BL15" i="23"/>
  <c r="S15" i="23"/>
  <c r="AA15" i="23"/>
  <c r="J15" i="23"/>
  <c r="BK15" i="23"/>
  <c r="G14" i="23"/>
  <c r="BC14" i="23"/>
  <c r="BE15" i="23"/>
  <c r="BJ15" i="23"/>
  <c r="BI15" i="23"/>
  <c r="BH15" i="23"/>
  <c r="BG15" i="23"/>
  <c r="I14" i="23"/>
  <c r="J14" i="23"/>
  <c r="BF15" i="23"/>
  <c r="AX15" i="23"/>
  <c r="AN15" i="23"/>
  <c r="AM15" i="23"/>
  <c r="AL15" i="23"/>
  <c r="AK15" i="23"/>
  <c r="AI15" i="23"/>
  <c r="AG13" i="23"/>
  <c r="AG14" i="23"/>
  <c r="AG15" i="23"/>
  <c r="AH15" i="23"/>
  <c r="AF15" i="23"/>
  <c r="Y15" i="23"/>
  <c r="Z15" i="23"/>
  <c r="X15" i="23"/>
  <c r="R15" i="23"/>
  <c r="P15" i="23"/>
  <c r="O15" i="23"/>
  <c r="N15" i="23"/>
  <c r="F15" i="23"/>
  <c r="E15" i="23"/>
  <c r="D15" i="23"/>
  <c r="C15" i="23"/>
  <c r="BD14" i="23"/>
  <c r="Q14" i="23"/>
  <c r="V14" i="23"/>
  <c r="W14" i="23"/>
  <c r="AD14" i="23"/>
  <c r="M14" i="23"/>
  <c r="BN14" i="23"/>
  <c r="U14" i="23"/>
  <c r="AC14" i="23"/>
  <c r="L14" i="23"/>
  <c r="BM14" i="23"/>
  <c r="T14" i="23"/>
  <c r="AB14" i="23"/>
  <c r="K14" i="23"/>
  <c r="BL14" i="23"/>
  <c r="S14" i="23"/>
  <c r="AA14" i="23"/>
  <c r="BK14" i="23"/>
  <c r="G13" i="23"/>
  <c r="BC13" i="23"/>
  <c r="BE14" i="23"/>
  <c r="BJ14" i="23"/>
  <c r="BI14" i="23"/>
  <c r="BH14" i="23"/>
  <c r="BG14" i="23"/>
  <c r="I13" i="23"/>
  <c r="J13" i="23"/>
  <c r="BF14" i="23"/>
  <c r="AX14" i="23"/>
  <c r="AN14" i="23"/>
  <c r="AM14" i="23"/>
  <c r="AL14" i="23"/>
  <c r="AK14" i="23"/>
  <c r="AI14" i="23"/>
  <c r="AH14" i="23"/>
  <c r="AF14" i="23"/>
  <c r="Y14" i="23"/>
  <c r="Z14" i="23"/>
  <c r="X14" i="23"/>
  <c r="R14" i="23"/>
  <c r="P14" i="23"/>
  <c r="O14" i="23"/>
  <c r="N14" i="23"/>
  <c r="F14" i="23"/>
  <c r="E14" i="23"/>
  <c r="D14" i="23"/>
  <c r="C14" i="23"/>
  <c r="BD13" i="23"/>
  <c r="Q13" i="23"/>
  <c r="V13" i="23"/>
  <c r="W13" i="23"/>
  <c r="AD13" i="23"/>
  <c r="M13" i="23"/>
  <c r="BN13" i="23"/>
  <c r="U13" i="23"/>
  <c r="AC13" i="23"/>
  <c r="L13" i="23"/>
  <c r="BM13" i="23"/>
  <c r="T13" i="23"/>
  <c r="AB13" i="23"/>
  <c r="K13" i="23"/>
  <c r="BL13" i="23"/>
  <c r="S13" i="23"/>
  <c r="AA13" i="23"/>
  <c r="BK13" i="23"/>
  <c r="BE13" i="23"/>
  <c r="BJ13" i="23"/>
  <c r="BI13" i="23"/>
  <c r="BH13" i="23"/>
  <c r="BG13" i="23"/>
  <c r="BF13" i="23"/>
  <c r="AX13" i="23"/>
  <c r="AN13" i="23"/>
  <c r="AM13" i="23"/>
  <c r="AL13" i="23"/>
  <c r="AK13" i="23"/>
  <c r="AI13" i="23"/>
  <c r="AH13" i="23"/>
  <c r="AF13" i="23"/>
  <c r="Y13" i="23"/>
  <c r="Z13" i="23"/>
  <c r="X13" i="23"/>
  <c r="R13" i="23"/>
  <c r="P13" i="23"/>
  <c r="O13" i="23"/>
  <c r="N13" i="23"/>
  <c r="F13" i="23"/>
  <c r="E13" i="23"/>
  <c r="D13" i="23"/>
  <c r="C13" i="23"/>
  <c r="G12" i="23"/>
  <c r="BC12" i="23"/>
  <c r="BD12" i="23"/>
  <c r="Q12" i="23"/>
  <c r="V12" i="23"/>
  <c r="W12" i="23"/>
  <c r="AD12" i="23"/>
  <c r="I12" i="23"/>
  <c r="M12" i="23"/>
  <c r="BN12" i="23"/>
  <c r="U12" i="23"/>
  <c r="AC12" i="23"/>
  <c r="L12" i="23"/>
  <c r="BM12" i="23"/>
  <c r="T12" i="23"/>
  <c r="AB12" i="23"/>
  <c r="K12" i="23"/>
  <c r="BL12" i="23"/>
  <c r="S12" i="23"/>
  <c r="AA12" i="23"/>
  <c r="J12" i="23"/>
  <c r="BK12" i="23"/>
  <c r="G11" i="23"/>
  <c r="BC11" i="23"/>
  <c r="BE12" i="23"/>
  <c r="BJ12" i="23"/>
  <c r="BI12" i="23"/>
  <c r="BH12" i="23"/>
  <c r="BG12" i="23"/>
  <c r="I11" i="23"/>
  <c r="J11" i="23"/>
  <c r="BF12" i="23"/>
  <c r="AX12" i="23"/>
  <c r="AN12" i="23"/>
  <c r="AM12" i="23"/>
  <c r="AL12" i="23"/>
  <c r="AK12" i="23"/>
  <c r="AI12" i="23"/>
  <c r="AG10" i="23"/>
  <c r="AG11" i="23"/>
  <c r="AG12" i="23"/>
  <c r="AH12" i="23"/>
  <c r="AF12" i="23"/>
  <c r="Y12" i="23"/>
  <c r="Z12" i="23"/>
  <c r="X12" i="23"/>
  <c r="R12" i="23"/>
  <c r="P12" i="23"/>
  <c r="O12" i="23"/>
  <c r="N12" i="23"/>
  <c r="F12" i="23"/>
  <c r="E12" i="23"/>
  <c r="D12" i="23"/>
  <c r="C12" i="23"/>
  <c r="BD11" i="23"/>
  <c r="Q11" i="23"/>
  <c r="V11" i="23"/>
  <c r="W11" i="23"/>
  <c r="AD11" i="23"/>
  <c r="M11" i="23"/>
  <c r="BN11" i="23"/>
  <c r="U11" i="23"/>
  <c r="AC11" i="23"/>
  <c r="L11" i="23"/>
  <c r="BM11" i="23"/>
  <c r="T11" i="23"/>
  <c r="AB11" i="23"/>
  <c r="K11" i="23"/>
  <c r="BL11" i="23"/>
  <c r="S11" i="23"/>
  <c r="AA11" i="23"/>
  <c r="BK11" i="23"/>
  <c r="BC10" i="23"/>
  <c r="BE11" i="23"/>
  <c r="BJ11" i="23"/>
  <c r="BI11" i="23"/>
  <c r="BH11" i="23"/>
  <c r="BG11" i="23"/>
  <c r="I10" i="23"/>
  <c r="J10" i="23"/>
  <c r="BF11" i="23"/>
  <c r="AX11" i="23"/>
  <c r="AN11" i="23"/>
  <c r="AM11" i="23"/>
  <c r="AL11" i="23"/>
  <c r="AK11" i="23"/>
  <c r="AI11" i="23"/>
  <c r="AH11" i="23"/>
  <c r="AF11" i="23"/>
  <c r="Y11" i="23"/>
  <c r="Z11" i="23"/>
  <c r="X11" i="23"/>
  <c r="R11" i="23"/>
  <c r="P11" i="23"/>
  <c r="O11" i="23"/>
  <c r="N11" i="23"/>
  <c r="F11" i="23"/>
  <c r="E11" i="23"/>
  <c r="D11" i="23"/>
  <c r="C11" i="23"/>
  <c r="BD10" i="23"/>
  <c r="Q10" i="23"/>
  <c r="V10" i="23"/>
  <c r="W10" i="23"/>
  <c r="AD10" i="23"/>
  <c r="M10" i="23"/>
  <c r="BN10" i="23"/>
  <c r="U10" i="23"/>
  <c r="AC10" i="23"/>
  <c r="L10" i="23"/>
  <c r="BM10" i="23"/>
  <c r="T10" i="23"/>
  <c r="AB10" i="23"/>
  <c r="K10" i="23"/>
  <c r="BL10" i="23"/>
  <c r="S10" i="23"/>
  <c r="AA10" i="23"/>
  <c r="BK10" i="23"/>
  <c r="BE10" i="23"/>
  <c r="BJ10" i="23"/>
  <c r="BI10" i="23"/>
  <c r="BH10" i="23"/>
  <c r="BG10" i="23"/>
  <c r="BF10" i="23"/>
  <c r="AX10" i="23"/>
  <c r="AN10" i="23"/>
  <c r="AM10" i="23"/>
  <c r="AL10" i="23"/>
  <c r="AK10" i="23"/>
  <c r="AI10" i="23"/>
  <c r="AH10" i="23"/>
  <c r="AF10" i="23"/>
  <c r="Y10" i="23"/>
  <c r="Z10" i="23"/>
  <c r="X10" i="23"/>
  <c r="R10" i="23"/>
  <c r="P10" i="23"/>
  <c r="O10" i="23"/>
  <c r="N10" i="23"/>
  <c r="F10" i="23"/>
  <c r="E10" i="23"/>
  <c r="D10" i="23"/>
  <c r="C10" i="23"/>
  <c r="C2" i="23"/>
  <c r="D2" i="23"/>
  <c r="E2" i="23"/>
  <c r="F2" i="23"/>
  <c r="G2" i="23"/>
  <c r="I2" i="23"/>
  <c r="J2" i="23"/>
  <c r="K2" i="23"/>
  <c r="L2" i="23"/>
  <c r="M2" i="23"/>
  <c r="N2" i="23"/>
  <c r="O2" i="23"/>
  <c r="P2" i="23"/>
  <c r="Q2" i="23"/>
  <c r="R2" i="23"/>
  <c r="S2" i="23"/>
  <c r="T2" i="23"/>
  <c r="U2" i="23"/>
  <c r="V2" i="23"/>
  <c r="W2" i="23"/>
  <c r="X2" i="23"/>
  <c r="Y2" i="23"/>
  <c r="Z2" i="23"/>
  <c r="AA2" i="23"/>
  <c r="AB2" i="23"/>
  <c r="AC2" i="23"/>
  <c r="AD2" i="23"/>
  <c r="AF2" i="23"/>
  <c r="AG2" i="23"/>
  <c r="AH2" i="23"/>
  <c r="AI2" i="23"/>
  <c r="AK2" i="23"/>
  <c r="AL2" i="23"/>
  <c r="AM2" i="23"/>
  <c r="AN2" i="23"/>
  <c r="AQ2" i="23"/>
  <c r="AR2" i="23"/>
  <c r="AS2" i="23"/>
  <c r="AU2" i="23"/>
  <c r="AV2" i="23"/>
  <c r="AW2" i="23"/>
  <c r="AX2" i="23"/>
  <c r="BC2" i="23"/>
  <c r="BD2" i="23"/>
  <c r="BE2" i="23"/>
  <c r="BF2" i="23"/>
  <c r="BK2" i="23"/>
  <c r="BG2" i="23"/>
  <c r="BL2" i="23"/>
  <c r="BH2" i="23"/>
  <c r="BM2" i="23"/>
  <c r="BI2" i="23"/>
  <c r="BN2" i="23"/>
  <c r="BJ2" i="23"/>
  <c r="C3" i="23"/>
  <c r="D3" i="23"/>
  <c r="E3" i="23"/>
  <c r="F3" i="23"/>
  <c r="G3" i="23"/>
  <c r="I3" i="23"/>
  <c r="J3" i="23"/>
  <c r="K3" i="23"/>
  <c r="L3" i="23"/>
  <c r="M3" i="23"/>
  <c r="N3" i="23"/>
  <c r="O3" i="23"/>
  <c r="P3" i="23"/>
  <c r="Q3" i="23"/>
  <c r="R3" i="23"/>
  <c r="S3" i="23"/>
  <c r="T3" i="23"/>
  <c r="U3" i="23"/>
  <c r="V3" i="23"/>
  <c r="W3" i="23"/>
  <c r="X3" i="23"/>
  <c r="Y3" i="23"/>
  <c r="Z3" i="23"/>
  <c r="AA3" i="23"/>
  <c r="AB3" i="23"/>
  <c r="AC3" i="23"/>
  <c r="AD3" i="23"/>
  <c r="AF3" i="23"/>
  <c r="AG3" i="23"/>
  <c r="AH3" i="23"/>
  <c r="AI3" i="23"/>
  <c r="AK3" i="23"/>
  <c r="AL3" i="23"/>
  <c r="AM3" i="23"/>
  <c r="AN3" i="23"/>
  <c r="AQ3" i="23"/>
  <c r="AR3" i="23"/>
  <c r="AS3" i="23"/>
  <c r="AU3" i="23"/>
  <c r="AV3" i="23"/>
  <c r="AW3" i="23"/>
  <c r="AX3" i="23"/>
  <c r="BC3" i="23"/>
  <c r="BD3" i="23"/>
  <c r="BE3" i="23"/>
  <c r="BF3" i="23"/>
  <c r="BK3" i="23"/>
  <c r="BG3" i="23"/>
  <c r="BL3" i="23"/>
  <c r="BH3" i="23"/>
  <c r="BM3" i="23"/>
  <c r="BI3" i="23"/>
  <c r="BN3" i="23"/>
  <c r="BJ3" i="23"/>
  <c r="C4" i="23"/>
  <c r="D4" i="23"/>
  <c r="E4" i="23"/>
  <c r="F4" i="23"/>
  <c r="G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F4" i="23"/>
  <c r="AG4" i="23"/>
  <c r="AH4" i="23"/>
  <c r="AI4" i="23"/>
  <c r="AK4" i="23"/>
  <c r="AL4" i="23"/>
  <c r="AM4" i="23"/>
  <c r="AN4" i="23"/>
  <c r="AQ4" i="23"/>
  <c r="AR4" i="23"/>
  <c r="AS4" i="23"/>
  <c r="AU4" i="23"/>
  <c r="AV4" i="23"/>
  <c r="AW4" i="23"/>
  <c r="AX4" i="23"/>
  <c r="BC4" i="23"/>
  <c r="BD4" i="23"/>
  <c r="BE4" i="23"/>
  <c r="BF4" i="23"/>
  <c r="BK4" i="23"/>
  <c r="BG4" i="23"/>
  <c r="BL4" i="23"/>
  <c r="BH4" i="23"/>
  <c r="BM4" i="23"/>
  <c r="BI4" i="23"/>
  <c r="BN4" i="23"/>
  <c r="BJ4" i="23"/>
  <c r="C5" i="23"/>
  <c r="D5" i="23"/>
  <c r="E5" i="23"/>
  <c r="F5" i="23"/>
  <c r="G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F5" i="23"/>
  <c r="AG5" i="23"/>
  <c r="AH5" i="23"/>
  <c r="AI5" i="23"/>
  <c r="AK5" i="23"/>
  <c r="AL5" i="23"/>
  <c r="AM5" i="23"/>
  <c r="AN5" i="23"/>
  <c r="AQ5" i="23"/>
  <c r="AR5" i="23"/>
  <c r="AS5" i="23"/>
  <c r="AU5" i="23"/>
  <c r="AV5" i="23"/>
  <c r="AW5" i="23"/>
  <c r="AX5" i="23"/>
  <c r="BC5" i="23"/>
  <c r="BD5" i="23"/>
  <c r="BE5" i="23"/>
  <c r="BF5" i="23"/>
  <c r="BK5" i="23"/>
  <c r="BG5" i="23"/>
  <c r="BL5" i="23"/>
  <c r="BH5" i="23"/>
  <c r="BM5" i="23"/>
  <c r="BI5" i="23"/>
  <c r="BN5" i="23"/>
  <c r="BJ5" i="23"/>
  <c r="C6" i="23"/>
  <c r="D6" i="23"/>
  <c r="E6" i="23"/>
  <c r="F6" i="23"/>
  <c r="G6" i="23"/>
  <c r="I6" i="23"/>
  <c r="J6" i="23"/>
  <c r="K6" i="23"/>
  <c r="L6" i="23"/>
  <c r="M6" i="23"/>
  <c r="N6" i="23"/>
  <c r="O6" i="23"/>
  <c r="P6" i="23"/>
  <c r="Q6" i="23"/>
  <c r="R6" i="23"/>
  <c r="S6" i="23"/>
  <c r="T6" i="23"/>
  <c r="U6" i="23"/>
  <c r="V6" i="23"/>
  <c r="W6" i="23"/>
  <c r="X6" i="23"/>
  <c r="Y6" i="23"/>
  <c r="Z6" i="23"/>
  <c r="AA6" i="23"/>
  <c r="AB6" i="23"/>
  <c r="AC6" i="23"/>
  <c r="AD6" i="23"/>
  <c r="AF6" i="23"/>
  <c r="AG6" i="23"/>
  <c r="AH6" i="23"/>
  <c r="AI6" i="23"/>
  <c r="AK6" i="23"/>
  <c r="AL6" i="23"/>
  <c r="AM6" i="23"/>
  <c r="AN6" i="23"/>
  <c r="AQ6" i="23"/>
  <c r="AR6" i="23"/>
  <c r="AS6" i="23"/>
  <c r="AU6" i="23"/>
  <c r="AV6" i="23"/>
  <c r="AW6" i="23"/>
  <c r="AX6" i="23"/>
  <c r="BC6" i="23"/>
  <c r="BD6" i="23"/>
  <c r="BE6" i="23"/>
  <c r="BF6" i="23"/>
  <c r="BK6" i="23"/>
  <c r="BG6" i="23"/>
  <c r="BL6" i="23"/>
  <c r="BH6" i="23"/>
  <c r="BM6" i="23"/>
  <c r="BI6" i="23"/>
  <c r="BN6" i="23"/>
  <c r="BJ6" i="23"/>
  <c r="C7" i="23"/>
  <c r="D7" i="23"/>
  <c r="E7" i="23"/>
  <c r="F7" i="23"/>
  <c r="G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F7" i="23"/>
  <c r="AG7" i="23"/>
  <c r="AH7" i="23"/>
  <c r="AI7" i="23"/>
  <c r="AK7" i="23"/>
  <c r="AL7" i="23"/>
  <c r="AM7" i="23"/>
  <c r="AN7" i="23"/>
  <c r="AQ7" i="23"/>
  <c r="AR7" i="23"/>
  <c r="AS7" i="23"/>
  <c r="AU7" i="23"/>
  <c r="AV7" i="23"/>
  <c r="AW7" i="23"/>
  <c r="AX7" i="23"/>
  <c r="BC7" i="23"/>
  <c r="BD7" i="23"/>
  <c r="BE7" i="23"/>
  <c r="BF7" i="23"/>
  <c r="BK7" i="23"/>
  <c r="BG7" i="23"/>
  <c r="BL7" i="23"/>
  <c r="BH7" i="23"/>
  <c r="BM7" i="23"/>
  <c r="BI7" i="23"/>
  <c r="BN7" i="23"/>
  <c r="BJ7" i="23"/>
  <c r="C8" i="23"/>
  <c r="D8" i="23"/>
  <c r="E8" i="23"/>
  <c r="F8" i="23"/>
  <c r="G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F8" i="23"/>
  <c r="AG8" i="23"/>
  <c r="AH8" i="23"/>
  <c r="AI8" i="23"/>
  <c r="AK8" i="23"/>
  <c r="AL8" i="23"/>
  <c r="AM8" i="23"/>
  <c r="AN8" i="23"/>
  <c r="AQ8" i="23"/>
  <c r="AR8" i="23"/>
  <c r="AS8" i="23"/>
  <c r="AU8" i="23"/>
  <c r="AV8" i="23"/>
  <c r="AW8" i="23"/>
  <c r="AX8" i="23"/>
  <c r="BC8" i="23"/>
  <c r="BD8" i="23"/>
  <c r="BE8" i="23"/>
  <c r="BF8" i="23"/>
  <c r="BK8" i="23"/>
  <c r="BG8" i="23"/>
  <c r="BL8" i="23"/>
  <c r="BH8" i="23"/>
  <c r="BM8" i="23"/>
  <c r="BI8" i="23"/>
  <c r="BN8" i="23"/>
  <c r="BJ8" i="23"/>
  <c r="C9" i="23"/>
  <c r="D9" i="23"/>
  <c r="E9" i="23"/>
  <c r="F9" i="23"/>
  <c r="G9" i="23"/>
  <c r="I9" i="23"/>
  <c r="J9" i="23"/>
  <c r="K9" i="23"/>
  <c r="L9" i="23"/>
  <c r="M9" i="23"/>
  <c r="N9" i="23"/>
  <c r="O9" i="23"/>
  <c r="P9" i="23"/>
  <c r="Q9" i="23"/>
  <c r="R9" i="23"/>
  <c r="S9" i="23"/>
  <c r="T9" i="23"/>
  <c r="U9" i="23"/>
  <c r="V9" i="23"/>
  <c r="W9" i="23"/>
  <c r="X9" i="23"/>
  <c r="Y9" i="23"/>
  <c r="Z9" i="23"/>
  <c r="AA9" i="23"/>
  <c r="AB9" i="23"/>
  <c r="AC9" i="23"/>
  <c r="AD9" i="23"/>
  <c r="AF9" i="23"/>
  <c r="AG9" i="23"/>
  <c r="AH9" i="23"/>
  <c r="AI9" i="23"/>
  <c r="AK9" i="23"/>
  <c r="AL9" i="23"/>
  <c r="AM9" i="23"/>
  <c r="AN9" i="23"/>
  <c r="AQ9" i="23"/>
  <c r="AR9" i="23"/>
  <c r="AS9" i="23"/>
  <c r="AU9" i="23"/>
  <c r="AV9" i="23"/>
  <c r="AW9" i="23"/>
  <c r="AX9" i="23"/>
  <c r="BC9" i="23"/>
  <c r="BD9" i="23"/>
  <c r="BE9" i="23"/>
  <c r="BF9" i="23"/>
  <c r="BK9" i="23"/>
  <c r="BG9" i="23"/>
  <c r="BL9" i="23"/>
  <c r="BH9" i="23"/>
  <c r="BM9" i="23"/>
  <c r="BI9" i="23"/>
  <c r="BN9" i="23"/>
  <c r="BJ9" i="23"/>
  <c r="G5" i="13"/>
  <c r="G4" i="13"/>
  <c r="G3" i="13"/>
  <c r="G2" i="13"/>
  <c r="B15" i="55"/>
  <c r="C15" i="55"/>
  <c r="D15" i="55"/>
  <c r="B16" i="55"/>
  <c r="C16" i="55"/>
  <c r="D16" i="55"/>
  <c r="D14" i="55"/>
  <c r="C14" i="55"/>
  <c r="B14" i="55"/>
  <c r="A21" i="55"/>
  <c r="G11" i="13"/>
  <c r="G10" i="13"/>
  <c r="G9" i="13"/>
  <c r="G8" i="13"/>
  <c r="A26" i="55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E8" i="49"/>
  <c r="E7" i="49"/>
  <c r="E6" i="49"/>
  <c r="E5" i="49"/>
  <c r="E9" i="49"/>
  <c r="E10" i="49"/>
  <c r="E3" i="49"/>
  <c r="E4" i="49"/>
  <c r="E2" i="49"/>
</calcChain>
</file>

<file path=xl/sharedStrings.xml><?xml version="1.0" encoding="utf-8"?>
<sst xmlns="http://schemas.openxmlformats.org/spreadsheetml/2006/main" count="1105" uniqueCount="399">
  <si>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</si>
  <si>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</si>
  <si>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</si>
  <si>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</si>
  <si>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</si>
  <si>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</si>
  <si>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</si>
  <si>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</si>
  <si>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</si>
  <si>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</si>
  <si>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</si>
  <si>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</si>
  <si>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</si>
  <si>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</si>
  <si>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</si>
  <si>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</si>
  <si>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</si>
  <si>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</si>
  <si>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</si>
  <si>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</si>
  <si>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</si>
  <si>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</si>
  <si>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</si>
  <si>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</si>
  <si>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</si>
  <si>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</si>
  <si>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</si>
  <si>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</si>
  <si>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</si>
  <si>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</si>
  <si>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</si>
  <si>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</si>
  <si>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</si>
  <si>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</si>
  <si>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</si>
  <si>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PremiumN</t>
  </si>
  <si>
    <t>PremiumW</t>
  </si>
  <si>
    <t>Drop2N</t>
  </si>
  <si>
    <t>Drop2W</t>
  </si>
  <si>
    <t>Drop1S</t>
  </si>
  <si>
    <t>Drop1T</t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</si>
  <si>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</si>
  <si>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</si>
  <si>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</si>
  <si>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</si>
  <si>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</si>
  <si>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</si>
  <si>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</si>
  <si>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</si>
  <si>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</si>
  <si>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</si>
  <si>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</si>
  <si>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</si>
  <si>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</si>
  <si>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</si>
  <si>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</si>
  <si>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</si>
  <si>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</si>
  <si>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</si>
  <si>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</si>
  <si>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</si>
  <si>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</si>
  <si>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</si>
  <si>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</si>
  <si>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</si>
  <si>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</si>
  <si>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</si>
  <si>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</si>
  <si>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</si>
  <si>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</si>
  <si>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</si>
  <si>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</si>
  <si>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</si>
  <si>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</si>
  <si>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</si>
  <si>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</si>
  <si>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</si>
  <si>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</si>
  <si>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</si>
  <si>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</si>
  <si>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</si>
  <si>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</si>
  <si>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</si>
  <si>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</si>
  <si>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</si>
  <si>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</si>
  <si>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</si>
  <si>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</si>
  <si>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</si>
  <si>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</si>
  <si>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</si>
  <si>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</si>
  <si>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</si>
  <si>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</si>
  <si>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</si>
  <si>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</si>
  <si>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</si>
  <si>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</si>
  <si>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</si>
  <si>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</si>
  <si>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</si>
  <si>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</si>
  <si>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</si>
  <si>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</si>
  <si>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</si>
  <si>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</si>
  <si>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</si>
  <si>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</si>
  <si>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</si>
  <si>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</si>
  <si>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</si>
  <si>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</si>
  <si>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</si>
  <si>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</si>
  <si>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</si>
  <si>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</si>
  <si>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</si>
  <si>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</si>
  <si>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</si>
  <si>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</si>
  <si>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</si>
  <si>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</si>
  <si>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</si>
  <si>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</si>
  <si>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</si>
  <si>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</si>
  <si>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</si>
  <si>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</si>
  <si>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</si>
  <si>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</si>
  <si>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</si>
  <si>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</si>
  <si>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</si>
  <si>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</si>
  <si>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</si>
  <si>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</si>
  <si>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</si>
  <si>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</si>
  <si>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</si>
  <si>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</si>
  <si>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</si>
  <si>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</si>
  <si>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</si>
  <si>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</si>
  <si>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</si>
  <si>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</si>
  <si>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</si>
  <si>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</si>
  <si>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</si>
  <si>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</si>
  <si>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</si>
  <si>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</si>
  <si>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</si>
  <si>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</si>
  <si>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</si>
  <si>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</si>
  <si>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</si>
  <si>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</si>
  <si>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</si>
  <si>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</si>
  <si>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</si>
  <si>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</si>
  <si>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</si>
  <si>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</si>
  <si>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</si>
  <si>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</si>
  <si>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</si>
  <si>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</si>
  <si>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</si>
  <si>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</si>
  <si>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</si>
  <si>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</si>
  <si>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</si>
  <si>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</si>
  <si>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</si>
  <si>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</si>
  <si>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</si>
  <si>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</si>
  <si>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</si>
  <si>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</si>
  <si>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</si>
  <si>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</si>
  <si>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</si>
  <si>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</si>
  <si>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</si>
  <si>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</si>
  <si>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</si>
  <si>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</si>
  <si>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</si>
  <si>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</si>
  <si>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</si>
  <si>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</si>
  <si>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</si>
  <si>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</si>
  <si>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</si>
  <si>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</si>
  <si>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</si>
  <si>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</si>
  <si>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</si>
  <si>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ja</t>
    <phoneticPr fontId="22"/>
  </si>
  <si>
    <t>R3</t>
  </si>
  <si>
    <t>R4</t>
  </si>
  <si>
    <t>R5</t>
  </si>
  <si>
    <t>ユニット名</t>
  </si>
  <si>
    <t>スキル</t>
  </si>
  <si>
    <t>Cスキル</t>
  </si>
  <si>
    <t>覚醒素材</t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</si>
  <si>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</si>
  <si>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</si>
  <si>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</si>
  <si>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</si>
  <si>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</si>
  <si>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ラベル/レアリティ</t>
    <phoneticPr fontId="9"/>
  </si>
  <si>
    <t>PremiumL</t>
    <phoneticPr fontId="9"/>
  </si>
  <si>
    <t>-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</si>
  <si>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</si>
  <si>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</si>
  <si>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</si>
  <si>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</si>
  <si>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</si>
  <si>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</si>
  <si>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</si>
  <si>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</si>
  <si>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PremiumL</t>
    <phoneticPr fontId="9"/>
  </si>
  <si>
    <t>-</t>
    <phoneticPr fontId="9"/>
  </si>
  <si>
    <t>Material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</si>
  <si>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</si>
  <si>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</si>
  <si>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</si>
  <si>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</si>
  <si>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Drop2S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</si>
  <si>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</si>
  <si>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</si>
  <si>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</si>
  <si>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</si>
  <si>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</si>
  <si>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</si>
  <si>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</si>
  <si>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</si>
  <si>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</si>
  <si>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-</t>
    <phoneticPr fontId="9"/>
  </si>
  <si>
    <t>DropWizS</t>
    <phoneticPr fontId="9"/>
  </si>
  <si>
    <t>DropWizSSS</t>
    <phoneticPr fontId="9"/>
  </si>
  <si>
    <t>DropWizSS</t>
    <phoneticPr fontId="9"/>
  </si>
  <si>
    <t>DropWizS</t>
    <phoneticPr fontId="9"/>
  </si>
  <si>
    <t>required_exp_250</t>
    <phoneticPr fontId="9"/>
  </si>
  <si>
    <t>DropWizS</t>
    <phoneticPr fontId="9"/>
  </si>
  <si>
    <t>DropN</t>
    <phoneticPr fontId="9"/>
  </si>
  <si>
    <t>DropW</t>
    <phoneticPr fontId="9"/>
  </si>
  <si>
    <t>DropWizN</t>
    <phoneticPr fontId="9"/>
  </si>
  <si>
    <t>DropWizW</t>
    <phoneticPr fontId="9"/>
  </si>
  <si>
    <t>old</t>
  </si>
  <si>
    <t>hindo01</t>
  </si>
  <si>
    <t>hindo01</t>
    <phoneticPr fontId="22"/>
  </si>
  <si>
    <t>hindo01</t>
    <phoneticPr fontId="22"/>
  </si>
  <si>
    <t>ja</t>
    <phoneticPr fontId="22"/>
  </si>
  <si>
    <t>1体に大ダメージ</t>
    <rPh sb="1" eb="3">
      <t>タ</t>
    </rPh>
    <rPh sb="3" eb="8">
      <t>ダ</t>
    </rPh>
    <phoneticPr fontId="22"/>
  </si>
  <si>
    <t>単体に2回中ダメージ</t>
  </si>
  <si>
    <t>単体に2回中ダメージ</t>
    <rPh sb="0" eb="3">
      <t>タンタ</t>
    </rPh>
    <rPh sb="4" eb="5">
      <t>カ</t>
    </rPh>
    <rPh sb="5" eb="10">
      <t>チュウd</t>
    </rPh>
    <phoneticPr fontId="22"/>
  </si>
  <si>
    <t>[effect:damage, target:enemy_one, color:red, val:2.0, animation:damage_one_red04]</t>
    <phoneticPr fontId="22"/>
  </si>
  <si>
    <t>[effect:damage, target:enemy_one, color:red, val:2.0, animation:damage_one_red04]</t>
    <phoneticPr fontId="22"/>
  </si>
  <si>
    <t>全体に特大ダメージ</t>
    <rPh sb="0" eb="3">
      <t>ゼン</t>
    </rPh>
    <rPh sb="3" eb="5">
      <t>トクダ</t>
    </rPh>
    <phoneticPr fontId="22"/>
  </si>
  <si>
    <t>[effect:damage, target:enemy_all, color:green, val:1.125, animation:damage_all_green04]</t>
    <phoneticPr fontId="22"/>
  </si>
  <si>
    <t>[effect:damage, target:enemy_all, color:green, val:1.125, animation:damage_all_green05]</t>
  </si>
  <si>
    <t>[effect:damage, target:enemy_one, color:yellow, val:1.2, animation:damage_one_yellow03],[effect:damage, target:enemy_one, color:yellow, val:1.2, animation:damage_one_yellow03]</t>
    <phoneticPr fontId="22"/>
  </si>
  <si>
    <t>[effect:damage, target:enemy_all, color:green, val:1.125, animation:damage_all_green05]</t>
    <phoneticPr fontId="22"/>
  </si>
  <si>
    <t>自身の回復力に比例して
単体に大ダメージ</t>
    <rPh sb="0" eb="3">
      <t>ジシン</t>
    </rPh>
    <rPh sb="3" eb="5">
      <t>カイフk</t>
    </rPh>
    <rPh sb="5" eb="6">
      <t>リョク</t>
    </rPh>
    <rPh sb="7" eb="9">
      <t>ヒレ</t>
    </rPh>
    <rPh sb="12" eb="15">
      <t>タンタ</t>
    </rPh>
    <rPh sb="15" eb="16">
      <t>トクダ</t>
    </rPh>
    <rPh sb="16" eb="20">
      <t>ダ</t>
    </rPh>
    <phoneticPr fontId="22"/>
  </si>
  <si>
    <t>[effect:damage_heal, target:enemy_one, color:blue, val:2.0, animation:damage_one_blue04]</t>
    <phoneticPr fontId="22"/>
  </si>
  <si>
    <t>[effect:damage, target:enemy_one, color:yellow, val:1.2, animation:damage_one_yellow03],[effect:damage, target:enemy_one, color:yellow, val:1.2, animation:damage_one_yellow03]</t>
    <phoneticPr fontId="22"/>
  </si>
  <si>
    <t>双砕スダルシャナ</t>
    <rPh sb="0" eb="1">
      <t>ソウ</t>
    </rPh>
    <rPh sb="1" eb="2">
      <t>フン</t>
    </rPh>
    <phoneticPr fontId="22"/>
  </si>
  <si>
    <t>自身の回復力に比例して全体に大ダメージ＋HPを小回復</t>
    <rPh sb="0" eb="3">
      <t>ジシン</t>
    </rPh>
    <rPh sb="3" eb="6">
      <t>カイフk</t>
    </rPh>
    <rPh sb="7" eb="11">
      <t>ヒレ</t>
    </rPh>
    <rPh sb="11" eb="14">
      <t>ゼン</t>
    </rPh>
    <rPh sb="14" eb="19">
      <t>ダ</t>
    </rPh>
    <phoneticPr fontId="22"/>
  </si>
  <si>
    <t>[effect:damage_heal, target:enemy_one, color:blue, val:2.0, animation:damage_one_blue04]</t>
    <phoneticPr fontId="22"/>
  </si>
  <si>
    <t>[effect:damage_heal, target:enemy_all, color:blue, val:3.264, animation:damage_all_blue04],[effect:heal_ratio, val:1.35, animation:heal02_unit01]</t>
    <phoneticPr fontId="22"/>
  </si>
  <si>
    <t>ゴッドに効果特大の単体ダメージ+HP大回復</t>
    <phoneticPr fontId="22"/>
  </si>
  <si>
    <t>[effect:damage_anti_tribe, target:enemy_one, tribe:god, val1:3.0, val2:0.94, animation:damage_one_blue04],[effect:heal_ratio, val:0.3, animation:heal_unit, animation:heal03_unit01]</t>
    <phoneticPr fontId="22"/>
  </si>
  <si>
    <t>1体に赤属性の大ダメージ+5ターン自身の攻撃力特大UP</t>
    <rPh sb="1" eb="3">
      <t>タンタ</t>
    </rPh>
    <rPh sb="3" eb="7">
      <t>アk</t>
    </rPh>
    <rPh sb="7" eb="12">
      <t>ダ</t>
    </rPh>
    <rPh sb="17" eb="20">
      <t>ジシン</t>
    </rPh>
    <rPh sb="20" eb="23">
      <t>コウゲk</t>
    </rPh>
    <rPh sb="23" eb="25">
      <t>トクダ</t>
    </rPh>
    <phoneticPr fontId="22"/>
  </si>
  <si>
    <t>[effect:damage, target:enemy_one, color:red, val:4.76, animation:damage_one_red03],[effect:enhance_unit, target:myself, turn:5, status:attack, val:0.255, calc:mul, animation:enhance_unit_all_attack03]</t>
  </si>
  <si>
    <t>[effect:damage, target:enemy_one, color:red, val:4.76, animation:damage_one_red03],[effect:enhance_unit, target:myself, turn:5, status:attack, val:0.255, calc:mul, animation:enhance_unit_all_attack03]</t>
    <phoneticPr fontId="22"/>
  </si>
  <si>
    <t>全体に特大ダメージ</t>
    <rPh sb="0" eb="3">
      <t>ゼン</t>
    </rPh>
    <rPh sb="3" eb="5">
      <t>トクダ</t>
    </rPh>
    <phoneticPr fontId="22"/>
  </si>
  <si>
    <t>単体に2回中ダメージ</t>
    <rPh sb="0" eb="3">
      <t>タンタ</t>
    </rPh>
    <rPh sb="4" eb="10">
      <t>カイチュウダm</t>
    </rPh>
    <phoneticPr fontId="22"/>
  </si>
  <si>
    <t>ランダムで1つSCパネル(大)に変換する+2ターンCパネル生成を短縮(効果大)</t>
    <rPh sb="13" eb="14">
      <t>ダ</t>
    </rPh>
    <rPh sb="16" eb="18">
      <t>ヘン</t>
    </rPh>
    <rPh sb="29" eb="32">
      <t>セ</t>
    </rPh>
    <rPh sb="32" eb="34">
      <t>タンシュk</t>
    </rPh>
    <phoneticPr fontId="22"/>
  </si>
  <si>
    <t>[effect:change_block, new_block:crash, target:block_all, color:block_all, count:1, val:24, min_time_count:1, max_time_count:0, animation:change_block],[effect:crash_condition, target:unit_all, val:-2, turn:2, animation:crash_panel_reduce04]</t>
    <phoneticPr fontId="22"/>
  </si>
  <si>
    <t>[effect:change_block, new_block:crash, target:block_all, color:block_all, count:1, val:24, min_time_count:1, max_time_count:0, animation:change_block],[effect:crash_condition, target:unit_all, val:-2, turn:2, animation:crash_panel_reduce04]</t>
    <phoneticPr fontId="22"/>
  </si>
  <si>
    <t>赤パネルを全て破壊し、破壊した数に応じて単体に特大ダメージ＋3ターンアニマルのタップ回数を1増やす</t>
    <rPh sb="29" eb="30">
      <t>コウゲk</t>
    </rPh>
    <rPh sb="42" eb="45">
      <t>カ</t>
    </rPh>
    <rPh sb="46" eb="47">
      <t>フヤs</t>
    </rPh>
    <phoneticPr fontId="22"/>
  </si>
  <si>
    <t>[effect:enhance_unit, target:unit_animal, turn:3, status:action, val:1.0, calc:mul, animation:enhance_unit_one_action01],[effect:break_attack, val:0.43, lowest_val:0, count:-1, block01:block_red,color:green, target:enemy_one, animation:damage_one_green05]</t>
    <phoneticPr fontId="22"/>
  </si>
  <si>
    <t>鳥摩妃の三鈷戟</t>
  </si>
  <si>
    <t>鳥摩妃の三鈷戟</t>
    <phoneticPr fontId="22"/>
  </si>
  <si>
    <t>破壊の凶覚め</t>
    <rPh sb="0" eb="2">
      <t>ハk</t>
    </rPh>
    <rPh sb="3" eb="4">
      <t>キョ</t>
    </rPh>
    <rPh sb="4" eb="6">
      <t>サm</t>
    </rPh>
    <phoneticPr fontId="22"/>
  </si>
  <si>
    <t>破壊の凶覚め</t>
    <rPh sb="0" eb="3">
      <t>ハk</t>
    </rPh>
    <rPh sb="3" eb="4">
      <t>キョ</t>
    </rPh>
    <rPh sb="4" eb="6">
      <t>サm</t>
    </rPh>
    <phoneticPr fontId="22"/>
  </si>
  <si>
    <t>天翔昇る噴炎</t>
    <rPh sb="0" eb="1">
      <t>テン</t>
    </rPh>
    <rPh sb="1" eb="2">
      <t>ショ</t>
    </rPh>
    <rPh sb="2" eb="4">
      <t>ノボr</t>
    </rPh>
    <rPh sb="4" eb="5">
      <t>フン</t>
    </rPh>
    <rPh sb="5" eb="6">
      <t>ホノ</t>
    </rPh>
    <phoneticPr fontId="22"/>
  </si>
  <si>
    <t>猿王迅瞬分身の術</t>
    <rPh sb="0" eb="1">
      <t>サr</t>
    </rPh>
    <rPh sb="1" eb="2">
      <t>オ</t>
    </rPh>
    <rPh sb="2" eb="6">
      <t>シュンマドカブンシン</t>
    </rPh>
    <rPh sb="7" eb="8">
      <t>ジュt</t>
    </rPh>
    <phoneticPr fontId="22"/>
  </si>
  <si>
    <t>常世照光の武踏</t>
    <rPh sb="0" eb="2">
      <t>トコy</t>
    </rPh>
    <rPh sb="2" eb="3">
      <t>テラs</t>
    </rPh>
    <rPh sb="3" eb="4">
      <t>ヒカr</t>
    </rPh>
    <rPh sb="5" eb="6">
      <t>ブt</t>
    </rPh>
    <rPh sb="6" eb="7">
      <t>フm</t>
    </rPh>
    <phoneticPr fontId="22"/>
  </si>
  <si>
    <t>愛花の嚆矢</t>
    <rPh sb="0" eb="1">
      <t>ア</t>
    </rPh>
    <rPh sb="1" eb="3">
      <t>ハン</t>
    </rPh>
    <rPh sb="3" eb="5">
      <t>コウs</t>
    </rPh>
    <phoneticPr fontId="22"/>
  </si>
  <si>
    <t>オンソ・ヴィーラ</t>
    <phoneticPr fontId="22"/>
  </si>
  <si>
    <t>オンソ・ヴィーラ</t>
    <phoneticPr fontId="22"/>
  </si>
  <si>
    <t>喰頭数千</t>
    <rPh sb="0" eb="1">
      <t>ク</t>
    </rPh>
    <rPh sb="1" eb="2">
      <t>ト</t>
    </rPh>
    <rPh sb="2" eb="3">
      <t>カz</t>
    </rPh>
    <rPh sb="3" eb="4">
      <t>セン</t>
    </rPh>
    <phoneticPr fontId="22"/>
  </si>
  <si>
    <t>カーニバル・アグニ</t>
    <phoneticPr fontId="22"/>
  </si>
  <si>
    <t>カーニバル・アグニ</t>
    <phoneticPr fontId="22"/>
  </si>
  <si>
    <t>猿王の群勢</t>
    <rPh sb="0" eb="1">
      <t>サr</t>
    </rPh>
    <rPh sb="1" eb="2">
      <t>オ</t>
    </rPh>
    <rPh sb="3" eb="4">
      <t>ムr</t>
    </rPh>
    <rPh sb="4" eb="5">
      <t>イキオ</t>
    </rPh>
    <phoneticPr fontId="22"/>
  </si>
  <si>
    <t>猿王の群勢</t>
    <phoneticPr fontId="22"/>
  </si>
  <si>
    <t>アクラ・シャクティ</t>
    <phoneticPr fontId="22"/>
  </si>
  <si>
    <t>ja</t>
    <phoneticPr fontId="22"/>
  </si>
  <si>
    <t>skill</t>
    <phoneticPr fontId="22"/>
  </si>
  <si>
    <t>cskill</t>
    <phoneticPr fontId="22"/>
  </si>
  <si>
    <t>skill</t>
    <phoneticPr fontId="22"/>
  </si>
  <si>
    <t>cskill</t>
    <phoneticPr fontId="22"/>
  </si>
  <si>
    <t>maru</t>
    <phoneticPr fontId="22"/>
  </si>
  <si>
    <t>まだまだ戦えるわ</t>
    <phoneticPr fontId="22"/>
  </si>
  <si>
    <t>この攻撃はどう？</t>
    <phoneticPr fontId="22"/>
  </si>
  <si>
    <t>あなたには倒されないわ</t>
    <phoneticPr fontId="22"/>
  </si>
  <si>
    <t>かっ飛ばしていくぜ！</t>
    <phoneticPr fontId="22"/>
  </si>
  <si>
    <t>打ち上がるぜ！</t>
    <phoneticPr fontId="22"/>
  </si>
  <si>
    <t>飛ばせぇ！</t>
    <phoneticPr fontId="22"/>
  </si>
  <si>
    <t>giza</t>
    <phoneticPr fontId="22"/>
  </si>
  <si>
    <t>いい音色ね</t>
    <rPh sb="2" eb="4">
      <t>ネイr</t>
    </rPh>
    <phoneticPr fontId="22"/>
  </si>
  <si>
    <t>まだ足りないわ</t>
    <phoneticPr fontId="22"/>
  </si>
  <si>
    <t>これはどう？</t>
    <phoneticPr fontId="22"/>
  </si>
  <si>
    <t>maru</t>
    <phoneticPr fontId="22"/>
  </si>
  <si>
    <t>maru</t>
    <phoneticPr fontId="22"/>
  </si>
  <si>
    <t>…いくよ</t>
    <phoneticPr fontId="22"/>
  </si>
  <si>
    <t>…こわしてあげる</t>
    <phoneticPr fontId="22"/>
  </si>
  <si>
    <t>…まだ止まらないよ</t>
    <rPh sb="3" eb="8">
      <t>トマr</t>
    </rPh>
    <phoneticPr fontId="22"/>
  </si>
  <si>
    <t>…耐えられるかな</t>
    <rPh sb="1" eb="8">
      <t>タ</t>
    </rPh>
    <phoneticPr fontId="22"/>
  </si>
  <si>
    <t>…本気でいくよ</t>
    <rPh sb="1" eb="4">
      <t>ホン</t>
    </rPh>
    <phoneticPr fontId="22"/>
  </si>
  <si>
    <t>ここからだ！</t>
    <phoneticPr fontId="22"/>
  </si>
  <si>
    <t>まだまだ！</t>
    <phoneticPr fontId="22"/>
  </si>
  <si>
    <t>止まらないぜ？</t>
    <rPh sb="0" eb="7">
      <t>トマr</t>
    </rPh>
    <phoneticPr fontId="22"/>
  </si>
  <si>
    <t>ここからだ！</t>
    <phoneticPr fontId="22"/>
  </si>
  <si>
    <t>giza</t>
    <phoneticPr fontId="22"/>
  </si>
  <si>
    <t>新解護統水</t>
  </si>
  <si>
    <t>暴氷ペネトレート</t>
    <phoneticPr fontId="22"/>
  </si>
  <si>
    <t>暴氷ペネトレート</t>
    <phoneticPr fontId="22"/>
  </si>
  <si>
    <t>緑と黄パネルを破壊し、破壊した数に応じて単体に特大ダメージ+赤パネルを青パネルに変換</t>
    <rPh sb="0" eb="1">
      <t>ミドr</t>
    </rPh>
    <rPh sb="2" eb="3">
      <t>キイr</t>
    </rPh>
    <rPh sb="7" eb="10">
      <t>ハカ</t>
    </rPh>
    <rPh sb="30" eb="31">
      <t>アk</t>
    </rPh>
    <rPh sb="35" eb="40">
      <t>アオパネr</t>
    </rPh>
    <rPh sb="40" eb="42">
      <t>ヘン</t>
    </rPh>
    <phoneticPr fontId="22"/>
  </si>
  <si>
    <t>3ターン黄属性の攻撃力をUP(黄・青パネルを吸収して効果UP)</t>
    <rPh sb="4" eb="5">
      <t>キ</t>
    </rPh>
    <rPh sb="5" eb="7">
      <t>ゾクセ</t>
    </rPh>
    <rPh sb="15" eb="16">
      <t>キ</t>
    </rPh>
    <rPh sb="17" eb="18">
      <t>ア</t>
    </rPh>
    <phoneticPr fontId="22"/>
  </si>
  <si>
    <t>[effect:enhance_unit, target:unit_animal, turn:3, status:action, val:1.0, calc:mul, animation:enhance_unit_one_action01],[effect:break_attack, val:0.43, lowest_val:0, count:-1, block01:block_red,color:green, target:enemy_one, animation:damage_one_green05]</t>
    <phoneticPr fontId="22"/>
  </si>
  <si>
    <t>[effect:break_enchance_unit, val:0.005, lowest_val:0.2, count :-1, status:attack, turn:3, block01:block_yellow, block02:block_blue, target:unit_yellow, calc:mul, animation:enhance_unit_all_attack04]</t>
    <phoneticPr fontId="22"/>
  </si>
  <si>
    <t>[effect:break_attack, val:0.43, lowest_val:0, count:-1, block01:block_yellow,block02:block_green,color:blue, target:enemy_one, animation:damage_one_blue05],[effect:change_block, new_block:block_blue, target:block_red, color:block_heart, count:0, val:8, min_time_count:0, max_time_count:0, animation:change_block]</t>
    <phoneticPr fontId="22"/>
  </si>
  <si>
    <t>[effect:damage, target:enemy_all, color:yellow, val:1.125, animation:damage_all_yellow04]</t>
    <phoneticPr fontId="22"/>
  </si>
  <si>
    <t>[effect:damage, target:enemy_all, color:yellow, val:1.125, animation:damage_all_yellow04]</t>
    <phoneticPr fontId="22"/>
  </si>
  <si>
    <t>[effect:damage, target:enemy_one, color:blue, val:1.2, animation:damage_one_blue04],[effect:damage, target:enemy_one, color:blue, val:1.2, animation:damage_one_blue04]</t>
    <phoneticPr fontId="22"/>
  </si>
  <si>
    <t>OK！ここからが本番だ！</t>
    <phoneticPr fontId="22"/>
  </si>
  <si>
    <t>まだまだァ！！</t>
    <phoneticPr fontId="22"/>
  </si>
  <si>
    <t>ふんッ！！</t>
    <phoneticPr fontId="22"/>
  </si>
  <si>
    <t>くらいな！</t>
    <phoneticPr fontId="22"/>
  </si>
  <si>
    <t>分身の術、お見せしよう！</t>
    <phoneticPr fontId="22"/>
  </si>
  <si>
    <t>本物がわかるかい？</t>
    <phoneticPr fontId="22"/>
  </si>
  <si>
    <t>わたしの芸術を感じなさい…!</t>
    <phoneticPr fontId="22"/>
  </si>
  <si>
    <t>芸術は爆発よ…！</t>
    <phoneticPr fontId="22"/>
  </si>
  <si>
    <t>捕まえた！</t>
    <rPh sb="0" eb="4">
      <t>ツカマ</t>
    </rPh>
    <phoneticPr fontId="22"/>
  </si>
  <si>
    <t>痛みはないわ</t>
    <phoneticPr fontId="22"/>
  </si>
  <si>
    <t>侵入者は通せん決まりじゃ</t>
    <phoneticPr fontId="22"/>
  </si>
  <si>
    <t>なかなかやるのぉ</t>
    <phoneticPr fontId="22"/>
  </si>
  <si>
    <t>この攻撃はどうじゃ？</t>
    <rPh sb="2" eb="10">
      <t>コウゲk</t>
    </rPh>
    <phoneticPr fontId="22"/>
  </si>
  <si>
    <t>この攻撃はどうじゃ？</t>
    <phoneticPr fontId="22"/>
  </si>
  <si>
    <t>逃がさんぞ！</t>
    <rPh sb="0" eb="5">
      <t>ニガs</t>
    </rPh>
    <phoneticPr fontId="22"/>
  </si>
  <si>
    <t>…私の力を知らないようだな</t>
    <rPh sb="1" eb="3">
      <t>ワタs</t>
    </rPh>
    <rPh sb="3" eb="5">
      <t>チカr</t>
    </rPh>
    <rPh sb="5" eb="12">
      <t>シラン</t>
    </rPh>
    <phoneticPr fontId="22"/>
  </si>
  <si>
    <t>…邪魔をするな</t>
    <phoneticPr fontId="22"/>
  </si>
  <si>
    <t>…削除する</t>
    <rPh sb="1" eb="5">
      <t>サk</t>
    </rPh>
    <phoneticPr fontId="22"/>
  </si>
  <si>
    <t>…捉えた</t>
    <rPh sb="1" eb="4">
      <t>トラ</t>
    </rPh>
    <phoneticPr fontId="22"/>
  </si>
  <si>
    <t>…この眼で全てを書き換える</t>
    <rPh sb="3" eb="4">
      <t>メ</t>
    </rPh>
    <rPh sb="4" eb="5">
      <t>メd</t>
    </rPh>
    <rPh sb="5" eb="7">
      <t>スベt</t>
    </rPh>
    <rPh sb="8" eb="13">
      <t>カk</t>
    </rPh>
    <phoneticPr fontId="22"/>
  </si>
  <si>
    <t>giza</t>
    <phoneticPr fontId="22"/>
  </si>
  <si>
    <t>余計なマネはせんことじゃ！</t>
    <phoneticPr fontId="22"/>
  </si>
  <si>
    <t>恋花焦花のガーデン</t>
    <phoneticPr fontId="22"/>
  </si>
  <si>
    <t>恋花焦花のガーデン</t>
    <phoneticPr fontId="22"/>
  </si>
  <si>
    <t>[effect:damage, target:enemy_one, color:red, val:1.2, animation:damage_one_red05],[effect:heal_ratio, val:0.3, animation:heal_unit, animation:heal03_unit01]</t>
    <phoneticPr fontId="22"/>
  </si>
  <si>
    <t>1体に大ダメージ+
HPを大回復</t>
    <rPh sb="1" eb="2">
      <t>タイ</t>
    </rPh>
    <rPh sb="3" eb="4">
      <t>トクダ</t>
    </rPh>
    <rPh sb="4" eb="8">
      <t>ダ</t>
    </rPh>
    <rPh sb="13" eb="14">
      <t>ダ</t>
    </rPh>
    <phoneticPr fontId="22"/>
  </si>
  <si>
    <t>[effect:break_attack, val:0.43, lowest_val:0, count:-1, block01:block_yellow,block02:block_green,color:blue, target:enemy_one, animation:damage_one_blue05],[effect:change_block, new_block:block_blue, target:block_red, color:block_heart, count:0, val:8, min_time_count:0, max_time_count:0, animation:change_block]</t>
    <phoneticPr fontId="22"/>
  </si>
  <si>
    <t>HP大回復+青パネルを赤パネルに変換し、ハートパネルを赤のボムパネルに変換する</t>
    <rPh sb="2" eb="3">
      <t>ダ</t>
    </rPh>
    <rPh sb="3" eb="5">
      <t>カ</t>
    </rPh>
    <rPh sb="6" eb="7">
      <t>ア</t>
    </rPh>
    <rPh sb="11" eb="15">
      <t>アK</t>
    </rPh>
    <rPh sb="16" eb="19">
      <t>ヘンK</t>
    </rPh>
    <rPh sb="27" eb="28">
      <t>アk</t>
    </rPh>
    <rPh sb="28" eb="29">
      <t>アk</t>
    </rPh>
    <rPh sb="35" eb="37">
      <t>ヘン</t>
    </rPh>
    <phoneticPr fontId="22"/>
  </si>
  <si>
    <t>[effect:change_block, new_block:crack_bomb, target:block_heart, color:block_red, count:0, val:6, min_time_count:0, max_time_count:0, animation:change_block],[effect:change_block, new_block:block_red, target:block_blue, color:block_heart, count:0, val:8, min_time_count:0, max_time_count:0, animation:change_block],[effect:heal_ratio, val:3, animation:heal04]</t>
    <phoneticPr fontId="22"/>
  </si>
  <si>
    <t>素晴らしき愛を君たちに！</t>
    <phoneticPr fontId="22"/>
  </si>
  <si>
    <t>これが愛さ！</t>
    <rPh sb="3" eb="5">
      <t>ア</t>
    </rPh>
    <phoneticPr fontId="22"/>
  </si>
  <si>
    <t>giza</t>
    <phoneticPr fontId="22"/>
  </si>
  <si>
    <t>受け取ってくれ！</t>
    <phoneticPr fontId="22"/>
  </si>
  <si>
    <t>世界を愛で満たすんだ！</t>
    <phoneticPr fontId="22"/>
  </si>
  <si>
    <t>maru</t>
    <phoneticPr fontId="22"/>
  </si>
  <si>
    <t>咲き誇れ恋の花！</t>
    <phoneticPr fontId="22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</si>
  <si>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</si>
  <si>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</si>
  <si>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</si>
  <si>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</si>
  <si>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</si>
  <si>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</si>
  <si>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</si>
  <si>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</si>
  <si>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</si>
  <si>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</si>
  <si>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</si>
  <si>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</si>
  <si>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</si>
  <si>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</si>
  <si>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</si>
  <si>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</si>
  <si>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</si>
  <si>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</si>
  <si>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</si>
  <si>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</si>
  <si>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sell_ghosts</t>
    <phoneticPr fontId="22"/>
  </si>
  <si>
    <t>sell_ghosts</t>
    <phoneticPr fontId="10"/>
  </si>
  <si>
    <t>skip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</si>
</sst>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2"/>
      <color indexed="206"/>
      <name val="ＭＳ Ｐゴシック"/>
      <family val="2"/>
      <charset val="128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3"/>
      <color rgb="FF000000"/>
      <name val="ＭＳ Ｐゴシック"/>
      <family val="2"/>
      <charset val="128"/>
    </font>
  </fonts>
  <fills count="27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5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82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79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13" borderId="4" xfId="0" applyFont="1" applyFill="1" applyBorder="1"/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4" borderId="10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4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9" borderId="0" xfId="0" applyFont="1" applyFill="1"/>
    <xf numFmtId="0" fontId="16" fillId="0" borderId="4" xfId="0" applyFont="1" applyFill="1" applyBorder="1" applyAlignment="1">
      <alignment vertical="center"/>
    </xf>
    <xf numFmtId="0" fontId="13" fillId="15" borderId="4" xfId="0" applyFont="1" applyFill="1" applyBorder="1" applyAlignment="1">
      <alignment vertical="center"/>
    </xf>
    <xf numFmtId="0" fontId="16" fillId="15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4" borderId="3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8" fillId="14" borderId="2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6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7" borderId="16" xfId="0" applyFont="1" applyFill="1" applyBorder="1" applyAlignment="1">
      <alignment horizontal="left" vertical="center"/>
    </xf>
    <xf numFmtId="0" fontId="19" fillId="18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7" borderId="17" xfId="0" applyFont="1" applyFill="1" applyBorder="1" applyAlignment="1">
      <alignment horizontal="left" vertical="center"/>
    </xf>
    <xf numFmtId="0" fontId="19" fillId="16" borderId="11" xfId="0" applyFont="1" applyFill="1" applyBorder="1" applyAlignment="1">
      <alignment horizontal="left" vertical="center"/>
    </xf>
    <xf numFmtId="0" fontId="19" fillId="16" borderId="12" xfId="0" applyFont="1" applyFill="1" applyBorder="1" applyAlignment="1">
      <alignment horizontal="left" vertical="center"/>
    </xf>
    <xf numFmtId="0" fontId="8" fillId="20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1" borderId="4" xfId="0" applyFont="1" applyFill="1" applyBorder="1"/>
    <xf numFmtId="0" fontId="0" fillId="21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12" fillId="22" borderId="4" xfId="0" applyFont="1" applyFill="1" applyBorder="1" applyAlignment="1">
      <alignment horizontal="center"/>
    </xf>
    <xf numFmtId="0" fontId="0" fillId="0" borderId="4" xfId="0" applyFont="1" applyBorder="1"/>
    <xf numFmtId="0" fontId="0" fillId="23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20" borderId="4" xfId="0" applyFont="1" applyFill="1" applyBorder="1" applyAlignment="1">
      <alignment horizontal="left" vertical="center"/>
    </xf>
    <xf numFmtId="0" fontId="0" fillId="24" borderId="4" xfId="0" applyFill="1" applyBorder="1"/>
    <xf numFmtId="0" fontId="0" fillId="24" borderId="0" xfId="0" applyFill="1"/>
    <xf numFmtId="0" fontId="26" fillId="0" borderId="0" xfId="0" applyFont="1"/>
    <xf numFmtId="0" fontId="16" fillId="25" borderId="3" xfId="0" applyFont="1" applyFill="1" applyBorder="1" applyAlignment="1">
      <alignment horizontal="center" vertical="center"/>
    </xf>
    <xf numFmtId="0" fontId="8" fillId="25" borderId="20" xfId="0" applyFont="1" applyFill="1" applyBorder="1" applyAlignment="1">
      <alignment horizontal="center" vertical="center"/>
    </xf>
    <xf numFmtId="0" fontId="8" fillId="25" borderId="10" xfId="0" applyFont="1" applyFill="1" applyBorder="1" applyAlignment="1">
      <alignment horizontal="center" vertical="center"/>
    </xf>
    <xf numFmtId="0" fontId="8" fillId="26" borderId="10" xfId="0" applyFont="1" applyFill="1" applyBorder="1" applyAlignment="1">
      <alignment vertical="center"/>
    </xf>
    <xf numFmtId="0" fontId="8" fillId="25" borderId="19" xfId="0" applyFont="1" applyFill="1" applyBorder="1" applyAlignment="1">
      <alignment horizontal="center" vertical="center"/>
    </xf>
    <xf numFmtId="0" fontId="8" fillId="25" borderId="4" xfId="0" applyFont="1" applyFill="1" applyBorder="1" applyAlignment="1">
      <alignment horizontal="center" vertical="center"/>
    </xf>
    <xf numFmtId="0" fontId="8" fillId="26" borderId="4" xfId="0" applyFont="1" applyFill="1" applyBorder="1" applyAlignment="1">
      <alignment vertical="center"/>
    </xf>
    <xf numFmtId="0" fontId="8" fillId="25" borderId="23" xfId="0" applyFont="1" applyFill="1" applyBorder="1" applyAlignment="1">
      <alignment horizontal="center" vertical="center"/>
    </xf>
    <xf numFmtId="0" fontId="8" fillId="25" borderId="24" xfId="0" applyFont="1" applyFill="1" applyBorder="1" applyAlignment="1">
      <alignment horizontal="center" vertical="center"/>
    </xf>
    <xf numFmtId="0" fontId="8" fillId="26" borderId="24" xfId="0" applyFont="1" applyFill="1" applyBorder="1" applyAlignment="1">
      <alignment vertical="center"/>
    </xf>
    <xf numFmtId="0" fontId="16" fillId="26" borderId="4" xfId="0" applyFont="1" applyFill="1" applyBorder="1" applyAlignment="1">
      <alignment vertical="center"/>
    </xf>
    <xf numFmtId="0" fontId="18" fillId="26" borderId="4" xfId="0" applyFont="1" applyFill="1" applyBorder="1" applyAlignment="1">
      <alignment horizontal="center" vertical="center"/>
    </xf>
    <xf numFmtId="0" fontId="17" fillId="26" borderId="4" xfId="0" applyFont="1" applyFill="1" applyBorder="1" applyAlignment="1">
      <alignment horizontal="center" vertical="center" wrapText="1"/>
    </xf>
    <xf numFmtId="0" fontId="8" fillId="26" borderId="1" xfId="0" applyFont="1" applyFill="1" applyBorder="1" applyAlignment="1">
      <alignment vertical="center"/>
    </xf>
    <xf numFmtId="0" fontId="8" fillId="25" borderId="25" xfId="0" applyFont="1" applyFill="1" applyBorder="1" applyAlignment="1">
      <alignment horizontal="center" vertical="center"/>
    </xf>
    <xf numFmtId="0" fontId="8" fillId="25" borderId="12" xfId="0" applyFont="1" applyFill="1" applyBorder="1" applyAlignment="1">
      <alignment horizontal="center" vertical="center"/>
    </xf>
    <xf numFmtId="0" fontId="8" fillId="25" borderId="26" xfId="0" applyFont="1" applyFill="1" applyBorder="1" applyAlignment="1">
      <alignment horizontal="center" vertical="center"/>
    </xf>
    <xf numFmtId="0" fontId="8" fillId="25" borderId="6" xfId="0" applyFont="1" applyFill="1" applyBorder="1" applyAlignment="1">
      <alignment horizontal="center" vertical="center"/>
    </xf>
    <xf numFmtId="0" fontId="8" fillId="25" borderId="27" xfId="0" applyFont="1" applyFill="1" applyBorder="1" applyAlignment="1">
      <alignment horizontal="center" vertical="center"/>
    </xf>
    <xf numFmtId="0" fontId="16" fillId="25" borderId="21" xfId="0" applyFont="1" applyFill="1" applyBorder="1" applyAlignment="1">
      <alignment horizontal="center" vertical="center"/>
    </xf>
    <xf numFmtId="0" fontId="17" fillId="26" borderId="12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13" fillId="0" borderId="4" xfId="0" applyFont="1" applyFill="1" applyBorder="1"/>
    <xf numFmtId="0" fontId="27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6" fillId="0" borderId="0" xfId="0" applyFont="1" applyFill="1" applyAlignment="1">
      <alignment horizontal="left" vertical="center"/>
    </xf>
    <xf numFmtId="0" fontId="13" fillId="0" borderId="7" xfId="0" applyFont="1" applyFill="1" applyBorder="1" applyAlignment="1">
      <alignment horizontal="left" vertical="center" wrapText="1"/>
    </xf>
    <xf numFmtId="0" fontId="13" fillId="0" borderId="4" xfId="0" applyFont="1" applyBorder="1"/>
    <xf numFmtId="0" fontId="16" fillId="0" borderId="0" xfId="0" applyFont="1" applyFill="1" applyAlignment="1">
      <alignment vertical="center" wrapText="1"/>
    </xf>
    <xf numFmtId="0" fontId="0" fillId="0" borderId="4" xfId="0" applyNumberFormat="1" applyFill="1" applyBorder="1"/>
    <xf numFmtId="0" fontId="29" fillId="0" borderId="0" xfId="0" applyFont="1"/>
  </cellXfs>
  <cellStyles count="482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ハイパーリンク" xfId="4588" builtinId="8" hidden="1"/>
    <cellStyle name="ハイパーリンク" xfId="4590" builtinId="8" hidden="1"/>
    <cellStyle name="ハイパーリンク" xfId="4592" builtinId="8" hidden="1"/>
    <cellStyle name="ハイパーリンク" xfId="4594" builtinId="8" hidden="1"/>
    <cellStyle name="ハイパーリンク" xfId="4596" builtinId="8" hidden="1"/>
    <cellStyle name="ハイパーリンク" xfId="4598" builtinId="8" hidden="1"/>
    <cellStyle name="ハイパーリンク" xfId="4600" builtinId="8" hidden="1"/>
    <cellStyle name="ハイパーリンク" xfId="4602" builtinId="8" hidden="1"/>
    <cellStyle name="ハイパーリンク" xfId="4604" builtinId="8" hidden="1"/>
    <cellStyle name="ハイパーリンク" xfId="4606" builtinId="8" hidden="1"/>
    <cellStyle name="ハイパーリンク" xfId="4608" builtinId="8" hidden="1"/>
    <cellStyle name="ハイパーリンク" xfId="4610" builtinId="8" hidden="1"/>
    <cellStyle name="ハイパーリンク" xfId="4612" builtinId="8" hidden="1"/>
    <cellStyle name="ハイパーリンク" xfId="4614" builtinId="8" hidden="1"/>
    <cellStyle name="ハイパーリンク" xfId="4616" builtinId="8" hidden="1"/>
    <cellStyle name="ハイパーリンク" xfId="4618" builtinId="8" hidden="1"/>
    <cellStyle name="ハイパーリンク" xfId="4620" builtinId="8" hidden="1"/>
    <cellStyle name="ハイパーリンク" xfId="4622" builtinId="8" hidden="1"/>
    <cellStyle name="ハイパーリンク" xfId="4624" builtinId="8" hidden="1"/>
    <cellStyle name="ハイパーリンク" xfId="4626" builtinId="8" hidden="1"/>
    <cellStyle name="ハイパーリンク" xfId="4628" builtinId="8" hidden="1"/>
    <cellStyle name="ハイパーリンク" xfId="4630" builtinId="8" hidden="1"/>
    <cellStyle name="ハイパーリンク" xfId="4632" builtinId="8" hidden="1"/>
    <cellStyle name="ハイパーリンク" xfId="4634" builtinId="8" hidden="1"/>
    <cellStyle name="ハイパーリンク" xfId="4636" builtinId="8" hidden="1"/>
    <cellStyle name="ハイパーリンク" xfId="4638" builtinId="8" hidden="1"/>
    <cellStyle name="ハイパーリンク" xfId="4640" builtinId="8" hidden="1"/>
    <cellStyle name="ハイパーリンク" xfId="4642" builtinId="8" hidden="1"/>
    <cellStyle name="ハイパーリンク" xfId="4644" builtinId="8" hidden="1"/>
    <cellStyle name="ハイパーリンク" xfId="4646" builtinId="8" hidden="1"/>
    <cellStyle name="ハイパーリンク" xfId="4648" builtinId="8" hidden="1"/>
    <cellStyle name="ハイパーリンク" xfId="4650" builtinId="8" hidden="1"/>
    <cellStyle name="ハイパーリンク" xfId="4652" builtinId="8" hidden="1"/>
    <cellStyle name="ハイパーリンク" xfId="4654" builtinId="8" hidden="1"/>
    <cellStyle name="ハイパーリンク" xfId="4656" builtinId="8" hidden="1"/>
    <cellStyle name="ハイパーリンク" xfId="4658" builtinId="8" hidden="1"/>
    <cellStyle name="ハイパーリンク" xfId="4660" builtinId="8" hidden="1"/>
    <cellStyle name="ハイパーリンク" xfId="4662" builtinId="8" hidden="1"/>
    <cellStyle name="ハイパーリンク" xfId="4664" builtinId="8" hidden="1"/>
    <cellStyle name="ハイパーリンク" xfId="4666" builtinId="8" hidden="1"/>
    <cellStyle name="ハイパーリンク" xfId="4668" builtinId="8" hidden="1"/>
    <cellStyle name="ハイパーリンク" xfId="4670" builtinId="8" hidden="1"/>
    <cellStyle name="ハイパーリンク" xfId="4672" builtinId="8" hidden="1"/>
    <cellStyle name="ハイパーリンク" xfId="4674" builtinId="8" hidden="1"/>
    <cellStyle name="ハイパーリンク" xfId="4676" builtinId="8" hidden="1"/>
    <cellStyle name="ハイパーリンク" xfId="4678" builtinId="8" hidden="1"/>
    <cellStyle name="ハイパーリンク" xfId="4680" builtinId="8" hidden="1"/>
    <cellStyle name="ハイパーリンク" xfId="4682" builtinId="8" hidden="1"/>
    <cellStyle name="ハイパーリンク" xfId="4684" builtinId="8" hidden="1"/>
    <cellStyle name="ハイパーリンク" xfId="4686" builtinId="8" hidden="1"/>
    <cellStyle name="ハイパーリンク" xfId="4688" builtinId="8" hidden="1"/>
    <cellStyle name="ハイパーリンク" xfId="4690" builtinId="8" hidden="1"/>
    <cellStyle name="ハイパーリンク" xfId="4692" builtinId="8" hidden="1"/>
    <cellStyle name="ハイパーリンク" xfId="4694" builtinId="8" hidden="1"/>
    <cellStyle name="ハイパーリンク" xfId="4696" builtinId="8" hidden="1"/>
    <cellStyle name="ハイパーリンク" xfId="4698" builtinId="8" hidden="1"/>
    <cellStyle name="ハイパーリンク" xfId="4700" builtinId="8" hidden="1"/>
    <cellStyle name="ハイパーリンク" xfId="4702" builtinId="8" hidden="1"/>
    <cellStyle name="ハイパーリンク" xfId="4704" builtinId="8" hidden="1"/>
    <cellStyle name="ハイパーリンク" xfId="4706" builtinId="8" hidden="1"/>
    <cellStyle name="ハイパーリンク" xfId="4708" builtinId="8" hidden="1"/>
    <cellStyle name="ハイパーリンク" xfId="4710" builtinId="8" hidden="1"/>
    <cellStyle name="ハイパーリンク" xfId="4712" builtinId="8" hidden="1"/>
    <cellStyle name="ハイパーリンク" xfId="4714" builtinId="8" hidden="1"/>
    <cellStyle name="ハイパーリンク" xfId="4716" builtinId="8" hidden="1"/>
    <cellStyle name="ハイパーリンク" xfId="4718" builtinId="8" hidden="1"/>
    <cellStyle name="ハイパーリンク" xfId="4720" builtinId="8" hidden="1"/>
    <cellStyle name="ハイパーリンク" xfId="4722" builtinId="8" hidden="1"/>
    <cellStyle name="ハイパーリンク" xfId="4724" builtinId="8" hidden="1"/>
    <cellStyle name="ハイパーリンク" xfId="4726" builtinId="8" hidden="1"/>
    <cellStyle name="ハイパーリンク" xfId="4728" builtinId="8" hidden="1"/>
    <cellStyle name="ハイパーリンク" xfId="4730" builtinId="8" hidden="1"/>
    <cellStyle name="ハイパーリンク" xfId="4732" builtinId="8" hidden="1"/>
    <cellStyle name="ハイパーリンク" xfId="4734" builtinId="8" hidden="1"/>
    <cellStyle name="ハイパーリンク" xfId="4736" builtinId="8" hidden="1"/>
    <cellStyle name="ハイパーリンク" xfId="4738" builtinId="8" hidden="1"/>
    <cellStyle name="ハイパーリンク" xfId="4740" builtinId="8" hidden="1"/>
    <cellStyle name="ハイパーリンク" xfId="4742" builtinId="8" hidden="1"/>
    <cellStyle name="ハイパーリンク" xfId="4744" builtinId="8" hidden="1"/>
    <cellStyle name="ハイパーリンク" xfId="4746" builtinId="8" hidden="1"/>
    <cellStyle name="ハイパーリンク" xfId="4748" builtinId="8" hidden="1"/>
    <cellStyle name="ハイパーリンク" xfId="4750" builtinId="8" hidden="1"/>
    <cellStyle name="ハイパーリンク" xfId="4752" builtinId="8" hidden="1"/>
    <cellStyle name="ハイパーリンク" xfId="4754" builtinId="8" hidden="1"/>
    <cellStyle name="ハイパーリンク" xfId="4756" builtinId="8" hidden="1"/>
    <cellStyle name="ハイパーリンク" xfId="4758" builtinId="8" hidden="1"/>
    <cellStyle name="ハイパーリンク" xfId="4760" builtinId="8" hidden="1"/>
    <cellStyle name="ハイパーリンク" xfId="4762" builtinId="8" hidden="1"/>
    <cellStyle name="ハイパーリンク" xfId="4764" builtinId="8" hidden="1"/>
    <cellStyle name="ハイパーリンク" xfId="4766" builtinId="8" hidden="1"/>
    <cellStyle name="ハイパーリンク" xfId="4768" builtinId="8" hidden="1"/>
    <cellStyle name="ハイパーリンク" xfId="4770" builtinId="8" hidden="1"/>
    <cellStyle name="ハイパーリンク" xfId="4772" builtinId="8" hidden="1"/>
    <cellStyle name="ハイパーリンク" xfId="4774" builtinId="8" hidden="1"/>
    <cellStyle name="ハイパーリンク" xfId="4776" builtinId="8" hidden="1"/>
    <cellStyle name="ハイパーリンク" xfId="4778" builtinId="8" hidden="1"/>
    <cellStyle name="ハイパーリンク" xfId="4780" builtinId="8" hidden="1"/>
    <cellStyle name="ハイパーリンク" xfId="4782" builtinId="8" hidden="1"/>
    <cellStyle name="ハイパーリンク" xfId="4784" builtinId="8" hidden="1"/>
    <cellStyle name="ハイパーリンク" xfId="4786" builtinId="8" hidden="1"/>
    <cellStyle name="ハイパーリンク" xfId="4788" builtinId="8" hidden="1"/>
    <cellStyle name="ハイパーリンク" xfId="4790" builtinId="8" hidden="1"/>
    <cellStyle name="ハイパーリンク" xfId="4792" builtinId="8" hidden="1"/>
    <cellStyle name="ハイパーリンク" xfId="4794" builtinId="8" hidden="1"/>
    <cellStyle name="ハイパーリンク" xfId="4796" builtinId="8" hidden="1"/>
    <cellStyle name="ハイパーリンク" xfId="4798" builtinId="8" hidden="1"/>
    <cellStyle name="ハイパーリンク" xfId="4800" builtinId="8" hidden="1"/>
    <cellStyle name="ハイパーリンク" xfId="4802" builtinId="8" hidden="1"/>
    <cellStyle name="ハイパーリンク" xfId="4804" builtinId="8" hidden="1"/>
    <cellStyle name="ハイパーリンク" xfId="4806" builtinId="8" hidden="1"/>
    <cellStyle name="ハイパーリンク" xfId="4808" builtinId="8" hidden="1"/>
    <cellStyle name="ハイパーリンク" xfId="4810" builtinId="8" hidden="1"/>
    <cellStyle name="ハイパーリンク" xfId="4812" builtinId="8" hidden="1"/>
    <cellStyle name="ハイパーリンク" xfId="4814" builtinId="8" hidden="1"/>
    <cellStyle name="ハイパーリンク" xfId="4816" builtinId="8" hidden="1"/>
    <cellStyle name="ハイパーリンク" xfId="4818" builtinId="8" hidden="1"/>
    <cellStyle name="ハイパーリンク" xfId="482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表示済みのハイパーリンク" xfId="4589" builtinId="9" hidden="1"/>
    <cellStyle name="表示済みのハイパーリンク" xfId="4591" builtinId="9" hidden="1"/>
    <cellStyle name="表示済みのハイパーリンク" xfId="4593" builtinId="9" hidden="1"/>
    <cellStyle name="表示済みのハイパーリンク" xfId="4595" builtinId="9" hidden="1"/>
    <cellStyle name="表示済みのハイパーリンク" xfId="4597" builtinId="9" hidden="1"/>
    <cellStyle name="表示済みのハイパーリンク" xfId="4599" builtinId="9" hidden="1"/>
    <cellStyle name="表示済みのハイパーリンク" xfId="4601" builtinId="9" hidden="1"/>
    <cellStyle name="表示済みのハイパーリンク" xfId="4603" builtinId="9" hidden="1"/>
    <cellStyle name="表示済みのハイパーリンク" xfId="4605" builtinId="9" hidden="1"/>
    <cellStyle name="表示済みのハイパーリンク" xfId="4607" builtinId="9" hidden="1"/>
    <cellStyle name="表示済みのハイパーリンク" xfId="4609" builtinId="9" hidden="1"/>
    <cellStyle name="表示済みのハイパーリンク" xfId="4611" builtinId="9" hidden="1"/>
    <cellStyle name="表示済みのハイパーリンク" xfId="4613" builtinId="9" hidden="1"/>
    <cellStyle name="表示済みのハイパーリンク" xfId="4615" builtinId="9" hidden="1"/>
    <cellStyle name="表示済みのハイパーリンク" xfId="4617" builtinId="9" hidden="1"/>
    <cellStyle name="表示済みのハイパーリンク" xfId="4619" builtinId="9" hidden="1"/>
    <cellStyle name="表示済みのハイパーリンク" xfId="4621" builtinId="9" hidden="1"/>
    <cellStyle name="表示済みのハイパーリンク" xfId="4623" builtinId="9" hidden="1"/>
    <cellStyle name="表示済みのハイパーリンク" xfId="4625" builtinId="9" hidden="1"/>
    <cellStyle name="表示済みのハイパーリンク" xfId="4627" builtinId="9" hidden="1"/>
    <cellStyle name="表示済みのハイパーリンク" xfId="4629" builtinId="9" hidden="1"/>
    <cellStyle name="表示済みのハイパーリンク" xfId="4631" builtinId="9" hidden="1"/>
    <cellStyle name="表示済みのハイパーリンク" xfId="4633" builtinId="9" hidden="1"/>
    <cellStyle name="表示済みのハイパーリンク" xfId="4635" builtinId="9" hidden="1"/>
    <cellStyle name="表示済みのハイパーリンク" xfId="4637" builtinId="9" hidden="1"/>
    <cellStyle name="表示済みのハイパーリンク" xfId="4639" builtinId="9" hidden="1"/>
    <cellStyle name="表示済みのハイパーリンク" xfId="4641" builtinId="9" hidden="1"/>
    <cellStyle name="表示済みのハイパーリンク" xfId="4643" builtinId="9" hidden="1"/>
    <cellStyle name="表示済みのハイパーリンク" xfId="4645" builtinId="9" hidden="1"/>
    <cellStyle name="表示済みのハイパーリンク" xfId="4647" builtinId="9" hidden="1"/>
    <cellStyle name="表示済みのハイパーリンク" xfId="4649" builtinId="9" hidden="1"/>
    <cellStyle name="表示済みのハイパーリンク" xfId="4651" builtinId="9" hidden="1"/>
    <cellStyle name="表示済みのハイパーリンク" xfId="4653" builtinId="9" hidden="1"/>
    <cellStyle name="表示済みのハイパーリンク" xfId="4655" builtinId="9" hidden="1"/>
    <cellStyle name="表示済みのハイパーリンク" xfId="4657" builtinId="9" hidden="1"/>
    <cellStyle name="表示済みのハイパーリンク" xfId="4659" builtinId="9" hidden="1"/>
    <cellStyle name="表示済みのハイパーリンク" xfId="4661" builtinId="9" hidden="1"/>
    <cellStyle name="表示済みのハイパーリンク" xfId="4663" builtinId="9" hidden="1"/>
    <cellStyle name="表示済みのハイパーリンク" xfId="4665" builtinId="9" hidden="1"/>
    <cellStyle name="表示済みのハイパーリンク" xfId="4667" builtinId="9" hidden="1"/>
    <cellStyle name="表示済みのハイパーリンク" xfId="4669" builtinId="9" hidden="1"/>
    <cellStyle name="表示済みのハイパーリンク" xfId="4671" builtinId="9" hidden="1"/>
    <cellStyle name="表示済みのハイパーリンク" xfId="4673" builtinId="9" hidden="1"/>
    <cellStyle name="表示済みのハイパーリンク" xfId="4675" builtinId="9" hidden="1"/>
    <cellStyle name="表示済みのハイパーリンク" xfId="4677" builtinId="9" hidden="1"/>
    <cellStyle name="表示済みのハイパーリンク" xfId="4679" builtinId="9" hidden="1"/>
    <cellStyle name="表示済みのハイパーリンク" xfId="4681" builtinId="9" hidden="1"/>
    <cellStyle name="表示済みのハイパーリンク" xfId="4683" builtinId="9" hidden="1"/>
    <cellStyle name="表示済みのハイパーリンク" xfId="4685" builtinId="9" hidden="1"/>
    <cellStyle name="表示済みのハイパーリンク" xfId="4687" builtinId="9" hidden="1"/>
    <cellStyle name="表示済みのハイパーリンク" xfId="4689" builtinId="9" hidden="1"/>
    <cellStyle name="表示済みのハイパーリンク" xfId="4691" builtinId="9" hidden="1"/>
    <cellStyle name="表示済みのハイパーリンク" xfId="4693" builtinId="9" hidden="1"/>
    <cellStyle name="表示済みのハイパーリンク" xfId="4695" builtinId="9" hidden="1"/>
    <cellStyle name="表示済みのハイパーリンク" xfId="4697" builtinId="9" hidden="1"/>
    <cellStyle name="表示済みのハイパーリンク" xfId="4699" builtinId="9" hidden="1"/>
    <cellStyle name="表示済みのハイパーリンク" xfId="4701" builtinId="9" hidden="1"/>
    <cellStyle name="表示済みのハイパーリンク" xfId="4703" builtinId="9" hidden="1"/>
    <cellStyle name="表示済みのハイパーリンク" xfId="4705" builtinId="9" hidden="1"/>
    <cellStyle name="表示済みのハイパーリンク" xfId="4707" builtinId="9" hidden="1"/>
    <cellStyle name="表示済みのハイパーリンク" xfId="4709" builtinId="9" hidden="1"/>
    <cellStyle name="表示済みのハイパーリンク" xfId="4711" builtinId="9" hidden="1"/>
    <cellStyle name="表示済みのハイパーリンク" xfId="4713" builtinId="9" hidden="1"/>
    <cellStyle name="表示済みのハイパーリンク" xfId="4715" builtinId="9" hidden="1"/>
    <cellStyle name="表示済みのハイパーリンク" xfId="4717" builtinId="9" hidden="1"/>
    <cellStyle name="表示済みのハイパーリンク" xfId="4719" builtinId="9" hidden="1"/>
    <cellStyle name="表示済みのハイパーリンク" xfId="4721" builtinId="9" hidden="1"/>
    <cellStyle name="表示済みのハイパーリンク" xfId="4723" builtinId="9" hidden="1"/>
    <cellStyle name="表示済みのハイパーリンク" xfId="4725" builtinId="9" hidden="1"/>
    <cellStyle name="表示済みのハイパーリンク" xfId="4727" builtinId="9" hidden="1"/>
    <cellStyle name="表示済みのハイパーリンク" xfId="4729" builtinId="9" hidden="1"/>
    <cellStyle name="表示済みのハイパーリンク" xfId="4731" builtinId="9" hidden="1"/>
    <cellStyle name="表示済みのハイパーリンク" xfId="4733" builtinId="9" hidden="1"/>
    <cellStyle name="表示済みのハイパーリンク" xfId="4735" builtinId="9" hidden="1"/>
    <cellStyle name="表示済みのハイパーリンク" xfId="4737" builtinId="9" hidden="1"/>
    <cellStyle name="表示済みのハイパーリンク" xfId="4739" builtinId="9" hidden="1"/>
    <cellStyle name="表示済みのハイパーリンク" xfId="4741" builtinId="9" hidden="1"/>
    <cellStyle name="表示済みのハイパーリンク" xfId="4743" builtinId="9" hidden="1"/>
    <cellStyle name="表示済みのハイパーリンク" xfId="4745" builtinId="9" hidden="1"/>
    <cellStyle name="表示済みのハイパーリンク" xfId="4747" builtinId="9" hidden="1"/>
    <cellStyle name="表示済みのハイパーリンク" xfId="4749" builtinId="9" hidden="1"/>
    <cellStyle name="表示済みのハイパーリンク" xfId="4751" builtinId="9" hidden="1"/>
    <cellStyle name="表示済みのハイパーリンク" xfId="4753" builtinId="9" hidden="1"/>
    <cellStyle name="表示済みのハイパーリンク" xfId="4755" builtinId="9" hidden="1"/>
    <cellStyle name="表示済みのハイパーリンク" xfId="4757" builtinId="9" hidden="1"/>
    <cellStyle name="表示済みのハイパーリンク" xfId="4759" builtinId="9" hidden="1"/>
    <cellStyle name="表示済みのハイパーリンク" xfId="4761" builtinId="9" hidden="1"/>
    <cellStyle name="表示済みのハイパーリンク" xfId="4763" builtinId="9" hidden="1"/>
    <cellStyle name="表示済みのハイパーリンク" xfId="4765" builtinId="9" hidden="1"/>
    <cellStyle name="表示済みのハイパーリンク" xfId="4767" builtinId="9" hidden="1"/>
    <cellStyle name="表示済みのハイパーリンク" xfId="4769" builtinId="9" hidden="1"/>
    <cellStyle name="表示済みのハイパーリンク" xfId="4771" builtinId="9" hidden="1"/>
    <cellStyle name="表示済みのハイパーリンク" xfId="4773" builtinId="9" hidden="1"/>
    <cellStyle name="表示済みのハイパーリンク" xfId="4775" builtinId="9" hidden="1"/>
    <cellStyle name="表示済みのハイパーリンク" xfId="4777" builtinId="9" hidden="1"/>
    <cellStyle name="表示済みのハイパーリンク" xfId="4779" builtinId="9" hidden="1"/>
    <cellStyle name="表示済みのハイパーリンク" xfId="4781" builtinId="9" hidden="1"/>
    <cellStyle name="表示済みのハイパーリンク" xfId="4783" builtinId="9" hidden="1"/>
    <cellStyle name="表示済みのハイパーリンク" xfId="4785" builtinId="9" hidden="1"/>
    <cellStyle name="表示済みのハイパーリンク" xfId="4787" builtinId="9" hidden="1"/>
    <cellStyle name="表示済みのハイパーリンク" xfId="4789" builtinId="9" hidden="1"/>
    <cellStyle name="表示済みのハイパーリンク" xfId="4791" builtinId="9" hidden="1"/>
    <cellStyle name="表示済みのハイパーリンク" xfId="4793" builtinId="9" hidden="1"/>
    <cellStyle name="表示済みのハイパーリンク" xfId="4795" builtinId="9" hidden="1"/>
    <cellStyle name="表示済みのハイパーリンク" xfId="4797" builtinId="9" hidden="1"/>
    <cellStyle name="表示済みのハイパーリンク" xfId="4799" builtinId="9" hidden="1"/>
    <cellStyle name="表示済みのハイパーリンク" xfId="4801" builtinId="9" hidden="1"/>
    <cellStyle name="表示済みのハイパーリンク" xfId="4803" builtinId="9" hidden="1"/>
    <cellStyle name="表示済みのハイパーリンク" xfId="4805" builtinId="9" hidden="1"/>
    <cellStyle name="表示済みのハイパーリンク" xfId="4807" builtinId="9" hidden="1"/>
    <cellStyle name="表示済みのハイパーリンク" xfId="4809" builtinId="9" hidden="1"/>
    <cellStyle name="表示済みのハイパーリンク" xfId="4811" builtinId="9" hidden="1"/>
    <cellStyle name="表示済みのハイパーリンク" xfId="4813" builtinId="9" hidden="1"/>
    <cellStyle name="表示済みのハイパーリンク" xfId="4815" builtinId="9" hidden="1"/>
    <cellStyle name="表示済みのハイパーリンク" xfId="4817" builtinId="9" hidden="1"/>
    <cellStyle name="表示済みのハイパーリンク" xfId="4819" builtinId="9" hidden="1"/>
    <cellStyle name="表示済みのハイパーリンク" xfId="4821" builtinId="9" hidden="1"/>
    <cellStyle name="赤字強調" xfId="4"/>
    <cellStyle name="青字強調" xfId="3"/>
  </cellStyles>
  <dxfs count="28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externalLink" Target="externalLinks/externalLink1.xml"/><Relationship Id="rId16" Type="http://schemas.openxmlformats.org/officeDocument/2006/relationships/externalLink" Target="externalLinks/externalLink2.xml"/><Relationship Id="rId17" Type="http://schemas.openxmlformats.org/officeDocument/2006/relationships/externalLink" Target="externalLinks/externalLink3.xml"/><Relationship Id="rId18" Type="http://schemas.openxmlformats.org/officeDocument/2006/relationships/externalLink" Target="externalLinks/externalLink4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ukutani/Documents/BULL_data/master_excel/UnitMaster_gacha_hindo0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_crackbomb_skil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1697</v>
          </cell>
        </row>
        <row r="1587">
          <cell r="A1587">
            <v>1698</v>
          </cell>
        </row>
        <row r="1588">
          <cell r="A1588">
            <v>1699</v>
          </cell>
        </row>
        <row r="1589">
          <cell r="A1589">
            <v>1700</v>
          </cell>
        </row>
        <row r="1590">
          <cell r="A1590">
            <v>1701</v>
          </cell>
        </row>
        <row r="1591">
          <cell r="A1591">
            <v>1702</v>
          </cell>
        </row>
        <row r="1592">
          <cell r="A1592">
            <v>1703</v>
          </cell>
        </row>
        <row r="1593">
          <cell r="A1593">
            <v>1704</v>
          </cell>
        </row>
        <row r="1594">
          <cell r="A1594">
            <v>1705</v>
          </cell>
        </row>
        <row r="1595">
          <cell r="A1595">
            <v>1706</v>
          </cell>
        </row>
        <row r="1596">
          <cell r="A1596">
            <v>1707</v>
          </cell>
        </row>
        <row r="1597">
          <cell r="A1597">
            <v>1708</v>
          </cell>
        </row>
        <row r="1598">
          <cell r="A1598">
            <v>1709</v>
          </cell>
        </row>
        <row r="1599">
          <cell r="A1599">
            <v>1710</v>
          </cell>
        </row>
        <row r="1600">
          <cell r="A1600">
            <v>1711</v>
          </cell>
        </row>
        <row r="1601">
          <cell r="A1601">
            <v>1712</v>
          </cell>
        </row>
        <row r="1602">
          <cell r="A1602">
            <v>1713</v>
          </cell>
        </row>
        <row r="1603">
          <cell r="A1603">
            <v>1714</v>
          </cell>
        </row>
        <row r="1604">
          <cell r="A1604">
            <v>1715</v>
          </cell>
        </row>
        <row r="1605">
          <cell r="A1605">
            <v>1716</v>
          </cell>
        </row>
        <row r="1606">
          <cell r="A1606">
            <v>1717</v>
          </cell>
        </row>
        <row r="1607">
          <cell r="A1607">
            <v>1718</v>
          </cell>
        </row>
        <row r="1608">
          <cell r="A1608">
            <v>1719</v>
          </cell>
        </row>
        <row r="1609">
          <cell r="A1609">
            <v>5001</v>
          </cell>
        </row>
        <row r="1610">
          <cell r="A1610">
            <v>5002</v>
          </cell>
        </row>
        <row r="1611">
          <cell r="A1611">
            <v>5003</v>
          </cell>
        </row>
        <row r="1612">
          <cell r="A1612">
            <v>5004</v>
          </cell>
        </row>
        <row r="1613">
          <cell r="A1613">
            <v>5005</v>
          </cell>
        </row>
        <row r="1614">
          <cell r="A1614">
            <v>5006</v>
          </cell>
        </row>
        <row r="1615">
          <cell r="A1615">
            <v>5007</v>
          </cell>
        </row>
        <row r="1616">
          <cell r="A1616">
            <v>5008</v>
          </cell>
        </row>
        <row r="1617">
          <cell r="A1617">
            <v>5009</v>
          </cell>
        </row>
        <row r="1618">
          <cell r="A1618">
            <v>5010</v>
          </cell>
        </row>
        <row r="1619">
          <cell r="A1619">
            <v>5011</v>
          </cell>
        </row>
        <row r="1620">
          <cell r="A1620">
            <v>5012</v>
          </cell>
        </row>
        <row r="1621">
          <cell r="A1621">
            <v>6001</v>
          </cell>
        </row>
        <row r="1622">
          <cell r="A1622">
            <v>6002</v>
          </cell>
        </row>
        <row r="1623">
          <cell r="A1623">
            <v>6003</v>
          </cell>
        </row>
        <row r="1624">
          <cell r="A1624">
            <v>6004</v>
          </cell>
        </row>
        <row r="1625">
          <cell r="A1625">
            <v>6005</v>
          </cell>
        </row>
        <row r="1626">
          <cell r="A1626">
            <v>6006</v>
          </cell>
        </row>
        <row r="1627">
          <cell r="A1627">
            <v>6007</v>
          </cell>
        </row>
        <row r="1628">
          <cell r="A1628">
            <v>6008</v>
          </cell>
        </row>
        <row r="1629">
          <cell r="A1629">
            <v>6009</v>
          </cell>
        </row>
        <row r="1630">
          <cell r="A1630">
            <v>6010</v>
          </cell>
        </row>
        <row r="1631">
          <cell r="A1631">
            <v>6011</v>
          </cell>
        </row>
        <row r="1632">
          <cell r="A1632">
            <v>6012</v>
          </cell>
        </row>
        <row r="1633">
          <cell r="A1633">
            <v>6013</v>
          </cell>
        </row>
        <row r="1634">
          <cell r="A1634">
            <v>6014</v>
          </cell>
        </row>
        <row r="1635">
          <cell r="A1635">
            <v>6015</v>
          </cell>
        </row>
        <row r="1636">
          <cell r="A1636">
            <v>6016</v>
          </cell>
        </row>
        <row r="1637">
          <cell r="A1637">
            <v>6017</v>
          </cell>
        </row>
        <row r="1638">
          <cell r="A1638">
            <v>6018</v>
          </cell>
        </row>
        <row r="1639">
          <cell r="A1639">
            <v>6019</v>
          </cell>
        </row>
        <row r="1640">
          <cell r="A1640">
            <v>6020</v>
          </cell>
        </row>
        <row r="1641">
          <cell r="A1641">
            <v>8001</v>
          </cell>
        </row>
        <row r="1642">
          <cell r="A1642">
            <v>8002</v>
          </cell>
        </row>
        <row r="1643">
          <cell r="A1643">
            <v>8003</v>
          </cell>
        </row>
        <row r="1644">
          <cell r="A1644">
            <v>8004</v>
          </cell>
        </row>
        <row r="1645">
          <cell r="A1645">
            <v>8005</v>
          </cell>
        </row>
        <row r="1646">
          <cell r="A1646">
            <v>8006</v>
          </cell>
        </row>
        <row r="1647">
          <cell r="A1647">
            <v>8007</v>
          </cell>
        </row>
        <row r="1648">
          <cell r="A1648">
            <v>8008</v>
          </cell>
        </row>
        <row r="1649">
          <cell r="A1649">
            <v>8009</v>
          </cell>
        </row>
        <row r="1650">
          <cell r="A1650">
            <v>8010</v>
          </cell>
        </row>
        <row r="1651">
          <cell r="A1651">
            <v>8011</v>
          </cell>
        </row>
        <row r="1652">
          <cell r="A1652">
            <v>8012</v>
          </cell>
        </row>
        <row r="1653">
          <cell r="A1653">
            <v>8013</v>
          </cell>
        </row>
        <row r="1654">
          <cell r="A1654">
            <v>8014</v>
          </cell>
        </row>
        <row r="1655">
          <cell r="A1655">
            <v>8015</v>
          </cell>
        </row>
        <row r="1656">
          <cell r="A1656">
            <v>8016</v>
          </cell>
        </row>
        <row r="1657">
          <cell r="A1657">
            <v>8017</v>
          </cell>
        </row>
        <row r="1658">
          <cell r="A1658">
            <v>8018</v>
          </cell>
        </row>
        <row r="1659">
          <cell r="A1659">
            <v>8019</v>
          </cell>
        </row>
        <row r="1660">
          <cell r="A1660">
            <v>8020</v>
          </cell>
        </row>
        <row r="1661">
          <cell r="A1661">
            <v>8021</v>
          </cell>
        </row>
        <row r="1662">
          <cell r="A1662">
            <v>8022</v>
          </cell>
        </row>
        <row r="1663">
          <cell r="A1663">
            <v>8023</v>
          </cell>
        </row>
        <row r="1664">
          <cell r="A1664">
            <v>8024</v>
          </cell>
        </row>
        <row r="1665">
          <cell r="A1665">
            <v>8025</v>
          </cell>
        </row>
        <row r="1666">
          <cell r="A1666">
            <v>8026</v>
          </cell>
        </row>
        <row r="1667">
          <cell r="A1667">
            <v>8027</v>
          </cell>
        </row>
        <row r="1668">
          <cell r="A1668">
            <v>8028</v>
          </cell>
        </row>
        <row r="1669">
          <cell r="A1669">
            <v>8029</v>
          </cell>
        </row>
        <row r="1670">
          <cell r="A1670">
            <v>8030</v>
          </cell>
        </row>
        <row r="1671">
          <cell r="A1671">
            <v>8031</v>
          </cell>
        </row>
        <row r="1672">
          <cell r="A1672">
            <v>8032</v>
          </cell>
        </row>
        <row r="1673">
          <cell r="A1673">
            <v>8033</v>
          </cell>
        </row>
        <row r="1674">
          <cell r="A1674">
            <v>8034</v>
          </cell>
        </row>
        <row r="1675">
          <cell r="A1675">
            <v>8035</v>
          </cell>
        </row>
        <row r="1676">
          <cell r="A1676">
            <v>8036</v>
          </cell>
        </row>
        <row r="1677">
          <cell r="A1677">
            <v>8037</v>
          </cell>
        </row>
        <row r="1678">
          <cell r="A1678">
            <v>8038</v>
          </cell>
        </row>
        <row r="1679">
          <cell r="A1679">
            <v>8039</v>
          </cell>
        </row>
        <row r="1680">
          <cell r="A1680">
            <v>8040</v>
          </cell>
        </row>
        <row r="1681">
          <cell r="A1681">
            <v>8041</v>
          </cell>
        </row>
        <row r="1682">
          <cell r="A1682">
            <v>8042</v>
          </cell>
        </row>
        <row r="1683">
          <cell r="A1683">
            <v>8043</v>
          </cell>
        </row>
        <row r="1684">
          <cell r="A1684">
            <v>8044</v>
          </cell>
        </row>
        <row r="1685">
          <cell r="A1685">
            <v>8045</v>
          </cell>
        </row>
        <row r="1686">
          <cell r="A1686">
            <v>8046</v>
          </cell>
        </row>
        <row r="1687">
          <cell r="A1687">
            <v>8047</v>
          </cell>
        </row>
        <row r="1688">
          <cell r="A1688">
            <v>8048</v>
          </cell>
        </row>
        <row r="1689">
          <cell r="A1689">
            <v>8049</v>
          </cell>
        </row>
        <row r="1690">
          <cell r="A1690">
            <v>8050</v>
          </cell>
        </row>
        <row r="1691">
          <cell r="A1691">
            <v>8051</v>
          </cell>
        </row>
        <row r="1692">
          <cell r="A1692">
            <v>8052</v>
          </cell>
        </row>
        <row r="1693">
          <cell r="A1693">
            <v>8053</v>
          </cell>
        </row>
        <row r="1694">
          <cell r="A1694">
            <v>8054</v>
          </cell>
        </row>
        <row r="1695">
          <cell r="A1695">
            <v>8055</v>
          </cell>
        </row>
        <row r="1696">
          <cell r="A1696">
            <v>8056</v>
          </cell>
        </row>
        <row r="1697">
          <cell r="A1697">
            <v>8057</v>
          </cell>
        </row>
        <row r="1698">
          <cell r="A1698">
            <v>8058</v>
          </cell>
        </row>
        <row r="1699">
          <cell r="A1699">
            <v>8059</v>
          </cell>
        </row>
        <row r="1700">
          <cell r="A1700">
            <v>8060</v>
          </cell>
        </row>
        <row r="1701">
          <cell r="A1701">
            <v>8061</v>
          </cell>
        </row>
        <row r="1702">
          <cell r="A1702">
            <v>8062</v>
          </cell>
        </row>
        <row r="1703">
          <cell r="A1703">
            <v>8063</v>
          </cell>
        </row>
        <row r="1704">
          <cell r="A1704">
            <v>8064</v>
          </cell>
        </row>
        <row r="1705">
          <cell r="A1705">
            <v>8065</v>
          </cell>
        </row>
        <row r="1706">
          <cell r="A1706">
            <v>8066</v>
          </cell>
        </row>
        <row r="1707">
          <cell r="A1707">
            <v>8067</v>
          </cell>
        </row>
        <row r="1708">
          <cell r="A1708">
            <v>8068</v>
          </cell>
        </row>
        <row r="1709">
          <cell r="A1709">
            <v>8069</v>
          </cell>
        </row>
        <row r="1710">
          <cell r="A1710">
            <v>8070</v>
          </cell>
        </row>
        <row r="1711">
          <cell r="A1711">
            <v>8071</v>
          </cell>
        </row>
        <row r="1712">
          <cell r="A1712">
            <v>8072</v>
          </cell>
        </row>
        <row r="1713">
          <cell r="A1713">
            <v>8073</v>
          </cell>
        </row>
        <row r="1714">
          <cell r="A1714">
            <v>8074</v>
          </cell>
        </row>
        <row r="1715">
          <cell r="A1715">
            <v>8075</v>
          </cell>
        </row>
        <row r="1716">
          <cell r="A1716">
            <v>8076</v>
          </cell>
        </row>
        <row r="1717">
          <cell r="A1717">
            <v>8077</v>
          </cell>
        </row>
        <row r="1718">
          <cell r="A1718">
            <v>8078</v>
          </cell>
        </row>
        <row r="1719">
          <cell r="A1719">
            <v>8079</v>
          </cell>
        </row>
        <row r="1720">
          <cell r="A1720">
            <v>8080</v>
          </cell>
        </row>
        <row r="1721">
          <cell r="A1721">
            <v>8081</v>
          </cell>
        </row>
        <row r="1722">
          <cell r="A1722">
            <v>8082</v>
          </cell>
        </row>
        <row r="1723">
          <cell r="A1723">
            <v>8083</v>
          </cell>
        </row>
        <row r="1724">
          <cell r="A1724">
            <v>8084</v>
          </cell>
        </row>
        <row r="1725">
          <cell r="A1725">
            <v>8085</v>
          </cell>
        </row>
        <row r="1726">
          <cell r="A1726">
            <v>8086</v>
          </cell>
        </row>
        <row r="1727">
          <cell r="A1727">
            <v>8087</v>
          </cell>
        </row>
        <row r="1728">
          <cell r="A1728">
            <v>8088</v>
          </cell>
        </row>
        <row r="1729">
          <cell r="A1729">
            <v>8089</v>
          </cell>
        </row>
        <row r="1730">
          <cell r="A1730">
            <v>8090</v>
          </cell>
        </row>
        <row r="1731">
          <cell r="A1731">
            <v>8095</v>
          </cell>
        </row>
        <row r="1732">
          <cell r="A1732">
            <v>8096</v>
          </cell>
        </row>
        <row r="1733">
          <cell r="A1733">
            <v>8097</v>
          </cell>
        </row>
        <row r="1734">
          <cell r="A1734">
            <v>8098</v>
          </cell>
        </row>
        <row r="1735">
          <cell r="A1735">
            <v>8099</v>
          </cell>
        </row>
        <row r="1736">
          <cell r="A1736">
            <v>8100</v>
          </cell>
        </row>
        <row r="1737">
          <cell r="A1737">
            <v>8101</v>
          </cell>
        </row>
        <row r="1738">
          <cell r="A1738">
            <v>8102</v>
          </cell>
        </row>
        <row r="1739">
          <cell r="A1739">
            <v>8103</v>
          </cell>
        </row>
        <row r="1740">
          <cell r="A1740">
            <v>8104</v>
          </cell>
        </row>
        <row r="1741">
          <cell r="A1741">
            <v>8105</v>
          </cell>
        </row>
        <row r="1742">
          <cell r="A1742">
            <v>8106</v>
          </cell>
        </row>
        <row r="1743">
          <cell r="A1743">
            <v>8111</v>
          </cell>
        </row>
        <row r="1744">
          <cell r="A1744">
            <v>8112</v>
          </cell>
        </row>
        <row r="1745">
          <cell r="A1745">
            <v>8113</v>
          </cell>
        </row>
        <row r="1746">
          <cell r="A1746">
            <v>8114</v>
          </cell>
        </row>
        <row r="1747">
          <cell r="A1747">
            <v>8115</v>
          </cell>
        </row>
        <row r="1748">
          <cell r="A1748">
            <v>8116</v>
          </cell>
        </row>
        <row r="1749">
          <cell r="A1749">
            <v>8117</v>
          </cell>
        </row>
        <row r="1750">
          <cell r="A1750">
            <v>8118</v>
          </cell>
        </row>
        <row r="1751">
          <cell r="A1751">
            <v>8119</v>
          </cell>
        </row>
        <row r="1752">
          <cell r="A1752">
            <v>8120</v>
          </cell>
        </row>
        <row r="1753">
          <cell r="A1753">
            <v>8121</v>
          </cell>
        </row>
        <row r="1754">
          <cell r="A1754">
            <v>8122</v>
          </cell>
        </row>
        <row r="1755">
          <cell r="A1755">
            <v>8123</v>
          </cell>
        </row>
        <row r="1756">
          <cell r="A1756">
            <v>8124</v>
          </cell>
        </row>
        <row r="1757">
          <cell r="A1757">
            <v>8125</v>
          </cell>
        </row>
        <row r="1758">
          <cell r="A1758">
            <v>8126</v>
          </cell>
        </row>
        <row r="1759">
          <cell r="A1759">
            <v>8127</v>
          </cell>
        </row>
        <row r="1760">
          <cell r="A1760">
            <v>8128</v>
          </cell>
        </row>
        <row r="1761">
          <cell r="A1761">
            <v>8129</v>
          </cell>
        </row>
        <row r="1762">
          <cell r="A1762">
            <v>8130</v>
          </cell>
        </row>
        <row r="1763">
          <cell r="A1763">
            <v>8131</v>
          </cell>
        </row>
        <row r="1764">
          <cell r="A1764">
            <v>8132</v>
          </cell>
        </row>
        <row r="1765">
          <cell r="A1765">
            <v>8133</v>
          </cell>
        </row>
        <row r="1766">
          <cell r="A1766">
            <v>8134</v>
          </cell>
        </row>
        <row r="1767">
          <cell r="A1767">
            <v>8135</v>
          </cell>
        </row>
        <row r="1768">
          <cell r="A1768">
            <v>8136</v>
          </cell>
        </row>
        <row r="1769">
          <cell r="A1769">
            <v>8137</v>
          </cell>
        </row>
        <row r="1770">
          <cell r="A1770">
            <v>8138</v>
          </cell>
        </row>
        <row r="1771">
          <cell r="A1771">
            <v>9001</v>
          </cell>
        </row>
        <row r="1772">
          <cell r="A1772">
            <v>9002</v>
          </cell>
        </row>
        <row r="1773">
          <cell r="A1773">
            <v>9003</v>
          </cell>
        </row>
        <row r="1774">
          <cell r="A1774">
            <v>9004</v>
          </cell>
        </row>
        <row r="1775">
          <cell r="A1775">
            <v>9005</v>
          </cell>
        </row>
        <row r="1776">
          <cell r="A1776">
            <v>9006</v>
          </cell>
        </row>
        <row r="1777">
          <cell r="A1777">
            <v>9007</v>
          </cell>
        </row>
        <row r="1778">
          <cell r="A1778">
            <v>9008</v>
          </cell>
        </row>
        <row r="1779">
          <cell r="A1779">
            <v>9009</v>
          </cell>
        </row>
        <row r="1780">
          <cell r="A1780">
            <v>9010</v>
          </cell>
        </row>
        <row r="1781">
          <cell r="A1781">
            <v>9011</v>
          </cell>
        </row>
        <row r="1782">
          <cell r="A1782">
            <v>9012</v>
          </cell>
        </row>
        <row r="1783">
          <cell r="A1783">
            <v>10001</v>
          </cell>
        </row>
        <row r="1784">
          <cell r="A1784">
            <v>10002</v>
          </cell>
        </row>
        <row r="1785">
          <cell r="A1785">
            <v>10003</v>
          </cell>
        </row>
        <row r="1786">
          <cell r="A1786">
            <v>10004</v>
          </cell>
        </row>
        <row r="1787">
          <cell r="A1787">
            <v>10005</v>
          </cell>
        </row>
        <row r="1788">
          <cell r="A1788">
            <v>10006</v>
          </cell>
        </row>
        <row r="1789">
          <cell r="A1789">
            <v>10007</v>
          </cell>
        </row>
        <row r="1790">
          <cell r="A1790">
            <v>10008</v>
          </cell>
        </row>
        <row r="1791">
          <cell r="A1791">
            <v>10009</v>
          </cell>
        </row>
        <row r="1792">
          <cell r="A1792">
            <v>10010</v>
          </cell>
        </row>
        <row r="1793">
          <cell r="A1793">
            <v>10011</v>
          </cell>
        </row>
        <row r="1794">
          <cell r="A1794">
            <v>10012</v>
          </cell>
        </row>
        <row r="1795">
          <cell r="A1795">
            <v>10013</v>
          </cell>
        </row>
        <row r="1796">
          <cell r="A1796">
            <v>10014</v>
          </cell>
        </row>
        <row r="1797">
          <cell r="A1797">
            <v>10015</v>
          </cell>
        </row>
        <row r="1798">
          <cell r="A1798">
            <v>10016</v>
          </cell>
        </row>
        <row r="1799">
          <cell r="A1799">
            <v>10017</v>
          </cell>
        </row>
        <row r="1800">
          <cell r="A1800">
            <v>10018</v>
          </cell>
        </row>
        <row r="1801">
          <cell r="A1801">
            <v>10019</v>
          </cell>
        </row>
        <row r="1802">
          <cell r="A1802">
            <v>10020</v>
          </cell>
        </row>
        <row r="1803">
          <cell r="A1803">
            <v>10021</v>
          </cell>
        </row>
        <row r="1804">
          <cell r="A1804">
            <v>10022</v>
          </cell>
        </row>
        <row r="1805">
          <cell r="A1805">
            <v>10023</v>
          </cell>
        </row>
        <row r="1806">
          <cell r="A1806">
            <v>10024</v>
          </cell>
        </row>
        <row r="1807">
          <cell r="A1807">
            <v>10025</v>
          </cell>
        </row>
        <row r="1808">
          <cell r="A1808">
            <v>10026</v>
          </cell>
        </row>
        <row r="1809">
          <cell r="A1809">
            <v>10027</v>
          </cell>
        </row>
        <row r="1810">
          <cell r="A1810">
            <v>10028</v>
          </cell>
        </row>
        <row r="1811">
          <cell r="A1811">
            <v>10029</v>
          </cell>
        </row>
        <row r="1812">
          <cell r="A1812">
            <v>10030</v>
          </cell>
        </row>
        <row r="1813">
          <cell r="A1813">
            <v>10031</v>
          </cell>
        </row>
        <row r="1814">
          <cell r="A1814">
            <v>10032</v>
          </cell>
        </row>
        <row r="1815">
          <cell r="A1815">
            <v>10033</v>
          </cell>
        </row>
        <row r="1816">
          <cell r="A1816">
            <v>10034</v>
          </cell>
        </row>
        <row r="1817">
          <cell r="A1817">
            <v>10035</v>
          </cell>
        </row>
        <row r="1818">
          <cell r="A1818">
            <v>10036</v>
          </cell>
        </row>
        <row r="1819">
          <cell r="A1819">
            <v>10037</v>
          </cell>
        </row>
        <row r="1820">
          <cell r="A1820">
            <v>10038</v>
          </cell>
        </row>
        <row r="1821">
          <cell r="A1821">
            <v>10039</v>
          </cell>
        </row>
        <row r="1822">
          <cell r="A1822">
            <v>10040</v>
          </cell>
        </row>
        <row r="1823">
          <cell r="A1823">
            <v>10041</v>
          </cell>
        </row>
        <row r="1824">
          <cell r="A1824">
            <v>10042</v>
          </cell>
        </row>
        <row r="1825">
          <cell r="A1825">
            <v>10043</v>
          </cell>
        </row>
        <row r="1826">
          <cell r="A1826">
            <v>10044</v>
          </cell>
        </row>
        <row r="1827">
          <cell r="A1827">
            <v>10045</v>
          </cell>
        </row>
        <row r="1828">
          <cell r="A1828">
            <v>10046</v>
          </cell>
        </row>
        <row r="1829">
          <cell r="A1829">
            <v>10047</v>
          </cell>
        </row>
        <row r="1830">
          <cell r="A1830">
            <v>10048</v>
          </cell>
        </row>
        <row r="1831">
          <cell r="A1831">
            <v>10049</v>
          </cell>
        </row>
        <row r="1832">
          <cell r="A1832">
            <v>10050</v>
          </cell>
        </row>
        <row r="1833">
          <cell r="A1833">
            <v>10051</v>
          </cell>
        </row>
        <row r="1834">
          <cell r="A1834">
            <v>10052</v>
          </cell>
        </row>
        <row r="1835">
          <cell r="A1835">
            <v>10053</v>
          </cell>
        </row>
        <row r="1836">
          <cell r="A1836">
            <v>10054</v>
          </cell>
        </row>
        <row r="1837">
          <cell r="A1837">
            <v>10055</v>
          </cell>
        </row>
        <row r="1838">
          <cell r="A1838">
            <v>10056</v>
          </cell>
        </row>
        <row r="1839">
          <cell r="A1839">
            <v>10057</v>
          </cell>
        </row>
        <row r="1840">
          <cell r="A1840">
            <v>10058</v>
          </cell>
        </row>
        <row r="1841">
          <cell r="A1841">
            <v>10059</v>
          </cell>
        </row>
        <row r="1842">
          <cell r="A1842">
            <v>10060</v>
          </cell>
        </row>
        <row r="1843">
          <cell r="A1843">
            <v>10061</v>
          </cell>
        </row>
        <row r="1844">
          <cell r="A1844">
            <v>10062</v>
          </cell>
        </row>
        <row r="1845">
          <cell r="A1845">
            <v>10063</v>
          </cell>
        </row>
        <row r="1846">
          <cell r="A1846">
            <v>10064</v>
          </cell>
        </row>
        <row r="1847">
          <cell r="A1847">
            <v>10065</v>
          </cell>
        </row>
        <row r="1848">
          <cell r="A1848">
            <v>10066</v>
          </cell>
        </row>
        <row r="1849">
          <cell r="A1849">
            <v>10067</v>
          </cell>
        </row>
        <row r="1850">
          <cell r="A1850">
            <v>10068</v>
          </cell>
        </row>
        <row r="1851">
          <cell r="A1851">
            <v>10069</v>
          </cell>
        </row>
        <row r="1852">
          <cell r="A1852">
            <v>10070</v>
          </cell>
        </row>
        <row r="1853">
          <cell r="A1853">
            <v>10071</v>
          </cell>
        </row>
        <row r="1854">
          <cell r="A1854">
            <v>10072</v>
          </cell>
        </row>
        <row r="1855">
          <cell r="A1855">
            <v>10073</v>
          </cell>
        </row>
        <row r="1856">
          <cell r="A1856">
            <v>10074</v>
          </cell>
        </row>
        <row r="1857">
          <cell r="A1857">
            <v>10075</v>
          </cell>
        </row>
        <row r="1858">
          <cell r="A1858">
            <v>10076</v>
          </cell>
        </row>
        <row r="1859">
          <cell r="A1859">
            <v>10077</v>
          </cell>
        </row>
        <row r="1860">
          <cell r="A1860">
            <v>10078</v>
          </cell>
        </row>
        <row r="1861">
          <cell r="A1861">
            <v>10079</v>
          </cell>
        </row>
        <row r="1862">
          <cell r="A1862">
            <v>10080</v>
          </cell>
        </row>
        <row r="1863">
          <cell r="A1863">
            <v>10081</v>
          </cell>
        </row>
        <row r="1864">
          <cell r="A1864">
            <v>10082</v>
          </cell>
        </row>
        <row r="1865">
          <cell r="A1865">
            <v>10083</v>
          </cell>
        </row>
        <row r="1866">
          <cell r="A1866">
            <v>10084</v>
          </cell>
        </row>
        <row r="1867">
          <cell r="A1867">
            <v>10085</v>
          </cell>
        </row>
        <row r="1868">
          <cell r="A1868">
            <v>10086</v>
          </cell>
        </row>
        <row r="1869">
          <cell r="A1869">
            <v>10087</v>
          </cell>
        </row>
        <row r="1870">
          <cell r="A1870">
            <v>10088</v>
          </cell>
        </row>
        <row r="1871">
          <cell r="A1871">
            <v>10089</v>
          </cell>
        </row>
        <row r="1872">
          <cell r="A1872">
            <v>10090</v>
          </cell>
        </row>
        <row r="1873">
          <cell r="A1873">
            <v>10101</v>
          </cell>
        </row>
        <row r="1874">
          <cell r="A1874">
            <v>10102</v>
          </cell>
        </row>
        <row r="1875">
          <cell r="A1875">
            <v>10103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awake_materials"/>
      <sheetName val="→base値"/>
      <sheetName val="コスト"/>
      <sheetName val="レベル"/>
      <sheetName val="経験値"/>
      <sheetName val="RC6SV"/>
      <sheetName val="ビット"/>
      <sheetName val="チェックシート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1">
          <cell r="A1" t="str">
            <v>ラベル/レアリティ</v>
          </cell>
          <cell r="B1">
            <v>1</v>
          </cell>
          <cell r="C1">
            <v>2</v>
          </cell>
          <cell r="D1">
            <v>3</v>
          </cell>
          <cell r="E1">
            <v>4</v>
          </cell>
          <cell r="F1">
            <v>5</v>
          </cell>
          <cell r="G1">
            <v>6</v>
          </cell>
          <cell r="H1">
            <v>7</v>
          </cell>
          <cell r="I1">
            <v>8</v>
          </cell>
        </row>
        <row r="2">
          <cell r="A2" t="str">
            <v>DropWizSSS</v>
          </cell>
          <cell r="D2" t="str">
            <v>-</v>
          </cell>
          <cell r="E2">
            <v>30</v>
          </cell>
          <cell r="F2">
            <v>40</v>
          </cell>
          <cell r="G2">
            <v>55</v>
          </cell>
        </row>
        <row r="3">
          <cell r="A3" t="str">
            <v>DropWizSS</v>
          </cell>
          <cell r="D3" t="str">
            <v>-</v>
          </cell>
          <cell r="E3">
            <v>25</v>
          </cell>
          <cell r="F3">
            <v>35</v>
          </cell>
          <cell r="G3">
            <v>50</v>
          </cell>
        </row>
        <row r="4">
          <cell r="A4" t="str">
            <v>DropWizS</v>
          </cell>
          <cell r="D4">
            <v>10</v>
          </cell>
          <cell r="E4">
            <v>20</v>
          </cell>
          <cell r="F4">
            <v>30</v>
          </cell>
          <cell r="G4">
            <v>45</v>
          </cell>
        </row>
        <row r="5">
          <cell r="A5" t="str">
            <v>DropN</v>
          </cell>
          <cell r="D5">
            <v>9</v>
          </cell>
          <cell r="E5">
            <v>18</v>
          </cell>
          <cell r="F5">
            <v>28</v>
          </cell>
          <cell r="G5">
            <v>43</v>
          </cell>
        </row>
        <row r="6">
          <cell r="A6" t="str">
            <v>DropW</v>
          </cell>
          <cell r="D6">
            <v>7</v>
          </cell>
          <cell r="E6">
            <v>16</v>
          </cell>
          <cell r="F6" t="str">
            <v>-</v>
          </cell>
          <cell r="G6" t="str">
            <v>-</v>
          </cell>
        </row>
        <row r="7">
          <cell r="A7" t="str">
            <v>PremiumL</v>
          </cell>
          <cell r="B7" t="str">
            <v>-</v>
          </cell>
          <cell r="C7" t="str">
            <v>-</v>
          </cell>
          <cell r="D7" t="str">
            <v>-</v>
          </cell>
          <cell r="E7" t="str">
            <v>-</v>
          </cell>
          <cell r="F7" t="str">
            <v>-</v>
          </cell>
          <cell r="G7" t="str">
            <v>-</v>
          </cell>
          <cell r="H7" t="str">
            <v>-</v>
          </cell>
          <cell r="I7" t="str">
            <v>-</v>
          </cell>
        </row>
        <row r="8">
          <cell r="A8" t="str">
            <v>PremiumSSS</v>
          </cell>
          <cell r="B8" t="str">
            <v>-</v>
          </cell>
          <cell r="C8" t="str">
            <v>-</v>
          </cell>
          <cell r="D8" t="str">
            <v>-</v>
          </cell>
          <cell r="E8">
            <v>30</v>
          </cell>
          <cell r="F8">
            <v>40</v>
          </cell>
          <cell r="G8">
            <v>55</v>
          </cell>
          <cell r="H8" t="str">
            <v>-</v>
          </cell>
          <cell r="I8" t="str">
            <v>-</v>
          </cell>
        </row>
        <row r="9">
          <cell r="A9" t="str">
            <v>PremiumSS</v>
          </cell>
          <cell r="B9" t="str">
            <v>-</v>
          </cell>
          <cell r="C9" t="str">
            <v>-</v>
          </cell>
          <cell r="D9" t="str">
            <v>-</v>
          </cell>
          <cell r="E9">
            <v>25</v>
          </cell>
          <cell r="F9">
            <v>35</v>
          </cell>
          <cell r="G9">
            <v>50</v>
          </cell>
          <cell r="H9" t="str">
            <v>-</v>
          </cell>
          <cell r="I9" t="str">
            <v>-</v>
          </cell>
        </row>
        <row r="10">
          <cell r="A10" t="str">
            <v>PremiumS</v>
          </cell>
          <cell r="B10" t="str">
            <v>-</v>
          </cell>
          <cell r="C10" t="str">
            <v>-</v>
          </cell>
          <cell r="D10">
            <v>10</v>
          </cell>
          <cell r="E10">
            <v>20</v>
          </cell>
          <cell r="F10">
            <v>30</v>
          </cell>
          <cell r="G10">
            <v>45</v>
          </cell>
          <cell r="H10" t="str">
            <v>-</v>
          </cell>
          <cell r="I10" t="str">
            <v>-</v>
          </cell>
        </row>
        <row r="11">
          <cell r="A11" t="str">
            <v>PremiumN</v>
          </cell>
          <cell r="B11" t="str">
            <v>-</v>
          </cell>
          <cell r="C11" t="str">
            <v>-</v>
          </cell>
          <cell r="D11">
            <v>9</v>
          </cell>
          <cell r="E11">
            <v>18</v>
          </cell>
          <cell r="F11">
            <v>28</v>
          </cell>
          <cell r="G11">
            <v>43</v>
          </cell>
          <cell r="H11" t="str">
            <v>-</v>
          </cell>
          <cell r="I11" t="str">
            <v>-</v>
          </cell>
        </row>
        <row r="12">
          <cell r="A12" t="str">
            <v>PremiumW</v>
          </cell>
          <cell r="B12" t="str">
            <v>-</v>
          </cell>
          <cell r="C12" t="str">
            <v>-</v>
          </cell>
          <cell r="D12">
            <v>7</v>
          </cell>
          <cell r="E12">
            <v>16</v>
          </cell>
          <cell r="F12" t="str">
            <v>-</v>
          </cell>
          <cell r="G12" t="str">
            <v>-</v>
          </cell>
          <cell r="H12" t="str">
            <v>-</v>
          </cell>
          <cell r="I12" t="str">
            <v>-</v>
          </cell>
        </row>
        <row r="13">
          <cell r="A13" t="str">
            <v>Drop2S</v>
          </cell>
          <cell r="B13" t="str">
            <v>-</v>
          </cell>
          <cell r="C13" t="str">
            <v>-</v>
          </cell>
          <cell r="D13">
            <v>8</v>
          </cell>
          <cell r="E13">
            <v>17</v>
          </cell>
          <cell r="F13">
            <v>26</v>
          </cell>
          <cell r="G13" t="str">
            <v>-</v>
          </cell>
          <cell r="H13" t="str">
            <v>-</v>
          </cell>
          <cell r="I13" t="str">
            <v>-</v>
          </cell>
        </row>
        <row r="14">
          <cell r="A14" t="str">
            <v>Drop2N</v>
          </cell>
          <cell r="B14" t="str">
            <v>-</v>
          </cell>
          <cell r="C14" t="str">
            <v>-</v>
          </cell>
          <cell r="D14">
            <v>8</v>
          </cell>
          <cell r="E14">
            <v>17</v>
          </cell>
          <cell r="F14">
            <v>26</v>
          </cell>
          <cell r="G14" t="str">
            <v>-</v>
          </cell>
          <cell r="H14" t="str">
            <v>-</v>
          </cell>
          <cell r="I14" t="str">
            <v>-</v>
          </cell>
        </row>
        <row r="15">
          <cell r="A15" t="str">
            <v>Drop2W</v>
          </cell>
          <cell r="B15" t="str">
            <v>-</v>
          </cell>
          <cell r="C15" t="str">
            <v>-</v>
          </cell>
          <cell r="D15">
            <v>6</v>
          </cell>
          <cell r="E15">
            <v>14</v>
          </cell>
          <cell r="F15" t="str">
            <v>-</v>
          </cell>
          <cell r="G15" t="str">
            <v>-</v>
          </cell>
          <cell r="H15" t="str">
            <v>-</v>
          </cell>
          <cell r="I15" t="str">
            <v>-</v>
          </cell>
        </row>
        <row r="16">
          <cell r="A16" t="str">
            <v>Drop1S</v>
          </cell>
          <cell r="B16" t="str">
            <v>-</v>
          </cell>
          <cell r="C16">
            <v>4</v>
          </cell>
          <cell r="D16">
            <v>6</v>
          </cell>
          <cell r="E16">
            <v>14</v>
          </cell>
          <cell r="F16" t="str">
            <v>-</v>
          </cell>
          <cell r="G16" t="str">
            <v>-</v>
          </cell>
          <cell r="H16" t="str">
            <v>-</v>
          </cell>
          <cell r="I16" t="str">
            <v>-</v>
          </cell>
        </row>
        <row r="17">
          <cell r="A17" t="str">
            <v>Drop1N</v>
          </cell>
          <cell r="B17">
            <v>2</v>
          </cell>
          <cell r="C17">
            <v>4</v>
          </cell>
          <cell r="D17">
            <v>6</v>
          </cell>
          <cell r="E17" t="str">
            <v>-</v>
          </cell>
          <cell r="F17" t="str">
            <v>-</v>
          </cell>
          <cell r="G17" t="str">
            <v>-</v>
          </cell>
          <cell r="H17" t="str">
            <v>-</v>
          </cell>
          <cell r="I17" t="str">
            <v>-</v>
          </cell>
        </row>
        <row r="18">
          <cell r="A18" t="str">
            <v>Drop1W</v>
          </cell>
          <cell r="B18">
            <v>1</v>
          </cell>
          <cell r="C18">
            <v>2</v>
          </cell>
          <cell r="D18" t="str">
            <v>-</v>
          </cell>
          <cell r="E18" t="str">
            <v>-</v>
          </cell>
          <cell r="F18" t="str">
            <v>-</v>
          </cell>
          <cell r="G18" t="str">
            <v>-</v>
          </cell>
          <cell r="H18" t="str">
            <v>-</v>
          </cell>
          <cell r="I18" t="str">
            <v>-</v>
          </cell>
        </row>
        <row r="19">
          <cell r="A19" t="str">
            <v>Drop1T</v>
          </cell>
          <cell r="B19">
            <v>1</v>
          </cell>
          <cell r="C19">
            <v>1</v>
          </cell>
          <cell r="D19" t="str">
            <v>-</v>
          </cell>
          <cell r="E19" t="str">
            <v>-</v>
          </cell>
          <cell r="F19" t="str">
            <v>-</v>
          </cell>
          <cell r="G19" t="str">
            <v>-</v>
          </cell>
          <cell r="H19" t="str">
            <v>-</v>
          </cell>
          <cell r="I19" t="str">
            <v>-</v>
          </cell>
        </row>
        <row r="20">
          <cell r="A20" t="str">
            <v>Material</v>
          </cell>
          <cell r="B20">
            <v>99</v>
          </cell>
          <cell r="C20">
            <v>99</v>
          </cell>
          <cell r="D20">
            <v>99</v>
          </cell>
          <cell r="E20">
            <v>99</v>
          </cell>
          <cell r="F20">
            <v>99</v>
          </cell>
          <cell r="G20">
            <v>99</v>
          </cell>
          <cell r="H20">
            <v>99</v>
          </cell>
          <cell r="I20">
            <v>99</v>
          </cell>
        </row>
      </sheetData>
      <sheetData sheetId="8" refreshError="1">
        <row r="1">
          <cell r="A1" t="str">
            <v>ラベル</v>
          </cell>
          <cell r="B1">
            <v>1</v>
          </cell>
          <cell r="C1">
            <v>2</v>
          </cell>
          <cell r="D1">
            <v>3</v>
          </cell>
          <cell r="E1">
            <v>4</v>
          </cell>
          <cell r="F1">
            <v>5</v>
          </cell>
          <cell r="G1">
            <v>6</v>
          </cell>
          <cell r="H1">
            <v>7</v>
          </cell>
          <cell r="I1">
            <v>8</v>
          </cell>
        </row>
        <row r="2">
          <cell r="A2" t="str">
            <v>DropWizSSS</v>
          </cell>
          <cell r="D2" t="str">
            <v>-</v>
          </cell>
          <cell r="E2">
            <v>60</v>
          </cell>
          <cell r="F2">
            <v>80</v>
          </cell>
          <cell r="G2">
            <v>99</v>
          </cell>
        </row>
        <row r="3">
          <cell r="A3" t="str">
            <v>DropWizSS</v>
          </cell>
          <cell r="D3" t="str">
            <v>-</v>
          </cell>
          <cell r="E3">
            <v>60</v>
          </cell>
          <cell r="F3">
            <v>80</v>
          </cell>
          <cell r="G3">
            <v>99</v>
          </cell>
        </row>
        <row r="4">
          <cell r="A4" t="str">
            <v>DropWizS</v>
          </cell>
          <cell r="D4">
            <v>40</v>
          </cell>
          <cell r="E4">
            <v>60</v>
          </cell>
          <cell r="F4">
            <v>80</v>
          </cell>
          <cell r="G4">
            <v>99</v>
          </cell>
        </row>
        <row r="5">
          <cell r="A5" t="str">
            <v>DropN</v>
          </cell>
          <cell r="D5">
            <v>40</v>
          </cell>
          <cell r="E5">
            <v>60</v>
          </cell>
          <cell r="F5">
            <v>80</v>
          </cell>
          <cell r="G5">
            <v>99</v>
          </cell>
        </row>
        <row r="6">
          <cell r="A6" t="str">
            <v>DropW</v>
          </cell>
          <cell r="D6">
            <v>40</v>
          </cell>
          <cell r="E6">
            <v>60</v>
          </cell>
          <cell r="F6" t="str">
            <v>-</v>
          </cell>
          <cell r="G6" t="str">
            <v>-</v>
          </cell>
        </row>
        <row r="7">
          <cell r="A7" t="str">
            <v>PremiumL</v>
          </cell>
          <cell r="B7" t="str">
            <v>-</v>
          </cell>
          <cell r="C7" t="str">
            <v>-</v>
          </cell>
          <cell r="D7" t="str">
            <v>-</v>
          </cell>
          <cell r="E7" t="str">
            <v>-</v>
          </cell>
          <cell r="F7" t="str">
            <v>-</v>
          </cell>
          <cell r="G7" t="str">
            <v>-</v>
          </cell>
          <cell r="H7" t="str">
            <v>-</v>
          </cell>
          <cell r="I7" t="str">
            <v>-</v>
          </cell>
        </row>
        <row r="8">
          <cell r="A8" t="str">
            <v>PremiumSSS</v>
          </cell>
          <cell r="B8" t="str">
            <v>-</v>
          </cell>
          <cell r="C8" t="str">
            <v>-</v>
          </cell>
          <cell r="D8" t="str">
            <v>-</v>
          </cell>
          <cell r="E8">
            <v>60</v>
          </cell>
          <cell r="F8">
            <v>80</v>
          </cell>
          <cell r="G8">
            <v>99</v>
          </cell>
          <cell r="H8" t="str">
            <v>-</v>
          </cell>
          <cell r="I8" t="str">
            <v>-</v>
          </cell>
        </row>
        <row r="9">
          <cell r="A9" t="str">
            <v>PremiumSS</v>
          </cell>
          <cell r="B9" t="str">
            <v>-</v>
          </cell>
          <cell r="C9" t="str">
            <v>-</v>
          </cell>
          <cell r="D9" t="str">
            <v>-</v>
          </cell>
          <cell r="E9">
            <v>60</v>
          </cell>
          <cell r="F9">
            <v>80</v>
          </cell>
          <cell r="G9">
            <v>99</v>
          </cell>
          <cell r="H9" t="str">
            <v>-</v>
          </cell>
          <cell r="I9" t="str">
            <v>-</v>
          </cell>
        </row>
        <row r="10">
          <cell r="A10" t="str">
            <v>PremiumS</v>
          </cell>
          <cell r="B10" t="str">
            <v>-</v>
          </cell>
          <cell r="C10" t="str">
            <v>-</v>
          </cell>
          <cell r="D10">
            <v>40</v>
          </cell>
          <cell r="E10">
            <v>60</v>
          </cell>
          <cell r="F10">
            <v>80</v>
          </cell>
          <cell r="G10">
            <v>99</v>
          </cell>
          <cell r="H10" t="str">
            <v>-</v>
          </cell>
          <cell r="I10" t="str">
            <v>-</v>
          </cell>
        </row>
        <row r="11">
          <cell r="A11" t="str">
            <v>PremiumN</v>
          </cell>
          <cell r="B11" t="str">
            <v>-</v>
          </cell>
          <cell r="C11" t="str">
            <v>-</v>
          </cell>
          <cell r="D11">
            <v>40</v>
          </cell>
          <cell r="E11">
            <v>60</v>
          </cell>
          <cell r="F11">
            <v>80</v>
          </cell>
          <cell r="G11">
            <v>99</v>
          </cell>
          <cell r="H11" t="str">
            <v>-</v>
          </cell>
          <cell r="I11" t="str">
            <v>-</v>
          </cell>
        </row>
        <row r="12">
          <cell r="A12" t="str">
            <v>PremiumW</v>
          </cell>
          <cell r="B12" t="str">
            <v>-</v>
          </cell>
          <cell r="C12" t="str">
            <v>-</v>
          </cell>
          <cell r="D12">
            <v>40</v>
          </cell>
          <cell r="E12">
            <v>60</v>
          </cell>
          <cell r="F12" t="str">
            <v>-</v>
          </cell>
          <cell r="G12" t="str">
            <v>-</v>
          </cell>
          <cell r="H12" t="str">
            <v>-</v>
          </cell>
          <cell r="I12" t="str">
            <v>-</v>
          </cell>
        </row>
        <row r="13">
          <cell r="A13" t="str">
            <v>Drop2S</v>
          </cell>
          <cell r="B13" t="str">
            <v>-</v>
          </cell>
          <cell r="C13" t="str">
            <v>-</v>
          </cell>
          <cell r="D13">
            <v>40</v>
          </cell>
          <cell r="E13">
            <v>60</v>
          </cell>
          <cell r="F13">
            <v>80</v>
          </cell>
          <cell r="G13" t="str">
            <v>-</v>
          </cell>
          <cell r="H13" t="str">
            <v>-</v>
          </cell>
          <cell r="I13" t="str">
            <v>-</v>
          </cell>
        </row>
        <row r="14">
          <cell r="A14" t="str">
            <v>Drop2N</v>
          </cell>
          <cell r="B14" t="str">
            <v>-</v>
          </cell>
          <cell r="C14" t="str">
            <v>-</v>
          </cell>
          <cell r="D14">
            <v>40</v>
          </cell>
          <cell r="E14">
            <v>60</v>
          </cell>
          <cell r="F14">
            <v>80</v>
          </cell>
          <cell r="G14" t="str">
            <v>-</v>
          </cell>
          <cell r="H14" t="str">
            <v>-</v>
          </cell>
          <cell r="I14" t="str">
            <v>-</v>
          </cell>
        </row>
        <row r="15">
          <cell r="A15" t="str">
            <v>Drop2W</v>
          </cell>
          <cell r="B15" t="str">
            <v>-</v>
          </cell>
          <cell r="C15">
            <v>30</v>
          </cell>
          <cell r="D15">
            <v>40</v>
          </cell>
          <cell r="E15">
            <v>60</v>
          </cell>
          <cell r="F15" t="str">
            <v>-</v>
          </cell>
          <cell r="G15" t="str">
            <v>-</v>
          </cell>
          <cell r="H15" t="str">
            <v>-</v>
          </cell>
          <cell r="I15" t="str">
            <v>-</v>
          </cell>
        </row>
        <row r="16">
          <cell r="A16" t="str">
            <v>Drop1S</v>
          </cell>
          <cell r="B16" t="str">
            <v>-</v>
          </cell>
          <cell r="C16">
            <v>30</v>
          </cell>
          <cell r="D16">
            <v>40</v>
          </cell>
          <cell r="E16">
            <v>60</v>
          </cell>
          <cell r="F16" t="str">
            <v>-</v>
          </cell>
          <cell r="G16" t="str">
            <v>-</v>
          </cell>
          <cell r="H16" t="str">
            <v>-</v>
          </cell>
          <cell r="I16" t="str">
            <v>-</v>
          </cell>
        </row>
        <row r="17">
          <cell r="A17" t="str">
            <v>Drop1N</v>
          </cell>
          <cell r="B17">
            <v>15</v>
          </cell>
          <cell r="C17">
            <v>30</v>
          </cell>
          <cell r="D17">
            <v>40</v>
          </cell>
          <cell r="E17" t="str">
            <v>-</v>
          </cell>
          <cell r="F17" t="str">
            <v>-</v>
          </cell>
          <cell r="G17" t="str">
            <v>-</v>
          </cell>
          <cell r="H17" t="str">
            <v>-</v>
          </cell>
          <cell r="I17" t="str">
            <v>-</v>
          </cell>
        </row>
        <row r="18">
          <cell r="A18" t="str">
            <v>Drop1W</v>
          </cell>
          <cell r="B18">
            <v>15</v>
          </cell>
          <cell r="C18">
            <v>30</v>
          </cell>
          <cell r="D18">
            <v>40</v>
          </cell>
          <cell r="E18" t="str">
            <v>-</v>
          </cell>
          <cell r="F18" t="str">
            <v>-</v>
          </cell>
          <cell r="G18" t="str">
            <v>-</v>
          </cell>
          <cell r="H18" t="str">
            <v>-</v>
          </cell>
          <cell r="I18" t="str">
            <v>-</v>
          </cell>
        </row>
        <row r="19">
          <cell r="A19" t="str">
            <v>Drop1T</v>
          </cell>
          <cell r="B19">
            <v>10</v>
          </cell>
          <cell r="C19">
            <v>20</v>
          </cell>
          <cell r="D19" t="str">
            <v>-</v>
          </cell>
          <cell r="E19" t="str">
            <v>-</v>
          </cell>
          <cell r="F19" t="str">
            <v>-</v>
          </cell>
          <cell r="G19" t="str">
            <v>-</v>
          </cell>
          <cell r="H19" t="str">
            <v>-</v>
          </cell>
          <cell r="I19" t="str">
            <v>-</v>
          </cell>
        </row>
        <row r="20">
          <cell r="A20" t="str">
            <v>Material</v>
          </cell>
          <cell r="B20">
            <v>1</v>
          </cell>
          <cell r="C20">
            <v>1</v>
          </cell>
          <cell r="D20">
            <v>1</v>
          </cell>
          <cell r="E20">
            <v>1</v>
          </cell>
          <cell r="F20">
            <v>1</v>
          </cell>
          <cell r="G20">
            <v>1</v>
          </cell>
          <cell r="H20">
            <v>1</v>
          </cell>
          <cell r="I20">
            <v>1</v>
          </cell>
        </row>
      </sheetData>
      <sheetData sheetId="9" refreshError="1">
        <row r="1">
          <cell r="A1" t="str">
            <v>ラベル</v>
          </cell>
          <cell r="B1">
            <v>1</v>
          </cell>
          <cell r="C1">
            <v>2</v>
          </cell>
          <cell r="D1">
            <v>3</v>
          </cell>
          <cell r="E1">
            <v>4</v>
          </cell>
          <cell r="F1">
            <v>5</v>
          </cell>
          <cell r="G1">
            <v>6</v>
          </cell>
          <cell r="H1">
            <v>7</v>
          </cell>
          <cell r="I1">
            <v>8</v>
          </cell>
        </row>
        <row r="2">
          <cell r="A2" t="str">
            <v>DropWizSSS</v>
          </cell>
          <cell r="D2" t="str">
            <v>-</v>
          </cell>
          <cell r="E2" t="str">
            <v>required_exp_200</v>
          </cell>
          <cell r="F2" t="str">
            <v>required_exp_200</v>
          </cell>
          <cell r="G2" t="str">
            <v>required_exp_250</v>
          </cell>
        </row>
        <row r="3">
          <cell r="A3" t="str">
            <v>DropWizSS</v>
          </cell>
          <cell r="D3" t="str">
            <v>required_exp_200</v>
          </cell>
          <cell r="E3" t="str">
            <v>required_exp_200</v>
          </cell>
          <cell r="F3" t="str">
            <v>required_exp_200</v>
          </cell>
          <cell r="G3" t="str">
            <v>required_exp_250</v>
          </cell>
        </row>
        <row r="4">
          <cell r="A4" t="str">
            <v>DropWizS</v>
          </cell>
          <cell r="D4" t="str">
            <v>required_exp_200</v>
          </cell>
          <cell r="E4" t="str">
            <v>required_exp_200</v>
          </cell>
          <cell r="F4" t="str">
            <v>required_exp_200</v>
          </cell>
          <cell r="G4" t="str">
            <v>required_exp_250</v>
          </cell>
        </row>
        <row r="5">
          <cell r="A5" t="str">
            <v>DropN</v>
          </cell>
          <cell r="D5" t="str">
            <v>required_exp_200</v>
          </cell>
          <cell r="E5" t="str">
            <v>required_exp_200</v>
          </cell>
          <cell r="F5" t="str">
            <v>required_exp_200</v>
          </cell>
          <cell r="G5" t="str">
            <v>required_exp_250</v>
          </cell>
        </row>
        <row r="6">
          <cell r="A6" t="str">
            <v>DropW</v>
          </cell>
          <cell r="D6" t="str">
            <v>required_exp_150</v>
          </cell>
          <cell r="E6" t="str">
            <v>required_exp_150</v>
          </cell>
          <cell r="F6" t="str">
            <v>-</v>
          </cell>
          <cell r="G6" t="str">
            <v>-</v>
          </cell>
        </row>
        <row r="7">
          <cell r="A7" t="str">
            <v>PremiumL</v>
          </cell>
          <cell r="B7" t="str">
            <v>-</v>
          </cell>
          <cell r="C7" t="str">
            <v>-</v>
          </cell>
          <cell r="D7" t="str">
            <v>-</v>
          </cell>
          <cell r="E7" t="str">
            <v>-</v>
          </cell>
          <cell r="F7" t="str">
            <v>-</v>
          </cell>
          <cell r="G7" t="str">
            <v>-</v>
          </cell>
          <cell r="H7" t="str">
            <v>-</v>
          </cell>
          <cell r="I7" t="str">
            <v>-</v>
          </cell>
        </row>
        <row r="8">
          <cell r="A8" t="str">
            <v>PremiumSSS</v>
          </cell>
          <cell r="B8" t="str">
            <v>-</v>
          </cell>
          <cell r="C8" t="str">
            <v>-</v>
          </cell>
          <cell r="D8" t="str">
            <v>-</v>
          </cell>
          <cell r="E8" t="str">
            <v>required_exp_250</v>
          </cell>
          <cell r="F8" t="str">
            <v>required_exp_250</v>
          </cell>
          <cell r="G8" t="str">
            <v>required_exp_300</v>
          </cell>
          <cell r="H8" t="str">
            <v>-</v>
          </cell>
          <cell r="I8" t="str">
            <v>-</v>
          </cell>
        </row>
        <row r="9">
          <cell r="A9" t="str">
            <v>PremiumSS</v>
          </cell>
          <cell r="B9" t="str">
            <v>-</v>
          </cell>
          <cell r="C9" t="str">
            <v>-</v>
          </cell>
          <cell r="D9" t="str">
            <v>-</v>
          </cell>
          <cell r="E9" t="str">
            <v>required_exp_200</v>
          </cell>
          <cell r="F9" t="str">
            <v>required_exp_200</v>
          </cell>
          <cell r="G9" t="str">
            <v>required_exp_250</v>
          </cell>
          <cell r="H9" t="str">
            <v>-</v>
          </cell>
          <cell r="I9" t="str">
            <v>-</v>
          </cell>
        </row>
        <row r="10">
          <cell r="A10" t="str">
            <v>PremiumS</v>
          </cell>
          <cell r="B10" t="str">
            <v>-</v>
          </cell>
          <cell r="C10" t="str">
            <v>-</v>
          </cell>
          <cell r="D10" t="str">
            <v>required_exp_200</v>
          </cell>
          <cell r="E10" t="str">
            <v>required_exp_200</v>
          </cell>
          <cell r="F10" t="str">
            <v>required_exp_200</v>
          </cell>
          <cell r="G10" t="str">
            <v>required_exp_250</v>
          </cell>
          <cell r="H10" t="str">
            <v>-</v>
          </cell>
          <cell r="I10" t="str">
            <v>-</v>
          </cell>
        </row>
        <row r="11">
          <cell r="A11" t="str">
            <v>PremiumN</v>
          </cell>
          <cell r="B11" t="str">
            <v>-</v>
          </cell>
          <cell r="C11" t="str">
            <v>-</v>
          </cell>
          <cell r="D11" t="str">
            <v>required_exp_200</v>
          </cell>
          <cell r="E11" t="str">
            <v>required_exp_200</v>
          </cell>
          <cell r="F11" t="str">
            <v>required_exp_200</v>
          </cell>
          <cell r="G11" t="str">
            <v>required_exp_250</v>
          </cell>
          <cell r="H11" t="str">
            <v>-</v>
          </cell>
          <cell r="I11" t="str">
            <v>-</v>
          </cell>
        </row>
        <row r="12">
          <cell r="A12" t="str">
            <v>PremiumW</v>
          </cell>
          <cell r="B12" t="str">
            <v>-</v>
          </cell>
          <cell r="C12" t="str">
            <v>-</v>
          </cell>
          <cell r="D12" t="str">
            <v>required_exp_150</v>
          </cell>
          <cell r="E12" t="str">
            <v>required_exp_150</v>
          </cell>
          <cell r="F12" t="str">
            <v>-</v>
          </cell>
          <cell r="G12" t="str">
            <v>-</v>
          </cell>
          <cell r="H12" t="str">
            <v>-</v>
          </cell>
          <cell r="I12" t="str">
            <v>-</v>
          </cell>
        </row>
        <row r="13">
          <cell r="A13" t="str">
            <v>Drop2S</v>
          </cell>
          <cell r="B13" t="str">
            <v>-</v>
          </cell>
          <cell r="C13" t="str">
            <v>-</v>
          </cell>
          <cell r="D13" t="str">
            <v>required_exp_200</v>
          </cell>
          <cell r="E13" t="str">
            <v>required_exp_200</v>
          </cell>
          <cell r="F13" t="str">
            <v>required_exp_200</v>
          </cell>
          <cell r="G13" t="str">
            <v>-</v>
          </cell>
          <cell r="H13" t="str">
            <v>-</v>
          </cell>
          <cell r="I13" t="str">
            <v>-</v>
          </cell>
        </row>
        <row r="14">
          <cell r="A14" t="str">
            <v>Drop2N</v>
          </cell>
          <cell r="B14" t="str">
            <v>-</v>
          </cell>
          <cell r="C14" t="str">
            <v>-</v>
          </cell>
          <cell r="D14" t="str">
            <v>required_exp_200</v>
          </cell>
          <cell r="E14" t="str">
            <v>required_exp_200</v>
          </cell>
          <cell r="F14" t="str">
            <v>required_exp_200</v>
          </cell>
          <cell r="G14" t="str">
            <v>-</v>
          </cell>
          <cell r="H14" t="str">
            <v>-</v>
          </cell>
          <cell r="I14" t="str">
            <v>-</v>
          </cell>
        </row>
        <row r="15">
          <cell r="A15" t="str">
            <v>Drop2W</v>
          </cell>
          <cell r="B15" t="str">
            <v>-</v>
          </cell>
          <cell r="C15" t="str">
            <v>-</v>
          </cell>
          <cell r="D15" t="str">
            <v>required_exp_150</v>
          </cell>
          <cell r="E15" t="str">
            <v>required_exp_150</v>
          </cell>
          <cell r="F15" t="str">
            <v>-</v>
          </cell>
          <cell r="G15" t="str">
            <v>-</v>
          </cell>
          <cell r="H15" t="str">
            <v>-</v>
          </cell>
          <cell r="I15" t="str">
            <v>-</v>
          </cell>
        </row>
        <row r="16">
          <cell r="A16" t="str">
            <v>Drop1S</v>
          </cell>
          <cell r="B16" t="str">
            <v>-</v>
          </cell>
          <cell r="C16" t="str">
            <v>required_exp_150</v>
          </cell>
          <cell r="D16" t="str">
            <v>required_exp_150</v>
          </cell>
          <cell r="E16" t="str">
            <v>required_exp_150</v>
          </cell>
          <cell r="F16" t="str">
            <v>-</v>
          </cell>
          <cell r="G16" t="str">
            <v>-</v>
          </cell>
          <cell r="H16" t="str">
            <v>-</v>
          </cell>
          <cell r="I16" t="str">
            <v>-</v>
          </cell>
        </row>
        <row r="17">
          <cell r="A17" t="str">
            <v>Drop1N</v>
          </cell>
          <cell r="B17" t="str">
            <v>required_exp_100</v>
          </cell>
          <cell r="C17" t="str">
            <v>required_exp_100</v>
          </cell>
          <cell r="D17" t="str">
            <v>required_exp_100</v>
          </cell>
          <cell r="E17" t="str">
            <v>-</v>
          </cell>
          <cell r="F17" t="str">
            <v>-</v>
          </cell>
          <cell r="G17" t="str">
            <v>-</v>
          </cell>
          <cell r="H17" t="str">
            <v>-</v>
          </cell>
          <cell r="I17" t="str">
            <v>-</v>
          </cell>
        </row>
        <row r="18">
          <cell r="A18" t="str">
            <v>Drop1W</v>
          </cell>
          <cell r="B18" t="str">
            <v>required_exp_70</v>
          </cell>
          <cell r="C18" t="str">
            <v>required_exp_70</v>
          </cell>
          <cell r="D18" t="str">
            <v>-</v>
          </cell>
          <cell r="E18" t="str">
            <v>-</v>
          </cell>
          <cell r="F18" t="str">
            <v>-</v>
          </cell>
          <cell r="G18" t="str">
            <v>-</v>
          </cell>
          <cell r="H18" t="str">
            <v>-</v>
          </cell>
          <cell r="I18" t="str">
            <v>-</v>
          </cell>
        </row>
        <row r="19">
          <cell r="A19" t="str">
            <v>Drop1T</v>
          </cell>
          <cell r="B19" t="str">
            <v>required_exp_50</v>
          </cell>
          <cell r="C19" t="str">
            <v>required_exp_50</v>
          </cell>
          <cell r="D19" t="str">
            <v>-</v>
          </cell>
          <cell r="E19" t="str">
            <v>-</v>
          </cell>
          <cell r="F19" t="str">
            <v>-</v>
          </cell>
          <cell r="G19" t="str">
            <v>-</v>
          </cell>
          <cell r="H19" t="str">
            <v>-</v>
          </cell>
          <cell r="I19" t="str">
            <v>-</v>
          </cell>
        </row>
        <row r="20">
          <cell r="A20" t="str">
            <v>Material</v>
          </cell>
          <cell r="B20" t="str">
            <v>NULL</v>
          </cell>
          <cell r="C20" t="str">
            <v>NULL</v>
          </cell>
          <cell r="D20" t="str">
            <v>NULL</v>
          </cell>
          <cell r="E20" t="str">
            <v>NULL</v>
          </cell>
          <cell r="F20" t="str">
            <v>NULL</v>
          </cell>
          <cell r="G20" t="str">
            <v>NULL</v>
          </cell>
          <cell r="H20" t="str">
            <v>NULL</v>
          </cell>
          <cell r="I20" t="str">
            <v>NULL</v>
          </cell>
        </row>
        <row r="27">
          <cell r="A27">
            <v>1</v>
          </cell>
          <cell r="B27">
            <v>200</v>
          </cell>
        </row>
        <row r="28">
          <cell r="A28">
            <v>2</v>
          </cell>
          <cell r="B28">
            <v>600</v>
          </cell>
        </row>
        <row r="29">
          <cell r="A29">
            <v>3</v>
          </cell>
          <cell r="B29">
            <v>1500</v>
          </cell>
        </row>
        <row r="30">
          <cell r="A30">
            <v>4</v>
          </cell>
          <cell r="B30">
            <v>3400</v>
          </cell>
        </row>
        <row r="31">
          <cell r="A31">
            <v>5</v>
          </cell>
          <cell r="B31">
            <v>6400</v>
          </cell>
        </row>
      </sheetData>
      <sheetData sheetId="10" refreshError="1">
        <row r="1">
          <cell r="A1" t="str">
            <v>ラベル</v>
          </cell>
          <cell r="B1">
            <v>1</v>
          </cell>
          <cell r="C1">
            <v>2</v>
          </cell>
          <cell r="D1">
            <v>3</v>
          </cell>
          <cell r="E1">
            <v>4</v>
          </cell>
          <cell r="F1">
            <v>5</v>
          </cell>
          <cell r="G1">
            <v>6</v>
          </cell>
        </row>
        <row r="2">
          <cell r="A2" t="str">
            <v>DropWizSSS</v>
          </cell>
          <cell r="D2" t="str">
            <v>-</v>
          </cell>
          <cell r="E2">
            <v>8000</v>
          </cell>
          <cell r="F2">
            <v>10000</v>
          </cell>
          <cell r="G2">
            <v>14000</v>
          </cell>
        </row>
        <row r="3">
          <cell r="A3" t="str">
            <v>DropWizSS</v>
          </cell>
          <cell r="D3" t="str">
            <v>-</v>
          </cell>
          <cell r="E3">
            <v>7500</v>
          </cell>
          <cell r="F3">
            <v>9500</v>
          </cell>
          <cell r="G3">
            <v>13000</v>
          </cell>
        </row>
        <row r="4">
          <cell r="A4" t="str">
            <v>DropWizS</v>
          </cell>
          <cell r="D4">
            <v>5000</v>
          </cell>
          <cell r="E4">
            <v>7000</v>
          </cell>
          <cell r="F4">
            <v>9000</v>
          </cell>
          <cell r="G4">
            <v>12000</v>
          </cell>
        </row>
        <row r="5">
          <cell r="A5" t="str">
            <v>DropWizN</v>
          </cell>
          <cell r="D5">
            <v>4900</v>
          </cell>
          <cell r="E5">
            <v>6700</v>
          </cell>
          <cell r="F5">
            <v>8500</v>
          </cell>
          <cell r="G5">
            <v>11000</v>
          </cell>
        </row>
        <row r="6">
          <cell r="A6" t="str">
            <v>DropWizW</v>
          </cell>
          <cell r="D6">
            <v>4800</v>
          </cell>
          <cell r="E6">
            <v>6600</v>
          </cell>
          <cell r="F6" t="str">
            <v>-</v>
          </cell>
          <cell r="G6" t="str">
            <v>-</v>
          </cell>
        </row>
        <row r="7">
          <cell r="A7" t="str">
            <v>PremiumL</v>
          </cell>
          <cell r="B7" t="str">
            <v>-</v>
          </cell>
          <cell r="C7" t="str">
            <v>-</v>
          </cell>
          <cell r="D7" t="str">
            <v>-</v>
          </cell>
          <cell r="E7" t="str">
            <v>-</v>
          </cell>
          <cell r="F7" t="str">
            <v>-</v>
          </cell>
          <cell r="G7" t="str">
            <v>-</v>
          </cell>
        </row>
        <row r="8">
          <cell r="A8" t="str">
            <v>PremiumSSS</v>
          </cell>
          <cell r="B8" t="str">
            <v>-</v>
          </cell>
          <cell r="C8" t="str">
            <v>-</v>
          </cell>
          <cell r="D8" t="str">
            <v>-</v>
          </cell>
          <cell r="E8">
            <v>8000</v>
          </cell>
          <cell r="F8">
            <v>10000</v>
          </cell>
          <cell r="G8">
            <v>14000</v>
          </cell>
        </row>
        <row r="9">
          <cell r="A9" t="str">
            <v>PremiumSS</v>
          </cell>
          <cell r="B9" t="str">
            <v>-</v>
          </cell>
          <cell r="C9" t="str">
            <v>-</v>
          </cell>
          <cell r="D9" t="str">
            <v>-</v>
          </cell>
          <cell r="E9">
            <v>7500</v>
          </cell>
          <cell r="F9">
            <v>9500</v>
          </cell>
          <cell r="G9">
            <v>13000</v>
          </cell>
        </row>
        <row r="10">
          <cell r="A10" t="str">
            <v>PremiumS</v>
          </cell>
          <cell r="B10" t="str">
            <v>-</v>
          </cell>
          <cell r="C10" t="str">
            <v>-</v>
          </cell>
          <cell r="D10">
            <v>5000</v>
          </cell>
          <cell r="E10">
            <v>7000</v>
          </cell>
          <cell r="F10">
            <v>9000</v>
          </cell>
          <cell r="G10">
            <v>12000</v>
          </cell>
        </row>
        <row r="11">
          <cell r="A11" t="str">
            <v>PremiumN</v>
          </cell>
          <cell r="B11" t="str">
            <v>-</v>
          </cell>
          <cell r="C11" t="str">
            <v>-</v>
          </cell>
          <cell r="D11">
            <v>4900</v>
          </cell>
          <cell r="E11">
            <v>6700</v>
          </cell>
          <cell r="F11">
            <v>8500</v>
          </cell>
          <cell r="G11">
            <v>11000</v>
          </cell>
        </row>
        <row r="12">
          <cell r="A12" t="str">
            <v>PremiumW</v>
          </cell>
          <cell r="B12" t="str">
            <v>-</v>
          </cell>
          <cell r="C12" t="str">
            <v>-</v>
          </cell>
          <cell r="D12">
            <v>4800</v>
          </cell>
          <cell r="E12">
            <v>6600</v>
          </cell>
          <cell r="F12" t="str">
            <v>-</v>
          </cell>
          <cell r="G12" t="str">
            <v>-</v>
          </cell>
        </row>
        <row r="13">
          <cell r="A13" t="str">
            <v>Drop2S</v>
          </cell>
          <cell r="B13" t="str">
            <v>-</v>
          </cell>
          <cell r="C13" t="str">
            <v>-</v>
          </cell>
          <cell r="D13" t="str">
            <v>-</v>
          </cell>
          <cell r="E13">
            <v>6300</v>
          </cell>
          <cell r="F13" t="str">
            <v>-</v>
          </cell>
          <cell r="G13" t="str">
            <v>-</v>
          </cell>
        </row>
        <row r="14">
          <cell r="A14" t="str">
            <v>Drop2N</v>
          </cell>
          <cell r="B14" t="str">
            <v>-</v>
          </cell>
          <cell r="C14" t="str">
            <v>-</v>
          </cell>
          <cell r="D14">
            <v>4600</v>
          </cell>
          <cell r="E14">
            <v>5800</v>
          </cell>
          <cell r="F14">
            <v>7600</v>
          </cell>
          <cell r="G14" t="str">
            <v>-</v>
          </cell>
        </row>
        <row r="15">
          <cell r="A15" t="str">
            <v>Drop2W</v>
          </cell>
          <cell r="B15" t="str">
            <v>-</v>
          </cell>
          <cell r="C15" t="str">
            <v>-</v>
          </cell>
          <cell r="D15">
            <v>4400</v>
          </cell>
          <cell r="E15">
            <v>5600</v>
          </cell>
          <cell r="F15" t="str">
            <v>-</v>
          </cell>
          <cell r="G15" t="str">
            <v>-</v>
          </cell>
        </row>
        <row r="16">
          <cell r="A16" t="str">
            <v>Drop1S</v>
          </cell>
          <cell r="B16" t="str">
            <v>-</v>
          </cell>
          <cell r="C16">
            <v>3000</v>
          </cell>
          <cell r="D16">
            <v>4200</v>
          </cell>
          <cell r="E16">
            <v>5400</v>
          </cell>
          <cell r="F16" t="str">
            <v>-</v>
          </cell>
          <cell r="G16" t="str">
            <v>-</v>
          </cell>
        </row>
        <row r="17">
          <cell r="A17" t="str">
            <v>Drop1N</v>
          </cell>
          <cell r="B17">
            <v>2000</v>
          </cell>
          <cell r="C17">
            <v>2800</v>
          </cell>
          <cell r="D17">
            <v>4000</v>
          </cell>
          <cell r="E17" t="str">
            <v>-</v>
          </cell>
          <cell r="F17" t="str">
            <v>-</v>
          </cell>
          <cell r="G17" t="str">
            <v>-</v>
          </cell>
        </row>
        <row r="18">
          <cell r="A18" t="str">
            <v>Drop1W</v>
          </cell>
          <cell r="B18">
            <v>1750</v>
          </cell>
          <cell r="C18">
            <v>2550</v>
          </cell>
          <cell r="D18" t="str">
            <v>-</v>
          </cell>
          <cell r="E18" t="str">
            <v>-</v>
          </cell>
          <cell r="F18" t="str">
            <v>-</v>
          </cell>
          <cell r="G18" t="str">
            <v>-</v>
          </cell>
        </row>
        <row r="19">
          <cell r="A19" t="str">
            <v>Drop1T</v>
          </cell>
          <cell r="B19">
            <v>1500</v>
          </cell>
          <cell r="C19">
            <v>2300</v>
          </cell>
          <cell r="D19" t="str">
            <v>-</v>
          </cell>
          <cell r="E19" t="str">
            <v>-</v>
          </cell>
          <cell r="F19" t="str">
            <v>-</v>
          </cell>
          <cell r="G19" t="str">
            <v>-</v>
          </cell>
        </row>
        <row r="20">
          <cell r="A20" t="str">
            <v>Material</v>
          </cell>
          <cell r="B20">
            <v>1000</v>
          </cell>
          <cell r="C20">
            <v>1000</v>
          </cell>
          <cell r="D20">
            <v>1000</v>
          </cell>
          <cell r="E20">
            <v>1000</v>
          </cell>
          <cell r="F20">
            <v>1000</v>
          </cell>
          <cell r="G20">
            <v>1000</v>
          </cell>
        </row>
      </sheetData>
      <sheetData sheetId="11" refreshError="1">
        <row r="2">
          <cell r="A2" t="str">
            <v>レアレリティ</v>
          </cell>
          <cell r="B2" t="str">
            <v>金額</v>
          </cell>
          <cell r="G2" t="str">
            <v>レアレリティ</v>
          </cell>
          <cell r="H2" t="str">
            <v>金額</v>
          </cell>
        </row>
        <row r="3">
          <cell r="A3">
            <v>1</v>
          </cell>
          <cell r="B3">
            <v>5000</v>
          </cell>
          <cell r="G3">
            <v>1</v>
          </cell>
          <cell r="H3">
            <v>75</v>
          </cell>
        </row>
        <row r="4">
          <cell r="A4">
            <v>2</v>
          </cell>
          <cell r="B4">
            <v>10000</v>
          </cell>
          <cell r="G4">
            <v>2</v>
          </cell>
          <cell r="H4">
            <v>150</v>
          </cell>
        </row>
        <row r="5">
          <cell r="A5">
            <v>3</v>
          </cell>
          <cell r="B5">
            <v>20000</v>
          </cell>
          <cell r="G5">
            <v>3</v>
          </cell>
          <cell r="H5">
            <v>300</v>
          </cell>
        </row>
        <row r="6">
          <cell r="A6">
            <v>4</v>
          </cell>
          <cell r="B6">
            <v>50000</v>
          </cell>
          <cell r="G6">
            <v>4</v>
          </cell>
          <cell r="H6">
            <v>600</v>
          </cell>
        </row>
        <row r="7">
          <cell r="A7">
            <v>5</v>
          </cell>
          <cell r="B7">
            <v>200000</v>
          </cell>
          <cell r="G7">
            <v>5</v>
          </cell>
          <cell r="H7">
            <v>900</v>
          </cell>
        </row>
      </sheetData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fork_awake_units"/>
      <sheetName val="awake_materials"/>
      <sheetName val="abilities"/>
      <sheetName val="unit_abilities"/>
      <sheetName val="→base値"/>
      <sheetName val="コスト"/>
      <sheetName val="レベル"/>
      <sheetName val="経験値"/>
      <sheetName val="RC6SV"/>
      <sheetName val="ビット"/>
      <sheetName val="チェックシート"/>
    </sheetNames>
    <sheetDataSet>
      <sheetData sheetId="0"/>
      <sheetData sheetId="1"/>
      <sheetData sheetId="2">
        <row r="5">
          <cell r="G5">
            <v>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units"/>
      <sheetName val="unit_serifs"/>
      <sheetName val="awake_materials"/>
      <sheetName val="awake_material_habitats"/>
      <sheetName val="limitbreak_materials"/>
      <sheetName val="コスト"/>
      <sheetName val="レベル"/>
      <sheetName val="経験値"/>
      <sheetName val="RC6SV"/>
      <sheetName val="ビット"/>
      <sheetName val="unit_exp_table"/>
      <sheetName val="unit_material_exp"/>
      <sheetName val="unit_soldprice_rate"/>
    </sheetNames>
    <sheetDataSet>
      <sheetData sheetId="0"/>
      <sheetData sheetId="1"/>
      <sheetData sheetId="2">
        <row r="1">
          <cell r="A1" t="str">
            <v>character_id</v>
          </cell>
          <cell r="B1" t="str">
            <v>name</v>
          </cell>
          <cell r="C1" t="str">
            <v>特徴</v>
          </cell>
          <cell r="D1" t="str">
            <v>勢力</v>
          </cell>
          <cell r="E1" t="str">
            <v>訴求軸</v>
          </cell>
          <cell r="F1" t="str">
            <v>性別</v>
          </cell>
          <cell r="G1" t="str">
            <v>rare</v>
          </cell>
          <cell r="H1" t="str">
            <v>drop_label</v>
          </cell>
          <cell r="I1" t="str">
            <v>color</v>
          </cell>
          <cell r="J1" t="str">
            <v>HP係数</v>
          </cell>
          <cell r="K1" t="str">
            <v>攻撃係数</v>
          </cell>
          <cell r="L1" t="str">
            <v>防御系数</v>
          </cell>
          <cell r="M1" t="str">
            <v>回復系数</v>
          </cell>
          <cell r="N1" t="str">
            <v>cost</v>
          </cell>
          <cell r="O1" t="str">
            <v>max_level</v>
          </cell>
          <cell r="P1" t="str">
            <v>max_bug</v>
          </cell>
          <cell r="Q1" t="str">
            <v>character_type_id</v>
          </cell>
          <cell r="R1" t="str">
            <v>name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回復係数</v>
          </cell>
          <cell r="W1" t="str">
            <v>character_main_tribe_id</v>
          </cell>
          <cell r="X1" t="str">
            <v>name</v>
          </cell>
          <cell r="Y1" t="str">
            <v>character_sub_tribe_id</v>
          </cell>
          <cell r="Z1" t="str">
            <v>name</v>
          </cell>
          <cell r="AA1" t="str">
            <v>HP係数</v>
          </cell>
          <cell r="AB1" t="str">
            <v>攻撃係数</v>
          </cell>
          <cell r="AC1" t="str">
            <v>防御係数</v>
          </cell>
          <cell r="AD1" t="str">
            <v>回復係数</v>
          </cell>
          <cell r="AE1" t="str">
            <v>awake_character_id</v>
          </cell>
          <cell r="AF1" t="str">
            <v>name</v>
          </cell>
          <cell r="AG1" t="str">
            <v>base_character_id</v>
          </cell>
          <cell r="AH1" t="str">
            <v>name</v>
          </cell>
          <cell r="AI1" t="str">
            <v>awake_price</v>
          </cell>
          <cell r="AJ1" t="str">
            <v>growth_speed</v>
          </cell>
          <cell r="AK1" t="str">
            <v>成長速度名</v>
          </cell>
          <cell r="AL1" t="str">
            <v>exp_table</v>
          </cell>
          <cell r="AM1" t="str">
            <v>base_material_exp</v>
          </cell>
          <cell r="AN1" t="str">
            <v>base_soldprice</v>
          </cell>
          <cell r="AO1" t="str">
            <v>スキルタイプ</v>
          </cell>
          <cell r="AP1" t="str">
            <v>unit_skill_id</v>
          </cell>
          <cell r="AQ1" t="str">
            <v>unit_skill_name</v>
          </cell>
          <cell r="AR1" t="str">
            <v>unit_skill_comment</v>
          </cell>
          <cell r="AS1" t="str">
            <v>等級</v>
          </cell>
          <cell r="AT1" t="str">
            <v>crash_skill_id</v>
          </cell>
          <cell r="AU1" t="str">
            <v>crash_skill_name</v>
          </cell>
          <cell r="AV1" t="str">
            <v>crash_skill_comment</v>
          </cell>
          <cell r="AW1" t="str">
            <v>等級</v>
          </cell>
          <cell r="AX1" t="str">
            <v>valid_flg</v>
          </cell>
          <cell r="AY1" t="str">
            <v>HP係数</v>
          </cell>
          <cell r="AZ1" t="str">
            <v>攻撃系数</v>
          </cell>
          <cell r="BA1" t="str">
            <v>防御係数</v>
          </cell>
          <cell r="BB1" t="str">
            <v>回復系数</v>
          </cell>
          <cell r="BC1" t="str">
            <v>RC6SV</v>
          </cell>
          <cell r="BD1" t="str">
            <v>調整後</v>
          </cell>
          <cell r="BE1" t="str">
            <v>進化前RC6SV</v>
          </cell>
          <cell r="BF1" t="str">
            <v>進化前MAXレベル</v>
          </cell>
          <cell r="BG1" t="str">
            <v>min_hp</v>
          </cell>
          <cell r="BH1" t="str">
            <v>min_attack</v>
          </cell>
          <cell r="BI1" t="str">
            <v>min_defense</v>
          </cell>
          <cell r="BJ1" t="str">
            <v>min_heal</v>
          </cell>
          <cell r="BK1" t="str">
            <v>max_hp</v>
          </cell>
          <cell r="BL1" t="str">
            <v>max_attack</v>
          </cell>
          <cell r="BM1" t="str">
            <v>max_defense</v>
          </cell>
          <cell r="BN1" t="str">
            <v>max_heal</v>
          </cell>
          <cell r="BO1" t="str">
            <v>skip</v>
          </cell>
          <cell r="BP1" t="str">
            <v>min_max</v>
          </cell>
          <cell r="BQ1" t="str">
            <v>level_test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418</v>
          </cell>
        </row>
        <row r="412">
          <cell r="A412">
            <v>419</v>
          </cell>
        </row>
        <row r="413">
          <cell r="A413">
            <v>420</v>
          </cell>
        </row>
        <row r="414">
          <cell r="A414">
            <v>421</v>
          </cell>
        </row>
        <row r="415">
          <cell r="A415">
            <v>422</v>
          </cell>
        </row>
        <row r="416">
          <cell r="A416">
            <v>423</v>
          </cell>
        </row>
        <row r="417">
          <cell r="A417">
            <v>424</v>
          </cell>
        </row>
        <row r="418">
          <cell r="A418">
            <v>425</v>
          </cell>
        </row>
        <row r="419">
          <cell r="A419">
            <v>426</v>
          </cell>
        </row>
        <row r="420">
          <cell r="A420">
            <v>427</v>
          </cell>
        </row>
        <row r="421">
          <cell r="A421">
            <v>432</v>
          </cell>
        </row>
        <row r="422">
          <cell r="A422">
            <v>433</v>
          </cell>
        </row>
        <row r="423">
          <cell r="A423">
            <v>434</v>
          </cell>
        </row>
        <row r="424">
          <cell r="A424">
            <v>435</v>
          </cell>
        </row>
        <row r="425">
          <cell r="A425">
            <v>436</v>
          </cell>
        </row>
        <row r="426">
          <cell r="A426">
            <v>437</v>
          </cell>
        </row>
        <row r="427">
          <cell r="A427">
            <v>438</v>
          </cell>
        </row>
        <row r="428">
          <cell r="A428">
            <v>439</v>
          </cell>
        </row>
        <row r="429">
          <cell r="A429">
            <v>440</v>
          </cell>
        </row>
        <row r="430">
          <cell r="A430">
            <v>441</v>
          </cell>
        </row>
        <row r="431">
          <cell r="A431">
            <v>442</v>
          </cell>
        </row>
        <row r="432">
          <cell r="A432">
            <v>443</v>
          </cell>
        </row>
        <row r="433">
          <cell r="A433">
            <v>451</v>
          </cell>
        </row>
        <row r="434">
          <cell r="A434">
            <v>524</v>
          </cell>
        </row>
        <row r="435">
          <cell r="A435">
            <v>412</v>
          </cell>
        </row>
        <row r="436">
          <cell r="A436">
            <v>413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W10"/>
  <sheetViews>
    <sheetView workbookViewId="0">
      <selection activeCell="C4" sqref="C4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3" x14ac:dyDescent="0.15">
      <c r="A1" s="112" t="s">
        <v>131</v>
      </c>
      <c r="B1" s="112" t="s">
        <v>122</v>
      </c>
      <c r="C1" s="112" t="s">
        <v>123</v>
      </c>
      <c r="D1" s="112" t="s">
        <v>124</v>
      </c>
      <c r="E1" s="112" t="s">
        <v>125</v>
      </c>
      <c r="F1" s="112" t="s">
        <v>126</v>
      </c>
      <c r="G1" s="112" t="s">
        <v>127</v>
      </c>
      <c r="H1" s="112"/>
      <c r="I1" s="112"/>
      <c r="J1" s="112"/>
      <c r="K1" s="112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</row>
    <row r="2" spans="1:23" x14ac:dyDescent="0.15">
      <c r="A2" s="114" t="s">
        <v>251</v>
      </c>
      <c r="B2" s="114" t="s">
        <v>135</v>
      </c>
      <c r="C2" s="114" t="s">
        <v>253</v>
      </c>
      <c r="D2" s="114" t="s">
        <v>134</v>
      </c>
      <c r="E2" s="113" t="str">
        <f>B2&amp;C2&amp;D2</f>
        <v>units_hindo01.tmp</v>
      </c>
      <c r="F2" s="114" t="s">
        <v>130</v>
      </c>
      <c r="G2" s="64" t="s">
        <v>17</v>
      </c>
      <c r="H2" s="65" t="s">
        <v>102</v>
      </c>
      <c r="I2" s="65" t="s">
        <v>1</v>
      </c>
      <c r="J2" s="65" t="s">
        <v>3</v>
      </c>
      <c r="K2" s="65" t="s">
        <v>2</v>
      </c>
      <c r="L2" s="65" t="s">
        <v>104</v>
      </c>
      <c r="M2" s="65" t="s">
        <v>20</v>
      </c>
      <c r="N2" s="65" t="s">
        <v>109</v>
      </c>
      <c r="O2" s="65" t="s">
        <v>107</v>
      </c>
      <c r="P2" s="65" t="s">
        <v>45</v>
      </c>
      <c r="Q2" s="65" t="s">
        <v>63</v>
      </c>
      <c r="R2" s="114" t="s">
        <v>396</v>
      </c>
      <c r="S2" s="114"/>
      <c r="T2" s="114"/>
      <c r="U2" s="114"/>
      <c r="V2" s="114"/>
      <c r="W2" s="114"/>
    </row>
    <row r="3" spans="1:23" x14ac:dyDescent="0.15">
      <c r="A3" s="114" t="s">
        <v>398</v>
      </c>
      <c r="B3" s="114" t="s">
        <v>136</v>
      </c>
      <c r="C3" s="114" t="s">
        <v>254</v>
      </c>
      <c r="D3" s="114" t="s">
        <v>134</v>
      </c>
      <c r="E3" s="113" t="str">
        <f>B3&amp;C3&amp;D3</f>
        <v>awake_materials_hindo01.tmp</v>
      </c>
      <c r="F3" s="114" t="s">
        <v>129</v>
      </c>
      <c r="G3" s="115" t="s">
        <v>44</v>
      </c>
      <c r="H3" s="116" t="s">
        <v>42</v>
      </c>
      <c r="I3" s="116" t="s">
        <v>43</v>
      </c>
      <c r="J3" s="118" t="s">
        <v>132</v>
      </c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7"/>
      <c r="V3" s="117"/>
      <c r="W3" s="117"/>
    </row>
    <row r="4" spans="1:23" x14ac:dyDescent="0.15">
      <c r="A4" s="114" t="s">
        <v>251</v>
      </c>
      <c r="B4" s="114" t="s">
        <v>137</v>
      </c>
      <c r="C4" s="114" t="s">
        <v>252</v>
      </c>
      <c r="D4" s="114" t="s">
        <v>138</v>
      </c>
      <c r="E4" s="113" t="str">
        <f t="shared" ref="E4" si="0">B4&amp;C4&amp;D4</f>
        <v>unit_levels_calc_hindo01.tmp</v>
      </c>
      <c r="F4" s="114" t="s">
        <v>128</v>
      </c>
      <c r="G4" s="60" t="s">
        <v>17</v>
      </c>
      <c r="H4" s="61" t="s">
        <v>2</v>
      </c>
      <c r="I4" s="62" t="s">
        <v>85</v>
      </c>
      <c r="J4" s="62" t="s">
        <v>86</v>
      </c>
      <c r="K4" s="62" t="s">
        <v>87</v>
      </c>
      <c r="L4" s="62" t="s">
        <v>88</v>
      </c>
      <c r="M4" s="62" t="s">
        <v>93</v>
      </c>
      <c r="N4" s="62" t="s">
        <v>94</v>
      </c>
      <c r="O4" s="62" t="s">
        <v>95</v>
      </c>
      <c r="P4" s="62" t="s">
        <v>96</v>
      </c>
      <c r="Q4" s="62" t="s">
        <v>97</v>
      </c>
      <c r="R4" s="62" t="s">
        <v>100</v>
      </c>
      <c r="S4" s="62" t="s">
        <v>98</v>
      </c>
      <c r="T4" s="62" t="s">
        <v>99</v>
      </c>
      <c r="U4" s="62" t="s">
        <v>89</v>
      </c>
      <c r="V4" s="62" t="s">
        <v>90</v>
      </c>
      <c r="W4" s="62" t="s">
        <v>91</v>
      </c>
    </row>
    <row r="5" spans="1:23" x14ac:dyDescent="0.15">
      <c r="A5" s="114" t="s">
        <v>251</v>
      </c>
      <c r="B5" s="114" t="s">
        <v>149</v>
      </c>
      <c r="C5" s="114" t="s">
        <v>252</v>
      </c>
      <c r="D5" s="114" t="s">
        <v>150</v>
      </c>
      <c r="E5" s="113" t="str">
        <f>B5&amp;C5&amp;D5</f>
        <v>unit_skills_data_hindo01.tmp</v>
      </c>
      <c r="F5" s="114" t="s">
        <v>151</v>
      </c>
      <c r="G5" s="123" t="s">
        <v>20</v>
      </c>
      <c r="H5" s="123" t="s">
        <v>152</v>
      </c>
      <c r="I5" s="123" t="s">
        <v>2</v>
      </c>
      <c r="J5" s="123" t="s">
        <v>153</v>
      </c>
      <c r="K5" s="123" t="s">
        <v>154</v>
      </c>
      <c r="L5" s="123" t="s">
        <v>4</v>
      </c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</row>
    <row r="6" spans="1:23" x14ac:dyDescent="0.15">
      <c r="A6" s="114" t="s">
        <v>251</v>
      </c>
      <c r="B6" s="114" t="s">
        <v>155</v>
      </c>
      <c r="C6" s="114" t="s">
        <v>252</v>
      </c>
      <c r="D6" s="114" t="s">
        <v>134</v>
      </c>
      <c r="E6" s="113" t="str">
        <f>B6&amp;C6&amp;D6</f>
        <v>unit_skills_i18n_hindo01.tmp</v>
      </c>
      <c r="F6" s="114" t="s">
        <v>151</v>
      </c>
      <c r="G6" s="123" t="s">
        <v>156</v>
      </c>
      <c r="H6" s="123" t="s">
        <v>140</v>
      </c>
      <c r="I6" s="123" t="s">
        <v>157</v>
      </c>
      <c r="J6" s="123" t="s">
        <v>158</v>
      </c>
      <c r="K6" s="117"/>
      <c r="L6" s="117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</row>
    <row r="7" spans="1:23" x14ac:dyDescent="0.15">
      <c r="A7" s="114" t="s">
        <v>251</v>
      </c>
      <c r="B7" s="114" t="s">
        <v>159</v>
      </c>
      <c r="C7" s="114" t="s">
        <v>252</v>
      </c>
      <c r="D7" s="114" t="s">
        <v>160</v>
      </c>
      <c r="E7" s="113" t="str">
        <f>B7&amp;C7&amp;D7</f>
        <v>crash_skills_data_hindo01.tmp</v>
      </c>
      <c r="F7" s="114" t="s">
        <v>161</v>
      </c>
      <c r="G7" s="123" t="s">
        <v>162</v>
      </c>
      <c r="H7" s="123" t="s">
        <v>154</v>
      </c>
      <c r="I7" s="123" t="s">
        <v>4</v>
      </c>
      <c r="J7" s="117"/>
      <c r="K7" s="117"/>
      <c r="L7" s="117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</row>
    <row r="8" spans="1:23" x14ac:dyDescent="0.15">
      <c r="A8" s="114" t="s">
        <v>251</v>
      </c>
      <c r="B8" s="114" t="s">
        <v>163</v>
      </c>
      <c r="C8" s="114" t="s">
        <v>252</v>
      </c>
      <c r="D8" s="114" t="s">
        <v>164</v>
      </c>
      <c r="E8" s="113" t="str">
        <f t="shared" ref="E8" si="1">B8&amp;C8&amp;D8</f>
        <v>crash_skills_i18n_hindo01.tmp</v>
      </c>
      <c r="F8" s="114" t="s">
        <v>161</v>
      </c>
      <c r="G8" s="123" t="s">
        <v>165</v>
      </c>
      <c r="H8" s="123" t="s">
        <v>166</v>
      </c>
      <c r="I8" s="123" t="s">
        <v>167</v>
      </c>
      <c r="J8" s="123" t="s">
        <v>168</v>
      </c>
      <c r="K8" s="124"/>
      <c r="L8" s="124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</row>
    <row r="9" spans="1:23" x14ac:dyDescent="0.15">
      <c r="A9" s="114" t="s">
        <v>251</v>
      </c>
      <c r="B9" s="117" t="s">
        <v>141</v>
      </c>
      <c r="C9" s="114" t="s">
        <v>252</v>
      </c>
      <c r="D9" s="114" t="s">
        <v>164</v>
      </c>
      <c r="E9" s="113" t="str">
        <f t="shared" ref="E9:E10" si="2">B9&amp;C9&amp;D9</f>
        <v>unit_serifs_data_hindo01.tmp</v>
      </c>
      <c r="F9" s="117" t="s">
        <v>143</v>
      </c>
      <c r="G9" s="122" t="s">
        <v>144</v>
      </c>
      <c r="H9" s="123" t="s">
        <v>145</v>
      </c>
      <c r="I9" s="123" t="s">
        <v>139</v>
      </c>
      <c r="J9" s="121" t="s">
        <v>194</v>
      </c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/>
      <c r="W9" s="114"/>
    </row>
    <row r="10" spans="1:23" x14ac:dyDescent="0.15">
      <c r="A10" s="114" t="s">
        <v>251</v>
      </c>
      <c r="B10" s="117" t="s">
        <v>142</v>
      </c>
      <c r="C10" s="114" t="s">
        <v>252</v>
      </c>
      <c r="D10" s="114" t="s">
        <v>164</v>
      </c>
      <c r="E10" s="113" t="str">
        <f t="shared" si="2"/>
        <v>unit_serifs_i18n_hindo01.tmp</v>
      </c>
      <c r="F10" s="117" t="s">
        <v>143</v>
      </c>
      <c r="G10" s="122" t="s">
        <v>146</v>
      </c>
      <c r="H10" s="123" t="s">
        <v>147</v>
      </c>
      <c r="I10" s="123" t="s">
        <v>148</v>
      </c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</row>
  </sheetData>
  <phoneticPr fontId="22"/>
  <dataValidations count="1">
    <dataValidation type="list" allowBlank="1" showInputMessage="1" showErrorMessage="1" sqref="A2:A10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19"/>
  <sheetViews>
    <sheetView showGridLines="0" workbookViewId="0">
      <pane xSplit="9" ySplit="1" topLeftCell="BO2" activePane="bottomRight" state="frozen"/>
      <selection pane="topRight" activeCell="J1" sqref="J1"/>
      <selection pane="bottomLeft" activeCell="A3" sqref="A3"/>
      <selection pane="bottomRight" activeCell="BR10" sqref="BR10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/>
    <col min="3" max="3" width="23.6640625" style="13" customWidth="1" outlineLevel="1"/>
    <col min="4" max="4" width="8.6640625" style="13" customWidth="1" outlineLevel="1"/>
    <col min="5" max="5" width="8" style="13" customWidth="1" outlineLevel="1"/>
    <col min="6" max="6" width="7.1640625" style="13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/>
    <col min="10" max="10" width="59.5" style="13" customWidth="1" outlineLevel="1"/>
    <col min="11" max="13" width="13.6640625" style="13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/>
    <col min="19" max="19" width="12.33203125" style="13" customWidth="1" outlineLevel="1"/>
    <col min="20" max="22" width="13.6640625" style="13" customWidth="1" outlineLevel="1"/>
    <col min="23" max="23" width="22.83203125" style="12" bestFit="1" customWidth="1"/>
    <col min="24" max="24" width="14.1640625" style="13" customWidth="1"/>
    <col min="25" max="25" width="22" style="13" customWidth="1" outlineLevel="1"/>
    <col min="26" max="26" width="14.1640625" style="13" customWidth="1" outlineLevel="1"/>
    <col min="27" max="27" width="12.33203125" style="13" customWidth="1" outlineLevel="1"/>
    <col min="28" max="30" width="13.6640625" style="13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6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6" width="12" style="13" bestFit="1" customWidth="1"/>
    <col min="57" max="57" width="14.33203125" style="13" customWidth="1" outlineLevel="1"/>
    <col min="58" max="58" width="16.1640625" style="13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86" t="s">
        <v>114</v>
      </c>
      <c r="B1" s="88" t="s">
        <v>50</v>
      </c>
      <c r="C1" s="91" t="s">
        <v>27</v>
      </c>
      <c r="D1" s="91" t="s">
        <v>30</v>
      </c>
      <c r="E1" s="91" t="s">
        <v>28</v>
      </c>
      <c r="F1" s="91" t="s">
        <v>29</v>
      </c>
      <c r="G1" s="86" t="s">
        <v>1</v>
      </c>
      <c r="H1" s="89" t="s">
        <v>19</v>
      </c>
      <c r="I1" s="90" t="s">
        <v>0</v>
      </c>
      <c r="J1" s="92" t="s">
        <v>55</v>
      </c>
      <c r="K1" s="92" t="s">
        <v>54</v>
      </c>
      <c r="L1" s="92" t="s">
        <v>56</v>
      </c>
      <c r="M1" s="92" t="s">
        <v>57</v>
      </c>
      <c r="N1" s="86" t="s">
        <v>3</v>
      </c>
      <c r="O1" s="93" t="s">
        <v>2</v>
      </c>
      <c r="P1" s="86" t="s">
        <v>103</v>
      </c>
      <c r="Q1" s="94" t="s">
        <v>18</v>
      </c>
      <c r="R1" s="85" t="s">
        <v>58</v>
      </c>
      <c r="S1" s="95" t="s">
        <v>23</v>
      </c>
      <c r="T1" s="95" t="s">
        <v>24</v>
      </c>
      <c r="U1" s="95" t="s">
        <v>26</v>
      </c>
      <c r="V1" s="95" t="s">
        <v>25</v>
      </c>
      <c r="W1" s="90" t="s">
        <v>32</v>
      </c>
      <c r="X1" s="91" t="s">
        <v>59</v>
      </c>
      <c r="Y1" s="90" t="s">
        <v>33</v>
      </c>
      <c r="Z1" s="91" t="s">
        <v>59</v>
      </c>
      <c r="AA1" s="92" t="s">
        <v>23</v>
      </c>
      <c r="AB1" s="92" t="s">
        <v>24</v>
      </c>
      <c r="AC1" s="92" t="s">
        <v>26</v>
      </c>
      <c r="AD1" s="92" t="s">
        <v>25</v>
      </c>
      <c r="AE1" s="96" t="s">
        <v>106</v>
      </c>
      <c r="AF1" s="85" t="s">
        <v>51</v>
      </c>
      <c r="AG1" s="97" t="s">
        <v>64</v>
      </c>
      <c r="AH1" s="85" t="s">
        <v>51</v>
      </c>
      <c r="AI1" s="97" t="s">
        <v>52</v>
      </c>
      <c r="AJ1" s="87" t="s">
        <v>73</v>
      </c>
      <c r="AK1" s="85" t="s">
        <v>21</v>
      </c>
      <c r="AL1" s="98" t="s">
        <v>74</v>
      </c>
      <c r="AM1" s="99" t="s">
        <v>72</v>
      </c>
      <c r="AN1" s="99" t="s">
        <v>75</v>
      </c>
      <c r="AO1" s="100" t="s">
        <v>31</v>
      </c>
      <c r="AP1" s="96" t="s">
        <v>20</v>
      </c>
      <c r="AQ1" s="101" t="s">
        <v>119</v>
      </c>
      <c r="AR1" s="101" t="s">
        <v>113</v>
      </c>
      <c r="AS1" s="85" t="s">
        <v>110</v>
      </c>
      <c r="AT1" s="96" t="s">
        <v>108</v>
      </c>
      <c r="AU1" s="85" t="s">
        <v>116</v>
      </c>
      <c r="AV1" s="101" t="s">
        <v>113</v>
      </c>
      <c r="AW1" s="85" t="s">
        <v>110</v>
      </c>
      <c r="AX1" s="91" t="s">
        <v>4</v>
      </c>
      <c r="AY1" s="102" t="s">
        <v>60</v>
      </c>
      <c r="AZ1" s="102" t="s">
        <v>61</v>
      </c>
      <c r="BA1" s="102" t="s">
        <v>120</v>
      </c>
      <c r="BB1" s="102" t="s">
        <v>62</v>
      </c>
      <c r="BC1" s="5" t="s">
        <v>22</v>
      </c>
      <c r="BD1" s="105" t="s">
        <v>34</v>
      </c>
      <c r="BE1" s="103" t="s">
        <v>5</v>
      </c>
      <c r="BF1" s="104" t="s">
        <v>6</v>
      </c>
      <c r="BG1" s="106" t="s">
        <v>76</v>
      </c>
      <c r="BH1" s="106" t="s">
        <v>77</v>
      </c>
      <c r="BI1" s="106" t="s">
        <v>78</v>
      </c>
      <c r="BJ1" s="106" t="s">
        <v>79</v>
      </c>
      <c r="BK1" s="107" t="s">
        <v>80</v>
      </c>
      <c r="BL1" s="107" t="s">
        <v>101</v>
      </c>
      <c r="BM1" s="107" t="s">
        <v>81</v>
      </c>
      <c r="BN1" s="107" t="s">
        <v>82</v>
      </c>
      <c r="BO1" s="108" t="s">
        <v>83</v>
      </c>
      <c r="BP1" s="109" t="s">
        <v>84</v>
      </c>
      <c r="BQ1" s="87" t="s">
        <v>92</v>
      </c>
      <c r="BR1" s="10" t="s">
        <v>397</v>
      </c>
    </row>
    <row r="2" spans="1:70" ht="21" customHeight="1" x14ac:dyDescent="0.15">
      <c r="A2" s="12">
        <v>642</v>
      </c>
      <c r="B2" s="58" t="str">
        <f ca="1">VLOOKUP($A2,OFFSET([1]characters!$A$1,0,0,COUNTA([1]characters!$A:$A),MATCH(B$1,[1]characters!$1:$1,0)-MATCH($A$1,[1]characters!$1:$1,0)+1),MATCH(B$1,[1]characters!$1:$1,0)-MATCH($A$1,[1]characters!$1:$1,0)+1,FALSE)</f>
        <v>カーマ</v>
      </c>
      <c r="C2" s="58" t="str">
        <f ca="1">VLOOKUP($A2,OFFSET([1]characters!$A$1,0,0,COUNTA([1]characters!$A:$A),MATCH(C$1,[1]characters!$1:$1,0)-MATCH($A$1,[1]characters!$1:$1,0)+1),MATCH(C$1,[1]characters!$1:$1,0)-MATCH($A$1,[1]characters!$1:$1,0)+1,FALSE)</f>
        <v>イベント:ウィザード</v>
      </c>
      <c r="D2" s="58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8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8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8">
        <f ca="1">VLOOKUP($A2,OFFSET([1]characters!$A$1,0,0,COUNTA([1]characters!$A:$A),MATCH(G$1,[1]characters!$1:$1,0)-MATCH($A$1,[1]characters!$1:$1,0)+1),MATCH(G$1,[1]characters!$1:$1,0)-MATCH($A$1,[1]characters!$1:$1,0)+1,FALSE)</f>
        <v>4</v>
      </c>
      <c r="H2" s="58" t="str">
        <f ca="1">VLOOKUP($A2,OFFSET([1]characters!$A$1,0,0,COUNTA([1]characters!$A:$A),MATCH(H$1,[1]characters!$1:$1,0)-MATCH($A$1,[1]characters!$1:$1,0)+1),MATCH(H$1,[1]characters!$1:$1,0)-MATCH($A$1,[1]characters!$1:$1,0)+1,FALSE)</f>
        <v>DropWizS</v>
      </c>
      <c r="I2" s="58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11">
        <f ca="1">VLOOKUP(I2,[1]属性!$A:$E,2,FALSE)</f>
        <v>1</v>
      </c>
      <c r="K2" s="11">
        <f ca="1">VLOOKUP(I2,[1]属性!$A:$E,3,FALSE)</f>
        <v>1.02</v>
      </c>
      <c r="L2" s="11">
        <f ca="1">VLOOKUP(I2,[1]属性!$A:$E,4,FALSE)</f>
        <v>1</v>
      </c>
      <c r="M2" s="11">
        <f ca="1">VLOOKUP(I2,[1]属性!$A:$E,5,FALSE)</f>
        <v>0.98</v>
      </c>
      <c r="N2" s="11">
        <f ca="1">INDEX(コスト!$A$1:$I$20,MATCH(H2,コスト!$A$1:$A$20,FALSE),MATCH(G2,コスト!$A$1:$I$1,FALSE))</f>
        <v>20</v>
      </c>
      <c r="O2" s="11">
        <f ca="1">INDEX(レベル!$A$1:$I$21,MATCH(H2,レベル!$A$1:$A$21,FALSE),MATCH(G2,レベル!$A$1:$I$1,FALSE))</f>
        <v>60</v>
      </c>
      <c r="P2" s="48">
        <f t="shared" ref="P2:P19" ca="1" si="0">G2*15</f>
        <v>60</v>
      </c>
      <c r="Q2" s="58" t="str">
        <f ca="1">VLOOKUP($A2,OFFSET([1]characters!$A$1,0,0,COUNTA([1]characters!$A:$A),MATCH(Q$1,[1]characters!$1:$1,0)-MATCH($A$1,[1]characters!$1:$1,0)+1),MATCH(Q$1,[1]characters!$1:$1,0)-MATCH($A$1,[1]characters!$1:$1,0)+1,FALSE)</f>
        <v>balance</v>
      </c>
      <c r="R2" s="5" t="str">
        <f ca="1">VLOOKUP(Q2,[1]character_type_i18n!$A:$H,3,FALSE)</f>
        <v>バランスタイプ</v>
      </c>
      <c r="S2" s="11">
        <f ca="1">VLOOKUP(Q2,[1]character_type_i18n!$A:$H,4,FALSE)</f>
        <v>1</v>
      </c>
      <c r="T2" s="11">
        <f ca="1">VLOOKUP(Q2,[1]character_type_i18n!$A:$H,5,FALSE)</f>
        <v>1</v>
      </c>
      <c r="U2" s="11">
        <f ca="1">VLOOKUP(Q2,[1]character_type_i18n!$A:$H,6,FALSE)</f>
        <v>1</v>
      </c>
      <c r="V2" s="11">
        <f ca="1">VLOOKUP(Q2,[1]character_type_i18n!$A:$H,7,FALSE)</f>
        <v>1</v>
      </c>
      <c r="W2" s="58" t="str">
        <f ca="1">VLOOKUP($A2,OFFSET([1]characters!$A$1,0,0,COUNTA([1]characters!$A:$A),MATCH(W$1,[1]characters!$1:$1,0)-MATCH($A$1,[1]characters!$1:$1,0)+1),MATCH(W$1,[1]characters!$1:$1,0)-MATCH($A$1,[1]characters!$1:$1,0)+1,FALSE)</f>
        <v>god</v>
      </c>
      <c r="X2" s="5" t="str">
        <f ca="1">VLOOKUP(W2,[1]character_tribe_i18n!$A:$H,3,FALSE)</f>
        <v>ゴッド</v>
      </c>
      <c r="Y2" s="58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1">
        <f ca="1">VLOOKUP(W2,[1]character_tribe_i18n!$A:$H,4,FALSE)</f>
        <v>0.96</v>
      </c>
      <c r="AB2" s="11">
        <f ca="1">VLOOKUP(W2,[1]character_tribe_i18n!$A:$H,5,FALSE)</f>
        <v>1.02</v>
      </c>
      <c r="AC2" s="11">
        <f ca="1">VLOOKUP(W2,[1]character_tribe_i18n!$A:$H,6,FALSE)</f>
        <v>1</v>
      </c>
      <c r="AD2" s="11">
        <f ca="1">VLOOKUP(W2,[1]character_tribe_i18n!$A:$H,7,FALSE)</f>
        <v>1.02</v>
      </c>
      <c r="AE2" s="9">
        <f>A3</f>
        <v>643</v>
      </c>
      <c r="AF2" s="63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愛花天神 カーマ</v>
      </c>
      <c r="AG2" s="5">
        <f t="shared" ref="AG2:AG19" ca="1" si="1">IF(ISNA(MATCH(A2,AE:AE,0)),A2,INDIRECT(ADDRESS(MATCH(A2,AE:AE,0),COLUMN())))</f>
        <v>642</v>
      </c>
      <c r="AH2" s="63" t="str">
        <f ca="1">VLOOKUP($AG2,OFFSET([1]characters!$A$1,0,0,COUNTA([1]characters!$A:$A),MATCH(AH$1,[1]characters!$1:$1,0)-MATCH($A$1,[1]characters!$1:$1,0)+1),MATCH(AH$1,[1]characters!$1:$1,0)-MATCH($A$1,[1]characters!$1:$1,0)+1,FALSE)</f>
        <v>カーマ</v>
      </c>
      <c r="AI2" s="11">
        <f ca="1">IF(AE2="NULL","NULL",VLOOKUP(G2,ビット!$A$2:$B$7,2))</f>
        <v>50000</v>
      </c>
      <c r="AJ2" s="6">
        <v>2</v>
      </c>
      <c r="AK2" s="7" t="str">
        <f t="shared" ref="AK2:AK19" si="2">IF(AJ2=1,"早熟",IF(AJ2=2,"普通",IF(AJ2=3,"晩成","")))</f>
        <v>普通</v>
      </c>
      <c r="AL2" s="11" t="str">
        <f ca="1">INDEX(経験値!$A$1:$I$20,MATCH(H2,経験値!$A$1:$A$20,FALSE),MATCH(G2,経験値!$A$1:$I$1,FALSE))</f>
        <v>required_exp_200</v>
      </c>
      <c r="AM2" s="8">
        <f ca="1">VLOOKUP(G2,経験値!$A$27:$B$31,2)</f>
        <v>3400</v>
      </c>
      <c r="AN2" s="17">
        <f ca="1">VLOOKUP(G2,ビット!$G$2:$H$7,2)</f>
        <v>600</v>
      </c>
      <c r="AO2" s="45"/>
      <c r="AP2" s="68">
        <f>A2</f>
        <v>642</v>
      </c>
      <c r="AQ2" s="58" t="str">
        <f ca="1">VLOOKUP($AP2,OFFSET(unit_skills!$A$1,0,0,COUNTA(unit_skills!$A:$A),MATCH(AQ$1,unit_skills!$1:$1,0)-MATCH($AP$1,unit_skills!$1:$1,0)+1),MATCH(AQ$1,unit_skills!$1:$1,0)-MATCH($AP$1,unit_skills!$1:$1,0)+1,FALSE)</f>
        <v>恋花焦花のガーデン</v>
      </c>
      <c r="AR2" s="58" t="str">
        <f ca="1">VLOOKUP($AP2,OFFSET(unit_skills!$A$1,0,0,COUNTA(unit_skills!$A:$A),MATCH(AR$1,unit_skills!$1:$1,0)-MATCH($AP$1,unit_skills!$1:$1,0)+1),MATCH(AR$1,unit_skills!$1:$1,0)-MATCH($AP$1,unit_skills!$1:$1,0)+1,FALSE)</f>
        <v>HP大回復+青パネルを赤パネルに変換し、ハートパネルを赤のボムパネルに変換する</v>
      </c>
      <c r="AS2" s="58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41">
        <f>A2</f>
        <v>642</v>
      </c>
      <c r="AU2" s="58" t="str">
        <f ca="1">VLOOKUP($AT2,OFFSET(crash_skills!$A$1,0,0,COUNTA(crash_skills!$A:$A),MATCH(AU$1,crash_skills!$1:$1,0)-MATCH($AT$1,crash_skills!$1:$1,0)+1),MATCH(AU$1,crash_skills!$1:$1,0)-MATCH($AT$1,crash_skills!$1:$1,0)+1,FALSE)</f>
        <v>愛花の嚆矢</v>
      </c>
      <c r="AV2" s="58" t="str">
        <f ca="1">VLOOKUP($AT2,OFFSET(crash_skills!$A$1,0,0,COUNTA(crash_skills!$A:$A),MATCH(AV$1,crash_skills!$1:$1,0)-MATCH($AT$1,crash_skills!$1:$1,0)+1),MATCH(AV$1,crash_skills!$1:$1,0)-MATCH($AT$1,crash_skills!$1:$1,0)+1,FALSE)</f>
        <v>1体に大ダメージ+_x000D_HPを大回復</v>
      </c>
      <c r="AW2" s="58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9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9">
        <v>1</v>
      </c>
      <c r="AZ2" s="69">
        <v>1.1000000000000001</v>
      </c>
      <c r="BA2" s="69">
        <v>0</v>
      </c>
      <c r="BB2" s="69">
        <v>1.1000000000000001</v>
      </c>
      <c r="BC2" s="11">
        <f ca="1">INDEX('RC6SV'!$A$1:$G$20,MATCH(H2,'RC6SV'!$A$1:$A$20,FALSE),MATCH(G2,'RC6SV'!$A$1:$G$1,FALSE))</f>
        <v>7000</v>
      </c>
      <c r="BD2" s="48">
        <f t="shared" ref="BD2:BD19" ca="1" si="3">ROUND(BC2*IF(AJ2=1,0.95,IF(AJ2=2,1,IF(AJ2,1.05,0))),0)</f>
        <v>7000</v>
      </c>
      <c r="BE2" s="11">
        <f t="shared" ref="BE2:BE19" ca="1" si="4">ROUND(IFERROR(INDIRECT(ADDRESS(MATCH($A2,$AE:$AE,0),MATCH($BC$1,$1:$1,0))),0),0)</f>
        <v>0</v>
      </c>
      <c r="BF2" s="11">
        <f t="shared" ref="BF2:BF19" ca="1" si="5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1680</v>
      </c>
      <c r="BH2" s="16">
        <f ca="1">IF($BE2&lt;=0,ROUND(BL2*0.5,0), ROUND($BE2*T2*AB2*K2*AZ2*0.8*[1]ステータス!$C$2,0))</f>
        <v>1202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962</v>
      </c>
      <c r="BK2" s="11">
        <f ca="1">ROUND(BD2*S2*AA2*J2*AY2*[1]ステータス!$B$2,0)</f>
        <v>3360</v>
      </c>
      <c r="BL2" s="11">
        <f ca="1">ROUND(BD2*T2*AB2*K2*AZ2*[1]ステータス!$C$2,0)</f>
        <v>2403</v>
      </c>
      <c r="BM2" s="11">
        <f ca="1">ROUND(BD2*U2*AC2*L2*BA2*[1]ステータス!$D$2,0)</f>
        <v>0</v>
      </c>
      <c r="BN2" s="11">
        <f ca="1">ROUND(BD2*V2*AD2*M2*BB2*[1]ステータス!$E$2,0)</f>
        <v>1924</v>
      </c>
      <c r="BO2" s="10">
        <v>0</v>
      </c>
      <c r="BP2" s="10">
        <v>1</v>
      </c>
      <c r="BQ2" s="10" t="s">
        <v>53</v>
      </c>
      <c r="BR2" s="10">
        <f ca="1">VLOOKUP(H2,ghosts_label!$A$2:$B$19,2,FALSE)</f>
        <v>1</v>
      </c>
    </row>
    <row r="3" spans="1:70" ht="21" customHeight="1" x14ac:dyDescent="0.15">
      <c r="A3" s="12">
        <v>643</v>
      </c>
      <c r="B3" s="58" t="str">
        <f ca="1">VLOOKUP($A3,OFFSET([1]characters!$A$1,0,0,COUNTA([1]characters!$A:$A),MATCH(B$1,[1]characters!$1:$1,0)-MATCH($A$1,[1]characters!$1:$1,0)+1),MATCH(B$1,[1]characters!$1:$1,0)-MATCH($A$1,[1]characters!$1:$1,0)+1,FALSE)</f>
        <v>愛花天神 カーマ</v>
      </c>
      <c r="C3" s="58" t="str">
        <f ca="1">VLOOKUP($A3,OFFSET([1]characters!$A$1,0,0,COUNTA([1]characters!$A:$A),MATCH(C$1,[1]characters!$1:$1,0)-MATCH($A$1,[1]characters!$1:$1,0)+1),MATCH(C$1,[1]characters!$1:$1,0)-MATCH($A$1,[1]characters!$1:$1,0)+1,FALSE)</f>
        <v>イベント:ウィザード</v>
      </c>
      <c r="D3" s="58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8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8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8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8" t="str">
        <f ca="1">VLOOKUP($A3,OFFSET([1]characters!$A$1,0,0,COUNTA([1]characters!$A:$A),MATCH(H$1,[1]characters!$1:$1,0)-MATCH($A$1,[1]characters!$1:$1,0)+1),MATCH(H$1,[1]characters!$1:$1,0)-MATCH($A$1,[1]characters!$1:$1,0)+1,FALSE)</f>
        <v>DropWizS</v>
      </c>
      <c r="I3" s="58" t="str">
        <f ca="1">VLOOKUP($A3,OFFSET([1]characters!$A$1,0,0,COUNTA([1]characters!$A:$A),MATCH(I$1,[1]characters!$1:$1,0)-MATCH($A$1,[1]characters!$1:$1,0)+1),MATCH(I$1,[1]characters!$1:$1,0)-MATCH($A$1,[1]characters!$1:$1,0)+1,FALSE)</f>
        <v>red</v>
      </c>
      <c r="J3" s="11">
        <f ca="1">VLOOKUP(I3,[1]属性!$A:$E,2,FALSE)</f>
        <v>1</v>
      </c>
      <c r="K3" s="11">
        <f ca="1">VLOOKUP(I3,[1]属性!$A:$E,3,FALSE)</f>
        <v>1.02</v>
      </c>
      <c r="L3" s="11">
        <f ca="1">VLOOKUP(I3,[1]属性!$A:$E,4,FALSE)</f>
        <v>1</v>
      </c>
      <c r="M3" s="11">
        <f ca="1">VLOOKUP(I3,[1]属性!$A:$E,5,FALSE)</f>
        <v>0.98</v>
      </c>
      <c r="N3" s="11">
        <f ca="1">INDEX(コスト!$A$1:$I$20,MATCH(H3,コスト!$A$1:$A$20,FALSE),MATCH(G3,コスト!$A$1:$I$1,FALSE))</f>
        <v>30</v>
      </c>
      <c r="O3" s="11">
        <f ca="1">INDEX(レベル!$A$1:$I$21,MATCH(H3,レベル!$A$1:$A$21,FALSE),MATCH(G3,レベル!$A$1:$I$1,FALSE))</f>
        <v>80</v>
      </c>
      <c r="P3" s="48">
        <f t="shared" ca="1" si="0"/>
        <v>75</v>
      </c>
      <c r="Q3" s="58" t="str">
        <f ca="1">VLOOKUP($A3,OFFSET([1]characters!$A$1,0,0,COUNTA([1]characters!$A:$A),MATCH(Q$1,[1]characters!$1:$1,0)-MATCH($A$1,[1]characters!$1:$1,0)+1),MATCH(Q$1,[1]characters!$1:$1,0)-MATCH($A$1,[1]characters!$1:$1,0)+1,FALSE)</f>
        <v>balance</v>
      </c>
      <c r="R3" s="5" t="str">
        <f ca="1">VLOOKUP(Q3,[1]character_type_i18n!$A:$H,3,FALSE)</f>
        <v>バランスタイプ</v>
      </c>
      <c r="S3" s="11">
        <f ca="1">VLOOKUP(Q3,[1]character_type_i18n!$A:$H,4,FALSE)</f>
        <v>1</v>
      </c>
      <c r="T3" s="11">
        <f ca="1">VLOOKUP(Q3,[1]character_type_i18n!$A:$H,5,FALSE)</f>
        <v>1</v>
      </c>
      <c r="U3" s="11">
        <f ca="1">VLOOKUP(Q3,[1]character_type_i18n!$A:$H,6,FALSE)</f>
        <v>1</v>
      </c>
      <c r="V3" s="11">
        <f ca="1">VLOOKUP(Q3,[1]character_type_i18n!$A:$H,7,FALSE)</f>
        <v>1</v>
      </c>
      <c r="W3" s="58" t="str">
        <f ca="1">VLOOKUP($A3,OFFSET([1]characters!$A$1,0,0,COUNTA([1]characters!$A:$A),MATCH(W$1,[1]characters!$1:$1,0)-MATCH($A$1,[1]characters!$1:$1,0)+1),MATCH(W$1,[1]characters!$1:$1,0)-MATCH($A$1,[1]characters!$1:$1,0)+1,FALSE)</f>
        <v>god</v>
      </c>
      <c r="X3" s="5" t="str">
        <f ca="1">VLOOKUP(W3,[1]character_tribe_i18n!$A:$H,3,FALSE)</f>
        <v>ゴッド</v>
      </c>
      <c r="Y3" s="58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1">
        <f ca="1">VLOOKUP(W3,[1]character_tribe_i18n!$A:$H,4,FALSE)</f>
        <v>0.96</v>
      </c>
      <c r="AB3" s="11">
        <f ca="1">VLOOKUP(W3,[1]character_tribe_i18n!$A:$H,5,FALSE)</f>
        <v>1.02</v>
      </c>
      <c r="AC3" s="11">
        <f ca="1">VLOOKUP(W3,[1]character_tribe_i18n!$A:$H,6,FALSE)</f>
        <v>1</v>
      </c>
      <c r="AD3" s="11">
        <f ca="1">VLOOKUP(W3,[1]character_tribe_i18n!$A:$H,7,FALSE)</f>
        <v>1.02</v>
      </c>
      <c r="AE3" s="9" t="s">
        <v>189</v>
      </c>
      <c r="AF3" s="63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f t="shared" ca="1" si="1"/>
        <v>642</v>
      </c>
      <c r="AH3" s="63" t="str">
        <f ca="1">VLOOKUP($AG3,OFFSET([1]characters!$A$1,0,0,COUNTA([1]characters!$A:$A),MATCH(AH$1,[1]characters!$1:$1,0)-MATCH($A$1,[1]characters!$1:$1,0)+1),MATCH(AH$1,[1]characters!$1:$1,0)-MATCH($A$1,[1]characters!$1:$1,0)+1,FALSE)</f>
        <v>カーマ</v>
      </c>
      <c r="AI3" s="11" t="str">
        <f>IF(AE3="NULL","NULL",VLOOKUP(G3,ビット!$A$2:$B$7,2))</f>
        <v>NULL</v>
      </c>
      <c r="AJ3" s="6">
        <v>2</v>
      </c>
      <c r="AK3" s="7" t="str">
        <f t="shared" si="2"/>
        <v>普通</v>
      </c>
      <c r="AL3" s="11" t="str">
        <f ca="1">INDEX(経験値!$A$1:$I$20,MATCH(H3,経験値!$A$1:$A$20,FALSE),MATCH(G3,経験値!$A$1:$I$1,FALSE))</f>
        <v>required_exp_200</v>
      </c>
      <c r="AM3" s="8">
        <f ca="1">VLOOKUP(G3,経験値!$A$27:$B$31,2)</f>
        <v>6400</v>
      </c>
      <c r="AN3" s="17">
        <f ca="1">VLOOKUP(G3,ビット!$G$2:$H$7,2)</f>
        <v>900</v>
      </c>
      <c r="AO3" s="45"/>
      <c r="AP3" s="68">
        <f t="shared" ref="AP3:AP19" si="6">A3</f>
        <v>643</v>
      </c>
      <c r="AQ3" s="58" t="str">
        <f ca="1">VLOOKUP($AP3,OFFSET(unit_skills!$A$1,0,0,COUNTA(unit_skills!$A:$A),MATCH(AQ$1,unit_skills!$1:$1,0)-MATCH($AP$1,unit_skills!$1:$1,0)+1),MATCH(AQ$1,unit_skills!$1:$1,0)-MATCH($AP$1,unit_skills!$1:$1,0)+1,FALSE)</f>
        <v>恋花焦花のガーデン</v>
      </c>
      <c r="AR3" s="58" t="str">
        <f ca="1">VLOOKUP($AP3,OFFSET(unit_skills!$A$1,0,0,COUNTA(unit_skills!$A:$A),MATCH(AR$1,unit_skills!$1:$1,0)-MATCH($AP$1,unit_skills!$1:$1,0)+1),MATCH(AR$1,unit_skills!$1:$1,0)-MATCH($AP$1,unit_skills!$1:$1,0)+1,FALSE)</f>
        <v>HP大回復+青パネルを赤パネルに変換し、ハートパネルを赤のボムパネルに変換する</v>
      </c>
      <c r="AS3" s="58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41">
        <f t="shared" ref="AT3:AT19" si="7">A3</f>
        <v>643</v>
      </c>
      <c r="AU3" s="58" t="str">
        <f ca="1">VLOOKUP($AT3,OFFSET(crash_skills!$A$1,0,0,COUNTA(crash_skills!$A:$A),MATCH(AU$1,crash_skills!$1:$1,0)-MATCH($AT$1,crash_skills!$1:$1,0)+1),MATCH(AU$1,crash_skills!$1:$1,0)-MATCH($AT$1,crash_skills!$1:$1,0)+1,FALSE)</f>
        <v>愛花の嚆矢</v>
      </c>
      <c r="AV3" s="58" t="str">
        <f ca="1">VLOOKUP($AT3,OFFSET(crash_skills!$A$1,0,0,COUNTA(crash_skills!$A:$A),MATCH(AV$1,crash_skills!$1:$1,0)-MATCH($AT$1,crash_skills!$1:$1,0)+1),MATCH(AV$1,crash_skills!$1:$1,0)-MATCH($AT$1,crash_skills!$1:$1,0)+1,FALSE)</f>
        <v>1体に大ダメージ+_x000D_HPを大回復</v>
      </c>
      <c r="AW3" s="58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9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9">
        <v>1</v>
      </c>
      <c r="AZ3" s="69">
        <v>1.1000000000000001</v>
      </c>
      <c r="BA3" s="69">
        <v>0</v>
      </c>
      <c r="BB3" s="69">
        <v>1.1000000000000001</v>
      </c>
      <c r="BC3" s="11">
        <f ca="1">INDEX('RC6SV'!$A$1:$G$20,MATCH(H3,'RC6SV'!$A$1:$A$20,FALSE),MATCH(G3,'RC6SV'!$A$1:$G$1,FALSE))</f>
        <v>9000</v>
      </c>
      <c r="BD3" s="48">
        <f t="shared" ca="1" si="3"/>
        <v>9000</v>
      </c>
      <c r="BE3" s="11">
        <f t="shared" ca="1" si="4"/>
        <v>7000</v>
      </c>
      <c r="BF3" s="11">
        <f t="shared" ca="1" si="5"/>
        <v>1</v>
      </c>
      <c r="BG3" s="16">
        <f ca="1">IF($BE3&lt;=0,ROUND(BK3*0.5,0), ROUND($BE3*S3*AA3*J3*AY3*0.8*[1]ステータス!$B$2,0))</f>
        <v>2688</v>
      </c>
      <c r="BH3" s="16">
        <f ca="1">IF($BE3&lt;=0,ROUND(BL3*0.5,0), ROUND($BE3*T3*AB3*K3*AZ3*0.8*[1]ステータス!$C$2,0))</f>
        <v>1923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1539</v>
      </c>
      <c r="BK3" s="11">
        <f ca="1">ROUND(BD3*S3*AA3*J3*AY3*[1]ステータス!$B$2,0)</f>
        <v>4320</v>
      </c>
      <c r="BL3" s="11">
        <f ca="1">ROUND(BD3*T3*AB3*K3*AZ3*[1]ステータス!$C$2,0)</f>
        <v>3090</v>
      </c>
      <c r="BM3" s="11">
        <f ca="1">ROUND(BD3*U3*AC3*L3*BA3*[1]ステータス!$D$2,0)</f>
        <v>0</v>
      </c>
      <c r="BN3" s="11">
        <f ca="1">ROUND(BD3*V3*AD3*M3*BB3*[1]ステータス!$E$2,0)</f>
        <v>2474</v>
      </c>
      <c r="BO3" s="10">
        <v>0</v>
      </c>
      <c r="BP3" s="10">
        <v>1</v>
      </c>
      <c r="BQ3" s="10" t="s">
        <v>53</v>
      </c>
      <c r="BR3" s="10">
        <f ca="1">VLOOKUP(H3,ghosts_label!$A$2:$B$19,2,FALSE)</f>
        <v>1</v>
      </c>
    </row>
    <row r="4" spans="1:70" ht="21" customHeight="1" x14ac:dyDescent="0.15">
      <c r="A4" s="12">
        <v>648</v>
      </c>
      <c r="B4" s="58" t="str">
        <f ca="1">VLOOKUP($A4,OFFSET([1]characters!$A$1,0,0,COUNTA([1]characters!$A:$A),MATCH(B$1,[1]characters!$1:$1,0)-MATCH($A$1,[1]characters!$1:$1,0)+1),MATCH(B$1,[1]characters!$1:$1,0)-MATCH($A$1,[1]characters!$1:$1,0)+1,FALSE)</f>
        <v>パールヴァティ</v>
      </c>
      <c r="C4" s="58" t="str">
        <f ca="1">VLOOKUP($A4,OFFSET([1]characters!$A$1,0,0,COUNTA([1]characters!$A:$A),MATCH(C$1,[1]characters!$1:$1,0)-MATCH($A$1,[1]characters!$1:$1,0)+1),MATCH(C$1,[1]characters!$1:$1,0)-MATCH($A$1,[1]characters!$1:$1,0)+1,FALSE)</f>
        <v>イベント:ヒンドゥー01</v>
      </c>
      <c r="D4" s="58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8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8" t="str">
        <f ca="1">VLOOKUP($A4,OFFSET([1]characters!$A$1,0,0,COUNTA([1]characters!$A:$A),MATCH(F$1,[1]characters!$1:$1,0)-MATCH($A$1,[1]characters!$1:$1,0)+1),MATCH(F$1,[1]characters!$1:$1,0)-MATCH($A$1,[1]characters!$1:$1,0)+1,FALSE)</f>
        <v>女性</v>
      </c>
      <c r="G4" s="58">
        <f ca="1">VLOOKUP($A4,OFFSET([1]characters!$A$1,0,0,COUNTA([1]characters!$A:$A),MATCH(G$1,[1]characters!$1:$1,0)-MATCH($A$1,[1]characters!$1:$1,0)+1),MATCH(G$1,[1]characters!$1:$1,0)-MATCH($A$1,[1]characters!$1:$1,0)+1,FALSE)</f>
        <v>4</v>
      </c>
      <c r="H4" s="58" t="str">
        <f ca="1">VLOOKUP($A4,OFFSET([1]characters!$A$1,0,0,COUNTA([1]characters!$A:$A),MATCH(H$1,[1]characters!$1:$1,0)-MATCH($A$1,[1]characters!$1:$1,0)+1),MATCH(H$1,[1]characters!$1:$1,0)-MATCH($A$1,[1]characters!$1:$1,0)+1,FALSE)</f>
        <v>DropWizS</v>
      </c>
      <c r="I4" s="58" t="str">
        <f ca="1">VLOOKUP($A4,OFFSET([1]characters!$A$1,0,0,COUNTA([1]characters!$A:$A),MATCH(I$1,[1]characters!$1:$1,0)-MATCH($A$1,[1]characters!$1:$1,0)+1),MATCH(I$1,[1]characters!$1:$1,0)-MATCH($A$1,[1]characters!$1:$1,0)+1,FALSE)</f>
        <v>blue</v>
      </c>
      <c r="J4" s="11">
        <f ca="1">VLOOKUP(I4,[1]属性!$A:$E,2,FALSE)</f>
        <v>1</v>
      </c>
      <c r="K4" s="11">
        <f ca="1">VLOOKUP(I4,[1]属性!$A:$E,3,FALSE)</f>
        <v>0.98</v>
      </c>
      <c r="L4" s="11">
        <f ca="1">VLOOKUP(I4,[1]属性!$A:$E,4,FALSE)</f>
        <v>1</v>
      </c>
      <c r="M4" s="11">
        <f ca="1">VLOOKUP(I4,[1]属性!$A:$E,5,FALSE)</f>
        <v>1.02</v>
      </c>
      <c r="N4" s="11">
        <f ca="1">INDEX(コスト!$A$1:$I$20,MATCH(H4,コスト!$A$1:$A$20,FALSE),MATCH(G4,コスト!$A$1:$I$1,FALSE))</f>
        <v>20</v>
      </c>
      <c r="O4" s="11">
        <f ca="1">INDEX(レベル!$A$1:$I$21,MATCH(H4,レベル!$A$1:$A$21,FALSE),MATCH(G4,レベル!$A$1:$I$1,FALSE))</f>
        <v>60</v>
      </c>
      <c r="P4" s="48">
        <f t="shared" ca="1" si="0"/>
        <v>60</v>
      </c>
      <c r="Q4" s="58" t="str">
        <f ca="1">VLOOKUP($A4,OFFSET([1]characters!$A$1,0,0,COUNTA([1]characters!$A:$A),MATCH(Q$1,[1]characters!$1:$1,0)-MATCH($A$1,[1]characters!$1:$1,0)+1),MATCH(Q$1,[1]characters!$1:$1,0)-MATCH($A$1,[1]characters!$1:$1,0)+1,FALSE)</f>
        <v>heal</v>
      </c>
      <c r="R4" s="5" t="str">
        <f ca="1">VLOOKUP(Q4,[1]character_type_i18n!$A:$H,3,FALSE)</f>
        <v>回復タイプ</v>
      </c>
      <c r="S4" s="11">
        <f ca="1">VLOOKUP(Q4,[1]character_type_i18n!$A:$H,4,FALSE)</f>
        <v>0.8</v>
      </c>
      <c r="T4" s="11">
        <f ca="1">VLOOKUP(Q4,[1]character_type_i18n!$A:$H,5,FALSE)</f>
        <v>0.78</v>
      </c>
      <c r="U4" s="11">
        <f ca="1">VLOOKUP(Q4,[1]character_type_i18n!$A:$H,6,FALSE)</f>
        <v>1</v>
      </c>
      <c r="V4" s="11">
        <f ca="1">VLOOKUP(Q4,[1]character_type_i18n!$A:$H,7,FALSE)</f>
        <v>1.42</v>
      </c>
      <c r="W4" s="58" t="str">
        <f ca="1">VLOOKUP($A4,OFFSET([1]characters!$A$1,0,0,COUNTA([1]characters!$A:$A),MATCH(W$1,[1]characters!$1:$1,0)-MATCH($A$1,[1]characters!$1:$1,0)+1),MATCH(W$1,[1]characters!$1:$1,0)-MATCH($A$1,[1]characters!$1:$1,0)+1,FALSE)</f>
        <v>god</v>
      </c>
      <c r="X4" s="5" t="str">
        <f ca="1">VLOOKUP(W4,[1]character_tribe_i18n!$A:$H,3,FALSE)</f>
        <v>ゴッド</v>
      </c>
      <c r="Y4" s="58" t="str">
        <f ca="1">VLOOKUP($A4,OFFSET([1]characters!$A$1,0,0,COUNTA([1]characters!$A:$A),MATCH(Y$1,[1]characters!$1:$1,0)-MATCH($A$1,[1]characters!$1:$1,0)+1),MATCH(Y$1,[1]characters!$1:$1,0)-MATCH($A$1,[1]characters!$1:$1,0)+1,FALSE)</f>
        <v>none</v>
      </c>
      <c r="Z4" s="5" t="str">
        <f ca="1">VLOOKUP(Y4,[1]character_tribe_i18n!$A:$H,3,FALSE)</f>
        <v>種族なし</v>
      </c>
      <c r="AA4" s="11">
        <f ca="1">VLOOKUP(W4,[1]character_tribe_i18n!$A:$H,4,FALSE)</f>
        <v>0.96</v>
      </c>
      <c r="AB4" s="11">
        <f ca="1">VLOOKUP(W4,[1]character_tribe_i18n!$A:$H,5,FALSE)</f>
        <v>1.02</v>
      </c>
      <c r="AC4" s="11">
        <f ca="1">VLOOKUP(W4,[1]character_tribe_i18n!$A:$H,6,FALSE)</f>
        <v>1</v>
      </c>
      <c r="AD4" s="11">
        <f ca="1">VLOOKUP(W4,[1]character_tribe_i18n!$A:$H,7,FALSE)</f>
        <v>1.02</v>
      </c>
      <c r="AE4" s="9">
        <f t="shared" ref="AE4" si="8">A5</f>
        <v>649</v>
      </c>
      <c r="AF4" s="63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寄咲く一輪華 パールヴァティ</v>
      </c>
      <c r="AG4" s="5">
        <f t="shared" ca="1" si="1"/>
        <v>648</v>
      </c>
      <c r="AH4" s="63" t="str">
        <f ca="1">VLOOKUP($AG4,OFFSET([1]characters!$A$1,0,0,COUNTA([1]characters!$A:$A),MATCH(AH$1,[1]characters!$1:$1,0)-MATCH($A$1,[1]characters!$1:$1,0)+1),MATCH(AH$1,[1]characters!$1:$1,0)-MATCH($A$1,[1]characters!$1:$1,0)+1,FALSE)</f>
        <v>パールヴァティ</v>
      </c>
      <c r="AI4" s="11">
        <f ca="1">IF(AE4="NULL","NULL",VLOOKUP(G4,ビット!$A$2:$B$7,2))</f>
        <v>50000</v>
      </c>
      <c r="AJ4" s="6">
        <v>2</v>
      </c>
      <c r="AK4" s="7" t="str">
        <f t="shared" si="2"/>
        <v>普通</v>
      </c>
      <c r="AL4" s="11" t="str">
        <f ca="1">INDEX(経験値!$A$1:$I$20,MATCH(H4,経験値!$A$1:$A$20,FALSE),MATCH(G4,経験値!$A$1:$I$1,FALSE))</f>
        <v>required_exp_200</v>
      </c>
      <c r="AM4" s="8">
        <f ca="1">VLOOKUP(G4,経験値!$A$27:$B$31,2)</f>
        <v>3400</v>
      </c>
      <c r="AN4" s="17">
        <f ca="1">VLOOKUP(G4,ビット!$G$2:$H$7,2)</f>
        <v>600</v>
      </c>
      <c r="AO4" s="45"/>
      <c r="AP4" s="68">
        <f t="shared" si="6"/>
        <v>648</v>
      </c>
      <c r="AQ4" s="58" t="str">
        <f ca="1">VLOOKUP($AP4,OFFSET(unit_skills!$A$1,0,0,COUNTA(unit_skills!$A:$A),MATCH(AQ$1,unit_skills!$1:$1,0)-MATCH($AP$1,unit_skills!$1:$1,0)+1),MATCH(AQ$1,unit_skills!$1:$1,0)-MATCH($AP$1,unit_skills!$1:$1,0)+1,FALSE)</f>
        <v>鳥摩妃の三鈷戟</v>
      </c>
      <c r="AR4" s="58" t="str">
        <f ca="1">VLOOKUP($AP4,OFFSET(unit_skills!$A$1,0,0,COUNTA(unit_skills!$A:$A),MATCH(AR$1,unit_skills!$1:$1,0)-MATCH($AP$1,unit_skills!$1:$1,0)+1),MATCH(AR$1,unit_skills!$1:$1,0)-MATCH($AP$1,unit_skills!$1:$1,0)+1,FALSE)</f>
        <v>自身の回復力に比例して全体に大ダメージ＋HPを小回復</v>
      </c>
      <c r="AS4" s="58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41">
        <f t="shared" si="7"/>
        <v>648</v>
      </c>
      <c r="AU4" s="58" t="str">
        <f ca="1">VLOOKUP($AT4,OFFSET(crash_skills!$A$1,0,0,COUNTA(crash_skills!$A:$A),MATCH(AU$1,crash_skills!$1:$1,0)-MATCH($AT$1,crash_skills!$1:$1,0)+1),MATCH(AU$1,crash_skills!$1:$1,0)-MATCH($AT$1,crash_skills!$1:$1,0)+1,FALSE)</f>
        <v>オンソ・ヴィーラ</v>
      </c>
      <c r="AV4" s="58" t="str">
        <f ca="1">VLOOKUP($AT4,OFFSET(crash_skills!$A$1,0,0,COUNTA(crash_skills!$A:$A),MATCH(AV$1,crash_skills!$1:$1,0)-MATCH($AT$1,crash_skills!$1:$1,0)+1),MATCH(AV$1,crash_skills!$1:$1,0)-MATCH($AT$1,crash_skills!$1:$1,0)+1,FALSE)</f>
        <v>自身の回復力に比例して_x000D_単体に大ダメージ</v>
      </c>
      <c r="AW4" s="58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9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9">
        <v>1</v>
      </c>
      <c r="AZ4" s="69">
        <v>1</v>
      </c>
      <c r="BA4" s="69">
        <v>0</v>
      </c>
      <c r="BB4" s="69">
        <v>1</v>
      </c>
      <c r="BC4" s="11">
        <f ca="1">INDEX('RC6SV'!$A$1:$G$20,MATCH(H4,'RC6SV'!$A$1:$A$20,FALSE),MATCH(G4,'RC6SV'!$A$1:$G$1,FALSE))</f>
        <v>7000</v>
      </c>
      <c r="BD4" s="48">
        <f t="shared" ca="1" si="3"/>
        <v>7000</v>
      </c>
      <c r="BE4" s="11">
        <f t="shared" ca="1" si="4"/>
        <v>0</v>
      </c>
      <c r="BF4" s="11">
        <f t="shared" ca="1" si="5"/>
        <v>1</v>
      </c>
      <c r="BG4" s="16">
        <f ca="1">IF($BE4&lt;=0,ROUND(BK4*0.5,0), ROUND($BE4*S4*AA4*J4*AY4*0.8*[1]ステータス!$B$2,0))</f>
        <v>1344</v>
      </c>
      <c r="BH4" s="16">
        <f ca="1">IF($BE4&lt;=0,ROUND(BL4*0.5,0), ROUND($BE4*T4*AB4*K4*AZ4*0.8*[1]ステータス!$C$2,0))</f>
        <v>819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1293</v>
      </c>
      <c r="BK4" s="11">
        <f ca="1">ROUND(BD4*S4*AA4*J4*AY4*[1]ステータス!$B$2,0)</f>
        <v>2688</v>
      </c>
      <c r="BL4" s="11">
        <f ca="1">ROUND(BD4*T4*AB4*K4*AZ4*[1]ステータス!$C$2,0)</f>
        <v>1637</v>
      </c>
      <c r="BM4" s="11">
        <f ca="1">ROUND(BD4*U4*AC4*L4*BA4*[1]ステータス!$D$2,0)</f>
        <v>0</v>
      </c>
      <c r="BN4" s="11">
        <f ca="1">ROUND(BD4*V4*AD4*M4*BB4*[1]ステータス!$E$2,0)</f>
        <v>2585</v>
      </c>
      <c r="BO4" s="10">
        <v>0</v>
      </c>
      <c r="BP4" s="10">
        <v>1</v>
      </c>
      <c r="BQ4" s="10" t="s">
        <v>53</v>
      </c>
      <c r="BR4" s="10">
        <f ca="1">VLOOKUP(H4,ghosts_label!$A$2:$B$19,2,FALSE)</f>
        <v>1</v>
      </c>
    </row>
    <row r="5" spans="1:70" ht="21" customHeight="1" x14ac:dyDescent="0.15">
      <c r="A5" s="12">
        <v>649</v>
      </c>
      <c r="B5" s="58" t="str">
        <f ca="1">VLOOKUP($A5,OFFSET([1]characters!$A$1,0,0,COUNTA([1]characters!$A:$A),MATCH(B$1,[1]characters!$1:$1,0)-MATCH($A$1,[1]characters!$1:$1,0)+1),MATCH(B$1,[1]characters!$1:$1,0)-MATCH($A$1,[1]characters!$1:$1,0)+1,FALSE)</f>
        <v>寄咲く一輪華 パールヴァティ</v>
      </c>
      <c r="C5" s="58" t="str">
        <f ca="1">VLOOKUP($A5,OFFSET([1]characters!$A$1,0,0,COUNTA([1]characters!$A:$A),MATCH(C$1,[1]characters!$1:$1,0)-MATCH($A$1,[1]characters!$1:$1,0)+1),MATCH(C$1,[1]characters!$1:$1,0)-MATCH($A$1,[1]characters!$1:$1,0)+1,FALSE)</f>
        <v>イベント:ヒンドゥー01</v>
      </c>
      <c r="D5" s="58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8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8" t="str">
        <f ca="1">VLOOKUP($A5,OFFSET([1]characters!$A$1,0,0,COUNTA([1]characters!$A:$A),MATCH(F$1,[1]characters!$1:$1,0)-MATCH($A$1,[1]characters!$1:$1,0)+1),MATCH(F$1,[1]characters!$1:$1,0)-MATCH($A$1,[1]characters!$1:$1,0)+1,FALSE)</f>
        <v>女性</v>
      </c>
      <c r="G5" s="58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8" t="str">
        <f ca="1">VLOOKUP($A5,OFFSET([1]characters!$A$1,0,0,COUNTA([1]characters!$A:$A),MATCH(H$1,[1]characters!$1:$1,0)-MATCH($A$1,[1]characters!$1:$1,0)+1),MATCH(H$1,[1]characters!$1:$1,0)-MATCH($A$1,[1]characters!$1:$1,0)+1,FALSE)</f>
        <v>DropWizS</v>
      </c>
      <c r="I5" s="58" t="str">
        <f ca="1">VLOOKUP($A5,OFFSET([1]characters!$A$1,0,0,COUNTA([1]characters!$A:$A),MATCH(I$1,[1]characters!$1:$1,0)-MATCH($A$1,[1]characters!$1:$1,0)+1),MATCH(I$1,[1]characters!$1:$1,0)-MATCH($A$1,[1]characters!$1:$1,0)+1,FALSE)</f>
        <v>blue</v>
      </c>
      <c r="J5" s="11">
        <f ca="1">VLOOKUP(I5,[1]属性!$A:$E,2,FALSE)</f>
        <v>1</v>
      </c>
      <c r="K5" s="11">
        <f ca="1">VLOOKUP(I5,[1]属性!$A:$E,3,FALSE)</f>
        <v>0.98</v>
      </c>
      <c r="L5" s="11">
        <f ca="1">VLOOKUP(I5,[1]属性!$A:$E,4,FALSE)</f>
        <v>1</v>
      </c>
      <c r="M5" s="11">
        <f ca="1">VLOOKUP(I5,[1]属性!$A:$E,5,FALSE)</f>
        <v>1.02</v>
      </c>
      <c r="N5" s="11">
        <f ca="1">INDEX(コスト!$A$1:$I$20,MATCH(H5,コスト!$A$1:$A$20,FALSE),MATCH(G5,コスト!$A$1:$I$1,FALSE))</f>
        <v>30</v>
      </c>
      <c r="O5" s="11">
        <f ca="1">INDEX(レベル!$A$1:$I$21,MATCH(H5,レベル!$A$1:$A$21,FALSE),MATCH(G5,レベル!$A$1:$I$1,FALSE))</f>
        <v>80</v>
      </c>
      <c r="P5" s="48">
        <f t="shared" ca="1" si="0"/>
        <v>75</v>
      </c>
      <c r="Q5" s="58" t="str">
        <f ca="1">VLOOKUP($A5,OFFSET([1]characters!$A$1,0,0,COUNTA([1]characters!$A:$A),MATCH(Q$1,[1]characters!$1:$1,0)-MATCH($A$1,[1]characters!$1:$1,0)+1),MATCH(Q$1,[1]characters!$1:$1,0)-MATCH($A$1,[1]characters!$1:$1,0)+1,FALSE)</f>
        <v>heal</v>
      </c>
      <c r="R5" s="5" t="str">
        <f ca="1">VLOOKUP(Q5,[1]character_type_i18n!$A:$H,3,FALSE)</f>
        <v>回復タイプ</v>
      </c>
      <c r="S5" s="11">
        <f ca="1">VLOOKUP(Q5,[1]character_type_i18n!$A:$H,4,FALSE)</f>
        <v>0.8</v>
      </c>
      <c r="T5" s="11">
        <f ca="1">VLOOKUP(Q5,[1]character_type_i18n!$A:$H,5,FALSE)</f>
        <v>0.78</v>
      </c>
      <c r="U5" s="11">
        <f ca="1">VLOOKUP(Q5,[1]character_type_i18n!$A:$H,6,FALSE)</f>
        <v>1</v>
      </c>
      <c r="V5" s="11">
        <f ca="1">VLOOKUP(Q5,[1]character_type_i18n!$A:$H,7,FALSE)</f>
        <v>1.42</v>
      </c>
      <c r="W5" s="58" t="str">
        <f ca="1">VLOOKUP($A5,OFFSET([1]characters!$A$1,0,0,COUNTA([1]characters!$A:$A),MATCH(W$1,[1]characters!$1:$1,0)-MATCH($A$1,[1]characters!$1:$1,0)+1),MATCH(W$1,[1]characters!$1:$1,0)-MATCH($A$1,[1]characters!$1:$1,0)+1,FALSE)</f>
        <v>god</v>
      </c>
      <c r="X5" s="5" t="str">
        <f ca="1">VLOOKUP(W5,[1]character_tribe_i18n!$A:$H,3,FALSE)</f>
        <v>ゴッド</v>
      </c>
      <c r="Y5" s="58" t="str">
        <f ca="1">VLOOKUP($A5,OFFSET([1]characters!$A$1,0,0,COUNTA([1]characters!$A:$A),MATCH(Y$1,[1]characters!$1:$1,0)-MATCH($A$1,[1]characters!$1:$1,0)+1),MATCH(Y$1,[1]characters!$1:$1,0)-MATCH($A$1,[1]characters!$1:$1,0)+1,FALSE)</f>
        <v>none</v>
      </c>
      <c r="Z5" s="5" t="str">
        <f ca="1">VLOOKUP(Y5,[1]character_tribe_i18n!$A:$H,3,FALSE)</f>
        <v>種族なし</v>
      </c>
      <c r="AA5" s="11">
        <f ca="1">VLOOKUP(W5,[1]character_tribe_i18n!$A:$H,4,FALSE)</f>
        <v>0.96</v>
      </c>
      <c r="AB5" s="11">
        <f ca="1">VLOOKUP(W5,[1]character_tribe_i18n!$A:$H,5,FALSE)</f>
        <v>1.02</v>
      </c>
      <c r="AC5" s="11">
        <f ca="1">VLOOKUP(W5,[1]character_tribe_i18n!$A:$H,6,FALSE)</f>
        <v>1</v>
      </c>
      <c r="AD5" s="11">
        <f ca="1">VLOOKUP(W5,[1]character_tribe_i18n!$A:$H,7,FALSE)</f>
        <v>1.02</v>
      </c>
      <c r="AE5" s="9" t="s">
        <v>189</v>
      </c>
      <c r="AF5" s="63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5">
        <f t="shared" ca="1" si="1"/>
        <v>648</v>
      </c>
      <c r="AH5" s="63" t="str">
        <f ca="1">VLOOKUP($AG5,OFFSET([1]characters!$A$1,0,0,COUNTA([1]characters!$A:$A),MATCH(AH$1,[1]characters!$1:$1,0)-MATCH($A$1,[1]characters!$1:$1,0)+1),MATCH(AH$1,[1]characters!$1:$1,0)-MATCH($A$1,[1]characters!$1:$1,0)+1,FALSE)</f>
        <v>パールヴァティ</v>
      </c>
      <c r="AI5" s="11" t="str">
        <f>IF(AE5="NULL","NULL",VLOOKUP(G5,ビット!$A$2:$B$7,2))</f>
        <v>NULL</v>
      </c>
      <c r="AJ5" s="6">
        <v>2</v>
      </c>
      <c r="AK5" s="7" t="str">
        <f t="shared" si="2"/>
        <v>普通</v>
      </c>
      <c r="AL5" s="11" t="str">
        <f ca="1">INDEX(経験値!$A$1:$I$20,MATCH(H5,経験値!$A$1:$A$20,FALSE),MATCH(G5,経験値!$A$1:$I$1,FALSE))</f>
        <v>required_exp_200</v>
      </c>
      <c r="AM5" s="8">
        <f ca="1">VLOOKUP(G5,経験値!$A$27:$B$31,2)</f>
        <v>6400</v>
      </c>
      <c r="AN5" s="17">
        <f ca="1">VLOOKUP(G5,ビット!$G$2:$H$7,2)</f>
        <v>900</v>
      </c>
      <c r="AO5" s="45"/>
      <c r="AP5" s="68">
        <f t="shared" si="6"/>
        <v>649</v>
      </c>
      <c r="AQ5" s="58" t="str">
        <f ca="1">VLOOKUP($AP5,OFFSET(unit_skills!$A$1,0,0,COUNTA(unit_skills!$A:$A),MATCH(AQ$1,unit_skills!$1:$1,0)-MATCH($AP$1,unit_skills!$1:$1,0)+1),MATCH(AQ$1,unit_skills!$1:$1,0)-MATCH($AP$1,unit_skills!$1:$1,0)+1,FALSE)</f>
        <v>鳥摩妃の三鈷戟</v>
      </c>
      <c r="AR5" s="58" t="str">
        <f ca="1">VLOOKUP($AP5,OFFSET(unit_skills!$A$1,0,0,COUNTA(unit_skills!$A:$A),MATCH(AR$1,unit_skills!$1:$1,0)-MATCH($AP$1,unit_skills!$1:$1,0)+1),MATCH(AR$1,unit_skills!$1:$1,0)-MATCH($AP$1,unit_skills!$1:$1,0)+1,FALSE)</f>
        <v>自身の回復力に比例して全体に大ダメージ＋HPを小回復</v>
      </c>
      <c r="AS5" s="58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41">
        <f t="shared" si="7"/>
        <v>649</v>
      </c>
      <c r="AU5" s="58" t="str">
        <f ca="1">VLOOKUP($AT5,OFFSET(crash_skills!$A$1,0,0,COUNTA(crash_skills!$A:$A),MATCH(AU$1,crash_skills!$1:$1,0)-MATCH($AT$1,crash_skills!$1:$1,0)+1),MATCH(AU$1,crash_skills!$1:$1,0)-MATCH($AT$1,crash_skills!$1:$1,0)+1,FALSE)</f>
        <v>オンソ・ヴィーラ</v>
      </c>
      <c r="AV5" s="58" t="str">
        <f ca="1">VLOOKUP($AT5,OFFSET(crash_skills!$A$1,0,0,COUNTA(crash_skills!$A:$A),MATCH(AV$1,crash_skills!$1:$1,0)-MATCH($AT$1,crash_skills!$1:$1,0)+1),MATCH(AV$1,crash_skills!$1:$1,0)-MATCH($AT$1,crash_skills!$1:$1,0)+1,FALSE)</f>
        <v>自身の回復力に比例して_x000D_単体に大ダメージ</v>
      </c>
      <c r="AW5" s="58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9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9">
        <v>1</v>
      </c>
      <c r="AZ5" s="69">
        <v>1</v>
      </c>
      <c r="BA5" s="69">
        <v>0</v>
      </c>
      <c r="BB5" s="69">
        <v>1</v>
      </c>
      <c r="BC5" s="11">
        <f ca="1">INDEX('RC6SV'!$A$1:$G$20,MATCH(H5,'RC6SV'!$A$1:$A$20,FALSE),MATCH(G5,'RC6SV'!$A$1:$G$1,FALSE))</f>
        <v>9000</v>
      </c>
      <c r="BD5" s="48">
        <f t="shared" ca="1" si="3"/>
        <v>9000</v>
      </c>
      <c r="BE5" s="11">
        <f t="shared" ca="1" si="4"/>
        <v>7000</v>
      </c>
      <c r="BF5" s="11">
        <f t="shared" ca="1" si="5"/>
        <v>1</v>
      </c>
      <c r="BG5" s="16">
        <f ca="1">IF($BE5&lt;=0,ROUND(BK5*0.5,0), ROUND($BE5*S5*AA5*J5*AY5*0.8*[1]ステータス!$B$2,0))</f>
        <v>2150</v>
      </c>
      <c r="BH5" s="16">
        <f ca="1">IF($BE5&lt;=0,ROUND(BL5*0.5,0), ROUND($BE5*T5*AB5*K5*AZ5*0.8*[1]ステータス!$C$2,0))</f>
        <v>1310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2068</v>
      </c>
      <c r="BK5" s="11">
        <f ca="1">ROUND(BD5*S5*AA5*J5*AY5*[1]ステータス!$B$2,0)</f>
        <v>3456</v>
      </c>
      <c r="BL5" s="11">
        <f ca="1">ROUND(BD5*T5*AB5*K5*AZ5*[1]ステータス!$C$2,0)</f>
        <v>2105</v>
      </c>
      <c r="BM5" s="11">
        <f ca="1">ROUND(BD5*U5*AC5*L5*BA5*[1]ステータス!$D$2,0)</f>
        <v>0</v>
      </c>
      <c r="BN5" s="11">
        <f ca="1">ROUND(BD5*V5*AD5*M5*BB5*[1]ステータス!$E$2,0)</f>
        <v>3324</v>
      </c>
      <c r="BO5" s="10">
        <v>0</v>
      </c>
      <c r="BP5" s="10">
        <v>1</v>
      </c>
      <c r="BQ5" s="10" t="s">
        <v>53</v>
      </c>
      <c r="BR5" s="10">
        <f ca="1">VLOOKUP(H5,ghosts_label!$A$2:$B$19,2,FALSE)</f>
        <v>1</v>
      </c>
    </row>
    <row r="6" spans="1:70" ht="21" customHeight="1" x14ac:dyDescent="0.15">
      <c r="A6" s="12">
        <v>652</v>
      </c>
      <c r="B6" s="58" t="str">
        <f ca="1">VLOOKUP($A6,OFFSET([1]characters!$A$1,0,0,COUNTA([1]characters!$A:$A),MATCH(B$1,[1]characters!$1:$1,0)-MATCH($A$1,[1]characters!$1:$1,0)+1),MATCH(B$1,[1]characters!$1:$1,0)-MATCH($A$1,[1]characters!$1:$1,0)+1,FALSE)</f>
        <v>アナンタ</v>
      </c>
      <c r="C6" s="58" t="str">
        <f ca="1">VLOOKUP($A6,OFFSET([1]characters!$A$1,0,0,COUNTA([1]characters!$A:$A),MATCH(C$1,[1]characters!$1:$1,0)-MATCH($A$1,[1]characters!$1:$1,0)+1),MATCH(C$1,[1]characters!$1:$1,0)-MATCH($A$1,[1]characters!$1:$1,0)+1,FALSE)</f>
        <v>イベント:ヒンドゥー01</v>
      </c>
      <c r="D6" s="58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8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8" t="str">
        <f ca="1">VLOOKUP($A6,OFFSET([1]characters!$A$1,0,0,COUNTA([1]characters!$A:$A),MATCH(F$1,[1]characters!$1:$1,0)-MATCH($A$1,[1]characters!$1:$1,0)+1),MATCH(F$1,[1]characters!$1:$1,0)-MATCH($A$1,[1]characters!$1:$1,0)+1,FALSE)</f>
        <v>不明</v>
      </c>
      <c r="G6" s="58">
        <f ca="1">VLOOKUP($A6,OFFSET([1]characters!$A$1,0,0,COUNTA([1]characters!$A:$A),MATCH(G$1,[1]characters!$1:$1,0)-MATCH($A$1,[1]characters!$1:$1,0)+1),MATCH(G$1,[1]characters!$1:$1,0)-MATCH($A$1,[1]characters!$1:$1,0)+1,FALSE)</f>
        <v>4</v>
      </c>
      <c r="H6" s="58" t="str">
        <f ca="1">VLOOKUP($A6,OFFSET([1]characters!$A$1,0,0,COUNTA([1]characters!$A:$A),MATCH(H$1,[1]characters!$1:$1,0)-MATCH($A$1,[1]characters!$1:$1,0)+1),MATCH(H$1,[1]characters!$1:$1,0)-MATCH($A$1,[1]characters!$1:$1,0)+1,FALSE)</f>
        <v>Drop2N</v>
      </c>
      <c r="I6" s="58" t="str">
        <f ca="1">VLOOKUP($A6,OFFSET([1]characters!$A$1,0,0,COUNTA([1]characters!$A:$A),MATCH(I$1,[1]characters!$1:$1,0)-MATCH($A$1,[1]characters!$1:$1,0)+1),MATCH(I$1,[1]characters!$1:$1,0)-MATCH($A$1,[1]characters!$1:$1,0)+1,FALSE)</f>
        <v>yellow</v>
      </c>
      <c r="J6" s="11">
        <f ca="1">VLOOKUP(I6,[1]属性!$A:$E,2,FALSE)</f>
        <v>0.98</v>
      </c>
      <c r="K6" s="11">
        <f ca="1">VLOOKUP(I6,[1]属性!$A:$E,3,FALSE)</f>
        <v>1.01</v>
      </c>
      <c r="L6" s="11">
        <f ca="1">VLOOKUP(I6,[1]属性!$A:$E,4,FALSE)</f>
        <v>1</v>
      </c>
      <c r="M6" s="11">
        <f ca="1">VLOOKUP(I6,[1]属性!$A:$E,5,FALSE)</f>
        <v>1.01</v>
      </c>
      <c r="N6" s="11">
        <f ca="1">INDEX(コスト!$A$1:$I$20,MATCH(H6,コスト!$A$1:$A$20,FALSE),MATCH(G6,コスト!$A$1:$I$1,FALSE))</f>
        <v>17</v>
      </c>
      <c r="O6" s="11">
        <f ca="1">INDEX(レベル!$A$1:$I$21,MATCH(H6,レベル!$A$1:$A$21,FALSE),MATCH(G6,レベル!$A$1:$I$1,FALSE))</f>
        <v>60</v>
      </c>
      <c r="P6" s="48">
        <f t="shared" ca="1" si="0"/>
        <v>60</v>
      </c>
      <c r="Q6" s="58" t="str">
        <f ca="1">VLOOKUP($A6,OFFSET([1]characters!$A$1,0,0,COUNTA([1]characters!$A:$A),MATCH(Q$1,[1]characters!$1:$1,0)-MATCH($A$1,[1]characters!$1:$1,0)+1),MATCH(Q$1,[1]characters!$1:$1,0)-MATCH($A$1,[1]characters!$1:$1,0)+1,FALSE)</f>
        <v>hp</v>
      </c>
      <c r="R6" s="5" t="str">
        <f ca="1">VLOOKUP(Q6,[1]character_type_i18n!$A:$H,3,FALSE)</f>
        <v>体力タイプ</v>
      </c>
      <c r="S6" s="11">
        <f ca="1">VLOOKUP(Q6,[1]character_type_i18n!$A:$H,4,FALSE)</f>
        <v>1.45</v>
      </c>
      <c r="T6" s="11">
        <f ca="1">VLOOKUP(Q6,[1]character_type_i18n!$A:$H,5,FALSE)</f>
        <v>0.85</v>
      </c>
      <c r="U6" s="11">
        <f ca="1">VLOOKUP(Q6,[1]character_type_i18n!$A:$H,6,FALSE)</f>
        <v>1</v>
      </c>
      <c r="V6" s="11">
        <f ca="1">VLOOKUP(Q6,[1]character_type_i18n!$A:$H,7,FALSE)</f>
        <v>0.7</v>
      </c>
      <c r="W6" s="58" t="str">
        <f ca="1">VLOOKUP($A6,OFFSET([1]characters!$A$1,0,0,COUNTA([1]characters!$A:$A),MATCH(W$1,[1]characters!$1:$1,0)-MATCH($A$1,[1]characters!$1:$1,0)+1),MATCH(W$1,[1]characters!$1:$1,0)-MATCH($A$1,[1]characters!$1:$1,0)+1,FALSE)</f>
        <v>dragon</v>
      </c>
      <c r="X6" s="5" t="str">
        <f ca="1">VLOOKUP(W6,[1]character_tribe_i18n!$A:$H,3,FALSE)</f>
        <v>ドラゴン</v>
      </c>
      <c r="Y6" s="58" t="str">
        <f ca="1">VLOOKUP($A6,OFFSET([1]characters!$A$1,0,0,COUNTA([1]characters!$A:$A),MATCH(Y$1,[1]characters!$1:$1,0)-MATCH($A$1,[1]characters!$1:$1,0)+1),MATCH(Y$1,[1]characters!$1:$1,0)-MATCH($A$1,[1]characters!$1:$1,0)+1,FALSE)</f>
        <v>none</v>
      </c>
      <c r="Z6" s="5" t="str">
        <f ca="1">VLOOKUP(Y6,[1]character_tribe_i18n!$A:$H,3,FALSE)</f>
        <v>種族なし</v>
      </c>
      <c r="AA6" s="11">
        <f ca="1">VLOOKUP(W6,[1]character_tribe_i18n!$A:$H,4,FALSE)</f>
        <v>1.1499999999999999</v>
      </c>
      <c r="AB6" s="11">
        <f ca="1">VLOOKUP(W6,[1]character_tribe_i18n!$A:$H,5,FALSE)</f>
        <v>1.1000000000000001</v>
      </c>
      <c r="AC6" s="11">
        <f ca="1">VLOOKUP(W6,[1]character_tribe_i18n!$A:$H,6,FALSE)</f>
        <v>1</v>
      </c>
      <c r="AD6" s="11">
        <f ca="1">VLOOKUP(W6,[1]character_tribe_i18n!$A:$H,7,FALSE)</f>
        <v>0.75</v>
      </c>
      <c r="AE6" s="9">
        <f t="shared" ref="AE6" si="9">A7</f>
        <v>653</v>
      </c>
      <c r="AF6" s="63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>悠久の狡蛇 アナンタ</v>
      </c>
      <c r="AG6" s="5">
        <f t="shared" ca="1" si="1"/>
        <v>652</v>
      </c>
      <c r="AH6" s="63" t="str">
        <f ca="1">VLOOKUP($AG6,OFFSET([1]characters!$A$1,0,0,COUNTA([1]characters!$A:$A),MATCH(AH$1,[1]characters!$1:$1,0)-MATCH($A$1,[1]characters!$1:$1,0)+1),MATCH(AH$1,[1]characters!$1:$1,0)-MATCH($A$1,[1]characters!$1:$1,0)+1,FALSE)</f>
        <v>アナンタ</v>
      </c>
      <c r="AI6" s="11">
        <f ca="1">IF(AE6="NULL","NULL",VLOOKUP(G6,ビット!$A$2:$B$7,2))</f>
        <v>50000</v>
      </c>
      <c r="AJ6" s="6">
        <v>2</v>
      </c>
      <c r="AK6" s="7" t="str">
        <f t="shared" si="2"/>
        <v>普通</v>
      </c>
      <c r="AL6" s="11" t="str">
        <f ca="1">INDEX(経験値!$A$1:$I$20,MATCH(H6,経験値!$A$1:$A$20,FALSE),MATCH(G6,経験値!$A$1:$I$1,FALSE))</f>
        <v>required_exp_200</v>
      </c>
      <c r="AM6" s="8">
        <f ca="1">VLOOKUP(G6,経験値!$A$27:$B$31,2)</f>
        <v>3400</v>
      </c>
      <c r="AN6" s="17">
        <f ca="1">VLOOKUP(G6,ビット!$G$2:$H$7,2)</f>
        <v>600</v>
      </c>
      <c r="AO6" s="45"/>
      <c r="AP6" s="68">
        <f t="shared" si="6"/>
        <v>652</v>
      </c>
      <c r="AQ6" s="58" t="str">
        <f ca="1">VLOOKUP($AP6,OFFSET(unit_skills!$A$1,0,0,COUNTA(unit_skills!$A:$A),MATCH(AQ$1,unit_skills!$1:$1,0)-MATCH($AP$1,unit_skills!$1:$1,0)+1),MATCH(AQ$1,unit_skills!$1:$1,0)-MATCH($AP$1,unit_skills!$1:$1,0)+1,FALSE)</f>
        <v>破壊の凶覚め</v>
      </c>
      <c r="AR6" s="58" t="str">
        <f ca="1">VLOOKUP($AP6,OFFSET(unit_skills!$A$1,0,0,COUNTA(unit_skills!$A:$A),MATCH(AR$1,unit_skills!$1:$1,0)-MATCH($AP$1,unit_skills!$1:$1,0)+1),MATCH(AR$1,unit_skills!$1:$1,0)-MATCH($AP$1,unit_skills!$1:$1,0)+1,FALSE)</f>
        <v>3ターン黄属性の攻撃力をUP(黄・青パネルを吸収して効果UP)</v>
      </c>
      <c r="AS6" s="58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41">
        <f t="shared" si="7"/>
        <v>652</v>
      </c>
      <c r="AU6" s="58" t="str">
        <f ca="1">VLOOKUP($AT6,OFFSET(crash_skills!$A$1,0,0,COUNTA(crash_skills!$A:$A),MATCH(AU$1,crash_skills!$1:$1,0)-MATCH($AT$1,crash_skills!$1:$1,0)+1),MATCH(AU$1,crash_skills!$1:$1,0)-MATCH($AT$1,crash_skills!$1:$1,0)+1,FALSE)</f>
        <v>喰頭数千</v>
      </c>
      <c r="AV6" s="58" t="str">
        <f ca="1">VLOOKUP($AT6,OFFSET(crash_skills!$A$1,0,0,COUNTA(crash_skills!$A:$A),MATCH(AV$1,crash_skills!$1:$1,0)-MATCH($AT$1,crash_skills!$1:$1,0)+1),MATCH(AV$1,crash_skills!$1:$1,0)-MATCH($AT$1,crash_skills!$1:$1,0)+1,FALSE)</f>
        <v>全体に特大ダメージ</v>
      </c>
      <c r="AW6" s="58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9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69">
        <v>1</v>
      </c>
      <c r="AZ6" s="69">
        <v>1</v>
      </c>
      <c r="BA6" s="69">
        <v>0</v>
      </c>
      <c r="BB6" s="69">
        <v>1</v>
      </c>
      <c r="BC6" s="11">
        <f ca="1">INDEX('RC6SV'!$A$1:$G$20,MATCH(H6,'RC6SV'!$A$1:$A$20,FALSE),MATCH(G6,'RC6SV'!$A$1:$G$1,FALSE))</f>
        <v>5800</v>
      </c>
      <c r="BD6" s="48">
        <f t="shared" ca="1" si="3"/>
        <v>5800</v>
      </c>
      <c r="BE6" s="11">
        <f t="shared" ca="1" si="4"/>
        <v>0</v>
      </c>
      <c r="BF6" s="11">
        <f t="shared" ca="1" si="5"/>
        <v>1</v>
      </c>
      <c r="BG6" s="16">
        <f ca="1">IF($BE6&lt;=0,ROUND(BK6*0.5,0), ROUND($BE6*S6*AA6*J6*AY6*0.8*[1]ステータス!$B$2,0))</f>
        <v>2370</v>
      </c>
      <c r="BH6" s="16">
        <f ca="1">IF($BE6&lt;=0,ROUND(BL6*0.5,0), ROUND($BE6*T6*AB6*K6*AZ6*0.8*[1]ステータス!$C$2,0))</f>
        <v>822</v>
      </c>
      <c r="BI6" s="16">
        <f ca="1">IF($BE6&lt;=0,ROUND(BM6*0.5,0), ROUND($BE6*U6*AC6*L6*BA6*0.8*[1]ステータス!$D$2,0))</f>
        <v>0</v>
      </c>
      <c r="BJ6" s="16">
        <f ca="1">IF($BE6&lt;=0,ROUND(BN6*0.5,0), ROUND($BE6*V6*AD6*M6*BB6*0.8*[1]ステータス!$E$2,0))</f>
        <v>385</v>
      </c>
      <c r="BK6" s="11">
        <f ca="1">ROUND(BD6*S6*AA6*J6*AY6*[1]ステータス!$B$2,0)</f>
        <v>4739</v>
      </c>
      <c r="BL6" s="11">
        <f ca="1">ROUND(BD6*T6*AB6*K6*AZ6*[1]ステータス!$C$2,0)</f>
        <v>1643</v>
      </c>
      <c r="BM6" s="11">
        <f ca="1">ROUND(BD6*U6*AC6*L6*BA6*[1]ステータス!$D$2,0)</f>
        <v>0</v>
      </c>
      <c r="BN6" s="11">
        <f ca="1">ROUND(BD6*V6*AD6*M6*BB6*[1]ステータス!$E$2,0)</f>
        <v>769</v>
      </c>
      <c r="BO6" s="10">
        <v>0</v>
      </c>
      <c r="BP6" s="10">
        <v>1</v>
      </c>
      <c r="BQ6" s="10" t="s">
        <v>53</v>
      </c>
      <c r="BR6" s="10">
        <f ca="1">VLOOKUP(H6,ghosts_label!$A$2:$B$19,2,FALSE)</f>
        <v>1</v>
      </c>
    </row>
    <row r="7" spans="1:70" ht="21" customHeight="1" x14ac:dyDescent="0.15">
      <c r="A7" s="12">
        <v>653</v>
      </c>
      <c r="B7" s="58" t="str">
        <f ca="1">VLOOKUP($A7,OFFSET([1]characters!$A$1,0,0,COUNTA([1]characters!$A:$A),MATCH(B$1,[1]characters!$1:$1,0)-MATCH($A$1,[1]characters!$1:$1,0)+1),MATCH(B$1,[1]characters!$1:$1,0)-MATCH($A$1,[1]characters!$1:$1,0)+1,FALSE)</f>
        <v>悠久の狡蛇 アナンタ</v>
      </c>
      <c r="C7" s="58" t="str">
        <f ca="1">VLOOKUP($A7,OFFSET([1]characters!$A$1,0,0,COUNTA([1]characters!$A:$A),MATCH(C$1,[1]characters!$1:$1,0)-MATCH($A$1,[1]characters!$1:$1,0)+1),MATCH(C$1,[1]characters!$1:$1,0)-MATCH($A$1,[1]characters!$1:$1,0)+1,FALSE)</f>
        <v>イベント:ヒンドゥー01</v>
      </c>
      <c r="D7" s="58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8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8" t="str">
        <f ca="1">VLOOKUP($A7,OFFSET([1]characters!$A$1,0,0,COUNTA([1]characters!$A:$A),MATCH(F$1,[1]characters!$1:$1,0)-MATCH($A$1,[1]characters!$1:$1,0)+1),MATCH(F$1,[1]characters!$1:$1,0)-MATCH($A$1,[1]characters!$1:$1,0)+1,FALSE)</f>
        <v>不明</v>
      </c>
      <c r="G7" s="58">
        <f ca="1">VLOOKUP($A7,OFFSET([1]characters!$A$1,0,0,COUNTA([1]characters!$A:$A),MATCH(G$1,[1]characters!$1:$1,0)-MATCH($A$1,[1]characters!$1:$1,0)+1),MATCH(G$1,[1]characters!$1:$1,0)-MATCH($A$1,[1]characters!$1:$1,0)+1,FALSE)</f>
        <v>5</v>
      </c>
      <c r="H7" s="58" t="str">
        <f ca="1">VLOOKUP($A7,OFFSET([1]characters!$A$1,0,0,COUNTA([1]characters!$A:$A),MATCH(H$1,[1]characters!$1:$1,0)-MATCH($A$1,[1]characters!$1:$1,0)+1),MATCH(H$1,[1]characters!$1:$1,0)-MATCH($A$1,[1]characters!$1:$1,0)+1,FALSE)</f>
        <v>Drop2N</v>
      </c>
      <c r="I7" s="58" t="str">
        <f ca="1">VLOOKUP($A7,OFFSET([1]characters!$A$1,0,0,COUNTA([1]characters!$A:$A),MATCH(I$1,[1]characters!$1:$1,0)-MATCH($A$1,[1]characters!$1:$1,0)+1),MATCH(I$1,[1]characters!$1:$1,0)-MATCH($A$1,[1]characters!$1:$1,0)+1,FALSE)</f>
        <v>yellow</v>
      </c>
      <c r="J7" s="11">
        <f ca="1">VLOOKUP(I7,[1]属性!$A:$E,2,FALSE)</f>
        <v>0.98</v>
      </c>
      <c r="K7" s="11">
        <f ca="1">VLOOKUP(I7,[1]属性!$A:$E,3,FALSE)</f>
        <v>1.01</v>
      </c>
      <c r="L7" s="11">
        <f ca="1">VLOOKUP(I7,[1]属性!$A:$E,4,FALSE)</f>
        <v>1</v>
      </c>
      <c r="M7" s="11">
        <f ca="1">VLOOKUP(I7,[1]属性!$A:$E,5,FALSE)</f>
        <v>1.01</v>
      </c>
      <c r="N7" s="11">
        <f ca="1">INDEX(コスト!$A$1:$I$20,MATCH(H7,コスト!$A$1:$A$20,FALSE),MATCH(G7,コスト!$A$1:$I$1,FALSE))</f>
        <v>26</v>
      </c>
      <c r="O7" s="11">
        <f ca="1">INDEX(レベル!$A$1:$I$21,MATCH(H7,レベル!$A$1:$A$21,FALSE),MATCH(G7,レベル!$A$1:$I$1,FALSE))</f>
        <v>80</v>
      </c>
      <c r="P7" s="48">
        <f t="shared" ca="1" si="0"/>
        <v>75</v>
      </c>
      <c r="Q7" s="58" t="str">
        <f ca="1">VLOOKUP($A7,OFFSET([1]characters!$A$1,0,0,COUNTA([1]characters!$A:$A),MATCH(Q$1,[1]characters!$1:$1,0)-MATCH($A$1,[1]characters!$1:$1,0)+1),MATCH(Q$1,[1]characters!$1:$1,0)-MATCH($A$1,[1]characters!$1:$1,0)+1,FALSE)</f>
        <v>hp</v>
      </c>
      <c r="R7" s="5" t="str">
        <f ca="1">VLOOKUP(Q7,[1]character_type_i18n!$A:$H,3,FALSE)</f>
        <v>体力タイプ</v>
      </c>
      <c r="S7" s="11">
        <f ca="1">VLOOKUP(Q7,[1]character_type_i18n!$A:$H,4,FALSE)</f>
        <v>1.45</v>
      </c>
      <c r="T7" s="11">
        <f ca="1">VLOOKUP(Q7,[1]character_type_i18n!$A:$H,5,FALSE)</f>
        <v>0.85</v>
      </c>
      <c r="U7" s="11">
        <f ca="1">VLOOKUP(Q7,[1]character_type_i18n!$A:$H,6,FALSE)</f>
        <v>1</v>
      </c>
      <c r="V7" s="11">
        <f ca="1">VLOOKUP(Q7,[1]character_type_i18n!$A:$H,7,FALSE)</f>
        <v>0.7</v>
      </c>
      <c r="W7" s="58" t="str">
        <f ca="1">VLOOKUP($A7,OFFSET([1]characters!$A$1,0,0,COUNTA([1]characters!$A:$A),MATCH(W$1,[1]characters!$1:$1,0)-MATCH($A$1,[1]characters!$1:$1,0)+1),MATCH(W$1,[1]characters!$1:$1,0)-MATCH($A$1,[1]characters!$1:$1,0)+1,FALSE)</f>
        <v>dragon</v>
      </c>
      <c r="X7" s="5" t="str">
        <f ca="1">VLOOKUP(W7,[1]character_tribe_i18n!$A:$H,3,FALSE)</f>
        <v>ドラゴン</v>
      </c>
      <c r="Y7" s="58" t="str">
        <f ca="1">VLOOKUP($A7,OFFSET([1]characters!$A$1,0,0,COUNTA([1]characters!$A:$A),MATCH(Y$1,[1]characters!$1:$1,0)-MATCH($A$1,[1]characters!$1:$1,0)+1),MATCH(Y$1,[1]characters!$1:$1,0)-MATCH($A$1,[1]characters!$1:$1,0)+1,FALSE)</f>
        <v>none</v>
      </c>
      <c r="Z7" s="5" t="str">
        <f ca="1">VLOOKUP(Y7,[1]character_tribe_i18n!$A:$H,3,FALSE)</f>
        <v>種族なし</v>
      </c>
      <c r="AA7" s="11">
        <f ca="1">VLOOKUP(W7,[1]character_tribe_i18n!$A:$H,4,FALSE)</f>
        <v>1.1499999999999999</v>
      </c>
      <c r="AB7" s="11">
        <f ca="1">VLOOKUP(W7,[1]character_tribe_i18n!$A:$H,5,FALSE)</f>
        <v>1.1000000000000001</v>
      </c>
      <c r="AC7" s="11">
        <f ca="1">VLOOKUP(W7,[1]character_tribe_i18n!$A:$H,6,FALSE)</f>
        <v>1</v>
      </c>
      <c r="AD7" s="11">
        <f ca="1">VLOOKUP(W7,[1]character_tribe_i18n!$A:$H,7,FALSE)</f>
        <v>0.75</v>
      </c>
      <c r="AE7" s="9" t="s">
        <v>189</v>
      </c>
      <c r="AF7" s="63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5">
        <f t="shared" ca="1" si="1"/>
        <v>652</v>
      </c>
      <c r="AH7" s="63" t="str">
        <f ca="1">VLOOKUP($AG7,OFFSET([1]characters!$A$1,0,0,COUNTA([1]characters!$A:$A),MATCH(AH$1,[1]characters!$1:$1,0)-MATCH($A$1,[1]characters!$1:$1,0)+1),MATCH(AH$1,[1]characters!$1:$1,0)-MATCH($A$1,[1]characters!$1:$1,0)+1,FALSE)</f>
        <v>アナンタ</v>
      </c>
      <c r="AI7" s="11" t="str">
        <f>IF(AE7="NULL","NULL",VLOOKUP(G7,ビット!$A$2:$B$7,2))</f>
        <v>NULL</v>
      </c>
      <c r="AJ7" s="6">
        <v>2</v>
      </c>
      <c r="AK7" s="7" t="str">
        <f t="shared" si="2"/>
        <v>普通</v>
      </c>
      <c r="AL7" s="11" t="str">
        <f ca="1">INDEX(経験値!$A$1:$I$20,MATCH(H7,経験値!$A$1:$A$20,FALSE),MATCH(G7,経験値!$A$1:$I$1,FALSE))</f>
        <v>required_exp_200</v>
      </c>
      <c r="AM7" s="8">
        <f ca="1">VLOOKUP(G7,経験値!$A$27:$B$31,2)</f>
        <v>6400</v>
      </c>
      <c r="AN7" s="17">
        <f ca="1">VLOOKUP(G7,ビット!$G$2:$H$7,2)</f>
        <v>900</v>
      </c>
      <c r="AO7" s="45"/>
      <c r="AP7" s="68">
        <f t="shared" si="6"/>
        <v>653</v>
      </c>
      <c r="AQ7" s="58" t="str">
        <f ca="1">VLOOKUP($AP7,OFFSET(unit_skills!$A$1,0,0,COUNTA(unit_skills!$A:$A),MATCH(AQ$1,unit_skills!$1:$1,0)-MATCH($AP$1,unit_skills!$1:$1,0)+1),MATCH(AQ$1,unit_skills!$1:$1,0)-MATCH($AP$1,unit_skills!$1:$1,0)+1,FALSE)</f>
        <v>破壊の凶覚め</v>
      </c>
      <c r="AR7" s="58" t="str">
        <f ca="1">VLOOKUP($AP7,OFFSET(unit_skills!$A$1,0,0,COUNTA(unit_skills!$A:$A),MATCH(AR$1,unit_skills!$1:$1,0)-MATCH($AP$1,unit_skills!$1:$1,0)+1),MATCH(AR$1,unit_skills!$1:$1,0)-MATCH($AP$1,unit_skills!$1:$1,0)+1,FALSE)</f>
        <v>3ターン黄属性の攻撃力をUP(黄・青パネルを吸収して効果UP)</v>
      </c>
      <c r="AS7" s="58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41">
        <f t="shared" si="7"/>
        <v>653</v>
      </c>
      <c r="AU7" s="58" t="str">
        <f ca="1">VLOOKUP($AT7,OFFSET(crash_skills!$A$1,0,0,COUNTA(crash_skills!$A:$A),MATCH(AU$1,crash_skills!$1:$1,0)-MATCH($AT$1,crash_skills!$1:$1,0)+1),MATCH(AU$1,crash_skills!$1:$1,0)-MATCH($AT$1,crash_skills!$1:$1,0)+1,FALSE)</f>
        <v>喰頭数千</v>
      </c>
      <c r="AV7" s="58" t="str">
        <f ca="1">VLOOKUP($AT7,OFFSET(crash_skills!$A$1,0,0,COUNTA(crash_skills!$A:$A),MATCH(AV$1,crash_skills!$1:$1,0)-MATCH($AT$1,crash_skills!$1:$1,0)+1),MATCH(AV$1,crash_skills!$1:$1,0)-MATCH($AT$1,crash_skills!$1:$1,0)+1,FALSE)</f>
        <v>全体に特大ダメージ</v>
      </c>
      <c r="AW7" s="58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9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69">
        <v>1</v>
      </c>
      <c r="AZ7" s="69">
        <v>1</v>
      </c>
      <c r="BA7" s="69">
        <v>0</v>
      </c>
      <c r="BB7" s="69">
        <v>1</v>
      </c>
      <c r="BC7" s="11">
        <f ca="1">INDEX('RC6SV'!$A$1:$G$20,MATCH(H7,'RC6SV'!$A$1:$A$20,FALSE),MATCH(G7,'RC6SV'!$A$1:$G$1,FALSE))</f>
        <v>7600</v>
      </c>
      <c r="BD7" s="48">
        <f t="shared" ca="1" si="3"/>
        <v>7600</v>
      </c>
      <c r="BE7" s="11">
        <f t="shared" ca="1" si="4"/>
        <v>5800</v>
      </c>
      <c r="BF7" s="11">
        <f t="shared" ca="1" si="5"/>
        <v>1</v>
      </c>
      <c r="BG7" s="16">
        <f ca="1">IF($BE7&lt;=0,ROUND(BK7*0.5,0), ROUND($BE7*S7*AA7*J7*AY7*0.8*[1]ステータス!$B$2,0))</f>
        <v>3791</v>
      </c>
      <c r="BH7" s="16">
        <f ca="1">IF($BE7&lt;=0,ROUND(BL7*0.5,0), ROUND($BE7*T7*AB7*K7*AZ7*0.8*[1]ステータス!$C$2,0))</f>
        <v>1315</v>
      </c>
      <c r="BI7" s="16">
        <f ca="1">IF($BE7&lt;=0,ROUND(BM7*0.5,0), ROUND($BE7*U7*AC7*L7*BA7*0.8*[1]ステータス!$D$2,0))</f>
        <v>0</v>
      </c>
      <c r="BJ7" s="16">
        <f ca="1">IF($BE7&lt;=0,ROUND(BN7*0.5,0), ROUND($BE7*V7*AD7*M7*BB7*0.8*[1]ステータス!$E$2,0))</f>
        <v>615</v>
      </c>
      <c r="BK7" s="11">
        <f ca="1">ROUND(BD7*S7*AA7*J7*AY7*[1]ステータス!$B$2,0)</f>
        <v>6210</v>
      </c>
      <c r="BL7" s="11">
        <f ca="1">ROUND(BD7*T7*AB7*K7*AZ7*[1]ステータス!$C$2,0)</f>
        <v>2153</v>
      </c>
      <c r="BM7" s="11">
        <f ca="1">ROUND(BD7*U7*AC7*L7*BA7*[1]ステータス!$D$2,0)</f>
        <v>0</v>
      </c>
      <c r="BN7" s="11">
        <f ca="1">ROUND(BD7*V7*AD7*M7*BB7*[1]ステータス!$E$2,0)</f>
        <v>1007</v>
      </c>
      <c r="BO7" s="10">
        <v>0</v>
      </c>
      <c r="BP7" s="10">
        <v>1</v>
      </c>
      <c r="BQ7" s="10" t="s">
        <v>53</v>
      </c>
      <c r="BR7" s="10">
        <f ca="1">VLOOKUP(H7,ghosts_label!$A$2:$B$19,2,FALSE)</f>
        <v>1</v>
      </c>
    </row>
    <row r="8" spans="1:70" ht="21" customHeight="1" x14ac:dyDescent="0.15">
      <c r="A8" s="12">
        <v>656</v>
      </c>
      <c r="B8" s="58" t="str">
        <f ca="1">VLOOKUP($A8,OFFSET([1]characters!$A$1,0,0,COUNTA([1]characters!$A:$A),MATCH(B$1,[1]characters!$1:$1,0)-MATCH($A$1,[1]characters!$1:$1,0)+1),MATCH(B$1,[1]characters!$1:$1,0)-MATCH($A$1,[1]characters!$1:$1,0)+1,FALSE)</f>
        <v>シヴァ</v>
      </c>
      <c r="C8" s="58" t="str">
        <f ca="1">VLOOKUP($A8,OFFSET([1]characters!$A$1,0,0,COUNTA([1]characters!$A:$A),MATCH(C$1,[1]characters!$1:$1,0)-MATCH($A$1,[1]characters!$1:$1,0)+1),MATCH(C$1,[1]characters!$1:$1,0)-MATCH($A$1,[1]characters!$1:$1,0)+1,FALSE)</f>
        <v>イベント:ウィザード</v>
      </c>
      <c r="D8" s="58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8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8" t="str">
        <f ca="1">VLOOKUP($A8,OFFSET([1]characters!$A$1,0,0,COUNTA([1]characters!$A:$A),MATCH(F$1,[1]characters!$1:$1,0)-MATCH($A$1,[1]characters!$1:$1,0)+1),MATCH(F$1,[1]characters!$1:$1,0)-MATCH($A$1,[1]characters!$1:$1,0)+1,FALSE)</f>
        <v>男性</v>
      </c>
      <c r="G8" s="58">
        <f ca="1">VLOOKUP($A8,OFFSET([1]characters!$A$1,0,0,COUNTA([1]characters!$A:$A),MATCH(G$1,[1]characters!$1:$1,0)-MATCH($A$1,[1]characters!$1:$1,0)+1),MATCH(G$1,[1]characters!$1:$1,0)-MATCH($A$1,[1]characters!$1:$1,0)+1,FALSE)</f>
        <v>4</v>
      </c>
      <c r="H8" s="58" t="str">
        <f ca="1">VLOOKUP($A8,OFFSET([1]characters!$A$1,0,0,COUNTA([1]characters!$A:$A),MATCH(H$1,[1]characters!$1:$1,0)-MATCH($A$1,[1]characters!$1:$1,0)+1),MATCH(H$1,[1]characters!$1:$1,0)-MATCH($A$1,[1]characters!$1:$1,0)+1,FALSE)</f>
        <v>DropWizS</v>
      </c>
      <c r="I8" s="58" t="str">
        <f ca="1">VLOOKUP($A8,OFFSET([1]characters!$A$1,0,0,COUNTA([1]characters!$A:$A),MATCH(I$1,[1]characters!$1:$1,0)-MATCH($A$1,[1]characters!$1:$1,0)+1),MATCH(I$1,[1]characters!$1:$1,0)-MATCH($A$1,[1]characters!$1:$1,0)+1,FALSE)</f>
        <v>blue</v>
      </c>
      <c r="J8" s="11">
        <f ca="1">VLOOKUP(I8,[1]属性!$A:$E,2,FALSE)</f>
        <v>1</v>
      </c>
      <c r="K8" s="11">
        <f ca="1">VLOOKUP(I8,[1]属性!$A:$E,3,FALSE)</f>
        <v>0.98</v>
      </c>
      <c r="L8" s="11">
        <f ca="1">VLOOKUP(I8,[1]属性!$A:$E,4,FALSE)</f>
        <v>1</v>
      </c>
      <c r="M8" s="11">
        <f ca="1">VLOOKUP(I8,[1]属性!$A:$E,5,FALSE)</f>
        <v>1.02</v>
      </c>
      <c r="N8" s="11">
        <f ca="1">INDEX(コスト!$A$1:$I$20,MATCH(H8,コスト!$A$1:$A$20,FALSE),MATCH(G8,コスト!$A$1:$I$1,FALSE))</f>
        <v>20</v>
      </c>
      <c r="O8" s="11">
        <f ca="1">INDEX(レベル!$A$1:$I$21,MATCH(H8,レベル!$A$1:$A$21,FALSE),MATCH(G8,レベル!$A$1:$I$1,FALSE))</f>
        <v>60</v>
      </c>
      <c r="P8" s="48">
        <f t="shared" ca="1" si="0"/>
        <v>60</v>
      </c>
      <c r="Q8" s="58" t="str">
        <f ca="1">VLOOKUP($A8,OFFSET([1]characters!$A$1,0,0,COUNTA([1]characters!$A:$A),MATCH(Q$1,[1]characters!$1:$1,0)-MATCH($A$1,[1]characters!$1:$1,0)+1),MATCH(Q$1,[1]characters!$1:$1,0)-MATCH($A$1,[1]characters!$1:$1,0)+1,FALSE)</f>
        <v>balance</v>
      </c>
      <c r="R8" s="5" t="str">
        <f ca="1">VLOOKUP(Q8,[1]character_type_i18n!$A:$H,3,FALSE)</f>
        <v>バランスタイプ</v>
      </c>
      <c r="S8" s="11">
        <f ca="1">VLOOKUP(Q8,[1]character_type_i18n!$A:$H,4,FALSE)</f>
        <v>1</v>
      </c>
      <c r="T8" s="11">
        <f ca="1">VLOOKUP(Q8,[1]character_type_i18n!$A:$H,5,FALSE)</f>
        <v>1</v>
      </c>
      <c r="U8" s="11">
        <f ca="1">VLOOKUP(Q8,[1]character_type_i18n!$A:$H,6,FALSE)</f>
        <v>1</v>
      </c>
      <c r="V8" s="11">
        <f ca="1">VLOOKUP(Q8,[1]character_type_i18n!$A:$H,7,FALSE)</f>
        <v>1</v>
      </c>
      <c r="W8" s="58" t="str">
        <f ca="1">VLOOKUP($A8,OFFSET([1]characters!$A$1,0,0,COUNTA([1]characters!$A:$A),MATCH(W$1,[1]characters!$1:$1,0)-MATCH($A$1,[1]characters!$1:$1,0)+1),MATCH(W$1,[1]characters!$1:$1,0)-MATCH($A$1,[1]characters!$1:$1,0)+1,FALSE)</f>
        <v>god</v>
      </c>
      <c r="X8" s="5" t="str">
        <f ca="1">VLOOKUP(W8,[1]character_tribe_i18n!$A:$H,3,FALSE)</f>
        <v>ゴッド</v>
      </c>
      <c r="Y8" s="58" t="str">
        <f ca="1">VLOOKUP($A8,OFFSET([1]characters!$A$1,0,0,COUNTA([1]characters!$A:$A),MATCH(Y$1,[1]characters!$1:$1,0)-MATCH($A$1,[1]characters!$1:$1,0)+1),MATCH(Y$1,[1]characters!$1:$1,0)-MATCH($A$1,[1]characters!$1:$1,0)+1,FALSE)</f>
        <v>none</v>
      </c>
      <c r="Z8" s="5" t="str">
        <f ca="1">VLOOKUP(Y8,[1]character_tribe_i18n!$A:$H,3,FALSE)</f>
        <v>種族なし</v>
      </c>
      <c r="AA8" s="11">
        <f ca="1">VLOOKUP(W8,[1]character_tribe_i18n!$A:$H,4,FALSE)</f>
        <v>0.96</v>
      </c>
      <c r="AB8" s="11">
        <f ca="1">VLOOKUP(W8,[1]character_tribe_i18n!$A:$H,5,FALSE)</f>
        <v>1.02</v>
      </c>
      <c r="AC8" s="11">
        <f ca="1">VLOOKUP(W8,[1]character_tribe_i18n!$A:$H,6,FALSE)</f>
        <v>1</v>
      </c>
      <c r="AD8" s="11">
        <f ca="1">VLOOKUP(W8,[1]character_tribe_i18n!$A:$H,7,FALSE)</f>
        <v>1.02</v>
      </c>
      <c r="AE8" s="9">
        <f t="shared" ref="AE8" si="10">A9</f>
        <v>657</v>
      </c>
      <c r="AF8" s="63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>解滅の裁神 シヴァ</v>
      </c>
      <c r="AG8" s="5">
        <f t="shared" ca="1" si="1"/>
        <v>656</v>
      </c>
      <c r="AH8" s="63" t="str">
        <f ca="1">VLOOKUP($AG8,OFFSET([1]characters!$A$1,0,0,COUNTA([1]characters!$A:$A),MATCH(AH$1,[1]characters!$1:$1,0)-MATCH($A$1,[1]characters!$1:$1,0)+1),MATCH(AH$1,[1]characters!$1:$1,0)-MATCH($A$1,[1]characters!$1:$1,0)+1,FALSE)</f>
        <v>シヴァ</v>
      </c>
      <c r="AI8" s="11">
        <f ca="1">IF(AE8="NULL","NULL",VLOOKUP(G8,ビット!$A$2:$B$7,2))</f>
        <v>50000</v>
      </c>
      <c r="AJ8" s="6">
        <v>2</v>
      </c>
      <c r="AK8" s="7" t="str">
        <f t="shared" si="2"/>
        <v>普通</v>
      </c>
      <c r="AL8" s="11" t="str">
        <f ca="1">INDEX(経験値!$A$1:$I$20,MATCH(H8,経験値!$A$1:$A$20,FALSE),MATCH(G8,経験値!$A$1:$I$1,FALSE))</f>
        <v>required_exp_200</v>
      </c>
      <c r="AM8" s="8">
        <f ca="1">VLOOKUP(G8,経験値!$A$27:$B$31,2)</f>
        <v>3400</v>
      </c>
      <c r="AN8" s="17">
        <f ca="1">VLOOKUP(G8,ビット!$G$2:$H$7,2)</f>
        <v>600</v>
      </c>
      <c r="AO8" s="45"/>
      <c r="AP8" s="68">
        <f t="shared" si="6"/>
        <v>656</v>
      </c>
      <c r="AQ8" s="58" t="str">
        <f ca="1">VLOOKUP($AP8,OFFSET(unit_skills!$A$1,0,0,COUNTA(unit_skills!$A:$A),MATCH(AQ$1,unit_skills!$1:$1,0)-MATCH($AP$1,unit_skills!$1:$1,0)+1),MATCH(AQ$1,unit_skills!$1:$1,0)-MATCH($AP$1,unit_skills!$1:$1,0)+1,FALSE)</f>
        <v>新解護統水</v>
      </c>
      <c r="AR8" s="58" t="str">
        <f ca="1">VLOOKUP($AP8,OFFSET(unit_skills!$A$1,0,0,COUNTA(unit_skills!$A:$A),MATCH(AR$1,unit_skills!$1:$1,0)-MATCH($AP$1,unit_skills!$1:$1,0)+1),MATCH(AR$1,unit_skills!$1:$1,0)-MATCH($AP$1,unit_skills!$1:$1,0)+1,FALSE)</f>
        <v>緑と黄パネルを破壊し、破壊した数に応じて単体に特大ダメージ+赤パネルを青パネルに変換</v>
      </c>
      <c r="AS8" s="58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41">
        <f t="shared" si="7"/>
        <v>656</v>
      </c>
      <c r="AU8" s="58" t="str">
        <f ca="1">VLOOKUP($AT8,OFFSET(crash_skills!$A$1,0,0,COUNTA(crash_skills!$A:$A),MATCH(AU$1,crash_skills!$1:$1,0)-MATCH($AT$1,crash_skills!$1:$1,0)+1),MATCH(AU$1,crash_skills!$1:$1,0)-MATCH($AT$1,crash_skills!$1:$1,0)+1,FALSE)</f>
        <v>暴氷ペネトレート</v>
      </c>
      <c r="AV8" s="58" t="str">
        <f ca="1">VLOOKUP($AT8,OFFSET(crash_skills!$A$1,0,0,COUNTA(crash_skills!$A:$A),MATCH(AV$1,crash_skills!$1:$1,0)-MATCH($AT$1,crash_skills!$1:$1,0)+1),MATCH(AV$1,crash_skills!$1:$1,0)-MATCH($AT$1,crash_skills!$1:$1,0)+1,FALSE)</f>
        <v>単体に2回中ダメージ</v>
      </c>
      <c r="AW8" s="58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59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69">
        <v>1</v>
      </c>
      <c r="AZ8" s="69">
        <v>1.1499999999999999</v>
      </c>
      <c r="BA8" s="69">
        <v>0</v>
      </c>
      <c r="BB8" s="69">
        <v>1</v>
      </c>
      <c r="BC8" s="11">
        <f ca="1">INDEX('RC6SV'!$A$1:$G$20,MATCH(H8,'RC6SV'!$A$1:$A$20,FALSE),MATCH(G8,'RC6SV'!$A$1:$G$1,FALSE))</f>
        <v>7000</v>
      </c>
      <c r="BD8" s="48">
        <f t="shared" ca="1" si="3"/>
        <v>7000</v>
      </c>
      <c r="BE8" s="11">
        <f t="shared" ca="1" si="4"/>
        <v>0</v>
      </c>
      <c r="BF8" s="11">
        <f t="shared" ca="1" si="5"/>
        <v>1</v>
      </c>
      <c r="BG8" s="16">
        <f ca="1">IF($BE8&lt;=0,ROUND(BK8*0.5,0), ROUND($BE8*S8*AA8*J8*AY8*0.8*[1]ステータス!$B$2,0))</f>
        <v>1680</v>
      </c>
      <c r="BH8" s="16">
        <f ca="1">IF($BE8&lt;=0,ROUND(BL8*0.5,0), ROUND($BE8*T8*AB8*K8*AZ8*0.8*[1]ステータス!$C$2,0))</f>
        <v>1207</v>
      </c>
      <c r="BI8" s="16">
        <f ca="1">IF($BE8&lt;=0,ROUND(BM8*0.5,0), ROUND($BE8*U8*AC8*L8*BA8*0.8*[1]ステータス!$D$2,0))</f>
        <v>0</v>
      </c>
      <c r="BJ8" s="16">
        <f ca="1">IF($BE8&lt;=0,ROUND(BN8*0.5,0), ROUND($BE8*V8*AD8*M8*BB8*0.8*[1]ステータス!$E$2,0))</f>
        <v>911</v>
      </c>
      <c r="BK8" s="11">
        <f ca="1">ROUND(BD8*S8*AA8*J8*AY8*[1]ステータス!$B$2,0)</f>
        <v>3360</v>
      </c>
      <c r="BL8" s="11">
        <f ca="1">ROUND(BD8*T8*AB8*K8*AZ8*[1]ステータス!$C$2,0)</f>
        <v>2414</v>
      </c>
      <c r="BM8" s="11">
        <f ca="1">ROUND(BD8*U8*AC8*L8*BA8*[1]ステータス!$D$2,0)</f>
        <v>0</v>
      </c>
      <c r="BN8" s="11">
        <f ca="1">ROUND(BD8*V8*AD8*M8*BB8*[1]ステータス!$E$2,0)</f>
        <v>1821</v>
      </c>
      <c r="BO8" s="10">
        <v>0</v>
      </c>
      <c r="BP8" s="10">
        <v>1</v>
      </c>
      <c r="BQ8" s="10" t="s">
        <v>53</v>
      </c>
      <c r="BR8" s="10">
        <f ca="1">VLOOKUP(H8,ghosts_label!$A$2:$B$19,2,FALSE)</f>
        <v>1</v>
      </c>
    </row>
    <row r="9" spans="1:70" ht="21" customHeight="1" x14ac:dyDescent="0.15">
      <c r="A9" s="12">
        <v>657</v>
      </c>
      <c r="B9" s="58" t="str">
        <f ca="1">VLOOKUP($A9,OFFSET([1]characters!$A$1,0,0,COUNTA([1]characters!$A:$A),MATCH(B$1,[1]characters!$1:$1,0)-MATCH($A$1,[1]characters!$1:$1,0)+1),MATCH(B$1,[1]characters!$1:$1,0)-MATCH($A$1,[1]characters!$1:$1,0)+1,FALSE)</f>
        <v>解滅の裁神 シヴァ</v>
      </c>
      <c r="C9" s="58" t="str">
        <f ca="1">VLOOKUP($A9,OFFSET([1]characters!$A$1,0,0,COUNTA([1]characters!$A:$A),MATCH(C$1,[1]characters!$1:$1,0)-MATCH($A$1,[1]characters!$1:$1,0)+1),MATCH(C$1,[1]characters!$1:$1,0)-MATCH($A$1,[1]characters!$1:$1,0)+1,FALSE)</f>
        <v>イベント:ウィザード</v>
      </c>
      <c r="D9" s="58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8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8" t="str">
        <f ca="1">VLOOKUP($A9,OFFSET([1]characters!$A$1,0,0,COUNTA([1]characters!$A:$A),MATCH(F$1,[1]characters!$1:$1,0)-MATCH($A$1,[1]characters!$1:$1,0)+1),MATCH(F$1,[1]characters!$1:$1,0)-MATCH($A$1,[1]characters!$1:$1,0)+1,FALSE)</f>
        <v>男性</v>
      </c>
      <c r="G9" s="58">
        <f ca="1">VLOOKUP($A9,OFFSET([1]characters!$A$1,0,0,COUNTA([1]characters!$A:$A),MATCH(G$1,[1]characters!$1:$1,0)-MATCH($A$1,[1]characters!$1:$1,0)+1),MATCH(G$1,[1]characters!$1:$1,0)-MATCH($A$1,[1]characters!$1:$1,0)+1,FALSE)</f>
        <v>5</v>
      </c>
      <c r="H9" s="58" t="str">
        <f ca="1">VLOOKUP($A9,OFFSET([1]characters!$A$1,0,0,COUNTA([1]characters!$A:$A),MATCH(H$1,[1]characters!$1:$1,0)-MATCH($A$1,[1]characters!$1:$1,0)+1),MATCH(H$1,[1]characters!$1:$1,0)-MATCH($A$1,[1]characters!$1:$1,0)+1,FALSE)</f>
        <v>DropWizS</v>
      </c>
      <c r="I9" s="58" t="str">
        <f ca="1">VLOOKUP($A9,OFFSET([1]characters!$A$1,0,0,COUNTA([1]characters!$A:$A),MATCH(I$1,[1]characters!$1:$1,0)-MATCH($A$1,[1]characters!$1:$1,0)+1),MATCH(I$1,[1]characters!$1:$1,0)-MATCH($A$1,[1]characters!$1:$1,0)+1,FALSE)</f>
        <v>blue</v>
      </c>
      <c r="J9" s="11">
        <f ca="1">VLOOKUP(I9,[1]属性!$A:$E,2,FALSE)</f>
        <v>1</v>
      </c>
      <c r="K9" s="11">
        <f ca="1">VLOOKUP(I9,[1]属性!$A:$E,3,FALSE)</f>
        <v>0.98</v>
      </c>
      <c r="L9" s="11">
        <f ca="1">VLOOKUP(I9,[1]属性!$A:$E,4,FALSE)</f>
        <v>1</v>
      </c>
      <c r="M9" s="11">
        <f ca="1">VLOOKUP(I9,[1]属性!$A:$E,5,FALSE)</f>
        <v>1.02</v>
      </c>
      <c r="N9" s="11">
        <f ca="1">INDEX(コスト!$A$1:$I$20,MATCH(H9,コスト!$A$1:$A$20,FALSE),MATCH(G9,コスト!$A$1:$I$1,FALSE))</f>
        <v>30</v>
      </c>
      <c r="O9" s="11">
        <f ca="1">INDEX(レベル!$A$1:$I$21,MATCH(H9,レベル!$A$1:$A$21,FALSE),MATCH(G9,レベル!$A$1:$I$1,FALSE))</f>
        <v>80</v>
      </c>
      <c r="P9" s="48">
        <f t="shared" ca="1" si="0"/>
        <v>75</v>
      </c>
      <c r="Q9" s="58" t="str">
        <f ca="1">VLOOKUP($A9,OFFSET([1]characters!$A$1,0,0,COUNTA([1]characters!$A:$A),MATCH(Q$1,[1]characters!$1:$1,0)-MATCH($A$1,[1]characters!$1:$1,0)+1),MATCH(Q$1,[1]characters!$1:$1,0)-MATCH($A$1,[1]characters!$1:$1,0)+1,FALSE)</f>
        <v>balance</v>
      </c>
      <c r="R9" s="5" t="str">
        <f ca="1">VLOOKUP(Q9,[1]character_type_i18n!$A:$H,3,FALSE)</f>
        <v>バランスタイプ</v>
      </c>
      <c r="S9" s="11">
        <f ca="1">VLOOKUP(Q9,[1]character_type_i18n!$A:$H,4,FALSE)</f>
        <v>1</v>
      </c>
      <c r="T9" s="11">
        <f ca="1">VLOOKUP(Q9,[1]character_type_i18n!$A:$H,5,FALSE)</f>
        <v>1</v>
      </c>
      <c r="U9" s="11">
        <f ca="1">VLOOKUP(Q9,[1]character_type_i18n!$A:$H,6,FALSE)</f>
        <v>1</v>
      </c>
      <c r="V9" s="11">
        <f ca="1">VLOOKUP(Q9,[1]character_type_i18n!$A:$H,7,FALSE)</f>
        <v>1</v>
      </c>
      <c r="W9" s="58" t="str">
        <f ca="1">VLOOKUP($A9,OFFSET([1]characters!$A$1,0,0,COUNTA([1]characters!$A:$A),MATCH(W$1,[1]characters!$1:$1,0)-MATCH($A$1,[1]characters!$1:$1,0)+1),MATCH(W$1,[1]characters!$1:$1,0)-MATCH($A$1,[1]characters!$1:$1,0)+1,FALSE)</f>
        <v>god</v>
      </c>
      <c r="X9" s="5" t="str">
        <f ca="1">VLOOKUP(W9,[1]character_tribe_i18n!$A:$H,3,FALSE)</f>
        <v>ゴッド</v>
      </c>
      <c r="Y9" s="58" t="str">
        <f ca="1">VLOOKUP($A9,OFFSET([1]characters!$A$1,0,0,COUNTA([1]characters!$A:$A),MATCH(Y$1,[1]characters!$1:$1,0)-MATCH($A$1,[1]characters!$1:$1,0)+1),MATCH(Y$1,[1]characters!$1:$1,0)-MATCH($A$1,[1]characters!$1:$1,0)+1,FALSE)</f>
        <v>none</v>
      </c>
      <c r="Z9" s="5" t="str">
        <f ca="1">VLOOKUP(Y9,[1]character_tribe_i18n!$A:$H,3,FALSE)</f>
        <v>種族なし</v>
      </c>
      <c r="AA9" s="11">
        <f ca="1">VLOOKUP(W9,[1]character_tribe_i18n!$A:$H,4,FALSE)</f>
        <v>0.96</v>
      </c>
      <c r="AB9" s="11">
        <f ca="1">VLOOKUP(W9,[1]character_tribe_i18n!$A:$H,5,FALSE)</f>
        <v>1.02</v>
      </c>
      <c r="AC9" s="11">
        <f ca="1">VLOOKUP(W9,[1]character_tribe_i18n!$A:$H,6,FALSE)</f>
        <v>1</v>
      </c>
      <c r="AD9" s="11">
        <f ca="1">VLOOKUP(W9,[1]character_tribe_i18n!$A:$H,7,FALSE)</f>
        <v>1.02</v>
      </c>
      <c r="AE9" s="9" t="s">
        <v>189</v>
      </c>
      <c r="AF9" s="63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5">
        <f t="shared" ca="1" si="1"/>
        <v>656</v>
      </c>
      <c r="AH9" s="63" t="str">
        <f ca="1">VLOOKUP($AG9,OFFSET([1]characters!$A$1,0,0,COUNTA([1]characters!$A:$A),MATCH(AH$1,[1]characters!$1:$1,0)-MATCH($A$1,[1]characters!$1:$1,0)+1),MATCH(AH$1,[1]characters!$1:$1,0)-MATCH($A$1,[1]characters!$1:$1,0)+1,FALSE)</f>
        <v>シヴァ</v>
      </c>
      <c r="AI9" s="11" t="str">
        <f>IF(AE9="NULL","NULL",VLOOKUP(G9,ビット!$A$2:$B$7,2))</f>
        <v>NULL</v>
      </c>
      <c r="AJ9" s="6">
        <v>2</v>
      </c>
      <c r="AK9" s="7" t="str">
        <f t="shared" si="2"/>
        <v>普通</v>
      </c>
      <c r="AL9" s="11" t="str">
        <f ca="1">INDEX(経験値!$A$1:$I$20,MATCH(H9,経験値!$A$1:$A$20,FALSE),MATCH(G9,経験値!$A$1:$I$1,FALSE))</f>
        <v>required_exp_200</v>
      </c>
      <c r="AM9" s="8">
        <f ca="1">VLOOKUP(G9,経験値!$A$27:$B$31,2)</f>
        <v>6400</v>
      </c>
      <c r="AN9" s="17">
        <f ca="1">VLOOKUP(G9,ビット!$G$2:$H$7,2)</f>
        <v>900</v>
      </c>
      <c r="AO9" s="45"/>
      <c r="AP9" s="68">
        <f t="shared" si="6"/>
        <v>657</v>
      </c>
      <c r="AQ9" s="58" t="str">
        <f ca="1">VLOOKUP($AP9,OFFSET(unit_skills!$A$1,0,0,COUNTA(unit_skills!$A:$A),MATCH(AQ$1,unit_skills!$1:$1,0)-MATCH($AP$1,unit_skills!$1:$1,0)+1),MATCH(AQ$1,unit_skills!$1:$1,0)-MATCH($AP$1,unit_skills!$1:$1,0)+1,FALSE)</f>
        <v>新解護統水</v>
      </c>
      <c r="AR9" s="58" t="str">
        <f ca="1">VLOOKUP($AP9,OFFSET(unit_skills!$A$1,0,0,COUNTA(unit_skills!$A:$A),MATCH(AR$1,unit_skills!$1:$1,0)-MATCH($AP$1,unit_skills!$1:$1,0)+1),MATCH(AR$1,unit_skills!$1:$1,0)-MATCH($AP$1,unit_skills!$1:$1,0)+1,FALSE)</f>
        <v>緑と黄パネルを破壊し、破壊した数に応じて単体に特大ダメージ+赤パネルを青パネルに変換</v>
      </c>
      <c r="AS9" s="58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41">
        <f t="shared" si="7"/>
        <v>657</v>
      </c>
      <c r="AU9" s="58" t="str">
        <f ca="1">VLOOKUP($AT9,OFFSET(crash_skills!$A$1,0,0,COUNTA(crash_skills!$A:$A),MATCH(AU$1,crash_skills!$1:$1,0)-MATCH($AT$1,crash_skills!$1:$1,0)+1),MATCH(AU$1,crash_skills!$1:$1,0)-MATCH($AT$1,crash_skills!$1:$1,0)+1,FALSE)</f>
        <v>暴氷ペネトレート</v>
      </c>
      <c r="AV9" s="58" t="str">
        <f ca="1">VLOOKUP($AT9,OFFSET(crash_skills!$A$1,0,0,COUNTA(crash_skills!$A:$A),MATCH(AV$1,crash_skills!$1:$1,0)-MATCH($AT$1,crash_skills!$1:$1,0)+1),MATCH(AV$1,crash_skills!$1:$1,0)-MATCH($AT$1,crash_skills!$1:$1,0)+1,FALSE)</f>
        <v>単体に2回中ダメージ</v>
      </c>
      <c r="AW9" s="58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59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69">
        <v>1</v>
      </c>
      <c r="AZ9" s="69">
        <v>1.1499999999999999</v>
      </c>
      <c r="BA9" s="69">
        <v>0</v>
      </c>
      <c r="BB9" s="69">
        <v>1</v>
      </c>
      <c r="BC9" s="11">
        <f ca="1">INDEX('RC6SV'!$A$1:$G$20,MATCH(H9,'RC6SV'!$A$1:$A$20,FALSE),MATCH(G9,'RC6SV'!$A$1:$G$1,FALSE))</f>
        <v>9000</v>
      </c>
      <c r="BD9" s="48">
        <f t="shared" ca="1" si="3"/>
        <v>9000</v>
      </c>
      <c r="BE9" s="11">
        <f t="shared" ca="1" si="4"/>
        <v>7000</v>
      </c>
      <c r="BF9" s="11">
        <f t="shared" ca="1" si="5"/>
        <v>1</v>
      </c>
      <c r="BG9" s="16">
        <f ca="1">IF($BE9&lt;=0,ROUND(BK9*0.5,0), ROUND($BE9*S9*AA9*J9*AY9*0.8*[1]ステータス!$B$2,0))</f>
        <v>2688</v>
      </c>
      <c r="BH9" s="16">
        <f ca="1">IF($BE9&lt;=0,ROUND(BL9*0.5,0), ROUND($BE9*T9*AB9*K9*AZ9*0.8*[1]ステータス!$C$2,0))</f>
        <v>1931</v>
      </c>
      <c r="BI9" s="16">
        <f ca="1">IF($BE9&lt;=0,ROUND(BM9*0.5,0), ROUND($BE9*U9*AC9*L9*BA9*0.8*[1]ステータス!$D$2,0))</f>
        <v>0</v>
      </c>
      <c r="BJ9" s="16">
        <f ca="1">IF($BE9&lt;=0,ROUND(BN9*0.5,0), ROUND($BE9*V9*AD9*M9*BB9*0.8*[1]ステータス!$E$2,0))</f>
        <v>1457</v>
      </c>
      <c r="BK9" s="11">
        <f ca="1">ROUND(BD9*S9*AA9*J9*AY9*[1]ステータス!$B$2,0)</f>
        <v>4320</v>
      </c>
      <c r="BL9" s="11">
        <f ca="1">ROUND(BD9*T9*AB9*K9*AZ9*[1]ステータス!$C$2,0)</f>
        <v>3104</v>
      </c>
      <c r="BM9" s="11">
        <f ca="1">ROUND(BD9*U9*AC9*L9*BA9*[1]ステータス!$D$2,0)</f>
        <v>0</v>
      </c>
      <c r="BN9" s="11">
        <f ca="1">ROUND(BD9*V9*AD9*M9*BB9*[1]ステータス!$E$2,0)</f>
        <v>2341</v>
      </c>
      <c r="BO9" s="10">
        <v>0</v>
      </c>
      <c r="BP9" s="10">
        <v>1</v>
      </c>
      <c r="BQ9" s="10" t="s">
        <v>53</v>
      </c>
      <c r="BR9" s="10">
        <f ca="1">VLOOKUP(H9,ghosts_label!$A$2:$B$19,2,FALSE)</f>
        <v>1</v>
      </c>
    </row>
    <row r="10" spans="1:70" ht="26" customHeight="1" x14ac:dyDescent="0.15">
      <c r="A10" s="12">
        <v>668</v>
      </c>
      <c r="B10" s="58" t="str">
        <f ca="1">VLOOKUP($A10,OFFSET([1]characters!$A$1,0,0,COUNTA([1]characters!$A:$A),MATCH(B$1,[1]characters!$1:$1,0)-MATCH($A$1,[1]characters!$1:$1,0)+1),MATCH(B$1,[1]characters!$1:$1,0)-MATCH($A$1,[1]characters!$1:$1,0)+1,FALSE)</f>
        <v>アグニ</v>
      </c>
      <c r="C10" s="58" t="str">
        <f ca="1">VLOOKUP($A10,OFFSET([1]characters!$A$1,0,0,COUNTA([1]characters!$A:$A),MATCH(C$1,[1]characters!$1:$1,0)-MATCH($A$1,[1]characters!$1:$1,0)+1),MATCH(C$1,[1]characters!$1:$1,0)-MATCH($A$1,[1]characters!$1:$1,0)+1,FALSE)</f>
        <v>ガチャ:ヒンドゥ-01</v>
      </c>
      <c r="D10" s="58" t="str">
        <f ca="1">VLOOKUP($A10,OFFSET([1]characters!$A$1,0,0,COUNTA([1]characters!$A:$A),MATCH(D$1,[1]characters!$1:$1,0)-MATCH($A$1,[1]characters!$1:$1,0)+1),MATCH(D$1,[1]characters!$1:$1,0)-MATCH($A$1,[1]characters!$1:$1,0)+1,FALSE)</f>
        <v>執行者</v>
      </c>
      <c r="E10" s="58" t="str">
        <f ca="1">VLOOKUP($A10,OFFSET([1]characters!$A$1,0,0,COUNTA([1]characters!$A:$A),MATCH(E$1,[1]characters!$1:$1,0)-MATCH($A$1,[1]characters!$1:$1,0)+1),MATCH(E$1,[1]characters!$1:$1,0)-MATCH($A$1,[1]characters!$1:$1,0)+1,FALSE)</f>
        <v>格好いい</v>
      </c>
      <c r="F10" s="58" t="str">
        <f ca="1">VLOOKUP($A10,OFFSET([1]characters!$A$1,0,0,COUNTA([1]characters!$A:$A),MATCH(F$1,[1]characters!$1:$1,0)-MATCH($A$1,[1]characters!$1:$1,0)+1),MATCH(F$1,[1]characters!$1:$1,0)-MATCH($A$1,[1]characters!$1:$1,0)+1,FALSE)</f>
        <v>男性</v>
      </c>
      <c r="G10" s="58">
        <f ca="1">VLOOKUP($A10,OFFSET([1]characters!$A$1,0,0,COUNTA([1]characters!$A:$A),MATCH(G$1,[1]characters!$1:$1,0)-MATCH($A$1,[1]characters!$1:$1,0)+1),MATCH(G$1,[1]characters!$1:$1,0)-MATCH($A$1,[1]characters!$1:$1,0)+1,FALSE)</f>
        <v>3</v>
      </c>
      <c r="H10" s="58" t="str">
        <f ca="1">VLOOKUP($A10,OFFSET([1]characters!$A$1,0,0,COUNTA([1]characters!$A:$A),MATCH(H$1,[1]characters!$1:$1,0)-MATCH($A$1,[1]characters!$1:$1,0)+1),MATCH(H$1,[1]characters!$1:$1,0)-MATCH($A$1,[1]characters!$1:$1,0)+1,FALSE)</f>
        <v>PremiumS</v>
      </c>
      <c r="I10" s="58" t="str">
        <f ca="1">VLOOKUP($A10,OFFSET([1]characters!$A$1,0,0,COUNTA([1]characters!$A:$A),MATCH(I$1,[1]characters!$1:$1,0)-MATCH($A$1,[1]characters!$1:$1,0)+1),MATCH(I$1,[1]characters!$1:$1,0)-MATCH($A$1,[1]characters!$1:$1,0)+1,FALSE)</f>
        <v>red</v>
      </c>
      <c r="J10" s="11">
        <f ca="1">VLOOKUP(I10,[1]属性!$A:$E,2,FALSE)</f>
        <v>1</v>
      </c>
      <c r="K10" s="11">
        <f ca="1">VLOOKUP(I10,[1]属性!$A:$E,3,FALSE)</f>
        <v>1.02</v>
      </c>
      <c r="L10" s="11">
        <f ca="1">VLOOKUP(I10,[1]属性!$A:$E,4,FALSE)</f>
        <v>1</v>
      </c>
      <c r="M10" s="11">
        <f ca="1">VLOOKUP(I10,[1]属性!$A:$E,5,FALSE)</f>
        <v>0.98</v>
      </c>
      <c r="N10" s="11">
        <f ca="1">INDEX([2]コスト!$A$1:$I$20,MATCH(H10,[2]コスト!$A$1:$A$20,FALSE),MATCH(G10,[2]コスト!$A$1:$I$1,FALSE))</f>
        <v>10</v>
      </c>
      <c r="O10" s="11">
        <f ca="1">INDEX([2]レベル!$A$1:$I$21,MATCH(H10,[2]レベル!$A$1:$A$21,FALSE),MATCH(G10,[2]レベル!$A$1:$I$1,FALSE))</f>
        <v>40</v>
      </c>
      <c r="P10" s="48">
        <f t="shared" ca="1" si="0"/>
        <v>45</v>
      </c>
      <c r="Q10" s="58" t="str">
        <f ca="1">VLOOKUP($A10,OFFSET([1]characters!$A$1,0,0,COUNTA([1]characters!$A:$A),MATCH(Q$1,[1]characters!$1:$1,0)-MATCH($A$1,[1]characters!$1:$1,0)+1),MATCH(Q$1,[1]characters!$1:$1,0)-MATCH($A$1,[1]characters!$1:$1,0)+1,FALSE)</f>
        <v>hp</v>
      </c>
      <c r="R10" s="5" t="str">
        <f ca="1">VLOOKUP(Q10,[1]character_type_i18n!$A:$H,3,FALSE)</f>
        <v>体力タイプ</v>
      </c>
      <c r="S10" s="11">
        <f ca="1">VLOOKUP(Q10,[1]character_type_i18n!$A:$H,4,FALSE)</f>
        <v>1.45</v>
      </c>
      <c r="T10" s="11">
        <f ca="1">VLOOKUP(Q10,[1]character_type_i18n!$A:$H,5,FALSE)</f>
        <v>0.85</v>
      </c>
      <c r="U10" s="11">
        <f ca="1">VLOOKUP(Q10,[1]character_type_i18n!$A:$H,6,FALSE)</f>
        <v>1</v>
      </c>
      <c r="V10" s="11">
        <f ca="1">VLOOKUP(Q10,[1]character_type_i18n!$A:$H,7,FALSE)</f>
        <v>0.7</v>
      </c>
      <c r="W10" s="58" t="str">
        <f ca="1">VLOOKUP($A10,OFFSET([1]characters!$A$1,0,0,COUNTA([1]characters!$A:$A),MATCH(W$1,[1]characters!$1:$1,0)-MATCH($A$1,[1]characters!$1:$1,0)+1),MATCH(W$1,[1]characters!$1:$1,0)-MATCH($A$1,[1]characters!$1:$1,0)+1,FALSE)</f>
        <v>god</v>
      </c>
      <c r="X10" s="5" t="str">
        <f ca="1">VLOOKUP(W10,[1]character_tribe_i18n!$A:$H,3,FALSE)</f>
        <v>ゴッド</v>
      </c>
      <c r="Y10" s="58" t="str">
        <f ca="1">VLOOKUP($A10,OFFSET([1]characters!$A$1,0,0,COUNTA([1]characters!$A:$A),MATCH(Y$1,[1]characters!$1:$1,0)-MATCH($A$1,[1]characters!$1:$1,0)+1),MATCH(Y$1,[1]characters!$1:$1,0)-MATCH($A$1,[1]characters!$1:$1,0)+1,FALSE)</f>
        <v>none</v>
      </c>
      <c r="Z10" s="5" t="str">
        <f ca="1">VLOOKUP(Y10,[1]character_tribe_i18n!$A:$H,3,FALSE)</f>
        <v>種族なし</v>
      </c>
      <c r="AA10" s="11">
        <f ca="1">VLOOKUP(W10,[1]character_tribe_i18n!$A:$H,4,FALSE)</f>
        <v>0.96</v>
      </c>
      <c r="AB10" s="11">
        <f ca="1">VLOOKUP(W10,[1]character_tribe_i18n!$A:$H,5,FALSE)</f>
        <v>1.02</v>
      </c>
      <c r="AC10" s="11">
        <f ca="1">VLOOKUP(W10,[1]character_tribe_i18n!$A:$H,6,FALSE)</f>
        <v>1</v>
      </c>
      <c r="AD10" s="11">
        <f ca="1">VLOOKUP(W10,[1]character_tribe_i18n!$A:$H,7,FALSE)</f>
        <v>1.02</v>
      </c>
      <c r="AE10" s="9">
        <f>A11</f>
        <v>669</v>
      </c>
      <c r="AF10" s="63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>天地の仲界 アグニ</v>
      </c>
      <c r="AG10" s="5">
        <f t="shared" ca="1" si="1"/>
        <v>668</v>
      </c>
      <c r="AH10" s="63" t="str">
        <f ca="1">VLOOKUP($AG10,OFFSET([1]characters!$A$1,0,0,COUNTA([1]characters!$A:$A),MATCH(AH$1,[1]characters!$1:$1,0)-MATCH($A$1,[1]characters!$1:$1,0)+1),MATCH(AH$1,[1]characters!$1:$1,0)-MATCH($A$1,[1]characters!$1:$1,0)+1,FALSE)</f>
        <v>アグニ</v>
      </c>
      <c r="AI10" s="11">
        <f ca="1">IF(AE10="NULL","NULL",VLOOKUP(G10,[2]ビット!$A$2:$B$7,2))</f>
        <v>20000</v>
      </c>
      <c r="AJ10" s="6">
        <v>2</v>
      </c>
      <c r="AK10" s="7" t="str">
        <f t="shared" si="2"/>
        <v>普通</v>
      </c>
      <c r="AL10" s="11" t="str">
        <f ca="1">INDEX([2]経験値!$A$1:$I$20,MATCH(H10,[2]経験値!$A$1:$A$20,FALSE),MATCH(G10,[2]経験値!$A$1:$I$1,FALSE))</f>
        <v>required_exp_200</v>
      </c>
      <c r="AM10" s="8">
        <f ca="1">VLOOKUP(G10,[2]経験値!$A$27:$B$31,2)</f>
        <v>1500</v>
      </c>
      <c r="AN10" s="17">
        <f ca="1">VLOOKUP(G10,[2]ビット!$G$2:$H$7,2)</f>
        <v>300</v>
      </c>
      <c r="AO10" s="45"/>
      <c r="AP10" s="68">
        <f t="shared" si="6"/>
        <v>668</v>
      </c>
      <c r="AQ10" s="58" t="str">
        <f ca="1">VLOOKUP($AP10,OFFSET(unit_skills!$A$1,0,0,COUNTA(unit_skills!$A:$A),MATCH(AQ$1,unit_skills!$1:$1,0)-MATCH($AP$1,unit_skills!$1:$1,0)+1),MATCH(AQ$1,unit_skills!$1:$1,0)-MATCH($AP$1,unit_skills!$1:$1,0)+1,FALSE)</f>
        <v>天翔昇る噴炎</v>
      </c>
      <c r="AR10" s="58" t="str">
        <f ca="1">VLOOKUP($AP10,OFFSET(unit_skills!$A$1,0,0,COUNTA(unit_skills!$A:$A),MATCH(AR$1,unit_skills!$1:$1,0)-MATCH($AP$1,unit_skills!$1:$1,0)+1),MATCH(AR$1,unit_skills!$1:$1,0)-MATCH($AP$1,unit_skills!$1:$1,0)+1,FALSE)</f>
        <v>1体に赤属性の大ダメージ+5ターン自身の攻撃力特大UP</v>
      </c>
      <c r="AS10" s="58">
        <f ca="1">VLOOKUP($AP10,OFFSET(unit_skills!$A$1,0,0,COUNTA(unit_skills!$A:$A),MATCH(AS$1,unit_skills!$1:$1,0)-MATCH($AP$1,unit_skills!$1:$1,0)+1),MATCH(AS$1,unit_skills!$1:$1,0)-MATCH($AP$1,unit_skills!$1:$1,0)+1,FALSE)</f>
        <v>0</v>
      </c>
      <c r="AT10" s="41">
        <f t="shared" si="7"/>
        <v>668</v>
      </c>
      <c r="AU10" s="58" t="str">
        <f ca="1">VLOOKUP($AT10,OFFSET(crash_skills!$A$1,0,0,COUNTA(crash_skills!$A:$A),MATCH(AU$1,crash_skills!$1:$1,0)-MATCH($AT$1,crash_skills!$1:$1,0)+1),MATCH(AU$1,crash_skills!$1:$1,0)-MATCH($AT$1,crash_skills!$1:$1,0)+1,FALSE)</f>
        <v>カーニバル・アグニ</v>
      </c>
      <c r="AV10" s="58" t="str">
        <f ca="1">VLOOKUP($AT10,OFFSET(crash_skills!$A$1,0,0,COUNTA(crash_skills!$A:$A),MATCH(AV$1,crash_skills!$1:$1,0)-MATCH($AT$1,crash_skills!$1:$1,0)+1),MATCH(AV$1,crash_skills!$1:$1,0)-MATCH($AT$1,crash_skills!$1:$1,0)+1,FALSE)</f>
        <v>1体に大ダメージ</v>
      </c>
      <c r="AW10" s="58">
        <f ca="1">VLOOKUP($AT10,OFFSET(crash_skills!$A$1,0,0,COUNTA(crash_skills!$A:$A),MATCH(AW$1,crash_skills!$1:$1,0)-MATCH($AT$1,crash_skills!$1:$1,0)+1),MATCH(AW$1,crash_skills!$1:$1,0)-MATCH($AT$1,crash_skills!$1:$1,0)+1,FALSE)</f>
        <v>0</v>
      </c>
      <c r="AX10" s="59">
        <f ca="1">VLOOKUP($A10,OFFSET([1]characters!$A$1,0,0,COUNTA([1]characters!$A:$A),MATCH(AX$1,[1]characters!$1:$1,0)-MATCH($A$1,[1]characters!$1:$1,0)+1),MATCH(AX$1,[1]characters!$1:$1,0)-MATCH($A$1,[1]characters!$1:$1,0)+1,FALSE)</f>
        <v>3</v>
      </c>
      <c r="AY10" s="69">
        <v>1</v>
      </c>
      <c r="AZ10" s="69">
        <v>1</v>
      </c>
      <c r="BA10" s="69">
        <v>0</v>
      </c>
      <c r="BB10" s="69">
        <v>1</v>
      </c>
      <c r="BC10" s="11">
        <f ca="1">INDEX([2]RC6SV!$A$1:$G$20,MATCH(H10,[2]RC6SV!$A$1:$A$20,FALSE),MATCH(G10,[2]RC6SV!$A$1:$G$1,FALSE))</f>
        <v>5000</v>
      </c>
      <c r="BD10" s="48">
        <f t="shared" ca="1" si="3"/>
        <v>5000</v>
      </c>
      <c r="BE10" s="11">
        <f t="shared" ca="1" si="4"/>
        <v>0</v>
      </c>
      <c r="BF10" s="11">
        <f t="shared" ca="1" si="5"/>
        <v>1</v>
      </c>
      <c r="BG10" s="16">
        <f ca="1">IF($BE10&lt;=0,ROUND(BK10*0.5,0), ROUND($BE10*S10*AA10*J10*AY10*0.8*[1]ステータス!$B$2,0))</f>
        <v>1740</v>
      </c>
      <c r="BH10" s="16">
        <f ca="1">IF($BE10&lt;=0,ROUND(BL10*0.5,0), ROUND($BE10*T10*AB10*K10*AZ10*0.8*[1]ステータス!$C$2,0))</f>
        <v>664</v>
      </c>
      <c r="BI10" s="16">
        <f ca="1">IF($BE10&lt;=0,ROUND(BM10*0.5,0), ROUND($BE10*U10*AC10*L10*BA10*0.8*[1]ステータス!$D$2,0))</f>
        <v>0</v>
      </c>
      <c r="BJ10" s="16">
        <f ca="1">IF($BE10&lt;=0,ROUND(BN10*0.5,0), ROUND($BE10*V10*AD10*M10*BB10*0.8*[1]ステータス!$E$2,0))</f>
        <v>438</v>
      </c>
      <c r="BK10" s="11">
        <f ca="1">ROUND(BD10*S10*AA10*J10*AY10*[1]ステータス!$B$2,0)</f>
        <v>3480</v>
      </c>
      <c r="BL10" s="11">
        <f ca="1">ROUND(BD10*T10*AB10*K10*AZ10*[1]ステータス!$C$2,0)</f>
        <v>1327</v>
      </c>
      <c r="BM10" s="11">
        <f ca="1">ROUND(BD10*U10*AC10*L10*BA10*[1]ステータス!$D$2,0)</f>
        <v>0</v>
      </c>
      <c r="BN10" s="11">
        <f ca="1">ROUND(BD10*V10*AD10*M10*BB10*[1]ステータス!$E$2,0)</f>
        <v>875</v>
      </c>
      <c r="BO10" s="10">
        <v>0</v>
      </c>
      <c r="BP10" s="10">
        <v>1</v>
      </c>
      <c r="BQ10" s="10" t="s">
        <v>53</v>
      </c>
      <c r="BR10" s="10">
        <f ca="1">VLOOKUP(H10,ghosts_label!$A$2:$B$19,2,FALSE)</f>
        <v>700</v>
      </c>
    </row>
    <row r="11" spans="1:70" ht="26" customHeight="1" x14ac:dyDescent="0.15">
      <c r="A11" s="12">
        <v>669</v>
      </c>
      <c r="B11" s="58" t="str">
        <f ca="1">VLOOKUP($A11,OFFSET([1]characters!$A$1,0,0,COUNTA([1]characters!$A:$A),MATCH(B$1,[1]characters!$1:$1,0)-MATCH($A$1,[1]characters!$1:$1,0)+1),MATCH(B$1,[1]characters!$1:$1,0)-MATCH($A$1,[1]characters!$1:$1,0)+1,FALSE)</f>
        <v>天地の仲界 アグニ</v>
      </c>
      <c r="C11" s="58" t="str">
        <f ca="1">VLOOKUP($A11,OFFSET([1]characters!$A$1,0,0,COUNTA([1]characters!$A:$A),MATCH(C$1,[1]characters!$1:$1,0)-MATCH($A$1,[1]characters!$1:$1,0)+1),MATCH(C$1,[1]characters!$1:$1,0)-MATCH($A$1,[1]characters!$1:$1,0)+1,FALSE)</f>
        <v>ガチャ:ヒンドゥ-01</v>
      </c>
      <c r="D11" s="58" t="str">
        <f ca="1">VLOOKUP($A11,OFFSET([1]characters!$A$1,0,0,COUNTA([1]characters!$A:$A),MATCH(D$1,[1]characters!$1:$1,0)-MATCH($A$1,[1]characters!$1:$1,0)+1),MATCH(D$1,[1]characters!$1:$1,0)-MATCH($A$1,[1]characters!$1:$1,0)+1,FALSE)</f>
        <v>執行者</v>
      </c>
      <c r="E11" s="58" t="str">
        <f ca="1">VLOOKUP($A11,OFFSET([1]characters!$A$1,0,0,COUNTA([1]characters!$A:$A),MATCH(E$1,[1]characters!$1:$1,0)-MATCH($A$1,[1]characters!$1:$1,0)+1),MATCH(E$1,[1]characters!$1:$1,0)-MATCH($A$1,[1]characters!$1:$1,0)+1,FALSE)</f>
        <v>格好いい</v>
      </c>
      <c r="F11" s="58" t="str">
        <f ca="1">VLOOKUP($A11,OFFSET([1]characters!$A$1,0,0,COUNTA([1]characters!$A:$A),MATCH(F$1,[1]characters!$1:$1,0)-MATCH($A$1,[1]characters!$1:$1,0)+1),MATCH(F$1,[1]characters!$1:$1,0)-MATCH($A$1,[1]characters!$1:$1,0)+1,FALSE)</f>
        <v>男性</v>
      </c>
      <c r="G11" s="58">
        <f ca="1">VLOOKUP($A11,OFFSET([1]characters!$A$1,0,0,COUNTA([1]characters!$A:$A),MATCH(G$1,[1]characters!$1:$1,0)-MATCH($A$1,[1]characters!$1:$1,0)+1),MATCH(G$1,[1]characters!$1:$1,0)-MATCH($A$1,[1]characters!$1:$1,0)+1,FALSE)</f>
        <v>4</v>
      </c>
      <c r="H11" s="58" t="str">
        <f ca="1">VLOOKUP($A11,OFFSET([1]characters!$A$1,0,0,COUNTA([1]characters!$A:$A),MATCH(H$1,[1]characters!$1:$1,0)-MATCH($A$1,[1]characters!$1:$1,0)+1),MATCH(H$1,[1]characters!$1:$1,0)-MATCH($A$1,[1]characters!$1:$1,0)+1,FALSE)</f>
        <v>PremiumS</v>
      </c>
      <c r="I11" s="58" t="str">
        <f ca="1">VLOOKUP($A11,OFFSET([1]characters!$A$1,0,0,COUNTA([1]characters!$A:$A),MATCH(I$1,[1]characters!$1:$1,0)-MATCH($A$1,[1]characters!$1:$1,0)+1),MATCH(I$1,[1]characters!$1:$1,0)-MATCH($A$1,[1]characters!$1:$1,0)+1,FALSE)</f>
        <v>red</v>
      </c>
      <c r="J11" s="11">
        <f ca="1">VLOOKUP(I11,[1]属性!$A:$E,2,FALSE)</f>
        <v>1</v>
      </c>
      <c r="K11" s="11">
        <f ca="1">VLOOKUP(I11,[1]属性!$A:$E,3,FALSE)</f>
        <v>1.02</v>
      </c>
      <c r="L11" s="11">
        <f ca="1">VLOOKUP(I11,[1]属性!$A:$E,4,FALSE)</f>
        <v>1</v>
      </c>
      <c r="M11" s="11">
        <f ca="1">VLOOKUP(I11,[1]属性!$A:$E,5,FALSE)</f>
        <v>0.98</v>
      </c>
      <c r="N11" s="11">
        <f ca="1">INDEX([2]コスト!$A$1:$I$20,MATCH(H11,[2]コスト!$A$1:$A$20,FALSE),MATCH(G11,[2]コスト!$A$1:$I$1,FALSE))</f>
        <v>20</v>
      </c>
      <c r="O11" s="11">
        <f ca="1">INDEX([2]レベル!$A$1:$I$21,MATCH(H11,[2]レベル!$A$1:$A$21,FALSE),MATCH(G11,[2]レベル!$A$1:$I$1,FALSE))</f>
        <v>60</v>
      </c>
      <c r="P11" s="48">
        <f t="shared" ca="1" si="0"/>
        <v>60</v>
      </c>
      <c r="Q11" s="58" t="str">
        <f ca="1">VLOOKUP($A11,OFFSET([1]characters!$A$1,0,0,COUNTA([1]characters!$A:$A),MATCH(Q$1,[1]characters!$1:$1,0)-MATCH($A$1,[1]characters!$1:$1,0)+1),MATCH(Q$1,[1]characters!$1:$1,0)-MATCH($A$1,[1]characters!$1:$1,0)+1,FALSE)</f>
        <v>hp</v>
      </c>
      <c r="R11" s="5" t="str">
        <f ca="1">VLOOKUP(Q11,[1]character_type_i18n!$A:$H,3,FALSE)</f>
        <v>体力タイプ</v>
      </c>
      <c r="S11" s="11">
        <f ca="1">VLOOKUP(Q11,[1]character_type_i18n!$A:$H,4,FALSE)</f>
        <v>1.45</v>
      </c>
      <c r="T11" s="11">
        <f ca="1">VLOOKUP(Q11,[1]character_type_i18n!$A:$H,5,FALSE)</f>
        <v>0.85</v>
      </c>
      <c r="U11" s="11">
        <f ca="1">VLOOKUP(Q11,[1]character_type_i18n!$A:$H,6,FALSE)</f>
        <v>1</v>
      </c>
      <c r="V11" s="11">
        <f ca="1">VLOOKUP(Q11,[1]character_type_i18n!$A:$H,7,FALSE)</f>
        <v>0.7</v>
      </c>
      <c r="W11" s="58" t="str">
        <f ca="1">VLOOKUP($A11,OFFSET([1]characters!$A$1,0,0,COUNTA([1]characters!$A:$A),MATCH(W$1,[1]characters!$1:$1,0)-MATCH($A$1,[1]characters!$1:$1,0)+1),MATCH(W$1,[1]characters!$1:$1,0)-MATCH($A$1,[1]characters!$1:$1,0)+1,FALSE)</f>
        <v>god</v>
      </c>
      <c r="X11" s="5" t="str">
        <f ca="1">VLOOKUP(W11,[1]character_tribe_i18n!$A:$H,3,FALSE)</f>
        <v>ゴッド</v>
      </c>
      <c r="Y11" s="58" t="str">
        <f ca="1">VLOOKUP($A11,OFFSET([1]characters!$A$1,0,0,COUNTA([1]characters!$A:$A),MATCH(Y$1,[1]characters!$1:$1,0)-MATCH($A$1,[1]characters!$1:$1,0)+1),MATCH(Y$1,[1]characters!$1:$1,0)-MATCH($A$1,[1]characters!$1:$1,0)+1,FALSE)</f>
        <v>none</v>
      </c>
      <c r="Z11" s="5" t="str">
        <f ca="1">VLOOKUP(Y11,[1]character_tribe_i18n!$A:$H,3,FALSE)</f>
        <v>種族なし</v>
      </c>
      <c r="AA11" s="11">
        <f ca="1">VLOOKUP(W11,[1]character_tribe_i18n!$A:$H,4,FALSE)</f>
        <v>0.96</v>
      </c>
      <c r="AB11" s="11">
        <f ca="1">VLOOKUP(W11,[1]character_tribe_i18n!$A:$H,5,FALSE)</f>
        <v>1.02</v>
      </c>
      <c r="AC11" s="11">
        <f ca="1">VLOOKUP(W11,[1]character_tribe_i18n!$A:$H,6,FALSE)</f>
        <v>1</v>
      </c>
      <c r="AD11" s="11">
        <f ca="1">VLOOKUP(W11,[1]character_tribe_i18n!$A:$H,7,FALSE)</f>
        <v>1.02</v>
      </c>
      <c r="AE11" s="9">
        <f>A12</f>
        <v>670</v>
      </c>
      <c r="AF11" s="63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>陽天の噴煙 アグニ</v>
      </c>
      <c r="AG11" s="5">
        <f t="shared" ca="1" si="1"/>
        <v>668</v>
      </c>
      <c r="AH11" s="63" t="str">
        <f ca="1">VLOOKUP($AG11,OFFSET([1]characters!$A$1,0,0,COUNTA([1]characters!$A:$A),MATCH(AH$1,[1]characters!$1:$1,0)-MATCH($A$1,[1]characters!$1:$1,0)+1),MATCH(AH$1,[1]characters!$1:$1,0)-MATCH($A$1,[1]characters!$1:$1,0)+1,FALSE)</f>
        <v>アグニ</v>
      </c>
      <c r="AI11" s="11">
        <f ca="1">IF(AE11="NULL","NULL",VLOOKUP(G11,[2]ビット!$A$2:$B$7,2))</f>
        <v>50000</v>
      </c>
      <c r="AJ11" s="6">
        <v>2</v>
      </c>
      <c r="AK11" s="7" t="str">
        <f t="shared" si="2"/>
        <v>普通</v>
      </c>
      <c r="AL11" s="11" t="str">
        <f ca="1">INDEX([2]経験値!$A$1:$I$20,MATCH(H11,[2]経験値!$A$1:$A$20,FALSE),MATCH(G11,[2]経験値!$A$1:$I$1,FALSE))</f>
        <v>required_exp_200</v>
      </c>
      <c r="AM11" s="8">
        <f ca="1">VLOOKUP(G11,[2]経験値!$A$27:$B$31,2)</f>
        <v>3400</v>
      </c>
      <c r="AN11" s="17">
        <f ca="1">VLOOKUP(G11,[2]ビット!$G$2:$H$7,2)</f>
        <v>600</v>
      </c>
      <c r="AO11" s="45"/>
      <c r="AP11" s="68">
        <f t="shared" si="6"/>
        <v>669</v>
      </c>
      <c r="AQ11" s="58" t="str">
        <f ca="1">VLOOKUP($AP11,OFFSET(unit_skills!$A$1,0,0,COUNTA(unit_skills!$A:$A),MATCH(AQ$1,unit_skills!$1:$1,0)-MATCH($AP$1,unit_skills!$1:$1,0)+1),MATCH(AQ$1,unit_skills!$1:$1,0)-MATCH($AP$1,unit_skills!$1:$1,0)+1,FALSE)</f>
        <v>天翔昇る噴炎</v>
      </c>
      <c r="AR11" s="58" t="str">
        <f ca="1">VLOOKUP($AP11,OFFSET(unit_skills!$A$1,0,0,COUNTA(unit_skills!$A:$A),MATCH(AR$1,unit_skills!$1:$1,0)-MATCH($AP$1,unit_skills!$1:$1,0)+1),MATCH(AR$1,unit_skills!$1:$1,0)-MATCH($AP$1,unit_skills!$1:$1,0)+1,FALSE)</f>
        <v>1体に赤属性の大ダメージ+5ターン自身の攻撃力特大UP</v>
      </c>
      <c r="AS11" s="58">
        <f ca="1">VLOOKUP($AP11,OFFSET(unit_skills!$A$1,0,0,COUNTA(unit_skills!$A:$A),MATCH(AS$1,unit_skills!$1:$1,0)-MATCH($AP$1,unit_skills!$1:$1,0)+1),MATCH(AS$1,unit_skills!$1:$1,0)-MATCH($AP$1,unit_skills!$1:$1,0)+1,FALSE)</f>
        <v>0</v>
      </c>
      <c r="AT11" s="41">
        <f t="shared" si="7"/>
        <v>669</v>
      </c>
      <c r="AU11" s="58" t="str">
        <f ca="1">VLOOKUP($AT11,OFFSET(crash_skills!$A$1,0,0,COUNTA(crash_skills!$A:$A),MATCH(AU$1,crash_skills!$1:$1,0)-MATCH($AT$1,crash_skills!$1:$1,0)+1),MATCH(AU$1,crash_skills!$1:$1,0)-MATCH($AT$1,crash_skills!$1:$1,0)+1,FALSE)</f>
        <v>カーニバル・アグニ</v>
      </c>
      <c r="AV11" s="58" t="str">
        <f ca="1">VLOOKUP($AT11,OFFSET(crash_skills!$A$1,0,0,COUNTA(crash_skills!$A:$A),MATCH(AV$1,crash_skills!$1:$1,0)-MATCH($AT$1,crash_skills!$1:$1,0)+1),MATCH(AV$1,crash_skills!$1:$1,0)-MATCH($AT$1,crash_skills!$1:$1,0)+1,FALSE)</f>
        <v>1体に大ダメージ</v>
      </c>
      <c r="AW11" s="58">
        <f ca="1">VLOOKUP($AT11,OFFSET(crash_skills!$A$1,0,0,COUNTA(crash_skills!$A:$A),MATCH(AW$1,crash_skills!$1:$1,0)-MATCH($AT$1,crash_skills!$1:$1,0)+1),MATCH(AW$1,crash_skills!$1:$1,0)-MATCH($AT$1,crash_skills!$1:$1,0)+1,FALSE)</f>
        <v>0</v>
      </c>
      <c r="AX11" s="59">
        <f ca="1">VLOOKUP($A11,OFFSET([1]characters!$A$1,0,0,COUNTA([1]characters!$A:$A),MATCH(AX$1,[1]characters!$1:$1,0)-MATCH($A$1,[1]characters!$1:$1,0)+1),MATCH(AX$1,[1]characters!$1:$1,0)-MATCH($A$1,[1]characters!$1:$1,0)+1,FALSE)</f>
        <v>3</v>
      </c>
      <c r="AY11" s="69">
        <v>1</v>
      </c>
      <c r="AZ11" s="69">
        <v>1.1000000000000001</v>
      </c>
      <c r="BA11" s="69">
        <v>0</v>
      </c>
      <c r="BB11" s="69">
        <v>1</v>
      </c>
      <c r="BC11" s="11">
        <f ca="1">INDEX([2]RC6SV!$A$1:$G$20,MATCH(H11,[2]RC6SV!$A$1:$A$20,FALSE),MATCH(G11,[2]RC6SV!$A$1:$G$1,FALSE))</f>
        <v>7000</v>
      </c>
      <c r="BD11" s="48">
        <f t="shared" ca="1" si="3"/>
        <v>7000</v>
      </c>
      <c r="BE11" s="11">
        <f t="shared" ca="1" si="4"/>
        <v>5000</v>
      </c>
      <c r="BF11" s="11">
        <f t="shared" ca="1" si="5"/>
        <v>1</v>
      </c>
      <c r="BG11" s="16">
        <f ca="1">IF($BE11&lt;=0,ROUND(BK11*0.5,0), ROUND($BE11*S11*AA11*J11*AY11*0.8*[1]ステータス!$B$2,0))</f>
        <v>2784</v>
      </c>
      <c r="BH11" s="16">
        <f ca="1">IF($BE11&lt;=0,ROUND(BL11*0.5,0), ROUND($BE11*T11*AB11*K11*AZ11*0.8*[1]ステータス!$C$2,0))</f>
        <v>1167</v>
      </c>
      <c r="BI11" s="16">
        <f ca="1">IF($BE11&lt;=0,ROUND(BM11*0.5,0), ROUND($BE11*U11*AC11*L11*BA11*0.8*[1]ステータス!$D$2,0))</f>
        <v>0</v>
      </c>
      <c r="BJ11" s="16">
        <f ca="1">IF($BE11&lt;=0,ROUND(BN11*0.5,0), ROUND($BE11*V11*AD11*M11*BB11*0.8*[1]ステータス!$E$2,0))</f>
        <v>700</v>
      </c>
      <c r="BK11" s="11">
        <f ca="1">ROUND(BD11*S11*AA11*J11*AY11*[1]ステータス!$B$2,0)</f>
        <v>4872</v>
      </c>
      <c r="BL11" s="11">
        <f ca="1">ROUND(BD11*T11*AB11*K11*AZ11*[1]ステータス!$C$2,0)</f>
        <v>2043</v>
      </c>
      <c r="BM11" s="11">
        <f ca="1">ROUND(BD11*U11*AC11*L11*BA11*[1]ステータス!$D$2,0)</f>
        <v>0</v>
      </c>
      <c r="BN11" s="11">
        <f ca="1">ROUND(BD11*V11*AD11*M11*BB11*[1]ステータス!$E$2,0)</f>
        <v>1225</v>
      </c>
      <c r="BO11" s="10">
        <v>0</v>
      </c>
      <c r="BP11" s="10">
        <v>1</v>
      </c>
      <c r="BQ11" s="10" t="s">
        <v>53</v>
      </c>
      <c r="BR11" s="10">
        <f ca="1">VLOOKUP(H11,ghosts_label!$A$2:$B$19,2,FALSE)</f>
        <v>700</v>
      </c>
    </row>
    <row r="12" spans="1:70" ht="26" customHeight="1" x14ac:dyDescent="0.15">
      <c r="A12" s="12">
        <v>670</v>
      </c>
      <c r="B12" s="58" t="str">
        <f ca="1">VLOOKUP($A12,OFFSET([1]characters!$A$1,0,0,COUNTA([1]characters!$A:$A),MATCH(B$1,[1]characters!$1:$1,0)-MATCH($A$1,[1]characters!$1:$1,0)+1),MATCH(B$1,[1]characters!$1:$1,0)-MATCH($A$1,[1]characters!$1:$1,0)+1,FALSE)</f>
        <v>陽天の噴煙 アグニ</v>
      </c>
      <c r="C12" s="58" t="str">
        <f ca="1">VLOOKUP($A12,OFFSET([1]characters!$A$1,0,0,COUNTA([1]characters!$A:$A),MATCH(C$1,[1]characters!$1:$1,0)-MATCH($A$1,[1]characters!$1:$1,0)+1),MATCH(C$1,[1]characters!$1:$1,0)-MATCH($A$1,[1]characters!$1:$1,0)+1,FALSE)</f>
        <v>ガチャ:ヒンドゥ-01</v>
      </c>
      <c r="D12" s="58" t="str">
        <f ca="1">VLOOKUP($A12,OFFSET([1]characters!$A$1,0,0,COUNTA([1]characters!$A:$A),MATCH(D$1,[1]characters!$1:$1,0)-MATCH($A$1,[1]characters!$1:$1,0)+1),MATCH(D$1,[1]characters!$1:$1,0)-MATCH($A$1,[1]characters!$1:$1,0)+1,FALSE)</f>
        <v>執行者</v>
      </c>
      <c r="E12" s="58" t="str">
        <f ca="1">VLOOKUP($A12,OFFSET([1]characters!$A$1,0,0,COUNTA([1]characters!$A:$A),MATCH(E$1,[1]characters!$1:$1,0)-MATCH($A$1,[1]characters!$1:$1,0)+1),MATCH(E$1,[1]characters!$1:$1,0)-MATCH($A$1,[1]characters!$1:$1,0)+1,FALSE)</f>
        <v>格好いい</v>
      </c>
      <c r="F12" s="58" t="str">
        <f ca="1">VLOOKUP($A12,OFFSET([1]characters!$A$1,0,0,COUNTA([1]characters!$A:$A),MATCH(F$1,[1]characters!$1:$1,0)-MATCH($A$1,[1]characters!$1:$1,0)+1),MATCH(F$1,[1]characters!$1:$1,0)-MATCH($A$1,[1]characters!$1:$1,0)+1,FALSE)</f>
        <v>男性</v>
      </c>
      <c r="G12" s="58">
        <f ca="1">VLOOKUP($A12,OFFSET([1]characters!$A$1,0,0,COUNTA([1]characters!$A:$A),MATCH(G$1,[1]characters!$1:$1,0)-MATCH($A$1,[1]characters!$1:$1,0)+1),MATCH(G$1,[1]characters!$1:$1,0)-MATCH($A$1,[1]characters!$1:$1,0)+1,FALSE)</f>
        <v>5</v>
      </c>
      <c r="H12" s="58" t="str">
        <f ca="1">VLOOKUP($A12,OFFSET([1]characters!$A$1,0,0,COUNTA([1]characters!$A:$A),MATCH(H$1,[1]characters!$1:$1,0)-MATCH($A$1,[1]characters!$1:$1,0)+1),MATCH(H$1,[1]characters!$1:$1,0)-MATCH($A$1,[1]characters!$1:$1,0)+1,FALSE)</f>
        <v>PremiumS</v>
      </c>
      <c r="I12" s="58" t="str">
        <f ca="1">VLOOKUP($A12,OFFSET([1]characters!$A$1,0,0,COUNTA([1]characters!$A:$A),MATCH(I$1,[1]characters!$1:$1,0)-MATCH($A$1,[1]characters!$1:$1,0)+1),MATCH(I$1,[1]characters!$1:$1,0)-MATCH($A$1,[1]characters!$1:$1,0)+1,FALSE)</f>
        <v>red</v>
      </c>
      <c r="J12" s="11">
        <f ca="1">VLOOKUP(I12,[1]属性!$A:$E,2,FALSE)</f>
        <v>1</v>
      </c>
      <c r="K12" s="11">
        <f ca="1">VLOOKUP(I12,[1]属性!$A:$E,3,FALSE)</f>
        <v>1.02</v>
      </c>
      <c r="L12" s="11">
        <f ca="1">VLOOKUP(I12,[1]属性!$A:$E,4,FALSE)</f>
        <v>1</v>
      </c>
      <c r="M12" s="11">
        <f ca="1">VLOOKUP(I12,[1]属性!$A:$E,5,FALSE)</f>
        <v>0.98</v>
      </c>
      <c r="N12" s="11">
        <f ca="1">INDEX([2]コスト!$A$1:$I$20,MATCH(H12,[2]コスト!$A$1:$A$20,FALSE),MATCH(G12,[2]コスト!$A$1:$I$1,FALSE))</f>
        <v>30</v>
      </c>
      <c r="O12" s="11">
        <f ca="1">INDEX([2]レベル!$A$1:$I$21,MATCH(H12,[2]レベル!$A$1:$A$21,FALSE),MATCH(G12,[2]レベル!$A$1:$I$1,FALSE))</f>
        <v>80</v>
      </c>
      <c r="P12" s="48">
        <f t="shared" ca="1" si="0"/>
        <v>75</v>
      </c>
      <c r="Q12" s="58" t="str">
        <f ca="1">VLOOKUP($A12,OFFSET([1]characters!$A$1,0,0,COUNTA([1]characters!$A:$A),MATCH(Q$1,[1]characters!$1:$1,0)-MATCH($A$1,[1]characters!$1:$1,0)+1),MATCH(Q$1,[1]characters!$1:$1,0)-MATCH($A$1,[1]characters!$1:$1,0)+1,FALSE)</f>
        <v>hp</v>
      </c>
      <c r="R12" s="5" t="str">
        <f ca="1">VLOOKUP(Q12,[1]character_type_i18n!$A:$H,3,FALSE)</f>
        <v>体力タイプ</v>
      </c>
      <c r="S12" s="11">
        <f ca="1">VLOOKUP(Q12,[1]character_type_i18n!$A:$H,4,FALSE)</f>
        <v>1.45</v>
      </c>
      <c r="T12" s="11">
        <f ca="1">VLOOKUP(Q12,[1]character_type_i18n!$A:$H,5,FALSE)</f>
        <v>0.85</v>
      </c>
      <c r="U12" s="11">
        <f ca="1">VLOOKUP(Q12,[1]character_type_i18n!$A:$H,6,FALSE)</f>
        <v>1</v>
      </c>
      <c r="V12" s="11">
        <f ca="1">VLOOKUP(Q12,[1]character_type_i18n!$A:$H,7,FALSE)</f>
        <v>0.7</v>
      </c>
      <c r="W12" s="58" t="str">
        <f ca="1">VLOOKUP($A12,OFFSET([1]characters!$A$1,0,0,COUNTA([1]characters!$A:$A),MATCH(W$1,[1]characters!$1:$1,0)-MATCH($A$1,[1]characters!$1:$1,0)+1),MATCH(W$1,[1]characters!$1:$1,0)-MATCH($A$1,[1]characters!$1:$1,0)+1,FALSE)</f>
        <v>god</v>
      </c>
      <c r="X12" s="5" t="str">
        <f ca="1">VLOOKUP(W12,[1]character_tribe_i18n!$A:$H,3,FALSE)</f>
        <v>ゴッド</v>
      </c>
      <c r="Y12" s="58" t="str">
        <f ca="1">VLOOKUP($A12,OFFSET([1]characters!$A$1,0,0,COUNTA([1]characters!$A:$A),MATCH(Y$1,[1]characters!$1:$1,0)-MATCH($A$1,[1]characters!$1:$1,0)+1),MATCH(Y$1,[1]characters!$1:$1,0)-MATCH($A$1,[1]characters!$1:$1,0)+1,FALSE)</f>
        <v>none</v>
      </c>
      <c r="Z12" s="5" t="str">
        <f ca="1">VLOOKUP(Y12,[1]character_tribe_i18n!$A:$H,3,FALSE)</f>
        <v>種族なし</v>
      </c>
      <c r="AA12" s="11">
        <f ca="1">VLOOKUP(W12,[1]character_tribe_i18n!$A:$H,4,FALSE)</f>
        <v>0.96</v>
      </c>
      <c r="AB12" s="11">
        <f ca="1">VLOOKUP(W12,[1]character_tribe_i18n!$A:$H,5,FALSE)</f>
        <v>1.02</v>
      </c>
      <c r="AC12" s="11">
        <f ca="1">VLOOKUP(W12,[1]character_tribe_i18n!$A:$H,6,FALSE)</f>
        <v>1</v>
      </c>
      <c r="AD12" s="11">
        <f ca="1">VLOOKUP(W12,[1]character_tribe_i18n!$A:$H,7,FALSE)</f>
        <v>1.02</v>
      </c>
      <c r="AE12" s="9" t="s">
        <v>189</v>
      </c>
      <c r="AF12" s="63" t="str">
        <f ca="1">IF(AE12="NULL","",VLOOKUP($AE12,OFFSET([1]characters!$A$1,0,0,COUNTA([1]characters!$A:$A),MATCH(AF$1,[1]characters!$1:$1,0)-MATCH($A$1,[1]characters!$1:$1,0)+1),MATCH(AF$1,[1]characters!$1:$1,0)-MATCH($A$1,[1]characters!$1:$1,0)+1,FALSE))</f>
        <v/>
      </c>
      <c r="AG12" s="5">
        <f t="shared" ca="1" si="1"/>
        <v>668</v>
      </c>
      <c r="AH12" s="63" t="str">
        <f ca="1">VLOOKUP($AG12,OFFSET([1]characters!$A$1,0,0,COUNTA([1]characters!$A:$A),MATCH(AH$1,[1]characters!$1:$1,0)-MATCH($A$1,[1]characters!$1:$1,0)+1),MATCH(AH$1,[1]characters!$1:$1,0)-MATCH($A$1,[1]characters!$1:$1,0)+1,FALSE)</f>
        <v>アグニ</v>
      </c>
      <c r="AI12" s="11" t="str">
        <f>IF(AE12="NULL","NULL",VLOOKUP(G12,[2]ビット!$A$2:$B$7,2))</f>
        <v>NULL</v>
      </c>
      <c r="AJ12" s="6">
        <v>2</v>
      </c>
      <c r="AK12" s="7" t="str">
        <f t="shared" si="2"/>
        <v>普通</v>
      </c>
      <c r="AL12" s="11" t="str">
        <f ca="1">INDEX([2]経験値!$A$1:$I$20,MATCH(H12,[2]経験値!$A$1:$A$20,FALSE),MATCH(G12,[2]経験値!$A$1:$I$1,FALSE))</f>
        <v>required_exp_200</v>
      </c>
      <c r="AM12" s="8">
        <f ca="1">VLOOKUP(G12,[2]経験値!$A$27:$B$31,2)</f>
        <v>6400</v>
      </c>
      <c r="AN12" s="17">
        <f ca="1">VLOOKUP(G12,[2]ビット!$G$2:$H$7,2)</f>
        <v>900</v>
      </c>
      <c r="AO12" s="45"/>
      <c r="AP12" s="68">
        <f t="shared" si="6"/>
        <v>670</v>
      </c>
      <c r="AQ12" s="58" t="str">
        <f ca="1">VLOOKUP($AP12,OFFSET(unit_skills!$A$1,0,0,COUNTA(unit_skills!$A:$A),MATCH(AQ$1,unit_skills!$1:$1,0)-MATCH($AP$1,unit_skills!$1:$1,0)+1),MATCH(AQ$1,unit_skills!$1:$1,0)-MATCH($AP$1,unit_skills!$1:$1,0)+1,FALSE)</f>
        <v>天翔昇る噴炎</v>
      </c>
      <c r="AR12" s="58" t="str">
        <f ca="1">VLOOKUP($AP12,OFFSET(unit_skills!$A$1,0,0,COUNTA(unit_skills!$A:$A),MATCH(AR$1,unit_skills!$1:$1,0)-MATCH($AP$1,unit_skills!$1:$1,0)+1),MATCH(AR$1,unit_skills!$1:$1,0)-MATCH($AP$1,unit_skills!$1:$1,0)+1,FALSE)</f>
        <v>1体に赤属性の大ダメージ+5ターン自身の攻撃力特大UP</v>
      </c>
      <c r="AS12" s="58">
        <f ca="1">VLOOKUP($AP12,OFFSET(unit_skills!$A$1,0,0,COUNTA(unit_skills!$A:$A),MATCH(AS$1,unit_skills!$1:$1,0)-MATCH($AP$1,unit_skills!$1:$1,0)+1),MATCH(AS$1,unit_skills!$1:$1,0)-MATCH($AP$1,unit_skills!$1:$1,0)+1,FALSE)</f>
        <v>0</v>
      </c>
      <c r="AT12" s="41">
        <f t="shared" si="7"/>
        <v>670</v>
      </c>
      <c r="AU12" s="58" t="str">
        <f ca="1">VLOOKUP($AT12,OFFSET(crash_skills!$A$1,0,0,COUNTA(crash_skills!$A:$A),MATCH(AU$1,crash_skills!$1:$1,0)-MATCH($AT$1,crash_skills!$1:$1,0)+1),MATCH(AU$1,crash_skills!$1:$1,0)-MATCH($AT$1,crash_skills!$1:$1,0)+1,FALSE)</f>
        <v>カーニバル・アグニ</v>
      </c>
      <c r="AV12" s="58" t="str">
        <f ca="1">VLOOKUP($AT12,OFFSET(crash_skills!$A$1,0,0,COUNTA(crash_skills!$A:$A),MATCH(AV$1,crash_skills!$1:$1,0)-MATCH($AT$1,crash_skills!$1:$1,0)+1),MATCH(AV$1,crash_skills!$1:$1,0)-MATCH($AT$1,crash_skills!$1:$1,0)+1,FALSE)</f>
        <v>1体に大ダメージ</v>
      </c>
      <c r="AW12" s="58">
        <f ca="1">VLOOKUP($AT12,OFFSET(crash_skills!$A$1,0,0,COUNTA(crash_skills!$A:$A),MATCH(AW$1,crash_skills!$1:$1,0)-MATCH($AT$1,crash_skills!$1:$1,0)+1),MATCH(AW$1,crash_skills!$1:$1,0)-MATCH($AT$1,crash_skills!$1:$1,0)+1,FALSE)</f>
        <v>0</v>
      </c>
      <c r="AX12" s="59">
        <f ca="1">VLOOKUP($A12,OFFSET([1]characters!$A$1,0,0,COUNTA([1]characters!$A:$A),MATCH(AX$1,[1]characters!$1:$1,0)-MATCH($A$1,[1]characters!$1:$1,0)+1),MATCH(AX$1,[1]characters!$1:$1,0)-MATCH($A$1,[1]characters!$1:$1,0)+1,FALSE)</f>
        <v>3</v>
      </c>
      <c r="AY12" s="69">
        <v>1</v>
      </c>
      <c r="AZ12" s="69">
        <v>1.1000000000000001</v>
      </c>
      <c r="BA12" s="69">
        <v>0</v>
      </c>
      <c r="BB12" s="69">
        <v>1</v>
      </c>
      <c r="BC12" s="11">
        <f ca="1">INDEX([2]RC6SV!$A$1:$G$20,MATCH(H12,[2]RC6SV!$A$1:$A$20,FALSE),MATCH(G12,[2]RC6SV!$A$1:$G$1,FALSE))</f>
        <v>9000</v>
      </c>
      <c r="BD12" s="48">
        <f t="shared" ca="1" si="3"/>
        <v>9000</v>
      </c>
      <c r="BE12" s="11">
        <f t="shared" ca="1" si="4"/>
        <v>7000</v>
      </c>
      <c r="BF12" s="11">
        <f t="shared" ca="1" si="5"/>
        <v>1</v>
      </c>
      <c r="BG12" s="16">
        <f ca="1">IF($BE12&lt;=0,ROUND(BK12*0.5,0), ROUND($BE12*S12*AA12*J12*AY12*0.8*[1]ステータス!$B$2,0))</f>
        <v>3898</v>
      </c>
      <c r="BH12" s="16">
        <f ca="1">IF($BE12&lt;=0,ROUND(BL12*0.5,0), ROUND($BE12*T12*AB12*K12*AZ12*0.8*[1]ステータス!$C$2,0))</f>
        <v>1634</v>
      </c>
      <c r="BI12" s="16">
        <f ca="1">IF($BE12&lt;=0,ROUND(BM12*0.5,0), ROUND($BE12*U12*AC12*L12*BA12*0.8*[1]ステータス!$D$2,0))</f>
        <v>0</v>
      </c>
      <c r="BJ12" s="16">
        <f ca="1">IF($BE12&lt;=0,ROUND(BN12*0.5,0), ROUND($BE12*V12*AD12*M12*BB12*0.8*[1]ステータス!$E$2,0))</f>
        <v>980</v>
      </c>
      <c r="BK12" s="11">
        <f ca="1">ROUND(BD12*S12*AA12*J12*AY12*[1]ステータス!$B$2,0)</f>
        <v>6264</v>
      </c>
      <c r="BL12" s="11">
        <f ca="1">ROUND(BD12*T12*AB12*K12*AZ12*[1]ステータス!$C$2,0)</f>
        <v>2626</v>
      </c>
      <c r="BM12" s="11">
        <f ca="1">ROUND(BD12*U12*AC12*L12*BA12*[1]ステータス!$D$2,0)</f>
        <v>0</v>
      </c>
      <c r="BN12" s="11">
        <f ca="1">ROUND(BD12*V12*AD12*M12*BB12*[1]ステータス!$E$2,0)</f>
        <v>1574</v>
      </c>
      <c r="BO12" s="10">
        <v>0</v>
      </c>
      <c r="BP12" s="10">
        <v>1</v>
      </c>
      <c r="BQ12" s="10" t="s">
        <v>53</v>
      </c>
      <c r="BR12" s="10">
        <f ca="1">VLOOKUP(H12,ghosts_label!$A$2:$B$19,2,FALSE)</f>
        <v>700</v>
      </c>
    </row>
    <row r="13" spans="1:70" ht="26" customHeight="1" x14ac:dyDescent="0.15">
      <c r="A13" s="12">
        <v>671</v>
      </c>
      <c r="B13" s="58" t="str">
        <f ca="1">VLOOKUP($A13,OFFSET([1]characters!$A$1,0,0,COUNTA([1]characters!$A:$A),MATCH(B$1,[1]characters!$1:$1,0)-MATCH($A$1,[1]characters!$1:$1,0)+1),MATCH(B$1,[1]characters!$1:$1,0)-MATCH($A$1,[1]characters!$1:$1,0)+1,FALSE)</f>
        <v>ハヌマーン</v>
      </c>
      <c r="C13" s="58" t="str">
        <f ca="1">VLOOKUP($A13,OFFSET([1]characters!$A$1,0,0,COUNTA([1]characters!$A:$A),MATCH(C$1,[1]characters!$1:$1,0)-MATCH($A$1,[1]characters!$1:$1,0)+1),MATCH(C$1,[1]characters!$1:$1,0)-MATCH($A$1,[1]characters!$1:$1,0)+1,FALSE)</f>
        <v>ガチャ:ヒンドゥ-01</v>
      </c>
      <c r="D13" s="58" t="str">
        <f ca="1">VLOOKUP($A13,OFFSET([1]characters!$A$1,0,0,COUNTA([1]characters!$A:$A),MATCH(D$1,[1]characters!$1:$1,0)-MATCH($A$1,[1]characters!$1:$1,0)+1),MATCH(D$1,[1]characters!$1:$1,0)-MATCH($A$1,[1]characters!$1:$1,0)+1,FALSE)</f>
        <v>執行者</v>
      </c>
      <c r="E13" s="58" t="str">
        <f ca="1">VLOOKUP($A13,OFFSET([1]characters!$A$1,0,0,COUNTA([1]characters!$A:$A),MATCH(E$1,[1]characters!$1:$1,0)-MATCH($A$1,[1]characters!$1:$1,0)+1),MATCH(E$1,[1]characters!$1:$1,0)-MATCH($A$1,[1]characters!$1:$1,0)+1,FALSE)</f>
        <v>格好いい</v>
      </c>
      <c r="F13" s="58" t="str">
        <f ca="1">VLOOKUP($A13,OFFSET([1]characters!$A$1,0,0,COUNTA([1]characters!$A:$A),MATCH(F$1,[1]characters!$1:$1,0)-MATCH($A$1,[1]characters!$1:$1,0)+1),MATCH(F$1,[1]characters!$1:$1,0)-MATCH($A$1,[1]characters!$1:$1,0)+1,FALSE)</f>
        <v>男性</v>
      </c>
      <c r="G13" s="58">
        <f ca="1">VLOOKUP($A13,OFFSET([1]characters!$A$1,0,0,COUNTA([1]characters!$A:$A),MATCH(G$1,[1]characters!$1:$1,0)-MATCH($A$1,[1]characters!$1:$1,0)+1),MATCH(G$1,[1]characters!$1:$1,0)-MATCH($A$1,[1]characters!$1:$1,0)+1,FALSE)</f>
        <v>3</v>
      </c>
      <c r="H13" s="58" t="str">
        <f ca="1">VLOOKUP($A13,OFFSET([1]characters!$A$1,0,0,COUNTA([1]characters!$A:$A),MATCH(H$1,[1]characters!$1:$1,0)-MATCH($A$1,[1]characters!$1:$1,0)+1),MATCH(H$1,[1]characters!$1:$1,0)-MATCH($A$1,[1]characters!$1:$1,0)+1,FALSE)</f>
        <v>PremiumS</v>
      </c>
      <c r="I13" s="58" t="str">
        <f ca="1">VLOOKUP($A13,OFFSET([1]characters!$A$1,0,0,COUNTA([1]characters!$A:$A),MATCH(I$1,[1]characters!$1:$1,0)-MATCH($A$1,[1]characters!$1:$1,0)+1),MATCH(I$1,[1]characters!$1:$1,0)-MATCH($A$1,[1]characters!$1:$1,0)+1,FALSE)</f>
        <v>green</v>
      </c>
      <c r="J13" s="11">
        <f ca="1">VLOOKUP(I13,[1]属性!$A:$E,2,FALSE)</f>
        <v>1.02</v>
      </c>
      <c r="K13" s="11">
        <f ca="1">VLOOKUP(I13,[1]属性!$A:$E,3,FALSE)</f>
        <v>0.98</v>
      </c>
      <c r="L13" s="11">
        <f ca="1">VLOOKUP(I13,[1]属性!$A:$E,4,FALSE)</f>
        <v>1</v>
      </c>
      <c r="M13" s="11">
        <f ca="1">VLOOKUP(I13,[1]属性!$A:$E,5,FALSE)</f>
        <v>1</v>
      </c>
      <c r="N13" s="11">
        <f ca="1">INDEX([2]コスト!$A$1:$I$20,MATCH(H13,[2]コスト!$A$1:$A$20,FALSE),MATCH(G13,[2]コスト!$A$1:$I$1,FALSE))</f>
        <v>10</v>
      </c>
      <c r="O13" s="11">
        <f ca="1">INDEX([2]レベル!$A$1:$I$21,MATCH(H13,[2]レベル!$A$1:$A$21,FALSE),MATCH(G13,[2]レベル!$A$1:$I$1,FALSE))</f>
        <v>40</v>
      </c>
      <c r="P13" s="48">
        <f t="shared" ca="1" si="0"/>
        <v>45</v>
      </c>
      <c r="Q13" s="58" t="str">
        <f ca="1">VLOOKUP($A13,OFFSET([1]characters!$A$1,0,0,COUNTA([1]characters!$A:$A),MATCH(Q$1,[1]characters!$1:$1,0)-MATCH($A$1,[1]characters!$1:$1,0)+1),MATCH(Q$1,[1]characters!$1:$1,0)-MATCH($A$1,[1]characters!$1:$1,0)+1,FALSE)</f>
        <v>attack</v>
      </c>
      <c r="R13" s="5" t="str">
        <f ca="1">VLOOKUP(Q13,[1]character_type_i18n!$A:$H,3,FALSE)</f>
        <v>攻撃タイプ</v>
      </c>
      <c r="S13" s="11">
        <f ca="1">VLOOKUP(Q13,[1]character_type_i18n!$A:$H,4,FALSE)</f>
        <v>1</v>
      </c>
      <c r="T13" s="11">
        <f ca="1">VLOOKUP(Q13,[1]character_type_i18n!$A:$H,5,FALSE)</f>
        <v>1.33</v>
      </c>
      <c r="U13" s="11">
        <f ca="1">VLOOKUP(Q13,[1]character_type_i18n!$A:$H,6,FALSE)</f>
        <v>1</v>
      </c>
      <c r="V13" s="11">
        <f ca="1">VLOOKUP(Q13,[1]character_type_i18n!$A:$H,7,FALSE)</f>
        <v>0.67</v>
      </c>
      <c r="W13" s="58" t="str">
        <f ca="1">VLOOKUP($A13,OFFSET([1]characters!$A$1,0,0,COUNTA([1]characters!$A:$A),MATCH(W$1,[1]characters!$1:$1,0)-MATCH($A$1,[1]characters!$1:$1,0)+1),MATCH(W$1,[1]characters!$1:$1,0)-MATCH($A$1,[1]characters!$1:$1,0)+1,FALSE)</f>
        <v>animal</v>
      </c>
      <c r="X13" s="5" t="str">
        <f ca="1">VLOOKUP(W13,[1]character_tribe_i18n!$A:$H,3,FALSE)</f>
        <v>アニマル</v>
      </c>
      <c r="Y13" s="58" t="str">
        <f ca="1">VLOOKUP($A13,OFFSET([1]characters!$A$1,0,0,COUNTA([1]characters!$A:$A),MATCH(Y$1,[1]characters!$1:$1,0)-MATCH($A$1,[1]characters!$1:$1,0)+1),MATCH(Y$1,[1]characters!$1:$1,0)-MATCH($A$1,[1]characters!$1:$1,0)+1,FALSE)</f>
        <v>none</v>
      </c>
      <c r="Z13" s="5" t="str">
        <f ca="1">VLOOKUP(Y13,[1]character_tribe_i18n!$A:$H,3,FALSE)</f>
        <v>種族なし</v>
      </c>
      <c r="AA13" s="11">
        <f ca="1">VLOOKUP(W13,[1]character_tribe_i18n!$A:$H,4,FALSE)</f>
        <v>1</v>
      </c>
      <c r="AB13" s="11">
        <f ca="1">VLOOKUP(W13,[1]character_tribe_i18n!$A:$H,5,FALSE)</f>
        <v>1.1000000000000001</v>
      </c>
      <c r="AC13" s="11">
        <f ca="1">VLOOKUP(W13,[1]character_tribe_i18n!$A:$H,6,FALSE)</f>
        <v>1</v>
      </c>
      <c r="AD13" s="11">
        <f ca="1">VLOOKUP(W13,[1]character_tribe_i18n!$A:$H,7,FALSE)</f>
        <v>0.9</v>
      </c>
      <c r="AE13" s="9">
        <f>A14</f>
        <v>672</v>
      </c>
      <c r="AF13" s="63" t="str">
        <f ca="1">IF(AE13="NULL","",VLOOKUP($AE13,OFFSET([1]characters!$A$1,0,0,COUNTA([1]characters!$A:$A),MATCH(AF$1,[1]characters!$1:$1,0)-MATCH($A$1,[1]characters!$1:$1,0)+1),MATCH(AF$1,[1]characters!$1:$1,0)-MATCH($A$1,[1]characters!$1:$1,0)+1,FALSE))</f>
        <v>西遊韋駄天 ハヌマーン</v>
      </c>
      <c r="AG13" s="5">
        <f t="shared" ca="1" si="1"/>
        <v>671</v>
      </c>
      <c r="AH13" s="63" t="str">
        <f ca="1">VLOOKUP($AG13,OFFSET([1]characters!$A$1,0,0,COUNTA([1]characters!$A:$A),MATCH(AH$1,[1]characters!$1:$1,0)-MATCH($A$1,[1]characters!$1:$1,0)+1),MATCH(AH$1,[1]characters!$1:$1,0)-MATCH($A$1,[1]characters!$1:$1,0)+1,FALSE)</f>
        <v>ハヌマーン</v>
      </c>
      <c r="AI13" s="11">
        <f ca="1">IF(AE13="NULL","NULL",VLOOKUP(G13,[2]ビット!$A$2:$B$7,2))</f>
        <v>20000</v>
      </c>
      <c r="AJ13" s="6">
        <v>2</v>
      </c>
      <c r="AK13" s="7" t="str">
        <f t="shared" si="2"/>
        <v>普通</v>
      </c>
      <c r="AL13" s="11" t="str">
        <f ca="1">INDEX([2]経験値!$A$1:$I$20,MATCH(H13,[2]経験値!$A$1:$A$20,FALSE),MATCH(G13,[2]経験値!$A$1:$I$1,FALSE))</f>
        <v>required_exp_200</v>
      </c>
      <c r="AM13" s="8">
        <f ca="1">VLOOKUP(G13,[2]経験値!$A$27:$B$31,2)</f>
        <v>1500</v>
      </c>
      <c r="AN13" s="17">
        <f ca="1">VLOOKUP(G13,[2]ビット!$G$2:$H$7,2)</f>
        <v>300</v>
      </c>
      <c r="AO13" s="45"/>
      <c r="AP13" s="68">
        <f t="shared" si="6"/>
        <v>671</v>
      </c>
      <c r="AQ13" s="58" t="str">
        <f ca="1">VLOOKUP($AP13,OFFSET(unit_skills!$A$1,0,0,COUNTA(unit_skills!$A:$A),MATCH(AQ$1,unit_skills!$1:$1,0)-MATCH($AP$1,unit_skills!$1:$1,0)+1),MATCH(AQ$1,unit_skills!$1:$1,0)-MATCH($AP$1,unit_skills!$1:$1,0)+1,FALSE)</f>
        <v>猿王迅瞬分身の術</v>
      </c>
      <c r="AR13" s="58" t="str">
        <f ca="1">VLOOKUP($AP13,OFFSET(unit_skills!$A$1,0,0,COUNTA(unit_skills!$A:$A),MATCH(AR$1,unit_skills!$1:$1,0)-MATCH($AP$1,unit_skills!$1:$1,0)+1),MATCH(AR$1,unit_skills!$1:$1,0)-MATCH($AP$1,unit_skills!$1:$1,0)+1,FALSE)</f>
        <v>赤パネルを全て破壊し、破壊した数に応じて単体に特大ダメージ＋3ターンアニマルのタップ回数を1増やす</v>
      </c>
      <c r="AS13" s="58">
        <f ca="1">VLOOKUP($AP13,OFFSET(unit_skills!$A$1,0,0,COUNTA(unit_skills!$A:$A),MATCH(AS$1,unit_skills!$1:$1,0)-MATCH($AP$1,unit_skills!$1:$1,0)+1),MATCH(AS$1,unit_skills!$1:$1,0)-MATCH($AP$1,unit_skills!$1:$1,0)+1,FALSE)</f>
        <v>0</v>
      </c>
      <c r="AT13" s="41">
        <f t="shared" si="7"/>
        <v>671</v>
      </c>
      <c r="AU13" s="58" t="str">
        <f ca="1">VLOOKUP($AT13,OFFSET(crash_skills!$A$1,0,0,COUNTA(crash_skills!$A:$A),MATCH(AU$1,crash_skills!$1:$1,0)-MATCH($AT$1,crash_skills!$1:$1,0)+1),MATCH(AU$1,crash_skills!$1:$1,0)-MATCH($AT$1,crash_skills!$1:$1,0)+1,FALSE)</f>
        <v>猿王の群勢</v>
      </c>
      <c r="AV13" s="58" t="str">
        <f ca="1">VLOOKUP($AT13,OFFSET(crash_skills!$A$1,0,0,COUNTA(crash_skills!$A:$A),MATCH(AV$1,crash_skills!$1:$1,0)-MATCH($AT$1,crash_skills!$1:$1,0)+1),MATCH(AV$1,crash_skills!$1:$1,0)-MATCH($AT$1,crash_skills!$1:$1,0)+1,FALSE)</f>
        <v>全体に特大ダメージ</v>
      </c>
      <c r="AW13" s="58">
        <f ca="1">VLOOKUP($AT13,OFFSET(crash_skills!$A$1,0,0,COUNTA(crash_skills!$A:$A),MATCH(AW$1,crash_skills!$1:$1,0)-MATCH($AT$1,crash_skills!$1:$1,0)+1),MATCH(AW$1,crash_skills!$1:$1,0)-MATCH($AT$1,crash_skills!$1:$1,0)+1,FALSE)</f>
        <v>0</v>
      </c>
      <c r="AX13" s="59">
        <f ca="1">VLOOKUP($A13,OFFSET([1]characters!$A$1,0,0,COUNTA([1]characters!$A:$A),MATCH(AX$1,[1]characters!$1:$1,0)-MATCH($A$1,[1]characters!$1:$1,0)+1),MATCH(AX$1,[1]characters!$1:$1,0)-MATCH($A$1,[1]characters!$1:$1,0)+1,FALSE)</f>
        <v>3</v>
      </c>
      <c r="AY13" s="69">
        <v>1</v>
      </c>
      <c r="AZ13" s="69">
        <v>1</v>
      </c>
      <c r="BA13" s="69">
        <v>0</v>
      </c>
      <c r="BB13" s="69">
        <v>1</v>
      </c>
      <c r="BC13" s="11">
        <f ca="1">INDEX([2]RC6SV!$A$1:$G$20,MATCH(H13,[2]RC6SV!$A$1:$A$20,FALSE),MATCH(G13,[2]RC6SV!$A$1:$G$1,FALSE))</f>
        <v>5000</v>
      </c>
      <c r="BD13" s="48">
        <f t="shared" ca="1" si="3"/>
        <v>5000</v>
      </c>
      <c r="BE13" s="11">
        <f t="shared" ca="1" si="4"/>
        <v>0</v>
      </c>
      <c r="BF13" s="11">
        <f t="shared" ca="1" si="5"/>
        <v>1</v>
      </c>
      <c r="BG13" s="16">
        <f ca="1">IF($BE13&lt;=0,ROUND(BK13*0.5,0), ROUND($BE13*S13*AA13*J13*AY13*0.8*[1]ステータス!$B$2,0))</f>
        <v>1275</v>
      </c>
      <c r="BH13" s="16">
        <f ca="1">IF($BE13&lt;=0,ROUND(BL13*0.5,0), ROUND($BE13*T13*AB13*K13*AZ13*0.8*[1]ステータス!$C$2,0))</f>
        <v>1076</v>
      </c>
      <c r="BI13" s="16">
        <f ca="1">IF($BE13&lt;=0,ROUND(BM13*0.5,0), ROUND($BE13*U13*AC13*L13*BA13*0.8*[1]ステータス!$D$2,0))</f>
        <v>0</v>
      </c>
      <c r="BJ13" s="16">
        <f ca="1">IF($BE13&lt;=0,ROUND(BN13*0.5,0), ROUND($BE13*V13*AD13*M13*BB13*0.8*[1]ステータス!$E$2,0))</f>
        <v>377</v>
      </c>
      <c r="BK13" s="11">
        <f ca="1">ROUND(BD13*S13*AA13*J13*AY13*[1]ステータス!$B$2,0)</f>
        <v>2550</v>
      </c>
      <c r="BL13" s="11">
        <f ca="1">ROUND(BD13*T13*AB13*K13*AZ13*[1]ステータス!$C$2,0)</f>
        <v>2151</v>
      </c>
      <c r="BM13" s="11">
        <f ca="1">ROUND(BD13*U13*AC13*L13*BA13*[1]ステータス!$D$2,0)</f>
        <v>0</v>
      </c>
      <c r="BN13" s="11">
        <f ca="1">ROUND(BD13*V13*AD13*M13*BB13*[1]ステータス!$E$2,0)</f>
        <v>754</v>
      </c>
      <c r="BO13" s="10">
        <v>0</v>
      </c>
      <c r="BP13" s="10">
        <v>1</v>
      </c>
      <c r="BQ13" s="10" t="s">
        <v>53</v>
      </c>
      <c r="BR13" s="10">
        <f ca="1">VLOOKUP(H13,ghosts_label!$A$2:$B$19,2,FALSE)</f>
        <v>700</v>
      </c>
    </row>
    <row r="14" spans="1:70" ht="26" customHeight="1" x14ac:dyDescent="0.15">
      <c r="A14" s="12">
        <v>672</v>
      </c>
      <c r="B14" s="58" t="str">
        <f ca="1">VLOOKUP($A14,OFFSET([1]characters!$A$1,0,0,COUNTA([1]characters!$A:$A),MATCH(B$1,[1]characters!$1:$1,0)-MATCH($A$1,[1]characters!$1:$1,0)+1),MATCH(B$1,[1]characters!$1:$1,0)-MATCH($A$1,[1]characters!$1:$1,0)+1,FALSE)</f>
        <v>西遊韋駄天 ハヌマーン</v>
      </c>
      <c r="C14" s="58" t="str">
        <f ca="1">VLOOKUP($A14,OFFSET([1]characters!$A$1,0,0,COUNTA([1]characters!$A:$A),MATCH(C$1,[1]characters!$1:$1,0)-MATCH($A$1,[1]characters!$1:$1,0)+1),MATCH(C$1,[1]characters!$1:$1,0)-MATCH($A$1,[1]characters!$1:$1,0)+1,FALSE)</f>
        <v>ガチャ:ヒンドゥ-01</v>
      </c>
      <c r="D14" s="58" t="str">
        <f ca="1">VLOOKUP($A14,OFFSET([1]characters!$A$1,0,0,COUNTA([1]characters!$A:$A),MATCH(D$1,[1]characters!$1:$1,0)-MATCH($A$1,[1]characters!$1:$1,0)+1),MATCH(D$1,[1]characters!$1:$1,0)-MATCH($A$1,[1]characters!$1:$1,0)+1,FALSE)</f>
        <v>執行者</v>
      </c>
      <c r="E14" s="58" t="str">
        <f ca="1">VLOOKUP($A14,OFFSET([1]characters!$A$1,0,0,COUNTA([1]characters!$A:$A),MATCH(E$1,[1]characters!$1:$1,0)-MATCH($A$1,[1]characters!$1:$1,0)+1),MATCH(E$1,[1]characters!$1:$1,0)-MATCH($A$1,[1]characters!$1:$1,0)+1,FALSE)</f>
        <v>格好いい</v>
      </c>
      <c r="F14" s="58" t="str">
        <f ca="1">VLOOKUP($A14,OFFSET([1]characters!$A$1,0,0,COUNTA([1]characters!$A:$A),MATCH(F$1,[1]characters!$1:$1,0)-MATCH($A$1,[1]characters!$1:$1,0)+1),MATCH(F$1,[1]characters!$1:$1,0)-MATCH($A$1,[1]characters!$1:$1,0)+1,FALSE)</f>
        <v>男性</v>
      </c>
      <c r="G14" s="58">
        <f ca="1">VLOOKUP($A14,OFFSET([1]characters!$A$1,0,0,COUNTA([1]characters!$A:$A),MATCH(G$1,[1]characters!$1:$1,0)-MATCH($A$1,[1]characters!$1:$1,0)+1),MATCH(G$1,[1]characters!$1:$1,0)-MATCH($A$1,[1]characters!$1:$1,0)+1,FALSE)</f>
        <v>4</v>
      </c>
      <c r="H14" s="58" t="str">
        <f ca="1">VLOOKUP($A14,OFFSET([1]characters!$A$1,0,0,COUNTA([1]characters!$A:$A),MATCH(H$1,[1]characters!$1:$1,0)-MATCH($A$1,[1]characters!$1:$1,0)+1),MATCH(H$1,[1]characters!$1:$1,0)-MATCH($A$1,[1]characters!$1:$1,0)+1,FALSE)</f>
        <v>PremiumS</v>
      </c>
      <c r="I14" s="58" t="str">
        <f ca="1">VLOOKUP($A14,OFFSET([1]characters!$A$1,0,0,COUNTA([1]characters!$A:$A),MATCH(I$1,[1]characters!$1:$1,0)-MATCH($A$1,[1]characters!$1:$1,0)+1),MATCH(I$1,[1]characters!$1:$1,0)-MATCH($A$1,[1]characters!$1:$1,0)+1,FALSE)</f>
        <v>green</v>
      </c>
      <c r="J14" s="11">
        <f ca="1">VLOOKUP(I14,[1]属性!$A:$E,2,FALSE)</f>
        <v>1.02</v>
      </c>
      <c r="K14" s="11">
        <f ca="1">VLOOKUP(I14,[1]属性!$A:$E,3,FALSE)</f>
        <v>0.98</v>
      </c>
      <c r="L14" s="11">
        <f ca="1">VLOOKUP(I14,[1]属性!$A:$E,4,FALSE)</f>
        <v>1</v>
      </c>
      <c r="M14" s="11">
        <f ca="1">VLOOKUP(I14,[1]属性!$A:$E,5,FALSE)</f>
        <v>1</v>
      </c>
      <c r="N14" s="11">
        <f ca="1">INDEX([2]コスト!$A$1:$I$20,MATCH(H14,[2]コスト!$A$1:$A$20,FALSE),MATCH(G14,[2]コスト!$A$1:$I$1,FALSE))</f>
        <v>20</v>
      </c>
      <c r="O14" s="11">
        <f ca="1">INDEX([2]レベル!$A$1:$I$21,MATCH(H14,[2]レベル!$A$1:$A$21,FALSE),MATCH(G14,[2]レベル!$A$1:$I$1,FALSE))</f>
        <v>60</v>
      </c>
      <c r="P14" s="48">
        <f t="shared" ca="1" si="0"/>
        <v>60</v>
      </c>
      <c r="Q14" s="58" t="str">
        <f ca="1">VLOOKUP($A14,OFFSET([1]characters!$A$1,0,0,COUNTA([1]characters!$A:$A),MATCH(Q$1,[1]characters!$1:$1,0)-MATCH($A$1,[1]characters!$1:$1,0)+1),MATCH(Q$1,[1]characters!$1:$1,0)-MATCH($A$1,[1]characters!$1:$1,0)+1,FALSE)</f>
        <v>attack</v>
      </c>
      <c r="R14" s="5" t="str">
        <f ca="1">VLOOKUP(Q14,[1]character_type_i18n!$A:$H,3,FALSE)</f>
        <v>攻撃タイプ</v>
      </c>
      <c r="S14" s="11">
        <f ca="1">VLOOKUP(Q14,[1]character_type_i18n!$A:$H,4,FALSE)</f>
        <v>1</v>
      </c>
      <c r="T14" s="11">
        <f ca="1">VLOOKUP(Q14,[1]character_type_i18n!$A:$H,5,FALSE)</f>
        <v>1.33</v>
      </c>
      <c r="U14" s="11">
        <f ca="1">VLOOKUP(Q14,[1]character_type_i18n!$A:$H,6,FALSE)</f>
        <v>1</v>
      </c>
      <c r="V14" s="11">
        <f ca="1">VLOOKUP(Q14,[1]character_type_i18n!$A:$H,7,FALSE)</f>
        <v>0.67</v>
      </c>
      <c r="W14" s="58" t="str">
        <f ca="1">VLOOKUP($A14,OFFSET([1]characters!$A$1,0,0,COUNTA([1]characters!$A:$A),MATCH(W$1,[1]characters!$1:$1,0)-MATCH($A$1,[1]characters!$1:$1,0)+1),MATCH(W$1,[1]characters!$1:$1,0)-MATCH($A$1,[1]characters!$1:$1,0)+1,FALSE)</f>
        <v>animal</v>
      </c>
      <c r="X14" s="5" t="str">
        <f ca="1">VLOOKUP(W14,[1]character_tribe_i18n!$A:$H,3,FALSE)</f>
        <v>アニマル</v>
      </c>
      <c r="Y14" s="58" t="str">
        <f ca="1">VLOOKUP($A14,OFFSET([1]characters!$A$1,0,0,COUNTA([1]characters!$A:$A),MATCH(Y$1,[1]characters!$1:$1,0)-MATCH($A$1,[1]characters!$1:$1,0)+1),MATCH(Y$1,[1]characters!$1:$1,0)-MATCH($A$1,[1]characters!$1:$1,0)+1,FALSE)</f>
        <v>none</v>
      </c>
      <c r="Z14" s="5" t="str">
        <f ca="1">VLOOKUP(Y14,[1]character_tribe_i18n!$A:$H,3,FALSE)</f>
        <v>種族なし</v>
      </c>
      <c r="AA14" s="11">
        <f ca="1">VLOOKUP(W14,[1]character_tribe_i18n!$A:$H,4,FALSE)</f>
        <v>1</v>
      </c>
      <c r="AB14" s="11">
        <f ca="1">VLOOKUP(W14,[1]character_tribe_i18n!$A:$H,5,FALSE)</f>
        <v>1.1000000000000001</v>
      </c>
      <c r="AC14" s="11">
        <f ca="1">VLOOKUP(W14,[1]character_tribe_i18n!$A:$H,6,FALSE)</f>
        <v>1</v>
      </c>
      <c r="AD14" s="11">
        <f ca="1">VLOOKUP(W14,[1]character_tribe_i18n!$A:$H,7,FALSE)</f>
        <v>0.9</v>
      </c>
      <c r="AE14" s="9">
        <f>A15</f>
        <v>673</v>
      </c>
      <c r="AF14" s="63" t="str">
        <f ca="1">IF(AE14="NULL","",VLOOKUP($AE14,OFFSET([1]characters!$A$1,0,0,COUNTA([1]characters!$A:$A),MATCH(AF$1,[1]characters!$1:$1,0)-MATCH($A$1,[1]characters!$1:$1,0)+1),MATCH(AF$1,[1]characters!$1:$1,0)-MATCH($A$1,[1]characters!$1:$1,0)+1,FALSE))</f>
        <v>変幻自在の猿王 ハヌマーン</v>
      </c>
      <c r="AG14" s="5">
        <f t="shared" ca="1" si="1"/>
        <v>671</v>
      </c>
      <c r="AH14" s="63" t="str">
        <f ca="1">VLOOKUP($AG14,OFFSET([1]characters!$A$1,0,0,COUNTA([1]characters!$A:$A),MATCH(AH$1,[1]characters!$1:$1,0)-MATCH($A$1,[1]characters!$1:$1,0)+1),MATCH(AH$1,[1]characters!$1:$1,0)-MATCH($A$1,[1]characters!$1:$1,0)+1,FALSE)</f>
        <v>ハヌマーン</v>
      </c>
      <c r="AI14" s="11">
        <f ca="1">IF(AE14="NULL","NULL",VLOOKUP(G14,[2]ビット!$A$2:$B$7,2))</f>
        <v>50000</v>
      </c>
      <c r="AJ14" s="6">
        <v>2</v>
      </c>
      <c r="AK14" s="7" t="str">
        <f t="shared" si="2"/>
        <v>普通</v>
      </c>
      <c r="AL14" s="11" t="str">
        <f ca="1">INDEX([2]経験値!$A$1:$I$20,MATCH(H14,[2]経験値!$A$1:$A$20,FALSE),MATCH(G14,[2]経験値!$A$1:$I$1,FALSE))</f>
        <v>required_exp_200</v>
      </c>
      <c r="AM14" s="8">
        <f ca="1">VLOOKUP(G14,[2]経験値!$A$27:$B$31,2)</f>
        <v>3400</v>
      </c>
      <c r="AN14" s="17">
        <f ca="1">VLOOKUP(G14,[2]ビット!$G$2:$H$7,2)</f>
        <v>600</v>
      </c>
      <c r="AO14" s="45"/>
      <c r="AP14" s="68">
        <f t="shared" si="6"/>
        <v>672</v>
      </c>
      <c r="AQ14" s="58" t="str">
        <f ca="1">VLOOKUP($AP14,OFFSET(unit_skills!$A$1,0,0,COUNTA(unit_skills!$A:$A),MATCH(AQ$1,unit_skills!$1:$1,0)-MATCH($AP$1,unit_skills!$1:$1,0)+1),MATCH(AQ$1,unit_skills!$1:$1,0)-MATCH($AP$1,unit_skills!$1:$1,0)+1,FALSE)</f>
        <v>猿王迅瞬分身の術</v>
      </c>
      <c r="AR14" s="58" t="str">
        <f ca="1">VLOOKUP($AP14,OFFSET(unit_skills!$A$1,0,0,COUNTA(unit_skills!$A:$A),MATCH(AR$1,unit_skills!$1:$1,0)-MATCH($AP$1,unit_skills!$1:$1,0)+1),MATCH(AR$1,unit_skills!$1:$1,0)-MATCH($AP$1,unit_skills!$1:$1,0)+1,FALSE)</f>
        <v>赤パネルを全て破壊し、破壊した数に応じて単体に特大ダメージ＋3ターンアニマルのタップ回数を1増やす</v>
      </c>
      <c r="AS14" s="58">
        <f ca="1">VLOOKUP($AP14,OFFSET(unit_skills!$A$1,0,0,COUNTA(unit_skills!$A:$A),MATCH(AS$1,unit_skills!$1:$1,0)-MATCH($AP$1,unit_skills!$1:$1,0)+1),MATCH(AS$1,unit_skills!$1:$1,0)-MATCH($AP$1,unit_skills!$1:$1,0)+1,FALSE)</f>
        <v>0</v>
      </c>
      <c r="AT14" s="41">
        <f t="shared" si="7"/>
        <v>672</v>
      </c>
      <c r="AU14" s="58" t="str">
        <f ca="1">VLOOKUP($AT14,OFFSET(crash_skills!$A$1,0,0,COUNTA(crash_skills!$A:$A),MATCH(AU$1,crash_skills!$1:$1,0)-MATCH($AT$1,crash_skills!$1:$1,0)+1),MATCH(AU$1,crash_skills!$1:$1,0)-MATCH($AT$1,crash_skills!$1:$1,0)+1,FALSE)</f>
        <v>猿王の群勢</v>
      </c>
      <c r="AV14" s="58" t="str">
        <f ca="1">VLOOKUP($AT14,OFFSET(crash_skills!$A$1,0,0,COUNTA(crash_skills!$A:$A),MATCH(AV$1,crash_skills!$1:$1,0)-MATCH($AT$1,crash_skills!$1:$1,0)+1),MATCH(AV$1,crash_skills!$1:$1,0)-MATCH($AT$1,crash_skills!$1:$1,0)+1,FALSE)</f>
        <v>全体に特大ダメージ</v>
      </c>
      <c r="AW14" s="58">
        <f ca="1">VLOOKUP($AT14,OFFSET(crash_skills!$A$1,0,0,COUNTA(crash_skills!$A:$A),MATCH(AW$1,crash_skills!$1:$1,0)-MATCH($AT$1,crash_skills!$1:$1,0)+1),MATCH(AW$1,crash_skills!$1:$1,0)-MATCH($AT$1,crash_skills!$1:$1,0)+1,FALSE)</f>
        <v>0</v>
      </c>
      <c r="AX14" s="59">
        <f ca="1">VLOOKUP($A14,OFFSET([1]characters!$A$1,0,0,COUNTA([1]characters!$A:$A),MATCH(AX$1,[1]characters!$1:$1,0)-MATCH($A$1,[1]characters!$1:$1,0)+1),MATCH(AX$1,[1]characters!$1:$1,0)-MATCH($A$1,[1]characters!$1:$1,0)+1,FALSE)</f>
        <v>3</v>
      </c>
      <c r="AY14" s="69">
        <v>1</v>
      </c>
      <c r="AZ14" s="69">
        <v>1</v>
      </c>
      <c r="BA14" s="69">
        <v>0</v>
      </c>
      <c r="BB14" s="69">
        <v>1</v>
      </c>
      <c r="BC14" s="11">
        <f ca="1">INDEX([2]RC6SV!$A$1:$G$20,MATCH(H14,[2]RC6SV!$A$1:$A$20,FALSE),MATCH(G14,[2]RC6SV!$A$1:$G$1,FALSE))</f>
        <v>7000</v>
      </c>
      <c r="BD14" s="48">
        <f t="shared" ca="1" si="3"/>
        <v>7000</v>
      </c>
      <c r="BE14" s="11">
        <f t="shared" ca="1" si="4"/>
        <v>5000</v>
      </c>
      <c r="BF14" s="11">
        <f t="shared" ca="1" si="5"/>
        <v>1</v>
      </c>
      <c r="BG14" s="16">
        <f ca="1">IF($BE14&lt;=0,ROUND(BK14*0.5,0), ROUND($BE14*S14*AA14*J14*AY14*0.8*[1]ステータス!$B$2,0))</f>
        <v>2040</v>
      </c>
      <c r="BH14" s="16">
        <f ca="1">IF($BE14&lt;=0,ROUND(BL14*0.5,0), ROUND($BE14*T14*AB14*K14*AZ14*0.8*[1]ステータス!$C$2,0))</f>
        <v>1720</v>
      </c>
      <c r="BI14" s="16">
        <f ca="1">IF($BE14&lt;=0,ROUND(BM14*0.5,0), ROUND($BE14*U14*AC14*L14*BA14*0.8*[1]ステータス!$D$2,0))</f>
        <v>0</v>
      </c>
      <c r="BJ14" s="16">
        <f ca="1">IF($BE14&lt;=0,ROUND(BN14*0.5,0), ROUND($BE14*V14*AD14*M14*BB14*0.8*[1]ステータス!$E$2,0))</f>
        <v>603</v>
      </c>
      <c r="BK14" s="11">
        <f ca="1">ROUND(BD14*S14*AA14*J14*AY14*[1]ステータス!$B$2,0)</f>
        <v>3570</v>
      </c>
      <c r="BL14" s="11">
        <f ca="1">ROUND(BD14*T14*AB14*K14*AZ14*[1]ステータス!$C$2,0)</f>
        <v>3011</v>
      </c>
      <c r="BM14" s="11">
        <f ca="1">ROUND(BD14*U14*AC14*L14*BA14*[1]ステータス!$D$2,0)</f>
        <v>0</v>
      </c>
      <c r="BN14" s="11">
        <f ca="1">ROUND(BD14*V14*AD14*M14*BB14*[1]ステータス!$E$2,0)</f>
        <v>1055</v>
      </c>
      <c r="BO14" s="10">
        <v>0</v>
      </c>
      <c r="BP14" s="10">
        <v>1</v>
      </c>
      <c r="BQ14" s="10" t="s">
        <v>53</v>
      </c>
      <c r="BR14" s="10">
        <f ca="1">VLOOKUP(H14,ghosts_label!$A$2:$B$19,2,FALSE)</f>
        <v>700</v>
      </c>
    </row>
    <row r="15" spans="1:70" ht="26" customHeight="1" x14ac:dyDescent="0.15">
      <c r="A15" s="12">
        <v>673</v>
      </c>
      <c r="B15" s="58" t="str">
        <f ca="1">VLOOKUP($A15,OFFSET([1]characters!$A$1,0,0,COUNTA([1]characters!$A:$A),MATCH(B$1,[1]characters!$1:$1,0)-MATCH($A$1,[1]characters!$1:$1,0)+1),MATCH(B$1,[1]characters!$1:$1,0)-MATCH($A$1,[1]characters!$1:$1,0)+1,FALSE)</f>
        <v>変幻自在の猿王 ハヌマーン</v>
      </c>
      <c r="C15" s="58" t="str">
        <f ca="1">VLOOKUP($A15,OFFSET([1]characters!$A$1,0,0,COUNTA([1]characters!$A:$A),MATCH(C$1,[1]characters!$1:$1,0)-MATCH($A$1,[1]characters!$1:$1,0)+1),MATCH(C$1,[1]characters!$1:$1,0)-MATCH($A$1,[1]characters!$1:$1,0)+1,FALSE)</f>
        <v>ガチャ:ヒンドゥ-01</v>
      </c>
      <c r="D15" s="58" t="str">
        <f ca="1">VLOOKUP($A15,OFFSET([1]characters!$A$1,0,0,COUNTA([1]characters!$A:$A),MATCH(D$1,[1]characters!$1:$1,0)-MATCH($A$1,[1]characters!$1:$1,0)+1),MATCH(D$1,[1]characters!$1:$1,0)-MATCH($A$1,[1]characters!$1:$1,0)+1,FALSE)</f>
        <v>執行者</v>
      </c>
      <c r="E15" s="58" t="str">
        <f ca="1">VLOOKUP($A15,OFFSET([1]characters!$A$1,0,0,COUNTA([1]characters!$A:$A),MATCH(E$1,[1]characters!$1:$1,0)-MATCH($A$1,[1]characters!$1:$1,0)+1),MATCH(E$1,[1]characters!$1:$1,0)-MATCH($A$1,[1]characters!$1:$1,0)+1,FALSE)</f>
        <v>格好いい</v>
      </c>
      <c r="F15" s="58" t="str">
        <f ca="1">VLOOKUP($A15,OFFSET([1]characters!$A$1,0,0,COUNTA([1]characters!$A:$A),MATCH(F$1,[1]characters!$1:$1,0)-MATCH($A$1,[1]characters!$1:$1,0)+1),MATCH(F$1,[1]characters!$1:$1,0)-MATCH($A$1,[1]characters!$1:$1,0)+1,FALSE)</f>
        <v>男性</v>
      </c>
      <c r="G15" s="58">
        <f ca="1">VLOOKUP($A15,OFFSET([1]characters!$A$1,0,0,COUNTA([1]characters!$A:$A),MATCH(G$1,[1]characters!$1:$1,0)-MATCH($A$1,[1]characters!$1:$1,0)+1),MATCH(G$1,[1]characters!$1:$1,0)-MATCH($A$1,[1]characters!$1:$1,0)+1,FALSE)</f>
        <v>5</v>
      </c>
      <c r="H15" s="58" t="str">
        <f ca="1">VLOOKUP($A15,OFFSET([1]characters!$A$1,0,0,COUNTA([1]characters!$A:$A),MATCH(H$1,[1]characters!$1:$1,0)-MATCH($A$1,[1]characters!$1:$1,0)+1),MATCH(H$1,[1]characters!$1:$1,0)-MATCH($A$1,[1]characters!$1:$1,0)+1,FALSE)</f>
        <v>PremiumS</v>
      </c>
      <c r="I15" s="58" t="str">
        <f ca="1">VLOOKUP($A15,OFFSET([1]characters!$A$1,0,0,COUNTA([1]characters!$A:$A),MATCH(I$1,[1]characters!$1:$1,0)-MATCH($A$1,[1]characters!$1:$1,0)+1),MATCH(I$1,[1]characters!$1:$1,0)-MATCH($A$1,[1]characters!$1:$1,0)+1,FALSE)</f>
        <v>green</v>
      </c>
      <c r="J15" s="11">
        <f ca="1">VLOOKUP(I15,[1]属性!$A:$E,2,FALSE)</f>
        <v>1.02</v>
      </c>
      <c r="K15" s="11">
        <f ca="1">VLOOKUP(I15,[1]属性!$A:$E,3,FALSE)</f>
        <v>0.98</v>
      </c>
      <c r="L15" s="11">
        <f ca="1">VLOOKUP(I15,[1]属性!$A:$E,4,FALSE)</f>
        <v>1</v>
      </c>
      <c r="M15" s="11">
        <f ca="1">VLOOKUP(I15,[1]属性!$A:$E,5,FALSE)</f>
        <v>1</v>
      </c>
      <c r="N15" s="11">
        <f ca="1">INDEX([2]コスト!$A$1:$I$20,MATCH(H15,[2]コスト!$A$1:$A$20,FALSE),MATCH(G15,[2]コスト!$A$1:$I$1,FALSE))</f>
        <v>30</v>
      </c>
      <c r="O15" s="11">
        <f ca="1">INDEX([2]レベル!$A$1:$I$21,MATCH(H15,[2]レベル!$A$1:$A$21,FALSE),MATCH(G15,[2]レベル!$A$1:$I$1,FALSE))</f>
        <v>80</v>
      </c>
      <c r="P15" s="48">
        <f t="shared" ca="1" si="0"/>
        <v>75</v>
      </c>
      <c r="Q15" s="58" t="str">
        <f ca="1">VLOOKUP($A15,OFFSET([1]characters!$A$1,0,0,COUNTA([1]characters!$A:$A),MATCH(Q$1,[1]characters!$1:$1,0)-MATCH($A$1,[1]characters!$1:$1,0)+1),MATCH(Q$1,[1]characters!$1:$1,0)-MATCH($A$1,[1]characters!$1:$1,0)+1,FALSE)</f>
        <v>attack</v>
      </c>
      <c r="R15" s="5" t="str">
        <f ca="1">VLOOKUP(Q15,[1]character_type_i18n!$A:$H,3,FALSE)</f>
        <v>攻撃タイプ</v>
      </c>
      <c r="S15" s="11">
        <f ca="1">VLOOKUP(Q15,[1]character_type_i18n!$A:$H,4,FALSE)</f>
        <v>1</v>
      </c>
      <c r="T15" s="11">
        <f ca="1">VLOOKUP(Q15,[1]character_type_i18n!$A:$H,5,FALSE)</f>
        <v>1.33</v>
      </c>
      <c r="U15" s="11">
        <f ca="1">VLOOKUP(Q15,[1]character_type_i18n!$A:$H,6,FALSE)</f>
        <v>1</v>
      </c>
      <c r="V15" s="11">
        <f ca="1">VLOOKUP(Q15,[1]character_type_i18n!$A:$H,7,FALSE)</f>
        <v>0.67</v>
      </c>
      <c r="W15" s="58" t="str">
        <f ca="1">VLOOKUP($A15,OFFSET([1]characters!$A$1,0,0,COUNTA([1]characters!$A:$A),MATCH(W$1,[1]characters!$1:$1,0)-MATCH($A$1,[1]characters!$1:$1,0)+1),MATCH(W$1,[1]characters!$1:$1,0)-MATCH($A$1,[1]characters!$1:$1,0)+1,FALSE)</f>
        <v>animal</v>
      </c>
      <c r="X15" s="5" t="str">
        <f ca="1">VLOOKUP(W15,[1]character_tribe_i18n!$A:$H,3,FALSE)</f>
        <v>アニマル</v>
      </c>
      <c r="Y15" s="58" t="str">
        <f ca="1">VLOOKUP($A15,OFFSET([1]characters!$A$1,0,0,COUNTA([1]characters!$A:$A),MATCH(Y$1,[1]characters!$1:$1,0)-MATCH($A$1,[1]characters!$1:$1,0)+1),MATCH(Y$1,[1]characters!$1:$1,0)-MATCH($A$1,[1]characters!$1:$1,0)+1,FALSE)</f>
        <v>none</v>
      </c>
      <c r="Z15" s="5" t="str">
        <f ca="1">VLOOKUP(Y15,[1]character_tribe_i18n!$A:$H,3,FALSE)</f>
        <v>種族なし</v>
      </c>
      <c r="AA15" s="11">
        <f ca="1">VLOOKUP(W15,[1]character_tribe_i18n!$A:$H,4,FALSE)</f>
        <v>1</v>
      </c>
      <c r="AB15" s="11">
        <f ca="1">VLOOKUP(W15,[1]character_tribe_i18n!$A:$H,5,FALSE)</f>
        <v>1.1000000000000001</v>
      </c>
      <c r="AC15" s="11">
        <f ca="1">VLOOKUP(W15,[1]character_tribe_i18n!$A:$H,6,FALSE)</f>
        <v>1</v>
      </c>
      <c r="AD15" s="11">
        <f ca="1">VLOOKUP(W15,[1]character_tribe_i18n!$A:$H,7,FALSE)</f>
        <v>0.9</v>
      </c>
      <c r="AE15" s="9" t="s">
        <v>189</v>
      </c>
      <c r="AF15" s="63" t="str">
        <f ca="1">IF(AE15="NULL","",VLOOKUP($AE15,OFFSET([1]characters!$A$1,0,0,COUNTA([1]characters!$A:$A),MATCH(AF$1,[1]characters!$1:$1,0)-MATCH($A$1,[1]characters!$1:$1,0)+1),MATCH(AF$1,[1]characters!$1:$1,0)-MATCH($A$1,[1]characters!$1:$1,0)+1,FALSE))</f>
        <v/>
      </c>
      <c r="AG15" s="5">
        <f t="shared" ca="1" si="1"/>
        <v>671</v>
      </c>
      <c r="AH15" s="63" t="str">
        <f ca="1">VLOOKUP($AG15,OFFSET([1]characters!$A$1,0,0,COUNTA([1]characters!$A:$A),MATCH(AH$1,[1]characters!$1:$1,0)-MATCH($A$1,[1]characters!$1:$1,0)+1),MATCH(AH$1,[1]characters!$1:$1,0)-MATCH($A$1,[1]characters!$1:$1,0)+1,FALSE)</f>
        <v>ハヌマーン</v>
      </c>
      <c r="AI15" s="11" t="str">
        <f>IF(AE15="NULL","NULL",VLOOKUP(G15,[2]ビット!$A$2:$B$7,2))</f>
        <v>NULL</v>
      </c>
      <c r="AJ15" s="6">
        <v>2</v>
      </c>
      <c r="AK15" s="7" t="str">
        <f t="shared" si="2"/>
        <v>普通</v>
      </c>
      <c r="AL15" s="11" t="str">
        <f ca="1">INDEX([2]経験値!$A$1:$I$20,MATCH(H15,[2]経験値!$A$1:$A$20,FALSE),MATCH(G15,[2]経験値!$A$1:$I$1,FALSE))</f>
        <v>required_exp_200</v>
      </c>
      <c r="AM15" s="8">
        <f ca="1">VLOOKUP(G15,[2]経験値!$A$27:$B$31,2)</f>
        <v>6400</v>
      </c>
      <c r="AN15" s="17">
        <f ca="1">VLOOKUP(G15,[2]ビット!$G$2:$H$7,2)</f>
        <v>900</v>
      </c>
      <c r="AO15" s="45"/>
      <c r="AP15" s="68">
        <f t="shared" si="6"/>
        <v>673</v>
      </c>
      <c r="AQ15" s="58" t="str">
        <f ca="1">VLOOKUP($AP15,OFFSET(unit_skills!$A$1,0,0,COUNTA(unit_skills!$A:$A),MATCH(AQ$1,unit_skills!$1:$1,0)-MATCH($AP$1,unit_skills!$1:$1,0)+1),MATCH(AQ$1,unit_skills!$1:$1,0)-MATCH($AP$1,unit_skills!$1:$1,0)+1,FALSE)</f>
        <v>猿王迅瞬分身の術</v>
      </c>
      <c r="AR15" s="58" t="str">
        <f ca="1">VLOOKUP($AP15,OFFSET(unit_skills!$A$1,0,0,COUNTA(unit_skills!$A:$A),MATCH(AR$1,unit_skills!$1:$1,0)-MATCH($AP$1,unit_skills!$1:$1,0)+1),MATCH(AR$1,unit_skills!$1:$1,0)-MATCH($AP$1,unit_skills!$1:$1,0)+1,FALSE)</f>
        <v>赤パネルを全て破壊し、破壊した数に応じて単体に特大ダメージ＋3ターンアニマルのタップ回数を1増やす</v>
      </c>
      <c r="AS15" s="58">
        <f ca="1">VLOOKUP($AP15,OFFSET(unit_skills!$A$1,0,0,COUNTA(unit_skills!$A:$A),MATCH(AS$1,unit_skills!$1:$1,0)-MATCH($AP$1,unit_skills!$1:$1,0)+1),MATCH(AS$1,unit_skills!$1:$1,0)-MATCH($AP$1,unit_skills!$1:$1,0)+1,FALSE)</f>
        <v>0</v>
      </c>
      <c r="AT15" s="41">
        <f t="shared" si="7"/>
        <v>673</v>
      </c>
      <c r="AU15" s="58" t="str">
        <f ca="1">VLOOKUP($AT15,OFFSET(crash_skills!$A$1,0,0,COUNTA(crash_skills!$A:$A),MATCH(AU$1,crash_skills!$1:$1,0)-MATCH($AT$1,crash_skills!$1:$1,0)+1),MATCH(AU$1,crash_skills!$1:$1,0)-MATCH($AT$1,crash_skills!$1:$1,0)+1,FALSE)</f>
        <v>猿王の群勢</v>
      </c>
      <c r="AV15" s="58" t="str">
        <f ca="1">VLOOKUP($AT15,OFFSET(crash_skills!$A$1,0,0,COUNTA(crash_skills!$A:$A),MATCH(AV$1,crash_skills!$1:$1,0)-MATCH($AT$1,crash_skills!$1:$1,0)+1),MATCH(AV$1,crash_skills!$1:$1,0)-MATCH($AT$1,crash_skills!$1:$1,0)+1,FALSE)</f>
        <v>全体に特大ダメージ</v>
      </c>
      <c r="AW15" s="58">
        <f ca="1">VLOOKUP($AT15,OFFSET(crash_skills!$A$1,0,0,COUNTA(crash_skills!$A:$A),MATCH(AW$1,crash_skills!$1:$1,0)-MATCH($AT$1,crash_skills!$1:$1,0)+1),MATCH(AW$1,crash_skills!$1:$1,0)-MATCH($AT$1,crash_skills!$1:$1,0)+1,FALSE)</f>
        <v>0</v>
      </c>
      <c r="AX15" s="59">
        <f ca="1">VLOOKUP($A15,OFFSET([1]characters!$A$1,0,0,COUNTA([1]characters!$A:$A),MATCH(AX$1,[1]characters!$1:$1,0)-MATCH($A$1,[1]characters!$1:$1,0)+1),MATCH(AX$1,[1]characters!$1:$1,0)-MATCH($A$1,[1]characters!$1:$1,0)+1,FALSE)</f>
        <v>3</v>
      </c>
      <c r="AY15" s="69">
        <v>1</v>
      </c>
      <c r="AZ15" s="69">
        <v>1</v>
      </c>
      <c r="BA15" s="69">
        <v>0</v>
      </c>
      <c r="BB15" s="69">
        <v>1</v>
      </c>
      <c r="BC15" s="11">
        <f ca="1">INDEX([2]RC6SV!$A$1:$G$20,MATCH(H15,[2]RC6SV!$A$1:$A$20,FALSE),MATCH(G15,[2]RC6SV!$A$1:$G$1,FALSE))</f>
        <v>9000</v>
      </c>
      <c r="BD15" s="48">
        <f t="shared" ca="1" si="3"/>
        <v>9000</v>
      </c>
      <c r="BE15" s="11">
        <f t="shared" ca="1" si="4"/>
        <v>7000</v>
      </c>
      <c r="BF15" s="11">
        <f t="shared" ca="1" si="5"/>
        <v>1</v>
      </c>
      <c r="BG15" s="16">
        <f ca="1">IF($BE15&lt;=0,ROUND(BK15*0.5,0), ROUND($BE15*S15*AA15*J15*AY15*0.8*[1]ステータス!$B$2,0))</f>
        <v>2856</v>
      </c>
      <c r="BH15" s="16">
        <f ca="1">IF($BE15&lt;=0,ROUND(BL15*0.5,0), ROUND($BE15*T15*AB15*K15*AZ15*0.8*[1]ステータス!$C$2,0))</f>
        <v>2409</v>
      </c>
      <c r="BI15" s="16">
        <f ca="1">IF($BE15&lt;=0,ROUND(BM15*0.5,0), ROUND($BE15*U15*AC15*L15*BA15*0.8*[1]ステータス!$D$2,0))</f>
        <v>0</v>
      </c>
      <c r="BJ15" s="16">
        <f ca="1">IF($BE15&lt;=0,ROUND(BN15*0.5,0), ROUND($BE15*V15*AD15*M15*BB15*0.8*[1]ステータス!$E$2,0))</f>
        <v>844</v>
      </c>
      <c r="BK15" s="11">
        <f ca="1">ROUND(BD15*S15*AA15*J15*AY15*[1]ステータス!$B$2,0)</f>
        <v>4590</v>
      </c>
      <c r="BL15" s="11">
        <f ca="1">ROUND(BD15*T15*AB15*K15*AZ15*[1]ステータス!$C$2,0)</f>
        <v>3871</v>
      </c>
      <c r="BM15" s="11">
        <f ca="1">ROUND(BD15*U15*AC15*L15*BA15*[1]ステータス!$D$2,0)</f>
        <v>0</v>
      </c>
      <c r="BN15" s="11">
        <f ca="1">ROUND(BD15*V15*AD15*M15*BB15*[1]ステータス!$E$2,0)</f>
        <v>1357</v>
      </c>
      <c r="BO15" s="10">
        <v>0</v>
      </c>
      <c r="BP15" s="10">
        <v>1</v>
      </c>
      <c r="BQ15" s="10" t="s">
        <v>53</v>
      </c>
      <c r="BR15" s="10">
        <f ca="1">VLOOKUP(H15,ghosts_label!$A$2:$B$19,2,FALSE)</f>
        <v>700</v>
      </c>
    </row>
    <row r="16" spans="1:70" ht="26" customHeight="1" x14ac:dyDescent="0.15">
      <c r="A16" s="12">
        <v>674</v>
      </c>
      <c r="B16" s="58" t="str">
        <f ca="1">VLOOKUP($A16,OFFSET([1]characters!$A$1,0,0,COUNTA([1]characters!$A:$A),MATCH(B$1,[1]characters!$1:$1,0)-MATCH($A$1,[1]characters!$1:$1,0)+1),MATCH(B$1,[1]characters!$1:$1,0)-MATCH($A$1,[1]characters!$1:$1,0)+1,FALSE)</f>
        <v>サラスヴァティ</v>
      </c>
      <c r="C16" s="58" t="str">
        <f ca="1">VLOOKUP($A16,OFFSET([1]characters!$A$1,0,0,COUNTA([1]characters!$A:$A),MATCH(C$1,[1]characters!$1:$1,0)-MATCH($A$1,[1]characters!$1:$1,0)+1),MATCH(C$1,[1]characters!$1:$1,0)-MATCH($A$1,[1]characters!$1:$1,0)+1,FALSE)</f>
        <v>ガチャ:ヒンドゥ-01</v>
      </c>
      <c r="D16" s="58" t="str">
        <f ca="1">VLOOKUP($A16,OFFSET([1]characters!$A$1,0,0,COUNTA([1]characters!$A:$A),MATCH(D$1,[1]characters!$1:$1,0)-MATCH($A$1,[1]characters!$1:$1,0)+1),MATCH(D$1,[1]characters!$1:$1,0)-MATCH($A$1,[1]characters!$1:$1,0)+1,FALSE)</f>
        <v>執行者</v>
      </c>
      <c r="E16" s="58" t="str">
        <f ca="1">VLOOKUP($A16,OFFSET([1]characters!$A$1,0,0,COUNTA([1]characters!$A:$A),MATCH(E$1,[1]characters!$1:$1,0)-MATCH($A$1,[1]characters!$1:$1,0)+1),MATCH(E$1,[1]characters!$1:$1,0)-MATCH($A$1,[1]characters!$1:$1,0)+1,FALSE)</f>
        <v>格好いい</v>
      </c>
      <c r="F16" s="58" t="str">
        <f ca="1">VLOOKUP($A16,OFFSET([1]characters!$A$1,0,0,COUNTA([1]characters!$A:$A),MATCH(F$1,[1]characters!$1:$1,0)-MATCH($A$1,[1]characters!$1:$1,0)+1),MATCH(F$1,[1]characters!$1:$1,0)-MATCH($A$1,[1]characters!$1:$1,0)+1,FALSE)</f>
        <v>女性</v>
      </c>
      <c r="G16" s="58">
        <f ca="1">VLOOKUP($A16,OFFSET([1]characters!$A$1,0,0,COUNTA([1]characters!$A:$A),MATCH(G$1,[1]characters!$1:$1,0)-MATCH($A$1,[1]characters!$1:$1,0)+1),MATCH(G$1,[1]characters!$1:$1,0)-MATCH($A$1,[1]characters!$1:$1,0)+1,FALSE)</f>
        <v>4</v>
      </c>
      <c r="H16" s="58" t="str">
        <f ca="1">VLOOKUP($A16,OFFSET([1]characters!$A$1,0,0,COUNTA([1]characters!$A:$A),MATCH(H$1,[1]characters!$1:$1,0)-MATCH($A$1,[1]characters!$1:$1,0)+1),MATCH(H$1,[1]characters!$1:$1,0)-MATCH($A$1,[1]characters!$1:$1,0)+1,FALSE)</f>
        <v>PremiumSS</v>
      </c>
      <c r="I16" s="58" t="str">
        <f ca="1">VLOOKUP($A16,OFFSET([1]characters!$A$1,0,0,COUNTA([1]characters!$A:$A),MATCH(I$1,[1]characters!$1:$1,0)-MATCH($A$1,[1]characters!$1:$1,0)+1),MATCH(I$1,[1]characters!$1:$1,0)-MATCH($A$1,[1]characters!$1:$1,0)+1,FALSE)</f>
        <v>blue</v>
      </c>
      <c r="J16" s="11">
        <f ca="1">VLOOKUP(I16,[1]属性!$A:$E,2,FALSE)</f>
        <v>1</v>
      </c>
      <c r="K16" s="11">
        <f ca="1">VLOOKUP(I16,[1]属性!$A:$E,3,FALSE)</f>
        <v>0.98</v>
      </c>
      <c r="L16" s="11">
        <f ca="1">VLOOKUP(I16,[1]属性!$A:$E,4,FALSE)</f>
        <v>1</v>
      </c>
      <c r="M16" s="11">
        <f ca="1">VLOOKUP(I16,[1]属性!$A:$E,5,FALSE)</f>
        <v>1.02</v>
      </c>
      <c r="N16" s="11">
        <f ca="1">INDEX([2]コスト!$A$1:$I$20,MATCH(H16,[2]コスト!$A$1:$A$20,FALSE),MATCH(G16,[2]コスト!$A$1:$I$1,FALSE))</f>
        <v>25</v>
      </c>
      <c r="O16" s="11">
        <f ca="1">INDEX([2]レベル!$A$1:$I$21,MATCH(H16,[2]レベル!$A$1:$A$21,FALSE),MATCH(G16,[2]レベル!$A$1:$I$1,FALSE))</f>
        <v>60</v>
      </c>
      <c r="P16" s="48">
        <f t="shared" ca="1" si="0"/>
        <v>60</v>
      </c>
      <c r="Q16" s="58" t="str">
        <f ca="1">VLOOKUP($A16,OFFSET([1]characters!$A$1,0,0,COUNTA([1]characters!$A:$A),MATCH(Q$1,[1]characters!$1:$1,0)-MATCH($A$1,[1]characters!$1:$1,0)+1),MATCH(Q$1,[1]characters!$1:$1,0)-MATCH($A$1,[1]characters!$1:$1,0)+1,FALSE)</f>
        <v>balance</v>
      </c>
      <c r="R16" s="5" t="str">
        <f ca="1">VLOOKUP(Q16,[1]character_type_i18n!$A:$H,3,FALSE)</f>
        <v>バランスタイプ</v>
      </c>
      <c r="S16" s="11">
        <f ca="1">VLOOKUP(Q16,[1]character_type_i18n!$A:$H,4,FALSE)</f>
        <v>1</v>
      </c>
      <c r="T16" s="11">
        <f ca="1">VLOOKUP(Q16,[1]character_type_i18n!$A:$H,5,FALSE)</f>
        <v>1</v>
      </c>
      <c r="U16" s="11">
        <f ca="1">VLOOKUP(Q16,[1]character_type_i18n!$A:$H,6,FALSE)</f>
        <v>1</v>
      </c>
      <c r="V16" s="11">
        <f ca="1">VLOOKUP(Q16,[1]character_type_i18n!$A:$H,7,FALSE)</f>
        <v>1</v>
      </c>
      <c r="W16" s="58" t="str">
        <f ca="1">VLOOKUP($A16,OFFSET([1]characters!$A$1,0,0,COUNTA([1]characters!$A:$A),MATCH(W$1,[1]characters!$1:$1,0)-MATCH($A$1,[1]characters!$1:$1,0)+1),MATCH(W$1,[1]characters!$1:$1,0)-MATCH($A$1,[1]characters!$1:$1,0)+1,FALSE)</f>
        <v>god</v>
      </c>
      <c r="X16" s="5" t="str">
        <f ca="1">VLOOKUP(W16,[1]character_tribe_i18n!$A:$H,3,FALSE)</f>
        <v>ゴッド</v>
      </c>
      <c r="Y16" s="58" t="str">
        <f ca="1">VLOOKUP($A16,OFFSET([1]characters!$A$1,0,0,COUNTA([1]characters!$A:$A),MATCH(Y$1,[1]characters!$1:$1,0)-MATCH($A$1,[1]characters!$1:$1,0)+1),MATCH(Y$1,[1]characters!$1:$1,0)-MATCH($A$1,[1]characters!$1:$1,0)+1,FALSE)</f>
        <v>none</v>
      </c>
      <c r="Z16" s="5" t="str">
        <f ca="1">VLOOKUP(Y16,[1]character_tribe_i18n!$A:$H,3,FALSE)</f>
        <v>種族なし</v>
      </c>
      <c r="AA16" s="11">
        <f ca="1">VLOOKUP(W16,[1]character_tribe_i18n!$A:$H,4,FALSE)</f>
        <v>0.96</v>
      </c>
      <c r="AB16" s="11">
        <f ca="1">VLOOKUP(W16,[1]character_tribe_i18n!$A:$H,5,FALSE)</f>
        <v>1.02</v>
      </c>
      <c r="AC16" s="11">
        <f ca="1">VLOOKUP(W16,[1]character_tribe_i18n!$A:$H,6,FALSE)</f>
        <v>1</v>
      </c>
      <c r="AD16" s="11">
        <f ca="1">VLOOKUP(W16,[1]character_tribe_i18n!$A:$H,7,FALSE)</f>
        <v>1.02</v>
      </c>
      <c r="AE16" s="9">
        <f>A17</f>
        <v>675</v>
      </c>
      <c r="AF16" s="63" t="str">
        <f ca="1">IF(AE16="NULL","",VLOOKUP($AE16,OFFSET([1]characters!$A$1,0,0,COUNTA([1]characters!$A:$A),MATCH(AF$1,[1]characters!$1:$1,0)-MATCH($A$1,[1]characters!$1:$1,0)+1),MATCH(AF$1,[1]characters!$1:$1,0)-MATCH($A$1,[1]characters!$1:$1,0)+1,FALSE))</f>
        <v>芸楽の奔流 サラスヴァティ</v>
      </c>
      <c r="AG16" s="5">
        <f t="shared" ca="1" si="1"/>
        <v>674</v>
      </c>
      <c r="AH16" s="63" t="str">
        <f ca="1">VLOOKUP($AG16,OFFSET([1]characters!$A$1,0,0,COUNTA([1]characters!$A:$A),MATCH(AH$1,[1]characters!$1:$1,0)-MATCH($A$1,[1]characters!$1:$1,0)+1),MATCH(AH$1,[1]characters!$1:$1,0)-MATCH($A$1,[1]characters!$1:$1,0)+1,FALSE)</f>
        <v>サラスヴァティ</v>
      </c>
      <c r="AI16" s="11">
        <f ca="1">IF(AE16="NULL","NULL",VLOOKUP(G16,[2]ビット!$A$2:$B$7,2))</f>
        <v>50000</v>
      </c>
      <c r="AJ16" s="6">
        <v>2</v>
      </c>
      <c r="AK16" s="7" t="str">
        <f t="shared" si="2"/>
        <v>普通</v>
      </c>
      <c r="AL16" s="11" t="str">
        <f ca="1">INDEX([2]経験値!$A$1:$I$20,MATCH(H16,[2]経験値!$A$1:$A$20,FALSE),MATCH(G16,[2]経験値!$A$1:$I$1,FALSE))</f>
        <v>required_exp_200</v>
      </c>
      <c r="AM16" s="8">
        <f ca="1">VLOOKUP(G16,[2]経験値!$A$27:$B$31,2)</f>
        <v>3400</v>
      </c>
      <c r="AN16" s="17">
        <f ca="1">VLOOKUP(G16,[2]ビット!$G$2:$H$7,2)</f>
        <v>600</v>
      </c>
      <c r="AO16" s="45"/>
      <c r="AP16" s="68">
        <f t="shared" si="6"/>
        <v>674</v>
      </c>
      <c r="AQ16" s="58" t="e">
        <f ca="1">VLOOKUP($AP16,OFFSET(unit_skills!$A$1,0,0,COUNTA(unit_skills!$A:$A),MATCH(AQ$1,unit_skills!$1:$1,0)-MATCH($AP$1,unit_skills!$1:$1,0)+1),MATCH(AQ$1,unit_skills!$1:$1,0)-MATCH($AP$1,unit_skills!$1:$1,0)+1,FALSE)</f>
        <v>#N/A</v>
      </c>
      <c r="AR16" s="58" t="e">
        <f ca="1">VLOOKUP($AP16,OFFSET(unit_skills!$A$1,0,0,COUNTA(unit_skills!$A:$A),MATCH(AR$1,unit_skills!$1:$1,0)-MATCH($AP$1,unit_skills!$1:$1,0)+1),MATCH(AR$1,unit_skills!$1:$1,0)-MATCH($AP$1,unit_skills!$1:$1,0)+1,FALSE)</f>
        <v>#N/A</v>
      </c>
      <c r="AS16" s="58" t="e">
        <f ca="1">VLOOKUP($AP16,OFFSET(unit_skills!$A$1,0,0,COUNTA(unit_skills!$A:$A),MATCH(AS$1,unit_skills!$1:$1,0)-MATCH($AP$1,unit_skills!$1:$1,0)+1),MATCH(AS$1,unit_skills!$1:$1,0)-MATCH($AP$1,unit_skills!$1:$1,0)+1,FALSE)</f>
        <v>#N/A</v>
      </c>
      <c r="AT16" s="41">
        <f t="shared" si="7"/>
        <v>674</v>
      </c>
      <c r="AU16" s="58" t="str">
        <f ca="1">VLOOKUP($AT16,OFFSET(crash_skills!$A$1,0,0,COUNTA(crash_skills!$A:$A),MATCH(AU$1,crash_skills!$1:$1,0)-MATCH($AT$1,crash_skills!$1:$1,0)+1),MATCH(AU$1,crash_skills!$1:$1,0)-MATCH($AT$1,crash_skills!$1:$1,0)+1,FALSE)</f>
        <v>アクラ・シャクティ</v>
      </c>
      <c r="AV16" s="58" t="str">
        <f ca="1">VLOOKUP($AT16,OFFSET(crash_skills!$A$1,0,0,COUNTA(crash_skills!$A:$A),MATCH(AV$1,crash_skills!$1:$1,0)-MATCH($AT$1,crash_skills!$1:$1,0)+1),MATCH(AV$1,crash_skills!$1:$1,0)-MATCH($AT$1,crash_skills!$1:$1,0)+1,FALSE)</f>
        <v>ゴッドに効果特大の単体ダメージ+HP大回復</v>
      </c>
      <c r="AW16" s="58">
        <f ca="1">VLOOKUP($AT16,OFFSET(crash_skills!$A$1,0,0,COUNTA(crash_skills!$A:$A),MATCH(AW$1,crash_skills!$1:$1,0)-MATCH($AT$1,crash_skills!$1:$1,0)+1),MATCH(AW$1,crash_skills!$1:$1,0)-MATCH($AT$1,crash_skills!$1:$1,0)+1,FALSE)</f>
        <v>0</v>
      </c>
      <c r="AX16" s="59">
        <f ca="1">VLOOKUP($A16,OFFSET([1]characters!$A$1,0,0,COUNTA([1]characters!$A:$A),MATCH(AX$1,[1]characters!$1:$1,0)-MATCH($A$1,[1]characters!$1:$1,0)+1),MATCH(AX$1,[1]characters!$1:$1,0)-MATCH($A$1,[1]characters!$1:$1,0)+1,FALSE)</f>
        <v>3</v>
      </c>
      <c r="AY16" s="69">
        <v>1</v>
      </c>
      <c r="AZ16" s="69">
        <v>1</v>
      </c>
      <c r="BA16" s="69">
        <v>0</v>
      </c>
      <c r="BB16" s="69">
        <v>1.1000000000000001</v>
      </c>
      <c r="BC16" s="11">
        <f ca="1">INDEX([2]RC6SV!$A$1:$G$20,MATCH(H16,[2]RC6SV!$A$1:$A$20,FALSE),MATCH(G16,[2]RC6SV!$A$1:$G$1,FALSE))</f>
        <v>7500</v>
      </c>
      <c r="BD16" s="48">
        <f t="shared" ca="1" si="3"/>
        <v>7500</v>
      </c>
      <c r="BE16" s="11">
        <f t="shared" ca="1" si="4"/>
        <v>0</v>
      </c>
      <c r="BF16" s="11">
        <f t="shared" ca="1" si="5"/>
        <v>1</v>
      </c>
      <c r="BG16" s="16">
        <f ca="1">IF($BE16&lt;=0,ROUND(BK16*0.5,0), ROUND($BE16*S16*AA16*J16*AY16*0.8*[1]ステータス!$B$2,0))</f>
        <v>1800</v>
      </c>
      <c r="BH16" s="16">
        <f ca="1">IF($BE16&lt;=0,ROUND(BL16*0.5,0), ROUND($BE16*T16*AB16*K16*AZ16*0.8*[1]ステータス!$C$2,0))</f>
        <v>1125</v>
      </c>
      <c r="BI16" s="16">
        <f ca="1">IF($BE16&lt;=0,ROUND(BM16*0.5,0), ROUND($BE16*U16*AC16*L16*BA16*0.8*[1]ステータス!$D$2,0))</f>
        <v>0</v>
      </c>
      <c r="BJ16" s="16">
        <f ca="1">IF($BE16&lt;=0,ROUND(BN16*0.5,0), ROUND($BE16*V16*AD16*M16*BB16*0.8*[1]ステータス!$E$2,0))</f>
        <v>1073</v>
      </c>
      <c r="BK16" s="11">
        <f ca="1">ROUND(BD16*S16*AA16*J16*AY16*[1]ステータス!$B$2,0)</f>
        <v>3600</v>
      </c>
      <c r="BL16" s="11">
        <f ca="1">ROUND(BD16*T16*AB16*K16*AZ16*[1]ステータス!$C$2,0)</f>
        <v>2249</v>
      </c>
      <c r="BM16" s="11">
        <f ca="1">ROUND(BD16*U16*AC16*L16*BA16*[1]ステータス!$D$2,0)</f>
        <v>0</v>
      </c>
      <c r="BN16" s="11">
        <f ca="1">ROUND(BD16*V16*AD16*M16*BB16*[1]ステータス!$E$2,0)</f>
        <v>2146</v>
      </c>
      <c r="BO16" s="10">
        <v>0</v>
      </c>
      <c r="BP16" s="10">
        <v>1</v>
      </c>
      <c r="BQ16" s="10" t="s">
        <v>53</v>
      </c>
      <c r="BR16" s="10">
        <f ca="1">VLOOKUP(H16,ghosts_label!$A$2:$B$19,2,FALSE)</f>
        <v>5500</v>
      </c>
    </row>
    <row r="17" spans="1:70" ht="26" customHeight="1" x14ac:dyDescent="0.15">
      <c r="A17" s="12">
        <v>675</v>
      </c>
      <c r="B17" s="58" t="str">
        <f ca="1">VLOOKUP($A17,OFFSET([1]characters!$A$1,0,0,COUNTA([1]characters!$A:$A),MATCH(B$1,[1]characters!$1:$1,0)-MATCH($A$1,[1]characters!$1:$1,0)+1),MATCH(B$1,[1]characters!$1:$1,0)-MATCH($A$1,[1]characters!$1:$1,0)+1,FALSE)</f>
        <v>芸楽の奔流 サラスヴァティ</v>
      </c>
      <c r="C17" s="58" t="str">
        <f ca="1">VLOOKUP($A17,OFFSET([1]characters!$A$1,0,0,COUNTA([1]characters!$A:$A),MATCH(C$1,[1]characters!$1:$1,0)-MATCH($A$1,[1]characters!$1:$1,0)+1),MATCH(C$1,[1]characters!$1:$1,0)-MATCH($A$1,[1]characters!$1:$1,0)+1,FALSE)</f>
        <v>ガチャ:ヒンドゥ-01</v>
      </c>
      <c r="D17" s="58" t="str">
        <f ca="1">VLOOKUP($A17,OFFSET([1]characters!$A$1,0,0,COUNTA([1]characters!$A:$A),MATCH(D$1,[1]characters!$1:$1,0)-MATCH($A$1,[1]characters!$1:$1,0)+1),MATCH(D$1,[1]characters!$1:$1,0)-MATCH($A$1,[1]characters!$1:$1,0)+1,FALSE)</f>
        <v>執行者</v>
      </c>
      <c r="E17" s="58" t="str">
        <f ca="1">VLOOKUP($A17,OFFSET([1]characters!$A$1,0,0,COUNTA([1]characters!$A:$A),MATCH(E$1,[1]characters!$1:$1,0)-MATCH($A$1,[1]characters!$1:$1,0)+1),MATCH(E$1,[1]characters!$1:$1,0)-MATCH($A$1,[1]characters!$1:$1,0)+1,FALSE)</f>
        <v>格好いい</v>
      </c>
      <c r="F17" s="58" t="str">
        <f ca="1">VLOOKUP($A17,OFFSET([1]characters!$A$1,0,0,COUNTA([1]characters!$A:$A),MATCH(F$1,[1]characters!$1:$1,0)-MATCH($A$1,[1]characters!$1:$1,0)+1),MATCH(F$1,[1]characters!$1:$1,0)-MATCH($A$1,[1]characters!$1:$1,0)+1,FALSE)</f>
        <v>女性</v>
      </c>
      <c r="G17" s="58">
        <f ca="1">VLOOKUP($A17,OFFSET([1]characters!$A$1,0,0,COUNTA([1]characters!$A:$A),MATCH(G$1,[1]characters!$1:$1,0)-MATCH($A$1,[1]characters!$1:$1,0)+1),MATCH(G$1,[1]characters!$1:$1,0)-MATCH($A$1,[1]characters!$1:$1,0)+1,FALSE)</f>
        <v>5</v>
      </c>
      <c r="H17" s="58" t="str">
        <f ca="1">VLOOKUP($A17,OFFSET([1]characters!$A$1,0,0,COUNTA([1]characters!$A:$A),MATCH(H$1,[1]characters!$1:$1,0)-MATCH($A$1,[1]characters!$1:$1,0)+1),MATCH(H$1,[1]characters!$1:$1,0)-MATCH($A$1,[1]characters!$1:$1,0)+1,FALSE)</f>
        <v>PremiumSS</v>
      </c>
      <c r="I17" s="58" t="str">
        <f ca="1">VLOOKUP($A17,OFFSET([1]characters!$A$1,0,0,COUNTA([1]characters!$A:$A),MATCH(I$1,[1]characters!$1:$1,0)-MATCH($A$1,[1]characters!$1:$1,0)+1),MATCH(I$1,[1]characters!$1:$1,0)-MATCH($A$1,[1]characters!$1:$1,0)+1,FALSE)</f>
        <v>blue</v>
      </c>
      <c r="J17" s="11">
        <f ca="1">VLOOKUP(I17,[1]属性!$A:$E,2,FALSE)</f>
        <v>1</v>
      </c>
      <c r="K17" s="11">
        <f ca="1">VLOOKUP(I17,[1]属性!$A:$E,3,FALSE)</f>
        <v>0.98</v>
      </c>
      <c r="L17" s="11">
        <f ca="1">VLOOKUP(I17,[1]属性!$A:$E,4,FALSE)</f>
        <v>1</v>
      </c>
      <c r="M17" s="11">
        <f ca="1">VLOOKUP(I17,[1]属性!$A:$E,5,FALSE)</f>
        <v>1.02</v>
      </c>
      <c r="N17" s="11">
        <f ca="1">INDEX([2]コスト!$A$1:$I$20,MATCH(H17,[2]コスト!$A$1:$A$20,FALSE),MATCH(G17,[2]コスト!$A$1:$I$1,FALSE))</f>
        <v>35</v>
      </c>
      <c r="O17" s="11">
        <f ca="1">INDEX([2]レベル!$A$1:$I$21,MATCH(H17,[2]レベル!$A$1:$A$21,FALSE),MATCH(G17,[2]レベル!$A$1:$I$1,FALSE))</f>
        <v>80</v>
      </c>
      <c r="P17" s="48">
        <f t="shared" ca="1" si="0"/>
        <v>75</v>
      </c>
      <c r="Q17" s="58" t="str">
        <f ca="1">VLOOKUP($A17,OFFSET([1]characters!$A$1,0,0,COUNTA([1]characters!$A:$A),MATCH(Q$1,[1]characters!$1:$1,0)-MATCH($A$1,[1]characters!$1:$1,0)+1),MATCH(Q$1,[1]characters!$1:$1,0)-MATCH($A$1,[1]characters!$1:$1,0)+1,FALSE)</f>
        <v>balance</v>
      </c>
      <c r="R17" s="5" t="str">
        <f ca="1">VLOOKUP(Q17,[1]character_type_i18n!$A:$H,3,FALSE)</f>
        <v>バランスタイプ</v>
      </c>
      <c r="S17" s="11">
        <f ca="1">VLOOKUP(Q17,[1]character_type_i18n!$A:$H,4,FALSE)</f>
        <v>1</v>
      </c>
      <c r="T17" s="11">
        <f ca="1">VLOOKUP(Q17,[1]character_type_i18n!$A:$H,5,FALSE)</f>
        <v>1</v>
      </c>
      <c r="U17" s="11">
        <f ca="1">VLOOKUP(Q17,[1]character_type_i18n!$A:$H,6,FALSE)</f>
        <v>1</v>
      </c>
      <c r="V17" s="11">
        <f ca="1">VLOOKUP(Q17,[1]character_type_i18n!$A:$H,7,FALSE)</f>
        <v>1</v>
      </c>
      <c r="W17" s="58" t="str">
        <f ca="1">VLOOKUP($A17,OFFSET([1]characters!$A$1,0,0,COUNTA([1]characters!$A:$A),MATCH(W$1,[1]characters!$1:$1,0)-MATCH($A$1,[1]characters!$1:$1,0)+1),MATCH(W$1,[1]characters!$1:$1,0)-MATCH($A$1,[1]characters!$1:$1,0)+1,FALSE)</f>
        <v>god</v>
      </c>
      <c r="X17" s="5" t="str">
        <f ca="1">VLOOKUP(W17,[1]character_tribe_i18n!$A:$H,3,FALSE)</f>
        <v>ゴッド</v>
      </c>
      <c r="Y17" s="58" t="str">
        <f ca="1">VLOOKUP($A17,OFFSET([1]characters!$A$1,0,0,COUNTA([1]characters!$A:$A),MATCH(Y$1,[1]characters!$1:$1,0)-MATCH($A$1,[1]characters!$1:$1,0)+1),MATCH(Y$1,[1]characters!$1:$1,0)-MATCH($A$1,[1]characters!$1:$1,0)+1,FALSE)</f>
        <v>none</v>
      </c>
      <c r="Z17" s="5" t="str">
        <f ca="1">VLOOKUP(Y17,[1]character_tribe_i18n!$A:$H,3,FALSE)</f>
        <v>種族なし</v>
      </c>
      <c r="AA17" s="11">
        <f ca="1">VLOOKUP(W17,[1]character_tribe_i18n!$A:$H,4,FALSE)</f>
        <v>0.96</v>
      </c>
      <c r="AB17" s="11">
        <f ca="1">VLOOKUP(W17,[1]character_tribe_i18n!$A:$H,5,FALSE)</f>
        <v>1.02</v>
      </c>
      <c r="AC17" s="11">
        <f ca="1">VLOOKUP(W17,[1]character_tribe_i18n!$A:$H,6,FALSE)</f>
        <v>1</v>
      </c>
      <c r="AD17" s="11">
        <f ca="1">VLOOKUP(W17,[1]character_tribe_i18n!$A:$H,7,FALSE)</f>
        <v>1.02</v>
      </c>
      <c r="AE17" s="9" t="s">
        <v>189</v>
      </c>
      <c r="AF17" s="63" t="str">
        <f ca="1">IF(AE17="NULL","",VLOOKUP($AE17,OFFSET([1]characters!$A$1,0,0,COUNTA([1]characters!$A:$A),MATCH(AF$1,[1]characters!$1:$1,0)-MATCH($A$1,[1]characters!$1:$1,0)+1),MATCH(AF$1,[1]characters!$1:$1,0)-MATCH($A$1,[1]characters!$1:$1,0)+1,FALSE))</f>
        <v/>
      </c>
      <c r="AG17" s="5">
        <f t="shared" ca="1" si="1"/>
        <v>674</v>
      </c>
      <c r="AH17" s="63" t="str">
        <f ca="1">VLOOKUP($AG17,OFFSET([1]characters!$A$1,0,0,COUNTA([1]characters!$A:$A),MATCH(AH$1,[1]characters!$1:$1,0)-MATCH($A$1,[1]characters!$1:$1,0)+1),MATCH(AH$1,[1]characters!$1:$1,0)-MATCH($A$1,[1]characters!$1:$1,0)+1,FALSE)</f>
        <v>サラスヴァティ</v>
      </c>
      <c r="AI17" s="11" t="str">
        <f>IF(AE17="NULL","NULL",VLOOKUP(G17,[2]ビット!$A$2:$B$7,2))</f>
        <v>NULL</v>
      </c>
      <c r="AJ17" s="6">
        <v>2</v>
      </c>
      <c r="AK17" s="7" t="str">
        <f t="shared" si="2"/>
        <v>普通</v>
      </c>
      <c r="AL17" s="11" t="str">
        <f ca="1">INDEX([2]経験値!$A$1:$I$20,MATCH(H17,[2]経験値!$A$1:$A$20,FALSE),MATCH(G17,[2]経験値!$A$1:$I$1,FALSE))</f>
        <v>required_exp_200</v>
      </c>
      <c r="AM17" s="8">
        <f ca="1">VLOOKUP(G17,[2]経験値!$A$27:$B$31,2)</f>
        <v>6400</v>
      </c>
      <c r="AN17" s="17">
        <f ca="1">VLOOKUP(G17,[2]ビット!$G$2:$H$7,2)</f>
        <v>900</v>
      </c>
      <c r="AO17" s="45"/>
      <c r="AP17" s="68">
        <f t="shared" si="6"/>
        <v>675</v>
      </c>
      <c r="AQ17" s="58" t="e">
        <f ca="1">VLOOKUP($AP17,OFFSET(unit_skills!$A$1,0,0,COUNTA(unit_skills!$A:$A),MATCH(AQ$1,unit_skills!$1:$1,0)-MATCH($AP$1,unit_skills!$1:$1,0)+1),MATCH(AQ$1,unit_skills!$1:$1,0)-MATCH($AP$1,unit_skills!$1:$1,0)+1,FALSE)</f>
        <v>#N/A</v>
      </c>
      <c r="AR17" s="58" t="e">
        <f ca="1">VLOOKUP($AP17,OFFSET(unit_skills!$A$1,0,0,COUNTA(unit_skills!$A:$A),MATCH(AR$1,unit_skills!$1:$1,0)-MATCH($AP$1,unit_skills!$1:$1,0)+1),MATCH(AR$1,unit_skills!$1:$1,0)-MATCH($AP$1,unit_skills!$1:$1,0)+1,FALSE)</f>
        <v>#N/A</v>
      </c>
      <c r="AS17" s="58" t="e">
        <f ca="1">VLOOKUP($AP17,OFFSET(unit_skills!$A$1,0,0,COUNTA(unit_skills!$A:$A),MATCH(AS$1,unit_skills!$1:$1,0)-MATCH($AP$1,unit_skills!$1:$1,0)+1),MATCH(AS$1,unit_skills!$1:$1,0)-MATCH($AP$1,unit_skills!$1:$1,0)+1,FALSE)</f>
        <v>#N/A</v>
      </c>
      <c r="AT17" s="41">
        <f t="shared" si="7"/>
        <v>675</v>
      </c>
      <c r="AU17" s="58" t="str">
        <f ca="1">VLOOKUP($AT17,OFFSET(crash_skills!$A$1,0,0,COUNTA(crash_skills!$A:$A),MATCH(AU$1,crash_skills!$1:$1,0)-MATCH($AT$1,crash_skills!$1:$1,0)+1),MATCH(AU$1,crash_skills!$1:$1,0)-MATCH($AT$1,crash_skills!$1:$1,0)+1,FALSE)</f>
        <v>アクラ・シャクティ</v>
      </c>
      <c r="AV17" s="58" t="str">
        <f ca="1">VLOOKUP($AT17,OFFSET(crash_skills!$A$1,0,0,COUNTA(crash_skills!$A:$A),MATCH(AV$1,crash_skills!$1:$1,0)-MATCH($AT$1,crash_skills!$1:$1,0)+1),MATCH(AV$1,crash_skills!$1:$1,0)-MATCH($AT$1,crash_skills!$1:$1,0)+1,FALSE)</f>
        <v>ゴッドに効果特大の単体ダメージ+HP大回復</v>
      </c>
      <c r="AW17" s="58">
        <f ca="1">VLOOKUP($AT17,OFFSET(crash_skills!$A$1,0,0,COUNTA(crash_skills!$A:$A),MATCH(AW$1,crash_skills!$1:$1,0)-MATCH($AT$1,crash_skills!$1:$1,0)+1),MATCH(AW$1,crash_skills!$1:$1,0)-MATCH($AT$1,crash_skills!$1:$1,0)+1,FALSE)</f>
        <v>0</v>
      </c>
      <c r="AX17" s="59">
        <f ca="1">VLOOKUP($A17,OFFSET([1]characters!$A$1,0,0,COUNTA([1]characters!$A:$A),MATCH(AX$1,[1]characters!$1:$1,0)-MATCH($A$1,[1]characters!$1:$1,0)+1),MATCH(AX$1,[1]characters!$1:$1,0)-MATCH($A$1,[1]characters!$1:$1,0)+1,FALSE)</f>
        <v>3</v>
      </c>
      <c r="AY17" s="69">
        <v>1</v>
      </c>
      <c r="AZ17" s="69">
        <v>1</v>
      </c>
      <c r="BA17" s="69">
        <v>0</v>
      </c>
      <c r="BB17" s="69">
        <v>1.1000000000000001</v>
      </c>
      <c r="BC17" s="11">
        <f ca="1">INDEX([2]RC6SV!$A$1:$G$20,MATCH(H17,[2]RC6SV!$A$1:$A$20,FALSE),MATCH(G17,[2]RC6SV!$A$1:$G$1,FALSE))</f>
        <v>9500</v>
      </c>
      <c r="BD17" s="48">
        <f t="shared" ca="1" si="3"/>
        <v>9500</v>
      </c>
      <c r="BE17" s="11">
        <f t="shared" ca="1" si="4"/>
        <v>7500</v>
      </c>
      <c r="BF17" s="11">
        <f t="shared" ca="1" si="5"/>
        <v>1</v>
      </c>
      <c r="BG17" s="16">
        <f ca="1">IF($BE17&lt;=0,ROUND(BK17*0.5,0), ROUND($BE17*S17*AA17*J17*AY17*0.8*[1]ステータス!$B$2,0))</f>
        <v>2880</v>
      </c>
      <c r="BH17" s="16">
        <f ca="1">IF($BE17&lt;=0,ROUND(BL17*0.5,0), ROUND($BE17*T17*AB17*K17*AZ17*0.8*[1]ステータス!$C$2,0))</f>
        <v>1799</v>
      </c>
      <c r="BI17" s="16">
        <f ca="1">IF($BE17&lt;=0,ROUND(BM17*0.5,0), ROUND($BE17*U17*AC17*L17*BA17*0.8*[1]ステータス!$D$2,0))</f>
        <v>0</v>
      </c>
      <c r="BJ17" s="16">
        <f ca="1">IF($BE17&lt;=0,ROUND(BN17*0.5,0), ROUND($BE17*V17*AD17*M17*BB17*0.8*[1]ステータス!$E$2,0))</f>
        <v>1717</v>
      </c>
      <c r="BK17" s="11">
        <f ca="1">ROUND(BD17*S17*AA17*J17*AY17*[1]ステータス!$B$2,0)</f>
        <v>4560</v>
      </c>
      <c r="BL17" s="11">
        <f ca="1">ROUND(BD17*T17*AB17*K17*AZ17*[1]ステータス!$C$2,0)</f>
        <v>2849</v>
      </c>
      <c r="BM17" s="11">
        <f ca="1">ROUND(BD17*U17*AC17*L17*BA17*[1]ステータス!$D$2,0)</f>
        <v>0</v>
      </c>
      <c r="BN17" s="11">
        <f ca="1">ROUND(BD17*V17*AD17*M17*BB17*[1]ステータス!$E$2,0)</f>
        <v>2718</v>
      </c>
      <c r="BO17" s="10">
        <v>0</v>
      </c>
      <c r="BP17" s="10">
        <v>1</v>
      </c>
      <c r="BQ17" s="10" t="s">
        <v>53</v>
      </c>
      <c r="BR17" s="10">
        <f ca="1">VLOOKUP(H17,ghosts_label!$A$2:$B$19,2,FALSE)</f>
        <v>5500</v>
      </c>
    </row>
    <row r="18" spans="1:70" ht="26" customHeight="1" x14ac:dyDescent="0.15">
      <c r="A18" s="12">
        <v>676</v>
      </c>
      <c r="B18" s="58" t="str">
        <f ca="1">VLOOKUP($A18,OFFSET([1]characters!$A$1,0,0,COUNTA([1]characters!$A:$A),MATCH(B$1,[1]characters!$1:$1,0)-MATCH($A$1,[1]characters!$1:$1,0)+1),MATCH(B$1,[1]characters!$1:$1,0)-MATCH($A$1,[1]characters!$1:$1,0)+1,FALSE)</f>
        <v>ヴィシュヌ</v>
      </c>
      <c r="C18" s="58" t="str">
        <f ca="1">VLOOKUP($A18,OFFSET([1]characters!$A$1,0,0,COUNTA([1]characters!$A:$A),MATCH(C$1,[1]characters!$1:$1,0)-MATCH($A$1,[1]characters!$1:$1,0)+1),MATCH(C$1,[1]characters!$1:$1,0)-MATCH($A$1,[1]characters!$1:$1,0)+1,FALSE)</f>
        <v>ガチャ:ヒンドゥ-01</v>
      </c>
      <c r="D18" s="58" t="str">
        <f ca="1">VLOOKUP($A18,OFFSET([1]characters!$A$1,0,0,COUNTA([1]characters!$A:$A),MATCH(D$1,[1]characters!$1:$1,0)-MATCH($A$1,[1]characters!$1:$1,0)+1),MATCH(D$1,[1]characters!$1:$1,0)-MATCH($A$1,[1]characters!$1:$1,0)+1,FALSE)</f>
        <v>執行者</v>
      </c>
      <c r="E18" s="58" t="str">
        <f ca="1">VLOOKUP($A18,OFFSET([1]characters!$A$1,0,0,COUNTA([1]characters!$A:$A),MATCH(E$1,[1]characters!$1:$1,0)-MATCH($A$1,[1]characters!$1:$1,0)+1),MATCH(E$1,[1]characters!$1:$1,0)-MATCH($A$1,[1]characters!$1:$1,0)+1,FALSE)</f>
        <v>格好いい</v>
      </c>
      <c r="F18" s="58" t="str">
        <f ca="1">VLOOKUP($A18,OFFSET([1]characters!$A$1,0,0,COUNTA([1]characters!$A:$A),MATCH(F$1,[1]characters!$1:$1,0)-MATCH($A$1,[1]characters!$1:$1,0)+1),MATCH(F$1,[1]characters!$1:$1,0)-MATCH($A$1,[1]characters!$1:$1,0)+1,FALSE)</f>
        <v>女性</v>
      </c>
      <c r="G18" s="58">
        <f ca="1">VLOOKUP($A18,OFFSET([1]characters!$A$1,0,0,COUNTA([1]characters!$A:$A),MATCH(G$1,[1]characters!$1:$1,0)-MATCH($A$1,[1]characters!$1:$1,0)+1),MATCH(G$1,[1]characters!$1:$1,0)-MATCH($A$1,[1]characters!$1:$1,0)+1,FALSE)</f>
        <v>4</v>
      </c>
      <c r="H18" s="58" t="str">
        <f ca="1">VLOOKUP($A18,OFFSET([1]characters!$A$1,0,0,COUNTA([1]characters!$A:$A),MATCH(H$1,[1]characters!$1:$1,0)-MATCH($A$1,[1]characters!$1:$1,0)+1),MATCH(H$1,[1]characters!$1:$1,0)-MATCH($A$1,[1]characters!$1:$1,0)+1,FALSE)</f>
        <v>PremiumSS</v>
      </c>
      <c r="I18" s="58" t="str">
        <f ca="1">VLOOKUP($A18,OFFSET([1]characters!$A$1,0,0,COUNTA([1]characters!$A:$A),MATCH(I$1,[1]characters!$1:$1,0)-MATCH($A$1,[1]characters!$1:$1,0)+1),MATCH(I$1,[1]characters!$1:$1,0)-MATCH($A$1,[1]characters!$1:$1,0)+1,FALSE)</f>
        <v>yellow</v>
      </c>
      <c r="J18" s="11">
        <f ca="1">VLOOKUP(I18,[1]属性!$A:$E,2,FALSE)</f>
        <v>0.98</v>
      </c>
      <c r="K18" s="11">
        <f ca="1">VLOOKUP(I18,[1]属性!$A:$E,3,FALSE)</f>
        <v>1.01</v>
      </c>
      <c r="L18" s="11">
        <f ca="1">VLOOKUP(I18,[1]属性!$A:$E,4,FALSE)</f>
        <v>1</v>
      </c>
      <c r="M18" s="11">
        <f ca="1">VLOOKUP(I18,[1]属性!$A:$E,5,FALSE)</f>
        <v>1.01</v>
      </c>
      <c r="N18" s="11">
        <f ca="1">INDEX([2]コスト!$A$1:$I$20,MATCH(H18,[2]コスト!$A$1:$A$20,FALSE),MATCH(G18,[2]コスト!$A$1:$I$1,FALSE))</f>
        <v>25</v>
      </c>
      <c r="O18" s="11">
        <f ca="1">INDEX([2]レベル!$A$1:$I$21,MATCH(H18,[2]レベル!$A$1:$A$21,FALSE),MATCH(G18,[2]レベル!$A$1:$I$1,FALSE))</f>
        <v>60</v>
      </c>
      <c r="P18" s="48">
        <f t="shared" ca="1" si="0"/>
        <v>60</v>
      </c>
      <c r="Q18" s="58" t="str">
        <f ca="1">VLOOKUP($A18,OFFSET([1]characters!$A$1,0,0,COUNTA([1]characters!$A:$A),MATCH(Q$1,[1]characters!$1:$1,0)-MATCH($A$1,[1]characters!$1:$1,0)+1),MATCH(Q$1,[1]characters!$1:$1,0)-MATCH($A$1,[1]characters!$1:$1,0)+1,FALSE)</f>
        <v>attack</v>
      </c>
      <c r="R18" s="5" t="str">
        <f ca="1">VLOOKUP(Q18,[1]character_type_i18n!$A:$H,3,FALSE)</f>
        <v>攻撃タイプ</v>
      </c>
      <c r="S18" s="11">
        <f ca="1">VLOOKUP(Q18,[1]character_type_i18n!$A:$H,4,FALSE)</f>
        <v>1</v>
      </c>
      <c r="T18" s="11">
        <f ca="1">VLOOKUP(Q18,[1]character_type_i18n!$A:$H,5,FALSE)</f>
        <v>1.33</v>
      </c>
      <c r="U18" s="11">
        <f ca="1">VLOOKUP(Q18,[1]character_type_i18n!$A:$H,6,FALSE)</f>
        <v>1</v>
      </c>
      <c r="V18" s="11">
        <f ca="1">VLOOKUP(Q18,[1]character_type_i18n!$A:$H,7,FALSE)</f>
        <v>0.67</v>
      </c>
      <c r="W18" s="58" t="str">
        <f ca="1">VLOOKUP($A18,OFFSET([1]characters!$A$1,0,0,COUNTA([1]characters!$A:$A),MATCH(W$1,[1]characters!$1:$1,0)-MATCH($A$1,[1]characters!$1:$1,0)+1),MATCH(W$1,[1]characters!$1:$1,0)-MATCH($A$1,[1]characters!$1:$1,0)+1,FALSE)</f>
        <v>god</v>
      </c>
      <c r="X18" s="5" t="str">
        <f ca="1">VLOOKUP(W18,[1]character_tribe_i18n!$A:$H,3,FALSE)</f>
        <v>ゴッド</v>
      </c>
      <c r="Y18" s="58" t="str">
        <f ca="1">VLOOKUP($A18,OFFSET([1]characters!$A$1,0,0,COUNTA([1]characters!$A:$A),MATCH(Y$1,[1]characters!$1:$1,0)-MATCH($A$1,[1]characters!$1:$1,0)+1),MATCH(Y$1,[1]characters!$1:$1,0)-MATCH($A$1,[1]characters!$1:$1,0)+1,FALSE)</f>
        <v>none</v>
      </c>
      <c r="Z18" s="5" t="str">
        <f ca="1">VLOOKUP(Y18,[1]character_tribe_i18n!$A:$H,3,FALSE)</f>
        <v>種族なし</v>
      </c>
      <c r="AA18" s="11">
        <f ca="1">VLOOKUP(W18,[1]character_tribe_i18n!$A:$H,4,FALSE)</f>
        <v>0.96</v>
      </c>
      <c r="AB18" s="11">
        <f ca="1">VLOOKUP(W18,[1]character_tribe_i18n!$A:$H,5,FALSE)</f>
        <v>1.02</v>
      </c>
      <c r="AC18" s="11">
        <f ca="1">VLOOKUP(W18,[1]character_tribe_i18n!$A:$H,6,FALSE)</f>
        <v>1</v>
      </c>
      <c r="AD18" s="11">
        <f ca="1">VLOOKUP(W18,[1]character_tribe_i18n!$A:$H,7,FALSE)</f>
        <v>1.02</v>
      </c>
      <c r="AE18" s="9">
        <f>A19</f>
        <v>677</v>
      </c>
      <c r="AF18" s="63" t="str">
        <f ca="1">IF(AE18="NULL","",VLOOKUP($AE18,OFFSET([1]characters!$A$1,0,0,COUNTA([1]characters!$A:$A),MATCH(AF$1,[1]characters!$1:$1,0)-MATCH($A$1,[1]characters!$1:$1,0)+1),MATCH(AF$1,[1]characters!$1:$1,0)-MATCH($A$1,[1]characters!$1:$1,0)+1,FALSE))</f>
        <v>武遊闊歩 ヴィシュヌ</v>
      </c>
      <c r="AG18" s="5">
        <f t="shared" ca="1" si="1"/>
        <v>676</v>
      </c>
      <c r="AH18" s="63" t="str">
        <f ca="1">VLOOKUP($AG18,OFFSET([1]characters!$A$1,0,0,COUNTA([1]characters!$A:$A),MATCH(AH$1,[1]characters!$1:$1,0)-MATCH($A$1,[1]characters!$1:$1,0)+1),MATCH(AH$1,[1]characters!$1:$1,0)-MATCH($A$1,[1]characters!$1:$1,0)+1,FALSE)</f>
        <v>ヴィシュヌ</v>
      </c>
      <c r="AI18" s="11">
        <f ca="1">IF(AE18="NULL","NULL",VLOOKUP(G18,[2]ビット!$A$2:$B$7,2))</f>
        <v>50000</v>
      </c>
      <c r="AJ18" s="6">
        <v>2</v>
      </c>
      <c r="AK18" s="7" t="str">
        <f t="shared" si="2"/>
        <v>普通</v>
      </c>
      <c r="AL18" s="11" t="str">
        <f ca="1">INDEX([2]経験値!$A$1:$I$20,MATCH(H18,[2]経験値!$A$1:$A$20,FALSE),MATCH(G18,[2]経験値!$A$1:$I$1,FALSE))</f>
        <v>required_exp_200</v>
      </c>
      <c r="AM18" s="8">
        <f ca="1">VLOOKUP(G18,[2]経験値!$A$27:$B$31,2)</f>
        <v>3400</v>
      </c>
      <c r="AN18" s="17">
        <f ca="1">VLOOKUP(G18,[2]ビット!$G$2:$H$7,2)</f>
        <v>600</v>
      </c>
      <c r="AO18" s="45"/>
      <c r="AP18" s="68">
        <f t="shared" si="6"/>
        <v>676</v>
      </c>
      <c r="AQ18" s="58" t="str">
        <f ca="1">VLOOKUP($AP18,OFFSET(unit_skills!$A$1,0,0,COUNTA(unit_skills!$A:$A),MATCH(AQ$1,unit_skills!$1:$1,0)-MATCH($AP$1,unit_skills!$1:$1,0)+1),MATCH(AQ$1,unit_skills!$1:$1,0)-MATCH($AP$1,unit_skills!$1:$1,0)+1,FALSE)</f>
        <v>常世照光の武踏</v>
      </c>
      <c r="AR18" s="58" t="str">
        <f ca="1">VLOOKUP($AP18,OFFSET(unit_skills!$A$1,0,0,COUNTA(unit_skills!$A:$A),MATCH(AR$1,unit_skills!$1:$1,0)-MATCH($AP$1,unit_skills!$1:$1,0)+1),MATCH(AR$1,unit_skills!$1:$1,0)-MATCH($AP$1,unit_skills!$1:$1,0)+1,FALSE)</f>
        <v>ランダムで1つSCパネル(大)に変換する+2ターンCパネル生成を短縮(効果大)</v>
      </c>
      <c r="AS18" s="58">
        <f ca="1">VLOOKUP($AP18,OFFSET(unit_skills!$A$1,0,0,COUNTA(unit_skills!$A:$A),MATCH(AS$1,unit_skills!$1:$1,0)-MATCH($AP$1,unit_skills!$1:$1,0)+1),MATCH(AS$1,unit_skills!$1:$1,0)-MATCH($AP$1,unit_skills!$1:$1,0)+1,FALSE)</f>
        <v>0</v>
      </c>
      <c r="AT18" s="41">
        <f t="shared" si="7"/>
        <v>676</v>
      </c>
      <c r="AU18" s="58" t="str">
        <f ca="1">VLOOKUP($AT18,OFFSET(crash_skills!$A$1,0,0,COUNTA(crash_skills!$A:$A),MATCH(AU$1,crash_skills!$1:$1,0)-MATCH($AT$1,crash_skills!$1:$1,0)+1),MATCH(AU$1,crash_skills!$1:$1,0)-MATCH($AT$1,crash_skills!$1:$1,0)+1,FALSE)</f>
        <v>双砕スダルシャナ</v>
      </c>
      <c r="AV18" s="58" t="str">
        <f ca="1">VLOOKUP($AT18,OFFSET(crash_skills!$A$1,0,0,COUNTA(crash_skills!$A:$A),MATCH(AV$1,crash_skills!$1:$1,0)-MATCH($AT$1,crash_skills!$1:$1,0)+1),MATCH(AV$1,crash_skills!$1:$1,0)-MATCH($AT$1,crash_skills!$1:$1,0)+1,FALSE)</f>
        <v>単体に2回中ダメージ</v>
      </c>
      <c r="AW18" s="58">
        <f ca="1">VLOOKUP($AT18,OFFSET(crash_skills!$A$1,0,0,COUNTA(crash_skills!$A:$A),MATCH(AW$1,crash_skills!$1:$1,0)-MATCH($AT$1,crash_skills!$1:$1,0)+1),MATCH(AW$1,crash_skills!$1:$1,0)-MATCH($AT$1,crash_skills!$1:$1,0)+1,FALSE)</f>
        <v>0</v>
      </c>
      <c r="AX18" s="59">
        <f ca="1">VLOOKUP($A18,OFFSET([1]characters!$A$1,0,0,COUNTA([1]characters!$A:$A),MATCH(AX$1,[1]characters!$1:$1,0)-MATCH($A$1,[1]characters!$1:$1,0)+1),MATCH(AX$1,[1]characters!$1:$1,0)-MATCH($A$1,[1]characters!$1:$1,0)+1,FALSE)</f>
        <v>3</v>
      </c>
      <c r="AY18" s="69">
        <v>1</v>
      </c>
      <c r="AZ18" s="69">
        <v>1</v>
      </c>
      <c r="BA18" s="69">
        <v>0</v>
      </c>
      <c r="BB18" s="69">
        <v>1</v>
      </c>
      <c r="BC18" s="11">
        <f ca="1">INDEX([2]RC6SV!$A$1:$G$20,MATCH(H18,[2]RC6SV!$A$1:$A$20,FALSE),MATCH(G18,[2]RC6SV!$A$1:$G$1,FALSE))</f>
        <v>7500</v>
      </c>
      <c r="BD18" s="48">
        <f t="shared" ca="1" si="3"/>
        <v>7500</v>
      </c>
      <c r="BE18" s="11">
        <f t="shared" ca="1" si="4"/>
        <v>0</v>
      </c>
      <c r="BF18" s="11">
        <f t="shared" ca="1" si="5"/>
        <v>1</v>
      </c>
      <c r="BG18" s="16">
        <f ca="1">IF($BE18&lt;=0,ROUND(BK18*0.5,0), ROUND($BE18*S18*AA18*J18*AY18*0.8*[1]ステータス!$B$2,0))</f>
        <v>1764</v>
      </c>
      <c r="BH18" s="16">
        <f ca="1">IF($BE18&lt;=0,ROUND(BL18*0.5,0), ROUND($BE18*T18*AB18*K18*AZ18*0.8*[1]ステータス!$C$2,0))</f>
        <v>1542</v>
      </c>
      <c r="BI18" s="16">
        <f ca="1">IF($BE18&lt;=0,ROUND(BM18*0.5,0), ROUND($BE18*U18*AC18*L18*BA18*0.8*[1]ステータス!$D$2,0))</f>
        <v>0</v>
      </c>
      <c r="BJ18" s="16">
        <f ca="1">IF($BE18&lt;=0,ROUND(BN18*0.5,0), ROUND($BE18*V18*AD18*M18*BB18*0.8*[1]ステータス!$E$2,0))</f>
        <v>647</v>
      </c>
      <c r="BK18" s="11">
        <f ca="1">ROUND(BD18*S18*AA18*J18*AY18*[1]ステータス!$B$2,0)</f>
        <v>3528</v>
      </c>
      <c r="BL18" s="11">
        <f ca="1">ROUND(BD18*T18*AB18*K18*AZ18*[1]ステータス!$C$2,0)</f>
        <v>3083</v>
      </c>
      <c r="BM18" s="11">
        <f ca="1">ROUND(BD18*U18*AC18*L18*BA18*[1]ステータス!$D$2,0)</f>
        <v>0</v>
      </c>
      <c r="BN18" s="11">
        <f ca="1">ROUND(BD18*V18*AD18*M18*BB18*[1]ステータス!$E$2,0)</f>
        <v>1294</v>
      </c>
      <c r="BO18" s="10">
        <v>0</v>
      </c>
      <c r="BP18" s="10">
        <v>1</v>
      </c>
      <c r="BQ18" s="10" t="s">
        <v>53</v>
      </c>
      <c r="BR18" s="10">
        <f ca="1">VLOOKUP(H18,ghosts_label!$A$2:$B$19,2,FALSE)</f>
        <v>5500</v>
      </c>
    </row>
    <row r="19" spans="1:70" ht="26" customHeight="1" x14ac:dyDescent="0.15">
      <c r="A19" s="12">
        <v>677</v>
      </c>
      <c r="B19" s="58" t="str">
        <f ca="1">VLOOKUP($A19,OFFSET([1]characters!$A$1,0,0,COUNTA([1]characters!$A:$A),MATCH(B$1,[1]characters!$1:$1,0)-MATCH($A$1,[1]characters!$1:$1,0)+1),MATCH(B$1,[1]characters!$1:$1,0)-MATCH($A$1,[1]characters!$1:$1,0)+1,FALSE)</f>
        <v>武遊闊歩 ヴィシュヌ</v>
      </c>
      <c r="C19" s="58" t="str">
        <f ca="1">VLOOKUP($A19,OFFSET([1]characters!$A$1,0,0,COUNTA([1]characters!$A:$A),MATCH(C$1,[1]characters!$1:$1,0)-MATCH($A$1,[1]characters!$1:$1,0)+1),MATCH(C$1,[1]characters!$1:$1,0)-MATCH($A$1,[1]characters!$1:$1,0)+1,FALSE)</f>
        <v>ガチャ:ヒンドゥ-01</v>
      </c>
      <c r="D19" s="58" t="str">
        <f ca="1">VLOOKUP($A19,OFFSET([1]characters!$A$1,0,0,COUNTA([1]characters!$A:$A),MATCH(D$1,[1]characters!$1:$1,0)-MATCH($A$1,[1]characters!$1:$1,0)+1),MATCH(D$1,[1]characters!$1:$1,0)-MATCH($A$1,[1]characters!$1:$1,0)+1,FALSE)</f>
        <v>執行者</v>
      </c>
      <c r="E19" s="58" t="str">
        <f ca="1">VLOOKUP($A19,OFFSET([1]characters!$A$1,0,0,COUNTA([1]characters!$A:$A),MATCH(E$1,[1]characters!$1:$1,0)-MATCH($A$1,[1]characters!$1:$1,0)+1),MATCH(E$1,[1]characters!$1:$1,0)-MATCH($A$1,[1]characters!$1:$1,0)+1,FALSE)</f>
        <v>格好いい</v>
      </c>
      <c r="F19" s="58" t="str">
        <f ca="1">VLOOKUP($A19,OFFSET([1]characters!$A$1,0,0,COUNTA([1]characters!$A:$A),MATCH(F$1,[1]characters!$1:$1,0)-MATCH($A$1,[1]characters!$1:$1,0)+1),MATCH(F$1,[1]characters!$1:$1,0)-MATCH($A$1,[1]characters!$1:$1,0)+1,FALSE)</f>
        <v>女性</v>
      </c>
      <c r="G19" s="58">
        <f ca="1">VLOOKUP($A19,OFFSET([1]characters!$A$1,0,0,COUNTA([1]characters!$A:$A),MATCH(G$1,[1]characters!$1:$1,0)-MATCH($A$1,[1]characters!$1:$1,0)+1),MATCH(G$1,[1]characters!$1:$1,0)-MATCH($A$1,[1]characters!$1:$1,0)+1,FALSE)</f>
        <v>5</v>
      </c>
      <c r="H19" s="58" t="str">
        <f ca="1">VLOOKUP($A19,OFFSET([1]characters!$A$1,0,0,COUNTA([1]characters!$A:$A),MATCH(H$1,[1]characters!$1:$1,0)-MATCH($A$1,[1]characters!$1:$1,0)+1),MATCH(H$1,[1]characters!$1:$1,0)-MATCH($A$1,[1]characters!$1:$1,0)+1,FALSE)</f>
        <v>PremiumSS</v>
      </c>
      <c r="I19" s="58" t="str">
        <f ca="1">VLOOKUP($A19,OFFSET([1]characters!$A$1,0,0,COUNTA([1]characters!$A:$A),MATCH(I$1,[1]characters!$1:$1,0)-MATCH($A$1,[1]characters!$1:$1,0)+1),MATCH(I$1,[1]characters!$1:$1,0)-MATCH($A$1,[1]characters!$1:$1,0)+1,FALSE)</f>
        <v>yellow</v>
      </c>
      <c r="J19" s="11">
        <f ca="1">VLOOKUP(I19,[1]属性!$A:$E,2,FALSE)</f>
        <v>0.98</v>
      </c>
      <c r="K19" s="11">
        <f ca="1">VLOOKUP(I19,[1]属性!$A:$E,3,FALSE)</f>
        <v>1.01</v>
      </c>
      <c r="L19" s="11">
        <f ca="1">VLOOKUP(I19,[1]属性!$A:$E,4,FALSE)</f>
        <v>1</v>
      </c>
      <c r="M19" s="11">
        <f ca="1">VLOOKUP(I19,[1]属性!$A:$E,5,FALSE)</f>
        <v>1.01</v>
      </c>
      <c r="N19" s="11">
        <f ca="1">INDEX([2]コスト!$A$1:$I$20,MATCH(H19,[2]コスト!$A$1:$A$20,FALSE),MATCH(G19,[2]コスト!$A$1:$I$1,FALSE))</f>
        <v>35</v>
      </c>
      <c r="O19" s="11">
        <f ca="1">INDEX([2]レベル!$A$1:$I$21,MATCH(H19,[2]レベル!$A$1:$A$21,FALSE),MATCH(G19,[2]レベル!$A$1:$I$1,FALSE))</f>
        <v>80</v>
      </c>
      <c r="P19" s="48">
        <f t="shared" ca="1" si="0"/>
        <v>75</v>
      </c>
      <c r="Q19" s="58" t="str">
        <f ca="1">VLOOKUP($A19,OFFSET([1]characters!$A$1,0,0,COUNTA([1]characters!$A:$A),MATCH(Q$1,[1]characters!$1:$1,0)-MATCH($A$1,[1]characters!$1:$1,0)+1),MATCH(Q$1,[1]characters!$1:$1,0)-MATCH($A$1,[1]characters!$1:$1,0)+1,FALSE)</f>
        <v>attack</v>
      </c>
      <c r="R19" s="5" t="str">
        <f ca="1">VLOOKUP(Q19,[1]character_type_i18n!$A:$H,3,FALSE)</f>
        <v>攻撃タイプ</v>
      </c>
      <c r="S19" s="11">
        <f ca="1">VLOOKUP(Q19,[1]character_type_i18n!$A:$H,4,FALSE)</f>
        <v>1</v>
      </c>
      <c r="T19" s="11">
        <f ca="1">VLOOKUP(Q19,[1]character_type_i18n!$A:$H,5,FALSE)</f>
        <v>1.33</v>
      </c>
      <c r="U19" s="11">
        <f ca="1">VLOOKUP(Q19,[1]character_type_i18n!$A:$H,6,FALSE)</f>
        <v>1</v>
      </c>
      <c r="V19" s="11">
        <f ca="1">VLOOKUP(Q19,[1]character_type_i18n!$A:$H,7,FALSE)</f>
        <v>0.67</v>
      </c>
      <c r="W19" s="58" t="str">
        <f ca="1">VLOOKUP($A19,OFFSET([1]characters!$A$1,0,0,COUNTA([1]characters!$A:$A),MATCH(W$1,[1]characters!$1:$1,0)-MATCH($A$1,[1]characters!$1:$1,0)+1),MATCH(W$1,[1]characters!$1:$1,0)-MATCH($A$1,[1]characters!$1:$1,0)+1,FALSE)</f>
        <v>god</v>
      </c>
      <c r="X19" s="5" t="str">
        <f ca="1">VLOOKUP(W19,[1]character_tribe_i18n!$A:$H,3,FALSE)</f>
        <v>ゴッド</v>
      </c>
      <c r="Y19" s="58" t="str">
        <f ca="1">VLOOKUP($A19,OFFSET([1]characters!$A$1,0,0,COUNTA([1]characters!$A:$A),MATCH(Y$1,[1]characters!$1:$1,0)-MATCH($A$1,[1]characters!$1:$1,0)+1),MATCH(Y$1,[1]characters!$1:$1,0)-MATCH($A$1,[1]characters!$1:$1,0)+1,FALSE)</f>
        <v>none</v>
      </c>
      <c r="Z19" s="5" t="str">
        <f ca="1">VLOOKUP(Y19,[1]character_tribe_i18n!$A:$H,3,FALSE)</f>
        <v>種族なし</v>
      </c>
      <c r="AA19" s="11">
        <f ca="1">VLOOKUP(W19,[1]character_tribe_i18n!$A:$H,4,FALSE)</f>
        <v>0.96</v>
      </c>
      <c r="AB19" s="11">
        <f ca="1">VLOOKUP(W19,[1]character_tribe_i18n!$A:$H,5,FALSE)</f>
        <v>1.02</v>
      </c>
      <c r="AC19" s="11">
        <f ca="1">VLOOKUP(W19,[1]character_tribe_i18n!$A:$H,6,FALSE)</f>
        <v>1</v>
      </c>
      <c r="AD19" s="11">
        <f ca="1">VLOOKUP(W19,[1]character_tribe_i18n!$A:$H,7,FALSE)</f>
        <v>1.02</v>
      </c>
      <c r="AE19" s="9" t="s">
        <v>189</v>
      </c>
      <c r="AF19" s="63" t="str">
        <f ca="1">IF(AE19="NULL","",VLOOKUP($AE19,OFFSET([1]characters!$A$1,0,0,COUNTA([1]characters!$A:$A),MATCH(AF$1,[1]characters!$1:$1,0)-MATCH($A$1,[1]characters!$1:$1,0)+1),MATCH(AF$1,[1]characters!$1:$1,0)-MATCH($A$1,[1]characters!$1:$1,0)+1,FALSE))</f>
        <v/>
      </c>
      <c r="AG19" s="5">
        <f t="shared" ca="1" si="1"/>
        <v>676</v>
      </c>
      <c r="AH19" s="63" t="str">
        <f ca="1">VLOOKUP($AG19,OFFSET([1]characters!$A$1,0,0,COUNTA([1]characters!$A:$A),MATCH(AH$1,[1]characters!$1:$1,0)-MATCH($A$1,[1]characters!$1:$1,0)+1),MATCH(AH$1,[1]characters!$1:$1,0)-MATCH($A$1,[1]characters!$1:$1,0)+1,FALSE)</f>
        <v>ヴィシュヌ</v>
      </c>
      <c r="AI19" s="11" t="str">
        <f>IF(AE19="NULL","NULL",VLOOKUP(G19,[2]ビット!$A$2:$B$7,2))</f>
        <v>NULL</v>
      </c>
      <c r="AJ19" s="6">
        <v>2</v>
      </c>
      <c r="AK19" s="7" t="str">
        <f t="shared" si="2"/>
        <v>普通</v>
      </c>
      <c r="AL19" s="11" t="str">
        <f ca="1">INDEX([2]経験値!$A$1:$I$20,MATCH(H19,[2]経験値!$A$1:$A$20,FALSE),MATCH(G19,[2]経験値!$A$1:$I$1,FALSE))</f>
        <v>required_exp_200</v>
      </c>
      <c r="AM19" s="8">
        <f ca="1">VLOOKUP(G19,[2]経験値!$A$27:$B$31,2)</f>
        <v>6400</v>
      </c>
      <c r="AN19" s="17">
        <f ca="1">VLOOKUP(G19,[2]ビット!$G$2:$H$7,2)</f>
        <v>900</v>
      </c>
      <c r="AO19" s="45"/>
      <c r="AP19" s="68">
        <f t="shared" si="6"/>
        <v>677</v>
      </c>
      <c r="AQ19" s="58" t="str">
        <f ca="1">VLOOKUP($AP19,OFFSET(unit_skills!$A$1,0,0,COUNTA(unit_skills!$A:$A),MATCH(AQ$1,unit_skills!$1:$1,0)-MATCH($AP$1,unit_skills!$1:$1,0)+1),MATCH(AQ$1,unit_skills!$1:$1,0)-MATCH($AP$1,unit_skills!$1:$1,0)+1,FALSE)</f>
        <v>常世照光の武踏</v>
      </c>
      <c r="AR19" s="58" t="str">
        <f ca="1">VLOOKUP($AP19,OFFSET(unit_skills!$A$1,0,0,COUNTA(unit_skills!$A:$A),MATCH(AR$1,unit_skills!$1:$1,0)-MATCH($AP$1,unit_skills!$1:$1,0)+1),MATCH(AR$1,unit_skills!$1:$1,0)-MATCH($AP$1,unit_skills!$1:$1,0)+1,FALSE)</f>
        <v>ランダムで1つSCパネル(大)に変換する+2ターンCパネル生成を短縮(効果大)</v>
      </c>
      <c r="AS19" s="58">
        <f ca="1">VLOOKUP($AP19,OFFSET(unit_skills!$A$1,0,0,COUNTA(unit_skills!$A:$A),MATCH(AS$1,unit_skills!$1:$1,0)-MATCH($AP$1,unit_skills!$1:$1,0)+1),MATCH(AS$1,unit_skills!$1:$1,0)-MATCH($AP$1,unit_skills!$1:$1,0)+1,FALSE)</f>
        <v>0</v>
      </c>
      <c r="AT19" s="41">
        <f t="shared" si="7"/>
        <v>677</v>
      </c>
      <c r="AU19" s="58" t="str">
        <f ca="1">VLOOKUP($AT19,OFFSET(crash_skills!$A$1,0,0,COUNTA(crash_skills!$A:$A),MATCH(AU$1,crash_skills!$1:$1,0)-MATCH($AT$1,crash_skills!$1:$1,0)+1),MATCH(AU$1,crash_skills!$1:$1,0)-MATCH($AT$1,crash_skills!$1:$1,0)+1,FALSE)</f>
        <v>双砕スダルシャナ</v>
      </c>
      <c r="AV19" s="58" t="str">
        <f ca="1">VLOOKUP($AT19,OFFSET(crash_skills!$A$1,0,0,COUNTA(crash_skills!$A:$A),MATCH(AV$1,crash_skills!$1:$1,0)-MATCH($AT$1,crash_skills!$1:$1,0)+1),MATCH(AV$1,crash_skills!$1:$1,0)-MATCH($AT$1,crash_skills!$1:$1,0)+1,FALSE)</f>
        <v>単体に2回中ダメージ</v>
      </c>
      <c r="AW19" s="58">
        <f ca="1">VLOOKUP($AT19,OFFSET(crash_skills!$A$1,0,0,COUNTA(crash_skills!$A:$A),MATCH(AW$1,crash_skills!$1:$1,0)-MATCH($AT$1,crash_skills!$1:$1,0)+1),MATCH(AW$1,crash_skills!$1:$1,0)-MATCH($AT$1,crash_skills!$1:$1,0)+1,FALSE)</f>
        <v>0</v>
      </c>
      <c r="AX19" s="59">
        <f ca="1">VLOOKUP($A19,OFFSET([1]characters!$A$1,0,0,COUNTA([1]characters!$A:$A),MATCH(AX$1,[1]characters!$1:$1,0)-MATCH($A$1,[1]characters!$1:$1,0)+1),MATCH(AX$1,[1]characters!$1:$1,0)-MATCH($A$1,[1]characters!$1:$1,0)+1,FALSE)</f>
        <v>3</v>
      </c>
      <c r="AY19" s="69">
        <v>1</v>
      </c>
      <c r="AZ19" s="69">
        <v>1</v>
      </c>
      <c r="BA19" s="69">
        <v>0</v>
      </c>
      <c r="BB19" s="69">
        <v>1</v>
      </c>
      <c r="BC19" s="11">
        <f ca="1">INDEX([2]RC6SV!$A$1:$G$20,MATCH(H19,[2]RC6SV!$A$1:$A$20,FALSE),MATCH(G19,[2]RC6SV!$A$1:$G$1,FALSE))</f>
        <v>9500</v>
      </c>
      <c r="BD19" s="48">
        <f t="shared" ca="1" si="3"/>
        <v>9500</v>
      </c>
      <c r="BE19" s="11">
        <f t="shared" ca="1" si="4"/>
        <v>7500</v>
      </c>
      <c r="BF19" s="11">
        <f t="shared" ca="1" si="5"/>
        <v>1</v>
      </c>
      <c r="BG19" s="16">
        <f ca="1">IF($BE19&lt;=0,ROUND(BK19*0.5,0), ROUND($BE19*S19*AA19*J19*AY19*0.8*[1]ステータス!$B$2,0))</f>
        <v>2822</v>
      </c>
      <c r="BH19" s="16">
        <f ca="1">IF($BE19&lt;=0,ROUND(BL19*0.5,0), ROUND($BE19*T19*AB19*K19*AZ19*0.8*[1]ステータス!$C$2,0))</f>
        <v>2466</v>
      </c>
      <c r="BI19" s="16">
        <f ca="1">IF($BE19&lt;=0,ROUND(BM19*0.5,0), ROUND($BE19*U19*AC19*L19*BA19*0.8*[1]ステータス!$D$2,0))</f>
        <v>0</v>
      </c>
      <c r="BJ19" s="16">
        <f ca="1">IF($BE19&lt;=0,ROUND(BN19*0.5,0), ROUND($BE19*V19*AD19*M19*BB19*0.8*[1]ステータス!$E$2,0))</f>
        <v>1035</v>
      </c>
      <c r="BK19" s="11">
        <f ca="1">ROUND(BD19*S19*AA19*J19*AY19*[1]ステータス!$B$2,0)</f>
        <v>4469</v>
      </c>
      <c r="BL19" s="11">
        <f ca="1">ROUND(BD19*T19*AB19*K19*AZ19*[1]ステータス!$C$2,0)</f>
        <v>3905</v>
      </c>
      <c r="BM19" s="11">
        <f ca="1">ROUND(BD19*U19*AC19*L19*BA19*[1]ステータス!$D$2,0)</f>
        <v>0</v>
      </c>
      <c r="BN19" s="11">
        <f ca="1">ROUND(BD19*V19*AD19*M19*BB19*[1]ステータス!$E$2,0)</f>
        <v>1639</v>
      </c>
      <c r="BO19" s="10">
        <v>0</v>
      </c>
      <c r="BP19" s="10">
        <v>1</v>
      </c>
      <c r="BQ19" s="10" t="s">
        <v>53</v>
      </c>
      <c r="BR19" s="10">
        <f ca="1">VLOOKUP(H19,ghosts_label!$A$2:$B$19,2,FALSE)</f>
        <v>5500</v>
      </c>
    </row>
  </sheetData>
  <autoFilter ref="A1:BQ1"/>
  <phoneticPr fontId="10"/>
  <conditionalFormatting sqref="BO1">
    <cfRule type="cellIs" dxfId="27" priority="120" stopIfTrue="1" operator="equal">
      <formula>1</formula>
    </cfRule>
  </conditionalFormatting>
  <conditionalFormatting sqref="BQ1">
    <cfRule type="cellIs" dxfId="26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18"/>
  <sheetViews>
    <sheetView showGridLines="0" workbookViewId="0">
      <pane xSplit="4" ySplit="1" topLeftCell="G2" activePane="bottomRight" state="frozen"/>
      <selection pane="topRight" activeCell="D1" sqref="D1"/>
      <selection pane="bottomLeft" activeCell="A2" sqref="A2"/>
      <selection pane="bottomRight" activeCell="B21" sqref="B21"/>
    </sheetView>
  </sheetViews>
  <sheetFormatPr baseColWidth="12" defaultColWidth="13" defaultRowHeight="21" customHeight="1" outlineLevelCol="1" x14ac:dyDescent="0.15"/>
  <cols>
    <col min="1" max="1" width="16.1640625" style="137" bestFit="1" customWidth="1"/>
    <col min="2" max="2" width="13" style="137" bestFit="1" customWidth="1"/>
    <col min="3" max="3" width="21.83203125" style="137" customWidth="1"/>
    <col min="4" max="4" width="41.83203125" style="137" customWidth="1"/>
    <col min="5" max="5" width="9" style="137" customWidth="1"/>
    <col min="6" max="6" width="7.83203125" style="137" bestFit="1" customWidth="1"/>
    <col min="7" max="7" width="8.1640625" style="137" bestFit="1" customWidth="1"/>
    <col min="8" max="8" width="13.6640625" style="137" bestFit="1" customWidth="1"/>
    <col min="9" max="10" width="51.6640625" style="137" customWidth="1"/>
    <col min="11" max="11" width="10.83203125" style="137" customWidth="1" outlineLevel="1"/>
    <col min="12" max="17" width="9.5" style="136" customWidth="1" outlineLevel="1"/>
    <col min="18" max="18" width="20.33203125" style="137" customWidth="1" outlineLevel="1"/>
    <col min="19" max="19" width="10.33203125" style="137" bestFit="1" customWidth="1"/>
    <col min="20" max="16384" width="13" style="137"/>
  </cols>
  <sheetData>
    <row r="1" spans="1:19" s="136" customFormat="1" ht="21" customHeight="1" x14ac:dyDescent="0.15">
      <c r="A1" s="125" t="s">
        <v>20</v>
      </c>
      <c r="B1" s="126" t="s">
        <v>140</v>
      </c>
      <c r="C1" s="127" t="s">
        <v>46</v>
      </c>
      <c r="D1" s="128" t="s">
        <v>169</v>
      </c>
      <c r="E1" s="128" t="s">
        <v>170</v>
      </c>
      <c r="F1" s="125" t="s">
        <v>152</v>
      </c>
      <c r="G1" s="129" t="s">
        <v>2</v>
      </c>
      <c r="H1" s="129" t="s">
        <v>171</v>
      </c>
      <c r="I1" s="129" t="s">
        <v>172</v>
      </c>
      <c r="J1" s="130" t="s">
        <v>190</v>
      </c>
      <c r="K1" s="129" t="s">
        <v>4</v>
      </c>
      <c r="L1" s="131" t="s">
        <v>173</v>
      </c>
      <c r="M1" s="132" t="s">
        <v>174</v>
      </c>
      <c r="N1" s="132" t="s">
        <v>175</v>
      </c>
      <c r="O1" s="132" t="s">
        <v>176</v>
      </c>
      <c r="P1" s="132" t="s">
        <v>177</v>
      </c>
      <c r="Q1" s="133" t="s">
        <v>178</v>
      </c>
      <c r="R1" s="134" t="s">
        <v>179</v>
      </c>
      <c r="S1" s="135" t="s">
        <v>180</v>
      </c>
    </row>
    <row r="2" spans="1:19" ht="21" customHeight="1" x14ac:dyDescent="0.15">
      <c r="A2" s="12">
        <f>units!A2</f>
        <v>642</v>
      </c>
      <c r="B2" s="164" t="s">
        <v>255</v>
      </c>
      <c r="C2" s="165" t="s">
        <v>363</v>
      </c>
      <c r="D2" s="166" t="s">
        <v>367</v>
      </c>
      <c r="E2" s="167">
        <f t="shared" ref="E2:E17" si="0">LEN(D2)</f>
        <v>39</v>
      </c>
      <c r="F2" s="124">
        <v>14</v>
      </c>
      <c r="G2" s="124">
        <v>5</v>
      </c>
      <c r="H2" s="168">
        <f>2001</f>
        <v>2001</v>
      </c>
      <c r="I2" s="168" t="s">
        <v>368</v>
      </c>
      <c r="J2" s="58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カーマ</v>
      </c>
      <c r="K2" s="169">
        <v>3</v>
      </c>
      <c r="L2" s="170"/>
      <c r="M2" s="171"/>
      <c r="N2" s="171"/>
      <c r="O2" s="171"/>
      <c r="P2" s="171"/>
      <c r="Q2" s="171"/>
      <c r="R2" s="165"/>
      <c r="S2" s="172"/>
    </row>
    <row r="3" spans="1:19" ht="21" customHeight="1" x14ac:dyDescent="0.15">
      <c r="A3" s="12">
        <f>units!A3</f>
        <v>643</v>
      </c>
      <c r="B3" s="164" t="s">
        <v>255</v>
      </c>
      <c r="C3" s="165" t="s">
        <v>362</v>
      </c>
      <c r="D3" s="166" t="s">
        <v>367</v>
      </c>
      <c r="E3" s="167">
        <f t="shared" si="0"/>
        <v>39</v>
      </c>
      <c r="F3" s="124">
        <v>14</v>
      </c>
      <c r="G3" s="124">
        <f t="shared" ref="G3:G15" si="1">G2</f>
        <v>5</v>
      </c>
      <c r="H3" s="168">
        <f>2001</f>
        <v>2001</v>
      </c>
      <c r="I3" s="168" t="s">
        <v>368</v>
      </c>
      <c r="J3" s="58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愛花天神 カーマ</v>
      </c>
      <c r="K3" s="169">
        <v>3</v>
      </c>
      <c r="L3" s="170"/>
      <c r="M3" s="171"/>
      <c r="N3" s="171"/>
      <c r="O3" s="171"/>
      <c r="P3" s="171"/>
      <c r="Q3" s="171"/>
      <c r="R3" s="165"/>
      <c r="S3" s="172"/>
    </row>
    <row r="4" spans="1:19" ht="21" customHeight="1" x14ac:dyDescent="0.15">
      <c r="A4" s="12">
        <f>units!A4</f>
        <v>648</v>
      </c>
      <c r="B4" s="164" t="s">
        <v>255</v>
      </c>
      <c r="C4" s="165" t="s">
        <v>286</v>
      </c>
      <c r="D4" s="166" t="s">
        <v>270</v>
      </c>
      <c r="E4" s="167">
        <f t="shared" si="0"/>
        <v>26</v>
      </c>
      <c r="F4" s="124">
        <v>13</v>
      </c>
      <c r="G4" s="124">
        <f t="shared" si="1"/>
        <v>5</v>
      </c>
      <c r="H4" s="168">
        <f>2001</f>
        <v>2001</v>
      </c>
      <c r="I4" s="168" t="s">
        <v>272</v>
      </c>
      <c r="J4" s="58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パールヴァティ</v>
      </c>
      <c r="K4" s="169">
        <v>3</v>
      </c>
      <c r="L4" s="170"/>
      <c r="M4" s="171"/>
      <c r="N4" s="171"/>
      <c r="O4" s="171"/>
      <c r="P4" s="171"/>
      <c r="Q4" s="171"/>
      <c r="R4" s="165"/>
      <c r="S4" s="172"/>
    </row>
    <row r="5" spans="1:19" ht="21" customHeight="1" x14ac:dyDescent="0.15">
      <c r="A5" s="12">
        <f>units!A5</f>
        <v>649</v>
      </c>
      <c r="B5" s="164" t="s">
        <v>255</v>
      </c>
      <c r="C5" s="165" t="s">
        <v>285</v>
      </c>
      <c r="D5" s="166" t="s">
        <v>270</v>
      </c>
      <c r="E5" s="167">
        <f t="shared" si="0"/>
        <v>26</v>
      </c>
      <c r="F5" s="124">
        <v>14</v>
      </c>
      <c r="G5" s="124">
        <f t="shared" si="1"/>
        <v>5</v>
      </c>
      <c r="H5" s="168">
        <f>2001</f>
        <v>2001</v>
      </c>
      <c r="I5" s="168" t="s">
        <v>272</v>
      </c>
      <c r="J5" s="58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寄咲く一輪華 パールヴァティ</v>
      </c>
      <c r="K5" s="169">
        <v>3</v>
      </c>
      <c r="L5" s="170"/>
      <c r="M5" s="171"/>
      <c r="N5" s="171"/>
      <c r="O5" s="171"/>
      <c r="P5" s="171"/>
      <c r="Q5" s="171"/>
      <c r="R5" s="165"/>
      <c r="S5" s="172"/>
    </row>
    <row r="6" spans="1:19" ht="21" customHeight="1" x14ac:dyDescent="0.15">
      <c r="A6" s="12">
        <f>units!A6</f>
        <v>652</v>
      </c>
      <c r="B6" s="164" t="s">
        <v>255</v>
      </c>
      <c r="C6" s="165" t="s">
        <v>287</v>
      </c>
      <c r="D6" s="166" t="s">
        <v>333</v>
      </c>
      <c r="E6" s="167">
        <f t="shared" si="0"/>
        <v>31</v>
      </c>
      <c r="F6" s="124">
        <v>11</v>
      </c>
      <c r="G6" s="124">
        <f t="shared" si="1"/>
        <v>5</v>
      </c>
      <c r="H6" s="168">
        <f>2001</f>
        <v>2001</v>
      </c>
      <c r="I6" s="168" t="s">
        <v>335</v>
      </c>
      <c r="J6" s="58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アナンタ</v>
      </c>
      <c r="K6" s="169">
        <v>3</v>
      </c>
      <c r="L6" s="170"/>
      <c r="M6" s="171"/>
      <c r="N6" s="171"/>
      <c r="O6" s="171"/>
      <c r="P6" s="171"/>
      <c r="Q6" s="171"/>
      <c r="R6" s="165"/>
      <c r="S6" s="172"/>
    </row>
    <row r="7" spans="1:19" ht="21" customHeight="1" x14ac:dyDescent="0.15">
      <c r="A7" s="12">
        <f>units!A7</f>
        <v>653</v>
      </c>
      <c r="B7" s="164" t="s">
        <v>255</v>
      </c>
      <c r="C7" s="165" t="s">
        <v>288</v>
      </c>
      <c r="D7" s="166" t="s">
        <v>333</v>
      </c>
      <c r="E7" s="167">
        <f t="shared" si="0"/>
        <v>31</v>
      </c>
      <c r="F7" s="124">
        <v>11</v>
      </c>
      <c r="G7" s="124">
        <f t="shared" si="1"/>
        <v>5</v>
      </c>
      <c r="H7" s="168">
        <f>2001</f>
        <v>2001</v>
      </c>
      <c r="I7" s="168" t="s">
        <v>335</v>
      </c>
      <c r="J7" s="58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悠久の狡蛇 アナンタ</v>
      </c>
      <c r="K7" s="169">
        <v>3</v>
      </c>
      <c r="L7" s="170"/>
      <c r="M7" s="171"/>
      <c r="N7" s="171"/>
      <c r="O7" s="171"/>
      <c r="P7" s="171"/>
      <c r="Q7" s="171"/>
      <c r="R7" s="165"/>
      <c r="S7" s="172"/>
    </row>
    <row r="8" spans="1:19" ht="21" customHeight="1" x14ac:dyDescent="0.15">
      <c r="A8" s="12">
        <f>units!A8</f>
        <v>656</v>
      </c>
      <c r="B8" s="164" t="s">
        <v>255</v>
      </c>
      <c r="C8" s="178" t="s">
        <v>329</v>
      </c>
      <c r="D8" s="166" t="s">
        <v>332</v>
      </c>
      <c r="E8" s="167">
        <f t="shared" si="0"/>
        <v>42</v>
      </c>
      <c r="F8" s="124">
        <v>12</v>
      </c>
      <c r="G8" s="124">
        <f t="shared" si="1"/>
        <v>5</v>
      </c>
      <c r="H8" s="168">
        <f>2001</f>
        <v>2001</v>
      </c>
      <c r="I8" s="168" t="s">
        <v>336</v>
      </c>
      <c r="J8" s="58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シヴァ</v>
      </c>
      <c r="K8" s="169">
        <v>3</v>
      </c>
      <c r="L8" s="170"/>
      <c r="M8" s="171"/>
      <c r="N8" s="171"/>
      <c r="O8" s="171"/>
      <c r="P8" s="171"/>
      <c r="Q8" s="171"/>
      <c r="R8" s="165"/>
      <c r="S8" s="172"/>
    </row>
    <row r="9" spans="1:19" ht="21" customHeight="1" x14ac:dyDescent="0.15">
      <c r="A9" s="12">
        <f>units!A9</f>
        <v>657</v>
      </c>
      <c r="B9" s="164" t="s">
        <v>255</v>
      </c>
      <c r="C9" s="178" t="s">
        <v>329</v>
      </c>
      <c r="D9" s="166" t="s">
        <v>332</v>
      </c>
      <c r="E9" s="167">
        <f t="shared" si="0"/>
        <v>42</v>
      </c>
      <c r="F9" s="124">
        <v>12</v>
      </c>
      <c r="G9" s="124">
        <f t="shared" si="1"/>
        <v>5</v>
      </c>
      <c r="H9" s="168">
        <f>2001</f>
        <v>2001</v>
      </c>
      <c r="I9" s="168" t="s">
        <v>366</v>
      </c>
      <c r="J9" s="58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解滅の裁神 シヴァ</v>
      </c>
      <c r="K9" s="169">
        <v>3</v>
      </c>
      <c r="L9" s="170"/>
      <c r="M9" s="171"/>
      <c r="N9" s="171"/>
      <c r="O9" s="171"/>
      <c r="P9" s="171"/>
      <c r="Q9" s="171"/>
      <c r="R9" s="165"/>
      <c r="S9" s="172"/>
    </row>
    <row r="10" spans="1:19" ht="21" customHeight="1" x14ac:dyDescent="0.15">
      <c r="A10" s="12">
        <f>units!A10</f>
        <v>668</v>
      </c>
      <c r="B10" s="164" t="s">
        <v>255</v>
      </c>
      <c r="C10" s="165" t="s">
        <v>289</v>
      </c>
      <c r="D10" s="166" t="s">
        <v>275</v>
      </c>
      <c r="E10" s="167">
        <f t="shared" si="0"/>
        <v>27</v>
      </c>
      <c r="F10" s="124">
        <v>10</v>
      </c>
      <c r="G10" s="124">
        <f t="shared" si="1"/>
        <v>5</v>
      </c>
      <c r="H10" s="168">
        <f>2001</f>
        <v>2001</v>
      </c>
      <c r="I10" s="168" t="s">
        <v>277</v>
      </c>
      <c r="J10" s="58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アグニ</v>
      </c>
      <c r="K10" s="169">
        <v>3</v>
      </c>
      <c r="L10" s="170"/>
      <c r="M10" s="171"/>
      <c r="N10" s="171"/>
      <c r="O10" s="171"/>
      <c r="P10" s="171"/>
      <c r="Q10" s="171"/>
      <c r="R10" s="165"/>
      <c r="S10" s="172"/>
    </row>
    <row r="11" spans="1:19" ht="21" customHeight="1" x14ac:dyDescent="0.15">
      <c r="A11" s="12">
        <f>units!A11</f>
        <v>669</v>
      </c>
      <c r="B11" s="164" t="s">
        <v>255</v>
      </c>
      <c r="C11" s="165" t="s">
        <v>289</v>
      </c>
      <c r="D11" s="166" t="s">
        <v>275</v>
      </c>
      <c r="E11" s="167">
        <f t="shared" si="0"/>
        <v>27</v>
      </c>
      <c r="F11" s="124">
        <v>10</v>
      </c>
      <c r="G11" s="124">
        <f t="shared" si="1"/>
        <v>5</v>
      </c>
      <c r="H11" s="168">
        <f>2001</f>
        <v>2001</v>
      </c>
      <c r="I11" s="168" t="s">
        <v>277</v>
      </c>
      <c r="J11" s="58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天地の仲界 アグニ</v>
      </c>
      <c r="K11" s="169">
        <v>3</v>
      </c>
      <c r="L11" s="170"/>
      <c r="M11" s="171"/>
      <c r="N11" s="171"/>
      <c r="O11" s="171"/>
      <c r="P11" s="171"/>
      <c r="Q11" s="171"/>
      <c r="R11" s="165"/>
      <c r="S11" s="172"/>
    </row>
    <row r="12" spans="1:19" ht="21" customHeight="1" x14ac:dyDescent="0.15">
      <c r="A12" s="12">
        <f>units!A12</f>
        <v>670</v>
      </c>
      <c r="B12" s="164" t="s">
        <v>255</v>
      </c>
      <c r="C12" s="165" t="s">
        <v>289</v>
      </c>
      <c r="D12" s="166" t="s">
        <v>275</v>
      </c>
      <c r="E12" s="167">
        <f t="shared" si="0"/>
        <v>27</v>
      </c>
      <c r="F12" s="124">
        <v>10</v>
      </c>
      <c r="G12" s="124">
        <f t="shared" si="1"/>
        <v>5</v>
      </c>
      <c r="H12" s="168">
        <f>2001</f>
        <v>2001</v>
      </c>
      <c r="I12" s="168" t="s">
        <v>276</v>
      </c>
      <c r="J12" s="58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陽天の噴煙 アグニ</v>
      </c>
      <c r="K12" s="169">
        <v>3</v>
      </c>
      <c r="L12" s="170"/>
      <c r="M12" s="171"/>
      <c r="N12" s="171"/>
      <c r="O12" s="171"/>
      <c r="P12" s="171"/>
      <c r="Q12" s="171"/>
      <c r="R12" s="165"/>
      <c r="S12" s="172"/>
    </row>
    <row r="13" spans="1:19" ht="21" customHeight="1" x14ac:dyDescent="0.15">
      <c r="A13" s="12">
        <f>units!A13</f>
        <v>671</v>
      </c>
      <c r="B13" s="164" t="s">
        <v>255</v>
      </c>
      <c r="C13" s="165" t="s">
        <v>290</v>
      </c>
      <c r="D13" s="166" t="s">
        <v>283</v>
      </c>
      <c r="E13" s="167">
        <f t="shared" si="0"/>
        <v>49</v>
      </c>
      <c r="F13" s="124">
        <v>11</v>
      </c>
      <c r="G13" s="124">
        <f t="shared" si="1"/>
        <v>5</v>
      </c>
      <c r="H13" s="168">
        <f>2001</f>
        <v>2001</v>
      </c>
      <c r="I13" s="168" t="s">
        <v>334</v>
      </c>
      <c r="J13" s="58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ハヌマーン</v>
      </c>
      <c r="K13" s="169">
        <v>3</v>
      </c>
      <c r="L13" s="170"/>
      <c r="M13" s="171"/>
      <c r="N13" s="171"/>
      <c r="O13" s="171"/>
      <c r="P13" s="171"/>
      <c r="Q13" s="171"/>
      <c r="R13" s="165"/>
      <c r="S13" s="172"/>
    </row>
    <row r="14" spans="1:19" ht="21" customHeight="1" x14ac:dyDescent="0.15">
      <c r="A14" s="12">
        <f>units!A14</f>
        <v>672</v>
      </c>
      <c r="B14" s="164" t="s">
        <v>255</v>
      </c>
      <c r="C14" s="165" t="s">
        <v>290</v>
      </c>
      <c r="D14" s="166" t="s">
        <v>283</v>
      </c>
      <c r="E14" s="167">
        <f t="shared" si="0"/>
        <v>49</v>
      </c>
      <c r="F14" s="124">
        <v>11</v>
      </c>
      <c r="G14" s="124">
        <f t="shared" si="1"/>
        <v>5</v>
      </c>
      <c r="H14" s="168">
        <f>2001</f>
        <v>2001</v>
      </c>
      <c r="I14" s="168" t="s">
        <v>284</v>
      </c>
      <c r="J14" s="58" t="str">
        <f ca="1">VLOOKUP($A14,OFFSET([1]characters!$A$1,0,0,COUNTA([1]characters!$A:$A),MATCH("name",[1]characters!$1:$1,0)-MATCH("character_id",[1]characters!$1:$1,0)+1),MATCH("name",[1]characters!$1:$1,0)-MATCH("character_id",[1]characters!$1:$1,0)+1,FALSE)</f>
        <v>西遊韋駄天 ハヌマーン</v>
      </c>
      <c r="K14" s="169">
        <v>3</v>
      </c>
      <c r="L14" s="170"/>
      <c r="M14" s="171"/>
      <c r="N14" s="171"/>
      <c r="O14" s="171"/>
      <c r="P14" s="171"/>
      <c r="Q14" s="171"/>
      <c r="R14" s="165"/>
      <c r="S14" s="172"/>
    </row>
    <row r="15" spans="1:19" ht="21" customHeight="1" x14ac:dyDescent="0.15">
      <c r="A15" s="12">
        <f>units!A15</f>
        <v>673</v>
      </c>
      <c r="B15" s="164" t="s">
        <v>255</v>
      </c>
      <c r="C15" s="165" t="s">
        <v>290</v>
      </c>
      <c r="D15" s="166" t="s">
        <v>283</v>
      </c>
      <c r="E15" s="167">
        <f t="shared" si="0"/>
        <v>49</v>
      </c>
      <c r="F15" s="124">
        <v>11</v>
      </c>
      <c r="G15" s="124">
        <f t="shared" si="1"/>
        <v>5</v>
      </c>
      <c r="H15" s="168">
        <f>2001</f>
        <v>2001</v>
      </c>
      <c r="I15" s="168" t="s">
        <v>284</v>
      </c>
      <c r="J15" s="58" t="str">
        <f ca="1">VLOOKUP($A15,OFFSET([1]characters!$A$1,0,0,COUNTA([1]characters!$A:$A),MATCH("name",[1]characters!$1:$1,0)-MATCH("character_id",[1]characters!$1:$1,0)+1),MATCH("name",[1]characters!$1:$1,0)-MATCH("character_id",[1]characters!$1:$1,0)+1,FALSE)</f>
        <v>変幻自在の猿王 ハヌマーン</v>
      </c>
      <c r="K15" s="169">
        <v>3</v>
      </c>
      <c r="L15" s="170"/>
      <c r="M15" s="171"/>
      <c r="N15" s="171"/>
      <c r="O15" s="171"/>
      <c r="P15" s="171"/>
      <c r="Q15" s="171"/>
      <c r="R15" s="165"/>
      <c r="S15" s="172"/>
    </row>
    <row r="16" spans="1:19" ht="21" customHeight="1" x14ac:dyDescent="0.15">
      <c r="A16" s="12">
        <f>units!A18</f>
        <v>676</v>
      </c>
      <c r="B16" s="164" t="s">
        <v>255</v>
      </c>
      <c r="C16" s="165" t="s">
        <v>291</v>
      </c>
      <c r="D16" s="166" t="s">
        <v>280</v>
      </c>
      <c r="E16" s="167">
        <f t="shared" si="0"/>
        <v>39</v>
      </c>
      <c r="F16" s="124">
        <v>10</v>
      </c>
      <c r="G16" s="124">
        <f>[3]unit_skills!G5</f>
        <v>5</v>
      </c>
      <c r="H16" s="168">
        <f>2001</f>
        <v>2001</v>
      </c>
      <c r="I16" s="168" t="s">
        <v>281</v>
      </c>
      <c r="J16" s="58" t="str">
        <f ca="1">VLOOKUP($A16,OFFSET([1]characters!$A$1,0,0,COUNTA([1]characters!$A:$A),MATCH("name",[1]characters!$1:$1,0)-MATCH("character_id",[1]characters!$1:$1,0)+1),MATCH("name",[1]characters!$1:$1,0)-MATCH("character_id",[1]characters!$1:$1,0)+1,FALSE)</f>
        <v>ヴィシュヌ</v>
      </c>
      <c r="K16" s="169">
        <v>3</v>
      </c>
      <c r="L16" s="170"/>
      <c r="M16" s="171"/>
      <c r="N16" s="171"/>
      <c r="O16" s="171"/>
      <c r="P16" s="171"/>
      <c r="Q16" s="171"/>
      <c r="R16" s="165"/>
      <c r="S16" s="172"/>
    </row>
    <row r="17" spans="1:19" ht="21" customHeight="1" x14ac:dyDescent="0.15">
      <c r="A17" s="12">
        <f>units!A19</f>
        <v>677</v>
      </c>
      <c r="B17" s="164" t="s">
        <v>255</v>
      </c>
      <c r="C17" s="165" t="s">
        <v>291</v>
      </c>
      <c r="D17" s="166" t="s">
        <v>280</v>
      </c>
      <c r="E17" s="167">
        <f t="shared" si="0"/>
        <v>39</v>
      </c>
      <c r="F17" s="124">
        <v>10</v>
      </c>
      <c r="G17" s="124">
        <f>G16</f>
        <v>5</v>
      </c>
      <c r="H17" s="168">
        <f>2001</f>
        <v>2001</v>
      </c>
      <c r="I17" s="168" t="s">
        <v>282</v>
      </c>
      <c r="J17" s="58" t="str">
        <f ca="1">VLOOKUP($A17,OFFSET([1]characters!$A$1,0,0,COUNTA([1]characters!$A:$A),MATCH("name",[1]characters!$1:$1,0)-MATCH("character_id",[1]characters!$1:$1,0)+1),MATCH("name",[1]characters!$1:$1,0)-MATCH("character_id",[1]characters!$1:$1,0)+1,FALSE)</f>
        <v>武遊闊歩 ヴィシュヌ</v>
      </c>
      <c r="K17" s="169">
        <v>3</v>
      </c>
      <c r="L17" s="170"/>
      <c r="M17" s="171"/>
      <c r="N17" s="171"/>
      <c r="O17" s="171"/>
      <c r="P17" s="171"/>
      <c r="Q17" s="171"/>
      <c r="R17" s="165"/>
      <c r="S17" s="172"/>
    </row>
    <row r="18" spans="1:19" ht="21" customHeight="1" x14ac:dyDescent="0.15">
      <c r="C18" s="176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18:E1048576">
    <cfRule type="cellIs" dxfId="25" priority="8" operator="greaterThan">
      <formula>41</formula>
    </cfRule>
  </conditionalFormatting>
  <conditionalFormatting sqref="E2:E17">
    <cfRule type="cellIs" dxfId="24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R19"/>
  <sheetViews>
    <sheetView showGridLines="0" workbookViewId="0">
      <pane xSplit="4" ySplit="1" topLeftCell="G2" activePane="bottomRight" state="frozen"/>
      <selection pane="topRight" activeCell="D1" sqref="D1"/>
      <selection pane="bottomLeft" activeCell="A3" sqref="A3"/>
      <selection pane="bottomRight" activeCell="G22" sqref="G22"/>
    </sheetView>
  </sheetViews>
  <sheetFormatPr baseColWidth="12" defaultColWidth="13" defaultRowHeight="21" customHeight="1" x14ac:dyDescent="0.15"/>
  <cols>
    <col min="1" max="2" width="12.1640625" style="137" customWidth="1"/>
    <col min="3" max="3" width="48.83203125" style="138" customWidth="1"/>
    <col min="4" max="4" width="23.83203125" style="138" customWidth="1"/>
    <col min="5" max="5" width="10.5" style="138" customWidth="1"/>
    <col min="6" max="7" width="59.1640625" style="138" customWidth="1"/>
    <col min="8" max="8" width="6.83203125" style="137" bestFit="1" customWidth="1"/>
    <col min="9" max="9" width="20.33203125" style="137" customWidth="1"/>
    <col min="10" max="10" width="5" style="137" bestFit="1" customWidth="1"/>
    <col min="11" max="16384" width="13" style="137"/>
  </cols>
  <sheetData>
    <row r="1" spans="1:18" ht="21" customHeight="1" x14ac:dyDescent="0.15">
      <c r="A1" s="125" t="s">
        <v>188</v>
      </c>
      <c r="B1" s="126" t="s">
        <v>187</v>
      </c>
      <c r="C1" s="127" t="s">
        <v>186</v>
      </c>
      <c r="D1" s="128" t="s">
        <v>185</v>
      </c>
      <c r="E1" s="128" t="s">
        <v>184</v>
      </c>
      <c r="F1" s="129" t="s">
        <v>183</v>
      </c>
      <c r="G1" s="130" t="s">
        <v>190</v>
      </c>
      <c r="H1" s="129" t="s">
        <v>182</v>
      </c>
      <c r="I1" s="130" t="s">
        <v>181</v>
      </c>
      <c r="J1" s="134" t="s">
        <v>180</v>
      </c>
    </row>
    <row r="2" spans="1:18" ht="21" customHeight="1" x14ac:dyDescent="0.15">
      <c r="A2" s="173">
        <f>units!A2</f>
        <v>642</v>
      </c>
      <c r="B2" s="164" t="s">
        <v>199</v>
      </c>
      <c r="C2" s="165" t="s">
        <v>292</v>
      </c>
      <c r="D2" s="165" t="s">
        <v>365</v>
      </c>
      <c r="E2" s="167">
        <f t="shared" ref="E2" si="0">LEN(D2)</f>
        <v>16</v>
      </c>
      <c r="F2" s="124" t="s">
        <v>364</v>
      </c>
      <c r="G2" s="58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カーマ</v>
      </c>
      <c r="H2" s="168">
        <v>3</v>
      </c>
      <c r="I2" s="168"/>
      <c r="J2" s="174"/>
      <c r="K2" s="170"/>
      <c r="L2" s="171"/>
      <c r="M2" s="171"/>
      <c r="N2" s="171"/>
      <c r="O2" s="171"/>
      <c r="P2" s="171"/>
      <c r="Q2" s="165"/>
      <c r="R2" s="172"/>
    </row>
    <row r="3" spans="1:18" ht="21" customHeight="1" x14ac:dyDescent="0.15">
      <c r="A3" s="173">
        <f>units!A3</f>
        <v>643</v>
      </c>
      <c r="B3" s="164" t="s">
        <v>199</v>
      </c>
      <c r="C3" s="165" t="s">
        <v>292</v>
      </c>
      <c r="D3" s="165" t="s">
        <v>365</v>
      </c>
      <c r="E3" s="167">
        <f t="shared" ref="E3:E19" si="1">LEN(D3)</f>
        <v>16</v>
      </c>
      <c r="F3" s="124" t="s">
        <v>364</v>
      </c>
      <c r="G3" s="58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愛花天神 カーマ</v>
      </c>
      <c r="H3" s="168">
        <v>3</v>
      </c>
      <c r="I3" s="168"/>
      <c r="J3" s="174"/>
      <c r="K3" s="170"/>
      <c r="L3" s="171"/>
      <c r="M3" s="171"/>
      <c r="N3" s="171"/>
      <c r="O3" s="171"/>
      <c r="P3" s="171"/>
      <c r="Q3" s="165"/>
      <c r="R3" s="172"/>
    </row>
    <row r="4" spans="1:18" ht="21" customHeight="1" x14ac:dyDescent="0.15">
      <c r="A4" s="173">
        <f>units!A4</f>
        <v>648</v>
      </c>
      <c r="B4" s="164" t="s">
        <v>199</v>
      </c>
      <c r="C4" s="165" t="s">
        <v>293</v>
      </c>
      <c r="D4" s="165" t="s">
        <v>266</v>
      </c>
      <c r="E4" s="167">
        <f t="shared" si="1"/>
        <v>20</v>
      </c>
      <c r="F4" s="124" t="s">
        <v>271</v>
      </c>
      <c r="G4" s="58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パールヴァティ</v>
      </c>
      <c r="H4" s="168">
        <v>3</v>
      </c>
      <c r="I4" s="168"/>
      <c r="J4" s="174"/>
      <c r="K4" s="170"/>
      <c r="L4" s="171"/>
      <c r="M4" s="171"/>
      <c r="N4" s="171"/>
      <c r="O4" s="171"/>
      <c r="P4" s="171"/>
      <c r="Q4" s="165"/>
      <c r="R4" s="172"/>
    </row>
    <row r="5" spans="1:18" ht="21" customHeight="1" x14ac:dyDescent="0.15">
      <c r="A5" s="173">
        <f>units!A5</f>
        <v>649</v>
      </c>
      <c r="B5" s="164" t="s">
        <v>199</v>
      </c>
      <c r="C5" s="165" t="s">
        <v>294</v>
      </c>
      <c r="D5" s="165" t="s">
        <v>266</v>
      </c>
      <c r="E5" s="167">
        <f t="shared" si="1"/>
        <v>20</v>
      </c>
      <c r="F5" s="124" t="s">
        <v>267</v>
      </c>
      <c r="G5" s="58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寄咲く一輪華 パールヴァティ</v>
      </c>
      <c r="H5" s="168">
        <v>3</v>
      </c>
      <c r="I5" s="168"/>
      <c r="J5" s="174"/>
      <c r="K5" s="170"/>
      <c r="L5" s="171"/>
      <c r="M5" s="171"/>
      <c r="N5" s="171"/>
      <c r="O5" s="171"/>
      <c r="P5" s="171"/>
      <c r="Q5" s="165"/>
      <c r="R5" s="172"/>
    </row>
    <row r="6" spans="1:18" ht="21" customHeight="1" x14ac:dyDescent="0.15">
      <c r="A6" s="173">
        <f>units!A6</f>
        <v>652</v>
      </c>
      <c r="B6" s="164" t="s">
        <v>199</v>
      </c>
      <c r="C6" s="165" t="s">
        <v>295</v>
      </c>
      <c r="D6" s="165" t="s">
        <v>278</v>
      </c>
      <c r="E6" s="167">
        <f t="shared" si="1"/>
        <v>9</v>
      </c>
      <c r="F6" s="124" t="s">
        <v>338</v>
      </c>
      <c r="G6" s="58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アナンタ</v>
      </c>
      <c r="H6" s="168">
        <v>3</v>
      </c>
      <c r="I6" s="168"/>
      <c r="J6" s="174"/>
      <c r="K6" s="170"/>
      <c r="L6" s="171"/>
      <c r="M6" s="171"/>
      <c r="N6" s="171"/>
      <c r="O6" s="171"/>
      <c r="P6" s="171"/>
      <c r="Q6" s="165"/>
      <c r="R6" s="172"/>
    </row>
    <row r="7" spans="1:18" ht="21" customHeight="1" x14ac:dyDescent="0.15">
      <c r="A7" s="173">
        <f>units!A7</f>
        <v>653</v>
      </c>
      <c r="B7" s="164" t="s">
        <v>199</v>
      </c>
      <c r="C7" s="165" t="s">
        <v>295</v>
      </c>
      <c r="D7" s="165" t="s">
        <v>278</v>
      </c>
      <c r="E7" s="167">
        <f t="shared" si="1"/>
        <v>9</v>
      </c>
      <c r="F7" s="124" t="s">
        <v>337</v>
      </c>
      <c r="G7" s="58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悠久の狡蛇 アナンタ</v>
      </c>
      <c r="H7" s="168">
        <v>3</v>
      </c>
      <c r="I7" s="168"/>
      <c r="J7" s="174"/>
      <c r="K7" s="170"/>
      <c r="L7" s="171"/>
      <c r="M7" s="171"/>
      <c r="N7" s="171"/>
      <c r="O7" s="171"/>
      <c r="P7" s="171"/>
      <c r="Q7" s="165"/>
      <c r="R7" s="172"/>
    </row>
    <row r="8" spans="1:18" ht="21" customHeight="1" x14ac:dyDescent="0.15">
      <c r="A8" s="173">
        <f>units!A8</f>
        <v>656</v>
      </c>
      <c r="B8" s="164" t="s">
        <v>199</v>
      </c>
      <c r="C8" s="165" t="s">
        <v>330</v>
      </c>
      <c r="D8" s="165" t="s">
        <v>279</v>
      </c>
      <c r="E8" s="167">
        <f t="shared" si="1"/>
        <v>10</v>
      </c>
      <c r="F8" s="124" t="s">
        <v>339</v>
      </c>
      <c r="G8" s="58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シヴァ</v>
      </c>
      <c r="H8" s="168">
        <v>3</v>
      </c>
      <c r="I8" s="168"/>
      <c r="J8" s="174"/>
      <c r="K8" s="170"/>
      <c r="L8" s="171"/>
      <c r="M8" s="171"/>
      <c r="N8" s="171"/>
      <c r="O8" s="171"/>
      <c r="P8" s="171"/>
      <c r="Q8" s="165"/>
      <c r="R8" s="172"/>
    </row>
    <row r="9" spans="1:18" ht="21" customHeight="1" x14ac:dyDescent="0.15">
      <c r="A9" s="173">
        <f>units!A9</f>
        <v>657</v>
      </c>
      <c r="B9" s="164" t="s">
        <v>199</v>
      </c>
      <c r="C9" s="165" t="s">
        <v>331</v>
      </c>
      <c r="D9" s="165" t="s">
        <v>257</v>
      </c>
      <c r="E9" s="167">
        <f t="shared" si="1"/>
        <v>10</v>
      </c>
      <c r="F9" s="124" t="s">
        <v>339</v>
      </c>
      <c r="G9" s="58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解滅の裁神 シヴァ</v>
      </c>
      <c r="H9" s="168">
        <v>3</v>
      </c>
      <c r="I9" s="168"/>
      <c r="J9" s="174"/>
      <c r="K9" s="170"/>
      <c r="L9" s="171"/>
      <c r="M9" s="171"/>
      <c r="N9" s="171"/>
      <c r="O9" s="171"/>
      <c r="P9" s="171"/>
      <c r="Q9" s="165"/>
      <c r="R9" s="172"/>
    </row>
    <row r="10" spans="1:18" ht="21" customHeight="1" x14ac:dyDescent="0.15">
      <c r="A10" s="173">
        <f>units!A10</f>
        <v>668</v>
      </c>
      <c r="B10" s="164" t="s">
        <v>199</v>
      </c>
      <c r="C10" s="165" t="s">
        <v>296</v>
      </c>
      <c r="D10" s="165" t="s">
        <v>256</v>
      </c>
      <c r="E10" s="167">
        <f t="shared" si="1"/>
        <v>8</v>
      </c>
      <c r="F10" s="124" t="s">
        <v>260</v>
      </c>
      <c r="G10" s="58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アグニ</v>
      </c>
      <c r="H10" s="168">
        <v>3</v>
      </c>
      <c r="I10" s="168"/>
      <c r="J10" s="174"/>
      <c r="K10" s="170"/>
      <c r="L10" s="171"/>
      <c r="M10" s="171"/>
      <c r="N10" s="171"/>
      <c r="O10" s="171"/>
      <c r="P10" s="171"/>
      <c r="Q10" s="165"/>
      <c r="R10" s="172"/>
    </row>
    <row r="11" spans="1:18" ht="21" customHeight="1" x14ac:dyDescent="0.15">
      <c r="A11" s="173">
        <f>units!A11</f>
        <v>669</v>
      </c>
      <c r="B11" s="164" t="s">
        <v>199</v>
      </c>
      <c r="C11" s="165" t="s">
        <v>297</v>
      </c>
      <c r="D11" s="165" t="s">
        <v>256</v>
      </c>
      <c r="E11" s="167">
        <f t="shared" si="1"/>
        <v>8</v>
      </c>
      <c r="F11" s="124" t="s">
        <v>259</v>
      </c>
      <c r="G11" s="58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天地の仲界 アグニ</v>
      </c>
      <c r="H11" s="168">
        <v>3</v>
      </c>
      <c r="I11" s="168"/>
      <c r="J11" s="174"/>
      <c r="K11" s="170"/>
      <c r="L11" s="171"/>
      <c r="M11" s="171"/>
      <c r="N11" s="171"/>
      <c r="O11" s="171"/>
      <c r="P11" s="171"/>
      <c r="Q11" s="165"/>
      <c r="R11" s="172"/>
    </row>
    <row r="12" spans="1:18" ht="21" customHeight="1" x14ac:dyDescent="0.15">
      <c r="A12" s="173">
        <f>units!A12</f>
        <v>670</v>
      </c>
      <c r="B12" s="164" t="s">
        <v>199</v>
      </c>
      <c r="C12" s="165" t="s">
        <v>296</v>
      </c>
      <c r="D12" s="165" t="s">
        <v>256</v>
      </c>
      <c r="E12" s="167">
        <f t="shared" si="1"/>
        <v>8</v>
      </c>
      <c r="F12" s="124" t="s">
        <v>260</v>
      </c>
      <c r="G12" s="58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陽天の噴煙 アグニ</v>
      </c>
      <c r="H12" s="168">
        <v>3</v>
      </c>
      <c r="I12" s="168"/>
      <c r="J12" s="174"/>
      <c r="K12" s="170"/>
      <c r="L12" s="171"/>
      <c r="M12" s="171"/>
      <c r="N12" s="171"/>
      <c r="O12" s="171"/>
      <c r="P12" s="171"/>
      <c r="Q12" s="165"/>
      <c r="R12" s="172"/>
    </row>
    <row r="13" spans="1:18" ht="21" customHeight="1" x14ac:dyDescent="0.15">
      <c r="A13" s="173">
        <f>units!A13</f>
        <v>671</v>
      </c>
      <c r="B13" s="164" t="s">
        <v>199</v>
      </c>
      <c r="C13" s="165" t="s">
        <v>298</v>
      </c>
      <c r="D13" s="165" t="s">
        <v>261</v>
      </c>
      <c r="E13" s="167">
        <f t="shared" si="1"/>
        <v>9</v>
      </c>
      <c r="F13" s="124" t="s">
        <v>262</v>
      </c>
      <c r="G13" s="58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ハヌマーン</v>
      </c>
      <c r="H13" s="168">
        <v>3</v>
      </c>
      <c r="I13" s="168"/>
      <c r="J13" s="174"/>
      <c r="K13" s="170"/>
      <c r="L13" s="171"/>
      <c r="M13" s="171"/>
      <c r="N13" s="171"/>
      <c r="O13" s="171"/>
      <c r="P13" s="171"/>
      <c r="Q13" s="165"/>
      <c r="R13" s="172"/>
    </row>
    <row r="14" spans="1:18" ht="21" customHeight="1" x14ac:dyDescent="0.15">
      <c r="A14" s="173">
        <f>units!A14</f>
        <v>672</v>
      </c>
      <c r="B14" s="164" t="s">
        <v>199</v>
      </c>
      <c r="C14" s="165" t="s">
        <v>299</v>
      </c>
      <c r="D14" s="165" t="s">
        <v>261</v>
      </c>
      <c r="E14" s="167">
        <f t="shared" si="1"/>
        <v>9</v>
      </c>
      <c r="F14" s="124" t="s">
        <v>263</v>
      </c>
      <c r="G14" s="58" t="str">
        <f ca="1">VLOOKUP($A14,OFFSET([1]characters!$A$1,0,0,COUNTA([1]characters!$A:$A),MATCH("name",[1]characters!$1:$1,0)-MATCH("character_id",[1]characters!$1:$1,0)+1),MATCH("name",[1]characters!$1:$1,0)-MATCH("character_id",[1]characters!$1:$1,0)+1,FALSE)</f>
        <v>西遊韋駄天 ハヌマーン</v>
      </c>
      <c r="H14" s="168">
        <v>3</v>
      </c>
      <c r="I14" s="168"/>
      <c r="J14" s="174"/>
      <c r="K14" s="170"/>
      <c r="L14" s="171"/>
      <c r="M14" s="171"/>
      <c r="N14" s="171"/>
      <c r="O14" s="171"/>
      <c r="P14" s="171"/>
      <c r="Q14" s="165"/>
      <c r="R14" s="172"/>
    </row>
    <row r="15" spans="1:18" ht="21" customHeight="1" x14ac:dyDescent="0.15">
      <c r="A15" s="173">
        <f>units!A15</f>
        <v>673</v>
      </c>
      <c r="B15" s="164" t="s">
        <v>199</v>
      </c>
      <c r="C15" s="165" t="s">
        <v>299</v>
      </c>
      <c r="D15" s="165" t="s">
        <v>261</v>
      </c>
      <c r="E15" s="167">
        <f t="shared" si="1"/>
        <v>9</v>
      </c>
      <c r="F15" s="124" t="s">
        <v>265</v>
      </c>
      <c r="G15" s="58" t="str">
        <f ca="1">VLOOKUP($A15,OFFSET([1]characters!$A$1,0,0,COUNTA([1]characters!$A:$A),MATCH("name",[1]characters!$1:$1,0)-MATCH("character_id",[1]characters!$1:$1,0)+1),MATCH("name",[1]characters!$1:$1,0)-MATCH("character_id",[1]characters!$1:$1,0)+1,FALSE)</f>
        <v>変幻自在の猿王 ハヌマーン</v>
      </c>
      <c r="H15" s="168">
        <v>3</v>
      </c>
      <c r="I15" s="168"/>
      <c r="J15" s="174"/>
      <c r="K15" s="170"/>
      <c r="L15" s="171"/>
      <c r="M15" s="171"/>
      <c r="N15" s="171"/>
      <c r="O15" s="171"/>
      <c r="P15" s="171"/>
      <c r="Q15" s="165"/>
      <c r="R15" s="172"/>
    </row>
    <row r="16" spans="1:18" ht="21" customHeight="1" x14ac:dyDescent="0.15">
      <c r="A16" s="173">
        <f>units!A16</f>
        <v>674</v>
      </c>
      <c r="B16" s="164" t="s">
        <v>199</v>
      </c>
      <c r="C16" s="165" t="s">
        <v>300</v>
      </c>
      <c r="D16" s="165" t="str">
        <f>D17</f>
        <v>ゴッドに効果特大の単体ダメージ+HP大回復</v>
      </c>
      <c r="E16" s="167">
        <f t="shared" si="1"/>
        <v>21</v>
      </c>
      <c r="F16" s="124" t="str">
        <f>F17</f>
        <v>[effect:damage_anti_tribe, target:enemy_one, tribe:god, val1:3.0, val2:0.94, animation:damage_one_blue04],[effect:heal_ratio, val:0.3, animation:heal_unit, animation:heal03_unit01]</v>
      </c>
      <c r="G16" s="58" t="str">
        <f ca="1">VLOOKUP($A16,OFFSET([1]characters!$A$1,0,0,COUNTA([1]characters!$A:$A),MATCH("name",[1]characters!$1:$1,0)-MATCH("character_id",[1]characters!$1:$1,0)+1),MATCH("name",[1]characters!$1:$1,0)-MATCH("character_id",[1]characters!$1:$1,0)+1,FALSE)</f>
        <v>サラスヴァティ</v>
      </c>
      <c r="H16" s="168">
        <v>3</v>
      </c>
      <c r="I16" s="168"/>
      <c r="J16" s="174"/>
      <c r="K16" s="170"/>
      <c r="L16" s="171"/>
      <c r="M16" s="171"/>
      <c r="N16" s="171"/>
      <c r="O16" s="171"/>
      <c r="P16" s="171"/>
      <c r="Q16" s="165"/>
      <c r="R16" s="172"/>
    </row>
    <row r="17" spans="1:18" ht="21" customHeight="1" x14ac:dyDescent="0.15">
      <c r="A17" s="173">
        <f>units!A17</f>
        <v>675</v>
      </c>
      <c r="B17" s="164" t="s">
        <v>199</v>
      </c>
      <c r="C17" s="165" t="s">
        <v>300</v>
      </c>
      <c r="D17" s="165" t="s">
        <v>273</v>
      </c>
      <c r="E17" s="167">
        <f t="shared" si="1"/>
        <v>21</v>
      </c>
      <c r="F17" s="124" t="s">
        <v>274</v>
      </c>
      <c r="G17" s="58" t="str">
        <f ca="1">VLOOKUP($A17,OFFSET([1]characters!$A$1,0,0,COUNTA([1]characters!$A:$A),MATCH("name",[1]characters!$1:$1,0)-MATCH("character_id",[1]characters!$1:$1,0)+1),MATCH("name",[1]characters!$1:$1,0)-MATCH("character_id",[1]characters!$1:$1,0)+1,FALSE)</f>
        <v>芸楽の奔流 サラスヴァティ</v>
      </c>
      <c r="H17" s="168">
        <v>3</v>
      </c>
      <c r="I17" s="168"/>
      <c r="J17" s="174"/>
      <c r="K17" s="170"/>
      <c r="L17" s="171"/>
      <c r="M17" s="171"/>
      <c r="N17" s="171"/>
      <c r="O17" s="171"/>
      <c r="P17" s="171"/>
      <c r="Q17" s="165"/>
      <c r="R17" s="172"/>
    </row>
    <row r="18" spans="1:18" ht="21" customHeight="1" x14ac:dyDescent="0.15">
      <c r="A18" s="173">
        <f>units!A18</f>
        <v>676</v>
      </c>
      <c r="B18" s="164" t="s">
        <v>199</v>
      </c>
      <c r="C18" s="165" t="s">
        <v>269</v>
      </c>
      <c r="D18" s="165" t="s">
        <v>258</v>
      </c>
      <c r="E18" s="167">
        <f t="shared" si="1"/>
        <v>10</v>
      </c>
      <c r="F18" s="124" t="s">
        <v>268</v>
      </c>
      <c r="G18" s="58" t="str">
        <f ca="1">VLOOKUP($A18,OFFSET([1]characters!$A$1,0,0,COUNTA([1]characters!$A:$A),MATCH("name",[1]characters!$1:$1,0)-MATCH("character_id",[1]characters!$1:$1,0)+1),MATCH("name",[1]characters!$1:$1,0)-MATCH("character_id",[1]characters!$1:$1,0)+1,FALSE)</f>
        <v>ヴィシュヌ</v>
      </c>
      <c r="H18" s="168">
        <v>3</v>
      </c>
      <c r="I18" s="168"/>
      <c r="J18" s="174"/>
      <c r="K18" s="170"/>
      <c r="L18" s="171"/>
      <c r="M18" s="171"/>
      <c r="N18" s="171"/>
      <c r="O18" s="171"/>
      <c r="P18" s="171"/>
      <c r="Q18" s="165"/>
      <c r="R18" s="172"/>
    </row>
    <row r="19" spans="1:18" ht="21" customHeight="1" x14ac:dyDescent="0.15">
      <c r="A19" s="173">
        <f>units!A19</f>
        <v>677</v>
      </c>
      <c r="B19" s="164" t="s">
        <v>199</v>
      </c>
      <c r="C19" s="165" t="s">
        <v>269</v>
      </c>
      <c r="D19" s="165" t="s">
        <v>258</v>
      </c>
      <c r="E19" s="167">
        <f t="shared" si="1"/>
        <v>10</v>
      </c>
      <c r="F19" s="124" t="s">
        <v>264</v>
      </c>
      <c r="G19" s="58" t="str">
        <f ca="1">VLOOKUP($A19,OFFSET([1]characters!$A$1,0,0,COUNTA([1]characters!$A:$A),MATCH("name",[1]characters!$1:$1,0)-MATCH("character_id",[1]characters!$1:$1,0)+1),MATCH("name",[1]characters!$1:$1,0)-MATCH("character_id",[1]characters!$1:$1,0)+1,FALSE)</f>
        <v>武遊闊歩 ヴィシュヌ</v>
      </c>
      <c r="H19" s="168">
        <v>3</v>
      </c>
      <c r="I19" s="168"/>
      <c r="J19" s="174"/>
      <c r="K19" s="170"/>
      <c r="L19" s="171"/>
      <c r="M19" s="171"/>
      <c r="N19" s="171"/>
      <c r="O19" s="171"/>
      <c r="P19" s="171"/>
      <c r="Q19" s="165"/>
      <c r="R19" s="172"/>
    </row>
  </sheetData>
  <sheetProtection selectLockedCells="1" selectUnlockedCells="1"/>
  <autoFilter ref="A1:J1"/>
  <phoneticPr fontId="22"/>
  <conditionalFormatting sqref="E2:E19">
    <cfRule type="cellIs" dxfId="23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61"/>
  <sheetViews>
    <sheetView topLeftCell="A38" workbookViewId="0">
      <selection activeCell="H67" sqref="H67"/>
    </sheetView>
  </sheetViews>
  <sheetFormatPr baseColWidth="12" defaultRowHeight="15" outlineLevelCol="1" x14ac:dyDescent="0.15"/>
  <cols>
    <col min="2" max="2" width="12.83203125" style="141"/>
    <col min="4" max="4" width="12.83203125" style="141" customWidth="1" outlineLevel="1"/>
    <col min="5" max="5" width="12.83203125" style="141"/>
    <col min="8" max="8" width="47.1640625" customWidth="1"/>
  </cols>
  <sheetData>
    <row r="1" spans="1:8" x14ac:dyDescent="0.15">
      <c r="A1" s="121" t="s">
        <v>191</v>
      </c>
      <c r="B1" s="140" t="s">
        <v>192</v>
      </c>
      <c r="C1" s="121" t="s">
        <v>193</v>
      </c>
      <c r="D1" s="140" t="s">
        <v>195</v>
      </c>
      <c r="E1" s="140" t="s">
        <v>196</v>
      </c>
      <c r="F1" s="118" t="s">
        <v>197</v>
      </c>
      <c r="G1" s="121" t="s">
        <v>194</v>
      </c>
      <c r="H1" s="118" t="s">
        <v>198</v>
      </c>
    </row>
    <row r="2" spans="1:8" x14ac:dyDescent="0.15">
      <c r="A2" s="10">
        <v>668</v>
      </c>
      <c r="B2" s="140" t="str">
        <f ca="1">VLOOKUP(A2,units!A:B,2)</f>
        <v>アグニ</v>
      </c>
      <c r="C2" s="114" t="s">
        <v>302</v>
      </c>
      <c r="D2" s="140"/>
      <c r="E2" s="177" t="str">
        <f>A2&amp;+(COUNTIF(A$2:A2,A2)-1)</f>
        <v>6680</v>
      </c>
      <c r="F2" s="114" t="s">
        <v>301</v>
      </c>
      <c r="G2" s="114" t="s">
        <v>313</v>
      </c>
      <c r="H2" s="114" t="s">
        <v>312</v>
      </c>
    </row>
    <row r="3" spans="1:8" x14ac:dyDescent="0.15">
      <c r="A3" s="10">
        <v>668</v>
      </c>
      <c r="B3" s="140" t="str">
        <f ca="1">VLOOKUP(A3,units!A:B,2)</f>
        <v>アグニ</v>
      </c>
      <c r="C3" s="114" t="s">
        <v>303</v>
      </c>
      <c r="D3" s="140"/>
      <c r="E3" s="177" t="str">
        <f>A3&amp;+(COUNTIF(A$2:A3,A3)-1)</f>
        <v>6681</v>
      </c>
      <c r="F3" s="114" t="s">
        <v>301</v>
      </c>
      <c r="G3" s="114" t="s">
        <v>313</v>
      </c>
      <c r="H3" s="114" t="s">
        <v>327</v>
      </c>
    </row>
    <row r="4" spans="1:8" x14ac:dyDescent="0.15">
      <c r="A4" s="10">
        <v>669</v>
      </c>
      <c r="B4" s="140" t="str">
        <f ca="1">VLOOKUP(A4,units!A:B,2)</f>
        <v>天地の仲界 アグニ</v>
      </c>
      <c r="C4" s="114" t="s">
        <v>304</v>
      </c>
      <c r="D4" s="140"/>
      <c r="E4" s="177" t="str">
        <f>A4&amp;+(COUNTIF(A$2:A4,A4)-1)</f>
        <v>6690</v>
      </c>
      <c r="F4" s="114" t="s">
        <v>301</v>
      </c>
      <c r="G4" s="114" t="s">
        <v>313</v>
      </c>
      <c r="H4" s="114" t="s">
        <v>311</v>
      </c>
    </row>
    <row r="5" spans="1:8" x14ac:dyDescent="0.15">
      <c r="A5" s="10">
        <v>669</v>
      </c>
      <c r="B5" s="140" t="str">
        <f ca="1">VLOOKUP(A5,units!A:B,2)</f>
        <v>天地の仲界 アグニ</v>
      </c>
      <c r="C5" s="114" t="s">
        <v>305</v>
      </c>
      <c r="D5" s="140"/>
      <c r="E5" s="177" t="str">
        <f>A5&amp;+(COUNTIF(A$2:A5,A5)-1)</f>
        <v>6691</v>
      </c>
      <c r="F5" s="114" t="s">
        <v>301</v>
      </c>
      <c r="G5" s="114" t="s">
        <v>313</v>
      </c>
      <c r="H5" s="114" t="s">
        <v>325</v>
      </c>
    </row>
    <row r="6" spans="1:8" x14ac:dyDescent="0.15">
      <c r="A6" s="10">
        <v>669</v>
      </c>
      <c r="B6" s="140" t="str">
        <f ca="1">VLOOKUP(A6,units!A:B,2)</f>
        <v>天地の仲界 アグニ</v>
      </c>
      <c r="C6" s="114" t="s">
        <v>303</v>
      </c>
      <c r="D6" s="140"/>
      <c r="E6" s="177" t="str">
        <f>A6&amp;+(COUNTIF(A$2:A6,A6)-1)</f>
        <v>6692</v>
      </c>
      <c r="F6" s="114" t="s">
        <v>301</v>
      </c>
      <c r="G6" s="114" t="s">
        <v>313</v>
      </c>
      <c r="H6" s="114" t="s">
        <v>324</v>
      </c>
    </row>
    <row r="7" spans="1:8" x14ac:dyDescent="0.15">
      <c r="A7" s="10">
        <v>670</v>
      </c>
      <c r="B7" s="140" t="str">
        <f ca="1">VLOOKUP(A7,units!A:B,2)</f>
        <v>陽天の噴煙 アグニ</v>
      </c>
      <c r="C7" s="114" t="s">
        <v>302</v>
      </c>
      <c r="D7" s="140"/>
      <c r="E7" s="177" t="str">
        <f>A7&amp;+(COUNTIF(A$2:A7,A7)-1)</f>
        <v>6700</v>
      </c>
      <c r="F7" s="114" t="s">
        <v>301</v>
      </c>
      <c r="G7" s="114" t="s">
        <v>313</v>
      </c>
      <c r="H7" s="114" t="s">
        <v>310</v>
      </c>
    </row>
    <row r="8" spans="1:8" x14ac:dyDescent="0.15">
      <c r="A8" s="10">
        <v>670</v>
      </c>
      <c r="B8" s="140" t="str">
        <f ca="1">VLOOKUP(A8,units!A:B,2)</f>
        <v>陽天の噴煙 アグニ</v>
      </c>
      <c r="C8" s="114" t="s">
        <v>303</v>
      </c>
      <c r="D8" s="140"/>
      <c r="E8" s="177" t="str">
        <f>A8&amp;+(COUNTIF(A$2:A8,A8)-1)</f>
        <v>6701</v>
      </c>
      <c r="F8" s="114" t="s">
        <v>301</v>
      </c>
      <c r="G8" s="114" t="s">
        <v>313</v>
      </c>
      <c r="H8" s="114" t="s">
        <v>325</v>
      </c>
    </row>
    <row r="9" spans="1:8" x14ac:dyDescent="0.15">
      <c r="A9" s="10">
        <v>670</v>
      </c>
      <c r="B9" s="140" t="str">
        <f ca="1">VLOOKUP(A9,units!A:B,2)</f>
        <v>陽天の噴煙 アグニ</v>
      </c>
      <c r="C9" s="114" t="s">
        <v>303</v>
      </c>
      <c r="D9" s="140"/>
      <c r="E9" s="177" t="str">
        <f>A9&amp;+(COUNTIF(A$2:A9,A9)-1)</f>
        <v>6702</v>
      </c>
      <c r="F9" s="114" t="s">
        <v>301</v>
      </c>
      <c r="G9" s="114" t="s">
        <v>313</v>
      </c>
      <c r="H9" s="114" t="s">
        <v>324</v>
      </c>
    </row>
    <row r="10" spans="1:8" x14ac:dyDescent="0.15">
      <c r="A10" s="10">
        <v>670</v>
      </c>
      <c r="B10" s="140" t="str">
        <f ca="1">VLOOKUP(A10,units!A:B,2)</f>
        <v>陽天の噴煙 アグニ</v>
      </c>
      <c r="C10" s="114" t="s">
        <v>303</v>
      </c>
      <c r="D10" s="140"/>
      <c r="E10" s="177" t="str">
        <f>A10&amp;+(COUNTIF(A$2:A10,A10)-1)</f>
        <v>6703</v>
      </c>
      <c r="F10" s="114" t="s">
        <v>301</v>
      </c>
      <c r="G10" s="114" t="s">
        <v>313</v>
      </c>
      <c r="H10" s="114" t="s">
        <v>326</v>
      </c>
    </row>
    <row r="11" spans="1:8" x14ac:dyDescent="0.15">
      <c r="A11" s="10">
        <v>671</v>
      </c>
      <c r="B11" s="140" t="str">
        <f ca="1">VLOOKUP(A11,units!A:B,2)</f>
        <v>ハヌマーン</v>
      </c>
      <c r="C11" s="114" t="s">
        <v>302</v>
      </c>
      <c r="D11" s="140"/>
      <c r="E11" s="177" t="str">
        <f>A11&amp;+(COUNTIF(A$2:A11,A11)-1)</f>
        <v>6710</v>
      </c>
      <c r="F11" s="114" t="s">
        <v>301</v>
      </c>
      <c r="G11" s="114" t="s">
        <v>313</v>
      </c>
      <c r="H11" s="114" t="s">
        <v>345</v>
      </c>
    </row>
    <row r="12" spans="1:8" x14ac:dyDescent="0.15">
      <c r="A12" s="10">
        <v>671</v>
      </c>
      <c r="B12" s="140" t="str">
        <f ca="1">VLOOKUP(A12,units!A:B,2)</f>
        <v>ハヌマーン</v>
      </c>
      <c r="C12" s="114" t="s">
        <v>303</v>
      </c>
      <c r="D12" s="140"/>
      <c r="E12" s="177" t="str">
        <f>A12&amp;+(COUNTIF(A$2:A12,A12)-1)</f>
        <v>6711</v>
      </c>
      <c r="F12" s="114" t="s">
        <v>301</v>
      </c>
      <c r="G12" s="114" t="s">
        <v>313</v>
      </c>
      <c r="H12" s="114" t="s">
        <v>343</v>
      </c>
    </row>
    <row r="13" spans="1:8" x14ac:dyDescent="0.15">
      <c r="A13" s="10">
        <v>672</v>
      </c>
      <c r="B13" s="140" t="str">
        <f ca="1">VLOOKUP(A13,units!A:B,2)</f>
        <v>西遊韋駄天 ハヌマーン</v>
      </c>
      <c r="C13" s="114" t="s">
        <v>304</v>
      </c>
      <c r="D13" s="140"/>
      <c r="E13" s="177" t="str">
        <f>A13&amp;+(COUNTIF(A$2:A13,A13)-1)</f>
        <v>6720</v>
      </c>
      <c r="F13" s="114" t="s">
        <v>301</v>
      </c>
      <c r="G13" s="114" t="s">
        <v>313</v>
      </c>
      <c r="H13" s="114" t="s">
        <v>344</v>
      </c>
    </row>
    <row r="14" spans="1:8" x14ac:dyDescent="0.15">
      <c r="A14" s="10">
        <v>672</v>
      </c>
      <c r="B14" s="140" t="str">
        <f ca="1">VLOOKUP(A14,units!A:B,2)</f>
        <v>西遊韋駄天 ハヌマーン</v>
      </c>
      <c r="C14" s="114" t="s">
        <v>305</v>
      </c>
      <c r="D14" s="140"/>
      <c r="E14" s="177" t="str">
        <f>A14&amp;+(COUNTIF(A$2:A14,A14)-1)</f>
        <v>6721</v>
      </c>
      <c r="F14" s="114" t="s">
        <v>301</v>
      </c>
      <c r="G14" s="114" t="s">
        <v>313</v>
      </c>
      <c r="H14" s="114" t="s">
        <v>342</v>
      </c>
    </row>
    <row r="15" spans="1:8" x14ac:dyDescent="0.15">
      <c r="A15" s="10">
        <v>672</v>
      </c>
      <c r="B15" s="140" t="str">
        <f ca="1">VLOOKUP(A15,units!A:B,2)</f>
        <v>西遊韋駄天 ハヌマーン</v>
      </c>
      <c r="C15" s="114" t="s">
        <v>303</v>
      </c>
      <c r="D15" s="140"/>
      <c r="E15" s="177" t="str">
        <f>A15&amp;+(COUNTIF(A$2:A15,A15)-1)</f>
        <v>6722</v>
      </c>
      <c r="F15" s="114" t="s">
        <v>301</v>
      </c>
      <c r="G15" s="114" t="s">
        <v>313</v>
      </c>
      <c r="H15" s="114" t="s">
        <v>343</v>
      </c>
    </row>
    <row r="16" spans="1:8" x14ac:dyDescent="0.15">
      <c r="A16" s="10">
        <v>673</v>
      </c>
      <c r="B16" s="140" t="str">
        <f ca="1">VLOOKUP(A16,units!A:B,2)</f>
        <v>変幻自在の猿王 ハヌマーン</v>
      </c>
      <c r="C16" s="114" t="s">
        <v>302</v>
      </c>
      <c r="D16" s="140"/>
      <c r="E16" s="177" t="str">
        <f>A16&amp;+(COUNTIF(A$2:A16,A16)-1)</f>
        <v>6730</v>
      </c>
      <c r="F16" s="114" t="s">
        <v>301</v>
      </c>
      <c r="G16" s="114" t="s">
        <v>313</v>
      </c>
      <c r="H16" s="114" t="s">
        <v>340</v>
      </c>
    </row>
    <row r="17" spans="1:8" x14ac:dyDescent="0.15">
      <c r="A17" s="10">
        <v>673</v>
      </c>
      <c r="B17" s="140" t="str">
        <f ca="1">VLOOKUP(A17,units!A:B,2)</f>
        <v>変幻自在の猿王 ハヌマーン</v>
      </c>
      <c r="C17" s="114" t="s">
        <v>303</v>
      </c>
      <c r="D17" s="140"/>
      <c r="E17" s="177" t="str">
        <f>A17&amp;+(COUNTIF(A$2:A17,A17)-1)</f>
        <v>6731</v>
      </c>
      <c r="F17" s="114" t="s">
        <v>301</v>
      </c>
      <c r="G17" s="114" t="s">
        <v>313</v>
      </c>
      <c r="H17" s="114" t="s">
        <v>341</v>
      </c>
    </row>
    <row r="18" spans="1:8" x14ac:dyDescent="0.15">
      <c r="A18" s="10">
        <v>673</v>
      </c>
      <c r="B18" s="140" t="str">
        <f ca="1">VLOOKUP(A18,units!A:B,2)</f>
        <v>変幻自在の猿王 ハヌマーン</v>
      </c>
      <c r="C18" s="114" t="s">
        <v>303</v>
      </c>
      <c r="D18" s="140"/>
      <c r="E18" s="177" t="str">
        <f>A18&amp;+(COUNTIF(A$2:A18,A18)-1)</f>
        <v>6732</v>
      </c>
      <c r="F18" s="114" t="s">
        <v>301</v>
      </c>
      <c r="G18" s="114" t="s">
        <v>313</v>
      </c>
      <c r="H18" s="114" t="s">
        <v>342</v>
      </c>
    </row>
    <row r="19" spans="1:8" x14ac:dyDescent="0.15">
      <c r="A19" s="10">
        <v>673</v>
      </c>
      <c r="B19" s="140" t="str">
        <f ca="1">VLOOKUP(A19,units!A:B,2)</f>
        <v>変幻自在の猿王 ハヌマーン</v>
      </c>
      <c r="C19" s="114" t="s">
        <v>303</v>
      </c>
      <c r="D19" s="140"/>
      <c r="E19" s="177" t="str">
        <f>A19&amp;+(COUNTIF(A$2:A19,A19)-1)</f>
        <v>6733</v>
      </c>
      <c r="F19" s="114" t="s">
        <v>301</v>
      </c>
      <c r="G19" s="114" t="s">
        <v>313</v>
      </c>
      <c r="H19" s="114" t="s">
        <v>343</v>
      </c>
    </row>
    <row r="20" spans="1:8" x14ac:dyDescent="0.15">
      <c r="A20" s="114">
        <v>674</v>
      </c>
      <c r="B20" s="140" t="str">
        <f ca="1">VLOOKUP(A20,units!A:B,2)</f>
        <v>サラスヴァティ</v>
      </c>
      <c r="C20" s="114" t="s">
        <v>304</v>
      </c>
      <c r="D20" s="140"/>
      <c r="E20" s="177" t="str">
        <f>A20&amp;+(COUNTIF(A$2:A20,A20)-1)</f>
        <v>6740</v>
      </c>
      <c r="F20" s="114" t="s">
        <v>301</v>
      </c>
      <c r="G20" s="114" t="s">
        <v>328</v>
      </c>
      <c r="H20" s="114" t="s">
        <v>346</v>
      </c>
    </row>
    <row r="21" spans="1:8" x14ac:dyDescent="0.15">
      <c r="A21" s="114">
        <v>674</v>
      </c>
      <c r="B21" s="140" t="str">
        <f ca="1">VLOOKUP(A21,units!A:B,2)</f>
        <v>サラスヴァティ</v>
      </c>
      <c r="C21" s="114" t="s">
        <v>305</v>
      </c>
      <c r="D21" s="140"/>
      <c r="E21" s="177" t="str">
        <f>A21&amp;+(COUNTIF(A$2:A21,A21)-1)</f>
        <v>6741</v>
      </c>
      <c r="F21" s="114" t="s">
        <v>301</v>
      </c>
      <c r="G21" s="114" t="s">
        <v>317</v>
      </c>
      <c r="H21" s="114" t="s">
        <v>314</v>
      </c>
    </row>
    <row r="22" spans="1:8" x14ac:dyDescent="0.15">
      <c r="A22" s="114">
        <v>674</v>
      </c>
      <c r="B22" s="140" t="str">
        <f ca="1">VLOOKUP(A22,units!A:B,2)</f>
        <v>サラスヴァティ</v>
      </c>
      <c r="C22" s="114" t="s">
        <v>303</v>
      </c>
      <c r="D22" s="140"/>
      <c r="E22" s="177" t="str">
        <f>A22&amp;+(COUNTIF(A$2:A22,A22)-1)</f>
        <v>6742</v>
      </c>
      <c r="F22" s="114" t="s">
        <v>301</v>
      </c>
      <c r="G22" s="114" t="s">
        <v>318</v>
      </c>
      <c r="H22" s="114" t="s">
        <v>315</v>
      </c>
    </row>
    <row r="23" spans="1:8" x14ac:dyDescent="0.15">
      <c r="A23" s="114">
        <v>675</v>
      </c>
      <c r="B23" s="140" t="str">
        <f ca="1">VLOOKUP(A23,units!A:B,2)</f>
        <v>芸楽の奔流 サラスヴァティ</v>
      </c>
      <c r="C23" s="114" t="s">
        <v>302</v>
      </c>
      <c r="D23" s="140"/>
      <c r="E23" s="177" t="str">
        <f>A23&amp;+(COUNTIF(A$2:A23,A23)-1)</f>
        <v>6750</v>
      </c>
      <c r="F23" s="114" t="s">
        <v>301</v>
      </c>
      <c r="G23" s="114" t="s">
        <v>313</v>
      </c>
      <c r="H23" s="114" t="s">
        <v>347</v>
      </c>
    </row>
    <row r="24" spans="1:8" x14ac:dyDescent="0.15">
      <c r="A24" s="114">
        <v>675</v>
      </c>
      <c r="B24" s="140" t="str">
        <f ca="1">VLOOKUP(A24,units!A:B,2)</f>
        <v>芸楽の奔流 サラスヴァティ</v>
      </c>
      <c r="C24" s="114" t="s">
        <v>303</v>
      </c>
      <c r="D24" s="140"/>
      <c r="E24" s="177" t="str">
        <f>A24&amp;+(COUNTIF(A$2:A24,A24)-1)</f>
        <v>6751</v>
      </c>
      <c r="F24" s="114" t="s">
        <v>301</v>
      </c>
      <c r="G24" s="114" t="s">
        <v>317</v>
      </c>
      <c r="H24" s="114" t="s">
        <v>314</v>
      </c>
    </row>
    <row r="25" spans="1:8" x14ac:dyDescent="0.15">
      <c r="A25" s="114">
        <v>675</v>
      </c>
      <c r="B25" s="140" t="str">
        <f ca="1">VLOOKUP(A25,units!A:B,2)</f>
        <v>芸楽の奔流 サラスヴァティ</v>
      </c>
      <c r="C25" s="114" t="s">
        <v>303</v>
      </c>
      <c r="D25" s="140"/>
      <c r="E25" s="177" t="str">
        <f>A25&amp;+(COUNTIF(A$2:A25,A25)-1)</f>
        <v>6752</v>
      </c>
      <c r="F25" s="114" t="s">
        <v>301</v>
      </c>
      <c r="G25" s="114" t="s">
        <v>318</v>
      </c>
      <c r="H25" s="114" t="s">
        <v>315</v>
      </c>
    </row>
    <row r="26" spans="1:8" x14ac:dyDescent="0.15">
      <c r="A26" s="114">
        <v>675</v>
      </c>
      <c r="B26" s="140" t="str">
        <f ca="1">VLOOKUP(A26,units!A:B,2)</f>
        <v>芸楽の奔流 サラスヴァティ</v>
      </c>
      <c r="C26" s="114" t="s">
        <v>303</v>
      </c>
      <c r="D26" s="140"/>
      <c r="E26" s="177" t="str">
        <f>A26&amp;+(COUNTIF(A$2:A26,A26)-1)</f>
        <v>6753</v>
      </c>
      <c r="F26" s="114" t="s">
        <v>301</v>
      </c>
      <c r="G26" s="114" t="s">
        <v>318</v>
      </c>
      <c r="H26" s="114" t="s">
        <v>316</v>
      </c>
    </row>
    <row r="27" spans="1:8" x14ac:dyDescent="0.15">
      <c r="A27" s="114">
        <v>676</v>
      </c>
      <c r="B27" s="140" t="str">
        <f ca="1">VLOOKUP(A27,units!A:B,2)</f>
        <v>ヴィシュヌ</v>
      </c>
      <c r="C27" s="114" t="s">
        <v>304</v>
      </c>
      <c r="D27" s="140"/>
      <c r="E27" s="177" t="str">
        <f>A27&amp;+(COUNTIF(A$2:A27,A27)-1)</f>
        <v>6760</v>
      </c>
      <c r="F27" s="114" t="s">
        <v>301</v>
      </c>
      <c r="G27" s="114" t="s">
        <v>318</v>
      </c>
      <c r="H27" s="114" t="s">
        <v>323</v>
      </c>
    </row>
    <row r="28" spans="1:8" x14ac:dyDescent="0.15">
      <c r="A28" s="114">
        <v>676</v>
      </c>
      <c r="B28" s="140" t="str">
        <f ca="1">VLOOKUP(A28,units!A:B,2)</f>
        <v>ヴィシュヌ</v>
      </c>
      <c r="C28" s="114" t="s">
        <v>305</v>
      </c>
      <c r="D28" s="140"/>
      <c r="E28" s="177" t="str">
        <f>A28&amp;+(COUNTIF(A$2:A28,A28)-1)</f>
        <v>6761</v>
      </c>
      <c r="F28" s="114" t="s">
        <v>301</v>
      </c>
      <c r="G28" s="114" t="s">
        <v>318</v>
      </c>
      <c r="H28" s="114" t="s">
        <v>319</v>
      </c>
    </row>
    <row r="29" spans="1:8" x14ac:dyDescent="0.15">
      <c r="A29" s="114">
        <v>676</v>
      </c>
      <c r="B29" s="140" t="str">
        <f ca="1">VLOOKUP(A29,units!A:B,2)</f>
        <v>ヴィシュヌ</v>
      </c>
      <c r="C29" s="114" t="s">
        <v>303</v>
      </c>
      <c r="D29" s="140"/>
      <c r="E29" s="177" t="str">
        <f>A29&amp;+(COUNTIF(A$2:A29,A29)-1)</f>
        <v>6762</v>
      </c>
      <c r="F29" s="114" t="s">
        <v>301</v>
      </c>
      <c r="G29" s="114" t="s">
        <v>318</v>
      </c>
      <c r="H29" s="114" t="s">
        <v>320</v>
      </c>
    </row>
    <row r="30" spans="1:8" x14ac:dyDescent="0.15">
      <c r="A30" s="114">
        <v>677</v>
      </c>
      <c r="B30" s="140" t="str">
        <f ca="1">VLOOKUP(A30,units!A:B,2)</f>
        <v>武遊闊歩 ヴィシュヌ</v>
      </c>
      <c r="C30" s="114" t="s">
        <v>302</v>
      </c>
      <c r="D30" s="140"/>
      <c r="E30" s="177" t="str">
        <f>A30&amp;+(COUNTIF(A$2:A30,A30)-1)</f>
        <v>6770</v>
      </c>
      <c r="F30" s="114" t="s">
        <v>301</v>
      </c>
      <c r="G30" s="114" t="s">
        <v>318</v>
      </c>
      <c r="H30" s="114" t="s">
        <v>322</v>
      </c>
    </row>
    <row r="31" spans="1:8" x14ac:dyDescent="0.15">
      <c r="A31" s="114">
        <v>677</v>
      </c>
      <c r="B31" s="140" t="str">
        <f ca="1">VLOOKUP(A31,units!A:B,2)</f>
        <v>武遊闊歩 ヴィシュヌ</v>
      </c>
      <c r="C31" s="114" t="s">
        <v>303</v>
      </c>
      <c r="D31" s="140"/>
      <c r="E31" s="177" t="str">
        <f>A31&amp;+(COUNTIF(A$2:A31,A31)-1)</f>
        <v>6771</v>
      </c>
      <c r="F31" s="114" t="s">
        <v>301</v>
      </c>
      <c r="G31" s="114" t="s">
        <v>318</v>
      </c>
      <c r="H31" s="114" t="s">
        <v>319</v>
      </c>
    </row>
    <row r="32" spans="1:8" x14ac:dyDescent="0.15">
      <c r="A32" s="114">
        <v>677</v>
      </c>
      <c r="B32" s="140" t="str">
        <f ca="1">VLOOKUP(A32,units!A:B,2)</f>
        <v>武遊闊歩 ヴィシュヌ</v>
      </c>
      <c r="C32" s="114" t="s">
        <v>303</v>
      </c>
      <c r="D32" s="140"/>
      <c r="E32" s="177" t="str">
        <f>A32&amp;+(COUNTIF(A$2:A32,A32)-1)</f>
        <v>6772</v>
      </c>
      <c r="F32" s="114" t="s">
        <v>301</v>
      </c>
      <c r="G32" s="114" t="s">
        <v>318</v>
      </c>
      <c r="H32" s="114" t="s">
        <v>320</v>
      </c>
    </row>
    <row r="33" spans="1:8" x14ac:dyDescent="0.15">
      <c r="A33" s="114">
        <v>677</v>
      </c>
      <c r="B33" s="140" t="str">
        <f ca="1">VLOOKUP(A33,units!A:B,2)</f>
        <v>武遊闊歩 ヴィシュヌ</v>
      </c>
      <c r="C33" s="114" t="s">
        <v>303</v>
      </c>
      <c r="D33" s="140"/>
      <c r="E33" s="177" t="str">
        <f>A33&amp;+(COUNTIF(A$2:A33,A33)-1)</f>
        <v>6773</v>
      </c>
      <c r="F33" s="114" t="s">
        <v>301</v>
      </c>
      <c r="G33" s="114" t="s">
        <v>318</v>
      </c>
      <c r="H33" s="114" t="s">
        <v>321</v>
      </c>
    </row>
    <row r="34" spans="1:8" x14ac:dyDescent="0.15">
      <c r="A34" s="114">
        <v>648</v>
      </c>
      <c r="B34" s="140" t="str">
        <f ca="1">VLOOKUP(A34,units!A:B,2)</f>
        <v>パールヴァティ</v>
      </c>
      <c r="C34" s="114" t="s">
        <v>304</v>
      </c>
      <c r="D34" s="140"/>
      <c r="E34" s="177" t="str">
        <f>A34&amp;+(COUNTIF(A$2:A34,A34)-1)</f>
        <v>6480</v>
      </c>
      <c r="F34" s="114" t="s">
        <v>301</v>
      </c>
      <c r="G34" s="114" t="s">
        <v>306</v>
      </c>
      <c r="H34" s="114" t="s">
        <v>307</v>
      </c>
    </row>
    <row r="35" spans="1:8" x14ac:dyDescent="0.15">
      <c r="A35" s="114">
        <v>648</v>
      </c>
      <c r="B35" s="140" t="str">
        <f ca="1">VLOOKUP(A35,units!A:B,2)</f>
        <v>パールヴァティ</v>
      </c>
      <c r="C35" s="114" t="s">
        <v>305</v>
      </c>
      <c r="D35" s="140"/>
      <c r="E35" s="177" t="str">
        <f>A35&amp;+(COUNTIF(A$2:A35,A35)-1)</f>
        <v>6481</v>
      </c>
      <c r="F35" s="114" t="s">
        <v>301</v>
      </c>
      <c r="G35" s="114" t="s">
        <v>306</v>
      </c>
      <c r="H35" s="114" t="s">
        <v>308</v>
      </c>
    </row>
    <row r="36" spans="1:8" x14ac:dyDescent="0.15">
      <c r="A36" s="114">
        <v>648</v>
      </c>
      <c r="B36" s="140" t="str">
        <f ca="1">VLOOKUP(A36,units!A:B,2)</f>
        <v>パールヴァティ</v>
      </c>
      <c r="C36" s="114" t="s">
        <v>303</v>
      </c>
      <c r="D36" s="140"/>
      <c r="E36" s="177" t="str">
        <f>A36&amp;+(COUNTIF(A$2:A36,A36)-1)</f>
        <v>6482</v>
      </c>
      <c r="F36" s="114" t="s">
        <v>301</v>
      </c>
      <c r="G36" s="114" t="s">
        <v>306</v>
      </c>
      <c r="H36" s="114" t="s">
        <v>348</v>
      </c>
    </row>
    <row r="37" spans="1:8" x14ac:dyDescent="0.15">
      <c r="A37" s="114">
        <v>649</v>
      </c>
      <c r="B37" s="140" t="str">
        <f ca="1">VLOOKUP(A37,units!A:B,2)</f>
        <v>寄咲く一輪華 パールヴァティ</v>
      </c>
      <c r="C37" s="114" t="s">
        <v>302</v>
      </c>
      <c r="D37" s="140"/>
      <c r="E37" s="177" t="str">
        <f>A37&amp;+(COUNTIF(A$2:A37,A37)-1)</f>
        <v>6490</v>
      </c>
      <c r="F37" s="114" t="s">
        <v>301</v>
      </c>
      <c r="G37" s="114" t="s">
        <v>306</v>
      </c>
      <c r="H37" s="114" t="s">
        <v>309</v>
      </c>
    </row>
    <row r="38" spans="1:8" x14ac:dyDescent="0.15">
      <c r="A38" s="114">
        <v>649</v>
      </c>
      <c r="B38" s="140" t="str">
        <f ca="1">VLOOKUP(A38,units!A:B,2)</f>
        <v>寄咲く一輪華 パールヴァティ</v>
      </c>
      <c r="C38" s="114" t="s">
        <v>303</v>
      </c>
      <c r="D38" s="140"/>
      <c r="E38" s="177" t="str">
        <f>A38&amp;+(COUNTIF(A$2:A38,A38)-1)</f>
        <v>6491</v>
      </c>
      <c r="F38" s="114" t="s">
        <v>301</v>
      </c>
      <c r="G38" s="114" t="s">
        <v>306</v>
      </c>
      <c r="H38" s="114" t="s">
        <v>308</v>
      </c>
    </row>
    <row r="39" spans="1:8" x14ac:dyDescent="0.15">
      <c r="A39" s="114">
        <v>649</v>
      </c>
      <c r="B39" s="140" t="str">
        <f ca="1">VLOOKUP(A39,units!A:B,2)</f>
        <v>寄咲く一輪華 パールヴァティ</v>
      </c>
      <c r="C39" s="114" t="s">
        <v>303</v>
      </c>
      <c r="D39" s="140"/>
      <c r="E39" s="177" t="str">
        <f>A39&amp;+(COUNTIF(A$2:A39,A39)-1)</f>
        <v>6492</v>
      </c>
      <c r="F39" s="114" t="s">
        <v>301</v>
      </c>
      <c r="G39" s="114" t="s">
        <v>306</v>
      </c>
      <c r="H39" s="114" t="s">
        <v>348</v>
      </c>
    </row>
    <row r="40" spans="1:8" x14ac:dyDescent="0.15">
      <c r="A40" s="114">
        <v>649</v>
      </c>
      <c r="B40" s="140" t="str">
        <f ca="1">VLOOKUP(A40,units!A:B,2)</f>
        <v>寄咲く一輪華 パールヴァティ</v>
      </c>
      <c r="C40" s="114" t="s">
        <v>303</v>
      </c>
      <c r="D40" s="140"/>
      <c r="E40" s="177" t="str">
        <f>A40&amp;+(COUNTIF(A$2:A40,A40)-1)</f>
        <v>6493</v>
      </c>
      <c r="F40" s="114" t="s">
        <v>301</v>
      </c>
      <c r="G40" s="114" t="s">
        <v>306</v>
      </c>
      <c r="H40" s="114" t="s">
        <v>349</v>
      </c>
    </row>
    <row r="41" spans="1:8" x14ac:dyDescent="0.15">
      <c r="A41" s="12">
        <v>652</v>
      </c>
      <c r="B41" s="140" t="str">
        <f ca="1">VLOOKUP(A41,units!A:B,2)</f>
        <v>アナンタ</v>
      </c>
      <c r="C41" s="114" t="s">
        <v>304</v>
      </c>
      <c r="D41" s="140"/>
      <c r="E41" s="177" t="str">
        <f>A41&amp;+(COUNTIF(A$2:A41,A41)-1)</f>
        <v>6520</v>
      </c>
      <c r="F41" s="114" t="s">
        <v>301</v>
      </c>
      <c r="G41" s="114" t="s">
        <v>306</v>
      </c>
      <c r="H41" s="114" t="s">
        <v>350</v>
      </c>
    </row>
    <row r="42" spans="1:8" x14ac:dyDescent="0.15">
      <c r="A42" s="12">
        <v>652</v>
      </c>
      <c r="B42" s="140" t="str">
        <f ca="1">VLOOKUP(A42,units!A:B,2)</f>
        <v>アナンタ</v>
      </c>
      <c r="C42" s="114" t="s">
        <v>303</v>
      </c>
      <c r="D42" s="140"/>
      <c r="E42" s="177" t="str">
        <f>A42&amp;+(COUNTIF(A$2:A42,A42)-1)</f>
        <v>6521</v>
      </c>
      <c r="F42" s="114" t="s">
        <v>301</v>
      </c>
      <c r="G42" s="114" t="s">
        <v>306</v>
      </c>
      <c r="H42" s="114" t="s">
        <v>353</v>
      </c>
    </row>
    <row r="43" spans="1:8" x14ac:dyDescent="0.15">
      <c r="A43" s="12">
        <v>652</v>
      </c>
      <c r="B43" s="140" t="str">
        <f ca="1">VLOOKUP(A43,units!A:B,2)</f>
        <v>アナンタ</v>
      </c>
      <c r="C43" s="114" t="s">
        <v>303</v>
      </c>
      <c r="D43" s="140"/>
      <c r="E43" s="177" t="str">
        <f>A43&amp;+(COUNTIF(A$2:A43,A43)-1)</f>
        <v>6522</v>
      </c>
      <c r="F43" s="114" t="s">
        <v>301</v>
      </c>
      <c r="G43" s="114" t="s">
        <v>360</v>
      </c>
      <c r="H43" s="114" t="s">
        <v>354</v>
      </c>
    </row>
    <row r="44" spans="1:8" x14ac:dyDescent="0.15">
      <c r="A44" s="114">
        <v>653</v>
      </c>
      <c r="B44" s="140" t="str">
        <f ca="1">VLOOKUP(A44,units!A:B,2)</f>
        <v>悠久の狡蛇 アナンタ</v>
      </c>
      <c r="C44" s="114" t="s">
        <v>302</v>
      </c>
      <c r="D44" s="140"/>
      <c r="E44" s="177" t="str">
        <f>A44&amp;+(COUNTIF(A$2:A44,A44)-1)</f>
        <v>6530</v>
      </c>
      <c r="F44" s="114" t="s">
        <v>301</v>
      </c>
      <c r="G44" s="114" t="s">
        <v>360</v>
      </c>
      <c r="H44" s="114" t="s">
        <v>361</v>
      </c>
    </row>
    <row r="45" spans="1:8" x14ac:dyDescent="0.15">
      <c r="A45" s="114">
        <v>653</v>
      </c>
      <c r="B45" s="140" t="str">
        <f ca="1">VLOOKUP(A45,units!A:B,2)</f>
        <v>悠久の狡蛇 アナンタ</v>
      </c>
      <c r="C45" s="114" t="s">
        <v>303</v>
      </c>
      <c r="D45" s="140"/>
      <c r="E45" s="177" t="str">
        <f>A45&amp;+(COUNTIF(A$2:A45,A45)-1)</f>
        <v>6531</v>
      </c>
      <c r="F45" s="114" t="s">
        <v>301</v>
      </c>
      <c r="G45" s="114" t="s">
        <v>306</v>
      </c>
      <c r="H45" s="114" t="s">
        <v>351</v>
      </c>
    </row>
    <row r="46" spans="1:8" x14ac:dyDescent="0.15">
      <c r="A46" s="114">
        <v>653</v>
      </c>
      <c r="B46" s="140" t="str">
        <f ca="1">VLOOKUP(A46,units!A:B,2)</f>
        <v>悠久の狡蛇 アナンタ</v>
      </c>
      <c r="C46" s="114" t="s">
        <v>303</v>
      </c>
      <c r="D46" s="140"/>
      <c r="E46" s="177" t="str">
        <f>A46&amp;+(COUNTIF(A$2:A46,A46)-1)</f>
        <v>6532</v>
      </c>
      <c r="F46" s="114" t="s">
        <v>301</v>
      </c>
      <c r="G46" s="114" t="s">
        <v>360</v>
      </c>
      <c r="H46" s="114" t="s">
        <v>354</v>
      </c>
    </row>
    <row r="47" spans="1:8" x14ac:dyDescent="0.15">
      <c r="A47" s="114">
        <v>653</v>
      </c>
      <c r="B47" s="140" t="str">
        <f ca="1">VLOOKUP(A47,units!A:B,2)</f>
        <v>悠久の狡蛇 アナンタ</v>
      </c>
      <c r="C47" s="114" t="s">
        <v>303</v>
      </c>
      <c r="D47" s="140"/>
      <c r="E47" s="177" t="str">
        <f>A47&amp;+(COUNTIF(A$2:A47,A47)-1)</f>
        <v>6533</v>
      </c>
      <c r="F47" s="114" t="s">
        <v>301</v>
      </c>
      <c r="G47" s="114" t="s">
        <v>306</v>
      </c>
      <c r="H47" s="114" t="s">
        <v>352</v>
      </c>
    </row>
    <row r="48" spans="1:8" x14ac:dyDescent="0.15">
      <c r="A48" s="12">
        <v>656</v>
      </c>
      <c r="B48" s="140" t="str">
        <f ca="1">VLOOKUP(A48,units!A:B,2)</f>
        <v>シヴァ</v>
      </c>
      <c r="C48" s="114" t="s">
        <v>304</v>
      </c>
      <c r="D48" s="140"/>
      <c r="E48" s="177" t="str">
        <f>A48&amp;+(COUNTIF(A$2:A48,A48)-1)</f>
        <v>6560</v>
      </c>
      <c r="F48" s="114" t="s">
        <v>301</v>
      </c>
      <c r="G48" s="114" t="s">
        <v>306</v>
      </c>
      <c r="H48" s="114" t="s">
        <v>355</v>
      </c>
    </row>
    <row r="49" spans="1:8" x14ac:dyDescent="0.15">
      <c r="A49" s="12">
        <v>656</v>
      </c>
      <c r="B49" s="140" t="str">
        <f ca="1">VLOOKUP(A49,units!A:B,2)</f>
        <v>シヴァ</v>
      </c>
      <c r="C49" s="114" t="s">
        <v>303</v>
      </c>
      <c r="D49" s="140"/>
      <c r="E49" s="177" t="str">
        <f>A49&amp;+(COUNTIF(A$2:A49,A49)-1)</f>
        <v>6561</v>
      </c>
      <c r="F49" s="114" t="s">
        <v>301</v>
      </c>
      <c r="G49" s="114" t="s">
        <v>306</v>
      </c>
      <c r="H49" s="114" t="s">
        <v>356</v>
      </c>
    </row>
    <row r="50" spans="1:8" x14ac:dyDescent="0.15">
      <c r="A50" s="12">
        <v>656</v>
      </c>
      <c r="B50" s="140" t="str">
        <f ca="1">VLOOKUP(A50,units!A:B,2)</f>
        <v>シヴァ</v>
      </c>
      <c r="C50" s="114" t="s">
        <v>303</v>
      </c>
      <c r="D50" s="140"/>
      <c r="E50" s="177" t="str">
        <f>A50&amp;+(COUNTIF(A$2:A50,A50)-1)</f>
        <v>6562</v>
      </c>
      <c r="F50" s="114" t="s">
        <v>301</v>
      </c>
      <c r="G50" s="114" t="s">
        <v>306</v>
      </c>
      <c r="H50" s="114" t="s">
        <v>358</v>
      </c>
    </row>
    <row r="51" spans="1:8" x14ac:dyDescent="0.15">
      <c r="A51" s="114">
        <v>657</v>
      </c>
      <c r="B51" s="140" t="str">
        <f ca="1">VLOOKUP(A51,units!A:B,2)</f>
        <v>解滅の裁神 シヴァ</v>
      </c>
      <c r="C51" s="114" t="s">
        <v>302</v>
      </c>
      <c r="D51" s="140"/>
      <c r="E51" s="177" t="str">
        <f>A51&amp;+(COUNTIF(A$2:A51,A51)-1)</f>
        <v>6570</v>
      </c>
      <c r="F51" s="114" t="s">
        <v>301</v>
      </c>
      <c r="G51" s="114" t="s">
        <v>306</v>
      </c>
      <c r="H51" s="114" t="s">
        <v>359</v>
      </c>
    </row>
    <row r="52" spans="1:8" x14ac:dyDescent="0.15">
      <c r="A52" s="114">
        <v>657</v>
      </c>
      <c r="B52" s="140" t="str">
        <f ca="1">VLOOKUP(A52,units!A:B,2)</f>
        <v>解滅の裁神 シヴァ</v>
      </c>
      <c r="C52" s="114" t="s">
        <v>303</v>
      </c>
      <c r="D52" s="140"/>
      <c r="E52" s="177" t="str">
        <f>A52&amp;+(COUNTIF(A$2:A52,A52)-1)</f>
        <v>6571</v>
      </c>
      <c r="F52" s="114" t="s">
        <v>301</v>
      </c>
      <c r="G52" s="114" t="s">
        <v>306</v>
      </c>
      <c r="H52" s="114" t="s">
        <v>356</v>
      </c>
    </row>
    <row r="53" spans="1:8" x14ac:dyDescent="0.15">
      <c r="A53" s="114">
        <v>657</v>
      </c>
      <c r="B53" s="140" t="str">
        <f ca="1">VLOOKUP(A53,units!A:B,2)</f>
        <v>解滅の裁神 シヴァ</v>
      </c>
      <c r="C53" s="114" t="s">
        <v>303</v>
      </c>
      <c r="D53" s="140"/>
      <c r="E53" s="177" t="str">
        <f>A53&amp;+(COUNTIF(A$2:A53,A53)-1)</f>
        <v>6572</v>
      </c>
      <c r="F53" s="114" t="s">
        <v>301</v>
      </c>
      <c r="G53" s="114" t="s">
        <v>306</v>
      </c>
      <c r="H53" s="114" t="s">
        <v>357</v>
      </c>
    </row>
    <row r="54" spans="1:8" x14ac:dyDescent="0.15">
      <c r="A54" s="114">
        <v>657</v>
      </c>
      <c r="B54" s="140" t="str">
        <f ca="1">VLOOKUP(A54,units!A:B,2)</f>
        <v>解滅の裁神 シヴァ</v>
      </c>
      <c r="C54" s="114" t="s">
        <v>303</v>
      </c>
      <c r="D54" s="140"/>
      <c r="E54" s="177" t="str">
        <f>A54&amp;+(COUNTIF(A$2:A54,A54)-1)</f>
        <v>6573</v>
      </c>
      <c r="F54" s="114" t="s">
        <v>301</v>
      </c>
      <c r="G54" s="114" t="s">
        <v>306</v>
      </c>
      <c r="H54" s="114" t="s">
        <v>358</v>
      </c>
    </row>
    <row r="55" spans="1:8" x14ac:dyDescent="0.15">
      <c r="A55" s="12">
        <v>642</v>
      </c>
      <c r="B55" s="140" t="str">
        <f ca="1">VLOOKUP(A55,units!A:B,2)</f>
        <v>カーマ</v>
      </c>
      <c r="C55" s="114" t="s">
        <v>304</v>
      </c>
      <c r="D55" s="140"/>
      <c r="E55" s="177" t="str">
        <f>A55&amp;+(COUNTIF(A$2:A55,A55)-1)</f>
        <v>6420</v>
      </c>
      <c r="F55" s="114" t="s">
        <v>301</v>
      </c>
      <c r="G55" s="114" t="s">
        <v>371</v>
      </c>
      <c r="H55" s="114" t="s">
        <v>373</v>
      </c>
    </row>
    <row r="56" spans="1:8" x14ac:dyDescent="0.15">
      <c r="A56" s="12">
        <v>642</v>
      </c>
      <c r="B56" s="140" t="str">
        <f ca="1">VLOOKUP(A56,units!A:B,2)</f>
        <v>カーマ</v>
      </c>
      <c r="C56" s="114" t="s">
        <v>303</v>
      </c>
      <c r="D56" s="140"/>
      <c r="E56" s="177" t="str">
        <f>A56&amp;+(COUNTIF(A$2:A56,A56)-1)</f>
        <v>6421</v>
      </c>
      <c r="F56" s="114" t="s">
        <v>301</v>
      </c>
      <c r="G56" s="114" t="s">
        <v>374</v>
      </c>
      <c r="H56" s="114" t="s">
        <v>370</v>
      </c>
    </row>
    <row r="57" spans="1:8" x14ac:dyDescent="0.15">
      <c r="A57" s="12">
        <v>642</v>
      </c>
      <c r="B57" s="140" t="str">
        <f ca="1">VLOOKUP(A57,units!A:B,2)</f>
        <v>カーマ</v>
      </c>
      <c r="C57" s="114" t="s">
        <v>303</v>
      </c>
      <c r="D57" s="140"/>
      <c r="E57" s="177" t="str">
        <f>A57&amp;+(COUNTIF(A$2:A57,A57)-1)</f>
        <v>6422</v>
      </c>
      <c r="F57" s="114" t="s">
        <v>301</v>
      </c>
      <c r="G57" s="114" t="s">
        <v>306</v>
      </c>
      <c r="H57" s="114" t="s">
        <v>372</v>
      </c>
    </row>
    <row r="58" spans="1:8" x14ac:dyDescent="0.15">
      <c r="A58" s="114">
        <v>643</v>
      </c>
      <c r="B58" s="140" t="str">
        <f ca="1">VLOOKUP(A58,units!A:B,2)</f>
        <v>愛花天神 カーマ</v>
      </c>
      <c r="C58" s="114" t="s">
        <v>302</v>
      </c>
      <c r="D58" s="140"/>
      <c r="E58" s="177" t="str">
        <f>A58&amp;+(COUNTIF(A$2:A58,A58)-1)</f>
        <v>6430</v>
      </c>
      <c r="F58" s="114" t="s">
        <v>301</v>
      </c>
      <c r="G58" s="114" t="s">
        <v>371</v>
      </c>
      <c r="H58" s="114" t="s">
        <v>369</v>
      </c>
    </row>
    <row r="59" spans="1:8" x14ac:dyDescent="0.15">
      <c r="A59" s="114">
        <v>643</v>
      </c>
      <c r="B59" s="140" t="str">
        <f ca="1">VLOOKUP(A59,units!A:B,2)</f>
        <v>愛花天神 カーマ</v>
      </c>
      <c r="C59" s="114" t="s">
        <v>303</v>
      </c>
      <c r="D59" s="140"/>
      <c r="E59" s="177" t="str">
        <f>A59&amp;+(COUNTIF(A$2:A59,A59)-1)</f>
        <v>6431</v>
      </c>
      <c r="F59" s="114" t="s">
        <v>301</v>
      </c>
      <c r="G59" s="114" t="s">
        <v>306</v>
      </c>
      <c r="H59" s="114" t="s">
        <v>370</v>
      </c>
    </row>
    <row r="60" spans="1:8" x14ac:dyDescent="0.15">
      <c r="A60" s="114">
        <v>643</v>
      </c>
      <c r="B60" s="140" t="str">
        <f ca="1">VLOOKUP(A60,units!A:B,2)</f>
        <v>愛花天神 カーマ</v>
      </c>
      <c r="C60" s="114" t="s">
        <v>303</v>
      </c>
      <c r="D60" s="140"/>
      <c r="E60" s="177" t="str">
        <f>A60&amp;+(COUNTIF(A$2:A60,A60)-1)</f>
        <v>6432</v>
      </c>
      <c r="F60" s="114" t="s">
        <v>301</v>
      </c>
      <c r="G60" s="114" t="s">
        <v>306</v>
      </c>
      <c r="H60" s="114" t="s">
        <v>372</v>
      </c>
    </row>
    <row r="61" spans="1:8" x14ac:dyDescent="0.15">
      <c r="A61" s="114">
        <v>643</v>
      </c>
      <c r="B61" s="140" t="str">
        <f ca="1">VLOOKUP(A61,units!A:B,2)</f>
        <v>愛花天神 カーマ</v>
      </c>
      <c r="C61" s="114" t="s">
        <v>303</v>
      </c>
      <c r="D61" s="140"/>
      <c r="E61" s="177" t="str">
        <f>A61&amp;+(COUNTIF(A$2:A61,A61)-1)</f>
        <v>6433</v>
      </c>
      <c r="F61" s="114" t="s">
        <v>301</v>
      </c>
      <c r="G61" s="114" t="s">
        <v>306</v>
      </c>
      <c r="H61" s="114" t="s">
        <v>375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I33"/>
  <sheetViews>
    <sheetView showGridLines="0" workbookViewId="0">
      <pane ySplit="1" topLeftCell="A2" activePane="bottomLeft" state="frozen"/>
      <selection pane="bottomLeft" activeCell="D2" sqref="D2"/>
    </sheetView>
  </sheetViews>
  <sheetFormatPr baseColWidth="12" defaultColWidth="13" defaultRowHeight="15" x14ac:dyDescent="0.15"/>
  <cols>
    <col min="1" max="1" width="11.5" style="66" bestFit="1" customWidth="1"/>
    <col min="2" max="2" width="19.1640625" style="3" bestFit="1" customWidth="1"/>
    <col min="3" max="3" width="22.83203125" style="2" bestFit="1" customWidth="1"/>
    <col min="4" max="4" width="9.6640625" style="2" bestFit="1" customWidth="1"/>
    <col min="5" max="5" width="13.6640625" style="2" bestFit="1" customWidth="1"/>
    <col min="6" max="6" width="21.33203125" style="2" bestFit="1" customWidth="1"/>
    <col min="7" max="7" width="13.5" style="2" bestFit="1" customWidth="1"/>
    <col min="8" max="8" width="17" style="1" bestFit="1" customWidth="1"/>
    <col min="9" max="16384" width="13" style="2"/>
  </cols>
  <sheetData>
    <row r="1" spans="1:9" ht="21" customHeight="1" x14ac:dyDescent="0.15">
      <c r="A1" s="66" t="s">
        <v>105</v>
      </c>
      <c r="B1" s="42" t="s">
        <v>44</v>
      </c>
      <c r="C1" s="20" t="s">
        <v>46</v>
      </c>
      <c r="D1" s="20" t="s">
        <v>48</v>
      </c>
      <c r="E1" s="20" t="s">
        <v>49</v>
      </c>
      <c r="F1" s="43" t="s">
        <v>42</v>
      </c>
      <c r="G1" s="20" t="s">
        <v>47</v>
      </c>
      <c r="H1" s="19" t="s">
        <v>43</v>
      </c>
      <c r="I1" s="119" t="s">
        <v>133</v>
      </c>
    </row>
    <row r="2" spans="1:9" ht="21" customHeight="1" x14ac:dyDescent="0.15">
      <c r="A2" s="66" t="str">
        <f t="shared" ref="A2:A23" si="0">B2&amp;"_"&amp;F2</f>
        <v>668_103</v>
      </c>
      <c r="B2" s="44">
        <v>668</v>
      </c>
      <c r="C2" s="21" t="str">
        <f ca="1">VLOOKUP(B2,units!A:B,2)</f>
        <v>アグニ</v>
      </c>
      <c r="D2" s="21" t="e">
        <f ca="1">VLOOKUP($B2,OFFSET([4]units!$A$1,0,0,COUNTA([4]units!$A:$A),MATCH(D$1,[4]units!$1:$1,0)-COLUMN(INDIRECT("character_id"))+1),MATCH(D$1,[4]units!$1:$1,0)-COLUMN(INDIRECT("character_id"))+1,FALSE)</f>
        <v>#VALUE!</v>
      </c>
      <c r="E2" s="21" t="e">
        <f ca="1">VLOOKUP($B2,OFFSET([4]units!$A$1,0,0,COUNTA([4]units!$A:$A),MATCH(E$1,[4]units!$1:$1,0)-COLUMN(INDIRECT("character_id"))+1),MATCH(E$1,[4]units!$1:$1,0)-COLUMN(INDIRECT("character_id"))+1,FALSE)</f>
        <v>#VALUE!</v>
      </c>
      <c r="F2" s="44">
        <v>103</v>
      </c>
      <c r="G2" s="21" t="e">
        <f ca="1">VLOOKUP($F2,OFFSET([4]units!$A$1,0,0,COUNTA([4]units!$A:$A),MATCH(G$1,[4]units!$1:$1,0)-COLUMN(INDIRECT("character_id"))+1),MATCH(G$1,[4]units!$1:$1,0)-COLUMN(INDIRECT("character_id"))+1,FALSE)</f>
        <v>#VALUE!</v>
      </c>
      <c r="H2" s="18">
        <v>3</v>
      </c>
      <c r="I2" s="120">
        <v>1</v>
      </c>
    </row>
    <row r="3" spans="1:9" ht="21" customHeight="1" x14ac:dyDescent="0.15">
      <c r="A3" s="66" t="str">
        <f t="shared" si="0"/>
        <v>668_102</v>
      </c>
      <c r="B3" s="44">
        <v>668</v>
      </c>
      <c r="C3" s="21" t="str">
        <f ca="1">VLOOKUP(B3,units!A:B,2)</f>
        <v>アグニ</v>
      </c>
      <c r="D3" s="21" t="e">
        <f ca="1">VLOOKUP($B3,OFFSET([4]units!$A$1,0,0,COUNTA([4]units!$A:$A),MATCH(D$1,[4]units!$1:$1,0)-COLUMN(INDIRECT("character_id"))+1),MATCH(D$1,[4]units!$1:$1,0)-COLUMN(INDIRECT("character_id"))+1,FALSE)</f>
        <v>#VALUE!</v>
      </c>
      <c r="E3" s="21" t="e">
        <f ca="1">VLOOKUP($B3,OFFSET([4]units!$A$1,0,0,COUNTA([4]units!$A:$A),MATCH(E$1,[4]units!$1:$1,0)-COLUMN(INDIRECT("character_id"))+1),MATCH(E$1,[4]units!$1:$1,0)-COLUMN(INDIRECT("character_id"))+1,FALSE)</f>
        <v>#VALUE!</v>
      </c>
      <c r="F3" s="44">
        <v>102</v>
      </c>
      <c r="G3" s="21" t="e">
        <f ca="1">VLOOKUP($F3,OFFSET([4]units!$A$1,0,0,COUNTA([4]units!$A:$A),MATCH(G$1,[4]units!$1:$1,0)-COLUMN(INDIRECT("character_id"))+1),MATCH(G$1,[4]units!$1:$1,0)-COLUMN(INDIRECT("character_id"))+1,FALSE)</f>
        <v>#VALUE!</v>
      </c>
      <c r="H3" s="18">
        <v>1</v>
      </c>
      <c r="I3" s="120">
        <v>1</v>
      </c>
    </row>
    <row r="4" spans="1:9" ht="21" customHeight="1" x14ac:dyDescent="0.15">
      <c r="A4" s="66" t="str">
        <f t="shared" si="0"/>
        <v>669_104</v>
      </c>
      <c r="B4" s="44">
        <v>669</v>
      </c>
      <c r="C4" s="21" t="str">
        <f ca="1">VLOOKUP(B4,units!A:B,2)</f>
        <v>天地の仲界 アグニ</v>
      </c>
      <c r="D4" s="21" t="e">
        <f ca="1">VLOOKUP($B4,OFFSET([4]units!$A$1,0,0,COUNTA([4]units!$A:$A),MATCH(D$1,[4]units!$1:$1,0)-COLUMN(INDIRECT("character_id"))+1),MATCH(D$1,[4]units!$1:$1,0)-COLUMN(INDIRECT("character_id"))+1,FALSE)</f>
        <v>#VALUE!</v>
      </c>
      <c r="E4" s="21" t="e">
        <f ca="1">VLOOKUP($B4,OFFSET([4]units!$A$1,0,0,COUNTA([4]units!$A:$A),MATCH(E$1,[4]units!$1:$1,0)-COLUMN(INDIRECT("character_id"))+1),MATCH(E$1,[4]units!$1:$1,0)-COLUMN(INDIRECT("character_id"))+1,FALSE)</f>
        <v>#VALUE!</v>
      </c>
      <c r="F4" s="44">
        <v>104</v>
      </c>
      <c r="G4" s="21" t="e">
        <f ca="1">VLOOKUP($F4,OFFSET([4]units!$A$1,0,0,COUNTA([4]units!$A:$A),MATCH(G$1,[4]units!$1:$1,0)-COLUMN(INDIRECT("character_id"))+1),MATCH(G$1,[4]units!$1:$1,0)-COLUMN(INDIRECT("character_id"))+1,FALSE)</f>
        <v>#VALUE!</v>
      </c>
      <c r="H4" s="18">
        <v>2</v>
      </c>
      <c r="I4" s="120">
        <v>1</v>
      </c>
    </row>
    <row r="5" spans="1:9" ht="21" customHeight="1" x14ac:dyDescent="0.15">
      <c r="A5" s="66" t="str">
        <f t="shared" si="0"/>
        <v>669_103</v>
      </c>
      <c r="B5" s="44">
        <v>669</v>
      </c>
      <c r="C5" s="21" t="str">
        <f ca="1">VLOOKUP(B5,units!A:B,2)</f>
        <v>天地の仲界 アグニ</v>
      </c>
      <c r="D5" s="21" t="e">
        <f ca="1">VLOOKUP($B5,OFFSET([4]units!$A$1,0,0,COUNTA([4]units!$A:$A),MATCH(D$1,[4]units!$1:$1,0)-COLUMN(INDIRECT("character_id"))+1),MATCH(D$1,[4]units!$1:$1,0)-COLUMN(INDIRECT("character_id"))+1,FALSE)</f>
        <v>#VALUE!</v>
      </c>
      <c r="E5" s="21" t="e">
        <f ca="1">VLOOKUP($B5,OFFSET([4]units!$A$1,0,0,COUNTA([4]units!$A:$A),MATCH(E$1,[4]units!$1:$1,0)-COLUMN(INDIRECT("character_id"))+1),MATCH(E$1,[4]units!$1:$1,0)-COLUMN(INDIRECT("character_id"))+1,FALSE)</f>
        <v>#VALUE!</v>
      </c>
      <c r="F5" s="44">
        <v>103</v>
      </c>
      <c r="G5" s="21" t="e">
        <f ca="1">VLOOKUP($F5,OFFSET([4]units!$A$1,0,0,COUNTA([4]units!$A:$A),MATCH(G$1,[4]units!$1:$1,0)-COLUMN(INDIRECT("character_id"))+1),MATCH(G$1,[4]units!$1:$1,0)-COLUMN(INDIRECT("character_id"))+1,FALSE)</f>
        <v>#VALUE!</v>
      </c>
      <c r="H5" s="18">
        <v>2</v>
      </c>
      <c r="I5" s="120">
        <v>1</v>
      </c>
    </row>
    <row r="6" spans="1:9" ht="21" customHeight="1" x14ac:dyDescent="0.15">
      <c r="A6" s="66" t="str">
        <f t="shared" si="0"/>
        <v>669_102</v>
      </c>
      <c r="B6" s="44">
        <v>669</v>
      </c>
      <c r="C6" s="21" t="str">
        <f ca="1">VLOOKUP(B6,units!A:B,2)</f>
        <v>天地の仲界 アグニ</v>
      </c>
      <c r="D6" s="21" t="e">
        <f ca="1">VLOOKUP($B6,OFFSET([4]units!$A$1,0,0,COUNTA([4]units!$A:$A),MATCH(D$1,[4]units!$1:$1,0)-COLUMN(INDIRECT("character_id"))+1),MATCH(D$1,[4]units!$1:$1,0)-COLUMN(INDIRECT("character_id"))+1,FALSE)</f>
        <v>#VALUE!</v>
      </c>
      <c r="E6" s="21" t="e">
        <f ca="1">VLOOKUP($B6,OFFSET([4]units!$A$1,0,0,COUNTA([4]units!$A:$A),MATCH(E$1,[4]units!$1:$1,0)-COLUMN(INDIRECT("character_id"))+1),MATCH(E$1,[4]units!$1:$1,0)-COLUMN(INDIRECT("character_id"))+1,FALSE)</f>
        <v>#VALUE!</v>
      </c>
      <c r="F6" s="44">
        <v>102</v>
      </c>
      <c r="G6" s="21" t="e">
        <f ca="1">VLOOKUP($F6,OFFSET([4]units!$A$1,0,0,COUNTA([4]units!$A:$A),MATCH(G$1,[4]units!$1:$1,0)-COLUMN(INDIRECT("character_id"))+1),MATCH(G$1,[4]units!$1:$1,0)-COLUMN(INDIRECT("character_id"))+1,FALSE)</f>
        <v>#VALUE!</v>
      </c>
      <c r="H6" s="18">
        <v>1</v>
      </c>
      <c r="I6" s="120">
        <v>1</v>
      </c>
    </row>
    <row r="7" spans="1:9" ht="21" customHeight="1" x14ac:dyDescent="0.15">
      <c r="A7" s="66" t="str">
        <f t="shared" si="0"/>
        <v>671_107</v>
      </c>
      <c r="B7" s="44">
        <v>671</v>
      </c>
      <c r="C7" s="21" t="str">
        <f ca="1">VLOOKUP(B7,units!A:B,2)</f>
        <v>ハヌマーン</v>
      </c>
      <c r="D7" s="21" t="e">
        <f ca="1">VLOOKUP($B7,OFFSET([4]units!$A$1,0,0,COUNTA([4]units!$A:$A),MATCH(D$1,[4]units!$1:$1,0)-COLUMN(INDIRECT("character_id"))+1),MATCH(D$1,[4]units!$1:$1,0)-COLUMN(INDIRECT("character_id"))+1,FALSE)</f>
        <v>#VALUE!</v>
      </c>
      <c r="E7" s="21" t="e">
        <f ca="1">VLOOKUP($B7,OFFSET([4]units!$A$1,0,0,COUNTA([4]units!$A:$A),MATCH(E$1,[4]units!$1:$1,0)-COLUMN(INDIRECT("character_id"))+1),MATCH(E$1,[4]units!$1:$1,0)-COLUMN(INDIRECT("character_id"))+1,FALSE)</f>
        <v>#VALUE!</v>
      </c>
      <c r="F7" s="44">
        <v>107</v>
      </c>
      <c r="G7" s="21" t="e">
        <f ca="1">VLOOKUP($F7,OFFSET([4]units!$A$1,0,0,COUNTA([4]units!$A:$A),MATCH(G$1,[4]units!$1:$1,0)-COLUMN(INDIRECT("character_id"))+1),MATCH(G$1,[4]units!$1:$1,0)-COLUMN(INDIRECT("character_id"))+1,FALSE)</f>
        <v>#VALUE!</v>
      </c>
      <c r="H7" s="18">
        <v>3</v>
      </c>
      <c r="I7" s="120">
        <v>1</v>
      </c>
    </row>
    <row r="8" spans="1:9" ht="21" customHeight="1" x14ac:dyDescent="0.15">
      <c r="A8" s="66" t="str">
        <f t="shared" si="0"/>
        <v>671_106</v>
      </c>
      <c r="B8" s="44">
        <v>671</v>
      </c>
      <c r="C8" s="21" t="str">
        <f ca="1">VLOOKUP(B8,units!A:B,2)</f>
        <v>ハヌマーン</v>
      </c>
      <c r="D8" s="21" t="e">
        <f ca="1">VLOOKUP($B8,OFFSET([4]units!$A$1,0,0,COUNTA([4]units!$A:$A),MATCH(D$1,[4]units!$1:$1,0)-COLUMN(INDIRECT("character_id"))+1),MATCH(D$1,[4]units!$1:$1,0)-COLUMN(INDIRECT("character_id"))+1,FALSE)</f>
        <v>#VALUE!</v>
      </c>
      <c r="E8" s="21" t="e">
        <f ca="1">VLOOKUP($B8,OFFSET([4]units!$A$1,0,0,COUNTA([4]units!$A:$A),MATCH(E$1,[4]units!$1:$1,0)-COLUMN(INDIRECT("character_id"))+1),MATCH(E$1,[4]units!$1:$1,0)-COLUMN(INDIRECT("character_id"))+1,FALSE)</f>
        <v>#VALUE!</v>
      </c>
      <c r="F8" s="44">
        <v>106</v>
      </c>
      <c r="G8" s="21" t="e">
        <f ca="1">VLOOKUP($F8,OFFSET([4]units!$A$1,0,0,COUNTA([4]units!$A:$A),MATCH(G$1,[4]units!$1:$1,0)-COLUMN(INDIRECT("character_id"))+1),MATCH(G$1,[4]units!$1:$1,0)-COLUMN(INDIRECT("character_id"))+1,FALSE)</f>
        <v>#VALUE!</v>
      </c>
      <c r="H8" s="18">
        <v>1</v>
      </c>
      <c r="I8" s="120">
        <v>1</v>
      </c>
    </row>
    <row r="9" spans="1:9" ht="21" customHeight="1" x14ac:dyDescent="0.15">
      <c r="A9" s="66" t="str">
        <f t="shared" si="0"/>
        <v>672_108</v>
      </c>
      <c r="B9" s="44">
        <v>672</v>
      </c>
      <c r="C9" s="21" t="str">
        <f ca="1">VLOOKUP(B9,units!A:B,2)</f>
        <v>西遊韋駄天 ハヌマーン</v>
      </c>
      <c r="D9" s="21" t="e">
        <f ca="1">VLOOKUP($B9,OFFSET([4]units!$A$1,0,0,COUNTA([4]units!$A:$A),MATCH(D$1,[4]units!$1:$1,0)-COLUMN(INDIRECT("character_id"))+1),MATCH(D$1,[4]units!$1:$1,0)-COLUMN(INDIRECT("character_id"))+1,FALSE)</f>
        <v>#VALUE!</v>
      </c>
      <c r="E9" s="21" t="e">
        <f ca="1">VLOOKUP($B9,OFFSET([4]units!$A$1,0,0,COUNTA([4]units!$A:$A),MATCH(E$1,[4]units!$1:$1,0)-COLUMN(INDIRECT("character_id"))+1),MATCH(E$1,[4]units!$1:$1,0)-COLUMN(INDIRECT("character_id"))+1,FALSE)</f>
        <v>#VALUE!</v>
      </c>
      <c r="F9" s="44">
        <v>108</v>
      </c>
      <c r="G9" s="21" t="e">
        <f ca="1">VLOOKUP($F9,OFFSET([4]units!$A$1,0,0,COUNTA([4]units!$A:$A),MATCH(G$1,[4]units!$1:$1,0)-COLUMN(INDIRECT("character_id"))+1),MATCH(G$1,[4]units!$1:$1,0)-COLUMN(INDIRECT("character_id"))+1,FALSE)</f>
        <v>#VALUE!</v>
      </c>
      <c r="H9" s="18">
        <v>2</v>
      </c>
      <c r="I9" s="120">
        <v>1</v>
      </c>
    </row>
    <row r="10" spans="1:9" ht="21" customHeight="1" x14ac:dyDescent="0.15">
      <c r="A10" s="66" t="str">
        <f t="shared" si="0"/>
        <v>672_107</v>
      </c>
      <c r="B10" s="44">
        <v>672</v>
      </c>
      <c r="C10" s="21" t="str">
        <f ca="1">VLOOKUP(B10,units!A:B,2)</f>
        <v>西遊韋駄天 ハヌマーン</v>
      </c>
      <c r="D10" s="21" t="e">
        <f ca="1">VLOOKUP($B10,OFFSET([4]units!$A$1,0,0,COUNTA([4]units!$A:$A),MATCH(D$1,[4]units!$1:$1,0)-COLUMN(INDIRECT("character_id"))+1),MATCH(D$1,[4]units!$1:$1,0)-COLUMN(INDIRECT("character_id"))+1,FALSE)</f>
        <v>#VALUE!</v>
      </c>
      <c r="E10" s="21" t="e">
        <f ca="1">VLOOKUP($B10,OFFSET([4]units!$A$1,0,0,COUNTA([4]units!$A:$A),MATCH(E$1,[4]units!$1:$1,0)-COLUMN(INDIRECT("character_id"))+1),MATCH(E$1,[4]units!$1:$1,0)-COLUMN(INDIRECT("character_id"))+1,FALSE)</f>
        <v>#VALUE!</v>
      </c>
      <c r="F10" s="44">
        <v>107</v>
      </c>
      <c r="G10" s="21" t="e">
        <f ca="1">VLOOKUP($F10,OFFSET([4]units!$A$1,0,0,COUNTA([4]units!$A:$A),MATCH(G$1,[4]units!$1:$1,0)-COLUMN(INDIRECT("character_id"))+1),MATCH(G$1,[4]units!$1:$1,0)-COLUMN(INDIRECT("character_id"))+1,FALSE)</f>
        <v>#VALUE!</v>
      </c>
      <c r="H10" s="18">
        <v>2</v>
      </c>
      <c r="I10" s="120">
        <v>1</v>
      </c>
    </row>
    <row r="11" spans="1:9" ht="21" customHeight="1" x14ac:dyDescent="0.15">
      <c r="A11" s="66" t="str">
        <f t="shared" si="0"/>
        <v>672_106</v>
      </c>
      <c r="B11" s="44">
        <v>672</v>
      </c>
      <c r="C11" s="21" t="str">
        <f ca="1">VLOOKUP(B11,units!A:B,2)</f>
        <v>西遊韋駄天 ハヌマーン</v>
      </c>
      <c r="D11" s="21" t="e">
        <f ca="1">VLOOKUP($B11,OFFSET([4]units!$A$1,0,0,COUNTA([4]units!$A:$A),MATCH(D$1,[4]units!$1:$1,0)-COLUMN(INDIRECT("character_id"))+1),MATCH(D$1,[4]units!$1:$1,0)-COLUMN(INDIRECT("character_id"))+1,FALSE)</f>
        <v>#VALUE!</v>
      </c>
      <c r="E11" s="21" t="e">
        <f ca="1">VLOOKUP($B11,OFFSET([4]units!$A$1,0,0,COUNTA([4]units!$A:$A),MATCH(E$1,[4]units!$1:$1,0)-COLUMN(INDIRECT("character_id"))+1),MATCH(E$1,[4]units!$1:$1,0)-COLUMN(INDIRECT("character_id"))+1,FALSE)</f>
        <v>#VALUE!</v>
      </c>
      <c r="F11" s="44">
        <v>106</v>
      </c>
      <c r="G11" s="21" t="e">
        <f ca="1">VLOOKUP($F11,OFFSET([4]units!$A$1,0,0,COUNTA([4]units!$A:$A),MATCH(G$1,[4]units!$1:$1,0)-COLUMN(INDIRECT("character_id"))+1),MATCH(G$1,[4]units!$1:$1,0)-COLUMN(INDIRECT("character_id"))+1,FALSE)</f>
        <v>#VALUE!</v>
      </c>
      <c r="H11" s="18">
        <v>1</v>
      </c>
      <c r="I11" s="120">
        <v>1</v>
      </c>
    </row>
    <row r="12" spans="1:9" ht="21" customHeight="1" x14ac:dyDescent="0.15">
      <c r="A12" s="66" t="str">
        <f t="shared" si="0"/>
        <v>674_112</v>
      </c>
      <c r="B12" s="44">
        <v>674</v>
      </c>
      <c r="C12" s="21" t="str">
        <f ca="1">VLOOKUP(B12,units!A:B,2)</f>
        <v>サラスヴァティ</v>
      </c>
      <c r="D12" s="21" t="e">
        <f ca="1">VLOOKUP($B12,OFFSET([4]units!$A$1,0,0,COUNTA([4]units!$A:$A),MATCH(D$1,[4]units!$1:$1,0)-COLUMN(INDIRECT("character_id"))+1),MATCH(D$1,[4]units!$1:$1,0)-COLUMN(INDIRECT("character_id"))+1,FALSE)</f>
        <v>#VALUE!</v>
      </c>
      <c r="E12" s="21" t="e">
        <f ca="1">VLOOKUP($B12,OFFSET([4]units!$A$1,0,0,COUNTA([4]units!$A:$A),MATCH(E$1,[4]units!$1:$1,0)-COLUMN(INDIRECT("character_id"))+1),MATCH(E$1,[4]units!$1:$1,0)-COLUMN(INDIRECT("character_id"))+1,FALSE)</f>
        <v>#VALUE!</v>
      </c>
      <c r="F12" s="44">
        <v>112</v>
      </c>
      <c r="G12" s="21" t="e">
        <f ca="1">VLOOKUP($F12,OFFSET([4]units!$A$1,0,0,COUNTA([4]units!$A:$A),MATCH(G$1,[4]units!$1:$1,0)-COLUMN(INDIRECT("character_id"))+1),MATCH(G$1,[4]units!$1:$1,0)-COLUMN(INDIRECT("character_id"))+1,FALSE)</f>
        <v>#VALUE!</v>
      </c>
      <c r="H12" s="18">
        <v>1</v>
      </c>
      <c r="I12" s="120">
        <v>1</v>
      </c>
    </row>
    <row r="13" spans="1:9" ht="21" customHeight="1" x14ac:dyDescent="0.15">
      <c r="A13" s="66" t="str">
        <f t="shared" si="0"/>
        <v>674_111</v>
      </c>
      <c r="B13" s="44">
        <v>674</v>
      </c>
      <c r="C13" s="21" t="str">
        <f ca="1">VLOOKUP(B13,units!A:B,2)</f>
        <v>サラスヴァティ</v>
      </c>
      <c r="D13" s="21" t="e">
        <f ca="1">VLOOKUP($B13,OFFSET([4]units!$A$1,0,0,COUNTA([4]units!$A:$A),MATCH(D$1,[4]units!$1:$1,0)-COLUMN(INDIRECT("character_id"))+1),MATCH(D$1,[4]units!$1:$1,0)-COLUMN(INDIRECT("character_id"))+1,FALSE)</f>
        <v>#VALUE!</v>
      </c>
      <c r="E13" s="21" t="e">
        <f ca="1">VLOOKUP($B13,OFFSET([4]units!$A$1,0,0,COUNTA([4]units!$A:$A),MATCH(E$1,[4]units!$1:$1,0)-COLUMN(INDIRECT("character_id"))+1),MATCH(E$1,[4]units!$1:$1,0)-COLUMN(INDIRECT("character_id"))+1,FALSE)</f>
        <v>#VALUE!</v>
      </c>
      <c r="F13" s="44">
        <v>111</v>
      </c>
      <c r="G13" s="21" t="e">
        <f ca="1">VLOOKUP($F13,OFFSET([4]units!$A$1,0,0,COUNTA([4]units!$A:$A),MATCH(G$1,[4]units!$1:$1,0)-COLUMN(INDIRECT("character_id"))+1),MATCH(G$1,[4]units!$1:$1,0)-COLUMN(INDIRECT("character_id"))+1,FALSE)</f>
        <v>#VALUE!</v>
      </c>
      <c r="H13" s="18">
        <v>2</v>
      </c>
      <c r="I13" s="120">
        <v>1</v>
      </c>
    </row>
    <row r="14" spans="1:9" ht="21" customHeight="1" x14ac:dyDescent="0.15">
      <c r="A14" s="66" t="str">
        <f t="shared" si="0"/>
        <v>674_310</v>
      </c>
      <c r="B14" s="44">
        <v>674</v>
      </c>
      <c r="C14" s="21" t="str">
        <f ca="1">VLOOKUP(B14,units!A:B,2)</f>
        <v>サラスヴァティ</v>
      </c>
      <c r="D14" s="21" t="e">
        <f ca="1">VLOOKUP($B14,OFFSET([4]units!$A$1,0,0,COUNTA([4]units!$A:$A),MATCH(D$1,[4]units!$1:$1,0)-COLUMN(INDIRECT("character_id"))+1),MATCH(D$1,[4]units!$1:$1,0)-COLUMN(INDIRECT("character_id"))+1,FALSE)</f>
        <v>#VALUE!</v>
      </c>
      <c r="E14" s="21" t="e">
        <f ca="1">VLOOKUP($B14,OFFSET([4]units!$A$1,0,0,COUNTA([4]units!$A:$A),MATCH(E$1,[4]units!$1:$1,0)-COLUMN(INDIRECT("character_id"))+1),MATCH(E$1,[4]units!$1:$1,0)-COLUMN(INDIRECT("character_id"))+1,FALSE)</f>
        <v>#VALUE!</v>
      </c>
      <c r="F14" s="44">
        <v>310</v>
      </c>
      <c r="G14" s="21" t="e">
        <f ca="1">VLOOKUP($F14,OFFSET([4]units!$A$1,0,0,COUNTA([4]units!$A:$A),MATCH(G$1,[4]units!$1:$1,0)-COLUMN(INDIRECT("character_id"))+1),MATCH(G$1,[4]units!$1:$1,0)-COLUMN(INDIRECT("character_id"))+1,FALSE)</f>
        <v>#VALUE!</v>
      </c>
      <c r="H14" s="18">
        <v>1</v>
      </c>
      <c r="I14" s="120">
        <v>1</v>
      </c>
    </row>
    <row r="15" spans="1:9" ht="21" customHeight="1" x14ac:dyDescent="0.15">
      <c r="A15" s="66" t="str">
        <f t="shared" si="0"/>
        <v>674_646</v>
      </c>
      <c r="B15" s="44">
        <v>674</v>
      </c>
      <c r="C15" s="21" t="str">
        <f ca="1">VLOOKUP(B15,units!A:B,2)</f>
        <v>サラスヴァティ</v>
      </c>
      <c r="D15" s="21" t="e">
        <f ca="1">VLOOKUP($B15,OFFSET([4]units!$A$1,0,0,COUNTA([4]units!$A:$A),MATCH(D$1,[4]units!$1:$1,0)-COLUMN(INDIRECT("character_id"))+1),MATCH(D$1,[4]units!$1:$1,0)-COLUMN(INDIRECT("character_id"))+1,FALSE)</f>
        <v>#VALUE!</v>
      </c>
      <c r="E15" s="21" t="e">
        <f ca="1">VLOOKUP($B15,OFFSET([4]units!$A$1,0,0,COUNTA([4]units!$A:$A),MATCH(E$1,[4]units!$1:$1,0)-COLUMN(INDIRECT("character_id"))+1),MATCH(E$1,[4]units!$1:$1,0)-COLUMN(INDIRECT("character_id"))+1,FALSE)</f>
        <v>#VALUE!</v>
      </c>
      <c r="F15" s="44">
        <v>646</v>
      </c>
      <c r="G15" s="21" t="e">
        <f ca="1">VLOOKUP($F15,OFFSET([4]units!$A$1,0,0,COUNTA([4]units!$A:$A),MATCH(G$1,[4]units!$1:$1,0)-COLUMN(INDIRECT("character_id"))+1),MATCH(G$1,[4]units!$1:$1,0)-COLUMN(INDIRECT("character_id"))+1,FALSE)</f>
        <v>#VALUE!</v>
      </c>
      <c r="H15" s="18">
        <v>1</v>
      </c>
      <c r="I15" s="120">
        <v>1</v>
      </c>
    </row>
    <row r="16" spans="1:9" ht="21" customHeight="1" x14ac:dyDescent="0.15">
      <c r="A16" s="66" t="str">
        <f t="shared" si="0"/>
        <v>676_116</v>
      </c>
      <c r="B16" s="44">
        <v>676</v>
      </c>
      <c r="C16" s="21" t="str">
        <f ca="1">VLOOKUP(B16,units!A:B,2)</f>
        <v>ヴィシュヌ</v>
      </c>
      <c r="D16" s="21" t="e">
        <f ca="1">VLOOKUP($B16,OFFSET([4]units!$A$1,0,0,COUNTA([4]units!$A:$A),MATCH(D$1,[4]units!$1:$1,0)-COLUMN(INDIRECT("character_id"))+1),MATCH(D$1,[4]units!$1:$1,0)-COLUMN(INDIRECT("character_id"))+1,FALSE)</f>
        <v>#VALUE!</v>
      </c>
      <c r="E16" s="21" t="e">
        <f ca="1">VLOOKUP($B16,OFFSET([4]units!$A$1,0,0,COUNTA([4]units!$A:$A),MATCH(E$1,[4]units!$1:$1,0)-COLUMN(INDIRECT("character_id"))+1),MATCH(E$1,[4]units!$1:$1,0)-COLUMN(INDIRECT("character_id"))+1,FALSE)</f>
        <v>#VALUE!</v>
      </c>
      <c r="F16" s="44">
        <v>116</v>
      </c>
      <c r="G16" s="21" t="e">
        <f ca="1">VLOOKUP($F16,OFFSET([4]units!$A$1,0,0,COUNTA([4]units!$A:$A),MATCH(G$1,[4]units!$1:$1,0)-COLUMN(INDIRECT("character_id"))+1),MATCH(G$1,[4]units!$1:$1,0)-COLUMN(INDIRECT("character_id"))+1,FALSE)</f>
        <v>#VALUE!</v>
      </c>
      <c r="H16" s="18">
        <v>1</v>
      </c>
      <c r="I16" s="120">
        <v>1</v>
      </c>
    </row>
    <row r="17" spans="1:9" ht="21" customHeight="1" x14ac:dyDescent="0.15">
      <c r="A17" s="66" t="str">
        <f t="shared" si="0"/>
        <v>676_115</v>
      </c>
      <c r="B17" s="44">
        <v>676</v>
      </c>
      <c r="C17" s="21" t="str">
        <f ca="1">VLOOKUP(B17,units!A:B,2)</f>
        <v>ヴィシュヌ</v>
      </c>
      <c r="D17" s="21" t="e">
        <f ca="1">VLOOKUP($B17,OFFSET([4]units!$A$1,0,0,COUNTA([4]units!$A:$A),MATCH(D$1,[4]units!$1:$1,0)-COLUMN(INDIRECT("character_id"))+1),MATCH(D$1,[4]units!$1:$1,0)-COLUMN(INDIRECT("character_id"))+1,FALSE)</f>
        <v>#VALUE!</v>
      </c>
      <c r="E17" s="21" t="e">
        <f ca="1">VLOOKUP($B17,OFFSET([4]units!$A$1,0,0,COUNTA([4]units!$A:$A),MATCH(E$1,[4]units!$1:$1,0)-COLUMN(INDIRECT("character_id"))+1),MATCH(E$1,[4]units!$1:$1,0)-COLUMN(INDIRECT("character_id"))+1,FALSE)</f>
        <v>#VALUE!</v>
      </c>
      <c r="F17" s="44">
        <v>115</v>
      </c>
      <c r="G17" s="21" t="e">
        <f ca="1">VLOOKUP($F17,OFFSET([4]units!$A$1,0,0,COUNTA([4]units!$A:$A),MATCH(G$1,[4]units!$1:$1,0)-COLUMN(INDIRECT("character_id"))+1),MATCH(G$1,[4]units!$1:$1,0)-COLUMN(INDIRECT("character_id"))+1,FALSE)</f>
        <v>#VALUE!</v>
      </c>
      <c r="H17" s="18">
        <v>2</v>
      </c>
      <c r="I17" s="120">
        <v>1</v>
      </c>
    </row>
    <row r="18" spans="1:9" ht="21" customHeight="1" x14ac:dyDescent="0.15">
      <c r="A18" s="66" t="str">
        <f t="shared" si="0"/>
        <v>676_583</v>
      </c>
      <c r="B18" s="44">
        <v>676</v>
      </c>
      <c r="C18" s="21" t="str">
        <f ca="1">VLOOKUP(B18,units!A:B,2)</f>
        <v>ヴィシュヌ</v>
      </c>
      <c r="D18" s="21" t="e">
        <f ca="1">VLOOKUP($B18,OFFSET([4]units!$A$1,0,0,COUNTA([4]units!$A:$A),MATCH(D$1,[4]units!$1:$1,0)-COLUMN(INDIRECT("character_id"))+1),MATCH(D$1,[4]units!$1:$1,0)-COLUMN(INDIRECT("character_id"))+1,FALSE)</f>
        <v>#VALUE!</v>
      </c>
      <c r="E18" s="21" t="e">
        <f ca="1">VLOOKUP($B18,OFFSET([4]units!$A$1,0,0,COUNTA([4]units!$A:$A),MATCH(E$1,[4]units!$1:$1,0)-COLUMN(INDIRECT("character_id"))+1),MATCH(E$1,[4]units!$1:$1,0)-COLUMN(INDIRECT("character_id"))+1,FALSE)</f>
        <v>#VALUE!</v>
      </c>
      <c r="F18" s="44">
        <v>583</v>
      </c>
      <c r="G18" s="21" t="e">
        <f ca="1">VLOOKUP($F18,OFFSET([4]units!$A$1,0,0,COUNTA([4]units!$A:$A),MATCH(G$1,[4]units!$1:$1,0)-COLUMN(INDIRECT("character_id"))+1),MATCH(G$1,[4]units!$1:$1,0)-COLUMN(INDIRECT("character_id"))+1,FALSE)</f>
        <v>#VALUE!</v>
      </c>
      <c r="H18" s="18">
        <v>1</v>
      </c>
      <c r="I18" s="120">
        <v>1</v>
      </c>
    </row>
    <row r="19" spans="1:9" ht="21" customHeight="1" x14ac:dyDescent="0.15">
      <c r="A19" s="66" t="str">
        <f t="shared" si="0"/>
        <v>676_268</v>
      </c>
      <c r="B19" s="44">
        <v>676</v>
      </c>
      <c r="C19" s="21" t="str">
        <f ca="1">VLOOKUP(B19,units!A:B,2)</f>
        <v>ヴィシュヌ</v>
      </c>
      <c r="D19" s="21" t="e">
        <f ca="1">VLOOKUP($B19,OFFSET([4]units!$A$1,0,0,COUNTA([4]units!$A:$A),MATCH(D$1,[4]units!$1:$1,0)-COLUMN(INDIRECT("character_id"))+1),MATCH(D$1,[4]units!$1:$1,0)-COLUMN(INDIRECT("character_id"))+1,FALSE)</f>
        <v>#VALUE!</v>
      </c>
      <c r="E19" s="21" t="e">
        <f ca="1">VLOOKUP($B19,OFFSET([4]units!$A$1,0,0,COUNTA([4]units!$A:$A),MATCH(E$1,[4]units!$1:$1,0)-COLUMN(INDIRECT("character_id"))+1),MATCH(E$1,[4]units!$1:$1,0)-COLUMN(INDIRECT("character_id"))+1,FALSE)</f>
        <v>#VALUE!</v>
      </c>
      <c r="F19" s="44">
        <v>268</v>
      </c>
      <c r="G19" s="21" t="e">
        <f ca="1">VLOOKUP($F19,OFFSET([4]units!$A$1,0,0,COUNTA([4]units!$A:$A),MATCH(G$1,[4]units!$1:$1,0)-COLUMN(INDIRECT("character_id"))+1),MATCH(G$1,[4]units!$1:$1,0)-COLUMN(INDIRECT("character_id"))+1,FALSE)</f>
        <v>#VALUE!</v>
      </c>
      <c r="H19" s="18">
        <v>1</v>
      </c>
      <c r="I19" s="120">
        <v>2</v>
      </c>
    </row>
    <row r="20" spans="1:9" x14ac:dyDescent="0.15">
      <c r="A20" s="66" t="str">
        <f t="shared" si="0"/>
        <v>648_112</v>
      </c>
      <c r="B20" s="175">
        <v>648</v>
      </c>
      <c r="C20" s="21" t="e">
        <f ca="1">VLOOKUP($B20,OFFSET([4]units!$A$1,0,0,COUNTA([4]units!$A:$A),MATCH(C$1,[4]units!$1:$1,0)-COLUMN(INDIRECT("character_id"))+1),MATCH(C$1,[4]units!$1:$1,0)-COLUMN(INDIRECT("character_id"))+1,FALSE)</f>
        <v>#VALUE!</v>
      </c>
      <c r="D20" s="21" t="e">
        <f ca="1">VLOOKUP($B20,OFFSET([4]units!$A$1,0,0,COUNTA([4]units!$A:$A),MATCH(D$1,[4]units!$1:$1,0)-COLUMN(INDIRECT("character_id"))+1),MATCH(D$1,[4]units!$1:$1,0)-COLUMN(INDIRECT("character_id"))+1,FALSE)</f>
        <v>#VALUE!</v>
      </c>
      <c r="E20" s="21" t="e">
        <f ca="1">VLOOKUP($B20,OFFSET([4]units!$A$1,0,0,COUNTA([4]units!$A:$A),MATCH(E$1,[4]units!$1:$1,0)-COLUMN(INDIRECT("character_id"))+1),MATCH(E$1,[4]units!$1:$1,0)-COLUMN(INDIRECT("character_id"))+1,FALSE)</f>
        <v>#VALUE!</v>
      </c>
      <c r="F20" s="44">
        <v>112</v>
      </c>
      <c r="G20" s="21" t="e">
        <f ca="1">VLOOKUP($F20,OFFSET([4]units!$A$1,0,0,COUNTA([4]units!$A:$A),MATCH(G$1,[4]units!$1:$1,0)-COLUMN(INDIRECT("character_id"))+1),MATCH(G$1,[4]units!$1:$1,0)-COLUMN(INDIRECT("character_id"))+1,FALSE)</f>
        <v>#VALUE!</v>
      </c>
      <c r="H20" s="18">
        <v>1</v>
      </c>
      <c r="I20" s="120">
        <v>1</v>
      </c>
    </row>
    <row r="21" spans="1:9" x14ac:dyDescent="0.15">
      <c r="A21" s="66" t="str">
        <f t="shared" si="0"/>
        <v>648_111</v>
      </c>
      <c r="B21" s="175">
        <v>648</v>
      </c>
      <c r="C21" s="21" t="e">
        <f ca="1">VLOOKUP($B21,OFFSET([4]units!$A$1,0,0,COUNTA([4]units!$A:$A),MATCH(C$1,[4]units!$1:$1,0)-COLUMN(INDIRECT("character_id"))+1),MATCH(C$1,[4]units!$1:$1,0)-COLUMN(INDIRECT("character_id"))+1,FALSE)</f>
        <v>#VALUE!</v>
      </c>
      <c r="D21" s="21" t="e">
        <f ca="1">VLOOKUP($B21,OFFSET([4]units!$A$1,0,0,COUNTA([4]units!$A:$A),MATCH(D$1,[4]units!$1:$1,0)-COLUMN(INDIRECT("character_id"))+1),MATCH(D$1,[4]units!$1:$1,0)-COLUMN(INDIRECT("character_id"))+1,FALSE)</f>
        <v>#VALUE!</v>
      </c>
      <c r="E21" s="21" t="e">
        <f ca="1">VLOOKUP($B21,OFFSET([4]units!$A$1,0,0,COUNTA([4]units!$A:$A),MATCH(E$1,[4]units!$1:$1,0)-COLUMN(INDIRECT("character_id"))+1),MATCH(E$1,[4]units!$1:$1,0)-COLUMN(INDIRECT("character_id"))+1,FALSE)</f>
        <v>#VALUE!</v>
      </c>
      <c r="F21" s="44">
        <f>F20-1</f>
        <v>111</v>
      </c>
      <c r="G21" s="21" t="e">
        <f ca="1">VLOOKUP($F21,OFFSET([4]units!$A$1,0,0,COUNTA([4]units!$A:$A),MATCH(G$1,[4]units!$1:$1,0)-COLUMN(INDIRECT("character_id"))+1),MATCH(G$1,[4]units!$1:$1,0)-COLUMN(INDIRECT("character_id"))+1,FALSE)</f>
        <v>#VALUE!</v>
      </c>
      <c r="H21" s="18">
        <v>1</v>
      </c>
      <c r="I21" s="120">
        <v>1</v>
      </c>
    </row>
    <row r="22" spans="1:9" x14ac:dyDescent="0.15">
      <c r="A22" s="66" t="str">
        <f t="shared" si="0"/>
        <v>648_110</v>
      </c>
      <c r="B22" s="175">
        <v>648</v>
      </c>
      <c r="C22" s="21" t="e">
        <f ca="1">VLOOKUP($B22,OFFSET([4]units!$A$1,0,0,COUNTA([4]units!$A:$A),MATCH(C$1,[4]units!$1:$1,0)-COLUMN(INDIRECT("character_id"))+1),MATCH(C$1,[4]units!$1:$1,0)-COLUMN(INDIRECT("character_id"))+1,FALSE)</f>
        <v>#VALUE!</v>
      </c>
      <c r="D22" s="21" t="e">
        <f ca="1">VLOOKUP($B22,OFFSET([4]units!$A$1,0,0,COUNTA([4]units!$A:$A),MATCH(D$1,[4]units!$1:$1,0)-COLUMN(INDIRECT("character_id"))+1),MATCH(D$1,[4]units!$1:$1,0)-COLUMN(INDIRECT("character_id"))+1,FALSE)</f>
        <v>#VALUE!</v>
      </c>
      <c r="E22" s="21" t="e">
        <f ca="1">VLOOKUP($B22,OFFSET([4]units!$A$1,0,0,COUNTA([4]units!$A:$A),MATCH(E$1,[4]units!$1:$1,0)-COLUMN(INDIRECT("character_id"))+1),MATCH(E$1,[4]units!$1:$1,0)-COLUMN(INDIRECT("character_id"))+1,FALSE)</f>
        <v>#VALUE!</v>
      </c>
      <c r="F22" s="44">
        <f t="shared" ref="F22:F23" si="1">F21-1</f>
        <v>110</v>
      </c>
      <c r="G22" s="21" t="e">
        <f ca="1">VLOOKUP($F22,OFFSET([4]units!$A$1,0,0,COUNTA([4]units!$A:$A),MATCH(G$1,[4]units!$1:$1,0)-COLUMN(INDIRECT("character_id"))+1),MATCH(G$1,[4]units!$1:$1,0)-COLUMN(INDIRECT("character_id"))+1,FALSE)</f>
        <v>#VALUE!</v>
      </c>
      <c r="H22" s="18">
        <v>2</v>
      </c>
      <c r="I22" s="120">
        <v>1</v>
      </c>
    </row>
    <row r="23" spans="1:9" x14ac:dyDescent="0.15">
      <c r="A23" s="66" t="str">
        <f t="shared" si="0"/>
        <v>648_109</v>
      </c>
      <c r="B23" s="175">
        <v>648</v>
      </c>
      <c r="C23" s="21" t="e">
        <f ca="1">VLOOKUP($B23,OFFSET([4]units!$A$1,0,0,COUNTA([4]units!$A:$A),MATCH(C$1,[4]units!$1:$1,0)-COLUMN(INDIRECT("character_id"))+1),MATCH(C$1,[4]units!$1:$1,0)-COLUMN(INDIRECT("character_id"))+1,FALSE)</f>
        <v>#VALUE!</v>
      </c>
      <c r="D23" s="21" t="e">
        <f ca="1">VLOOKUP($B23,OFFSET([4]units!$A$1,0,0,COUNTA([4]units!$A:$A),MATCH(D$1,[4]units!$1:$1,0)-COLUMN(INDIRECT("character_id"))+1),MATCH(D$1,[4]units!$1:$1,0)-COLUMN(INDIRECT("character_id"))+1,FALSE)</f>
        <v>#VALUE!</v>
      </c>
      <c r="E23" s="21" t="e">
        <f ca="1">VLOOKUP($B23,OFFSET([4]units!$A$1,0,0,COUNTA([4]units!$A:$A),MATCH(E$1,[4]units!$1:$1,0)-COLUMN(INDIRECT("character_id"))+1),MATCH(E$1,[4]units!$1:$1,0)-COLUMN(INDIRECT("character_id"))+1,FALSE)</f>
        <v>#VALUE!</v>
      </c>
      <c r="F23" s="44">
        <f t="shared" si="1"/>
        <v>109</v>
      </c>
      <c r="G23" s="21" t="e">
        <f ca="1">VLOOKUP($F23,OFFSET([4]units!$A$1,0,0,COUNTA([4]units!$A:$A),MATCH(G$1,[4]units!$1:$1,0)-COLUMN(INDIRECT("character_id"))+1),MATCH(G$1,[4]units!$1:$1,0)-COLUMN(INDIRECT("character_id"))+1,FALSE)</f>
        <v>#VALUE!</v>
      </c>
      <c r="H23" s="18">
        <v>1</v>
      </c>
      <c r="I23" s="120">
        <v>1</v>
      </c>
    </row>
    <row r="24" spans="1:9" ht="21" customHeight="1" x14ac:dyDescent="0.15">
      <c r="A24" s="66" t="str">
        <f t="shared" ref="A24" si="2">B24&amp;"_"&amp;F24</f>
        <v>656_112</v>
      </c>
      <c r="B24" s="12">
        <v>656</v>
      </c>
      <c r="C24" s="21" t="str">
        <f ca="1">VLOOKUP(B24,units!A:B,2)</f>
        <v>シヴァ</v>
      </c>
      <c r="D24" s="21" t="e">
        <f ca="1">VLOOKUP($B24,OFFSET([4]units!$A$1,0,0,COUNTA([4]units!$A:$A),MATCH(D$1,[4]units!$1:$1,0)-COLUMN(INDIRECT("character_id"))+1),MATCH(D$1,[4]units!$1:$1,0)-COLUMN(INDIRECT("character_id"))+1,FALSE)</f>
        <v>#VALUE!</v>
      </c>
      <c r="E24" s="21" t="e">
        <f ca="1">VLOOKUP($B24,OFFSET([4]units!$A$1,0,0,COUNTA([4]units!$A:$A),MATCH(E$1,[4]units!$1:$1,0)-COLUMN(INDIRECT("character_id"))+1),MATCH(E$1,[4]units!$1:$1,0)-COLUMN(INDIRECT("character_id"))+1,FALSE)</f>
        <v>#VALUE!</v>
      </c>
      <c r="F24" s="44">
        <v>112</v>
      </c>
      <c r="G24" s="21" t="e">
        <f ca="1">VLOOKUP($F24,OFFSET([4]units!$A$1,0,0,COUNTA([4]units!$A:$A),MATCH(G$1,[4]units!$1:$1,0)-COLUMN(INDIRECT("character_id"))+1),MATCH(G$1,[4]units!$1:$1,0)-COLUMN(INDIRECT("character_id"))+1,FALSE)</f>
        <v>#VALUE!</v>
      </c>
      <c r="H24" s="18">
        <v>1</v>
      </c>
      <c r="I24" s="120">
        <v>1</v>
      </c>
    </row>
    <row r="25" spans="1:9" ht="21" customHeight="1" x14ac:dyDescent="0.15">
      <c r="A25" s="66" t="str">
        <f t="shared" ref="A25:A31" si="3">B25&amp;"_"&amp;F25</f>
        <v>656_648</v>
      </c>
      <c r="B25" s="12">
        <v>656</v>
      </c>
      <c r="C25" s="21" t="str">
        <f ca="1">VLOOKUP(B25,units!A:B,2)</f>
        <v>シヴァ</v>
      </c>
      <c r="D25" s="21" t="e">
        <f ca="1">VLOOKUP($B25,OFFSET([4]units!$A$1,0,0,COUNTA([4]units!$A:$A),MATCH(D$1,[4]units!$1:$1,0)-COLUMN(INDIRECT("character_id"))+1),MATCH(D$1,[4]units!$1:$1,0)-COLUMN(INDIRECT("character_id"))+1,FALSE)</f>
        <v>#VALUE!</v>
      </c>
      <c r="E25" s="21" t="e">
        <f ca="1">VLOOKUP($B25,OFFSET([4]units!$A$1,0,0,COUNTA([4]units!$A:$A),MATCH(E$1,[4]units!$1:$1,0)-COLUMN(INDIRECT("character_id"))+1),MATCH(E$1,[4]units!$1:$1,0)-COLUMN(INDIRECT("character_id"))+1,FALSE)</f>
        <v>#VALUE!</v>
      </c>
      <c r="F25" s="44">
        <v>648</v>
      </c>
      <c r="G25" s="21" t="e">
        <f ca="1">VLOOKUP($F25,OFFSET([4]units!$A$1,0,0,COUNTA([4]units!$A:$A),MATCH(G$1,[4]units!$1:$1,0)-COLUMN(INDIRECT("character_id"))+1),MATCH(G$1,[4]units!$1:$1,0)-COLUMN(INDIRECT("character_id"))+1,FALSE)</f>
        <v>#VALUE!</v>
      </c>
      <c r="H25" s="18">
        <v>1</v>
      </c>
      <c r="I25" s="120">
        <v>2</v>
      </c>
    </row>
    <row r="26" spans="1:9" ht="21" customHeight="1" x14ac:dyDescent="0.15">
      <c r="A26" s="66" t="str">
        <f t="shared" si="3"/>
        <v>656_266</v>
      </c>
      <c r="B26" s="12">
        <v>656</v>
      </c>
      <c r="C26" s="21" t="str">
        <f ca="1">VLOOKUP(B26,units!A:B,2)</f>
        <v>シヴァ</v>
      </c>
      <c r="D26" s="21" t="e">
        <f ca="1">VLOOKUP($B26,OFFSET([4]units!$A$1,0,0,COUNTA([4]units!$A:$A),MATCH(D$1,[4]units!$1:$1,0)-COLUMN(INDIRECT("character_id"))+1),MATCH(D$1,[4]units!$1:$1,0)-COLUMN(INDIRECT("character_id"))+1,FALSE)</f>
        <v>#VALUE!</v>
      </c>
      <c r="E26" s="21" t="e">
        <f ca="1">VLOOKUP($B26,OFFSET([4]units!$A$1,0,0,COUNTA([4]units!$A:$A),MATCH(E$1,[4]units!$1:$1,0)-COLUMN(INDIRECT("character_id"))+1),MATCH(E$1,[4]units!$1:$1,0)-COLUMN(INDIRECT("character_id"))+1,FALSE)</f>
        <v>#VALUE!</v>
      </c>
      <c r="F26" s="44">
        <v>266</v>
      </c>
      <c r="G26" s="21" t="e">
        <f ca="1">VLOOKUP($F26,OFFSET([4]units!$A$1,0,0,COUNTA([4]units!$A:$A),MATCH(G$1,[4]units!$1:$1,0)-COLUMN(INDIRECT("character_id"))+1),MATCH(G$1,[4]units!$1:$1,0)-COLUMN(INDIRECT("character_id"))+1,FALSE)</f>
        <v>#VALUE!</v>
      </c>
      <c r="H26" s="18">
        <v>1</v>
      </c>
      <c r="I26" s="120">
        <v>2</v>
      </c>
    </row>
    <row r="27" spans="1:9" x14ac:dyDescent="0.15">
      <c r="A27" s="66" t="str">
        <f t="shared" si="3"/>
        <v>652_116</v>
      </c>
      <c r="B27" s="175">
        <v>652</v>
      </c>
      <c r="C27" s="21" t="e">
        <f ca="1">VLOOKUP($B27,OFFSET([4]units!$A$1,0,0,COUNTA([4]units!$A:$A),MATCH(C$1,[4]units!$1:$1,0)-COLUMN(INDIRECT("character_id"))+1),MATCH(C$1,[4]units!$1:$1,0)-COLUMN(INDIRECT("character_id"))+1,FALSE)</f>
        <v>#VALUE!</v>
      </c>
      <c r="D27" s="21" t="e">
        <f ca="1">VLOOKUP($B27,OFFSET([4]units!$A$1,0,0,COUNTA([4]units!$A:$A),MATCH(D$1,[4]units!$1:$1,0)-COLUMN(INDIRECT("character_id"))+1),MATCH(D$1,[4]units!$1:$1,0)-COLUMN(INDIRECT("character_id"))+1,FALSE)</f>
        <v>#VALUE!</v>
      </c>
      <c r="E27" s="21" t="e">
        <f ca="1">VLOOKUP($B27,OFFSET([4]units!$A$1,0,0,COUNTA([4]units!$A:$A),MATCH(E$1,[4]units!$1:$1,0)-COLUMN(INDIRECT("character_id"))+1),MATCH(E$1,[4]units!$1:$1,0)-COLUMN(INDIRECT("character_id"))+1,FALSE)</f>
        <v>#VALUE!</v>
      </c>
      <c r="F27" s="44">
        <v>116</v>
      </c>
      <c r="G27" s="21" t="e">
        <f ca="1">VLOOKUP($F27,OFFSET([4]units!$A$1,0,0,COUNTA([4]units!$A:$A),MATCH(G$1,[4]units!$1:$1,0)-COLUMN(INDIRECT("character_id"))+1),MATCH(G$1,[4]units!$1:$1,0)-COLUMN(INDIRECT("character_id"))+1,FALSE)</f>
        <v>#VALUE!</v>
      </c>
      <c r="H27" s="18">
        <v>1</v>
      </c>
      <c r="I27" s="120">
        <v>1</v>
      </c>
    </row>
    <row r="28" spans="1:9" x14ac:dyDescent="0.15">
      <c r="A28" s="66" t="str">
        <f t="shared" si="3"/>
        <v>652_115</v>
      </c>
      <c r="B28" s="175">
        <v>652</v>
      </c>
      <c r="C28" s="21" t="e">
        <f ca="1">VLOOKUP($B28,OFFSET([4]units!$A$1,0,0,COUNTA([4]units!$A:$A),MATCH(C$1,[4]units!$1:$1,0)-COLUMN(INDIRECT("character_id"))+1),MATCH(C$1,[4]units!$1:$1,0)-COLUMN(INDIRECT("character_id"))+1,FALSE)</f>
        <v>#VALUE!</v>
      </c>
      <c r="D28" s="21" t="e">
        <f ca="1">VLOOKUP($B28,OFFSET([4]units!$A$1,0,0,COUNTA([4]units!$A:$A),MATCH(D$1,[4]units!$1:$1,0)-COLUMN(INDIRECT("character_id"))+1),MATCH(D$1,[4]units!$1:$1,0)-COLUMN(INDIRECT("character_id"))+1,FALSE)</f>
        <v>#VALUE!</v>
      </c>
      <c r="E28" s="21" t="e">
        <f ca="1">VLOOKUP($B28,OFFSET([4]units!$A$1,0,0,COUNTA([4]units!$A:$A),MATCH(E$1,[4]units!$1:$1,0)-COLUMN(INDIRECT("character_id"))+1),MATCH(E$1,[4]units!$1:$1,0)-COLUMN(INDIRECT("character_id"))+1,FALSE)</f>
        <v>#VALUE!</v>
      </c>
      <c r="F28" s="44">
        <f>F27-1</f>
        <v>115</v>
      </c>
      <c r="G28" s="21" t="e">
        <f ca="1">VLOOKUP($F28,OFFSET([4]units!$A$1,0,0,COUNTA([4]units!$A:$A),MATCH(G$1,[4]units!$1:$1,0)-COLUMN(INDIRECT("character_id"))+1),MATCH(G$1,[4]units!$1:$1,0)-COLUMN(INDIRECT("character_id"))+1,FALSE)</f>
        <v>#VALUE!</v>
      </c>
      <c r="H28" s="18">
        <v>1</v>
      </c>
      <c r="I28" s="120">
        <v>1</v>
      </c>
    </row>
    <row r="29" spans="1:9" x14ac:dyDescent="0.15">
      <c r="A29" s="66" t="str">
        <f t="shared" si="3"/>
        <v>652_114</v>
      </c>
      <c r="B29" s="175">
        <v>652</v>
      </c>
      <c r="C29" s="21" t="e">
        <f ca="1">VLOOKUP($B29,OFFSET([4]units!$A$1,0,0,COUNTA([4]units!$A:$A),MATCH(C$1,[4]units!$1:$1,0)-COLUMN(INDIRECT("character_id"))+1),MATCH(C$1,[4]units!$1:$1,0)-COLUMN(INDIRECT("character_id"))+1,FALSE)</f>
        <v>#VALUE!</v>
      </c>
      <c r="D29" s="21" t="e">
        <f ca="1">VLOOKUP($B29,OFFSET([4]units!$A$1,0,0,COUNTA([4]units!$A:$A),MATCH(D$1,[4]units!$1:$1,0)-COLUMN(INDIRECT("character_id"))+1),MATCH(D$1,[4]units!$1:$1,0)-COLUMN(INDIRECT("character_id"))+1,FALSE)</f>
        <v>#VALUE!</v>
      </c>
      <c r="E29" s="21" t="e">
        <f ca="1">VLOOKUP($B29,OFFSET([4]units!$A$1,0,0,COUNTA([4]units!$A:$A),MATCH(E$1,[4]units!$1:$1,0)-COLUMN(INDIRECT("character_id"))+1),MATCH(E$1,[4]units!$1:$1,0)-COLUMN(INDIRECT("character_id"))+1,FALSE)</f>
        <v>#VALUE!</v>
      </c>
      <c r="F29" s="44">
        <f t="shared" ref="F29:F30" si="4">F28-1</f>
        <v>114</v>
      </c>
      <c r="G29" s="21" t="e">
        <f ca="1">VLOOKUP($F29,OFFSET([4]units!$A$1,0,0,COUNTA([4]units!$A:$A),MATCH(G$1,[4]units!$1:$1,0)-COLUMN(INDIRECT("character_id"))+1),MATCH(G$1,[4]units!$1:$1,0)-COLUMN(INDIRECT("character_id"))+1,FALSE)</f>
        <v>#VALUE!</v>
      </c>
      <c r="H29" s="18">
        <v>2</v>
      </c>
      <c r="I29" s="120">
        <v>1</v>
      </c>
    </row>
    <row r="30" spans="1:9" x14ac:dyDescent="0.15">
      <c r="A30" s="66" t="str">
        <f t="shared" si="3"/>
        <v>652_113</v>
      </c>
      <c r="B30" s="175">
        <v>652</v>
      </c>
      <c r="C30" s="21" t="e">
        <f ca="1">VLOOKUP($B30,OFFSET([4]units!$A$1,0,0,COUNTA([4]units!$A:$A),MATCH(C$1,[4]units!$1:$1,0)-COLUMN(INDIRECT("character_id"))+1),MATCH(C$1,[4]units!$1:$1,0)-COLUMN(INDIRECT("character_id"))+1,FALSE)</f>
        <v>#VALUE!</v>
      </c>
      <c r="D30" s="21" t="e">
        <f ca="1">VLOOKUP($B30,OFFSET([4]units!$A$1,0,0,COUNTA([4]units!$A:$A),MATCH(D$1,[4]units!$1:$1,0)-COLUMN(INDIRECT("character_id"))+1),MATCH(D$1,[4]units!$1:$1,0)-COLUMN(INDIRECT("character_id"))+1,FALSE)</f>
        <v>#VALUE!</v>
      </c>
      <c r="E30" s="21" t="e">
        <f ca="1">VLOOKUP($B30,OFFSET([4]units!$A$1,0,0,COUNTA([4]units!$A:$A),MATCH(E$1,[4]units!$1:$1,0)-COLUMN(INDIRECT("character_id"))+1),MATCH(E$1,[4]units!$1:$1,0)-COLUMN(INDIRECT("character_id"))+1,FALSE)</f>
        <v>#VALUE!</v>
      </c>
      <c r="F30" s="44">
        <f t="shared" si="4"/>
        <v>113</v>
      </c>
      <c r="G30" s="21" t="e">
        <f ca="1">VLOOKUP($F30,OFFSET([4]units!$A$1,0,0,COUNTA([4]units!$A:$A),MATCH(G$1,[4]units!$1:$1,0)-COLUMN(INDIRECT("character_id"))+1),MATCH(G$1,[4]units!$1:$1,0)-COLUMN(INDIRECT("character_id"))+1,FALSE)</f>
        <v>#VALUE!</v>
      </c>
      <c r="H30" s="18">
        <v>1</v>
      </c>
      <c r="I30" s="120">
        <v>1</v>
      </c>
    </row>
    <row r="31" spans="1:9" ht="21" customHeight="1" x14ac:dyDescent="0.15">
      <c r="A31" s="66" t="str">
        <f t="shared" si="3"/>
        <v>642_104</v>
      </c>
      <c r="B31" s="12">
        <v>642</v>
      </c>
      <c r="C31" s="21" t="str">
        <f ca="1">VLOOKUP(B31,units!A:B,2)</f>
        <v>カーマ</v>
      </c>
      <c r="D31" s="21" t="e">
        <f ca="1">VLOOKUP($B31,OFFSET([4]units!$A$1,0,0,COUNTA([4]units!$A:$A),MATCH(D$1,[4]units!$1:$1,0)-COLUMN(INDIRECT("character_id"))+1),MATCH(D$1,[4]units!$1:$1,0)-COLUMN(INDIRECT("character_id"))+1,FALSE)</f>
        <v>#VALUE!</v>
      </c>
      <c r="E31" s="21" t="e">
        <f ca="1">VLOOKUP($B31,OFFSET([4]units!$A$1,0,0,COUNTA([4]units!$A:$A),MATCH(E$1,[4]units!$1:$1,0)-COLUMN(INDIRECT("character_id"))+1),MATCH(E$1,[4]units!$1:$1,0)-COLUMN(INDIRECT("character_id"))+1,FALSE)</f>
        <v>#VALUE!</v>
      </c>
      <c r="F31" s="44">
        <v>104</v>
      </c>
      <c r="G31" s="21" t="e">
        <f ca="1">VLOOKUP($F31,OFFSET([4]units!$A$1,0,0,COUNTA([4]units!$A:$A),MATCH(G$1,[4]units!$1:$1,0)-COLUMN(INDIRECT("character_id"))+1),MATCH(G$1,[4]units!$1:$1,0)-COLUMN(INDIRECT("character_id"))+1,FALSE)</f>
        <v>#VALUE!</v>
      </c>
      <c r="H31" s="18">
        <v>1</v>
      </c>
      <c r="I31" s="120">
        <v>1</v>
      </c>
    </row>
    <row r="32" spans="1:9" ht="21" customHeight="1" x14ac:dyDescent="0.15">
      <c r="A32" s="66" t="str">
        <f t="shared" ref="A32:A33" si="5">B32&amp;"_"&amp;F32</f>
        <v>642_648</v>
      </c>
      <c r="B32" s="12">
        <v>642</v>
      </c>
      <c r="C32" s="21" t="str">
        <f ca="1">VLOOKUP(B32,units!A:B,2)</f>
        <v>カーマ</v>
      </c>
      <c r="D32" s="21" t="e">
        <f ca="1">VLOOKUP($B32,OFFSET([4]units!$A$1,0,0,COUNTA([4]units!$A:$A),MATCH(D$1,[4]units!$1:$1,0)-COLUMN(INDIRECT("character_id"))+1),MATCH(D$1,[4]units!$1:$1,0)-COLUMN(INDIRECT("character_id"))+1,FALSE)</f>
        <v>#VALUE!</v>
      </c>
      <c r="E32" s="21" t="e">
        <f ca="1">VLOOKUP($B32,OFFSET([4]units!$A$1,0,0,COUNTA([4]units!$A:$A),MATCH(E$1,[4]units!$1:$1,0)-COLUMN(INDIRECT("character_id"))+1),MATCH(E$1,[4]units!$1:$1,0)-COLUMN(INDIRECT("character_id"))+1,FALSE)</f>
        <v>#VALUE!</v>
      </c>
      <c r="F32" s="44">
        <v>648</v>
      </c>
      <c r="G32" s="21" t="e">
        <f ca="1">VLOOKUP($F32,OFFSET([4]units!$A$1,0,0,COUNTA([4]units!$A:$A),MATCH(G$1,[4]units!$1:$1,0)-COLUMN(INDIRECT("character_id"))+1),MATCH(G$1,[4]units!$1:$1,0)-COLUMN(INDIRECT("character_id"))+1,FALSE)</f>
        <v>#VALUE!</v>
      </c>
      <c r="H32" s="18">
        <v>1</v>
      </c>
      <c r="I32" s="120">
        <v>2</v>
      </c>
    </row>
    <row r="33" spans="1:9" ht="21" customHeight="1" x14ac:dyDescent="0.15">
      <c r="A33" s="66" t="str">
        <f t="shared" si="5"/>
        <v>642_652</v>
      </c>
      <c r="B33" s="12">
        <v>642</v>
      </c>
      <c r="C33" s="21" t="str">
        <f ca="1">VLOOKUP(B33,units!A:B,2)</f>
        <v>カーマ</v>
      </c>
      <c r="D33" s="21" t="e">
        <f ca="1">VLOOKUP($B33,OFFSET([4]units!$A$1,0,0,COUNTA([4]units!$A:$A),MATCH(D$1,[4]units!$1:$1,0)-COLUMN(INDIRECT("character_id"))+1),MATCH(D$1,[4]units!$1:$1,0)-COLUMN(INDIRECT("character_id"))+1,FALSE)</f>
        <v>#VALUE!</v>
      </c>
      <c r="E33" s="21" t="e">
        <f ca="1">VLOOKUP($B33,OFFSET([4]units!$A$1,0,0,COUNTA([4]units!$A:$A),MATCH(E$1,[4]units!$1:$1,0)-COLUMN(INDIRECT("character_id"))+1),MATCH(E$1,[4]units!$1:$1,0)-COLUMN(INDIRECT("character_id"))+1,FALSE)</f>
        <v>#VALUE!</v>
      </c>
      <c r="F33" s="44">
        <v>652</v>
      </c>
      <c r="G33" s="21" t="e">
        <f ca="1">VLOOKUP($F33,OFFSET([4]units!$A$1,0,0,COUNTA([4]units!$A:$A),MATCH(G$1,[4]units!$1:$1,0)-COLUMN(INDIRECT("character_id"))+1),MATCH(G$1,[4]units!$1:$1,0)-COLUMN(INDIRECT("character_id"))+1,FALSE)</f>
        <v>#VALUE!</v>
      </c>
      <c r="H33" s="18">
        <v>1</v>
      </c>
      <c r="I33" s="120">
        <v>2</v>
      </c>
    </row>
  </sheetData>
  <sheetProtection selectLockedCells="1" selectUnlockedCells="1"/>
  <autoFilter ref="B1:H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B19"/>
  <sheetViews>
    <sheetView workbookViewId="0">
      <selection sqref="A1:B19"/>
    </sheetView>
  </sheetViews>
  <sheetFormatPr baseColWidth="12" defaultRowHeight="15" x14ac:dyDescent="0.15"/>
  <sheetData>
    <row r="1" spans="1:2" x14ac:dyDescent="0.15">
      <c r="A1" t="s">
        <v>376</v>
      </c>
      <c r="B1" t="s">
        <v>377</v>
      </c>
    </row>
    <row r="2" spans="1:2" x14ac:dyDescent="0.15">
      <c r="A2" t="s">
        <v>378</v>
      </c>
      <c r="B2">
        <v>1</v>
      </c>
    </row>
    <row r="3" spans="1:2" x14ac:dyDescent="0.15">
      <c r="A3" t="s">
        <v>379</v>
      </c>
      <c r="B3">
        <v>1</v>
      </c>
    </row>
    <row r="4" spans="1:2" x14ac:dyDescent="0.15">
      <c r="A4" t="s">
        <v>380</v>
      </c>
      <c r="B4">
        <v>1</v>
      </c>
    </row>
    <row r="5" spans="1:2" x14ac:dyDescent="0.15">
      <c r="A5" t="s">
        <v>381</v>
      </c>
      <c r="B5">
        <v>1</v>
      </c>
    </row>
    <row r="6" spans="1:2" x14ac:dyDescent="0.15">
      <c r="A6" t="s">
        <v>382</v>
      </c>
      <c r="B6">
        <v>1</v>
      </c>
    </row>
    <row r="7" spans="1:2" x14ac:dyDescent="0.15">
      <c r="A7" t="s">
        <v>383</v>
      </c>
      <c r="B7">
        <v>1</v>
      </c>
    </row>
    <row r="8" spans="1:2" x14ac:dyDescent="0.15">
      <c r="A8" t="s">
        <v>384</v>
      </c>
      <c r="B8">
        <v>1</v>
      </c>
    </row>
    <row r="9" spans="1:2" x14ac:dyDescent="0.15">
      <c r="A9" t="s">
        <v>385</v>
      </c>
      <c r="B9">
        <v>1</v>
      </c>
    </row>
    <row r="10" spans="1:2" x14ac:dyDescent="0.15">
      <c r="A10" t="s">
        <v>386</v>
      </c>
      <c r="B10">
        <v>1</v>
      </c>
    </row>
    <row r="11" spans="1:2" x14ac:dyDescent="0.15">
      <c r="A11" t="s">
        <v>387</v>
      </c>
      <c r="B11">
        <v>1</v>
      </c>
    </row>
    <row r="12" spans="1:2" x14ac:dyDescent="0.15">
      <c r="A12" t="s">
        <v>388</v>
      </c>
      <c r="B12">
        <v>1</v>
      </c>
    </row>
    <row r="13" spans="1:2" x14ac:dyDescent="0.15">
      <c r="A13" t="s">
        <v>389</v>
      </c>
      <c r="B13">
        <v>0</v>
      </c>
    </row>
    <row r="14" spans="1:2" x14ac:dyDescent="0.15">
      <c r="A14" t="s">
        <v>390</v>
      </c>
      <c r="B14">
        <v>500</v>
      </c>
    </row>
    <row r="15" spans="1:2" x14ac:dyDescent="0.15">
      <c r="A15" t="s">
        <v>391</v>
      </c>
      <c r="B15">
        <v>600</v>
      </c>
    </row>
    <row r="16" spans="1:2" x14ac:dyDescent="0.15">
      <c r="A16" t="s">
        <v>392</v>
      </c>
      <c r="B16">
        <v>700</v>
      </c>
    </row>
    <row r="17" spans="1:2" x14ac:dyDescent="0.15">
      <c r="A17" t="s">
        <v>393</v>
      </c>
      <c r="B17">
        <v>5500</v>
      </c>
    </row>
    <row r="18" spans="1:2" x14ac:dyDescent="0.15">
      <c r="A18" t="s">
        <v>394</v>
      </c>
      <c r="B18">
        <v>6000</v>
      </c>
    </row>
    <row r="19" spans="1:2" x14ac:dyDescent="0.15">
      <c r="A19" t="s">
        <v>395</v>
      </c>
      <c r="B19">
        <v>30000</v>
      </c>
    </row>
  </sheetData>
  <phoneticPr fontId="2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0"/>
  <sheetViews>
    <sheetView showGridLines="0" tabSelected="1" workbookViewId="0">
      <selection activeCell="J18" sqref="J18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1" t="s">
        <v>212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 x14ac:dyDescent="0.15">
      <c r="A2" s="143" t="s">
        <v>238</v>
      </c>
      <c r="B2" s="144"/>
      <c r="C2" s="145"/>
      <c r="D2" s="146" t="s">
        <v>115</v>
      </c>
      <c r="E2" s="146">
        <v>30</v>
      </c>
      <c r="F2" s="146">
        <v>40</v>
      </c>
      <c r="G2" s="146">
        <f>15+F2</f>
        <v>55</v>
      </c>
      <c r="H2" s="145"/>
      <c r="I2" s="145"/>
    </row>
    <row r="3" spans="1:9" s="4" customFormat="1" ht="21" customHeight="1" x14ac:dyDescent="0.15">
      <c r="A3" s="143" t="s">
        <v>239</v>
      </c>
      <c r="B3" s="147"/>
      <c r="C3" s="148"/>
      <c r="D3" s="149" t="s">
        <v>240</v>
      </c>
      <c r="E3" s="149">
        <v>25</v>
      </c>
      <c r="F3" s="149">
        <v>35</v>
      </c>
      <c r="G3" s="146">
        <f t="shared" ref="G3:G5" si="0">15+F3</f>
        <v>50</v>
      </c>
      <c r="H3" s="148"/>
      <c r="I3" s="148"/>
    </row>
    <row r="4" spans="1:9" s="4" customFormat="1" ht="21" customHeight="1" x14ac:dyDescent="0.15">
      <c r="A4" s="143" t="s">
        <v>241</v>
      </c>
      <c r="B4" s="150"/>
      <c r="C4" s="151"/>
      <c r="D4" s="152">
        <v>10</v>
      </c>
      <c r="E4" s="152">
        <v>20</v>
      </c>
      <c r="F4" s="152">
        <v>30</v>
      </c>
      <c r="G4" s="152">
        <f t="shared" si="0"/>
        <v>45</v>
      </c>
      <c r="H4" s="151"/>
      <c r="I4" s="151"/>
    </row>
    <row r="5" spans="1:9" s="4" customFormat="1" ht="21" customHeight="1" x14ac:dyDescent="0.15">
      <c r="A5" s="162" t="s">
        <v>247</v>
      </c>
      <c r="B5" s="157"/>
      <c r="C5" s="158"/>
      <c r="D5" s="29">
        <v>9</v>
      </c>
      <c r="E5" s="29">
        <v>18</v>
      </c>
      <c r="F5" s="29">
        <v>28</v>
      </c>
      <c r="G5" s="39">
        <f t="shared" si="0"/>
        <v>43</v>
      </c>
      <c r="H5" s="158"/>
      <c r="I5" s="158"/>
    </row>
    <row r="6" spans="1:9" s="4" customFormat="1" ht="21" customHeight="1" x14ac:dyDescent="0.15">
      <c r="A6" s="162" t="s">
        <v>248</v>
      </c>
      <c r="B6" s="157"/>
      <c r="C6" s="158"/>
      <c r="D6" s="29">
        <v>7</v>
      </c>
      <c r="E6" s="29">
        <v>16</v>
      </c>
      <c r="F6" s="70" t="s">
        <v>11</v>
      </c>
      <c r="G6" s="70" t="s">
        <v>11</v>
      </c>
      <c r="H6" s="158"/>
      <c r="I6" s="158"/>
    </row>
    <row r="7" spans="1:9" ht="21" customHeight="1" x14ac:dyDescent="0.15">
      <c r="A7" s="79" t="s">
        <v>213</v>
      </c>
      <c r="B7" s="47" t="s">
        <v>11</v>
      </c>
      <c r="C7" s="47" t="s">
        <v>11</v>
      </c>
      <c r="D7" s="39" t="s">
        <v>115</v>
      </c>
      <c r="E7" s="39" t="s">
        <v>214</v>
      </c>
      <c r="F7" s="39" t="s">
        <v>214</v>
      </c>
      <c r="G7" s="39" t="s">
        <v>214</v>
      </c>
      <c r="H7" s="39" t="s">
        <v>214</v>
      </c>
      <c r="I7" s="39" t="s">
        <v>214</v>
      </c>
    </row>
    <row r="8" spans="1:9" ht="21" customHeight="1" x14ac:dyDescent="0.15">
      <c r="A8" s="80" t="s">
        <v>207</v>
      </c>
      <c r="B8" s="47" t="s">
        <v>11</v>
      </c>
      <c r="C8" s="47" t="s">
        <v>11</v>
      </c>
      <c r="D8" s="39" t="s">
        <v>115</v>
      </c>
      <c r="E8" s="39">
        <v>30</v>
      </c>
      <c r="F8" s="39">
        <v>40</v>
      </c>
      <c r="G8" s="39">
        <f>15+F8</f>
        <v>55</v>
      </c>
      <c r="H8" s="39" t="s">
        <v>115</v>
      </c>
      <c r="I8" s="39" t="s">
        <v>115</v>
      </c>
    </row>
    <row r="9" spans="1:9" s="46" customFormat="1" ht="21" customHeight="1" x14ac:dyDescent="0.15">
      <c r="A9" s="81" t="s">
        <v>208</v>
      </c>
      <c r="B9" s="29" t="s">
        <v>11</v>
      </c>
      <c r="C9" s="29" t="s">
        <v>11</v>
      </c>
      <c r="D9" s="111" t="s">
        <v>115</v>
      </c>
      <c r="E9" s="111">
        <v>25</v>
      </c>
      <c r="F9" s="111">
        <v>35</v>
      </c>
      <c r="G9" s="39">
        <f t="shared" ref="G9:G11" si="1">15+F9</f>
        <v>50</v>
      </c>
      <c r="H9" s="111" t="s">
        <v>115</v>
      </c>
      <c r="I9" s="111" t="s">
        <v>115</v>
      </c>
    </row>
    <row r="10" spans="1:9" ht="21" customHeight="1" x14ac:dyDescent="0.15">
      <c r="A10" s="81" t="s">
        <v>9</v>
      </c>
      <c r="B10" s="70" t="s">
        <v>11</v>
      </c>
      <c r="C10" s="70" t="s">
        <v>11</v>
      </c>
      <c r="D10" s="29">
        <v>10</v>
      </c>
      <c r="E10" s="29">
        <v>20</v>
      </c>
      <c r="F10" s="29">
        <v>30</v>
      </c>
      <c r="G10" s="39">
        <f t="shared" si="1"/>
        <v>45</v>
      </c>
      <c r="H10" s="70" t="s">
        <v>11</v>
      </c>
      <c r="I10" s="70" t="s">
        <v>11</v>
      </c>
    </row>
    <row r="11" spans="1:9" ht="21" customHeight="1" x14ac:dyDescent="0.15">
      <c r="A11" s="81" t="s">
        <v>217</v>
      </c>
      <c r="B11" s="70" t="s">
        <v>11</v>
      </c>
      <c r="C11" s="70" t="s">
        <v>11</v>
      </c>
      <c r="D11" s="29">
        <v>9</v>
      </c>
      <c r="E11" s="29">
        <v>18</v>
      </c>
      <c r="F11" s="29">
        <v>28</v>
      </c>
      <c r="G11" s="39">
        <f t="shared" si="1"/>
        <v>43</v>
      </c>
      <c r="H11" s="70" t="s">
        <v>11</v>
      </c>
      <c r="I11" s="70" t="s">
        <v>11</v>
      </c>
    </row>
    <row r="12" spans="1:9" ht="21" customHeight="1" x14ac:dyDescent="0.15">
      <c r="A12" s="81" t="s">
        <v>112</v>
      </c>
      <c r="B12" s="70" t="s">
        <v>11</v>
      </c>
      <c r="C12" s="70" t="s">
        <v>11</v>
      </c>
      <c r="D12" s="29">
        <v>7</v>
      </c>
      <c r="E12" s="29">
        <v>16</v>
      </c>
      <c r="F12" s="70" t="s">
        <v>11</v>
      </c>
      <c r="G12" s="70" t="s">
        <v>11</v>
      </c>
      <c r="H12" s="70" t="s">
        <v>11</v>
      </c>
      <c r="I12" s="70" t="s">
        <v>11</v>
      </c>
    </row>
    <row r="13" spans="1:9" ht="21" customHeight="1" x14ac:dyDescent="0.15">
      <c r="A13" s="110" t="s">
        <v>218</v>
      </c>
      <c r="B13" s="70" t="s">
        <v>11</v>
      </c>
      <c r="C13" s="70" t="s">
        <v>11</v>
      </c>
      <c r="D13" s="29">
        <v>8</v>
      </c>
      <c r="E13" s="29">
        <v>17</v>
      </c>
      <c r="F13" s="29">
        <v>26</v>
      </c>
      <c r="G13" s="70" t="s">
        <v>11</v>
      </c>
      <c r="H13" s="70" t="s">
        <v>11</v>
      </c>
      <c r="I13" s="70" t="s">
        <v>11</v>
      </c>
    </row>
    <row r="14" spans="1:9" ht="21" customHeight="1" x14ac:dyDescent="0.15">
      <c r="A14" s="81" t="s">
        <v>219</v>
      </c>
      <c r="B14" s="70" t="s">
        <v>11</v>
      </c>
      <c r="C14" s="70" t="s">
        <v>11</v>
      </c>
      <c r="D14" s="29">
        <v>8</v>
      </c>
      <c r="E14" s="29">
        <v>17</v>
      </c>
      <c r="F14" s="29">
        <v>26</v>
      </c>
      <c r="G14" s="70" t="s">
        <v>11</v>
      </c>
      <c r="H14" s="70" t="s">
        <v>11</v>
      </c>
      <c r="I14" s="70" t="s">
        <v>11</v>
      </c>
    </row>
    <row r="15" spans="1:9" ht="21" customHeight="1" x14ac:dyDescent="0.15">
      <c r="A15" s="81" t="s">
        <v>111</v>
      </c>
      <c r="B15" s="70" t="s">
        <v>11</v>
      </c>
      <c r="C15" s="70" t="s">
        <v>11</v>
      </c>
      <c r="D15" s="29">
        <v>6</v>
      </c>
      <c r="E15" s="29">
        <v>14</v>
      </c>
      <c r="F15" s="70" t="s">
        <v>11</v>
      </c>
      <c r="G15" s="70" t="s">
        <v>11</v>
      </c>
      <c r="H15" s="70" t="s">
        <v>11</v>
      </c>
      <c r="I15" s="70" t="s">
        <v>11</v>
      </c>
    </row>
    <row r="16" spans="1:9" ht="21" customHeight="1" x14ac:dyDescent="0.15">
      <c r="A16" s="81" t="s">
        <v>220</v>
      </c>
      <c r="B16" s="70" t="s">
        <v>11</v>
      </c>
      <c r="C16" s="29">
        <v>4</v>
      </c>
      <c r="D16" s="29">
        <v>6</v>
      </c>
      <c r="E16" s="29">
        <v>14</v>
      </c>
      <c r="F16" s="70" t="s">
        <v>11</v>
      </c>
      <c r="G16" s="70" t="s">
        <v>11</v>
      </c>
      <c r="H16" s="70" t="s">
        <v>11</v>
      </c>
      <c r="I16" s="70" t="s">
        <v>11</v>
      </c>
    </row>
    <row r="17" spans="1:9" ht="21" customHeight="1" x14ac:dyDescent="0.15">
      <c r="A17" s="81" t="s">
        <v>8</v>
      </c>
      <c r="B17" s="29">
        <v>2</v>
      </c>
      <c r="C17" s="29">
        <v>4</v>
      </c>
      <c r="D17" s="29">
        <v>6</v>
      </c>
      <c r="E17" s="70" t="s">
        <v>11</v>
      </c>
      <c r="F17" s="70" t="s">
        <v>11</v>
      </c>
      <c r="G17" s="70" t="s">
        <v>11</v>
      </c>
      <c r="H17" s="70" t="s">
        <v>11</v>
      </c>
      <c r="I17" s="70" t="s">
        <v>11</v>
      </c>
    </row>
    <row r="18" spans="1:9" ht="21" customHeight="1" x14ac:dyDescent="0.15">
      <c r="A18" s="82" t="s">
        <v>7</v>
      </c>
      <c r="B18" s="32">
        <v>1</v>
      </c>
      <c r="C18" s="32">
        <v>2</v>
      </c>
      <c r="D18" s="71" t="s">
        <v>11</v>
      </c>
      <c r="E18" s="71" t="s">
        <v>11</v>
      </c>
      <c r="F18" s="71" t="s">
        <v>11</v>
      </c>
      <c r="G18" s="71" t="s">
        <v>11</v>
      </c>
      <c r="H18" s="71" t="s">
        <v>11</v>
      </c>
      <c r="I18" s="71" t="s">
        <v>11</v>
      </c>
    </row>
    <row r="19" spans="1:9" ht="21" customHeight="1" x14ac:dyDescent="0.15">
      <c r="A19" s="83" t="s">
        <v>221</v>
      </c>
      <c r="B19" s="27">
        <v>1</v>
      </c>
      <c r="C19" s="27">
        <v>1</v>
      </c>
      <c r="D19" s="71" t="s">
        <v>11</v>
      </c>
      <c r="E19" s="71" t="s">
        <v>11</v>
      </c>
      <c r="F19" s="71" t="s">
        <v>11</v>
      </c>
      <c r="G19" s="71" t="s">
        <v>11</v>
      </c>
      <c r="H19" s="71" t="s">
        <v>11</v>
      </c>
      <c r="I19" s="71" t="s">
        <v>11</v>
      </c>
    </row>
    <row r="20" spans="1:9" ht="21" customHeight="1" x14ac:dyDescent="0.15">
      <c r="A20" s="38" t="s">
        <v>222</v>
      </c>
      <c r="B20" s="37">
        <v>99</v>
      </c>
      <c r="C20" s="37">
        <v>99</v>
      </c>
      <c r="D20" s="37">
        <v>99</v>
      </c>
      <c r="E20" s="37">
        <v>99</v>
      </c>
      <c r="F20" s="37">
        <v>99</v>
      </c>
      <c r="G20" s="37">
        <v>99</v>
      </c>
      <c r="H20" s="37">
        <v>99</v>
      </c>
      <c r="I20" s="37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0"/>
  <sheetViews>
    <sheetView showGridLines="0" workbookViewId="0">
      <selection activeCell="D8" sqref="A1:I20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ht="21" customHeight="1" x14ac:dyDescent="0.15">
      <c r="A1" s="33" t="s">
        <v>10</v>
      </c>
      <c r="B1" s="23">
        <v>1</v>
      </c>
      <c r="C1" s="23">
        <v>2</v>
      </c>
      <c r="D1" s="23">
        <v>3</v>
      </c>
      <c r="E1" s="23">
        <v>4</v>
      </c>
      <c r="F1" s="23">
        <v>5</v>
      </c>
      <c r="G1" s="23">
        <v>6</v>
      </c>
      <c r="H1" s="23">
        <v>7</v>
      </c>
      <c r="I1" s="23">
        <v>8</v>
      </c>
    </row>
    <row r="2" spans="1:9" s="4" customFormat="1" ht="21" customHeight="1" x14ac:dyDescent="0.15">
      <c r="A2" s="162" t="s">
        <v>242</v>
      </c>
      <c r="B2" s="159"/>
      <c r="C2" s="145"/>
      <c r="D2" s="153" t="s">
        <v>115</v>
      </c>
      <c r="E2" s="153">
        <v>60</v>
      </c>
      <c r="F2" s="153">
        <v>80</v>
      </c>
      <c r="G2" s="153">
        <v>99</v>
      </c>
      <c r="H2" s="145"/>
      <c r="I2" s="145"/>
    </row>
    <row r="3" spans="1:9" s="4" customFormat="1" ht="21" customHeight="1" x14ac:dyDescent="0.15">
      <c r="A3" s="162" t="s">
        <v>243</v>
      </c>
      <c r="B3" s="160"/>
      <c r="C3" s="148"/>
      <c r="D3" s="153" t="s">
        <v>115</v>
      </c>
      <c r="E3" s="153">
        <v>60</v>
      </c>
      <c r="F3" s="153">
        <v>80</v>
      </c>
      <c r="G3" s="153">
        <v>99</v>
      </c>
      <c r="H3" s="148"/>
      <c r="I3" s="148"/>
    </row>
    <row r="4" spans="1:9" s="4" customFormat="1" ht="21" customHeight="1" x14ac:dyDescent="0.15">
      <c r="A4" s="162" t="s">
        <v>244</v>
      </c>
      <c r="B4" s="161"/>
      <c r="C4" s="151"/>
      <c r="D4" s="153">
        <v>40</v>
      </c>
      <c r="E4" s="153">
        <v>60</v>
      </c>
      <c r="F4" s="153">
        <v>80</v>
      </c>
      <c r="G4" s="153">
        <v>99</v>
      </c>
      <c r="H4" s="151"/>
      <c r="I4" s="151"/>
    </row>
    <row r="5" spans="1:9" s="4" customFormat="1" ht="21" customHeight="1" x14ac:dyDescent="0.15">
      <c r="A5" s="162" t="s">
        <v>247</v>
      </c>
      <c r="B5" s="157"/>
      <c r="C5" s="158"/>
      <c r="D5" s="153">
        <v>40</v>
      </c>
      <c r="E5" s="153">
        <v>60</v>
      </c>
      <c r="F5" s="153">
        <v>80</v>
      </c>
      <c r="G5" s="153">
        <v>99</v>
      </c>
      <c r="H5" s="158"/>
      <c r="I5" s="158"/>
    </row>
    <row r="6" spans="1:9" s="4" customFormat="1" ht="21" customHeight="1" x14ac:dyDescent="0.15">
      <c r="A6" s="162" t="s">
        <v>248</v>
      </c>
      <c r="B6" s="157"/>
      <c r="C6" s="158"/>
      <c r="D6" s="153">
        <v>40</v>
      </c>
      <c r="E6" s="153">
        <v>60</v>
      </c>
      <c r="F6" s="153" t="s">
        <v>115</v>
      </c>
      <c r="G6" s="153" t="s">
        <v>115</v>
      </c>
      <c r="H6" s="158"/>
      <c r="I6" s="158"/>
    </row>
    <row r="7" spans="1:9" ht="21" customHeight="1" x14ac:dyDescent="0.15">
      <c r="A7" s="75" t="s">
        <v>223</v>
      </c>
      <c r="B7" s="40" t="s">
        <v>115</v>
      </c>
      <c r="C7" s="40" t="s">
        <v>115</v>
      </c>
      <c r="D7" s="40" t="s">
        <v>115</v>
      </c>
      <c r="E7" s="40" t="s">
        <v>115</v>
      </c>
      <c r="F7" s="40" t="s">
        <v>115</v>
      </c>
      <c r="G7" s="40" t="s">
        <v>115</v>
      </c>
      <c r="H7" s="40" t="s">
        <v>115</v>
      </c>
      <c r="I7" s="40" t="s">
        <v>115</v>
      </c>
    </row>
    <row r="8" spans="1:9" ht="21" customHeight="1" x14ac:dyDescent="0.15">
      <c r="A8" s="75" t="s">
        <v>207</v>
      </c>
      <c r="B8" s="40" t="s">
        <v>115</v>
      </c>
      <c r="C8" s="40" t="s">
        <v>115</v>
      </c>
      <c r="D8" s="40" t="s">
        <v>115</v>
      </c>
      <c r="E8" s="40">
        <v>60</v>
      </c>
      <c r="F8" s="40">
        <v>80</v>
      </c>
      <c r="G8" s="40">
        <v>99</v>
      </c>
      <c r="H8" s="40" t="s">
        <v>115</v>
      </c>
      <c r="I8" s="40" t="s">
        <v>115</v>
      </c>
    </row>
    <row r="9" spans="1:9" s="46" customFormat="1" ht="21" customHeight="1" x14ac:dyDescent="0.15">
      <c r="A9" s="76" t="s">
        <v>208</v>
      </c>
      <c r="B9" s="67" t="s">
        <v>115</v>
      </c>
      <c r="C9" s="67" t="s">
        <v>115</v>
      </c>
      <c r="D9" s="67" t="s">
        <v>115</v>
      </c>
      <c r="E9" s="67">
        <v>60</v>
      </c>
      <c r="F9" s="67">
        <v>80</v>
      </c>
      <c r="G9" s="67">
        <v>99</v>
      </c>
      <c r="H9" s="67" t="s">
        <v>115</v>
      </c>
      <c r="I9" s="67" t="s">
        <v>115</v>
      </c>
    </row>
    <row r="10" spans="1:9" ht="21" customHeight="1" x14ac:dyDescent="0.15">
      <c r="A10" s="76" t="s">
        <v>9</v>
      </c>
      <c r="B10" s="72" t="s">
        <v>115</v>
      </c>
      <c r="C10" s="72" t="s">
        <v>115</v>
      </c>
      <c r="D10" s="37">
        <v>40</v>
      </c>
      <c r="E10" s="37">
        <v>60</v>
      </c>
      <c r="F10" s="37">
        <v>80</v>
      </c>
      <c r="G10" s="40">
        <v>99</v>
      </c>
      <c r="H10" s="72" t="s">
        <v>115</v>
      </c>
      <c r="I10" s="72" t="s">
        <v>115</v>
      </c>
    </row>
    <row r="11" spans="1:9" ht="21" customHeight="1" x14ac:dyDescent="0.15">
      <c r="A11" s="76" t="s">
        <v>209</v>
      </c>
      <c r="B11" s="72" t="s">
        <v>115</v>
      </c>
      <c r="C11" s="72" t="s">
        <v>115</v>
      </c>
      <c r="D11" s="37">
        <v>40</v>
      </c>
      <c r="E11" s="37">
        <v>60</v>
      </c>
      <c r="F11" s="37">
        <v>80</v>
      </c>
      <c r="G11" s="67">
        <v>99</v>
      </c>
      <c r="H11" s="72" t="s">
        <v>115</v>
      </c>
      <c r="I11" s="72" t="s">
        <v>115</v>
      </c>
    </row>
    <row r="12" spans="1:9" ht="21" customHeight="1" x14ac:dyDescent="0.15">
      <c r="A12" s="76" t="s">
        <v>210</v>
      </c>
      <c r="B12" s="72" t="s">
        <v>115</v>
      </c>
      <c r="C12" s="72" t="s">
        <v>115</v>
      </c>
      <c r="D12" s="37">
        <v>40</v>
      </c>
      <c r="E12" s="37">
        <v>60</v>
      </c>
      <c r="F12" s="72" t="s">
        <v>115</v>
      </c>
      <c r="G12" s="72" t="s">
        <v>115</v>
      </c>
      <c r="H12" s="72" t="s">
        <v>115</v>
      </c>
      <c r="I12" s="72" t="s">
        <v>115</v>
      </c>
    </row>
    <row r="13" spans="1:9" ht="21" customHeight="1" x14ac:dyDescent="0.15">
      <c r="A13" s="77" t="s">
        <v>211</v>
      </c>
      <c r="B13" s="72" t="s">
        <v>115</v>
      </c>
      <c r="C13" s="72" t="s">
        <v>115</v>
      </c>
      <c r="D13" s="37">
        <v>40</v>
      </c>
      <c r="E13" s="37">
        <v>60</v>
      </c>
      <c r="F13" s="37">
        <v>80</v>
      </c>
      <c r="G13" s="72" t="s">
        <v>115</v>
      </c>
      <c r="H13" s="72" t="s">
        <v>115</v>
      </c>
      <c r="I13" s="72" t="s">
        <v>115</v>
      </c>
    </row>
    <row r="14" spans="1:9" ht="21" customHeight="1" x14ac:dyDescent="0.15">
      <c r="A14" s="56" t="s">
        <v>37</v>
      </c>
      <c r="B14" s="72" t="s">
        <v>115</v>
      </c>
      <c r="C14" s="72" t="s">
        <v>115</v>
      </c>
      <c r="D14" s="37">
        <v>40</v>
      </c>
      <c r="E14" s="37">
        <v>60</v>
      </c>
      <c r="F14" s="37">
        <v>80</v>
      </c>
      <c r="G14" s="72" t="s">
        <v>115</v>
      </c>
      <c r="H14" s="72" t="s">
        <v>115</v>
      </c>
      <c r="I14" s="72" t="s">
        <v>115</v>
      </c>
    </row>
    <row r="15" spans="1:9" ht="21" customHeight="1" x14ac:dyDescent="0.15">
      <c r="A15" s="56" t="s">
        <v>38</v>
      </c>
      <c r="B15" s="72" t="s">
        <v>115</v>
      </c>
      <c r="C15" s="37">
        <v>30</v>
      </c>
      <c r="D15" s="37">
        <v>40</v>
      </c>
      <c r="E15" s="37">
        <v>60</v>
      </c>
      <c r="F15" s="72" t="s">
        <v>115</v>
      </c>
      <c r="G15" s="72" t="s">
        <v>115</v>
      </c>
      <c r="H15" s="72" t="s">
        <v>115</v>
      </c>
      <c r="I15" s="72" t="s">
        <v>115</v>
      </c>
    </row>
    <row r="16" spans="1:9" ht="21" customHeight="1" x14ac:dyDescent="0.15">
      <c r="A16" s="56" t="s">
        <v>39</v>
      </c>
      <c r="B16" s="72" t="s">
        <v>115</v>
      </c>
      <c r="C16" s="37">
        <v>30</v>
      </c>
      <c r="D16" s="37">
        <v>40</v>
      </c>
      <c r="E16" s="37">
        <v>60</v>
      </c>
      <c r="F16" s="72" t="s">
        <v>115</v>
      </c>
      <c r="G16" s="72" t="s">
        <v>115</v>
      </c>
      <c r="H16" s="72" t="s">
        <v>115</v>
      </c>
      <c r="I16" s="72" t="s">
        <v>115</v>
      </c>
    </row>
    <row r="17" spans="1:9" ht="21" customHeight="1" x14ac:dyDescent="0.15">
      <c r="A17" s="57" t="s">
        <v>8</v>
      </c>
      <c r="B17" s="37">
        <v>15</v>
      </c>
      <c r="C17" s="37">
        <v>30</v>
      </c>
      <c r="D17" s="37">
        <v>40</v>
      </c>
      <c r="E17" s="72" t="s">
        <v>115</v>
      </c>
      <c r="F17" s="72" t="s">
        <v>115</v>
      </c>
      <c r="G17" s="72" t="s">
        <v>115</v>
      </c>
      <c r="H17" s="72" t="s">
        <v>115</v>
      </c>
      <c r="I17" s="72" t="s">
        <v>115</v>
      </c>
    </row>
    <row r="18" spans="1:9" ht="21" customHeight="1" x14ac:dyDescent="0.15">
      <c r="A18" s="52" t="s">
        <v>7</v>
      </c>
      <c r="B18" s="37">
        <v>15</v>
      </c>
      <c r="C18" s="37">
        <v>30</v>
      </c>
      <c r="D18" s="37">
        <v>40</v>
      </c>
      <c r="E18" s="72" t="s">
        <v>224</v>
      </c>
      <c r="F18" s="72" t="s">
        <v>224</v>
      </c>
      <c r="G18" s="72" t="s">
        <v>224</v>
      </c>
      <c r="H18" s="72" t="s">
        <v>224</v>
      </c>
      <c r="I18" s="72" t="s">
        <v>224</v>
      </c>
    </row>
    <row r="19" spans="1:9" ht="21" customHeight="1" x14ac:dyDescent="0.15">
      <c r="A19" s="54" t="s">
        <v>40</v>
      </c>
      <c r="B19" s="37">
        <v>10</v>
      </c>
      <c r="C19" s="37">
        <v>20</v>
      </c>
      <c r="D19" s="72" t="s">
        <v>224</v>
      </c>
      <c r="E19" s="72" t="s">
        <v>224</v>
      </c>
      <c r="F19" s="72" t="s">
        <v>224</v>
      </c>
      <c r="G19" s="72" t="s">
        <v>224</v>
      </c>
      <c r="H19" s="72" t="s">
        <v>224</v>
      </c>
      <c r="I19" s="72" t="s">
        <v>224</v>
      </c>
    </row>
    <row r="20" spans="1:9" ht="21" customHeight="1" x14ac:dyDescent="0.15">
      <c r="A20" s="78" t="s">
        <v>225</v>
      </c>
      <c r="B20" s="37">
        <v>1</v>
      </c>
      <c r="C20" s="37">
        <v>1</v>
      </c>
      <c r="D20" s="37">
        <v>1</v>
      </c>
      <c r="E20" s="37">
        <v>1</v>
      </c>
      <c r="F20" s="37">
        <v>1</v>
      </c>
      <c r="G20" s="37">
        <v>1</v>
      </c>
      <c r="H20" s="37">
        <v>1</v>
      </c>
      <c r="I20" s="37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1"/>
  <sheetViews>
    <sheetView showGridLines="0" workbookViewId="0">
      <selection activeCell="F16" sqref="A1:I20"/>
    </sheetView>
  </sheetViews>
  <sheetFormatPr baseColWidth="12" defaultColWidth="13" defaultRowHeight="21" customHeight="1" x14ac:dyDescent="0.15"/>
  <cols>
    <col min="1" max="16384" width="13" style="24"/>
  </cols>
  <sheetData>
    <row r="1" spans="1:11" ht="21" customHeight="1" x14ac:dyDescent="0.15">
      <c r="A1" s="49" t="s">
        <v>10</v>
      </c>
      <c r="B1" s="50">
        <v>1</v>
      </c>
      <c r="C1" s="50">
        <v>2</v>
      </c>
      <c r="D1" s="50">
        <v>3</v>
      </c>
      <c r="E1" s="50">
        <v>4</v>
      </c>
      <c r="F1" s="50">
        <v>5</v>
      </c>
      <c r="G1" s="50">
        <v>6</v>
      </c>
      <c r="H1" s="50">
        <v>7</v>
      </c>
      <c r="I1" s="50">
        <v>8</v>
      </c>
    </row>
    <row r="2" spans="1:11" s="4" customFormat="1" ht="21" customHeight="1" x14ac:dyDescent="0.15">
      <c r="A2" s="143" t="s">
        <v>238</v>
      </c>
      <c r="B2" s="144"/>
      <c r="C2" s="145"/>
      <c r="D2" s="153" t="s">
        <v>115</v>
      </c>
      <c r="E2" s="154" t="s">
        <v>65</v>
      </c>
      <c r="F2" s="154" t="s">
        <v>65</v>
      </c>
      <c r="G2" s="154" t="s">
        <v>229</v>
      </c>
      <c r="H2" s="145"/>
      <c r="I2" s="145"/>
    </row>
    <row r="3" spans="1:11" s="4" customFormat="1" ht="21" customHeight="1" x14ac:dyDescent="0.15">
      <c r="A3" s="143" t="s">
        <v>243</v>
      </c>
      <c r="B3" s="147"/>
      <c r="C3" s="148"/>
      <c r="D3" s="154" t="s">
        <v>65</v>
      </c>
      <c r="E3" s="154" t="s">
        <v>65</v>
      </c>
      <c r="F3" s="154" t="s">
        <v>65</v>
      </c>
      <c r="G3" s="154" t="s">
        <v>245</v>
      </c>
      <c r="H3" s="148"/>
      <c r="I3" s="148"/>
    </row>
    <row r="4" spans="1:11" s="4" customFormat="1" ht="21" customHeight="1" x14ac:dyDescent="0.15">
      <c r="A4" s="143" t="s">
        <v>246</v>
      </c>
      <c r="B4" s="150"/>
      <c r="C4" s="151"/>
      <c r="D4" s="155" t="s">
        <v>65</v>
      </c>
      <c r="E4" s="155" t="s">
        <v>65</v>
      </c>
      <c r="F4" s="155" t="s">
        <v>65</v>
      </c>
      <c r="G4" s="154" t="s">
        <v>245</v>
      </c>
      <c r="H4" s="151"/>
      <c r="I4" s="151"/>
    </row>
    <row r="5" spans="1:11" s="4" customFormat="1" ht="21" customHeight="1" x14ac:dyDescent="0.15">
      <c r="A5" s="162" t="s">
        <v>247</v>
      </c>
      <c r="B5" s="157"/>
      <c r="C5" s="158"/>
      <c r="D5" s="155" t="s">
        <v>65</v>
      </c>
      <c r="E5" s="155" t="s">
        <v>65</v>
      </c>
      <c r="F5" s="155" t="s">
        <v>65</v>
      </c>
      <c r="G5" s="154" t="s">
        <v>229</v>
      </c>
      <c r="H5" s="158"/>
      <c r="I5" s="158"/>
    </row>
    <row r="6" spans="1:11" s="4" customFormat="1" ht="21" customHeight="1" x14ac:dyDescent="0.15">
      <c r="A6" s="162" t="s">
        <v>248</v>
      </c>
      <c r="B6" s="157"/>
      <c r="C6" s="158"/>
      <c r="D6" s="163" t="s">
        <v>66</v>
      </c>
      <c r="E6" s="163" t="s">
        <v>66</v>
      </c>
      <c r="F6" s="153" t="s">
        <v>115</v>
      </c>
      <c r="G6" s="153" t="s">
        <v>115</v>
      </c>
      <c r="H6" s="158"/>
      <c r="I6" s="158"/>
    </row>
    <row r="7" spans="1:11" ht="21" customHeight="1" x14ac:dyDescent="0.15">
      <c r="A7" s="51" t="s">
        <v>223</v>
      </c>
      <c r="B7" s="40" t="s">
        <v>115</v>
      </c>
      <c r="C7" s="40" t="s">
        <v>115</v>
      </c>
      <c r="D7" s="40" t="s">
        <v>115</v>
      </c>
      <c r="E7" s="40" t="s">
        <v>115</v>
      </c>
      <c r="F7" s="40" t="s">
        <v>115</v>
      </c>
      <c r="G7" s="40" t="s">
        <v>115</v>
      </c>
      <c r="H7" s="40" t="s">
        <v>115</v>
      </c>
      <c r="I7" s="40" t="s">
        <v>115</v>
      </c>
    </row>
    <row r="8" spans="1:11" ht="21" customHeight="1" x14ac:dyDescent="0.15">
      <c r="A8" s="51" t="s">
        <v>215</v>
      </c>
      <c r="B8" s="40" t="s">
        <v>115</v>
      </c>
      <c r="C8" s="40" t="s">
        <v>115</v>
      </c>
      <c r="D8" s="40" t="s">
        <v>226</v>
      </c>
      <c r="E8" s="53" t="s">
        <v>121</v>
      </c>
      <c r="F8" s="53" t="s">
        <v>121</v>
      </c>
      <c r="G8" s="53" t="s">
        <v>227</v>
      </c>
      <c r="H8" s="40" t="s">
        <v>226</v>
      </c>
      <c r="I8" s="40" t="s">
        <v>115</v>
      </c>
    </row>
    <row r="9" spans="1:11" s="46" customFormat="1" ht="21" customHeight="1" x14ac:dyDescent="0.15">
      <c r="A9" s="51" t="s">
        <v>208</v>
      </c>
      <c r="B9" s="67" t="s">
        <v>115</v>
      </c>
      <c r="C9" s="67" t="s">
        <v>115</v>
      </c>
      <c r="D9" s="67" t="s">
        <v>115</v>
      </c>
      <c r="E9" s="53" t="s">
        <v>65</v>
      </c>
      <c r="F9" s="53" t="s">
        <v>65</v>
      </c>
      <c r="G9" s="53" t="s">
        <v>121</v>
      </c>
      <c r="H9" s="67" t="s">
        <v>228</v>
      </c>
      <c r="I9" s="67" t="s">
        <v>228</v>
      </c>
    </row>
    <row r="10" spans="1:11" ht="21" customHeight="1" x14ac:dyDescent="0.15">
      <c r="A10" s="52" t="s">
        <v>9</v>
      </c>
      <c r="B10" s="72" t="s">
        <v>115</v>
      </c>
      <c r="C10" s="72" t="s">
        <v>115</v>
      </c>
      <c r="D10" s="53" t="s">
        <v>65</v>
      </c>
      <c r="E10" s="53" t="s">
        <v>65</v>
      </c>
      <c r="F10" s="53" t="s">
        <v>65</v>
      </c>
      <c r="G10" s="53" t="s">
        <v>229</v>
      </c>
      <c r="H10" s="72" t="s">
        <v>228</v>
      </c>
      <c r="I10" s="72" t="s">
        <v>228</v>
      </c>
      <c r="K10" s="28" t="s">
        <v>12</v>
      </c>
    </row>
    <row r="11" spans="1:11" ht="21" customHeight="1" x14ac:dyDescent="0.15">
      <c r="A11" s="54" t="s">
        <v>35</v>
      </c>
      <c r="B11" s="72" t="s">
        <v>115</v>
      </c>
      <c r="C11" s="72" t="s">
        <v>115</v>
      </c>
      <c r="D11" s="54" t="s">
        <v>65</v>
      </c>
      <c r="E11" s="54" t="s">
        <v>65</v>
      </c>
      <c r="F11" s="54" t="s">
        <v>65</v>
      </c>
      <c r="G11" s="53" t="s">
        <v>229</v>
      </c>
      <c r="H11" s="72" t="s">
        <v>228</v>
      </c>
      <c r="I11" s="72" t="s">
        <v>228</v>
      </c>
      <c r="K11" s="30" t="s">
        <v>13</v>
      </c>
    </row>
    <row r="12" spans="1:11" ht="21" customHeight="1" x14ac:dyDescent="0.15">
      <c r="A12" s="55" t="s">
        <v>36</v>
      </c>
      <c r="B12" s="72" t="s">
        <v>115</v>
      </c>
      <c r="C12" s="72" t="s">
        <v>115</v>
      </c>
      <c r="D12" s="55" t="s">
        <v>66</v>
      </c>
      <c r="E12" s="55" t="s">
        <v>66</v>
      </c>
      <c r="F12" s="72" t="s">
        <v>115</v>
      </c>
      <c r="G12" s="72" t="s">
        <v>115</v>
      </c>
      <c r="H12" s="72" t="s">
        <v>115</v>
      </c>
      <c r="I12" s="72" t="s">
        <v>115</v>
      </c>
      <c r="K12" s="73" t="s">
        <v>41</v>
      </c>
    </row>
    <row r="13" spans="1:11" ht="21" customHeight="1" x14ac:dyDescent="0.15">
      <c r="A13" s="55" t="s">
        <v>230</v>
      </c>
      <c r="B13" s="72" t="s">
        <v>115</v>
      </c>
      <c r="C13" s="72" t="s">
        <v>115</v>
      </c>
      <c r="D13" s="56" t="s">
        <v>65</v>
      </c>
      <c r="E13" s="56" t="s">
        <v>65</v>
      </c>
      <c r="F13" s="56" t="s">
        <v>65</v>
      </c>
      <c r="G13" s="72" t="s">
        <v>115</v>
      </c>
      <c r="H13" s="72" t="s">
        <v>115</v>
      </c>
      <c r="I13" s="72" t="s">
        <v>115</v>
      </c>
      <c r="K13" s="74"/>
    </row>
    <row r="14" spans="1:11" ht="21" customHeight="1" x14ac:dyDescent="0.15">
      <c r="A14" s="56" t="s">
        <v>37</v>
      </c>
      <c r="B14" s="72" t="s">
        <v>115</v>
      </c>
      <c r="C14" s="72" t="s">
        <v>115</v>
      </c>
      <c r="D14" s="56" t="s">
        <v>65</v>
      </c>
      <c r="E14" s="56" t="s">
        <v>65</v>
      </c>
      <c r="F14" s="56" t="s">
        <v>65</v>
      </c>
      <c r="G14" s="72" t="s">
        <v>115</v>
      </c>
      <c r="H14" s="72" t="s">
        <v>115</v>
      </c>
      <c r="I14" s="72" t="s">
        <v>115</v>
      </c>
    </row>
    <row r="15" spans="1:11" ht="21" customHeight="1" x14ac:dyDescent="0.15">
      <c r="A15" s="56" t="s">
        <v>38</v>
      </c>
      <c r="B15" s="72" t="s">
        <v>115</v>
      </c>
      <c r="C15" s="72" t="s">
        <v>115</v>
      </c>
      <c r="D15" s="56" t="s">
        <v>66</v>
      </c>
      <c r="E15" s="56" t="s">
        <v>66</v>
      </c>
      <c r="F15" s="72" t="s">
        <v>115</v>
      </c>
      <c r="G15" s="72" t="s">
        <v>115</v>
      </c>
      <c r="H15" s="72" t="s">
        <v>115</v>
      </c>
      <c r="I15" s="72" t="s">
        <v>115</v>
      </c>
    </row>
    <row r="16" spans="1:11" ht="21" customHeight="1" x14ac:dyDescent="0.15">
      <c r="A16" s="56" t="s">
        <v>39</v>
      </c>
      <c r="B16" s="72" t="s">
        <v>115</v>
      </c>
      <c r="C16" s="56" t="s">
        <v>66</v>
      </c>
      <c r="D16" s="56" t="s">
        <v>66</v>
      </c>
      <c r="E16" s="56" t="s">
        <v>66</v>
      </c>
      <c r="F16" s="72" t="s">
        <v>115</v>
      </c>
      <c r="G16" s="72" t="s">
        <v>115</v>
      </c>
      <c r="H16" s="72" t="s">
        <v>115</v>
      </c>
      <c r="I16" s="72" t="s">
        <v>115</v>
      </c>
    </row>
    <row r="17" spans="1:9" ht="21" customHeight="1" x14ac:dyDescent="0.15">
      <c r="A17" s="57" t="s">
        <v>8</v>
      </c>
      <c r="B17" s="57" t="s">
        <v>67</v>
      </c>
      <c r="C17" s="57" t="s">
        <v>67</v>
      </c>
      <c r="D17" s="57" t="s">
        <v>67</v>
      </c>
      <c r="E17" s="72" t="s">
        <v>115</v>
      </c>
      <c r="F17" s="72" t="s">
        <v>115</v>
      </c>
      <c r="G17" s="72" t="s">
        <v>115</v>
      </c>
      <c r="H17" s="72" t="s">
        <v>115</v>
      </c>
      <c r="I17" s="72" t="s">
        <v>115</v>
      </c>
    </row>
    <row r="18" spans="1:9" ht="21" customHeight="1" x14ac:dyDescent="0.15">
      <c r="A18" s="52" t="s">
        <v>7</v>
      </c>
      <c r="B18" s="52" t="s">
        <v>68</v>
      </c>
      <c r="C18" s="52" t="s">
        <v>68</v>
      </c>
      <c r="D18" s="72" t="s">
        <v>115</v>
      </c>
      <c r="E18" s="72" t="s">
        <v>115</v>
      </c>
      <c r="F18" s="72" t="s">
        <v>115</v>
      </c>
      <c r="G18" s="72" t="s">
        <v>115</v>
      </c>
      <c r="H18" s="72" t="s">
        <v>115</v>
      </c>
      <c r="I18" s="72" t="s">
        <v>115</v>
      </c>
    </row>
    <row r="19" spans="1:9" ht="21" customHeight="1" x14ac:dyDescent="0.15">
      <c r="A19" s="54" t="s">
        <v>40</v>
      </c>
      <c r="B19" s="54" t="s">
        <v>69</v>
      </c>
      <c r="C19" s="54" t="s">
        <v>69</v>
      </c>
      <c r="D19" s="72" t="s">
        <v>115</v>
      </c>
      <c r="E19" s="72" t="s">
        <v>115</v>
      </c>
      <c r="F19" s="72" t="s">
        <v>115</v>
      </c>
      <c r="G19" s="72" t="s">
        <v>115</v>
      </c>
      <c r="H19" s="72" t="s">
        <v>115</v>
      </c>
      <c r="I19" s="72" t="s">
        <v>115</v>
      </c>
    </row>
    <row r="20" spans="1:9" ht="21" customHeight="1" x14ac:dyDescent="0.15">
      <c r="A20" s="38" t="s">
        <v>222</v>
      </c>
      <c r="B20" s="84" t="s">
        <v>53</v>
      </c>
      <c r="C20" s="84" t="s">
        <v>53</v>
      </c>
      <c r="D20" s="84" t="s">
        <v>53</v>
      </c>
      <c r="E20" s="84" t="s">
        <v>53</v>
      </c>
      <c r="F20" s="84" t="s">
        <v>53</v>
      </c>
      <c r="G20" s="84" t="s">
        <v>53</v>
      </c>
      <c r="H20" s="84" t="s">
        <v>53</v>
      </c>
      <c r="I20" s="84" t="s">
        <v>53</v>
      </c>
    </row>
    <row r="25" spans="1:9" ht="21" customHeight="1" x14ac:dyDescent="0.15">
      <c r="A25" s="24" t="s">
        <v>14</v>
      </c>
    </row>
    <row r="26" spans="1:9" ht="21" customHeight="1" x14ac:dyDescent="0.15">
      <c r="A26" s="22" t="s">
        <v>70</v>
      </c>
      <c r="B26" s="22" t="s">
        <v>71</v>
      </c>
    </row>
    <row r="27" spans="1:9" ht="21" customHeight="1" x14ac:dyDescent="0.15">
      <c r="A27" s="25">
        <v>1</v>
      </c>
      <c r="B27" s="25">
        <v>200</v>
      </c>
    </row>
    <row r="28" spans="1:9" ht="21" customHeight="1" x14ac:dyDescent="0.15">
      <c r="A28" s="25">
        <v>2</v>
      </c>
      <c r="B28" s="25">
        <v>600</v>
      </c>
    </row>
    <row r="29" spans="1:9" ht="21" customHeight="1" x14ac:dyDescent="0.15">
      <c r="A29" s="25">
        <v>3</v>
      </c>
      <c r="B29" s="25">
        <v>1500</v>
      </c>
    </row>
    <row r="30" spans="1:9" ht="21" customHeight="1" x14ac:dyDescent="0.15">
      <c r="A30" s="25">
        <v>4</v>
      </c>
      <c r="B30" s="25">
        <v>3400</v>
      </c>
    </row>
    <row r="31" spans="1:9" ht="21" customHeight="1" x14ac:dyDescent="0.15">
      <c r="A31" s="25">
        <v>5</v>
      </c>
      <c r="B31" s="25">
        <v>6400</v>
      </c>
    </row>
  </sheetData>
  <sheetProtection selectLockedCells="1" selectUnlockedCells="1"/>
  <phoneticPr fontId="9"/>
  <conditionalFormatting sqref="A34:I65540 J1:IV1 J10:J13 L10:IV13 J14:IV65540 J7:IV7">
    <cfRule type="cellIs" dxfId="22" priority="27" stopIfTrue="1" operator="equal">
      <formula>1</formula>
    </cfRule>
  </conditionalFormatting>
  <conditionalFormatting sqref="A24:B25 A32:B33 C24:I33">
    <cfRule type="cellIs" dxfId="21" priority="26" stopIfTrue="1" operator="equal">
      <formula>1</formula>
    </cfRule>
  </conditionalFormatting>
  <conditionalFormatting sqref="K10:K13">
    <cfRule type="cellIs" dxfId="20" priority="22" stopIfTrue="1" operator="equal">
      <formula>1</formula>
    </cfRule>
  </conditionalFormatting>
  <conditionalFormatting sqref="J8:IV8">
    <cfRule type="cellIs" dxfId="19" priority="21" stopIfTrue="1" operator="equal">
      <formula>1</formula>
    </cfRule>
  </conditionalFormatting>
  <conditionalFormatting sqref="J9:IV9">
    <cfRule type="cellIs" dxfId="18" priority="20" stopIfTrue="1" operator="equal">
      <formula>1</formula>
    </cfRule>
  </conditionalFormatting>
  <conditionalFormatting sqref="G19:I19">
    <cfRule type="cellIs" dxfId="17" priority="12" stopIfTrue="1" operator="equal">
      <formula>1</formula>
    </cfRule>
  </conditionalFormatting>
  <conditionalFormatting sqref="D18:G18 F15:G17 H15:I18">
    <cfRule type="cellIs" dxfId="16" priority="11" stopIfTrue="1" operator="equal">
      <formula>1</formula>
    </cfRule>
  </conditionalFormatting>
  <conditionalFormatting sqref="F17:G17">
    <cfRule type="cellIs" dxfId="15" priority="10" stopIfTrue="1" operator="equal">
      <formula>1</formula>
    </cfRule>
  </conditionalFormatting>
  <conditionalFormatting sqref="A20">
    <cfRule type="cellIs" dxfId="14" priority="9" stopIfTrue="1" operator="equal">
      <formula>1</formula>
    </cfRule>
  </conditionalFormatting>
  <conditionalFormatting sqref="G12:I14 H10:I11">
    <cfRule type="cellIs" dxfId="13" priority="8" stopIfTrue="1" operator="equal">
      <formula>1</formula>
    </cfRule>
  </conditionalFormatting>
  <conditionalFormatting sqref="B10:C15">
    <cfRule type="cellIs" dxfId="12" priority="7" stopIfTrue="1" operator="equal">
      <formula>1</formula>
    </cfRule>
  </conditionalFormatting>
  <conditionalFormatting sqref="B16">
    <cfRule type="cellIs" dxfId="11" priority="6" stopIfTrue="1" operator="equal">
      <formula>1</formula>
    </cfRule>
  </conditionalFormatting>
  <conditionalFormatting sqref="E17">
    <cfRule type="cellIs" dxfId="10" priority="5" stopIfTrue="1" operator="equal">
      <formula>1</formula>
    </cfRule>
  </conditionalFormatting>
  <conditionalFormatting sqref="F12">
    <cfRule type="cellIs" dxfId="9" priority="4" stopIfTrue="1" operator="equal">
      <formula>1</formula>
    </cfRule>
  </conditionalFormatting>
  <conditionalFormatting sqref="J2:IV6">
    <cfRule type="cellIs" dxfId="8" priority="3" stopIfTrue="1" operator="equal">
      <formula>1</formula>
    </cfRule>
  </conditionalFormatting>
  <conditionalFormatting sqref="G6">
    <cfRule type="cellIs" dxfId="7" priority="2" stopIfTrue="1" operator="equal">
      <formula>1</formula>
    </cfRule>
  </conditionalFormatting>
  <conditionalFormatting sqref="F6">
    <cfRule type="cellIs" dxfId="6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0"/>
  <sheetViews>
    <sheetView showGridLines="0" workbookViewId="0">
      <selection activeCell="H8" sqref="H8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3" t="s">
        <v>10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 x14ac:dyDescent="0.15">
      <c r="A2" s="143" t="s">
        <v>238</v>
      </c>
      <c r="B2" s="144"/>
      <c r="C2" s="145"/>
      <c r="D2" s="156" t="s">
        <v>11</v>
      </c>
      <c r="E2" s="156">
        <v>8000</v>
      </c>
      <c r="F2" s="156">
        <v>10000</v>
      </c>
      <c r="G2" s="156">
        <v>14000</v>
      </c>
      <c r="H2" s="145"/>
      <c r="I2" s="145"/>
    </row>
    <row r="3" spans="1:9" s="4" customFormat="1" ht="21" customHeight="1" x14ac:dyDescent="0.15">
      <c r="A3" s="143" t="s">
        <v>243</v>
      </c>
      <c r="B3" s="147"/>
      <c r="C3" s="148"/>
      <c r="D3" s="156" t="s">
        <v>11</v>
      </c>
      <c r="E3" s="156">
        <v>7500</v>
      </c>
      <c r="F3" s="156">
        <v>9500</v>
      </c>
      <c r="G3" s="156">
        <v>13000</v>
      </c>
      <c r="H3" s="148"/>
      <c r="I3" s="148"/>
    </row>
    <row r="4" spans="1:9" s="4" customFormat="1" ht="21" customHeight="1" x14ac:dyDescent="0.15">
      <c r="A4" s="143" t="s">
        <v>246</v>
      </c>
      <c r="B4" s="150"/>
      <c r="C4" s="151"/>
      <c r="D4" s="156">
        <v>5000</v>
      </c>
      <c r="E4" s="156">
        <v>7000</v>
      </c>
      <c r="F4" s="156">
        <v>9000</v>
      </c>
      <c r="G4" s="156">
        <v>12000</v>
      </c>
      <c r="H4" s="151"/>
      <c r="I4" s="151"/>
    </row>
    <row r="5" spans="1:9" s="4" customFormat="1" ht="21" customHeight="1" x14ac:dyDescent="0.15">
      <c r="A5" s="162" t="s">
        <v>249</v>
      </c>
      <c r="B5" s="157"/>
      <c r="C5" s="158"/>
      <c r="D5" s="156">
        <v>4900</v>
      </c>
      <c r="E5" s="156">
        <v>6700</v>
      </c>
      <c r="F5" s="156">
        <v>8500</v>
      </c>
      <c r="G5" s="156">
        <v>11000</v>
      </c>
      <c r="H5" s="158"/>
      <c r="I5" s="158"/>
    </row>
    <row r="6" spans="1:9" s="4" customFormat="1" ht="21" customHeight="1" x14ac:dyDescent="0.15">
      <c r="A6" s="162" t="s">
        <v>250</v>
      </c>
      <c r="B6" s="157"/>
      <c r="C6" s="158"/>
      <c r="D6" s="156">
        <v>4800</v>
      </c>
      <c r="E6" s="156">
        <v>6600</v>
      </c>
      <c r="F6" s="156" t="s">
        <v>11</v>
      </c>
      <c r="G6" s="156" t="s">
        <v>11</v>
      </c>
      <c r="H6" s="158"/>
      <c r="I6" s="158"/>
    </row>
    <row r="7" spans="1:9" ht="21" customHeight="1" x14ac:dyDescent="0.15">
      <c r="A7" s="79" t="s">
        <v>213</v>
      </c>
      <c r="B7" s="47" t="s">
        <v>11</v>
      </c>
      <c r="C7" s="47" t="s">
        <v>11</v>
      </c>
      <c r="D7" s="47" t="s">
        <v>11</v>
      </c>
      <c r="E7" s="47" t="s">
        <v>11</v>
      </c>
      <c r="F7" s="47" t="s">
        <v>11</v>
      </c>
      <c r="G7" s="47" t="s">
        <v>11</v>
      </c>
      <c r="H7" s="47" t="s">
        <v>11</v>
      </c>
      <c r="I7" s="47" t="s">
        <v>11</v>
      </c>
    </row>
    <row r="8" spans="1:9" ht="21" customHeight="1" x14ac:dyDescent="0.15">
      <c r="A8" s="80" t="s">
        <v>215</v>
      </c>
      <c r="B8" s="47" t="s">
        <v>11</v>
      </c>
      <c r="C8" s="47" t="s">
        <v>11</v>
      </c>
      <c r="D8" s="47" t="s">
        <v>11</v>
      </c>
      <c r="E8" s="47">
        <v>8000</v>
      </c>
      <c r="F8" s="29">
        <v>10000</v>
      </c>
      <c r="G8" s="47">
        <v>14000</v>
      </c>
      <c r="H8" s="47" t="s">
        <v>11</v>
      </c>
      <c r="I8" s="47" t="s">
        <v>11</v>
      </c>
    </row>
    <row r="9" spans="1:9" s="46" customFormat="1" ht="21" customHeight="1" x14ac:dyDescent="0.15">
      <c r="A9" s="81" t="s">
        <v>216</v>
      </c>
      <c r="B9" s="29" t="s">
        <v>11</v>
      </c>
      <c r="C9" s="29" t="s">
        <v>11</v>
      </c>
      <c r="D9" s="29" t="s">
        <v>11</v>
      </c>
      <c r="E9" s="29">
        <v>7500</v>
      </c>
      <c r="F9" s="29">
        <v>9500</v>
      </c>
      <c r="G9" s="47">
        <v>13000</v>
      </c>
      <c r="H9" s="29" t="s">
        <v>11</v>
      </c>
      <c r="I9" s="29" t="s">
        <v>11</v>
      </c>
    </row>
    <row r="10" spans="1:9" ht="21" customHeight="1" x14ac:dyDescent="0.15">
      <c r="A10" s="81" t="s">
        <v>9</v>
      </c>
      <c r="B10" s="70" t="s">
        <v>11</v>
      </c>
      <c r="C10" s="70" t="s">
        <v>11</v>
      </c>
      <c r="D10" s="29">
        <v>5000</v>
      </c>
      <c r="E10" s="29">
        <v>7000</v>
      </c>
      <c r="F10" s="29">
        <v>9000</v>
      </c>
      <c r="G10" s="47">
        <v>12000</v>
      </c>
      <c r="H10" s="70" t="s">
        <v>11</v>
      </c>
      <c r="I10" s="70" t="s">
        <v>11</v>
      </c>
    </row>
    <row r="11" spans="1:9" ht="21" customHeight="1" x14ac:dyDescent="0.15">
      <c r="A11" s="81" t="s">
        <v>217</v>
      </c>
      <c r="B11" s="70" t="s">
        <v>11</v>
      </c>
      <c r="C11" s="70" t="s">
        <v>11</v>
      </c>
      <c r="D11" s="29">
        <v>4900</v>
      </c>
      <c r="E11" s="29">
        <v>6700</v>
      </c>
      <c r="F11" s="29">
        <v>8500</v>
      </c>
      <c r="G11" s="47">
        <v>11000</v>
      </c>
      <c r="H11" s="70" t="s">
        <v>11</v>
      </c>
      <c r="I11" s="70" t="s">
        <v>11</v>
      </c>
    </row>
    <row r="12" spans="1:9" ht="21" customHeight="1" x14ac:dyDescent="0.15">
      <c r="A12" s="81" t="s">
        <v>112</v>
      </c>
      <c r="B12" s="70" t="s">
        <v>11</v>
      </c>
      <c r="C12" s="70" t="s">
        <v>11</v>
      </c>
      <c r="D12" s="29">
        <v>4800</v>
      </c>
      <c r="E12" s="29">
        <v>6600</v>
      </c>
      <c r="F12" s="70" t="s">
        <v>11</v>
      </c>
      <c r="G12" s="70" t="s">
        <v>11</v>
      </c>
      <c r="H12" s="70" t="s">
        <v>11</v>
      </c>
      <c r="I12" s="70" t="s">
        <v>11</v>
      </c>
    </row>
    <row r="13" spans="1:9" ht="21" customHeight="1" x14ac:dyDescent="0.15">
      <c r="A13" s="81" t="s">
        <v>218</v>
      </c>
      <c r="B13" s="70" t="s">
        <v>11</v>
      </c>
      <c r="C13" s="70" t="s">
        <v>11</v>
      </c>
      <c r="D13" s="70" t="s">
        <v>11</v>
      </c>
      <c r="E13" s="29">
        <v>6300</v>
      </c>
      <c r="F13" s="70" t="s">
        <v>11</v>
      </c>
      <c r="G13" s="70" t="s">
        <v>11</v>
      </c>
      <c r="H13" s="70" t="s">
        <v>11</v>
      </c>
      <c r="I13" s="70" t="s">
        <v>11</v>
      </c>
    </row>
    <row r="14" spans="1:9" ht="21" customHeight="1" x14ac:dyDescent="0.15">
      <c r="A14" s="81" t="s">
        <v>219</v>
      </c>
      <c r="B14" s="70" t="s">
        <v>11</v>
      </c>
      <c r="C14" s="70" t="s">
        <v>11</v>
      </c>
      <c r="D14" s="29">
        <v>4600</v>
      </c>
      <c r="E14" s="29">
        <v>5800</v>
      </c>
      <c r="F14" s="29">
        <v>7600</v>
      </c>
      <c r="G14" s="70" t="s">
        <v>11</v>
      </c>
      <c r="H14" s="70" t="s">
        <v>11</v>
      </c>
      <c r="I14" s="70" t="s">
        <v>11</v>
      </c>
    </row>
    <row r="15" spans="1:9" ht="21" customHeight="1" x14ac:dyDescent="0.15">
      <c r="A15" s="81" t="s">
        <v>111</v>
      </c>
      <c r="B15" s="70" t="s">
        <v>11</v>
      </c>
      <c r="C15" s="70" t="s">
        <v>11</v>
      </c>
      <c r="D15" s="29">
        <v>4400</v>
      </c>
      <c r="E15" s="29">
        <v>5600</v>
      </c>
      <c r="F15" s="70" t="s">
        <v>11</v>
      </c>
      <c r="G15" s="70" t="s">
        <v>11</v>
      </c>
      <c r="H15" s="70" t="s">
        <v>11</v>
      </c>
      <c r="I15" s="70" t="s">
        <v>11</v>
      </c>
    </row>
    <row r="16" spans="1:9" ht="21" customHeight="1" x14ac:dyDescent="0.15">
      <c r="A16" s="81" t="s">
        <v>220</v>
      </c>
      <c r="B16" s="70" t="s">
        <v>11</v>
      </c>
      <c r="C16" s="29">
        <v>3000</v>
      </c>
      <c r="D16" s="29">
        <v>4200</v>
      </c>
      <c r="E16" s="29">
        <v>5400</v>
      </c>
      <c r="F16" s="70" t="s">
        <v>11</v>
      </c>
      <c r="G16" s="70" t="s">
        <v>11</v>
      </c>
      <c r="H16" s="70" t="s">
        <v>11</v>
      </c>
      <c r="I16" s="70" t="s">
        <v>11</v>
      </c>
    </row>
    <row r="17" spans="1:9" ht="21" customHeight="1" x14ac:dyDescent="0.15">
      <c r="A17" s="81" t="s">
        <v>8</v>
      </c>
      <c r="B17" s="29">
        <v>2000</v>
      </c>
      <c r="C17" s="29">
        <v>2800</v>
      </c>
      <c r="D17" s="29">
        <v>4000</v>
      </c>
      <c r="E17" s="70" t="s">
        <v>11</v>
      </c>
      <c r="F17" s="70" t="s">
        <v>11</v>
      </c>
      <c r="G17" s="70" t="s">
        <v>11</v>
      </c>
      <c r="H17" s="70" t="s">
        <v>11</v>
      </c>
      <c r="I17" s="70" t="s">
        <v>11</v>
      </c>
    </row>
    <row r="18" spans="1:9" ht="21" customHeight="1" x14ac:dyDescent="0.15">
      <c r="A18" s="82" t="s">
        <v>7</v>
      </c>
      <c r="B18" s="29">
        <v>1750</v>
      </c>
      <c r="C18" s="29">
        <v>2550</v>
      </c>
      <c r="D18" s="70" t="s">
        <v>11</v>
      </c>
      <c r="E18" s="70" t="s">
        <v>11</v>
      </c>
      <c r="F18" s="70" t="s">
        <v>11</v>
      </c>
      <c r="G18" s="70" t="s">
        <v>11</v>
      </c>
      <c r="H18" s="70" t="s">
        <v>11</v>
      </c>
      <c r="I18" s="70" t="s">
        <v>11</v>
      </c>
    </row>
    <row r="19" spans="1:9" ht="21" customHeight="1" x14ac:dyDescent="0.15">
      <c r="A19" s="82" t="s">
        <v>221</v>
      </c>
      <c r="B19" s="29">
        <v>1500</v>
      </c>
      <c r="C19" s="29">
        <v>2300</v>
      </c>
      <c r="D19" s="70" t="s">
        <v>11</v>
      </c>
      <c r="E19" s="70" t="s">
        <v>11</v>
      </c>
      <c r="F19" s="70" t="s">
        <v>11</v>
      </c>
      <c r="G19" s="70" t="s">
        <v>11</v>
      </c>
      <c r="H19" s="70" t="s">
        <v>11</v>
      </c>
      <c r="I19" s="70" t="s">
        <v>11</v>
      </c>
    </row>
    <row r="20" spans="1:9" ht="21" customHeight="1" x14ac:dyDescent="0.15">
      <c r="A20" s="38" t="s">
        <v>222</v>
      </c>
      <c r="B20" s="37">
        <v>1000</v>
      </c>
      <c r="C20" s="37">
        <v>1000</v>
      </c>
      <c r="D20" s="37">
        <v>1000</v>
      </c>
      <c r="E20" s="37">
        <v>1000</v>
      </c>
      <c r="F20" s="37">
        <v>1000</v>
      </c>
      <c r="G20" s="37">
        <v>1000</v>
      </c>
      <c r="H20" s="37">
        <v>1000</v>
      </c>
      <c r="I20" s="37">
        <v>1000</v>
      </c>
    </row>
  </sheetData>
  <sheetProtection selectLockedCells="1" selectUnlockedCells="1"/>
  <phoneticPr fontId="9"/>
  <conditionalFormatting sqref="L22:R65541 J1:IU1 L7:R19 S7:IU1048576 J7:K1048576">
    <cfRule type="cellIs" dxfId="5" priority="7" stopIfTrue="1" operator="equal">
      <formula>1</formula>
    </cfRule>
  </conditionalFormatting>
  <conditionalFormatting sqref="A21:I65541">
    <cfRule type="cellIs" dxfId="4" priority="8" stopIfTrue="1" operator="equal">
      <formula>1</formula>
    </cfRule>
  </conditionalFormatting>
  <conditionalFormatting sqref="A20:I20">
    <cfRule type="cellIs" dxfId="3" priority="5" stopIfTrue="1" operator="equal">
      <formula>1</formula>
    </cfRule>
  </conditionalFormatting>
  <conditionalFormatting sqref="J2:IV4">
    <cfRule type="cellIs" dxfId="2" priority="4" stopIfTrue="1" operator="equal">
      <formula>1</formula>
    </cfRule>
  </conditionalFormatting>
  <conditionalFormatting sqref="J5:IV6">
    <cfRule type="cellIs" dxfId="1" priority="3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4"/>
  </cols>
  <sheetData>
    <row r="1" spans="1:8" ht="21" customHeight="1" x14ac:dyDescent="0.15">
      <c r="A1" s="24" t="s">
        <v>117</v>
      </c>
      <c r="G1" s="24" t="s">
        <v>118</v>
      </c>
    </row>
    <row r="2" spans="1:8" ht="21" customHeight="1" x14ac:dyDescent="0.15">
      <c r="A2" s="22" t="s">
        <v>15</v>
      </c>
      <c r="B2" s="22" t="s">
        <v>16</v>
      </c>
      <c r="G2" s="22" t="s">
        <v>15</v>
      </c>
      <c r="H2" s="22" t="s">
        <v>16</v>
      </c>
    </row>
    <row r="3" spans="1:8" ht="21" customHeight="1" x14ac:dyDescent="0.15">
      <c r="A3" s="25">
        <v>1</v>
      </c>
      <c r="B3" s="34">
        <v>5000</v>
      </c>
      <c r="G3" s="25">
        <v>1</v>
      </c>
      <c r="H3" s="25">
        <v>75</v>
      </c>
    </row>
    <row r="4" spans="1:8" ht="21" customHeight="1" x14ac:dyDescent="0.15">
      <c r="A4" s="25">
        <v>2</v>
      </c>
      <c r="B4" s="26">
        <v>10000</v>
      </c>
      <c r="G4" s="25">
        <v>2</v>
      </c>
      <c r="H4" s="25">
        <v>150</v>
      </c>
    </row>
    <row r="5" spans="1:8" ht="21" customHeight="1" x14ac:dyDescent="0.15">
      <c r="A5" s="25">
        <v>3</v>
      </c>
      <c r="B5" s="26">
        <v>20000</v>
      </c>
      <c r="G5" s="25">
        <v>3</v>
      </c>
      <c r="H5" s="25">
        <v>300</v>
      </c>
    </row>
    <row r="6" spans="1:8" ht="21" customHeight="1" x14ac:dyDescent="0.15">
      <c r="A6" s="25">
        <v>4</v>
      </c>
      <c r="B6" s="26">
        <v>50000</v>
      </c>
      <c r="G6" s="25">
        <v>4</v>
      </c>
      <c r="H6" s="25">
        <v>600</v>
      </c>
    </row>
    <row r="7" spans="1:8" ht="21" customHeight="1" x14ac:dyDescent="0.15">
      <c r="A7" s="25">
        <v>5</v>
      </c>
      <c r="B7" s="26">
        <v>200000</v>
      </c>
      <c r="G7" s="25">
        <v>5</v>
      </c>
      <c r="H7" s="25">
        <v>900</v>
      </c>
    </row>
    <row r="8" spans="1:8" ht="21" customHeight="1" x14ac:dyDescent="0.15">
      <c r="A8" s="25">
        <v>6</v>
      </c>
      <c r="B8" s="35">
        <v>0</v>
      </c>
      <c r="G8" s="25">
        <v>6</v>
      </c>
      <c r="H8" s="36">
        <v>1200</v>
      </c>
    </row>
    <row r="9" spans="1:8" ht="21" customHeight="1" x14ac:dyDescent="0.15">
      <c r="A9" s="25">
        <v>7</v>
      </c>
      <c r="B9" s="35"/>
      <c r="G9" s="25">
        <v>7</v>
      </c>
      <c r="H9" s="35"/>
    </row>
    <row r="10" spans="1:8" ht="21" customHeight="1" x14ac:dyDescent="0.15">
      <c r="A10" s="25">
        <v>8</v>
      </c>
      <c r="B10" s="35"/>
      <c r="G10" s="25">
        <v>8</v>
      </c>
      <c r="H10" s="35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200</v>
      </c>
      <c r="B2" s="12">
        <v>591</v>
      </c>
    </row>
    <row r="3" spans="1:4" x14ac:dyDescent="0.15">
      <c r="A3" t="s">
        <v>201</v>
      </c>
      <c r="B3" s="139">
        <v>592</v>
      </c>
    </row>
    <row r="4" spans="1:4" x14ac:dyDescent="0.15">
      <c r="A4" t="s">
        <v>202</v>
      </c>
      <c r="B4" s="139">
        <v>593</v>
      </c>
    </row>
    <row r="7" spans="1:4" x14ac:dyDescent="0.15">
      <c r="A7" t="s">
        <v>203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231</v>
      </c>
    </row>
    <row r="13" spans="1:4" x14ac:dyDescent="0.15">
      <c r="B13" t="s">
        <v>235</v>
      </c>
      <c r="C13" t="s">
        <v>236</v>
      </c>
      <c r="D13" t="s">
        <v>237</v>
      </c>
    </row>
    <row r="14" spans="1:4" x14ac:dyDescent="0.15">
      <c r="A14" t="s">
        <v>233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234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232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204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205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206</v>
      </c>
    </row>
    <row r="49" spans="1:1" x14ac:dyDescent="0.15">
      <c r="A49" t="str">
        <f>IFERROR(VLOOKUP($B$3,awake_materials!A:I,2),"なし")</f>
        <v>なし</v>
      </c>
    </row>
    <row r="50" spans="1:1" x14ac:dyDescent="0.15">
      <c r="A50" t="str">
        <f>IFERROR(VLOOKUP($B$3,awake_materials!A:I,2),"なし")</f>
        <v>なし</v>
      </c>
    </row>
    <row r="51" spans="1:1" x14ac:dyDescent="0.15">
      <c r="A51" t="str">
        <f>IFERROR(VLOOKUP($B$3,awake_materials!A:I,2),"なし")</f>
        <v>なし</v>
      </c>
    </row>
    <row r="52" spans="1:1" x14ac:dyDescent="0.15">
      <c r="A52" t="str">
        <f>IFERROR(VLOOKUP($B$3,awake_materials!A:I,2),"なし")</f>
        <v>なし</v>
      </c>
    </row>
    <row r="53" spans="1:1" x14ac:dyDescent="0.15">
      <c r="A53" t="str">
        <f>IFERROR(VLOOKUP($B$3,awake_materials!A:I,2),"なし")</f>
        <v>なし</v>
      </c>
    </row>
    <row r="55" spans="1:1" x14ac:dyDescent="0.15">
      <c r="A55" s="142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output</vt:lpstr>
      <vt:lpstr>units</vt:lpstr>
      <vt:lpstr>unit_skills</vt:lpstr>
      <vt:lpstr>crash_skills</vt:lpstr>
      <vt:lpstr>unit_serifs</vt:lpstr>
      <vt:lpstr>awake_materials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2017-06-06T07:49:29Z</dcterms:modified>
</cp:coreProperties>
</file>