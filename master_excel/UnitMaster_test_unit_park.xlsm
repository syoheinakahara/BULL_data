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park/BULL_data/master_excel/"/>
    </mc:Choice>
  </mc:AlternateContent>
  <bookViews>
    <workbookView xWindow="-31020" yWindow="-14520" windowWidth="28800" windowHeight="16420" tabRatio="963" activeTab="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8" i="54" l="1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H7" i="53"/>
  <c r="G7" i="53"/>
  <c r="E7" i="53"/>
  <c r="H6" i="53"/>
  <c r="G6" i="53"/>
  <c r="E6" i="53"/>
  <c r="K7" i="52"/>
  <c r="J7" i="52"/>
  <c r="H7" i="52"/>
  <c r="E7" i="52"/>
  <c r="K6" i="52"/>
  <c r="J6" i="52"/>
  <c r="H6" i="52"/>
  <c r="E6" i="52"/>
  <c r="H4" i="23"/>
  <c r="G4" i="23"/>
  <c r="BC4" i="23"/>
  <c r="I4" i="23"/>
  <c r="J4" i="23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H6" i="23"/>
  <c r="G6" i="23"/>
  <c r="BC6" i="23"/>
  <c r="BE7" i="23"/>
  <c r="BJ7" i="23"/>
  <c r="BI7" i="23"/>
  <c r="BH7" i="23"/>
  <c r="BG7" i="23"/>
  <c r="I6" i="23"/>
  <c r="J6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BR6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F3" i="57"/>
  <c r="E3" i="57"/>
  <c r="B3" i="57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H2" i="23"/>
  <c r="G2" i="23"/>
  <c r="BC2" i="23"/>
  <c r="BE5" i="23"/>
  <c r="BJ5" i="23"/>
  <c r="BI5" i="23"/>
  <c r="BH5" i="23"/>
  <c r="BG5" i="23"/>
  <c r="I2" i="23"/>
  <c r="J2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BR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J6" i="3"/>
  <c r="H6" i="3"/>
  <c r="C6" i="3"/>
  <c r="F6" i="3"/>
  <c r="E6" i="3"/>
  <c r="D6" i="3"/>
  <c r="A6" i="3"/>
  <c r="H3" i="23"/>
  <c r="BR3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<sst xmlns="http://schemas.openxmlformats.org/spreadsheetml/2006/main" count="1004" uniqueCount="382">
  <si>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</si>
  <si>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</si>
  <si>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</si>
  <si>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</si>
  <si>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</si>
  <si>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</si>
  <si>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</si>
  <si>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</si>
  <si>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</si>
  <si>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</si>
  <si>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</si>
  <si>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</si>
  <si>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</si>
  <si>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</si>
  <si>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</si>
  <si>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</si>
  <si>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</si>
  <si>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</si>
  <si>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</si>
  <si>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</si>
  <si>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</si>
  <si>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</si>
  <si>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</si>
  <si>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</si>
  <si>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</si>
  <si>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</si>
  <si>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</si>
  <si>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</si>
  <si>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</si>
  <si>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</si>
  <si>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</si>
  <si>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</si>
  <si>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</si>
  <si>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</si>
  <si>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</si>
  <si>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</si>
  <si>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</si>
  <si>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</si>
  <si>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</si>
  <si>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</si>
  <si>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</si>
  <si>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</si>
  <si>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</si>
  <si>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</si>
  <si>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</si>
  <si>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</si>
  <si>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</si>
  <si>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</si>
  <si>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</si>
  <si>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</si>
  <si>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</si>
  <si>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</si>
  <si>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</si>
  <si>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</si>
  <si>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</si>
  <si>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</si>
  <si>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</si>
  <si>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</si>
  <si>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</si>
  <si>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</si>
  <si>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</si>
  <si>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</si>
  <si>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</si>
  <si>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</si>
  <si>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</si>
  <si>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</si>
  <si>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</si>
  <si>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</si>
  <si>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</si>
  <si>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</si>
  <si>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</si>
  <si>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</si>
  <si>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</si>
  <si>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</si>
  <si>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</si>
  <si>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</si>
  <si>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</si>
  <si>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</si>
  <si>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</si>
  <si>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</si>
  <si>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</si>
  <si>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</si>
  <si>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</si>
  <si>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</si>
  <si>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</si>
  <si>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</si>
  <si>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</si>
  <si>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</si>
  <si>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</si>
  <si>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</si>
  <si>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</si>
  <si>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</si>
  <si>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</si>
  <si>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</si>
  <si>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</si>
  <si>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</si>
  <si>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</si>
  <si>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</si>
  <si>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</si>
  <si>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</si>
  <si>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</si>
  <si>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</si>
  <si>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</si>
  <si>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</si>
  <si>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</si>
  <si>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</si>
  <si>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</si>
  <si>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</si>
  <si>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</si>
  <si>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</si>
  <si>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</si>
  <si>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</si>
  <si>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</si>
  <si>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</si>
  <si>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</si>
  <si>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</si>
  <si>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</si>
  <si>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</si>
  <si>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</si>
  <si>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</si>
  <si>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</si>
  <si>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</si>
  <si>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</si>
  <si>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</si>
  <si>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</si>
  <si>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</si>
  <si>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</si>
  <si>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</si>
  <si>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</si>
  <si>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</si>
  <si>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</si>
  <si>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</si>
  <si>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</si>
  <si>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</si>
  <si>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</si>
  <si>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</si>
  <si>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</si>
  <si>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</si>
  <si>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</si>
  <si>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</si>
  <si>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</si>
  <si>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</si>
  <si>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</si>
  <si>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</si>
  <si>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</si>
  <si>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</si>
  <si>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</si>
  <si>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</si>
  <si>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</si>
  <si>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</si>
  <si>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</si>
  <si>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</si>
  <si>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</si>
  <si>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</si>
  <si>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</si>
  <si>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</si>
  <si>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</si>
  <si>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</si>
  <si>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</si>
  <si>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</si>
  <si>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</si>
  <si>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</si>
  <si>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</si>
  <si>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</si>
  <si>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</si>
  <si>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</si>
  <si>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</si>
  <si>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</si>
  <si>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</si>
  <si>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</si>
  <si>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</si>
  <si>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</si>
  <si>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</si>
  <si>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</si>
  <si>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</si>
  <si>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</si>
  <si>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</si>
  <si>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</si>
  <si>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</si>
  <si>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</si>
  <si>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</si>
  <si>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</si>
  <si>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</si>
  <si>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</si>
  <si>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</si>
  <si>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</si>
  <si>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</si>
  <si>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</si>
  <si>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</si>
  <si>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</si>
  <si>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</si>
  <si>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</si>
  <si>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</si>
  <si>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</si>
  <si>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</si>
  <si>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</si>
  <si>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</si>
  <si>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</si>
  <si>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</si>
  <si>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</si>
  <si>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</si>
  <si>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</si>
  <si>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</si>
  <si>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</si>
  <si>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</si>
  <si>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</si>
  <si>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</si>
  <si>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</si>
  <si>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</si>
  <si>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</si>
  <si>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</si>
  <si>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</si>
  <si>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</si>
  <si>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</si>
  <si>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</si>
  <si>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</si>
  <si>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</si>
  <si>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</si>
  <si>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</si>
  <si>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</si>
  <si>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</si>
  <si>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</si>
  <si>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</si>
  <si>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</si>
  <si>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</si>
  <si>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</si>
  <si>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</si>
  <si>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</si>
  <si>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</si>
  <si>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</si>
  <si>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</si>
  <si>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</si>
  <si>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</si>
  <si>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</si>
  <si>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</si>
  <si>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</si>
  <si>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</si>
  <si>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</si>
  <si>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</si>
  <si>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</si>
  <si>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</si>
  <si>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</si>
  <si>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</si>
  <si>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</si>
  <si>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</si>
  <si>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</si>
  <si>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</si>
  <si>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</si>
  <si>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</si>
  <si>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</si>
  <si>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</si>
  <si>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</si>
  <si>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</si>
  <si>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</si>
  <si>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</si>
  <si>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</si>
  <si>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</si>
  <si>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</si>
  <si>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</si>
  <si>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</si>
  <si>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</si>
  <si>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</si>
  <si>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</si>
  <si>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</si>
  <si>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</si>
  <si>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</si>
  <si>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</si>
  <si>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</si>
  <si>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</si>
  <si>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</si>
  <si>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</si>
  <si>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</si>
  <si>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</si>
  <si>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</si>
  <si>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</si>
  <si>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</si>
  <si>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</si>
  <si>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</si>
  <si>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</si>
  <si>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</si>
  <si>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</si>
  <si>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</si>
  <si>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</si>
  <si>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</si>
  <si>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</si>
  <si>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</si>
  <si>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</si>
  <si>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</si>
  <si>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</si>
  <si>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</si>
  <si>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</si>
  <si>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</si>
  <si>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</si>
  <si>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</si>
  <si>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</si>
  <si>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</si>
  <si>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</si>
  <si>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</si>
  <si>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</si>
  <si>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</si>
  <si>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</si>
  <si>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</si>
  <si>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</si>
  <si>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</si>
  <si>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</si>
  <si>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</si>
  <si>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</si>
  <si>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</si>
  <si>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</si>
  <si>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</si>
  <si>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</si>
  <si>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</si>
  <si>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</si>
  <si>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</si>
  <si>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</si>
  <si>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</si>
  <si>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Cスキル2</t>
  </si>
  <si>
    <t>Cスキル3</t>
  </si>
  <si>
    <t>Cスキル1</t>
    <phoneticPr fontId="22"/>
  </si>
  <si>
    <t>abilities_tmp_</t>
    <phoneticPr fontId="22"/>
  </si>
  <si>
    <t>Cスキル4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</si>
  <si>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</si>
  <si>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</si>
  <si>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</si>
  <si>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</si>
  <si>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</si>
  <si>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</si>
  <si>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</si>
  <si>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</si>
  <si>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</si>
  <si>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</si>
  <si>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</si>
  <si>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</si>
  <si>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</si>
  <si>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</si>
  <si>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</si>
  <si>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</si>
  <si>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</si>
  <si>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</si>
  <si>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</si>
  <si>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</si>
  <si>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</si>
  <si>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</si>
  <si>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</si>
  <si>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category</t>
    <phoneticPr fontId="22"/>
  </si>
  <si>
    <t>テストユニット21スキル</t>
    <phoneticPr fontId="22"/>
  </si>
  <si>
    <t>赤・ダメージパネルをCPに、緑を最大1つ青ボム(特大)に変換+3ターンタップ数1増加、回復力1313UP+自身にバリア3500を展開</t>
    <phoneticPr fontId="22"/>
  </si>
  <si>
    <t>赤・ダメージパネルをCPに、緑を最大1つ青ボム(大)に変換+3ターンタップ数1増加、回復力1313UP+自身にバリア3500を展開</t>
    <phoneticPr fontId="22"/>
  </si>
  <si>
    <t>[effect:force_change_block, new_block:crash, target:block_red, count:0, val:6, animation:change_block],[effect:force_change_block, new_block:crash, target:damage, count:0, val:6, animation:change_block],[effect:force_change_block, new_block:crack_bomb, target:block_green, count:0, val:24, animation:change_block],[effect:enhance_unit, target:unit_all, turn:3, status:action, val:1, calc:add, animation:enhance_unit_one_action01],[effect:enhance_unit, target:unit_all, turn:3, status:heal, val:1313, calc:add, animation:enhance_unit_all_heal01],[effect:damage_barrier, target:myself, turn:-1, val:3500, animation:activate_shield]</t>
    <phoneticPr fontId="22"/>
  </si>
  <si>
    <t>テストユニット21Cスキル</t>
    <phoneticPr fontId="22"/>
  </si>
  <si>
    <t>1体に特大ダメージ+
1ターン全ユニットの攻撃力小UP</t>
    <phoneticPr fontId="22"/>
  </si>
  <si>
    <t>[effect:damage, target:enemy_one, color:blue, val:1.5, animation:damage_one_blue04],[effect:enhance_unit, target:unit_all, turn:1, status:attack, val:0.17, calc:mul, animation:enhance_unit_all_attack02]</t>
    <phoneticPr fontId="22"/>
  </si>
  <si>
    <t>テストユニット22スキル</t>
    <phoneticPr fontId="22"/>
  </si>
  <si>
    <t>1体に超大ダメージ+
1ターン全ユニットの攻撃力小UP</t>
    <phoneticPr fontId="22"/>
  </si>
  <si>
    <t>[effect:force_change_block, new_block:crash, target:block_red, count:0, val:6, animation:change_block],[effect:force_change_block, new_block:crash, target:damage, count:0, val:6, animation:change_block],[effect:force_change_block, new_block:crack_bomb, target:block_green, count:0, val:36, animation:change_block],[effect:enhance_unit, target:unit_all, turn:3, status:action, val:1, calc:add, animation:enhance_unit_one_action01],[effect:enhance_unit, target:unit_all, turn:3, status:heal, val:1313, calc:add, animation:enhance_unit_all_heal01],[effect:damage_barrier, target:myself, turn:-1, val:3500, animation:activate_shield]</t>
    <phoneticPr fontId="22"/>
  </si>
  <si>
    <t>テストユニット22Cスキル</t>
    <phoneticPr fontId="22"/>
  </si>
  <si>
    <t>[effect:damage, target:enemy_one, color:blue, val:2, animation:damage_one_blue04],[effect:enhance_unit, target:unit_all, turn:1, status:attack, val:0.17, calc:mul, animation:enhance_unit_all_attack02]</t>
    <phoneticPr fontId="22"/>
  </si>
  <si>
    <t>1</t>
    <phoneticPr fontId="22"/>
  </si>
  <si>
    <t>old</t>
  </si>
  <si>
    <t>testunitpark</t>
    <phoneticPr fontId="22"/>
  </si>
  <si>
    <t>テストユニット23スキル</t>
    <phoneticPr fontId="22"/>
  </si>
  <si>
    <t>テストユニット24スキル</t>
    <phoneticPr fontId="22"/>
  </si>
  <si>
    <t>カウンタ解除+1ターン緑属性回復力特大UPし、
タップ回数を1増やす+バリア生成3000</t>
    <phoneticPr fontId="22"/>
  </si>
  <si>
    <t>カウンタ解除+2ターン緑属性回復力特大UPし、
タップ回数を1増やす+バリア生成5000</t>
    <phoneticPr fontId="22"/>
  </si>
  <si>
    <t>[effect:remove_enhancement, target:enemy_all, target_effect:enemy_counter, animation:frozen_wave_unit],[effect:enhance_unit, target:unit_green, turn:1, status:heal, val:0.45, calc:mul, animation:enhance_unit_all_heal04],[effect:enhance_unit, target:unit_green, turn:2, status:action, val:1, calc:add, animation:enhance_unit_one_action02],[effect:damage_barrier, target:myself, turn:-1, val:3000]</t>
    <phoneticPr fontId="22"/>
  </si>
  <si>
    <t>テストユニット23Cスキル</t>
    <phoneticPr fontId="22"/>
  </si>
  <si>
    <t>テストユニット24Cスキル</t>
    <phoneticPr fontId="22"/>
  </si>
  <si>
    <t>自身の回復力に比例して全体に特大ダメージ
+1体に大ダメージ+攻撃タイプに効果超大</t>
    <phoneticPr fontId="22"/>
  </si>
  <si>
    <t>自身の回復力に比例して全体に超大ダメージ
+1体に特大ダメージ+攻撃タイプに効果超大</t>
    <phoneticPr fontId="22"/>
  </si>
  <si>
    <t>[effect:damage_heal, target:enemy_all, color:green, val:1.575, animation:damage_all_green04],[effect:damage_anti_type, target:enemy_one, type:attack, val1:3.75,val2:1, animation:damage_one_green04]</t>
    <phoneticPr fontId="22"/>
  </si>
  <si>
    <t>[effect:damage_heal, target:enemy_all, color:green, val:1.75, animation:damage_all_green04],[effect:damage_anti_type, target:enemy_one, type:attack, val1:3.75,val2:1.2, animation:damage_one_green04]</t>
    <phoneticPr fontId="22"/>
  </si>
  <si>
    <t>テストユニット25スキル</t>
    <phoneticPr fontId="22"/>
  </si>
  <si>
    <t>テストユニット26スキル</t>
    <phoneticPr fontId="22"/>
  </si>
  <si>
    <t>[effect:remove_enhancement, target:enemy_all, target_effect:enemy_counter, animation:frozen_wave_unit],[effect:enhance_unit, target:unit_green, turn:2, status:heal, val:0.45, calc:mul, animation:enhance_unit_all_heal04],[effect:enhance_unit, target:unit_green, turn:2, status:action, val:1, calc:add, animation:enhance_unit_one_action02],[effect:damage_barrier, target:myself, turn:-1, val:3000]</t>
    <phoneticPr fontId="22"/>
  </si>
  <si>
    <t>テストユニット25Cスキル</t>
    <phoneticPr fontId="22"/>
  </si>
  <si>
    <t>テストユニット26Cスキル</t>
    <phoneticPr fontId="22"/>
  </si>
  <si>
    <t>1体に超大ダメージ</t>
    <phoneticPr fontId="22"/>
  </si>
  <si>
    <t>[effect:damage, target:enemy_one, color:red, val:2.5, animation:damage_one_red04]</t>
    <phoneticPr fontId="22"/>
  </si>
  <si>
    <t>特定部分をCパネル(大)・緑パネル・SCパネル(特大)・ハートパネルに変換+1ターン爆風強化</t>
    <phoneticPr fontId="22"/>
  </si>
  <si>
    <t>[effect:change_range_block, block_change:1, base_type:0, square_count:5, position01:0, position02:4, position03:20, position04:24, value_h01:1.0, value_h02:1.0, value_h03:1.0, value_h04:1.0, value_w01:1.0, value_w02:1.0, value_w03:1.0, value_w04:1.0, new_block:crash, target:block_all, ignore01:block_positive, count:0, val:11, animation:change_range_block],
[effect:change_range_block, block_change:1, base_type:0, square_count:6, position01:0, position02:5, position03:31, value_h01:6.0, value_h02:6.0, value_h03:1.0, value_w01:1.0, value_w02:1.0, value_w03:4.0, new_block:block_green, target:block_all, ignore01:block_positive, count:0, val:0, animation:change_block],
[effect:change_range_block, block_change:1, base_type:1, square_count:5, position01:7, value_rad01:3.0, value_h01:1.0, value_w01:1.0, new_block:block_heart, target:block_all, ignore01:block_positive, count:0, val:0, animation:change_block],
[effect:change_range_block, block_change:1, base_type:0, square_count:5, position01:7, value_h01:1.0, value_w01:1.0, new_block:crash, target:block_all, ignore01:block_positive, count:1, val:36, animation:change_range_block],[effect:change_bomb_range, target:unit_all, val:1.2, rate:1, turn:1, animation:bomb_big]</t>
    <phoneticPr fontId="22"/>
  </si>
  <si>
    <t>エリア変換テスト</t>
    <rPh sb="3" eb="5">
      <t>ヘンk</t>
    </rPh>
    <phoneticPr fontId="22"/>
  </si>
  <si>
    <t>[effect:change_range_block, block_change:1, base_type:0, square_count:9, position01:21, position02:29, position03:38, value_h01:1.0, value_h02:1.0, value_h03:1.0, value_w01:3.0, value_w02:5.0, value_w03:3.0, new_block:crack_bomb, target:block_all, color:red, count:0, val:12, animation:change_block],
[effect:change_range_block, block_change:1, base_type:0, square_count:9, position01:41, position02:47, position03:57, value_h01:1.0, value_h02:1.0, value_h03:1.0, value_w01:2.0, value_w02:5.0, value_w03:3.0, new_block:crack_bomb, target:block_all, color:blue, count:0, val:12, animation:change_block], 
[effect:change_range_block, block_change:1, base_type:1, square_count:9, position01:20, position02:24, position03:37, value_h01:1.0, value_h02:1.0, value_h03:1.0, value_w01:1.0, value_w02:1.0, value_w03:1.0, value_rad01:1.0, value_rad02:1.0, value_rad03:1.0, new_block:crack_bomb, target:block_all, color:red, count:0, val:12, animation:change_block],
[effect:change_range_block, block_change:1, base_type:1, square_count:9, position01:41, position02:47, position03:57, value_h01:1.0, value_h02:1.0, value_h03:1.0, value_w01:2.0, value_w02:1.0, value_w03:1.0, value_rad01:1.0, value_rad02:1.0, value_rad03:1.0, new_block:crack_bomb, target:block_all, color:blue, count:0, val:12, animation:change_block]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</si>
</sst>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0" fillId="25" borderId="4" xfId="0" applyFill="1" applyBorder="1" applyAlignment="1">
      <alignment horizont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41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  <cell r="N896" t="str">
            <v>ヒューマン</v>
          </cell>
          <cell r="O896" t="str">
            <v>none</v>
          </cell>
          <cell r="P896" t="str">
            <v>種族なし</v>
          </cell>
          <cell r="Q896" t="str">
            <v>アタッカー</v>
          </cell>
          <cell r="R896">
            <v>1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  <cell r="N899" t="str">
            <v>ヒューマン</v>
          </cell>
          <cell r="O899" t="str">
            <v>none</v>
          </cell>
          <cell r="P899" t="str">
            <v>種族なし</v>
          </cell>
          <cell r="Q899" t="str">
            <v>アタッカー</v>
          </cell>
          <cell r="R899">
            <v>1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  <cell r="N1036" t="str">
            <v>Unknown</v>
          </cell>
          <cell r="O1036" t="str">
            <v>none</v>
          </cell>
          <cell r="P1036" t="str">
            <v>種族なし</v>
          </cell>
          <cell r="Q1036" t="str">
            <v>アタッカー</v>
          </cell>
          <cell r="R1036">
            <v>1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  <cell r="N1037" t="str">
            <v>Unknown</v>
          </cell>
          <cell r="O1037" t="str">
            <v>none</v>
          </cell>
          <cell r="P1037" t="str">
            <v>種族なし</v>
          </cell>
          <cell r="Q1037" t="str">
            <v>アタッカー</v>
          </cell>
          <cell r="R1037">
            <v>1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  <cell r="N1079" t="str">
            <v>アカデミア</v>
          </cell>
          <cell r="O1079" t="str">
            <v>unknown</v>
          </cell>
          <cell r="P1079" t="str">
            <v>Unknown</v>
          </cell>
          <cell r="Q1079" t="str">
            <v>アタッカー</v>
          </cell>
          <cell r="R1079">
            <v>1</v>
          </cell>
          <cell r="S1079" t="str">
            <v>NULL</v>
          </cell>
          <cell r="T1079" t="str">
            <v>nomal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  <cell r="N1343" t="str">
            <v>ヒューマン</v>
          </cell>
          <cell r="O1343" t="str">
            <v>none</v>
          </cell>
          <cell r="P1343" t="str">
            <v>種族なし</v>
          </cell>
          <cell r="R1343">
            <v>1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  <cell r="N1344" t="str">
            <v>ヒューマン</v>
          </cell>
          <cell r="O1344" t="str">
            <v>none</v>
          </cell>
          <cell r="P1344" t="str">
            <v>種族なし</v>
          </cell>
          <cell r="R1344">
            <v>1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  <cell r="N1347" t="str">
            <v>ヒューマン</v>
          </cell>
          <cell r="O1347" t="str">
            <v>none</v>
          </cell>
          <cell r="P1347" t="str">
            <v>種族なし</v>
          </cell>
          <cell r="R1347">
            <v>1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  <cell r="N1348" t="str">
            <v>ヒューマン</v>
          </cell>
          <cell r="O1348" t="str">
            <v>none</v>
          </cell>
          <cell r="P1348" t="str">
            <v>種族なし</v>
          </cell>
          <cell r="R1348">
            <v>1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1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1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1</v>
          </cell>
          <cell r="S1392" t="str">
            <v>NULL</v>
          </cell>
          <cell r="T1392" t="str">
            <v>normal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1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1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1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1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  <cell r="N1428" t="str">
            <v>ヒューマン</v>
          </cell>
          <cell r="O1428" t="str">
            <v>hero</v>
          </cell>
          <cell r="P1428" t="str">
            <v>ヒーロー</v>
          </cell>
          <cell r="R1428">
            <v>1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  <cell r="N1429" t="str">
            <v>ヒューマン</v>
          </cell>
          <cell r="O1429" t="str">
            <v>hero</v>
          </cell>
          <cell r="P1429" t="str">
            <v>ヒーロー</v>
          </cell>
          <cell r="R1429">
            <v>1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  <cell r="N1430" t="str">
            <v>ヒューマン</v>
          </cell>
          <cell r="O1430" t="str">
            <v>none</v>
          </cell>
          <cell r="P1430" t="str">
            <v>種族なし</v>
          </cell>
          <cell r="R1430">
            <v>1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  <cell r="N1431" t="str">
            <v>ヒューマン</v>
          </cell>
          <cell r="O1431" t="str">
            <v>none</v>
          </cell>
          <cell r="P1431" t="str">
            <v>種族なし</v>
          </cell>
          <cell r="R1431">
            <v>1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  <cell r="N1434" t="str">
            <v>ヒューマン</v>
          </cell>
          <cell r="O1434" t="str">
            <v>unknown</v>
          </cell>
          <cell r="P1434" t="str">
            <v>Unknown</v>
          </cell>
          <cell r="R1434">
            <v>1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  <cell r="N1435" t="str">
            <v>ヒューマン</v>
          </cell>
          <cell r="O1435" t="str">
            <v>unknown</v>
          </cell>
          <cell r="P1435" t="str">
            <v>Unknown</v>
          </cell>
          <cell r="R1435">
            <v>1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  <cell r="N1436" t="str">
            <v>ヒューマン</v>
          </cell>
          <cell r="O1436" t="str">
            <v>unknown</v>
          </cell>
          <cell r="P1436" t="str">
            <v>Unknown</v>
          </cell>
          <cell r="R1436">
            <v>1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  <cell r="N1437" t="str">
            <v>ヒューマン</v>
          </cell>
          <cell r="O1437" t="str">
            <v>unknown</v>
          </cell>
          <cell r="P1437" t="str">
            <v>Unknown</v>
          </cell>
          <cell r="R1437">
            <v>1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  <cell r="N1438" t="str">
            <v>Unknown</v>
          </cell>
          <cell r="O1438" t="str">
            <v>none</v>
          </cell>
          <cell r="P1438" t="str">
            <v>種族なし</v>
          </cell>
          <cell r="R1438">
            <v>1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  <cell r="N1439" t="str">
            <v>Unknown</v>
          </cell>
          <cell r="O1439" t="str">
            <v>hero</v>
          </cell>
          <cell r="P1439" t="str">
            <v>ヒーロー</v>
          </cell>
          <cell r="R1439">
            <v>1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1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1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ブーティカR4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  <cell r="N1442" t="str">
            <v>Unknown</v>
          </cell>
          <cell r="O1442" t="str">
            <v>hero</v>
          </cell>
          <cell r="P1442" t="str">
            <v>ヒーロー</v>
          </cell>
          <cell r="R1442">
            <v>1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ブーティカR5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  <cell r="N1443" t="str">
            <v>Unknown</v>
          </cell>
          <cell r="O1443" t="str">
            <v>human</v>
          </cell>
          <cell r="P1443" t="str">
            <v>ヒューマン</v>
          </cell>
          <cell r="R1443">
            <v>1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1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1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1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1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1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1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1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1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1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1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1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1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1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none</v>
          </cell>
          <cell r="P1552" t="str">
            <v>種族なし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none</v>
          </cell>
          <cell r="P1553" t="str">
            <v>種族なし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  <cell r="N1562" t="str">
            <v>アカデミア</v>
          </cell>
          <cell r="O1562" t="str">
            <v>none</v>
          </cell>
          <cell r="P1562" t="str">
            <v>種族なし</v>
          </cell>
          <cell r="Q1562" t="str">
            <v>アタッカー</v>
          </cell>
          <cell r="R1562">
            <v>1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  <cell r="N1563" t="str">
            <v>アカデミア</v>
          </cell>
          <cell r="O1563" t="str">
            <v>none</v>
          </cell>
          <cell r="P1563" t="str">
            <v>種族なし</v>
          </cell>
          <cell r="Q1563" t="str">
            <v>アタッカー</v>
          </cell>
          <cell r="R1563">
            <v>1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  <cell r="N1564" t="str">
            <v>ゴッド</v>
          </cell>
          <cell r="O1564" t="str">
            <v>animal</v>
          </cell>
          <cell r="P1564" t="str">
            <v>アニマル</v>
          </cell>
          <cell r="Q1564" t="str">
            <v>アタッカー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  <cell r="N1565" t="str">
            <v>ゴッド</v>
          </cell>
          <cell r="O1565" t="str">
            <v>animal</v>
          </cell>
          <cell r="P1565" t="str">
            <v>アニマル</v>
          </cell>
          <cell r="Q1565" t="str">
            <v>アタッカー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  <cell r="N1566" t="str">
            <v>アニマル</v>
          </cell>
          <cell r="O1566" t="str">
            <v>dragon</v>
          </cell>
          <cell r="P1566" t="str">
            <v>ドラゴン</v>
          </cell>
          <cell r="Q1566" t="str">
            <v>アタッカー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  <cell r="N1567" t="str">
            <v>アニマル</v>
          </cell>
          <cell r="O1567" t="str">
            <v>dragon</v>
          </cell>
          <cell r="P1567" t="str">
            <v>ドラゴン</v>
          </cell>
          <cell r="Q1567" t="str">
            <v>アタッカー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  <cell r="N1568" t="str">
            <v>デーモン</v>
          </cell>
          <cell r="O1568" t="str">
            <v>none</v>
          </cell>
          <cell r="P1568" t="str">
            <v>種族なし</v>
          </cell>
          <cell r="Q1568" t="str">
            <v>アタッカー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  <cell r="N1569" t="str">
            <v>デーモン</v>
          </cell>
          <cell r="O1569" t="str">
            <v>none</v>
          </cell>
          <cell r="P1569" t="str">
            <v>種族なし</v>
          </cell>
          <cell r="Q1569" t="str">
            <v>アタッカー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  <cell r="N1570" t="str">
            <v>ヒューマン</v>
          </cell>
          <cell r="O1570" t="str">
            <v>none</v>
          </cell>
          <cell r="P1570" t="str">
            <v>種族なし</v>
          </cell>
          <cell r="Q1570" t="str">
            <v>アタッカー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  <cell r="N1571" t="str">
            <v>ヒューマン</v>
          </cell>
          <cell r="O1571" t="str">
            <v>none</v>
          </cell>
          <cell r="P1571" t="str">
            <v>種族なし</v>
          </cell>
          <cell r="Q1571" t="str">
            <v>アタッカー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  <cell r="N1572" t="str">
            <v>Unknown</v>
          </cell>
          <cell r="O1572" t="str">
            <v>none</v>
          </cell>
          <cell r="P1572" t="str">
            <v>種族なし</v>
          </cell>
          <cell r="Q1572" t="str">
            <v>アタッカー</v>
          </cell>
          <cell r="R1572">
            <v>3</v>
          </cell>
          <cell r="S1572" t="str">
            <v>enemy_only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  <cell r="N1573" t="str">
            <v>ヒューマン</v>
          </cell>
          <cell r="O1573" t="str">
            <v>none</v>
          </cell>
          <cell r="P1573" t="str">
            <v>種族なし</v>
          </cell>
          <cell r="Q1573" t="str">
            <v>バッファー</v>
          </cell>
          <cell r="R1573">
            <v>3</v>
          </cell>
          <cell r="S1573" t="str">
            <v>enemy_only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  <cell r="N1574" t="str">
            <v>アニマル</v>
          </cell>
          <cell r="O1574" t="str">
            <v>god</v>
          </cell>
          <cell r="P1574" t="str">
            <v>ゴッド</v>
          </cell>
          <cell r="Q1574" t="str">
            <v>アタッカー</v>
          </cell>
          <cell r="R1574">
            <v>3</v>
          </cell>
          <cell r="S1574" t="str">
            <v>enemy_only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  <cell r="N1575" t="str">
            <v>アニマル</v>
          </cell>
          <cell r="O1575" t="str">
            <v>none</v>
          </cell>
          <cell r="P1575" t="str">
            <v>種族なし</v>
          </cell>
          <cell r="Q1575" t="str">
            <v>アタッカー</v>
          </cell>
          <cell r="R1575">
            <v>3</v>
          </cell>
          <cell r="S1575" t="str">
            <v>enemy_only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  <cell r="N1576" t="str">
            <v>ゴッド</v>
          </cell>
          <cell r="O1576" t="str">
            <v>none</v>
          </cell>
          <cell r="P1576" t="str">
            <v>種族なし</v>
          </cell>
          <cell r="Q1576" t="str">
            <v>アタッカー</v>
          </cell>
          <cell r="R1576">
            <v>3</v>
          </cell>
          <cell r="S1576" t="str">
            <v>enemy_only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  <cell r="N1577" t="str">
            <v>ゴッド</v>
          </cell>
          <cell r="O1577" t="str">
            <v>none</v>
          </cell>
          <cell r="P1577" t="str">
            <v>種族なし</v>
          </cell>
          <cell r="Q1577" t="str">
            <v>アタッカー</v>
          </cell>
          <cell r="R1577">
            <v>3</v>
          </cell>
          <cell r="S1577" t="str">
            <v>enemy_only</v>
          </cell>
          <cell r="T1577" t="str">
            <v>normal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  <cell r="N1578" t="str">
            <v>アニマル</v>
          </cell>
          <cell r="O1578" t="str">
            <v>none</v>
          </cell>
          <cell r="P1578" t="str">
            <v>種族なし</v>
          </cell>
          <cell r="Q1578" t="str">
            <v>バッファー</v>
          </cell>
          <cell r="R1578">
            <v>3</v>
          </cell>
          <cell r="S1578" t="str">
            <v>enemy_only</v>
          </cell>
          <cell r="T1578" t="str">
            <v>normal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  <cell r="N1579" t="str">
            <v>ゴッド</v>
          </cell>
          <cell r="O1579" t="str">
            <v>none</v>
          </cell>
          <cell r="P1579" t="str">
            <v>種族なし</v>
          </cell>
          <cell r="Q1579" t="str">
            <v>アタッカー</v>
          </cell>
          <cell r="R1579">
            <v>3</v>
          </cell>
          <cell r="S1579" t="str">
            <v>enemy_only</v>
          </cell>
          <cell r="T1579" t="str">
            <v>normal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  <cell r="N1580" t="str">
            <v>ヒューマン</v>
          </cell>
          <cell r="O1580" t="str">
            <v>none</v>
          </cell>
          <cell r="P1580" t="str">
            <v>種族なし</v>
          </cell>
          <cell r="Q1580" t="str">
            <v>アタッカー</v>
          </cell>
          <cell r="R1580">
            <v>3</v>
          </cell>
          <cell r="S1580" t="str">
            <v>enemy_only</v>
          </cell>
          <cell r="T1580" t="str">
            <v>normal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  <cell r="N1581" t="str">
            <v>ヒューマン</v>
          </cell>
          <cell r="O1581" t="str">
            <v>none</v>
          </cell>
          <cell r="P1581" t="str">
            <v>種族なし</v>
          </cell>
          <cell r="Q1581" t="str">
            <v>アタッカー</v>
          </cell>
          <cell r="R1581">
            <v>3</v>
          </cell>
          <cell r="S1581" t="str">
            <v>enemy_only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Q1582" t="str">
            <v>アタッカー</v>
          </cell>
          <cell r="R1582">
            <v>3</v>
          </cell>
          <cell r="S1582" t="str">
            <v>enemy_only</v>
          </cell>
          <cell r="T1582" t="str">
            <v>normal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  <cell r="N1583" t="str">
            <v>アニマル</v>
          </cell>
          <cell r="O1583" t="str">
            <v>none</v>
          </cell>
          <cell r="P1583" t="str">
            <v>種族なし</v>
          </cell>
          <cell r="Q1583" t="str">
            <v>アタッカー</v>
          </cell>
          <cell r="R1583">
            <v>3</v>
          </cell>
          <cell r="S1583" t="str">
            <v>enemy_only</v>
          </cell>
          <cell r="T1583" t="str">
            <v>normal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  <cell r="N1584" t="str">
            <v>マシン</v>
          </cell>
          <cell r="O1584" t="str">
            <v>none</v>
          </cell>
          <cell r="P1584" t="str">
            <v>種族なし</v>
          </cell>
          <cell r="Q1584" t="str">
            <v>アタッカー</v>
          </cell>
          <cell r="R1584">
            <v>3</v>
          </cell>
          <cell r="S1584" t="str">
            <v>enemy_only</v>
          </cell>
          <cell r="T1584" t="str">
            <v>normal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  <cell r="N1585" t="str">
            <v>アニマル</v>
          </cell>
          <cell r="O1585" t="str">
            <v>none</v>
          </cell>
          <cell r="P1585" t="str">
            <v>種族なし</v>
          </cell>
          <cell r="Q1585" t="str">
            <v>アタッカー</v>
          </cell>
          <cell r="R1585">
            <v>3</v>
          </cell>
          <cell r="S1585" t="str">
            <v>enemy_only</v>
          </cell>
          <cell r="T1585" t="str">
            <v>normal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  <cell r="N1586" t="str">
            <v>アニマル</v>
          </cell>
          <cell r="O1586" t="str">
            <v>none</v>
          </cell>
          <cell r="P1586" t="str">
            <v>種族なし</v>
          </cell>
          <cell r="Q1586" t="str">
            <v>アタッカー</v>
          </cell>
          <cell r="R1586">
            <v>3</v>
          </cell>
          <cell r="S1586" t="str">
            <v>enemy_only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  <cell r="N1587" t="str">
            <v>ヒューマン</v>
          </cell>
          <cell r="O1587" t="str">
            <v>none</v>
          </cell>
          <cell r="P1587" t="str">
            <v>種族なし</v>
          </cell>
          <cell r="Q1587" t="str">
            <v>アタッカー</v>
          </cell>
          <cell r="R1587">
            <v>3</v>
          </cell>
          <cell r="S1587" t="str">
            <v>enemy_only</v>
          </cell>
          <cell r="T1587" t="str">
            <v>normal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  <cell r="N1588" t="str">
            <v>ヒューマン</v>
          </cell>
          <cell r="O1588" t="str">
            <v>none</v>
          </cell>
          <cell r="P1588" t="str">
            <v>種族なし</v>
          </cell>
          <cell r="Q1588" t="str">
            <v>アタッカー</v>
          </cell>
          <cell r="R1588">
            <v>3</v>
          </cell>
          <cell r="S1588" t="str">
            <v>enemy_only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  <cell r="N1589" t="str">
            <v>アニマル</v>
          </cell>
          <cell r="O1589" t="str">
            <v>none</v>
          </cell>
          <cell r="P1589" t="str">
            <v>種族なし</v>
          </cell>
          <cell r="Q1589" t="str">
            <v>アタッカー</v>
          </cell>
          <cell r="R1589">
            <v>3</v>
          </cell>
          <cell r="S1589" t="str">
            <v>enemy_only</v>
          </cell>
          <cell r="T1589" t="str">
            <v>normal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  <cell r="N1590" t="str">
            <v>アニマル</v>
          </cell>
          <cell r="O1590" t="str">
            <v>none</v>
          </cell>
          <cell r="P1590" t="str">
            <v>種族なし</v>
          </cell>
          <cell r="Q1590" t="str">
            <v>アタッカー</v>
          </cell>
          <cell r="R1590">
            <v>3</v>
          </cell>
          <cell r="S1590" t="str">
            <v>enemy_only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  <cell r="N1591" t="str">
            <v>ドラゴン</v>
          </cell>
          <cell r="O1591" t="str">
            <v>none</v>
          </cell>
          <cell r="P1591" t="str">
            <v>種族なし</v>
          </cell>
          <cell r="Q1591" t="str">
            <v>アタッカー</v>
          </cell>
          <cell r="R1591">
            <v>3</v>
          </cell>
          <cell r="S1591" t="str">
            <v>enemy_only</v>
          </cell>
          <cell r="T1591" t="str">
            <v>normal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  <cell r="N1592" t="str">
            <v>ゴッド</v>
          </cell>
          <cell r="O1592" t="str">
            <v>none</v>
          </cell>
          <cell r="P1592" t="str">
            <v>種族なし</v>
          </cell>
          <cell r="Q1592" t="str">
            <v>アタッカー</v>
          </cell>
          <cell r="R1592">
            <v>3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  <cell r="N1593" t="str">
            <v>ゴッド</v>
          </cell>
          <cell r="O1593" t="str">
            <v>none</v>
          </cell>
          <cell r="P1593" t="str">
            <v>種族なし</v>
          </cell>
          <cell r="Q1593" t="str">
            <v>アタッカー</v>
          </cell>
          <cell r="R1593">
            <v>3</v>
          </cell>
          <cell r="S1593" t="str">
            <v>NULL</v>
          </cell>
          <cell r="T1593" t="str">
            <v>normal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  <cell r="N1594" t="str">
            <v>ドラゴン</v>
          </cell>
          <cell r="O1594" t="str">
            <v>none</v>
          </cell>
          <cell r="P1594" t="str">
            <v>種族なし</v>
          </cell>
          <cell r="Q1594" t="str">
            <v>アタッカー</v>
          </cell>
          <cell r="R1594">
            <v>3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  <cell r="N1595" t="str">
            <v>ドラゴン</v>
          </cell>
          <cell r="O1595" t="str">
            <v>none</v>
          </cell>
          <cell r="P1595" t="str">
            <v>種族なし</v>
          </cell>
          <cell r="Q1595" t="str">
            <v>アタッカー</v>
          </cell>
          <cell r="R1595">
            <v>3</v>
          </cell>
          <cell r="S1595" t="str">
            <v>NULL</v>
          </cell>
          <cell r="T1595" t="str">
            <v>normal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  <cell r="N1596" t="str">
            <v>ヒューマン</v>
          </cell>
          <cell r="O1596" t="str">
            <v>animal</v>
          </cell>
          <cell r="P1596" t="str">
            <v>アニマル</v>
          </cell>
          <cell r="Q1596" t="str">
            <v>アタッカー</v>
          </cell>
          <cell r="R1596">
            <v>3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  <cell r="N1597" t="str">
            <v>ヒューマン</v>
          </cell>
          <cell r="O1597" t="str">
            <v>animal</v>
          </cell>
          <cell r="P1597" t="str">
            <v>アニマル</v>
          </cell>
          <cell r="Q1597" t="str">
            <v>アタッカー</v>
          </cell>
          <cell r="R1597">
            <v>3</v>
          </cell>
          <cell r="S1597" t="str">
            <v>NULL</v>
          </cell>
          <cell r="T1597" t="str">
            <v>normal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  <cell r="N1598" t="str">
            <v>アニマル</v>
          </cell>
          <cell r="O1598" t="str">
            <v>none</v>
          </cell>
          <cell r="P1598" t="str">
            <v>種族なし</v>
          </cell>
          <cell r="Q1598" t="str">
            <v>アタッカー</v>
          </cell>
          <cell r="R1598">
            <v>3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  <cell r="N1599" t="str">
            <v>アニマル</v>
          </cell>
          <cell r="O1599" t="str">
            <v>none</v>
          </cell>
          <cell r="P1599" t="str">
            <v>種族なし</v>
          </cell>
          <cell r="Q1599" t="str">
            <v>アタッカー</v>
          </cell>
          <cell r="R1599">
            <v>3</v>
          </cell>
          <cell r="S1599" t="str">
            <v>NULL</v>
          </cell>
          <cell r="T1599" t="str">
            <v>normal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  <cell r="N1600" t="str">
            <v>ゴッド</v>
          </cell>
          <cell r="O1600" t="str">
            <v>machine</v>
          </cell>
          <cell r="P1600" t="str">
            <v>マシン</v>
          </cell>
          <cell r="Q1600" t="str">
            <v>アタッカー</v>
          </cell>
          <cell r="R1600">
            <v>3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  <cell r="N1601" t="str">
            <v>ゴッド</v>
          </cell>
          <cell r="O1601" t="str">
            <v>machine</v>
          </cell>
          <cell r="P1601" t="str">
            <v>マシン</v>
          </cell>
          <cell r="Q1601" t="str">
            <v>アタッカー</v>
          </cell>
          <cell r="R1601">
            <v>3</v>
          </cell>
          <cell r="S1601" t="str">
            <v>NULL</v>
          </cell>
          <cell r="T1601" t="str">
            <v>normal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  <cell r="N1602" t="str">
            <v>ゴッド</v>
          </cell>
          <cell r="O1602" t="str">
            <v>none</v>
          </cell>
          <cell r="P1602" t="str">
            <v>種族なし</v>
          </cell>
          <cell r="Q1602" t="str">
            <v>アタッカー</v>
          </cell>
          <cell r="R1602">
            <v>3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  <cell r="N1603" t="str">
            <v>ゴッド</v>
          </cell>
          <cell r="O1603" t="str">
            <v>none</v>
          </cell>
          <cell r="P1603" t="str">
            <v>種族なし</v>
          </cell>
          <cell r="Q1603" t="str">
            <v>アタッカー</v>
          </cell>
          <cell r="R1603">
            <v>3</v>
          </cell>
          <cell r="S1603" t="str">
            <v>NULL</v>
          </cell>
          <cell r="T1603" t="str">
            <v>normal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  <cell r="N1604" t="str">
            <v>Unknown</v>
          </cell>
          <cell r="O1604" t="str">
            <v>none</v>
          </cell>
          <cell r="P1604" t="str">
            <v>種族なし</v>
          </cell>
          <cell r="Q1604" t="str">
            <v>アタッカー</v>
          </cell>
          <cell r="R1604">
            <v>1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  <cell r="N1605" t="str">
            <v>Unknown</v>
          </cell>
          <cell r="O1605" t="str">
            <v>none</v>
          </cell>
          <cell r="P1605" t="str">
            <v>種族なし</v>
          </cell>
          <cell r="Q1605" t="str">
            <v>アタッカー</v>
          </cell>
          <cell r="R1605">
            <v>1</v>
          </cell>
          <cell r="S1605" t="str">
            <v>NULL</v>
          </cell>
          <cell r="T1605" t="str">
            <v>normal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Q1606" t="str">
            <v>アタッカー</v>
          </cell>
          <cell r="R1606">
            <v>1</v>
          </cell>
          <cell r="S1606" t="str">
            <v>NULL</v>
          </cell>
          <cell r="T1606" t="str">
            <v>normal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Q1607" t="str">
            <v>アタッカー</v>
          </cell>
          <cell r="R1607">
            <v>1</v>
          </cell>
          <cell r="S1607" t="str">
            <v>NULL</v>
          </cell>
          <cell r="T1607" t="str">
            <v>normal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Q1608" t="str">
            <v>アタッカー</v>
          </cell>
          <cell r="R1608">
            <v>1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  <cell r="N1609" t="str">
            <v>Unknown</v>
          </cell>
          <cell r="O1609" t="str">
            <v>none</v>
          </cell>
          <cell r="P1609" t="str">
            <v>種族なし</v>
          </cell>
          <cell r="Q1609" t="str">
            <v>アタッカー</v>
          </cell>
          <cell r="R1609">
            <v>1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  <cell r="N1610" t="str">
            <v>Unknown</v>
          </cell>
          <cell r="O1610" t="str">
            <v>none</v>
          </cell>
          <cell r="P1610" t="str">
            <v>種族なし</v>
          </cell>
          <cell r="Q1610" t="str">
            <v>アタッカー</v>
          </cell>
          <cell r="R1610">
            <v>1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  <cell r="N1611" t="str">
            <v>Unknown</v>
          </cell>
          <cell r="O1611" t="str">
            <v>none</v>
          </cell>
          <cell r="P1611" t="str">
            <v>種族なし</v>
          </cell>
          <cell r="Q1611" t="str">
            <v>アタッカー</v>
          </cell>
          <cell r="R1611">
            <v>1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  <cell r="N1612" t="str">
            <v>Unknown</v>
          </cell>
          <cell r="O1612" t="str">
            <v>none</v>
          </cell>
          <cell r="P1612" t="str">
            <v>種族なし</v>
          </cell>
          <cell r="Q1612" t="str">
            <v>アタッカー</v>
          </cell>
          <cell r="R1612">
            <v>1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  <cell r="N1613" t="str">
            <v>Unknown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  <cell r="N1614" t="str">
            <v>Unknown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  <cell r="N1615" t="str">
            <v>Unknown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  <cell r="N1616" t="str">
            <v>Unknown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  <cell r="N1617" t="str">
            <v>Unknown</v>
          </cell>
          <cell r="O1617" t="str">
            <v>none</v>
          </cell>
          <cell r="P1617" t="str">
            <v>種族なし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none</v>
          </cell>
          <cell r="P1618" t="str">
            <v>種族なし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  <cell r="N1619" t="str">
            <v>Unknown</v>
          </cell>
          <cell r="O1619" t="str">
            <v>none</v>
          </cell>
          <cell r="P1619" t="str">
            <v>種族なし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  <cell r="N1620" t="str">
            <v>Unknown</v>
          </cell>
          <cell r="O1620" t="str">
            <v>none</v>
          </cell>
          <cell r="P1620" t="str">
            <v>種族なし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1</v>
          </cell>
          <cell r="S1621" t="str">
            <v>NULL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  <cell r="N1622" t="str">
            <v>ゴッド</v>
          </cell>
          <cell r="O1622" t="str">
            <v>machine</v>
          </cell>
          <cell r="P1622" t="str">
            <v>マシン</v>
          </cell>
          <cell r="Q1622" t="str">
            <v>アタッカー</v>
          </cell>
          <cell r="R1622">
            <v>3</v>
          </cell>
          <cell r="S1622" t="str">
            <v>NULL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  <cell r="N1623" t="str">
            <v>ゴッド</v>
          </cell>
          <cell r="O1623" t="str">
            <v>machine</v>
          </cell>
          <cell r="P1623" t="str">
            <v>マシン</v>
          </cell>
          <cell r="Q1623" t="str">
            <v>アタッカー</v>
          </cell>
          <cell r="R1623">
            <v>3</v>
          </cell>
          <cell r="S1623" t="str">
            <v>NULL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  <cell r="N1624" t="str">
            <v>ゴッド</v>
          </cell>
          <cell r="O1624" t="str">
            <v>animal</v>
          </cell>
          <cell r="P1624" t="str">
            <v>アニマル</v>
          </cell>
          <cell r="Q1624" t="str">
            <v>アタッカー</v>
          </cell>
          <cell r="R1624">
            <v>3</v>
          </cell>
          <cell r="S1624" t="str">
            <v>NULL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  <cell r="N1625" t="str">
            <v>ゴッド</v>
          </cell>
          <cell r="O1625" t="str">
            <v>animal</v>
          </cell>
          <cell r="P1625" t="str">
            <v>アニマル</v>
          </cell>
          <cell r="Q1625" t="str">
            <v>アタッカー</v>
          </cell>
          <cell r="R1625">
            <v>3</v>
          </cell>
          <cell r="S1625" t="str">
            <v>NULL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  <cell r="N1626" t="str">
            <v>ヒューマン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1</v>
          </cell>
          <cell r="S1626" t="str">
            <v>NULL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  <cell r="N1627" t="str">
            <v>ヒューマン</v>
          </cell>
          <cell r="O1627" t="str">
            <v>none</v>
          </cell>
          <cell r="P1627" t="str">
            <v>種族なし</v>
          </cell>
          <cell r="Q1627" t="str">
            <v>アタッカー</v>
          </cell>
          <cell r="R1627">
            <v>1</v>
          </cell>
          <cell r="S1627" t="str">
            <v>NULL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  <cell r="N1628" t="str">
            <v>ヒューマン</v>
          </cell>
          <cell r="O1628" t="str">
            <v>machine</v>
          </cell>
          <cell r="P1628" t="str">
            <v>マシン</v>
          </cell>
          <cell r="Q1628" t="str">
            <v>アタッカー</v>
          </cell>
          <cell r="R1628">
            <v>1</v>
          </cell>
          <cell r="S1628" t="str">
            <v>NULL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  <cell r="N1629" t="str">
            <v>ヒューマン</v>
          </cell>
          <cell r="O1629" t="str">
            <v>machine</v>
          </cell>
          <cell r="P1629" t="str">
            <v>マシン</v>
          </cell>
          <cell r="Q1629" t="str">
            <v>アタッカー</v>
          </cell>
          <cell r="R1629">
            <v>1</v>
          </cell>
          <cell r="S1629" t="str">
            <v>NULL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  <cell r="N1630" t="str">
            <v>ゴッド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1</v>
          </cell>
          <cell r="S1630" t="str">
            <v>NULL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  <cell r="N1631" t="str">
            <v>ゴッド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1</v>
          </cell>
          <cell r="S1631" t="str">
            <v>NULL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  <cell r="N1632" t="str">
            <v>ゴッド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1</v>
          </cell>
          <cell r="S1632" t="str">
            <v>NULL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  <cell r="N1633" t="str">
            <v>ゴッド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1</v>
          </cell>
          <cell r="S1633" t="str">
            <v>NULL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  <cell r="N1634" t="str">
            <v>サンリオキャラクターズ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1</v>
          </cell>
          <cell r="S1634" t="str">
            <v>NULL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  <cell r="N1635" t="str">
            <v>サンリオキャラクターズ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1</v>
          </cell>
          <cell r="S1635" t="str">
            <v>NULL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  <cell r="N1636" t="str">
            <v>サンリオキャラクターズ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1</v>
          </cell>
          <cell r="S1636" t="str">
            <v>NULL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  <cell r="N1637" t="str">
            <v>サンリオキャラクターズ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1</v>
          </cell>
          <cell r="S1637" t="str">
            <v>NULL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  <cell r="N1638" t="str">
            <v>サンリオキャラクターズ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1</v>
          </cell>
          <cell r="S1638" t="str">
            <v>NULL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  <cell r="N1639" t="str">
            <v>サンリオキャラクターズ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1</v>
          </cell>
          <cell r="S1639" t="str">
            <v>NULL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  <cell r="N1640" t="str">
            <v>サンリオキャラクターズ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1</v>
          </cell>
          <cell r="S1640" t="str">
            <v>NULL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  <cell r="N1641" t="str">
            <v>サンリオキャラクターズ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1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  <cell r="N1642" t="str">
            <v>サンリオキャラクターズ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1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  <cell r="N1643" t="str">
            <v>サンリオキャラクターズ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1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  <cell r="N1644" t="str">
            <v>サンリオキャラクターズ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1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  <cell r="N1645" t="str">
            <v>サンリオキャラクターズ</v>
          </cell>
          <cell r="O1645" t="str">
            <v>none</v>
          </cell>
          <cell r="P1645" t="str">
            <v>種族なし</v>
          </cell>
          <cell r="Q1645" t="str">
            <v>アタッカー</v>
          </cell>
          <cell r="R1645">
            <v>1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  <cell r="N1646" t="str">
            <v>サンリオキャラクターズ</v>
          </cell>
          <cell r="O1646" t="str">
            <v>none</v>
          </cell>
          <cell r="P1646" t="str">
            <v>種族なし</v>
          </cell>
          <cell r="Q1646" t="str">
            <v>アタッカー</v>
          </cell>
          <cell r="R1646">
            <v>1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  <cell r="N1647" t="str">
            <v>サンリオキャラクターズ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1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  <cell r="N1648" t="str">
            <v>サンリオキャラクターズ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1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  <cell r="N1649" t="str">
            <v>サンリオキャラクターズ</v>
          </cell>
          <cell r="O1649" t="str">
            <v>none</v>
          </cell>
          <cell r="P1649" t="str">
            <v>種族なし</v>
          </cell>
          <cell r="Q1649" t="str">
            <v>アタッカー</v>
          </cell>
          <cell r="R1649">
            <v>1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  <cell r="N1650" t="str">
            <v>サンリオキャラクターズ</v>
          </cell>
          <cell r="O1650" t="str">
            <v>none</v>
          </cell>
          <cell r="P1650" t="str">
            <v>種族なし</v>
          </cell>
          <cell r="Q1650" t="str">
            <v>アタッカー</v>
          </cell>
          <cell r="R1650">
            <v>1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  <cell r="N1651" t="str">
            <v>サンリオキャラクターズ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1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  <cell r="N1652" t="str">
            <v>サンリオキャラクターズ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1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  <cell r="N1653" t="str">
            <v>サンリオキャラクターズ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  <cell r="N1654" t="str">
            <v>サンリオキャラクターズ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  <cell r="N1655" t="str">
            <v>サンリオキャラクターズ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  <cell r="N1656" t="str">
            <v>サンリオキャラクターズ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  <cell r="N1657" t="str">
            <v>サンリオキャラクターズ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  <cell r="N1658" t="str">
            <v>サンリオキャラクターズ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  <cell r="N1659" t="str">
            <v>サンリオキャラクターズ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  <cell r="N1660" t="str">
            <v>サンリオキャラクターズ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  <cell r="N1661" t="str">
            <v>サンリオキャラクターズ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  <cell r="N1662" t="str">
            <v>サンリオキャラクターズ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  <cell r="N1663" t="str">
            <v>サンリオキャラクターズ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  <cell r="N1664" t="str">
            <v>ヒューマン</v>
          </cell>
          <cell r="O1664" t="str">
            <v>machine</v>
          </cell>
          <cell r="P1664" t="str">
            <v>マシン</v>
          </cell>
          <cell r="Q1664" t="str">
            <v>アタッカー</v>
          </cell>
          <cell r="R1664">
            <v>3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  <cell r="N1665" t="str">
            <v>ドラゴン</v>
          </cell>
          <cell r="O1665" t="str">
            <v>unknown</v>
          </cell>
          <cell r="P1665" t="str">
            <v>Unknown</v>
          </cell>
          <cell r="Q1665" t="str">
            <v>アタッカー</v>
          </cell>
          <cell r="R1665">
            <v>3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8075</v>
          </cell>
          <cell r="B1666" t="str">
            <v>ja</v>
          </cell>
          <cell r="C1666" t="str">
            <v>三蔵法師_超覚醒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  <cell r="N1666" t="str">
            <v>ゴッド</v>
          </cell>
          <cell r="O1666" t="str">
            <v>animal</v>
          </cell>
          <cell r="P1666" t="str">
            <v>アニマル</v>
          </cell>
          <cell r="Q1666" t="str">
            <v>アタッカー</v>
          </cell>
          <cell r="R1666">
            <v>3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8076</v>
          </cell>
          <cell r="B1667" t="str">
            <v>ja</v>
          </cell>
          <cell r="C1667" t="str">
            <v>孫悟空_超覚醒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  <cell r="N1667" t="str">
            <v>Unknown</v>
          </cell>
          <cell r="O1667" t="str">
            <v>hero</v>
          </cell>
          <cell r="P1667" t="str">
            <v>ヒーロー</v>
          </cell>
          <cell r="Q1667" t="str">
            <v>アタッカー</v>
          </cell>
          <cell r="R1667">
            <v>3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  <cell r="N1668" t="str">
            <v>ヒューマン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  <cell r="N1669" t="str">
            <v>ヒューマン</v>
          </cell>
          <cell r="O1669" t="str">
            <v>hero</v>
          </cell>
          <cell r="P1669" t="str">
            <v>ヒーロー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  <cell r="N1670" t="str">
            <v>ドラゴン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  <cell r="N1671" t="str">
            <v>ドラゴン</v>
          </cell>
          <cell r="O1671" t="str">
            <v>unknown</v>
          </cell>
          <cell r="P1671" t="str">
            <v>Unknown</v>
          </cell>
          <cell r="Q1671" t="str">
            <v>アタッカー</v>
          </cell>
          <cell r="R1671">
            <v>1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  <cell r="N1672" t="str">
            <v>サムライ</v>
          </cell>
          <cell r="O1672" t="str">
            <v>human</v>
          </cell>
          <cell r="P1672" t="str">
            <v>ヒューマン</v>
          </cell>
          <cell r="Q1672" t="str">
            <v>アタッカー</v>
          </cell>
          <cell r="R1672">
            <v>1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  <cell r="N1673" t="str">
            <v>サムライ</v>
          </cell>
          <cell r="O1673" t="str">
            <v>human</v>
          </cell>
          <cell r="P1673" t="str">
            <v>ヒューマン</v>
          </cell>
          <cell r="Q1673" t="str">
            <v>アタッカー</v>
          </cell>
          <cell r="R1673">
            <v>1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  <cell r="N1674" t="str">
            <v>サムライ</v>
          </cell>
          <cell r="O1674" t="str">
            <v>human</v>
          </cell>
          <cell r="P1674" t="str">
            <v>ヒューマン</v>
          </cell>
          <cell r="Q1674" t="str">
            <v>アタッカー</v>
          </cell>
          <cell r="R1674">
            <v>1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  <cell r="N1675" t="str">
            <v>サムライ</v>
          </cell>
          <cell r="O1675" t="str">
            <v>human</v>
          </cell>
          <cell r="P1675" t="str">
            <v>ヒューマン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8085</v>
          </cell>
          <cell r="B1676" t="str">
            <v>ja</v>
          </cell>
          <cell r="C1676" t="str">
            <v>西王娘娘_超覚醒</v>
          </cell>
          <cell r="H1676" t="str">
            <v>yellow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  <cell r="N1676" t="str">
            <v>ゴッド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3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8086</v>
          </cell>
          <cell r="B1677" t="str">
            <v>ja</v>
          </cell>
          <cell r="C1677" t="str">
            <v>月下老人_超覚醒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  <cell r="N1677" t="str">
            <v>ゴッド</v>
          </cell>
          <cell r="O1677" t="str">
            <v>animal</v>
          </cell>
          <cell r="P1677" t="str">
            <v>アニマル</v>
          </cell>
          <cell r="Q1677" t="str">
            <v>アタッカー</v>
          </cell>
          <cell r="R1677">
            <v>3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  <cell r="N1678" t="str">
            <v>ゴッド</v>
          </cell>
          <cell r="O1678" t="str">
            <v>none</v>
          </cell>
          <cell r="P1678" t="str">
            <v>種族なし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1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  <cell r="N1680" t="str">
            <v>アニマル</v>
          </cell>
          <cell r="O1680" t="str">
            <v>unknown</v>
          </cell>
          <cell r="P1680" t="str">
            <v>Unknown</v>
          </cell>
          <cell r="Q1680" t="str">
            <v>アタッカー</v>
          </cell>
          <cell r="R1680">
            <v>1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  <cell r="N1681" t="str">
            <v>アニマル</v>
          </cell>
          <cell r="O1681" t="str">
            <v>unknown</v>
          </cell>
          <cell r="P1681" t="str">
            <v>Unknown</v>
          </cell>
          <cell r="Q1681" t="str">
            <v>アタッカー</v>
          </cell>
          <cell r="R1681">
            <v>1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  <cell r="N1682" t="str">
            <v>Unknown</v>
          </cell>
          <cell r="O1682" t="str">
            <v>none</v>
          </cell>
          <cell r="P1682" t="str">
            <v>種族なし</v>
          </cell>
          <cell r="Q1682" t="str">
            <v>強化素材</v>
          </cell>
          <cell r="R1682">
            <v>1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  <cell r="N1683" t="str">
            <v>Unknown</v>
          </cell>
          <cell r="O1683" t="str">
            <v>none</v>
          </cell>
          <cell r="P1683" t="str">
            <v>種族なし</v>
          </cell>
          <cell r="Q1683" t="str">
            <v>強化素材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  <cell r="N1684" t="str">
            <v>Unknown</v>
          </cell>
          <cell r="O1684" t="str">
            <v>none</v>
          </cell>
          <cell r="P1684" t="str">
            <v>種族なし</v>
          </cell>
          <cell r="Q1684" t="str">
            <v>強化素材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  <cell r="N1685" t="str">
            <v>Unknown</v>
          </cell>
          <cell r="O1685" t="str">
            <v>none</v>
          </cell>
          <cell r="P1685" t="str">
            <v>種族なし</v>
          </cell>
          <cell r="Q1685" t="str">
            <v>強化素材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  <cell r="N1686" t="str">
            <v>ゴッド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  <cell r="N1687" t="str">
            <v>ゴッド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  <cell r="N1688" t="str">
            <v>ゴッド</v>
          </cell>
          <cell r="O1688" t="str">
            <v>machine</v>
          </cell>
          <cell r="P1688" t="str">
            <v>マシン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  <cell r="N1689" t="str">
            <v>ゴッド</v>
          </cell>
          <cell r="O1689" t="str">
            <v>machine</v>
          </cell>
          <cell r="P1689" t="str">
            <v>マシン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  <cell r="N1690" t="str">
            <v>ゴッド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  <cell r="N1691" t="str">
            <v>ゴッド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  <cell r="N1692" t="str">
            <v>ゴッド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  <cell r="N1693" t="str">
            <v>ゴッド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  <cell r="N1694" t="str">
            <v>ヒューマン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  <cell r="N1695" t="str">
            <v>ヒューマン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  <cell r="N1696" t="str">
            <v>ドラゴン</v>
          </cell>
          <cell r="O1696" t="str">
            <v>human</v>
          </cell>
          <cell r="P1696" t="str">
            <v>ヒューマン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  <cell r="N1697" t="str">
            <v>ドラゴン</v>
          </cell>
          <cell r="O1697" t="str">
            <v>human</v>
          </cell>
          <cell r="P1697" t="str">
            <v>ヒューマン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  <cell r="N1698" t="str">
            <v>デーモン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  <cell r="N1699" t="str">
            <v>デーモン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  <cell r="N1700" t="str">
            <v>ヒーロー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  <cell r="N1701" t="str">
            <v>ヒーロー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  <cell r="N1702" t="str">
            <v>ヒューマン</v>
          </cell>
          <cell r="O1702" t="str">
            <v>samurai</v>
          </cell>
          <cell r="P1702" t="str">
            <v>サムライ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  <cell r="N1703" t="str">
            <v>アニマル</v>
          </cell>
          <cell r="O1703" t="str">
            <v>none</v>
          </cell>
          <cell r="P1703" t="str">
            <v>種族なし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  <cell r="N1704" t="str">
            <v>アカデミア</v>
          </cell>
          <cell r="O1704" t="str">
            <v>hero</v>
          </cell>
          <cell r="P1704" t="str">
            <v>ヒーロー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  <cell r="N1705" t="str">
            <v>アカデミア</v>
          </cell>
          <cell r="O1705" t="str">
            <v>hero</v>
          </cell>
          <cell r="P1705" t="str">
            <v>ヒーロー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  <cell r="N1706" t="str">
            <v>ヒューマン</v>
          </cell>
          <cell r="O1706" t="str">
            <v>samurai</v>
          </cell>
          <cell r="P1706" t="str">
            <v>サムライ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  <cell r="N1707" t="str">
            <v>アニマル</v>
          </cell>
          <cell r="O1707" t="str">
            <v>none</v>
          </cell>
          <cell r="P1707" t="str">
            <v>種族なし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  <cell r="N1708" t="str">
            <v>マシン</v>
          </cell>
          <cell r="O1708" t="str">
            <v>god</v>
          </cell>
          <cell r="P1708" t="str">
            <v>ゴッド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  <cell r="N1709" t="str">
            <v>マシン</v>
          </cell>
          <cell r="O1709" t="str">
            <v>god</v>
          </cell>
          <cell r="P1709" t="str">
            <v>ゴッド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  <cell r="N1710" t="str">
            <v>ヒューマン</v>
          </cell>
          <cell r="O1710" t="str">
            <v>none</v>
          </cell>
          <cell r="P1710" t="str">
            <v>種族なし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  <cell r="N1711" t="str">
            <v>ヒューマン</v>
          </cell>
          <cell r="O1711" t="str">
            <v>queen</v>
          </cell>
          <cell r="P1711" t="str">
            <v>QUEEN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  <cell r="N1712" t="str">
            <v>ヒューマン</v>
          </cell>
          <cell r="O1712" t="str">
            <v>god</v>
          </cell>
          <cell r="P1712" t="str">
            <v>ゴッド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  <cell r="N1713" t="str">
            <v>ヒューマン</v>
          </cell>
          <cell r="O1713" t="str">
            <v>god</v>
          </cell>
          <cell r="P1713" t="str">
            <v>ゴッド</v>
          </cell>
          <cell r="R1713">
            <v>1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none</v>
          </cell>
          <cell r="P1714" t="str">
            <v>種族なし</v>
          </cell>
          <cell r="R1714">
            <v>1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  <cell r="N1715" t="str">
            <v>ドラゴン</v>
          </cell>
          <cell r="O1715" t="str">
            <v>none</v>
          </cell>
          <cell r="P1715" t="str">
            <v>種族なし</v>
          </cell>
          <cell r="R1715">
            <v>1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  <cell r="N1716" t="str">
            <v>ヒューマン</v>
          </cell>
          <cell r="O1716" t="str">
            <v>unknown</v>
          </cell>
          <cell r="P1716" t="str">
            <v>Unknown</v>
          </cell>
          <cell r="R1716">
            <v>1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  <cell r="N1717" t="str">
            <v>ヒューマン</v>
          </cell>
          <cell r="O1717" t="str">
            <v>unknown</v>
          </cell>
          <cell r="P1717" t="str">
            <v>Unknown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  <cell r="N1718" t="str">
            <v>Unknown</v>
          </cell>
          <cell r="O1718" t="str">
            <v>none</v>
          </cell>
          <cell r="P1718" t="str">
            <v>種族なし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  <cell r="N1719" t="str">
            <v>Unknown</v>
          </cell>
          <cell r="O1719" t="str">
            <v>none</v>
          </cell>
          <cell r="P1719" t="str">
            <v>種族なし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  <cell r="N1720" t="str">
            <v>Unknown</v>
          </cell>
          <cell r="O1720" t="str">
            <v>none</v>
          </cell>
          <cell r="P1720" t="str">
            <v>種族なし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  <cell r="N1721" t="str">
            <v>Unknown</v>
          </cell>
          <cell r="O1721" t="str">
            <v>none</v>
          </cell>
          <cell r="P1721" t="str">
            <v>種族なし</v>
          </cell>
          <cell r="R1721">
            <v>1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  <cell r="N1722" t="str">
            <v>デーモン</v>
          </cell>
          <cell r="O1722" t="str">
            <v>none</v>
          </cell>
          <cell r="P1722" t="str">
            <v>種族なし</v>
          </cell>
          <cell r="R1722">
            <v>1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  <cell r="N1723" t="str">
            <v>デーモン</v>
          </cell>
          <cell r="O1723" t="str">
            <v>none</v>
          </cell>
          <cell r="P1723" t="str">
            <v>種族なし</v>
          </cell>
          <cell r="R1723">
            <v>1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  <cell r="N1724" t="str">
            <v>ドラゴン</v>
          </cell>
          <cell r="O1724" t="str">
            <v>samurai</v>
          </cell>
          <cell r="P1724" t="str">
            <v>サムライ</v>
          </cell>
          <cell r="R1724">
            <v>1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hp</v>
          </cell>
          <cell r="L1725" t="str">
            <v>体力タイプ</v>
          </cell>
          <cell r="M1725" t="str">
            <v>dragon</v>
          </cell>
          <cell r="N1725" t="str">
            <v>ドラゴン</v>
          </cell>
          <cell r="O1725" t="str">
            <v>samurai</v>
          </cell>
          <cell r="P1725" t="str">
            <v>サムライ</v>
          </cell>
          <cell r="R1725">
            <v>1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  <cell r="N1726" t="str">
            <v>ドラゴン</v>
          </cell>
          <cell r="O1726" t="str">
            <v>machine</v>
          </cell>
          <cell r="P1726" t="str">
            <v>マシン</v>
          </cell>
          <cell r="R1726">
            <v>1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10026</v>
          </cell>
          <cell r="B1727" t="str">
            <v>ja</v>
          </cell>
          <cell r="C1727" t="str">
            <v>テストユニット26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  <cell r="N1727" t="str">
            <v>ドラゴン</v>
          </cell>
          <cell r="O1727" t="str">
            <v>machine</v>
          </cell>
          <cell r="P1727" t="str">
            <v>マシン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  <cell r="N1728" t="str">
            <v>Unknown</v>
          </cell>
          <cell r="O1728" t="str">
            <v>none</v>
          </cell>
          <cell r="P1728" t="str">
            <v>種族なし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  <cell r="N1729" t="str">
            <v>Unknown</v>
          </cell>
          <cell r="O1729" t="str">
            <v>none</v>
          </cell>
          <cell r="P1729" t="str">
            <v>種族なし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  <cell r="N1730" t="str">
            <v>Unknown</v>
          </cell>
          <cell r="O1730" t="str">
            <v>none</v>
          </cell>
          <cell r="P1730" t="str">
            <v>種族なし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  <cell r="N1735" t="str">
            <v>Unknown</v>
          </cell>
          <cell r="O1735" t="str">
            <v>none</v>
          </cell>
          <cell r="P1735" t="str">
            <v>種族なし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  <cell r="N1736" t="str">
            <v>Unknown</v>
          </cell>
          <cell r="O1736" t="str">
            <v>none</v>
          </cell>
          <cell r="P1736" t="str">
            <v>種族なし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  <cell r="N1737" t="str">
            <v>Unknown</v>
          </cell>
          <cell r="O1737" t="str">
            <v>none</v>
          </cell>
          <cell r="P1737" t="str">
            <v>種族なし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  <cell r="N1738" t="str">
            <v>Unknown</v>
          </cell>
          <cell r="O1738" t="str">
            <v>none</v>
          </cell>
          <cell r="P1738" t="str">
            <v>種族なし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  <cell r="N1739" t="str">
            <v>Unknown</v>
          </cell>
          <cell r="O1739" t="str">
            <v>none</v>
          </cell>
          <cell r="P1739" t="str">
            <v>種族なし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  <cell r="N1740" t="str">
            <v>Unknown</v>
          </cell>
          <cell r="O1740" t="str">
            <v>none</v>
          </cell>
          <cell r="P1740" t="str">
            <v>種族なし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  <cell r="N1741" t="str">
            <v>Unknown</v>
          </cell>
          <cell r="O1741" t="str">
            <v>none</v>
          </cell>
          <cell r="P1741" t="str">
            <v>種族なし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  <cell r="N1742" t="str">
            <v>Unknown</v>
          </cell>
          <cell r="O1742" t="str">
            <v>none</v>
          </cell>
          <cell r="P1742" t="str">
            <v>種族なし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  <cell r="N1743" t="str">
            <v>Unknown</v>
          </cell>
          <cell r="O1743" t="str">
            <v>none</v>
          </cell>
          <cell r="P1743" t="str">
            <v>種族なし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  <cell r="N1744" t="str">
            <v>Unknown</v>
          </cell>
          <cell r="O1744" t="str">
            <v>none</v>
          </cell>
          <cell r="P1744" t="str">
            <v>種族なし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  <cell r="N1745" t="str">
            <v>Unknown</v>
          </cell>
          <cell r="O1745" t="str">
            <v>none</v>
          </cell>
          <cell r="P1745" t="str">
            <v>種族なし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  <cell r="N1746" t="str">
            <v>Unknown</v>
          </cell>
          <cell r="O1746" t="str">
            <v>none</v>
          </cell>
          <cell r="P1746" t="str">
            <v>種族なし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  <cell r="N1747" t="str">
            <v>Unknown</v>
          </cell>
          <cell r="O1747" t="str">
            <v>none</v>
          </cell>
          <cell r="P1747" t="str">
            <v>種族なし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  <cell r="N1748" t="str">
            <v>Unknown</v>
          </cell>
          <cell r="O1748" t="str">
            <v>none</v>
          </cell>
          <cell r="P1748" t="str">
            <v>種族なし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  <cell r="N1749" t="str">
            <v>Unknown</v>
          </cell>
          <cell r="O1749" t="str">
            <v>none</v>
          </cell>
          <cell r="P1749" t="str">
            <v>種族なし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  <cell r="N1750" t="str">
            <v>Unknown</v>
          </cell>
          <cell r="O1750" t="str">
            <v>none</v>
          </cell>
          <cell r="P1750" t="str">
            <v>種族なし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  <cell r="N1751" t="str">
            <v>Unknown</v>
          </cell>
          <cell r="O1751" t="str">
            <v>none</v>
          </cell>
          <cell r="P1751" t="str">
            <v>種族なし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  <cell r="N1752" t="str">
            <v>Unknown</v>
          </cell>
          <cell r="O1752" t="str">
            <v>none</v>
          </cell>
          <cell r="P1752" t="str">
            <v>種族なし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  <cell r="N1753" t="str">
            <v>Unknown</v>
          </cell>
          <cell r="O1753" t="str">
            <v>none</v>
          </cell>
          <cell r="P1753" t="str">
            <v>種族なし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  <cell r="N1754" t="str">
            <v>Unknown</v>
          </cell>
          <cell r="O1754" t="str">
            <v>none</v>
          </cell>
          <cell r="P1754" t="str">
            <v>種族なし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  <cell r="N1755" t="str">
            <v>Unknown</v>
          </cell>
          <cell r="O1755" t="str">
            <v>none</v>
          </cell>
          <cell r="P1755" t="str">
            <v>種族なし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  <cell r="N1756" t="str">
            <v>Unknown</v>
          </cell>
          <cell r="O1756" t="str">
            <v>none</v>
          </cell>
          <cell r="P1756" t="str">
            <v>種族なし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  <cell r="N1757" t="str">
            <v>Unknown</v>
          </cell>
          <cell r="O1757" t="str">
            <v>none</v>
          </cell>
          <cell r="P1757" t="str">
            <v>種族なし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  <cell r="N1758" t="str">
            <v>Unknown</v>
          </cell>
          <cell r="O1758" t="str">
            <v>none</v>
          </cell>
          <cell r="P1758" t="str">
            <v>種族なし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  <cell r="N1759" t="str">
            <v>Unknown</v>
          </cell>
          <cell r="O1759" t="str">
            <v>none</v>
          </cell>
          <cell r="P1759" t="str">
            <v>種族なし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  <cell r="N1760" t="str">
            <v>Unknown</v>
          </cell>
          <cell r="O1760" t="str">
            <v>none</v>
          </cell>
          <cell r="P1760" t="str">
            <v>種族なし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  <cell r="N1761" t="str">
            <v>Unknown</v>
          </cell>
          <cell r="O1761" t="str">
            <v>none</v>
          </cell>
          <cell r="P1761" t="str">
            <v>種族なし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  <cell r="N1762" t="str">
            <v>Unknown</v>
          </cell>
          <cell r="O1762" t="str">
            <v>none</v>
          </cell>
          <cell r="P1762" t="str">
            <v>種族なし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  <cell r="N1763" t="str">
            <v>Unknown</v>
          </cell>
          <cell r="O1763" t="str">
            <v>none</v>
          </cell>
          <cell r="P1763" t="str">
            <v>種族なし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  <cell r="N1764" t="str">
            <v>Unknown</v>
          </cell>
          <cell r="O1764" t="str">
            <v>none</v>
          </cell>
          <cell r="P1764" t="str">
            <v>種族なし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  <cell r="N1765" t="str">
            <v>Unknown</v>
          </cell>
          <cell r="O1765" t="str">
            <v>none</v>
          </cell>
          <cell r="P1765" t="str">
            <v>種族なし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  <cell r="N1766" t="str">
            <v>Unknown</v>
          </cell>
          <cell r="O1766" t="str">
            <v>none</v>
          </cell>
          <cell r="P1766" t="str">
            <v>種族なし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  <cell r="N1767" t="str">
            <v>Unknown</v>
          </cell>
          <cell r="O1767" t="str">
            <v>none</v>
          </cell>
          <cell r="P1767" t="str">
            <v>種族なし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  <cell r="N1768" t="str">
            <v>Unknown</v>
          </cell>
          <cell r="O1768" t="str">
            <v>none</v>
          </cell>
          <cell r="P1768" t="str">
            <v>種族なし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  <cell r="N1769" t="str">
            <v>Unknown</v>
          </cell>
          <cell r="O1769" t="str">
            <v>none</v>
          </cell>
          <cell r="P1769" t="str">
            <v>種族なし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  <cell r="N1770" t="str">
            <v>Unknown</v>
          </cell>
          <cell r="O1770" t="str">
            <v>none</v>
          </cell>
          <cell r="P1770" t="str">
            <v>種族なし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  <cell r="N1771" t="str">
            <v>ドラゴン</v>
          </cell>
          <cell r="O1771" t="str">
            <v>none</v>
          </cell>
          <cell r="P1771" t="str">
            <v>種族なし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  <cell r="N1772" t="str">
            <v>デーモン</v>
          </cell>
          <cell r="O1772" t="str">
            <v>none</v>
          </cell>
          <cell r="P1772" t="str">
            <v>種族なし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  <cell r="N1773" t="str">
            <v>Unknown</v>
          </cell>
          <cell r="O1773" t="str">
            <v>none</v>
          </cell>
          <cell r="P1773" t="str">
            <v>種族なし</v>
          </cell>
          <cell r="R1773">
            <v>1</v>
          </cell>
          <cell r="S1773" t="str">
            <v>NULL</v>
          </cell>
          <cell r="T1773" t="str">
            <v>super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  <cell r="N1774" t="str">
            <v>サムライ</v>
          </cell>
          <cell r="O1774" t="str">
            <v>none</v>
          </cell>
          <cell r="P1774" t="str">
            <v>種族なし</v>
          </cell>
          <cell r="R1774">
            <v>1</v>
          </cell>
          <cell r="S1774" t="str">
            <v>NULL</v>
          </cell>
          <cell r="T1774" t="str">
            <v>super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  <cell r="N1775" t="str">
            <v>ファンタジー</v>
          </cell>
          <cell r="O1775" t="str">
            <v>human</v>
          </cell>
          <cell r="P1775" t="str">
            <v>ヒューマン</v>
          </cell>
          <cell r="R1775">
            <v>1</v>
          </cell>
          <cell r="S1775" t="str">
            <v>NULL</v>
          </cell>
          <cell r="T1775" t="str">
            <v>super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  <cell r="N1776" t="str">
            <v>ヒューマン</v>
          </cell>
          <cell r="O1776" t="str">
            <v>none</v>
          </cell>
          <cell r="P1776" t="str">
            <v>種族なし</v>
          </cell>
          <cell r="R1776">
            <v>1</v>
          </cell>
          <cell r="S1776" t="str">
            <v>NULL</v>
          </cell>
          <cell r="T1776" t="str">
            <v>super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  <cell r="N1777" t="str">
            <v>ウェポン</v>
          </cell>
          <cell r="O1777" t="str">
            <v>none</v>
          </cell>
          <cell r="P1777" t="str">
            <v>種族なし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  <cell r="N1778" t="str">
            <v>QUEEN</v>
          </cell>
          <cell r="O1778" t="str">
            <v>none</v>
          </cell>
          <cell r="P1778" t="str">
            <v>種族なし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  <cell r="N1779" t="str">
            <v>アカデミア</v>
          </cell>
          <cell r="O1779" t="str">
            <v>none</v>
          </cell>
          <cell r="P1779" t="str">
            <v>種族なし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  <cell r="N1780" t="str">
            <v>アニマル</v>
          </cell>
          <cell r="O1780" t="str">
            <v>none</v>
          </cell>
          <cell r="P1780" t="str">
            <v>種族なし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  <cell r="N1781" t="str">
            <v>Unknown</v>
          </cell>
          <cell r="O1781" t="str">
            <v>none</v>
          </cell>
          <cell r="P1781" t="str">
            <v>種族なし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  <cell r="N1782" t="str">
            <v>Unknown</v>
          </cell>
          <cell r="O1782" t="str">
            <v>none</v>
          </cell>
          <cell r="P1782" t="str">
            <v>種族なし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  <cell r="N1783" t="str">
            <v>Unknown</v>
          </cell>
          <cell r="O1783" t="str">
            <v>none</v>
          </cell>
          <cell r="P1783" t="str">
            <v>種族なし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  <cell r="N1784" t="str">
            <v>Unknown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  <cell r="N1785" t="str">
            <v>Unknown</v>
          </cell>
          <cell r="O1785" t="str">
            <v>none</v>
          </cell>
          <cell r="P1785" t="str">
            <v>種族なし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  <cell r="N1786" t="str">
            <v>Unknown</v>
          </cell>
          <cell r="O1786" t="str">
            <v>none</v>
          </cell>
          <cell r="P1786" t="str">
            <v>種族なし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  <cell r="N1787" t="str">
            <v>Unknown</v>
          </cell>
          <cell r="O1787" t="str">
            <v>none</v>
          </cell>
          <cell r="P1787" t="str">
            <v>種族なし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  <cell r="N1788" t="str">
            <v>Unknown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  <cell r="N1789" t="str">
            <v>Unknown</v>
          </cell>
          <cell r="O1789" t="str">
            <v>none</v>
          </cell>
          <cell r="P1789" t="str">
            <v>種族なし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  <cell r="N1790" t="str">
            <v>Unknown</v>
          </cell>
          <cell r="O1790" t="str">
            <v>none</v>
          </cell>
          <cell r="P1790" t="str">
            <v>種族なし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  <cell r="N1791" t="str">
            <v>Unknown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  <cell r="N1792" t="str">
            <v>Unknown</v>
          </cell>
          <cell r="O1792" t="str">
            <v>none</v>
          </cell>
          <cell r="P1792" t="str">
            <v>種族なし</v>
          </cell>
          <cell r="R1792">
            <v>3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  <cell r="N1793" t="str">
            <v>QUEEN</v>
          </cell>
          <cell r="O1793" t="str">
            <v>demon</v>
          </cell>
          <cell r="P1793" t="str">
            <v>デーモン</v>
          </cell>
          <cell r="Q1793" t="str">
            <v>アタッカー</v>
          </cell>
          <cell r="R1793">
            <v>3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  <cell r="N1794" t="str">
            <v>QUEEN</v>
          </cell>
          <cell r="O1794" t="str">
            <v>demon</v>
          </cell>
          <cell r="P1794" t="str">
            <v>デーモン</v>
          </cell>
          <cell r="Q1794" t="str">
            <v>アタッカー</v>
          </cell>
          <cell r="R1794">
            <v>3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400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401</v>
          </cell>
          <cell r="B69" t="str">
            <v>ja</v>
          </cell>
          <cell r="C69" t="str">
            <v>攻撃タイプキラー</v>
          </cell>
          <cell r="D69" t="str">
            <v>攻撃対象が攻撃タイプの場合威力UP</v>
          </cell>
        </row>
        <row r="70">
          <cell r="A70">
            <v>402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403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404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405</v>
          </cell>
          <cell r="B73" t="str">
            <v>ja</v>
          </cell>
          <cell r="C73" t="str">
            <v>バランスタイプキラー</v>
          </cell>
          <cell r="D73" t="str">
            <v>攻撃対象が攻撃タイプの場合威力UP</v>
          </cell>
        </row>
        <row r="74">
          <cell r="A74">
            <v>406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407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408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409</v>
          </cell>
          <cell r="B77" t="str">
            <v>ja</v>
          </cell>
          <cell r="C77" t="str">
            <v>体力タイプキラー</v>
          </cell>
          <cell r="D77" t="str">
            <v>攻撃対象が攻撃タイプの場合威力UP</v>
          </cell>
        </row>
        <row r="78">
          <cell r="A78">
            <v>410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411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412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413</v>
          </cell>
          <cell r="B81" t="str">
            <v>ja</v>
          </cell>
          <cell r="C81" t="str">
            <v>テクニカルタイプキラー</v>
          </cell>
          <cell r="D81" t="str">
            <v>攻撃対象が攻撃タイプの場合威力UP</v>
          </cell>
        </row>
        <row r="82">
          <cell r="A82">
            <v>414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415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416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417</v>
          </cell>
          <cell r="B85" t="str">
            <v>ja</v>
          </cell>
          <cell r="C85" t="str">
            <v>回復タイプキラー</v>
          </cell>
          <cell r="D85" t="str">
            <v>攻撃対象が攻撃タイプの場合威力UP</v>
          </cell>
        </row>
        <row r="86">
          <cell r="A86">
            <v>418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419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420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421</v>
          </cell>
          <cell r="B89" t="str">
            <v>ja</v>
          </cell>
          <cell r="C89" t="str">
            <v>強化素材タイプキラー</v>
          </cell>
          <cell r="D89" t="str">
            <v>攻撃対象が攻撃タイプの場合威力UP</v>
          </cell>
        </row>
        <row r="90">
          <cell r="A90">
            <v>422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423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424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425</v>
          </cell>
          <cell r="B93" t="str">
            <v>ja</v>
          </cell>
          <cell r="C93" t="str">
            <v>コインタイプキラー</v>
          </cell>
          <cell r="D93" t="str">
            <v>攻撃対象が攻撃タイプの場合威力UP</v>
          </cell>
        </row>
        <row r="94">
          <cell r="A94">
            <v>426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427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428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429</v>
          </cell>
          <cell r="B97" t="str">
            <v>ja</v>
          </cell>
          <cell r="C97" t="str">
            <v>限界突破素材タイプキラー</v>
          </cell>
          <cell r="D97" t="str">
            <v>攻撃対象が攻撃タイプの場合威力UP</v>
          </cell>
        </row>
        <row r="98">
          <cell r="A98">
            <v>430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431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432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433</v>
          </cell>
          <cell r="B101" t="str">
            <v>ja</v>
          </cell>
          <cell r="C101" t="str">
            <v>スキルレベル素材タイプキラー</v>
          </cell>
          <cell r="D101" t="str">
            <v>攻撃対象が攻撃タイプの場合威力UP</v>
          </cell>
        </row>
        <row r="102">
          <cell r="A102">
            <v>434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435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436</v>
          </cell>
          <cell r="B104" t="str">
            <v>ja</v>
          </cell>
          <cell r="C104" t="str">
            <v>対ゴッド&amp;ヒーロー ダメージUP</v>
          </cell>
          <cell r="D104" t="str">
            <v>自身の攻撃対象が種族ゴッド、ヒーローの場合全ての攻撃の威力をUP</v>
          </cell>
        </row>
        <row r="105">
          <cell r="A105">
            <v>500</v>
          </cell>
          <cell r="B105" t="str">
            <v>ja</v>
          </cell>
          <cell r="C105" t="str">
            <v>青属性キラー</v>
          </cell>
          <cell r="D105" t="str">
            <v>攻撃対象が青属性の場合威力UP</v>
          </cell>
        </row>
        <row r="106">
          <cell r="A106">
            <v>600</v>
          </cell>
          <cell r="B106" t="str">
            <v>ja</v>
          </cell>
          <cell r="C106" t="str">
            <v>赤属性耐性25</v>
          </cell>
          <cell r="D106" t="str">
            <v>自身に対する赤属性の敵からの攻撃を25％軽減</v>
          </cell>
        </row>
        <row r="107">
          <cell r="A107">
            <v>601</v>
          </cell>
          <cell r="B107" t="str">
            <v>ja</v>
          </cell>
          <cell r="C107" t="str">
            <v>赤属性耐性25</v>
          </cell>
          <cell r="D107" t="str">
            <v>自身に対する赤属性の敵からの攻撃を25％軽減</v>
          </cell>
        </row>
        <row r="108">
          <cell r="A108">
            <v>602</v>
          </cell>
          <cell r="B108" t="str">
            <v>ja</v>
          </cell>
          <cell r="C108" t="str">
            <v>赤属性耐性25</v>
          </cell>
          <cell r="D108" t="str">
            <v>自身に対する赤属性の敵からの攻撃を25％軽減</v>
          </cell>
        </row>
        <row r="109">
          <cell r="A109">
            <v>603</v>
          </cell>
          <cell r="B109" t="str">
            <v>ja</v>
          </cell>
          <cell r="C109" t="str">
            <v>青属性耐性25</v>
          </cell>
          <cell r="D109" t="str">
            <v>自身に対する青属性の敵からの攻撃を25％軽減</v>
          </cell>
        </row>
        <row r="110">
          <cell r="A110">
            <v>604</v>
          </cell>
          <cell r="B110" t="str">
            <v>ja</v>
          </cell>
          <cell r="C110" t="str">
            <v>青属性耐性25</v>
          </cell>
          <cell r="D110" t="str">
            <v>自身に対する青属性の敵からの攻撃を25％軽減</v>
          </cell>
        </row>
        <row r="111">
          <cell r="A111">
            <v>605</v>
          </cell>
          <cell r="B111" t="str">
            <v>ja</v>
          </cell>
          <cell r="C111" t="str">
            <v>青属性耐性25</v>
          </cell>
          <cell r="D111" t="str">
            <v>自身に対する青属性の敵からの攻撃を25％軽減</v>
          </cell>
        </row>
        <row r="112">
          <cell r="A112">
            <v>606</v>
          </cell>
          <cell r="B112" t="str">
            <v>ja</v>
          </cell>
          <cell r="C112" t="str">
            <v>緑属性耐性25</v>
          </cell>
          <cell r="D112" t="str">
            <v>自身に対する緑属性の敵からの攻撃を25％軽減</v>
          </cell>
        </row>
        <row r="113">
          <cell r="A113">
            <v>607</v>
          </cell>
          <cell r="B113" t="str">
            <v>ja</v>
          </cell>
          <cell r="C113" t="str">
            <v>緑属性耐性25</v>
          </cell>
          <cell r="D113" t="str">
            <v>自身に対する緑属性の敵からの攻撃を25％軽減</v>
          </cell>
        </row>
        <row r="114">
          <cell r="A114">
            <v>608</v>
          </cell>
          <cell r="B114" t="str">
            <v>ja</v>
          </cell>
          <cell r="C114" t="str">
            <v>緑属性耐性25</v>
          </cell>
          <cell r="D114" t="str">
            <v>自身に対する緑属性の敵からの攻撃を25％軽減</v>
          </cell>
        </row>
        <row r="115">
          <cell r="A115">
            <v>609</v>
          </cell>
          <cell r="B115" t="str">
            <v>ja</v>
          </cell>
          <cell r="C115" t="str">
            <v>黄属性耐性25</v>
          </cell>
          <cell r="D115" t="str">
            <v>自身に対する黄属性の敵からの攻撃を25％軽減</v>
          </cell>
        </row>
        <row r="116">
          <cell r="A116">
            <v>610</v>
          </cell>
          <cell r="B116" t="str">
            <v>ja</v>
          </cell>
          <cell r="C116" t="str">
            <v>黄属性耐性25</v>
          </cell>
          <cell r="D116" t="str">
            <v>自身に対する黄属性の敵からの攻撃を25％軽減</v>
          </cell>
        </row>
        <row r="117">
          <cell r="A117">
            <v>611</v>
          </cell>
          <cell r="B117" t="str">
            <v>ja</v>
          </cell>
          <cell r="C117" t="str">
            <v>黄属性耐性25</v>
          </cell>
          <cell r="D117" t="str">
            <v>自身に対する黄属性の敵からの攻撃を25％軽減</v>
          </cell>
        </row>
        <row r="118">
          <cell r="A118">
            <v>612</v>
          </cell>
          <cell r="B118" t="str">
            <v>ja</v>
          </cell>
          <cell r="C118" t="str">
            <v>全属性耐性10</v>
          </cell>
          <cell r="D118" t="str">
            <v>自身に対する全属性の敵からの攻撃を10％軽減</v>
          </cell>
        </row>
        <row r="119">
          <cell r="A119">
            <v>613</v>
          </cell>
          <cell r="B119" t="str">
            <v>ja</v>
          </cell>
          <cell r="C119" t="str">
            <v>赤属性耐性10</v>
          </cell>
          <cell r="D119" t="str">
            <v>自身に対する赤属性の敵からの攻撃を10％軽減</v>
          </cell>
        </row>
        <row r="120">
          <cell r="A120">
            <v>614</v>
          </cell>
          <cell r="B120" t="str">
            <v>ja</v>
          </cell>
          <cell r="C120" t="str">
            <v>青属性耐性10</v>
          </cell>
          <cell r="D120" t="str">
            <v>自身に対する青属性の敵からの攻撃を10％軽減</v>
          </cell>
        </row>
        <row r="121">
          <cell r="A121">
            <v>615</v>
          </cell>
          <cell r="B121" t="str">
            <v>ja</v>
          </cell>
          <cell r="C121" t="str">
            <v>緑属性耐性10</v>
          </cell>
          <cell r="D121" t="str">
            <v>自身に対する緑属性の敵からの攻撃を10％軽減</v>
          </cell>
        </row>
        <row r="122">
          <cell r="A122">
            <v>616</v>
          </cell>
          <cell r="B122" t="str">
            <v>ja</v>
          </cell>
          <cell r="C122" t="str">
            <v>黄属性耐性10</v>
          </cell>
          <cell r="D122" t="str">
            <v>自身に対する黄属性の敵からの攻撃を10％軽減</v>
          </cell>
        </row>
        <row r="123">
          <cell r="A123">
            <v>617</v>
          </cell>
          <cell r="B123" t="str">
            <v>ja</v>
          </cell>
          <cell r="C123" t="str">
            <v>ゴッド種族耐性10</v>
          </cell>
          <cell r="D123" t="str">
            <v>自身に対するゴッド種族の敵からの攻撃を25％軽減</v>
          </cell>
        </row>
        <row r="124">
          <cell r="A124">
            <v>618</v>
          </cell>
          <cell r="B124" t="str">
            <v>ja</v>
          </cell>
          <cell r="C124" t="str">
            <v>赤属性耐性8</v>
          </cell>
          <cell r="D124" t="str">
            <v>自身に対する赤属性の敵からの攻撃を8%軽減</v>
          </cell>
        </row>
        <row r="125">
          <cell r="A125">
            <v>619</v>
          </cell>
          <cell r="B125" t="str">
            <v>ja</v>
          </cell>
          <cell r="C125" t="str">
            <v>青属性耐性8</v>
          </cell>
          <cell r="D125" t="str">
            <v>自身に対する青属性の敵からの攻撃を8%軽減</v>
          </cell>
        </row>
        <row r="126">
          <cell r="A126">
            <v>620</v>
          </cell>
          <cell r="B126" t="str">
            <v>ja</v>
          </cell>
          <cell r="C126" t="str">
            <v>緑属性耐性8</v>
          </cell>
          <cell r="D126" t="str">
            <v>自身に対する緑属性の敵からの攻撃を8%軽減</v>
          </cell>
        </row>
        <row r="127">
          <cell r="A127">
            <v>621</v>
          </cell>
          <cell r="B127" t="str">
            <v>ja</v>
          </cell>
          <cell r="C127" t="str">
            <v>黄属性耐性8</v>
          </cell>
          <cell r="D127" t="str">
            <v>自身に対する黄属性の敵からの攻撃を8%軽減</v>
          </cell>
        </row>
        <row r="128">
          <cell r="A128">
            <v>622</v>
          </cell>
          <cell r="B128" t="str">
            <v>ja</v>
          </cell>
          <cell r="C128" t="str">
            <v>赤・青属性耐性15</v>
          </cell>
          <cell r="D128" t="str">
            <v>自身に対する赤・青属性の敵からの攻撃を15%軽減</v>
          </cell>
        </row>
        <row r="129">
          <cell r="A129">
            <v>700</v>
          </cell>
          <cell r="B129" t="str">
            <v>ja</v>
          </cell>
          <cell r="C129" t="str">
            <v>フロア 回復</v>
          </cell>
          <cell r="D129" t="str">
            <v>全フロアの1ターン目終了時にパーティの合計HPの20％を回復する</v>
          </cell>
        </row>
        <row r="130">
          <cell r="A130">
            <v>701</v>
          </cell>
          <cell r="B130" t="str">
            <v>ja</v>
          </cell>
          <cell r="C130" t="str">
            <v>フロア 防御力アップ</v>
          </cell>
          <cell r="D130" t="str">
            <v>全フロアの1ターン目終了時に全ユニットの防御力を1ターン400UP</v>
          </cell>
        </row>
        <row r="131">
          <cell r="A131">
            <v>800</v>
          </cell>
          <cell r="B131" t="str">
            <v>ja</v>
          </cell>
          <cell r="C131" t="str">
            <v>パネルブレイク30 攻撃力UP</v>
          </cell>
          <cell r="D131" t="str">
            <v>自身が先頭の時、1ターンの間に合計30個以上パネルを破壊した場合に攻撃力UP</v>
          </cell>
        </row>
        <row r="132">
          <cell r="A132">
            <v>801</v>
          </cell>
          <cell r="B132" t="str">
            <v>ja</v>
          </cell>
          <cell r="C132" t="str">
            <v>パネルブレイク30 回復力UP</v>
          </cell>
          <cell r="D132" t="str">
            <v>自身が先頭の時、1ターンの間に合計30個以上パネルを破壊した場合に回復力UP</v>
          </cell>
        </row>
        <row r="133">
          <cell r="A133">
            <v>802</v>
          </cell>
          <cell r="B133" t="str">
            <v>ja</v>
          </cell>
          <cell r="C133" t="str">
            <v>パネルブレイク30 防御力小UP</v>
          </cell>
          <cell r="D133" t="str">
            <v>自身が先頭の時、1ターンの間に合計30個以上パネルを破壊した場合に防御力小UP</v>
          </cell>
        </row>
        <row r="134">
          <cell r="A134">
            <v>803</v>
          </cell>
          <cell r="B134" t="str">
            <v>ja</v>
          </cell>
          <cell r="C134" t="str">
            <v>パネルブレイク30 防御力UP</v>
          </cell>
          <cell r="D134" t="str">
            <v>自身が先頭の時、1ターンの間に合計30個以上パネルを破壊した場合に防御力UP</v>
          </cell>
        </row>
        <row r="135">
          <cell r="A135">
            <v>804</v>
          </cell>
          <cell r="B135" t="str">
            <v>ja</v>
          </cell>
          <cell r="C135" t="str">
            <v>パネルブレイク30 防御力大UP</v>
          </cell>
          <cell r="D135" t="str">
            <v>自身が先頭の時、1ターンの間に合計30個以上パネルを破壊した場合に防御力大UP</v>
          </cell>
        </row>
        <row r="136">
          <cell r="A136">
            <v>805</v>
          </cell>
          <cell r="B136" t="str">
            <v>ja</v>
          </cell>
          <cell r="C136" t="str">
            <v>パネルブレイク30 防御力特大UP</v>
          </cell>
          <cell r="D136" t="str">
            <v>自身が先頭の時、1ターンの間に合計30個以上パネルを破壊した場合に防御力特大UP</v>
          </cell>
        </row>
        <row r="137">
          <cell r="A137">
            <v>806</v>
          </cell>
          <cell r="B137" t="str">
            <v>ja</v>
          </cell>
          <cell r="C137" t="str">
            <v>ボムブレイク10 防御力UP</v>
          </cell>
          <cell r="D137" t="str">
            <v>自身または味方が1ターンの間に合計10個以上ボムパネルを破壊した場合に防御力UP</v>
          </cell>
        </row>
        <row r="138">
          <cell r="A138">
            <v>807</v>
          </cell>
          <cell r="B138" t="str">
            <v>ja</v>
          </cell>
          <cell r="C138" t="str">
            <v>パネル18 破壊フィーバーゲージ上昇</v>
          </cell>
          <cell r="D138" t="str">
            <v>自身が先頭の時、1ターンの間に合計18個以上パネルを破壊した場合にフィーバーゲージ上昇</v>
          </cell>
        </row>
        <row r="139">
          <cell r="A139">
            <v>808</v>
          </cell>
          <cell r="B139" t="str">
            <v>ja</v>
          </cell>
          <cell r="C139" t="str">
            <v>パネルブレイク40 防御力UP</v>
          </cell>
          <cell r="D139" t="str">
            <v>自身が先頭の時、1ターンの間に合計40個以上パネルを破壊した場合に青属性ユニットの防御力を400UP</v>
          </cell>
        </row>
        <row r="140">
          <cell r="A140">
            <v>809</v>
          </cell>
          <cell r="B140" t="str">
            <v>ja</v>
          </cell>
          <cell r="C140" t="str">
            <v>パネルブレイク40 攻撃力UP</v>
          </cell>
          <cell r="D140" t="str">
            <v>自身が先頭の時、1ターンの間に合計40個以上パネルを破壊した場合に攻撃力UP</v>
          </cell>
        </row>
        <row r="141">
          <cell r="A141">
            <v>810</v>
          </cell>
          <cell r="B141" t="str">
            <v>ja</v>
          </cell>
          <cell r="C141" t="str">
            <v>パネルブレイク40 攻撃力小UP</v>
          </cell>
          <cell r="D141" t="str">
            <v>自身が先頭の時、1ターンの間に合計40個以上パネルを破壊した場合に攻撃力小UP</v>
          </cell>
        </row>
        <row r="142">
          <cell r="A142">
            <v>811</v>
          </cell>
          <cell r="B142" t="str">
            <v>ja</v>
          </cell>
          <cell r="C142" t="str">
            <v>パネルブレイク30 攻撃力小UP</v>
          </cell>
          <cell r="D142" t="str">
            <v>自身が先頭の時、1ターンの間に合計30個以上パネルを破壊した場合に攻撃力小UP</v>
          </cell>
        </row>
        <row r="143">
          <cell r="A143">
            <v>812</v>
          </cell>
          <cell r="B143" t="str">
            <v>ja</v>
          </cell>
          <cell r="C143" t="str">
            <v>パネルブレイク40 HP小回復</v>
          </cell>
          <cell r="D143" t="str">
            <v>自身が先頭の時、1ターンの間に合計40個以上パネルを破壊した場合にターン終了時HP小回復</v>
          </cell>
        </row>
        <row r="144">
          <cell r="A144">
            <v>813</v>
          </cell>
          <cell r="B144" t="str">
            <v>ja</v>
          </cell>
          <cell r="C144" t="str">
            <v>パネルブレイク100 攻撃力UP</v>
          </cell>
          <cell r="D144" t="str">
            <v>自身が先頭の時、1ターンの間に合計100個以上パネルを破壊した場合に攻撃力2140UP</v>
          </cell>
        </row>
        <row r="145">
          <cell r="A145">
            <v>814</v>
          </cell>
          <cell r="B145" t="str">
            <v>ja</v>
          </cell>
          <cell r="C145" t="str">
            <v>パネルブレイク50 タップ回数UP</v>
          </cell>
          <cell r="D145" t="str">
            <v>自身が先頭の時、1ターンの間に合計50個以上パネルを破壊した場合にタップ回数を1回増やす</v>
          </cell>
        </row>
        <row r="146">
          <cell r="A146">
            <v>815</v>
          </cell>
          <cell r="B146" t="str">
            <v>ja</v>
          </cell>
          <cell r="C146" t="str">
            <v>パネルブレイク50 HP回復</v>
          </cell>
          <cell r="D146" t="str">
            <v>自身が先頭の時、1ターンの間に合計50個以上パネルを破壊した場合にターン終了時HP回復</v>
          </cell>
        </row>
        <row r="147">
          <cell r="A147">
            <v>816</v>
          </cell>
          <cell r="B147" t="str">
            <v>ja</v>
          </cell>
          <cell r="C147" t="str">
            <v>ボムブレイク10 黄属性攻撃力UP</v>
          </cell>
          <cell r="D147" t="str">
            <v>自身または味方が1ターンの間に合計10個以上ボムパネルを破壊した場合に黄属性ユニットの攻撃力UP</v>
          </cell>
        </row>
        <row r="148">
          <cell r="A148">
            <v>817</v>
          </cell>
          <cell r="B148" t="str">
            <v>ja</v>
          </cell>
          <cell r="C148" t="str">
            <v>パネルブレイク50 生成短縮激烈</v>
          </cell>
          <cell r="D148" t="str">
            <v>自身が先頭の時、1ターンの間に合計50個以上パネルを破壊した場合にCパネル生成に必要なチェイン数を12短縮する</v>
          </cell>
        </row>
        <row r="149">
          <cell r="A149">
            <v>818</v>
          </cell>
          <cell r="B149" t="str">
            <v>ja</v>
          </cell>
          <cell r="C149" t="str">
            <v>パネルブレイク33 赤･緑属性防御UP</v>
          </cell>
          <cell r="D149" t="str">
            <v>自身が先頭の時、1ターンの間に合計33個以上パネルを破壊した場合に赤・緑属性の防御力を330UP</v>
          </cell>
        </row>
        <row r="150">
          <cell r="A150">
            <v>819</v>
          </cell>
          <cell r="B150" t="str">
            <v>ja</v>
          </cell>
          <cell r="C150" t="str">
            <v>パネルブレイク25 回復力UP</v>
          </cell>
          <cell r="D150" t="str">
            <v>自身が先頭の時、1ターンの間に合計25個以上パネルを破壊した場合に回復力UP</v>
          </cell>
        </row>
        <row r="151">
          <cell r="A151">
            <v>820</v>
          </cell>
          <cell r="B151" t="str">
            <v>ja</v>
          </cell>
          <cell r="C151" t="str">
            <v>パネルブレイク90 タップ回数UP</v>
          </cell>
          <cell r="D151" t="str">
            <v>自身が先頭の時、1ターンの間に合計90個以上パネルを破壊した場合にタップ回数を1回増やす</v>
          </cell>
        </row>
        <row r="152">
          <cell r="A152">
            <v>821</v>
          </cell>
          <cell r="B152" t="str">
            <v>ja</v>
          </cell>
          <cell r="C152" t="str">
            <v>パネルブレイク80 攻撃力特大UP</v>
          </cell>
          <cell r="D152" t="str">
            <v>自身が先頭の時、1ターンの間に合計80個以上パネルを破壊した場合に攻撃力特大UP</v>
          </cell>
        </row>
        <row r="153">
          <cell r="A153">
            <v>822</v>
          </cell>
          <cell r="B153" t="str">
            <v>ja</v>
          </cell>
          <cell r="C153" t="str">
            <v>パネルブレイク35 CP生成短縮(特大)</v>
          </cell>
          <cell r="D153" t="str">
            <v>自身または、味方が1ターンの間に合計35個以上パネルを破壊した場合に先頭ユニットのCパネル生成短縮(効果特大)(1ターンに1度だけ発動)</v>
          </cell>
        </row>
        <row r="154">
          <cell r="A154">
            <v>823</v>
          </cell>
          <cell r="B154" t="str">
            <v>ja</v>
          </cell>
          <cell r="C154" t="str">
            <v>パネルブレイク100 タップ回数UP</v>
          </cell>
          <cell r="D154" t="str">
            <v>自身が先頭の時、1ターンの間に合計100個以上パネルを破壊した場合にタップ回数を1回増やす</v>
          </cell>
        </row>
        <row r="155">
          <cell r="A155">
            <v>824</v>
          </cell>
          <cell r="B155" t="str">
            <v>ja</v>
          </cell>
          <cell r="C155" t="str">
            <v>パネルブレイク40 CP生成短縮(特大)</v>
          </cell>
          <cell r="D155" t="str">
            <v>自身または、味方が1ターンの間に合計40個以上パネル破壊した場合に先頭ユニットのCP生成短縮(特大)(1ターンに1度だけ発動)</v>
          </cell>
        </row>
        <row r="156">
          <cell r="A156">
            <v>830</v>
          </cell>
          <cell r="B156" t="str">
            <v>ja</v>
          </cell>
          <cell r="C156" t="str">
            <v>パネルブレイク40 ウィルス解除</v>
          </cell>
          <cell r="D156" t="str">
            <v>自身または、味方が1ターンの間に合計40個以上パネル破壊した場合に全ユニットウィルス解除(1ターンに1度だけ発動)</v>
          </cell>
        </row>
        <row r="157">
          <cell r="A157">
            <v>900</v>
          </cell>
          <cell r="B157" t="str">
            <v>ja</v>
          </cell>
          <cell r="C157" t="str">
            <v>チェイン12 攻撃力UP</v>
          </cell>
          <cell r="D157" t="str">
            <v>自身が先頭の時、1タップで12個以上パネルを繋げた場合に攻撃力UP(1ターンに1度だけ発動)</v>
          </cell>
        </row>
        <row r="158">
          <cell r="A158">
            <v>901</v>
          </cell>
          <cell r="B158" t="str">
            <v>ja</v>
          </cell>
          <cell r="C158" t="str">
            <v>チェイン12 回復力UP</v>
          </cell>
          <cell r="D158" t="str">
            <v>自身が先頭の時、1タップで12個以上パネルを繋げた場合に回復力UP(1ターンに1度だけ発動)</v>
          </cell>
        </row>
        <row r="159">
          <cell r="A159">
            <v>902</v>
          </cell>
          <cell r="B159" t="str">
            <v>ja</v>
          </cell>
          <cell r="C159" t="str">
            <v>チェイン12 タップ回数UP</v>
          </cell>
          <cell r="D159" t="str">
            <v>自身が先頭の時、1タップで12個以上パネルを繋げた場合にタップ回数を1回増やす(1ターンに1度だけ発動)</v>
          </cell>
        </row>
        <row r="160">
          <cell r="A160">
            <v>903</v>
          </cell>
          <cell r="B160" t="str">
            <v>ja</v>
          </cell>
          <cell r="C160" t="str">
            <v>チェイン18 スキルゲージUP</v>
          </cell>
          <cell r="D160" t="str">
            <v>自身が先頭の時、1タップで18個以上パネルを繋げた場合に自身のスキルゲージを1増やす(1ターンに1度だけ発動)</v>
          </cell>
        </row>
        <row r="161">
          <cell r="A161">
            <v>904</v>
          </cell>
          <cell r="B161" t="str">
            <v>ja</v>
          </cell>
          <cell r="C161" t="str">
            <v>チェイン17 回復力UP</v>
          </cell>
          <cell r="D161" t="str">
            <v>自身が先頭の時、1タップで17個以上パネルを繋げた場合に自身の回復力を2017UP(1ターンに1度だけ発動)</v>
          </cell>
        </row>
        <row r="162">
          <cell r="A162">
            <v>905</v>
          </cell>
          <cell r="B162" t="str">
            <v>ja</v>
          </cell>
          <cell r="C162" t="str">
            <v>チェイン12 攻撃力小UP</v>
          </cell>
          <cell r="D162" t="str">
            <v>自身が先頭の時、1タップで12個以上パネルを繋げた場合に攻撃力小UP(1ターンに1度だけ発動)</v>
          </cell>
        </row>
        <row r="163">
          <cell r="A163">
            <v>906</v>
          </cell>
          <cell r="B163" t="str">
            <v>ja</v>
          </cell>
          <cell r="C163" t="str">
            <v>チェイン14 回復力小UP</v>
          </cell>
          <cell r="D163" t="str">
            <v>自身が先頭の時、1タップで14個以上パネルを繋げた場合に回復力小UP(1ターンに1度だけ発動)</v>
          </cell>
        </row>
        <row r="164">
          <cell r="A164">
            <v>907</v>
          </cell>
          <cell r="B164" t="str">
            <v>ja</v>
          </cell>
          <cell r="C164" t="str">
            <v>チェイン14 攻撃力UP</v>
          </cell>
          <cell r="D164" t="str">
            <v>自身が先頭の時、1タップで14個以上パネルを繋げた場合に攻撃力UP(1ターンに1度だけ発動)</v>
          </cell>
        </row>
        <row r="165">
          <cell r="A165">
            <v>908</v>
          </cell>
          <cell r="B165" t="str">
            <v>ja</v>
          </cell>
          <cell r="C165" t="str">
            <v>チェイン16 黄属性防御力UP</v>
          </cell>
          <cell r="D165" t="str">
            <v>自身が先頭の時、1タップで16個以上パネルを繋げた場合に黄属性ユニットの防御力UP(1ターンに1度だけ発動)</v>
          </cell>
        </row>
        <row r="166">
          <cell r="A166">
            <v>909</v>
          </cell>
          <cell r="B166" t="str">
            <v>ja</v>
          </cell>
          <cell r="C166" t="str">
            <v>チェイン30 Cパネル生成短縮(激烈)</v>
          </cell>
          <cell r="D166" t="str">
            <v>自身が先頭の時、1タップで30個以上パネルを繋げた場合にCパネル生成短縮(効果激烈)(1ターンに1度だけ発動)</v>
          </cell>
        </row>
        <row r="167">
          <cell r="A167">
            <v>910</v>
          </cell>
          <cell r="B167" t="str">
            <v>ja</v>
          </cell>
          <cell r="C167" t="str">
            <v>チェイン18 HP回復</v>
          </cell>
          <cell r="D167" t="str">
            <v>自身が先頭の時、1タップで18個以上パネルを繋げた場合にHPを2500回復(1ターンに1度だけ発動)</v>
          </cell>
        </row>
        <row r="168">
          <cell r="A168">
            <v>911</v>
          </cell>
          <cell r="B168" t="str">
            <v>ja</v>
          </cell>
          <cell r="C168" t="str">
            <v>チェイン24 ダメージ軽減</v>
          </cell>
          <cell r="D168" t="str">
            <v>自身が先頭の時、1タップで24個以上パネルを繋げた場合に敵からのダメージを15％軽減(1ターンに1度だけ発動)</v>
          </cell>
        </row>
        <row r="169">
          <cell r="A169">
            <v>912</v>
          </cell>
          <cell r="B169" t="str">
            <v>ja</v>
          </cell>
          <cell r="C169" t="str">
            <v>チェイン22 スキルゲージUP</v>
          </cell>
          <cell r="D169" t="str">
            <v>自身が先頭の時、1タップで22個以上パネルを繋げた場合に自身のスキルゲージを1増やす(1ターンに1度だけ発動)</v>
          </cell>
        </row>
        <row r="170">
          <cell r="A170">
            <v>913</v>
          </cell>
          <cell r="B170" t="str">
            <v>ja</v>
          </cell>
          <cell r="C170" t="str">
            <v>チェイン26 Cパネル生成短縮(特大)</v>
          </cell>
          <cell r="D170" t="str">
            <v>自身または、味方が1タップで26個以上パネルを繋げた場合に先頭ユニットのCパネル生成短縮(効果特大)(1ターンに1度だけ発動)</v>
          </cell>
        </row>
        <row r="171">
          <cell r="A171">
            <v>914</v>
          </cell>
          <cell r="B171" t="str">
            <v>ja</v>
          </cell>
          <cell r="C171" t="str">
            <v>チェイン14 スキルバインド解除</v>
          </cell>
          <cell r="D171" t="str">
            <v>自身が先頭の時、1タップで14個以上パネルを繋げた場合にスキルバインドを解除する</v>
          </cell>
        </row>
        <row r="172">
          <cell r="A172">
            <v>915</v>
          </cell>
          <cell r="B172" t="str">
            <v>ja</v>
          </cell>
          <cell r="C172" t="str">
            <v>チェイン16 スキルゲージUP</v>
          </cell>
          <cell r="D172" t="str">
            <v>自身が先頭の時、1タップで16個以上パネルを繋げた場合に自身のスキルゲージを1増やす(1ターンに1度だけ発動)</v>
          </cell>
        </row>
        <row r="173">
          <cell r="A173">
            <v>916</v>
          </cell>
          <cell r="B173" t="str">
            <v>ja</v>
          </cell>
          <cell r="C173" t="str">
            <v>チェイン14 黄属性防御力UP</v>
          </cell>
          <cell r="D173" t="str">
            <v>自身が先頭の時、1タップで14個以上パネルを繋げた場合に黄属性ユニットの防御力UP(1ターンに1度だけ発動)</v>
          </cell>
        </row>
        <row r="174">
          <cell r="A174">
            <v>1100</v>
          </cell>
          <cell r="B174" t="str">
            <v>ja</v>
          </cell>
          <cell r="C174" t="str">
            <v>Cパネル生成短縮</v>
          </cell>
          <cell r="D174" t="str">
            <v>自身が先頭の時、Cパネル生成に必要なチェイン数を1短縮する</v>
          </cell>
        </row>
        <row r="175">
          <cell r="A175">
            <v>1101</v>
          </cell>
          <cell r="B175" t="str">
            <v>ja</v>
          </cell>
          <cell r="C175" t="str">
            <v>Cパネル生成短縮(大)</v>
          </cell>
          <cell r="D175" t="str">
            <v>自身が先頭の時、Cパネル生成に必要なチェイン数を2短縮する</v>
          </cell>
        </row>
        <row r="176">
          <cell r="A176">
            <v>1200</v>
          </cell>
          <cell r="B176" t="str">
            <v>ja</v>
          </cell>
          <cell r="C176" t="str">
            <v>フィーバー攻撃UP</v>
          </cell>
          <cell r="D176" t="str">
            <v>自身が先頭の時、フィーバー発動時に緑属性の攻撃力と回復力UP</v>
          </cell>
        </row>
        <row r="177">
          <cell r="A177">
            <v>1300</v>
          </cell>
          <cell r="B177" t="str">
            <v>ja</v>
          </cell>
          <cell r="C177" t="str">
            <v>チェイン12 HP回復</v>
          </cell>
          <cell r="D177" t="str">
            <v>自身が先頭の時、1タップで12個以上パネルを繋げた場合にHPを2000回復(1ターンに1度だけ発動)</v>
          </cell>
        </row>
        <row r="178">
          <cell r="A178">
            <v>1400</v>
          </cell>
          <cell r="B178" t="str">
            <v>ja</v>
          </cell>
          <cell r="C178" t="str">
            <v>カウンター威力UP</v>
          </cell>
          <cell r="D178" t="str">
            <v>4ターン毎に自身のカウンタースキルの威力が1ターンの間UP</v>
          </cell>
        </row>
        <row r="179">
          <cell r="A179">
            <v>1500</v>
          </cell>
          <cell r="B179" t="str">
            <v>ja</v>
          </cell>
          <cell r="C179" t="str">
            <v>バリア15000</v>
          </cell>
          <cell r="D179" t="str">
            <v>戦闘開始時に、自身への直接ダメージを15000まで防ぐバリアを一度だけ展開(バリアは破壊されると復活しない)</v>
          </cell>
        </row>
        <row r="180">
          <cell r="A180">
            <v>1501</v>
          </cell>
          <cell r="B180" t="str">
            <v>ja</v>
          </cell>
          <cell r="C180" t="str">
            <v>バリア</v>
          </cell>
          <cell r="D180" t="str">
            <v>戦闘開始時に、ダメージを25000まで防ぐバリアを一度だけ展開</v>
          </cell>
        </row>
        <row r="181">
          <cell r="A181">
            <v>1502</v>
          </cell>
          <cell r="B181" t="str">
            <v>ja</v>
          </cell>
          <cell r="C181" t="str">
            <v>バリア</v>
          </cell>
          <cell r="D181" t="str">
            <v>戦闘開始時に、ダメージを50000まで防ぐバリアを一度だけ展開</v>
          </cell>
        </row>
        <row r="182">
          <cell r="A182">
            <v>1503</v>
          </cell>
          <cell r="B182" t="str">
            <v>ja</v>
          </cell>
          <cell r="C182" t="str">
            <v>バリア8000</v>
          </cell>
          <cell r="D182" t="str">
            <v>戦闘開始時に、自身への直接ダメージを8000まで防ぐバリアを一度だけ展開(バリアは破壊されると復活しない)</v>
          </cell>
        </row>
        <row r="183">
          <cell r="A183">
            <v>1504</v>
          </cell>
          <cell r="B183" t="str">
            <v>ja</v>
          </cell>
          <cell r="C183" t="str">
            <v>バリア10000</v>
          </cell>
          <cell r="D183" t="str">
            <v>戦闘開始時に、自身への直接ダメージを10000まで防ぐバリアを一度だけ展開(バリアは破壊されると復活しない)</v>
          </cell>
        </row>
        <row r="184">
          <cell r="A184">
            <v>1505</v>
          </cell>
          <cell r="B184" t="str">
            <v>ja</v>
          </cell>
          <cell r="C184" t="str">
            <v>バリア3939</v>
          </cell>
          <cell r="D184" t="str">
            <v>戦闘開始時に、自身への直接ダメージを3939まで防ぐバリアを一度だけ展開(バリアは破壊されると復活しない)</v>
          </cell>
        </row>
        <row r="185">
          <cell r="A185">
            <v>1600</v>
          </cell>
          <cell r="B185" t="str">
            <v>ja</v>
          </cell>
          <cell r="C185" t="str">
            <v>攻撃力・回復力UP</v>
          </cell>
          <cell r="D185" t="str">
            <v>自身の攻撃力と回復力をUP</v>
          </cell>
        </row>
        <row r="186">
          <cell r="A186">
            <v>1700</v>
          </cell>
          <cell r="B186" t="str">
            <v>ja</v>
          </cell>
          <cell r="C186" t="str">
            <v>パネルブレイク30 ターンHP小回復</v>
          </cell>
          <cell r="D186" t="str">
            <v>自身が先頭の時、1ターンの間に合計30個以上パネルを破壊した場合に1ターン HP小回復</v>
          </cell>
        </row>
        <row r="187">
          <cell r="A187">
            <v>1800</v>
          </cell>
          <cell r="B187" t="str">
            <v>ja</v>
          </cell>
          <cell r="C187" t="str">
            <v>フィーバー強化</v>
          </cell>
          <cell r="D187" t="str">
            <v>フィーバー時自身の攻撃力、回復力を特大UP</v>
          </cell>
        </row>
        <row r="188">
          <cell r="A188">
            <v>1900</v>
          </cell>
          <cell r="B188" t="str">
            <v>ja</v>
          </cell>
          <cell r="C188" t="str">
            <v>ハート出現率UP</v>
          </cell>
          <cell r="D188" t="str">
            <v>自身が先頭の時、ハートパネルの出現率UP</v>
          </cell>
        </row>
        <row r="189">
          <cell r="A189">
            <v>2000</v>
          </cell>
          <cell r="B189" t="str">
            <v>ja</v>
          </cell>
          <cell r="C189" t="str">
            <v>赤パネル出現率UP</v>
          </cell>
          <cell r="D189" t="str">
            <v>自身が先頭の時、赤パネルの出現率UP</v>
          </cell>
        </row>
        <row r="190">
          <cell r="A190">
            <v>2100</v>
          </cell>
          <cell r="B190" t="str">
            <v>ja</v>
          </cell>
          <cell r="C190" t="str">
            <v>緑パネル出現率UP</v>
          </cell>
          <cell r="D190" t="str">
            <v>自身が先頭の時、緑パネルの出現率UP</v>
          </cell>
        </row>
        <row r="191">
          <cell r="A191">
            <v>2200</v>
          </cell>
          <cell r="B191" t="str">
            <v>ja</v>
          </cell>
          <cell r="C191" t="str">
            <v>青パネル出現率UP</v>
          </cell>
          <cell r="D191" t="str">
            <v>自身が先頭の時、青パネルの出現率UP</v>
          </cell>
        </row>
        <row r="192">
          <cell r="A192">
            <v>2201</v>
          </cell>
          <cell r="B192" t="str">
            <v>ja</v>
          </cell>
          <cell r="C192" t="str">
            <v>青パネル出現率UP</v>
          </cell>
          <cell r="D192" t="str">
            <v>自身が先頭の時、青パネルの出現率UP</v>
          </cell>
        </row>
        <row r="193">
          <cell r="A193">
            <v>2300</v>
          </cell>
          <cell r="B193" t="str">
            <v>ja</v>
          </cell>
          <cell r="C193" t="str">
            <v>黄パネル出現率UP</v>
          </cell>
          <cell r="D193" t="str">
            <v>自身が先頭の時、黄パネルの出現率UP</v>
          </cell>
        </row>
        <row r="194">
          <cell r="A194">
            <v>2400</v>
          </cell>
          <cell r="B194" t="str">
            <v>ja</v>
          </cell>
          <cell r="C194" t="str">
            <v>ハートボムパネルドロップ</v>
          </cell>
          <cell r="D194" t="str">
            <v>自身が先頭の時、ハートパネルを確率でハートボムパネルに変換しドロップ</v>
          </cell>
        </row>
        <row r="195">
          <cell r="A195">
            <v>2401</v>
          </cell>
          <cell r="B195" t="str">
            <v>ja</v>
          </cell>
          <cell r="C195" t="str">
            <v>赤ボムパネルドロップ</v>
          </cell>
          <cell r="D195" t="str">
            <v>自身が先頭の時、赤パネルを低確率で赤ボムパネルに変換しドロップ</v>
          </cell>
        </row>
        <row r="196">
          <cell r="A196">
            <v>2402</v>
          </cell>
          <cell r="B196" t="str">
            <v>ja</v>
          </cell>
          <cell r="C196" t="str">
            <v>緑ボムパネルドロップ</v>
          </cell>
          <cell r="D196" t="str">
            <v>自身が先頭の時、緑パネルを低確率で緑ボムパネルに変換しドロップ</v>
          </cell>
        </row>
        <row r="197">
          <cell r="A197">
            <v>2403</v>
          </cell>
          <cell r="B197" t="str">
            <v>ja</v>
          </cell>
          <cell r="C197" t="str">
            <v>青ボムパネルドロップ</v>
          </cell>
          <cell r="D197" t="str">
            <v>自身が先頭の時、青パネルを確率で青ボムパネルに変換しドロップ</v>
          </cell>
        </row>
        <row r="198">
          <cell r="A198">
            <v>2500</v>
          </cell>
          <cell r="B198" t="str">
            <v>ja</v>
          </cell>
          <cell r="C198" t="str">
            <v>青パネルドロップ</v>
          </cell>
          <cell r="D198" t="str">
            <v>自身が先頭の時、緑パネルを確率で青パネルに変換しドロップ</v>
          </cell>
        </row>
        <row r="199">
          <cell r="A199">
            <v>2501</v>
          </cell>
          <cell r="B199" t="str">
            <v>ja</v>
          </cell>
          <cell r="C199" t="str">
            <v>黄パネルドロップ</v>
          </cell>
          <cell r="D199" t="str">
            <v>自身が先頭の時、青パネルを確率で黄パネルに変換しドロップ</v>
          </cell>
        </row>
        <row r="200">
          <cell r="A200">
            <v>2502</v>
          </cell>
          <cell r="B200" t="str">
            <v>ja</v>
          </cell>
          <cell r="C200" t="str">
            <v>赤パネルドロップ</v>
          </cell>
          <cell r="D200" t="str">
            <v>自身が先頭の時、黄パネルを確率で赤パネルに変換しドロップ</v>
          </cell>
        </row>
        <row r="201">
          <cell r="A201">
            <v>2503</v>
          </cell>
          <cell r="B201" t="str">
            <v>ja</v>
          </cell>
          <cell r="C201" t="str">
            <v>黄パネルドロップ</v>
          </cell>
          <cell r="D201" t="str">
            <v>自身が先頭の時、赤パネルを確率で黄パネルに変換しドロップ</v>
          </cell>
        </row>
        <row r="202">
          <cell r="A202">
            <v>2504</v>
          </cell>
          <cell r="B202" t="str">
            <v>ja</v>
          </cell>
          <cell r="C202" t="str">
            <v>SCパネルドロップ</v>
          </cell>
          <cell r="D202" t="str">
            <v>自身が先頭の時、緑パネルを確率でSCパネルに変換しドロップ</v>
          </cell>
        </row>
        <row r="203">
          <cell r="A203">
            <v>2505</v>
          </cell>
          <cell r="B203" t="str">
            <v>ja</v>
          </cell>
          <cell r="C203" t="str">
            <v>緑ボムパネル(大)ドロップ</v>
          </cell>
          <cell r="D203" t="str">
            <v>自身が先頭の時、低確率で緑ボムパネル(大)をドロップ</v>
          </cell>
        </row>
        <row r="204">
          <cell r="A204">
            <v>2506</v>
          </cell>
          <cell r="B204" t="str">
            <v>ja</v>
          </cell>
          <cell r="C204" t="str">
            <v>ハートボムパネル(大)ドロップ</v>
          </cell>
          <cell r="D204" t="str">
            <v>自身が先頭の時、低確率でハートボムパネル(大)をドロップ</v>
          </cell>
        </row>
        <row r="205">
          <cell r="A205">
            <v>2507</v>
          </cell>
          <cell r="B205" t="str">
            <v>ja</v>
          </cell>
          <cell r="C205" t="str">
            <v>Cパネルドロップ</v>
          </cell>
          <cell r="D205" t="str">
            <v>自身が先頭の時、低確率でCパネルをドロップ</v>
          </cell>
        </row>
        <row r="206">
          <cell r="A206">
            <v>2508</v>
          </cell>
          <cell r="B206" t="str">
            <v>ja</v>
          </cell>
          <cell r="C206" t="str">
            <v>黄パネルドロップ</v>
          </cell>
          <cell r="D206" t="str">
            <v>自身が先頭の時、緑パネルを確率で黄パネルに変換しドロップ</v>
          </cell>
        </row>
        <row r="207">
          <cell r="A207">
            <v>2509</v>
          </cell>
          <cell r="B207" t="str">
            <v>ja</v>
          </cell>
          <cell r="C207" t="str">
            <v>赤ボムパネル(大)ドロップ</v>
          </cell>
          <cell r="D207" t="str">
            <v>自身が先頭の時、低確率で赤ボムパネル(大)をドロップ</v>
          </cell>
        </row>
        <row r="208">
          <cell r="A208">
            <v>2600</v>
          </cell>
          <cell r="B208" t="str">
            <v>ja</v>
          </cell>
          <cell r="C208" t="str">
            <v>回復力400UP</v>
          </cell>
          <cell r="D208" t="str">
            <v>自身の回復力を400UP</v>
          </cell>
        </row>
        <row r="209">
          <cell r="A209">
            <v>2601</v>
          </cell>
          <cell r="B209" t="str">
            <v>ja</v>
          </cell>
          <cell r="C209" t="str">
            <v>回復力300UP</v>
          </cell>
          <cell r="D209" t="str">
            <v>自身の回復力を300UP</v>
          </cell>
        </row>
        <row r="210">
          <cell r="A210">
            <v>2700</v>
          </cell>
          <cell r="B210" t="str">
            <v>ja</v>
          </cell>
          <cell r="C210" t="str">
            <v>攻撃力UP</v>
          </cell>
          <cell r="D210" t="str">
            <v>自身の攻撃力を300UP</v>
          </cell>
        </row>
        <row r="211">
          <cell r="A211">
            <v>2701</v>
          </cell>
          <cell r="B211" t="str">
            <v>ja</v>
          </cell>
          <cell r="C211" t="str">
            <v>攻撃力UP</v>
          </cell>
          <cell r="D211" t="str">
            <v>自身の攻撃力を500UP</v>
          </cell>
        </row>
        <row r="212">
          <cell r="A212">
            <v>2800</v>
          </cell>
          <cell r="B212" t="str">
            <v>ja</v>
          </cell>
          <cell r="C212" t="str">
            <v>防御力UP</v>
          </cell>
          <cell r="D212" t="str">
            <v>自身の防御力を250UP</v>
          </cell>
        </row>
        <row r="213">
          <cell r="A213">
            <v>2801</v>
          </cell>
          <cell r="B213" t="str">
            <v>ja</v>
          </cell>
          <cell r="C213" t="str">
            <v>防御力UP</v>
          </cell>
          <cell r="D213" t="str">
            <v>自身の防御力を350UP</v>
          </cell>
        </row>
        <row r="214">
          <cell r="A214">
            <v>2802</v>
          </cell>
          <cell r="B214" t="str">
            <v>ja</v>
          </cell>
          <cell r="C214" t="str">
            <v>防御力UP</v>
          </cell>
          <cell r="D214" t="str">
            <v>自身の防御力を300UP</v>
          </cell>
        </row>
        <row r="215">
          <cell r="A215">
            <v>2803</v>
          </cell>
          <cell r="B215" t="str">
            <v>ja</v>
          </cell>
          <cell r="C215" t="str">
            <v>防御力UP</v>
          </cell>
          <cell r="D215" t="str">
            <v>自身の防御力を400UP</v>
          </cell>
        </row>
        <row r="216">
          <cell r="A216">
            <v>2804</v>
          </cell>
          <cell r="B216" t="str">
            <v>ja</v>
          </cell>
          <cell r="C216" t="str">
            <v>防御力UP</v>
          </cell>
          <cell r="D216" t="str">
            <v>自身の防御力を280UP</v>
          </cell>
        </row>
        <row r="217">
          <cell r="A217">
            <v>2900</v>
          </cell>
          <cell r="B217" t="str">
            <v>ja</v>
          </cell>
          <cell r="C217" t="str">
            <v>フィーバー50 攻撃力小UP</v>
          </cell>
          <cell r="D217" t="str">
            <v>フィーバーゲージが50％以上の時、自身の攻撃力小UP</v>
          </cell>
        </row>
        <row r="218">
          <cell r="A218">
            <v>2901</v>
          </cell>
          <cell r="B218" t="str">
            <v>ja</v>
          </cell>
          <cell r="C218" t="str">
            <v>フィーバー40 攻撃力UP</v>
          </cell>
          <cell r="D218" t="str">
            <v>フィーバーゲージが40％以上の時、自身の攻撃力UP</v>
          </cell>
        </row>
        <row r="219">
          <cell r="A219">
            <v>2902</v>
          </cell>
          <cell r="B219" t="str">
            <v>ja</v>
          </cell>
          <cell r="C219" t="str">
            <v>フィーバー80 攻撃力大UP</v>
          </cell>
          <cell r="D219" t="str">
            <v>フィーバーゲージが80％以上の時、自身の攻撃力大UP</v>
          </cell>
        </row>
        <row r="220">
          <cell r="A220">
            <v>3000</v>
          </cell>
          <cell r="B220" t="str">
            <v>ja</v>
          </cell>
          <cell r="C220" t="str">
            <v>攻撃参加</v>
          </cell>
          <cell r="D220" t="str">
            <v>最初の1ターン目と、その後7ターン毎に自身が先頭以外でも通常攻撃に参加する</v>
          </cell>
        </row>
        <row r="221">
          <cell r="A221">
            <v>3001</v>
          </cell>
          <cell r="B221" t="str">
            <v>ja</v>
          </cell>
          <cell r="C221" t="str">
            <v>攻撃参加</v>
          </cell>
          <cell r="D221" t="str">
            <v>最初の1ターン目と、その後6ターン毎に自身が先頭以外でも通常攻撃に参加する</v>
          </cell>
        </row>
        <row r="222">
          <cell r="A222">
            <v>3002</v>
          </cell>
          <cell r="B222" t="str">
            <v>ja</v>
          </cell>
          <cell r="C222" t="str">
            <v>攻撃参加</v>
          </cell>
          <cell r="D222" t="str">
            <v>最初の1ターン目と、その後9ターン毎に自身が先頭以外でも通常攻撃に参加する</v>
          </cell>
        </row>
        <row r="223">
          <cell r="A223">
            <v>3100</v>
          </cell>
          <cell r="B223" t="str">
            <v>ja</v>
          </cell>
          <cell r="C223" t="str">
            <v>ボスフロア Cパネル生成短縮(特大)</v>
          </cell>
          <cell r="D223" t="str">
            <v>ボスフロア内で自身が先頭の時、Cパネル生成に必要なチェイン数を短縮する</v>
          </cell>
        </row>
        <row r="224">
          <cell r="A224">
            <v>3101</v>
          </cell>
          <cell r="B224" t="str">
            <v>ja</v>
          </cell>
          <cell r="C224" t="str">
            <v>ボスフロア時 バリア8000</v>
          </cell>
          <cell r="D224" t="str">
            <v>ボスフロアの1ターン目終了時に自身への直接ダメージを8000まで防ぐバリアを一度だけ展開(バリアは破壊されると復活しない)</v>
          </cell>
        </row>
        <row r="225">
          <cell r="A225">
            <v>3102</v>
          </cell>
          <cell r="B225" t="str">
            <v>ja</v>
          </cell>
          <cell r="C225" t="str">
            <v>ボスフロア時 Cスキル威力UP</v>
          </cell>
          <cell r="D225" t="str">
            <v>ボスフロアの1ターン目終了時に自身のCスキルの威力をUP</v>
          </cell>
        </row>
        <row r="226">
          <cell r="A226">
            <v>3103</v>
          </cell>
          <cell r="B226" t="str">
            <v>ja</v>
          </cell>
          <cell r="C226" t="str">
            <v>ボスフロア 攻撃力UP</v>
          </cell>
          <cell r="D226" t="str">
            <v>ボスフロア内で自身の攻撃力を700UP</v>
          </cell>
        </row>
        <row r="227">
          <cell r="A227">
            <v>3200</v>
          </cell>
          <cell r="B227" t="str">
            <v>ja</v>
          </cell>
          <cell r="C227" t="str">
            <v>HP33%以下 攻撃力UP</v>
          </cell>
          <cell r="D227" t="str">
            <v>自身が先頭の時、残りHPが33%以下で攻撃力特大UP</v>
          </cell>
        </row>
        <row r="228">
          <cell r="A228">
            <v>3201</v>
          </cell>
          <cell r="B228" t="str">
            <v>ja</v>
          </cell>
          <cell r="C228" t="str">
            <v>HP35%以下 回復力UP</v>
          </cell>
          <cell r="D228" t="str">
            <v>自身が先頭の時、残りHPが35%以下で回復力40%UP</v>
          </cell>
        </row>
        <row r="229">
          <cell r="A229">
            <v>3202</v>
          </cell>
          <cell r="B229" t="str">
            <v>ja</v>
          </cell>
          <cell r="C229" t="str">
            <v>HP90%以上 全属性耐性15</v>
          </cell>
          <cell r="D229" t="str">
            <v>自身が先頭の時、残りHPが90%以上で全ユニットに対する全属性の敵からの攻撃を15％軽減</v>
          </cell>
        </row>
        <row r="230">
          <cell r="A230">
            <v>3203</v>
          </cell>
          <cell r="B230" t="str">
            <v>ja</v>
          </cell>
          <cell r="C230" t="str">
            <v>HP50%以下 防御力UP</v>
          </cell>
          <cell r="D230" t="str">
            <v>自身が先頭の時、残りHPが50%以下で防御力398UP</v>
          </cell>
        </row>
        <row r="231">
          <cell r="A231">
            <v>3204</v>
          </cell>
          <cell r="B231" t="str">
            <v>ja</v>
          </cell>
          <cell r="C231" t="str">
            <v>HP30%以下 攻撃力大UP</v>
          </cell>
          <cell r="D231" t="str">
            <v>自身が先頭の時、残りHPが30%以下で攻撃力大UP</v>
          </cell>
        </row>
        <row r="232">
          <cell r="A232">
            <v>3205</v>
          </cell>
          <cell r="B232" t="str">
            <v>ja</v>
          </cell>
          <cell r="C232" t="str">
            <v>HP90%以上 ダメージ軽減</v>
          </cell>
          <cell r="D232" t="str">
            <v>残りHPが90%以上の時、全ユニットが敵からの攻撃を15％軽減</v>
          </cell>
        </row>
        <row r="233">
          <cell r="A233">
            <v>4000</v>
          </cell>
          <cell r="B233" t="str">
            <v>ja</v>
          </cell>
          <cell r="C233" t="str">
            <v>被ダメージ時 HP回復</v>
          </cell>
          <cell r="D233" t="str">
            <v>自身が攻撃を受けた場合、次のターンの開始時にHP500回復する</v>
          </cell>
        </row>
        <row r="234">
          <cell r="A234">
            <v>8000</v>
          </cell>
          <cell r="B234" t="str">
            <v>ja</v>
          </cell>
          <cell r="C234" t="str">
            <v>ユニットが一番右にいるとき 攻撃力UP</v>
          </cell>
          <cell r="D234" t="str">
            <v>自身が一番右にいる場合、全ユニットの攻撃力UP</v>
          </cell>
        </row>
        <row r="235">
          <cell r="A235">
            <v>8001</v>
          </cell>
          <cell r="B235" t="str">
            <v>ja</v>
          </cell>
          <cell r="C235" t="str">
            <v>敵に青属性がいる場合 小カウンター</v>
          </cell>
          <cell r="D235" t="str">
            <v>敵に青属性がいる場合、小カウンター</v>
          </cell>
        </row>
        <row r="236">
          <cell r="A236">
            <v>8002</v>
          </cell>
          <cell r="B236" t="str">
            <v>ja</v>
          </cell>
          <cell r="C236" t="str">
            <v>テスト</v>
          </cell>
          <cell r="D236" t="str">
            <v>フロアスタート時、1ターン全ユニットの攻撃力UP</v>
          </cell>
        </row>
        <row r="237">
          <cell r="A237">
            <v>9000</v>
          </cell>
          <cell r="B237" t="str">
            <v>ja</v>
          </cell>
          <cell r="C237" t="str">
            <v>ハップルチャレンジ ダメージUP</v>
          </cell>
          <cell r="D237" t="str">
            <v>ハップルチャレンジ内で自身の全ての攻撃の威力をUP</v>
          </cell>
        </row>
        <row r="238">
          <cell r="A238">
            <v>9001</v>
          </cell>
          <cell r="B238" t="str">
            <v>ja</v>
          </cell>
          <cell r="C238" t="str">
            <v>クロネッカーチャレンジ ダメージUP</v>
          </cell>
          <cell r="D238" t="str">
            <v>クロネッカーチャレンジ内で自身の全ての攻撃の威力をUP</v>
          </cell>
        </row>
        <row r="239">
          <cell r="A239">
            <v>9002</v>
          </cell>
          <cell r="B239" t="str">
            <v>ja</v>
          </cell>
          <cell r="C239" t="str">
            <v>クロネッカーチャレンジ ダメージUP</v>
          </cell>
          <cell r="D239" t="str">
            <v>クロネッカーチャレンジ内で自身の全ての攻撃+カウンターの威力をUP</v>
          </cell>
        </row>
        <row r="240">
          <cell r="A240">
            <v>119402</v>
          </cell>
          <cell r="B240" t="str">
            <v>ja</v>
          </cell>
          <cell r="C240" t="str">
            <v>ハロウィンナイトパニック！ 威力UP</v>
          </cell>
          <cell r="D240" t="str">
            <v>ハロウィンナイトパニック！内で自身の全ての攻撃の威力を究極UP</v>
          </cell>
        </row>
        <row r="241">
          <cell r="A241">
            <v>500801</v>
          </cell>
          <cell r="B241" t="str">
            <v>ja</v>
          </cell>
          <cell r="C241" t="str">
            <v>パネルブレイク35 攻撃力小UP</v>
          </cell>
          <cell r="D241" t="str">
            <v>自身が先頭の時、1ターンの間に合計35個以上パネルを破壊した場合に攻撃力小UP</v>
          </cell>
        </row>
        <row r="242">
          <cell r="A242">
            <v>808082</v>
          </cell>
          <cell r="B242" t="str">
            <v>ja</v>
          </cell>
          <cell r="C242" t="str">
            <v>Cパネルドロップ</v>
          </cell>
          <cell r="D242" t="str">
            <v>自身が先頭の時、低確率でCパネルをドロップ</v>
          </cell>
        </row>
        <row r="243">
          <cell r="A243">
            <v>900000</v>
          </cell>
          <cell r="B243" t="str">
            <v>ja</v>
          </cell>
          <cell r="C243" t="str">
            <v>フィーバー100 プロテクトブレイク</v>
          </cell>
          <cell r="D243" t="str">
            <v>フィーバーゲージが100％以上の時、1ターンプロテクトブレイク</v>
          </cell>
        </row>
        <row r="244">
          <cell r="A244">
            <v>900001</v>
          </cell>
          <cell r="B244" t="str">
            <v>ja</v>
          </cell>
          <cell r="C244" t="str">
            <v>フィーバー100 お邪魔ブレイク</v>
          </cell>
          <cell r="D244" t="str">
            <v>フィーバーゲージが100％以上の時、1ターンお邪魔ブレイク</v>
          </cell>
        </row>
        <row r="245">
          <cell r="A245">
            <v>900402</v>
          </cell>
          <cell r="B245" t="str">
            <v>ja</v>
          </cell>
          <cell r="C245" t="str">
            <v>バリア3500</v>
          </cell>
          <cell r="D245" t="str">
            <v>戦闘開始時に、自身への直接ダメージを3500まで防ぐバリアを一度だけ展開(バリアは破壊されると復活しない)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/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358</v>
      </c>
      <c r="B2" s="105" t="s">
        <v>129</v>
      </c>
      <c r="C2" s="162" t="s">
        <v>359</v>
      </c>
      <c r="D2" s="105" t="s">
        <v>128</v>
      </c>
      <c r="E2" s="104" t="str">
        <f>B2&amp;C2&amp;D2</f>
        <v>units_testunitpark.tmp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322</v>
      </c>
      <c r="S2" s="105"/>
      <c r="T2" s="105"/>
      <c r="U2" s="105"/>
      <c r="V2" s="105"/>
      <c r="W2" s="105"/>
    </row>
    <row r="3" spans="1:29" x14ac:dyDescent="0.15">
      <c r="A3" s="105" t="s">
        <v>358</v>
      </c>
      <c r="B3" s="105" t="s">
        <v>293</v>
      </c>
      <c r="C3" s="162" t="s">
        <v>359</v>
      </c>
      <c r="D3" s="105" t="s">
        <v>128</v>
      </c>
      <c r="E3" s="104" t="str">
        <f>B3&amp;C3&amp;D3</f>
        <v>fork_awake_units_testunitpark.tmp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358</v>
      </c>
      <c r="B4" s="105" t="s">
        <v>130</v>
      </c>
      <c r="C4" s="162" t="s">
        <v>359</v>
      </c>
      <c r="D4" s="105" t="s">
        <v>128</v>
      </c>
      <c r="E4" s="104" t="str">
        <f>B4&amp;C4&amp;D4</f>
        <v>awake_materials_testunitpark.tmp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358</v>
      </c>
      <c r="B5" s="105" t="s">
        <v>292</v>
      </c>
      <c r="C5" s="162" t="s">
        <v>359</v>
      </c>
      <c r="D5" s="105" t="s">
        <v>128</v>
      </c>
      <c r="E5" s="104" t="str">
        <f>B5&amp;C5&amp;D5</f>
        <v>fork_awake_materials_testunitpark.tmp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358</v>
      </c>
      <c r="B6" s="105" t="s">
        <v>131</v>
      </c>
      <c r="C6" s="162" t="s">
        <v>359</v>
      </c>
      <c r="D6" s="105" t="s">
        <v>132</v>
      </c>
      <c r="E6" s="104" t="str">
        <f t="shared" ref="E6" si="0">B6&amp;C6&amp;D6</f>
        <v>unit_levels_calc_testunitpark.tmp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358</v>
      </c>
      <c r="B7" s="105" t="s">
        <v>143</v>
      </c>
      <c r="C7" s="162" t="s">
        <v>359</v>
      </c>
      <c r="D7" s="105" t="s">
        <v>144</v>
      </c>
      <c r="E7" s="104" t="str">
        <f>B7&amp;C7&amp;D7</f>
        <v>unit_skills_data_testunitpark.tmp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358</v>
      </c>
      <c r="B8" s="105" t="s">
        <v>149</v>
      </c>
      <c r="C8" s="162" t="s">
        <v>359</v>
      </c>
      <c r="D8" s="105" t="s">
        <v>128</v>
      </c>
      <c r="E8" s="104" t="str">
        <f>B8&amp;C8&amp;D8</f>
        <v>unit_skills_i18n_testunitpark.tmp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358</v>
      </c>
      <c r="B9" s="105" t="s">
        <v>153</v>
      </c>
      <c r="C9" s="162" t="s">
        <v>359</v>
      </c>
      <c r="D9" s="105" t="s">
        <v>154</v>
      </c>
      <c r="E9" s="104" t="str">
        <f>B9&amp;C9&amp;D9</f>
        <v>crash_skills_data_testunitpark.tmp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358</v>
      </c>
      <c r="B10" s="105" t="s">
        <v>157</v>
      </c>
      <c r="C10" s="162" t="s">
        <v>359</v>
      </c>
      <c r="D10" s="105" t="s">
        <v>158</v>
      </c>
      <c r="E10" s="104" t="str">
        <f t="shared" ref="E10" si="1">B10&amp;C10&amp;D10</f>
        <v>crash_skills_i18n_testunitpark.tmp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358</v>
      </c>
      <c r="B11" s="108" t="s">
        <v>135</v>
      </c>
      <c r="C11" s="162" t="s">
        <v>359</v>
      </c>
      <c r="D11" s="105" t="s">
        <v>158</v>
      </c>
      <c r="E11" s="104" t="str">
        <f t="shared" ref="E11:E12" si="2">B11&amp;C11&amp;D11</f>
        <v>unit_serifs_data_testunitpark.tmp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358</v>
      </c>
      <c r="B12" s="108" t="s">
        <v>136</v>
      </c>
      <c r="C12" s="162" t="s">
        <v>359</v>
      </c>
      <c r="D12" s="105" t="s">
        <v>158</v>
      </c>
      <c r="E12" s="104" t="str">
        <f t="shared" si="2"/>
        <v>unit_serifs_i18n_testunitpark.tmp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358</v>
      </c>
      <c r="B13" s="105" t="s">
        <v>319</v>
      </c>
      <c r="C13" s="162" t="s">
        <v>359</v>
      </c>
      <c r="D13" s="105" t="s">
        <v>253</v>
      </c>
      <c r="E13" s="104" t="str">
        <f>B13&amp;C13&amp;D13</f>
        <v>abilities_tmp_testunitpark.tmp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358</v>
      </c>
      <c r="B14" s="105" t="s">
        <v>258</v>
      </c>
      <c r="C14" s="162" t="s">
        <v>359</v>
      </c>
      <c r="D14" s="105" t="s">
        <v>128</v>
      </c>
      <c r="E14" s="104" t="str">
        <f>B14&amp;C14&amp;D14</f>
        <v>abilities_i18n_testunitpark.tmp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98" t="s">
        <v>344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358</v>
      </c>
      <c r="B15" s="105" t="s">
        <v>261</v>
      </c>
      <c r="C15" s="162" t="s">
        <v>359</v>
      </c>
      <c r="D15" s="105" t="s">
        <v>128</v>
      </c>
      <c r="E15" s="104" t="str">
        <f>B15&amp;C15&amp;D15</f>
        <v>unit_abilities_testunitpark.tmp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7"/>
  <sheetViews>
    <sheetView showGridLines="0" tabSelected="1" workbookViewId="0">
      <pane xSplit="9" ySplit="1" topLeftCell="AW2" activePane="bottomRight" state="frozen"/>
      <selection pane="topRight" activeCell="J1" sqref="J1"/>
      <selection pane="bottomLeft" activeCell="A3" sqref="A3"/>
      <selection pane="bottomRight" activeCell="A12" sqref="A1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323</v>
      </c>
    </row>
    <row r="2" spans="1:70" ht="26" customHeight="1" x14ac:dyDescent="0.15">
      <c r="A2" s="186">
        <v>10021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テストユニット21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0">
        <f ca="1">VLOOKUP(I2,[1]属性!$A:$E,2,FALSE)</f>
        <v>1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1.02</v>
      </c>
      <c r="N2" s="10">
        <f ca="1">INDEX(コスト!$A$1:$I$21,MATCH(H2,コスト!$A$1:$A$21,FALSE),MATCH(G2,コスト!$A$1:$I$1,FALSE))</f>
        <v>38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0">
        <f ca="1">VLOOKUP(Q2,[1]character_type_i18n!$A:$H,4,FALSE)</f>
        <v>1.45</v>
      </c>
      <c r="T2" s="10">
        <f ca="1">VLOOKUP(Q2,[1]character_type_i18n!$A:$H,5,FALSE)</f>
        <v>0.85</v>
      </c>
      <c r="U2" s="10">
        <f ca="1">VLOOKUP(Q2,[1]character_type_i18n!$A:$H,6,FALSE)</f>
        <v>1</v>
      </c>
      <c r="V2" s="10">
        <f ca="1">VLOOKUP(Q2,[1]character_type_i18n!$A:$H,7,FALSE)</f>
        <v>0.7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demon</v>
      </c>
      <c r="X2" s="5" t="str">
        <f ca="1">VLOOKUP(W2,[1]character_tribe_i18n!$A:$H,3,FALSE)</f>
        <v>デーモン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10022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テストユニット22</v>
      </c>
      <c r="AG2" s="187">
        <v>10021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テストユニット21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10021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テストユニット21スキル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赤・ダメージパネルをCPに、緑を最大1つ青ボム(大)に変換+3ターンタップ数1増加、回復力1313UP+自身にバリア3500を展開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10021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テストユニット21Cスキル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1体に特大ダメージ+_x000D_1ターン全ユニットの攻撃力小UP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0.89800000000000002</v>
      </c>
      <c r="AZ2" s="64">
        <v>1.27</v>
      </c>
      <c r="BA2" s="64">
        <v>0</v>
      </c>
      <c r="BB2" s="64">
        <v>0.92700000000000005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t="shared" ref="BE2:BE7" ca="1" si="3">ROUND(IFERROR(INDIRECT(ADDRESS(MATCH($A2,$AE:$AE,0),MATCH($BC$1,$1:$1,0))),0),0)</f>
        <v>0</v>
      </c>
      <c r="BF2" s="10">
        <f t="shared" ref="BF2:BF7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3256</v>
      </c>
      <c r="BH2" s="15">
        <f ca="1">IF($BE2&lt;=0,ROUND(BL2*0.5,0), ROUND($BE2*T2*AB2*K2*AZ2*0.8*[1]ステータス!$C$2,0))</f>
        <v>1587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828</v>
      </c>
      <c r="BK2" s="10">
        <f ca="1">ROUND(BD2*S2*AA2*J2*AY2*[1]ステータス!$B$2,0)</f>
        <v>6511</v>
      </c>
      <c r="BL2" s="10">
        <f ca="1">ROUND(BD2*T2*AB2*K2*AZ2*[1]ステータス!$C$2,0)</f>
        <v>3174</v>
      </c>
      <c r="BM2" s="10">
        <f ca="1">ROUND(BD2*U2*AC2*L2*BA2*[1]ステータス!$D$2,0)</f>
        <v>0</v>
      </c>
      <c r="BN2" s="10">
        <f ca="1">ROUND(BD2*V2*AD2*M2*BB2*[1]ステータス!$E$2,0)</f>
        <v>1655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6000</v>
      </c>
    </row>
    <row r="3" spans="1:70" ht="26" customHeight="1" x14ac:dyDescent="0.15">
      <c r="A3" s="186">
        <v>10022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テストユニット22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0">
        <f ca="1">VLOOKUP(I3,[1]属性!$A:$E,2,FALSE)</f>
        <v>1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1.02</v>
      </c>
      <c r="N3" s="10">
        <f ca="1">INDEX(コスト!$A$1:$I$21,MATCH(H3,コスト!$A$1:$A$21,FALSE),MATCH(G3,コスト!$A$1:$I$1,FALSE))</f>
        <v>53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0">
        <f ca="1">VLOOKUP(Q3,[1]character_type_i18n!$A:$H,4,FALSE)</f>
        <v>1.45</v>
      </c>
      <c r="T3" s="10">
        <f ca="1">VLOOKUP(Q3,[1]character_type_i18n!$A:$H,5,FALSE)</f>
        <v>0.85</v>
      </c>
      <c r="U3" s="10">
        <f ca="1">VLOOKUP(Q3,[1]character_type_i18n!$A:$H,6,FALSE)</f>
        <v>1</v>
      </c>
      <c r="V3" s="10">
        <f ca="1">VLOOKUP(Q3,[1]character_type_i18n!$A:$H,7,FALSE)</f>
        <v>0.7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demon</v>
      </c>
      <c r="X3" s="5" t="str">
        <f ca="1">VLOOKUP(W3,[1]character_tribe_i18n!$A:$H,3,FALSE)</f>
        <v>デーモン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10021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テストユニット21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10022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テストユニット22スキル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赤・ダメージパネルをCPに、緑を最大1つ青ボム(特大)に変換+3ターンタップ数1増加、回復力1313UP+自身にバリア3500を展開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10022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テストユニット22Cスキル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1体に超大ダメージ+_x000D_1ターン全ユニットの攻撃力小UP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0.89800000000000002</v>
      </c>
      <c r="AZ3" s="64">
        <v>1.27</v>
      </c>
      <c r="BA3" s="64">
        <v>0</v>
      </c>
      <c r="BB3" s="64">
        <v>0.92700000000000005</v>
      </c>
      <c r="BC3" s="10">
        <f ca="1">INDEX('RC6SV'!$A$1:$G$21,MATCH(H3,'RC6SV'!$A$1:$A$21,FALSE),MATCH(G3,'RC6SV'!$A$1:$G$1,FALSE))</f>
        <v>14000</v>
      </c>
      <c r="BD3" s="44">
        <f t="shared" ref="BD3:BD4" ca="1" si="6">ROUND(BC3*IF(AJ3=1,0.95,IF(AJ3=2,1,IF(AJ3,1.05,0))),0)</f>
        <v>14000</v>
      </c>
      <c r="BE3" s="10">
        <f t="shared" ca="1" si="3"/>
        <v>10000</v>
      </c>
      <c r="BF3" s="10">
        <f t="shared" ca="1" si="4"/>
        <v>1</v>
      </c>
      <c r="BG3" s="15">
        <f ca="1">IF($BE3&lt;=0,ROUND(BK3*0.5,0), ROUND($BE3*S3*AA3*J3*AY3*0.8*[1]ステータス!$B$2,0))</f>
        <v>5208</v>
      </c>
      <c r="BH3" s="15">
        <f ca="1">IF($BE3&lt;=0,ROUND(BL3*0.5,0), ROUND($BE3*T3*AB3*K3*AZ3*0.8*[1]ステータス!$C$2,0))</f>
        <v>2539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1324</v>
      </c>
      <c r="BK3" s="10">
        <f ca="1">ROUND(BD3*S3*AA3*J3*AY3*[1]ステータス!$B$2,0)</f>
        <v>9115</v>
      </c>
      <c r="BL3" s="10">
        <f ca="1">ROUND(BD3*T3*AB3*K3*AZ3*[1]ステータス!$C$2,0)</f>
        <v>4443</v>
      </c>
      <c r="BM3" s="10">
        <f ca="1">ROUND(BD3*U3*AC3*L3*BA3*[1]ステータス!$D$2,0)</f>
        <v>0</v>
      </c>
      <c r="BN3" s="10">
        <f ca="1">ROUND(BD3*V3*AD3*M3*BB3*[1]ステータス!$E$2,0)</f>
        <v>2317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6000</v>
      </c>
    </row>
    <row r="4" spans="1:70" ht="26" customHeight="1" x14ac:dyDescent="0.15">
      <c r="A4" s="186">
        <v>10023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テストユニット23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PremiumSSw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0">
        <f ca="1">VLOOKUP(I4,[1]属性!$A:$E,2,FALSE)</f>
        <v>1.02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</v>
      </c>
      <c r="N4" s="10">
        <f ca="1">INDEX(コスト!$A$1:$I$21,MATCH(H4,コスト!$A$1:$A$21,FALSE),MATCH(G4,コスト!$A$1:$I$1,FALSE))</f>
        <v>38</v>
      </c>
      <c r="O4" s="10">
        <f ca="1">INDEX(レベル!$A$1:$I$22,MATCH(H4,レベル!$A$1:$A$22,FALSE),MATCH(G4,レベル!$A$1:$I$1,FALSE))</f>
        <v>80</v>
      </c>
      <c r="P4" s="44">
        <f t="shared" ref="P4:P5" ca="1" si="7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0">
        <f ca="1">VLOOKUP(Q4,[1]character_type_i18n!$A:$H,4,FALSE)</f>
        <v>0.8</v>
      </c>
      <c r="T4" s="10">
        <f ca="1">VLOOKUP(Q4,[1]character_type_i18n!$A:$H,5,FALSE)</f>
        <v>0.78</v>
      </c>
      <c r="U4" s="10">
        <f ca="1">VLOOKUP(Q4,[1]character_type_i18n!$A:$H,6,FALSE)</f>
        <v>1</v>
      </c>
      <c r="V4" s="10">
        <f ca="1">VLOOKUP(Q4,[1]character_type_i18n!$A:$H,7,FALSE)</f>
        <v>1.42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dragon</v>
      </c>
      <c r="X4" s="5" t="str">
        <f ca="1">VLOOKUP(W4,[1]character_tribe_i18n!$A:$H,3,FALSE)</f>
        <v>ドラゴン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samurai</v>
      </c>
      <c r="Z4" s="5" t="str">
        <f ca="1">VLOOKUP(Y4,[1]character_tribe_i18n!$A:$H,3,FALSE)</f>
        <v>サムライ</v>
      </c>
      <c r="AA4" s="10">
        <f ca="1">VLOOKUP(W4,[1]character_tribe_i18n!$A:$H,4,FALSE)</f>
        <v>1.1499999999999999</v>
      </c>
      <c r="AB4" s="10">
        <f ca="1">VLOOKUP(W4,[1]character_tribe_i18n!$A:$H,5,FALSE)</f>
        <v>1.1000000000000001</v>
      </c>
      <c r="AC4" s="10">
        <f ca="1">VLOOKUP(W4,[1]character_tribe_i18n!$A:$H,6,FALSE)</f>
        <v>1</v>
      </c>
      <c r="AD4" s="10">
        <f ca="1">VLOOKUP(W4,[1]character_tribe_i18n!$A:$H,7,FALSE)</f>
        <v>0.75</v>
      </c>
      <c r="AE4" s="187">
        <v>10024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テストユニット24</v>
      </c>
      <c r="AG4" s="187">
        <v>10023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テストユニット23</v>
      </c>
      <c r="AI4" s="10">
        <f ca="1">IF(AE4="NULL","NULL",VLOOKUP(G4,ビット!$A$2:$B$7,2))</f>
        <v>200000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10023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テストユニット23スキル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カウンタ解除+1ターン緑属性回復力特大UPし、_x000D_タップ回数を1増やす+バリア生成3000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10023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テストユニット23Cスキル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自身の回復力に比例して全体に特大ダメージ_x000D_+1体に大ダメージ+攻撃タイプに効果超大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0.8</v>
      </c>
      <c r="AZ4" s="64">
        <v>0.8</v>
      </c>
      <c r="BA4" s="64">
        <v>0</v>
      </c>
      <c r="BB4" s="64">
        <v>1.5</v>
      </c>
      <c r="BC4" s="10">
        <f ca="1">INDEX('RC6SV'!$A$1:$G$21,MATCH(H4,'RC6SV'!$A$1:$A$21,FALSE),MATCH(G4,'RC6SV'!$A$1:$G$1,FALSE))</f>
        <v>10000</v>
      </c>
      <c r="BD4" s="44">
        <f t="shared" ca="1" si="6"/>
        <v>10000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1877</v>
      </c>
      <c r="BH4" s="15">
        <f ca="1">IF($BE4&lt;=0,ROUND(BL4*0.5,0), ROUND($BE4*T4*AB4*K4*AZ4*0.8*[1]ステータス!$C$2,0))</f>
        <v>1009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1997</v>
      </c>
      <c r="BK4" s="10">
        <f ca="1">ROUND(BD4*S4*AA4*J4*AY4*[1]ステータス!$B$2,0)</f>
        <v>3754</v>
      </c>
      <c r="BL4" s="10">
        <f ca="1">ROUND(BD4*T4*AB4*K4*AZ4*[1]ステータス!$C$2,0)</f>
        <v>2018</v>
      </c>
      <c r="BM4" s="10">
        <f ca="1">ROUND(BD4*U4*AC4*L4*BA4*[1]ステータス!$D$2,0)</f>
        <v>0</v>
      </c>
      <c r="BN4" s="10">
        <f ca="1">ROUND(BD4*V4*AD4*M4*BB4*[1]ステータス!$E$2,0)</f>
        <v>3994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6000</v>
      </c>
    </row>
    <row r="5" spans="1:70" ht="26" customHeight="1" x14ac:dyDescent="0.15">
      <c r="A5" s="186">
        <v>10024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テストユニット24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PremiumSSw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0">
        <f ca="1">VLOOKUP(I5,[1]属性!$A:$E,2,FALSE)</f>
        <v>1.02</v>
      </c>
      <c r="K5" s="10">
        <f ca="1">VLOOKUP(I5,[1]属性!$A:$E,3,FALSE)</f>
        <v>0.98</v>
      </c>
      <c r="L5" s="10">
        <f ca="1">VLOOKUP(I5,[1]属性!$A:$E,4,FALSE)</f>
        <v>1</v>
      </c>
      <c r="M5" s="10">
        <f ca="1">VLOOKUP(I5,[1]属性!$A:$E,5,FALSE)</f>
        <v>1</v>
      </c>
      <c r="N5" s="10">
        <f ca="1">INDEX(コスト!$A$1:$I$21,MATCH(H5,コスト!$A$1:$A$21,FALSE),MATCH(G5,コスト!$A$1:$I$1,FALSE))</f>
        <v>53</v>
      </c>
      <c r="O5" s="10">
        <f ca="1">INDEX(レベル!$A$1:$I$22,MATCH(H5,レベル!$A$1:$A$22,FALSE),MATCH(G5,レベル!$A$1:$I$1,FALSE))</f>
        <v>99</v>
      </c>
      <c r="P5" s="44">
        <f t="shared" ca="1" si="7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0">
        <f ca="1">VLOOKUP(Q5,[1]character_type_i18n!$A:$H,4,FALSE)</f>
        <v>1.45</v>
      </c>
      <c r="T5" s="10">
        <f ca="1">VLOOKUP(Q5,[1]character_type_i18n!$A:$H,5,FALSE)</f>
        <v>0.85</v>
      </c>
      <c r="U5" s="10">
        <f ca="1">VLOOKUP(Q5,[1]character_type_i18n!$A:$H,6,FALSE)</f>
        <v>1</v>
      </c>
      <c r="V5" s="10">
        <f ca="1">VLOOKUP(Q5,[1]character_type_i18n!$A:$H,7,FALSE)</f>
        <v>0.7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dragon</v>
      </c>
      <c r="X5" s="5" t="str">
        <f ca="1">VLOOKUP(W5,[1]character_tribe_i18n!$A:$H,3,FALSE)</f>
        <v>ドラゴン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samurai</v>
      </c>
      <c r="Z5" s="5" t="str">
        <f ca="1">VLOOKUP(Y5,[1]character_tribe_i18n!$A:$H,3,FALSE)</f>
        <v>サムライ</v>
      </c>
      <c r="AA5" s="10">
        <f ca="1">VLOOKUP(W5,[1]character_tribe_i18n!$A:$H,4,FALSE)</f>
        <v>1.1499999999999999</v>
      </c>
      <c r="AB5" s="10">
        <f ca="1">VLOOKUP(W5,[1]character_tribe_i18n!$A:$H,5,FALSE)</f>
        <v>1.1000000000000001</v>
      </c>
      <c r="AC5" s="10">
        <f ca="1">VLOOKUP(W5,[1]character_tribe_i18n!$A:$H,6,FALSE)</f>
        <v>1</v>
      </c>
      <c r="AD5" s="10">
        <f ca="1">VLOOKUP(W5,[1]character_tribe_i18n!$A:$H,7,FALSE)</f>
        <v>0.75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10023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テストユニット23</v>
      </c>
      <c r="AI5" s="10" t="str">
        <f>IF(AE5="NULL","NULL",VLOOKUP(G5,ビット!$A$2:$B$7,2))</f>
        <v>NULL</v>
      </c>
      <c r="AJ5" s="6">
        <v>2</v>
      </c>
      <c r="AK5" s="7" t="str">
        <f t="shared" ref="AK5:AK6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10024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テストユニット24スキル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カウンタ解除+2ターン緑属性回復力特大UPし、_x000D_タップ回数を1増やす+バリア生成5000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10024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テストユニット24Cスキル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自身の回復力に比例して全体に超大ダメージ_x000D_+1体に特大ダメージ+攻撃タイプに効果超大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4">
        <v>0.76500000000000001</v>
      </c>
      <c r="AZ5" s="64">
        <v>0.8</v>
      </c>
      <c r="BA5" s="64">
        <v>0</v>
      </c>
      <c r="BB5" s="64">
        <v>1.5</v>
      </c>
      <c r="BC5" s="10">
        <f ca="1">INDEX('RC6SV'!$A$1:$G$21,MATCH(H5,'RC6SV'!$A$1:$A$21,FALSE),MATCH(G5,'RC6SV'!$A$1:$G$1,FALSE))</f>
        <v>14000</v>
      </c>
      <c r="BD5" s="44">
        <f t="shared" ref="BD5:BD6" ca="1" si="9">ROUND(BC5*IF(AJ5=1,0.95,IF(AJ5=2,1,IF(AJ5,1.05,0))),0)</f>
        <v>14000</v>
      </c>
      <c r="BE5" s="10">
        <f t="shared" ca="1" si="3"/>
        <v>10000</v>
      </c>
      <c r="BF5" s="10">
        <f t="shared" ca="1" si="4"/>
        <v>1</v>
      </c>
      <c r="BG5" s="15">
        <f ca="1">IF($BE5&lt;=0,ROUND(BK5*0.5,0), ROUND($BE5*S5*AA5*J5*AY5*0.8*[1]ステータス!$B$2,0))</f>
        <v>5205</v>
      </c>
      <c r="BH5" s="15">
        <f ca="1">IF($BE5&lt;=0,ROUND(BL5*0.5,0), ROUND($BE5*T5*AB5*K5*AZ5*0.8*[1]ステータス!$C$2,0))</f>
        <v>1759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1575</v>
      </c>
      <c r="BK5" s="10">
        <f ca="1">ROUND(BD5*S5*AA5*J5*AY5*[1]ステータス!$B$2,0)</f>
        <v>9108</v>
      </c>
      <c r="BL5" s="10">
        <f ca="1">ROUND(BD5*T5*AB5*K5*AZ5*[1]ステータス!$C$2,0)</f>
        <v>3079</v>
      </c>
      <c r="BM5" s="10">
        <f ca="1">ROUND(BD5*U5*AC5*L5*BA5*[1]ステータス!$D$2,0)</f>
        <v>0</v>
      </c>
      <c r="BN5" s="10">
        <f ca="1">ROUND(BD5*V5*AD5*M5*BB5*[1]ステータス!$E$2,0)</f>
        <v>2756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6000</v>
      </c>
    </row>
    <row r="6" spans="1:70" ht="26" customHeight="1" x14ac:dyDescent="0.15">
      <c r="A6" s="186">
        <v>10025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テストユニット25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PremiumSSw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0">
        <f ca="1">VLOOKUP(I6,[1]属性!$A:$E,2,FALSE)</f>
        <v>1</v>
      </c>
      <c r="K6" s="10">
        <f ca="1">VLOOKUP(I6,[1]属性!$A:$E,3,FALSE)</f>
        <v>1.02</v>
      </c>
      <c r="L6" s="10">
        <f ca="1">VLOOKUP(I6,[1]属性!$A:$E,4,FALSE)</f>
        <v>1</v>
      </c>
      <c r="M6" s="10">
        <f ca="1">VLOOKUP(I6,[1]属性!$A:$E,5,FALSE)</f>
        <v>0.98</v>
      </c>
      <c r="N6" s="10">
        <f ca="1">INDEX(コスト!$A$1:$I$21,MATCH(H6,コスト!$A$1:$A$21,FALSE),MATCH(G6,コスト!$A$1:$I$1,FALSE))</f>
        <v>38</v>
      </c>
      <c r="O6" s="10">
        <f ca="1">INDEX(レベル!$A$1:$I$22,MATCH(H6,レベル!$A$1:$A$22,FALSE),MATCH(G6,レベル!$A$1:$I$1,FALSE))</f>
        <v>80</v>
      </c>
      <c r="P6" s="44">
        <f t="shared" ref="P6:P7" ca="1" si="10">IF(G6 &gt;= 6, 99,G6*15)</f>
        <v>75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0">
        <f ca="1">VLOOKUP(Q6,[1]character_type_i18n!$A:$H,4,FALSE)</f>
        <v>1.45</v>
      </c>
      <c r="T6" s="10">
        <f ca="1">VLOOKUP(Q6,[1]character_type_i18n!$A:$H,5,FALSE)</f>
        <v>0.85</v>
      </c>
      <c r="U6" s="10">
        <f ca="1">VLOOKUP(Q6,[1]character_type_i18n!$A:$H,6,FALSE)</f>
        <v>1</v>
      </c>
      <c r="V6" s="10">
        <f ca="1">VLOOKUP(Q6,[1]character_type_i18n!$A:$H,7,FALSE)</f>
        <v>0.7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dragon</v>
      </c>
      <c r="X6" s="5" t="str">
        <f ca="1">VLOOKUP(W6,[1]character_tribe_i18n!$A:$H,3,FALSE)</f>
        <v>ドラゴン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machine</v>
      </c>
      <c r="Z6" s="5" t="str">
        <f ca="1">VLOOKUP(Y6,[1]character_tribe_i18n!$A:$H,3,FALSE)</f>
        <v>マシン</v>
      </c>
      <c r="AA6" s="10">
        <f ca="1">VLOOKUP(W6,[1]character_tribe_i18n!$A:$H,4,FALSE)</f>
        <v>1.1499999999999999</v>
      </c>
      <c r="AB6" s="10">
        <f ca="1">VLOOKUP(W6,[1]character_tribe_i18n!$A:$H,5,FALSE)</f>
        <v>1.1000000000000001</v>
      </c>
      <c r="AC6" s="10">
        <f ca="1">VLOOKUP(W6,[1]character_tribe_i18n!$A:$H,6,FALSE)</f>
        <v>1</v>
      </c>
      <c r="AD6" s="10">
        <f ca="1">VLOOKUP(W6,[1]character_tribe_i18n!$A:$H,7,FALSE)</f>
        <v>0.75</v>
      </c>
      <c r="AE6" s="187" t="s">
        <v>183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187">
        <v>10025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テストユニット25</v>
      </c>
      <c r="AI6" s="10" t="str">
        <f>IF(AE6="NULL","NULL",VLOOKUP(G6,ビット!$A$2:$B$7,2))</f>
        <v>NULL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63">
        <v>10025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テストユニット25スキル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特定部分をCパネル(大)・緑パネル・SCパネル(特大)・ハートパネルに変換+1ターン爆風強化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3">
        <v>10025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テストユニット25Cスキル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1体に超大ダメージ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64">
        <v>1</v>
      </c>
      <c r="AZ6" s="64">
        <v>1</v>
      </c>
      <c r="BA6" s="64">
        <v>0</v>
      </c>
      <c r="BB6" s="64">
        <v>1</v>
      </c>
      <c r="BC6" s="10">
        <f ca="1">INDEX('RC6SV'!$A$1:$G$21,MATCH(H6,'RC6SV'!$A$1:$A$21,FALSE),MATCH(G6,'RC6SV'!$A$1:$G$1,FALSE))</f>
        <v>10000</v>
      </c>
      <c r="BD6" s="44">
        <f t="shared" ca="1" si="9"/>
        <v>10000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4169</v>
      </c>
      <c r="BH6" s="15">
        <f ca="1">IF($BE6&lt;=0,ROUND(BL6*0.5,0), ROUND($BE6*T6*AB6*K6*AZ6*0.8*[1]ステータス!$C$2,0))</f>
        <v>1431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643</v>
      </c>
      <c r="BK6" s="10">
        <f ca="1">ROUND(BD6*S6*AA6*J6*AY6*[1]ステータス!$B$2,0)</f>
        <v>8338</v>
      </c>
      <c r="BL6" s="10">
        <f ca="1">ROUND(BD6*T6*AB6*K6*AZ6*[1]ステータス!$C$2,0)</f>
        <v>2861</v>
      </c>
      <c r="BM6" s="10">
        <f ca="1">ROUND(BD6*U6*AC6*L6*BA6*[1]ステータス!$D$2,0)</f>
        <v>0</v>
      </c>
      <c r="BN6" s="10">
        <f ca="1">ROUND(BD6*V6*AD6*M6*BB6*[1]ステータス!$E$2,0)</f>
        <v>1286</v>
      </c>
      <c r="BO6" s="9">
        <v>0</v>
      </c>
      <c r="BP6" s="9">
        <v>1</v>
      </c>
      <c r="BQ6" s="36" t="s">
        <v>47</v>
      </c>
      <c r="BR6" s="9">
        <f ca="1">VLOOKUP(H6,[2]ghosts_label!$A$2:$B$19,2,FALSE)</f>
        <v>6000</v>
      </c>
    </row>
    <row r="7" spans="1:70" ht="26" customHeight="1" x14ac:dyDescent="0.15">
      <c r="A7" s="186">
        <v>10026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テストユニット26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PremiumSSw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0">
        <f ca="1">VLOOKUP(I7,[1]属性!$A:$E,2,FALSE)</f>
        <v>1</v>
      </c>
      <c r="K7" s="10">
        <f ca="1">VLOOKUP(I7,[1]属性!$A:$E,3,FALSE)</f>
        <v>1.02</v>
      </c>
      <c r="L7" s="10">
        <f ca="1">VLOOKUP(I7,[1]属性!$A:$E,4,FALSE)</f>
        <v>1</v>
      </c>
      <c r="M7" s="10">
        <f ca="1">VLOOKUP(I7,[1]属性!$A:$E,5,FALSE)</f>
        <v>0.98</v>
      </c>
      <c r="N7" s="10">
        <f ca="1">INDEX(コスト!$A$1:$I$21,MATCH(H7,コスト!$A$1:$A$21,FALSE),MATCH(G7,コスト!$A$1:$I$1,FALSE))</f>
        <v>53</v>
      </c>
      <c r="O7" s="10">
        <f ca="1">INDEX(レベル!$A$1:$I$22,MATCH(H7,レベル!$A$1:$A$22,FALSE),MATCH(G7,レベル!$A$1:$I$1,FALSE))</f>
        <v>99</v>
      </c>
      <c r="P7" s="44">
        <f t="shared" ca="1" si="10"/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0">
        <f ca="1">VLOOKUP(Q7,[1]character_type_i18n!$A:$H,4,FALSE)</f>
        <v>1.45</v>
      </c>
      <c r="T7" s="10">
        <f ca="1">VLOOKUP(Q7,[1]character_type_i18n!$A:$H,5,FALSE)</f>
        <v>0.85</v>
      </c>
      <c r="U7" s="10">
        <f ca="1">VLOOKUP(Q7,[1]character_type_i18n!$A:$H,6,FALSE)</f>
        <v>1</v>
      </c>
      <c r="V7" s="10">
        <f ca="1">VLOOKUP(Q7,[1]character_type_i18n!$A:$H,7,FALSE)</f>
        <v>0.7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dragon</v>
      </c>
      <c r="X7" s="5" t="str">
        <f ca="1">VLOOKUP(W7,[1]character_tribe_i18n!$A:$H,3,FALSE)</f>
        <v>ドラゴン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machine</v>
      </c>
      <c r="Z7" s="5" t="str">
        <f ca="1">VLOOKUP(Y7,[1]character_tribe_i18n!$A:$H,3,FALSE)</f>
        <v>マシン</v>
      </c>
      <c r="AA7" s="10">
        <f ca="1">VLOOKUP(W7,[1]character_tribe_i18n!$A:$H,4,FALSE)</f>
        <v>1.1499999999999999</v>
      </c>
      <c r="AB7" s="10">
        <f ca="1">VLOOKUP(W7,[1]character_tribe_i18n!$A:$H,5,FALSE)</f>
        <v>1.1000000000000001</v>
      </c>
      <c r="AC7" s="10">
        <f ca="1">VLOOKUP(W7,[1]character_tribe_i18n!$A:$H,6,FALSE)</f>
        <v>1</v>
      </c>
      <c r="AD7" s="10">
        <f ca="1">VLOOKUP(W7,[1]character_tribe_i18n!$A:$H,7,FALSE)</f>
        <v>0.75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7">
        <v>10026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テストユニット26</v>
      </c>
      <c r="AI7" s="10" t="str">
        <f>IF(AE7="NULL","NULL",VLOOKUP(G7,ビット!$A$2:$B$7,2))</f>
        <v>NULL</v>
      </c>
      <c r="AJ7" s="6">
        <v>2</v>
      </c>
      <c r="AK7" s="7" t="str">
        <f t="shared" ref="AK7" si="11">IF(AJ7=1,"早熟",IF(AJ7=2,"普通",IF(AJ7=3,"晩成","")))</f>
        <v>普通</v>
      </c>
      <c r="AL7" s="10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63">
        <v>10026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テストユニット26スキル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エリア変換テスト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3">
        <v>10026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テストユニット26Cスキル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1体に超大ダメージ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64">
        <v>1</v>
      </c>
      <c r="AZ7" s="64">
        <v>1</v>
      </c>
      <c r="BA7" s="64">
        <v>0</v>
      </c>
      <c r="BB7" s="64">
        <v>1</v>
      </c>
      <c r="BC7" s="10">
        <f ca="1">INDEX('RC6SV'!$A$1:$G$21,MATCH(H7,'RC6SV'!$A$1:$A$21,FALSE),MATCH(G7,'RC6SV'!$A$1:$G$1,FALSE))</f>
        <v>14000</v>
      </c>
      <c r="BD7" s="44">
        <f t="shared" ref="BD7" ca="1" si="12">ROUND(BC7*IF(AJ7=1,0.95,IF(AJ7=2,1,IF(AJ7,1.05,0))),0)</f>
        <v>14000</v>
      </c>
      <c r="BE7" s="10">
        <f t="shared" ca="1" si="3"/>
        <v>0</v>
      </c>
      <c r="BF7" s="10">
        <f t="shared" ca="1" si="4"/>
        <v>1</v>
      </c>
      <c r="BG7" s="15">
        <f ca="1">IF($BE7&lt;=0,ROUND(BK7*0.5,0), ROUND($BE7*S7*AA7*J7*AY7*0.8*[1]ステータス!$B$2,0))</f>
        <v>5837</v>
      </c>
      <c r="BH7" s="15">
        <f ca="1">IF($BE7&lt;=0,ROUND(BL7*0.5,0), ROUND($BE7*T7*AB7*K7*AZ7*0.8*[1]ステータス!$C$2,0))</f>
        <v>2003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901</v>
      </c>
      <c r="BK7" s="10">
        <f ca="1">ROUND(BD7*S7*AA7*J7*AY7*[1]ステータス!$B$2,0)</f>
        <v>11673</v>
      </c>
      <c r="BL7" s="10">
        <f ca="1">ROUND(BD7*T7*AB7*K7*AZ7*[1]ステータス!$C$2,0)</f>
        <v>4006</v>
      </c>
      <c r="BM7" s="10">
        <f ca="1">ROUND(BD7*U7*AC7*L7*BA7*[1]ステータス!$D$2,0)</f>
        <v>0</v>
      </c>
      <c r="BN7" s="10">
        <f ca="1">ROUND(BD7*V7*AD7*M7*BB7*[1]ステータス!$E$2,0)</f>
        <v>1801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6000</v>
      </c>
    </row>
  </sheetData>
  <autoFilter ref="A1:BQ1"/>
  <phoneticPr fontId="10"/>
  <conditionalFormatting sqref="BO1">
    <cfRule type="cellIs" dxfId="40" priority="120" stopIfTrue="1" operator="equal">
      <formula>1</formula>
    </cfRule>
  </conditionalFormatting>
  <conditionalFormatting sqref="BQ1">
    <cfRule type="cellIs" dxfId="39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7"/>
  <sheetViews>
    <sheetView showGridLines="0" zoomScale="115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C6" sqref="C6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93.33203125" style="126" bestFit="1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10021</v>
      </c>
      <c r="B2" s="129" t="s">
        <v>185</v>
      </c>
      <c r="C2" s="188" t="s">
        <v>345</v>
      </c>
      <c r="D2" s="188" t="s">
        <v>347</v>
      </c>
      <c r="E2" s="131">
        <f t="shared" ref="E2" si="0">LEN(D2)</f>
        <v>65</v>
      </c>
      <c r="F2" s="63">
        <v>13</v>
      </c>
      <c r="G2" s="113">
        <v>5</v>
      </c>
      <c r="H2" s="132">
        <f>2001</f>
        <v>2001</v>
      </c>
      <c r="I2" s="189" t="s">
        <v>348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テストユニット21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10022</v>
      </c>
      <c r="B3" s="129" t="s">
        <v>185</v>
      </c>
      <c r="C3" s="188" t="s">
        <v>352</v>
      </c>
      <c r="D3" s="188" t="s">
        <v>346</v>
      </c>
      <c r="E3" s="131">
        <f t="shared" ref="E3:E4" si="1">LEN(D3)</f>
        <v>66</v>
      </c>
      <c r="F3" s="63">
        <v>12</v>
      </c>
      <c r="G3" s="113">
        <v>5</v>
      </c>
      <c r="H3" s="132">
        <f>2001</f>
        <v>2001</v>
      </c>
      <c r="I3" s="189" t="s">
        <v>354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テストユニット22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10023</v>
      </c>
      <c r="B4" s="129" t="s">
        <v>185</v>
      </c>
      <c r="C4" s="188" t="s">
        <v>360</v>
      </c>
      <c r="D4" s="188" t="s">
        <v>362</v>
      </c>
      <c r="E4" s="131">
        <f t="shared" si="1"/>
        <v>44</v>
      </c>
      <c r="F4" s="63">
        <v>12</v>
      </c>
      <c r="G4" s="113">
        <v>5</v>
      </c>
      <c r="H4" s="132">
        <f>2001</f>
        <v>2001</v>
      </c>
      <c r="I4" s="189" t="s">
        <v>364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テストユニット23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10024</v>
      </c>
      <c r="B5" s="129" t="s">
        <v>185</v>
      </c>
      <c r="C5" s="188" t="s">
        <v>361</v>
      </c>
      <c r="D5" s="188" t="s">
        <v>363</v>
      </c>
      <c r="E5" s="131">
        <f t="shared" ref="E5:E6" si="2">LEN(D5)</f>
        <v>44</v>
      </c>
      <c r="F5" s="63">
        <v>11</v>
      </c>
      <c r="G5" s="113">
        <v>5</v>
      </c>
      <c r="H5" s="132">
        <f>2001</f>
        <v>2001</v>
      </c>
      <c r="I5" s="189" t="s">
        <v>373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テストユニット24</v>
      </c>
      <c r="K5" s="133">
        <f>IFERROR(VLOOKUP(A5,[1]characters!$A:$R,18),0)</f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10025</v>
      </c>
      <c r="B6" s="129" t="s">
        <v>185</v>
      </c>
      <c r="C6" s="188" t="s">
        <v>371</v>
      </c>
      <c r="D6" s="188" t="s">
        <v>378</v>
      </c>
      <c r="E6" s="131">
        <f t="shared" si="2"/>
        <v>46</v>
      </c>
      <c r="F6" s="63">
        <v>12</v>
      </c>
      <c r="G6" s="113">
        <v>5</v>
      </c>
      <c r="H6" s="132">
        <f>2001</f>
        <v>2001</v>
      </c>
      <c r="I6" s="189" t="s">
        <v>379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テストユニット25</v>
      </c>
      <c r="K6" s="133">
        <f>IFERROR(VLOOKUP(A6,[1]characters!$A:$R,18),0)</f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10026</v>
      </c>
      <c r="B7" s="129" t="s">
        <v>185</v>
      </c>
      <c r="C7" s="188" t="s">
        <v>372</v>
      </c>
      <c r="D7" s="188" t="s">
        <v>380</v>
      </c>
      <c r="E7" s="131">
        <f t="shared" ref="E7" si="3">LEN(D7)</f>
        <v>8</v>
      </c>
      <c r="F7" s="63">
        <v>11</v>
      </c>
      <c r="G7" s="113">
        <v>5</v>
      </c>
      <c r="H7" s="132">
        <f>2001</f>
        <v>2001</v>
      </c>
      <c r="I7" s="189" t="s">
        <v>381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テストユニット26</v>
      </c>
      <c r="K7" s="133">
        <f>IFERROR(VLOOKUP(A7,[1]characters!$A:$R,18),0)</f>
        <v>1</v>
      </c>
      <c r="L7" s="134"/>
      <c r="M7" s="135"/>
      <c r="N7" s="135"/>
      <c r="O7" s="135"/>
      <c r="P7" s="135"/>
      <c r="Q7" s="135"/>
      <c r="R7" s="130"/>
      <c r="S7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8:E1048576">
    <cfRule type="cellIs" dxfId="38" priority="28" operator="greaterThan">
      <formula>41</formula>
    </cfRule>
  </conditionalFormatting>
  <conditionalFormatting sqref="E2">
    <cfRule type="cellIs" dxfId="37" priority="22" operator="greaterThan">
      <formula>57</formula>
    </cfRule>
  </conditionalFormatting>
  <conditionalFormatting sqref="E3">
    <cfRule type="cellIs" dxfId="36" priority="21" operator="greaterThan">
      <formula>57</formula>
    </cfRule>
  </conditionalFormatting>
  <conditionalFormatting sqref="E4">
    <cfRule type="cellIs" dxfId="35" priority="4" operator="greaterThan">
      <formula>57</formula>
    </cfRule>
  </conditionalFormatting>
  <conditionalFormatting sqref="E5">
    <cfRule type="cellIs" dxfId="34" priority="3" operator="greaterThan">
      <formula>57</formula>
    </cfRule>
  </conditionalFormatting>
  <conditionalFormatting sqref="E6">
    <cfRule type="cellIs" dxfId="33" priority="2" operator="greaterThan">
      <formula>57</formula>
    </cfRule>
  </conditionalFormatting>
  <conditionalFormatting sqref="E7">
    <cfRule type="cellIs" dxfId="32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7"/>
  <sheetViews>
    <sheetView showGridLines="0" workbookViewId="0">
      <pane xSplit="4" ySplit="1" topLeftCell="H2" activePane="bottomRight" state="frozen"/>
      <selection pane="topRight" activeCell="D1" sqref="D1"/>
      <selection pane="bottomLeft" activeCell="A3" sqref="A3"/>
      <selection pane="bottomRight" activeCell="A2" sqref="A2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10021</v>
      </c>
      <c r="B2" s="129" t="s">
        <v>186</v>
      </c>
      <c r="C2" s="188" t="s">
        <v>349</v>
      </c>
      <c r="D2" s="188" t="s">
        <v>350</v>
      </c>
      <c r="E2" s="131">
        <f t="shared" ref="E2" si="0">LEN(D2)</f>
        <v>27</v>
      </c>
      <c r="F2" s="190" t="s">
        <v>351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テストユニット21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10022</v>
      </c>
      <c r="B3" s="129" t="s">
        <v>186</v>
      </c>
      <c r="C3" s="188" t="s">
        <v>355</v>
      </c>
      <c r="D3" s="188" t="s">
        <v>353</v>
      </c>
      <c r="E3" s="131">
        <f t="shared" ref="E3:E4" si="1">LEN(D3)</f>
        <v>27</v>
      </c>
      <c r="F3" s="190" t="s">
        <v>356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テストユニット22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10023</v>
      </c>
      <c r="B4" s="129" t="s">
        <v>186</v>
      </c>
      <c r="C4" s="188" t="s">
        <v>365</v>
      </c>
      <c r="D4" s="188" t="s">
        <v>367</v>
      </c>
      <c r="E4" s="131">
        <f t="shared" si="1"/>
        <v>41</v>
      </c>
      <c r="F4" s="190" t="s">
        <v>369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テストユニット23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10024</v>
      </c>
      <c r="B5" s="129" t="s">
        <v>186</v>
      </c>
      <c r="C5" s="188" t="s">
        <v>366</v>
      </c>
      <c r="D5" s="188" t="s">
        <v>368</v>
      </c>
      <c r="E5" s="131">
        <f t="shared" ref="E5:E6" si="2">LEN(D5)</f>
        <v>42</v>
      </c>
      <c r="F5" s="190" t="s">
        <v>370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テストユニット24</v>
      </c>
      <c r="H5" s="132">
        <f>IFERROR(VLOOKUP(A5,[1]characters!$A:$R,18),0)</f>
        <v>1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10025</v>
      </c>
      <c r="B6" s="129" t="s">
        <v>186</v>
      </c>
      <c r="C6" s="188" t="s">
        <v>374</v>
      </c>
      <c r="D6" s="188" t="s">
        <v>376</v>
      </c>
      <c r="E6" s="131">
        <f t="shared" si="2"/>
        <v>9</v>
      </c>
      <c r="F6" s="190" t="s">
        <v>377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テストユニット25</v>
      </c>
      <c r="H6" s="132">
        <f>IFERROR(VLOOKUP(A6,[1]characters!$A:$R,18),0)</f>
        <v>1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10026</v>
      </c>
      <c r="B7" s="129" t="s">
        <v>186</v>
      </c>
      <c r="C7" s="188" t="s">
        <v>375</v>
      </c>
      <c r="D7" s="188" t="s">
        <v>376</v>
      </c>
      <c r="E7" s="131">
        <f t="shared" ref="E7" si="3">LEN(D7)</f>
        <v>9</v>
      </c>
      <c r="F7" s="190" t="s">
        <v>377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テストユニット26</v>
      </c>
      <c r="H7" s="132">
        <f>IFERROR(VLOOKUP(A7,[1]characters!$A:$R,18),0)</f>
        <v>1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</sheetData>
  <sheetProtection selectLockedCells="1" selectUnlockedCells="1"/>
  <autoFilter ref="A1:J1"/>
  <phoneticPr fontId="22"/>
  <conditionalFormatting sqref="E2">
    <cfRule type="cellIs" dxfId="31" priority="22" operator="greaterThan">
      <formula>57</formula>
    </cfRule>
  </conditionalFormatting>
  <conditionalFormatting sqref="E3">
    <cfRule type="cellIs" dxfId="30" priority="21" operator="greaterThan">
      <formula>57</formula>
    </cfRule>
  </conditionalFormatting>
  <conditionalFormatting sqref="E4">
    <cfRule type="cellIs" dxfId="29" priority="4" operator="greaterThan">
      <formula>57</formula>
    </cfRule>
  </conditionalFormatting>
  <conditionalFormatting sqref="E5">
    <cfRule type="cellIs" dxfId="28" priority="3" operator="greaterThan">
      <formula>57</formula>
    </cfRule>
  </conditionalFormatting>
  <conditionalFormatting sqref="E6">
    <cfRule type="cellIs" dxfId="27" priority="2" operator="greaterThan">
      <formula>57</formula>
    </cfRule>
  </conditionalFormatting>
  <conditionalFormatting sqref="E7">
    <cfRule type="cellIs" dxfId="26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8"/>
  <sheetViews>
    <sheetView zoomScale="110" workbookViewId="0">
      <selection activeCell="A15" sqref="A15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10021</v>
      </c>
      <c r="B2" s="138" t="str">
        <f>VLOOKUP(A2,[1]characters!$A:$C,3,FALSE)</f>
        <v>テストユニット21</v>
      </c>
      <c r="C2" s="105" t="s">
        <v>195</v>
      </c>
      <c r="D2" s="138" t="str">
        <f t="shared" ref="D2" si="0">A2&amp;C2</f>
        <v>10021skill</v>
      </c>
      <c r="E2" s="138" t="str">
        <f>A2&amp;+(COUNTIF(A2:A$100,A2)-1)</f>
        <v>100213</v>
      </c>
      <c r="F2" s="105" t="s">
        <v>197</v>
      </c>
      <c r="G2" s="162" t="s">
        <v>315</v>
      </c>
      <c r="H2" s="162" t="s">
        <v>321</v>
      </c>
    </row>
    <row r="3" spans="1:8" x14ac:dyDescent="0.15">
      <c r="A3" s="105">
        <v>10021</v>
      </c>
      <c r="B3" s="138" t="str">
        <f>VLOOKUP(A3,[1]characters!$A:$C,3,FALSE)</f>
        <v>テストユニット21</v>
      </c>
      <c r="C3" s="105" t="s">
        <v>198</v>
      </c>
      <c r="D3" s="138" t="str">
        <f>A3&amp;C3</f>
        <v>10021cskill</v>
      </c>
      <c r="E3" s="138" t="str">
        <f>A3&amp;+(COUNTIF(A3:A$100,A3)-1)</f>
        <v>100212</v>
      </c>
      <c r="F3" s="105" t="s">
        <v>186</v>
      </c>
      <c r="G3" s="162" t="s">
        <v>196</v>
      </c>
      <c r="H3" s="162" t="s">
        <v>318</v>
      </c>
    </row>
    <row r="4" spans="1:8" x14ac:dyDescent="0.15">
      <c r="A4" s="105">
        <v>10021</v>
      </c>
      <c r="B4" s="138" t="str">
        <f>VLOOKUP(A4,[1]characters!$A:$C,3,FALSE)</f>
        <v>テストユニット21</v>
      </c>
      <c r="C4" s="105" t="s">
        <v>198</v>
      </c>
      <c r="D4" s="138" t="str">
        <f>A4&amp;C4</f>
        <v>10021cskill</v>
      </c>
      <c r="E4" s="138" t="str">
        <f>A4&amp;+(COUNTIF(A4:A$100,A4)-1)</f>
        <v>100211</v>
      </c>
      <c r="F4" s="105" t="s">
        <v>186</v>
      </c>
      <c r="G4" s="162" t="s">
        <v>315</v>
      </c>
      <c r="H4" s="162" t="s">
        <v>316</v>
      </c>
    </row>
    <row r="5" spans="1:8" x14ac:dyDescent="0.15">
      <c r="A5" s="105">
        <v>10021</v>
      </c>
      <c r="B5" s="138" t="str">
        <f>VLOOKUP(A5,[1]characters!$A:$C,3,FALSE)</f>
        <v>テストユニット21</v>
      </c>
      <c r="C5" s="105" t="s">
        <v>198</v>
      </c>
      <c r="D5" s="138" t="str">
        <f>A5&amp;C5</f>
        <v>10021cskill</v>
      </c>
      <c r="E5" s="138" t="str">
        <f>A5&amp;+(COUNTIF(A5:A$100,A5)-1)</f>
        <v>100210</v>
      </c>
      <c r="F5" s="105" t="s">
        <v>197</v>
      </c>
      <c r="G5" s="162" t="s">
        <v>315</v>
      </c>
      <c r="H5" s="162" t="s">
        <v>317</v>
      </c>
    </row>
    <row r="6" spans="1:8" x14ac:dyDescent="0.15">
      <c r="A6" s="105">
        <v>10022</v>
      </c>
      <c r="B6" s="138" t="str">
        <f>VLOOKUP(A6,[1]characters!$A:$C,3,FALSE)</f>
        <v>テストユニット22</v>
      </c>
      <c r="C6" s="105" t="s">
        <v>195</v>
      </c>
      <c r="D6" s="138" t="str">
        <f t="shared" ref="D6" si="1">A6&amp;C6</f>
        <v>10022skill</v>
      </c>
      <c r="E6" s="138" t="str">
        <f>A6&amp;+(COUNTIF(A6:A$100,A6)-1)</f>
        <v>100224</v>
      </c>
      <c r="F6" s="105" t="s">
        <v>186</v>
      </c>
      <c r="G6" s="162" t="s">
        <v>315</v>
      </c>
      <c r="H6" s="162" t="s">
        <v>321</v>
      </c>
    </row>
    <row r="7" spans="1:8" x14ac:dyDescent="0.15">
      <c r="A7" s="105">
        <v>10022</v>
      </c>
      <c r="B7" s="138" t="str">
        <f>VLOOKUP(A7,[1]characters!$A:$C,3,FALSE)</f>
        <v>テストユニット22</v>
      </c>
      <c r="C7" s="105" t="s">
        <v>198</v>
      </c>
      <c r="D7" s="138" t="str">
        <f>A7&amp;C7</f>
        <v>10022cskill</v>
      </c>
      <c r="E7" s="138" t="str">
        <f>A7&amp;+(COUNTIF(A7:A$100,A7)-1)</f>
        <v>100223</v>
      </c>
      <c r="F7" s="105" t="s">
        <v>186</v>
      </c>
      <c r="G7" s="162" t="s">
        <v>196</v>
      </c>
      <c r="H7" s="162" t="s">
        <v>318</v>
      </c>
    </row>
    <row r="8" spans="1:8" x14ac:dyDescent="0.15">
      <c r="A8" s="105">
        <v>10022</v>
      </c>
      <c r="B8" s="138" t="str">
        <f>VLOOKUP(A8,[1]characters!$A:$C,3,FALSE)</f>
        <v>テストユニット22</v>
      </c>
      <c r="C8" s="105" t="s">
        <v>198</v>
      </c>
      <c r="D8" s="138" t="str">
        <f>A8&amp;C8</f>
        <v>10022cskill</v>
      </c>
      <c r="E8" s="138" t="str">
        <f>A8&amp;+(COUNTIF(A8:A$100,A8)-1)</f>
        <v>100222</v>
      </c>
      <c r="F8" s="105" t="s">
        <v>186</v>
      </c>
      <c r="G8" s="162" t="s">
        <v>315</v>
      </c>
      <c r="H8" s="162" t="s">
        <v>316</v>
      </c>
    </row>
    <row r="9" spans="1:8" x14ac:dyDescent="0.15">
      <c r="A9" s="105">
        <v>10022</v>
      </c>
      <c r="B9" s="138" t="str">
        <f>VLOOKUP(A9,[1]characters!$A:$C,3,FALSE)</f>
        <v>テストユニット22</v>
      </c>
      <c r="C9" s="105" t="s">
        <v>198</v>
      </c>
      <c r="D9" s="138" t="str">
        <f>A9&amp;C9</f>
        <v>10022cskill</v>
      </c>
      <c r="E9" s="138" t="str">
        <f>A9&amp;+(COUNTIF(A9:A$100,A9)-1)</f>
        <v>100221</v>
      </c>
      <c r="F9" s="105" t="s">
        <v>186</v>
      </c>
      <c r="G9" s="162" t="s">
        <v>315</v>
      </c>
      <c r="H9" s="162" t="s">
        <v>317</v>
      </c>
    </row>
    <row r="10" spans="1:8" x14ac:dyDescent="0.15">
      <c r="A10" s="105">
        <v>10022</v>
      </c>
      <c r="B10" s="138" t="str">
        <f>VLOOKUP(A10,[1]characters!$A:$C,3,FALSE)</f>
        <v>テストユニット22</v>
      </c>
      <c r="C10" s="105" t="s">
        <v>198</v>
      </c>
      <c r="D10" s="138" t="str">
        <f>A10&amp;C10</f>
        <v>10022cskill</v>
      </c>
      <c r="E10" s="138" t="str">
        <f>A10&amp;+(COUNTIF(A10:A$100,A10)-1)</f>
        <v>100220</v>
      </c>
      <c r="F10" s="105" t="s">
        <v>186</v>
      </c>
      <c r="G10" s="162" t="s">
        <v>196</v>
      </c>
      <c r="H10" s="162" t="s">
        <v>320</v>
      </c>
    </row>
    <row r="11" spans="1:8" x14ac:dyDescent="0.15">
      <c r="A11" s="105">
        <v>10023</v>
      </c>
      <c r="B11" s="138" t="str">
        <f>VLOOKUP(A11,[1]characters!$A:$C,3,FALSE)</f>
        <v>テストユニット23</v>
      </c>
      <c r="C11" s="105" t="s">
        <v>195</v>
      </c>
      <c r="D11" s="138" t="str">
        <f t="shared" ref="D11" si="2">A11&amp;C11</f>
        <v>10023skill</v>
      </c>
      <c r="E11" s="138" t="str">
        <f>A11&amp;+(COUNTIF(A11:A$100,A11)-1)</f>
        <v>100233</v>
      </c>
      <c r="F11" s="105" t="s">
        <v>197</v>
      </c>
      <c r="G11" s="162" t="s">
        <v>315</v>
      </c>
      <c r="H11" s="162" t="s">
        <v>321</v>
      </c>
    </row>
    <row r="12" spans="1:8" x14ac:dyDescent="0.15">
      <c r="A12" s="105">
        <v>10023</v>
      </c>
      <c r="B12" s="138" t="str">
        <f>VLOOKUP(A12,[1]characters!$A:$C,3,FALSE)</f>
        <v>テストユニット23</v>
      </c>
      <c r="C12" s="105" t="s">
        <v>198</v>
      </c>
      <c r="D12" s="138" t="str">
        <f>A12&amp;C12</f>
        <v>10023cskill</v>
      </c>
      <c r="E12" s="138" t="str">
        <f>A12&amp;+(COUNTIF(A12:A$100,A12)-1)</f>
        <v>100232</v>
      </c>
      <c r="F12" s="105" t="s">
        <v>186</v>
      </c>
      <c r="G12" s="162" t="s">
        <v>196</v>
      </c>
      <c r="H12" s="162" t="s">
        <v>318</v>
      </c>
    </row>
    <row r="13" spans="1:8" x14ac:dyDescent="0.15">
      <c r="A13" s="105">
        <v>10023</v>
      </c>
      <c r="B13" s="138" t="str">
        <f>VLOOKUP(A13,[1]characters!$A:$C,3,FALSE)</f>
        <v>テストユニット23</v>
      </c>
      <c r="C13" s="105" t="s">
        <v>198</v>
      </c>
      <c r="D13" s="138" t="str">
        <f>A13&amp;C13</f>
        <v>10023cskill</v>
      </c>
      <c r="E13" s="138" t="str">
        <f>A13&amp;+(COUNTIF(A13:A$100,A13)-1)</f>
        <v>100231</v>
      </c>
      <c r="F13" s="105" t="s">
        <v>186</v>
      </c>
      <c r="G13" s="162" t="s">
        <v>315</v>
      </c>
      <c r="H13" s="162" t="s">
        <v>316</v>
      </c>
    </row>
    <row r="14" spans="1:8" x14ac:dyDescent="0.15">
      <c r="A14" s="105">
        <v>10023</v>
      </c>
      <c r="B14" s="138" t="str">
        <f>VLOOKUP(A14,[1]characters!$A:$C,3,FALSE)</f>
        <v>テストユニット23</v>
      </c>
      <c r="C14" s="105" t="s">
        <v>198</v>
      </c>
      <c r="D14" s="138" t="str">
        <f>A14&amp;C14</f>
        <v>10023cskill</v>
      </c>
      <c r="E14" s="138" t="str">
        <f>A14&amp;+(COUNTIF(A14:A$100,A14)-1)</f>
        <v>100230</v>
      </c>
      <c r="F14" s="105" t="s">
        <v>197</v>
      </c>
      <c r="G14" s="162" t="s">
        <v>315</v>
      </c>
      <c r="H14" s="162" t="s">
        <v>317</v>
      </c>
    </row>
    <row r="15" spans="1:8" x14ac:dyDescent="0.15">
      <c r="A15" s="105">
        <v>10024</v>
      </c>
      <c r="B15" s="138" t="str">
        <f>VLOOKUP(A15,[1]characters!$A:$C,3,FALSE)</f>
        <v>テストユニット24</v>
      </c>
      <c r="C15" s="105" t="s">
        <v>195</v>
      </c>
      <c r="D15" s="138" t="str">
        <f t="shared" ref="D15" si="3">A15&amp;C15</f>
        <v>10024skill</v>
      </c>
      <c r="E15" s="138" t="str">
        <f>A15&amp;+(COUNTIF(A15:A$100,A15)-1)</f>
        <v>100244</v>
      </c>
      <c r="F15" s="105" t="s">
        <v>186</v>
      </c>
      <c r="G15" s="162" t="s">
        <v>315</v>
      </c>
      <c r="H15" s="162" t="s">
        <v>321</v>
      </c>
    </row>
    <row r="16" spans="1:8" x14ac:dyDescent="0.15">
      <c r="A16" s="105">
        <v>10024</v>
      </c>
      <c r="B16" s="138" t="str">
        <f>VLOOKUP(A16,[1]characters!$A:$C,3,FALSE)</f>
        <v>テストユニット24</v>
      </c>
      <c r="C16" s="105" t="s">
        <v>198</v>
      </c>
      <c r="D16" s="138" t="str">
        <f>A16&amp;C16</f>
        <v>10024cskill</v>
      </c>
      <c r="E16" s="138" t="str">
        <f>A16&amp;+(COUNTIF(A16:A$100,A16)-1)</f>
        <v>100243</v>
      </c>
      <c r="F16" s="105" t="s">
        <v>186</v>
      </c>
      <c r="G16" s="162" t="s">
        <v>196</v>
      </c>
      <c r="H16" s="162" t="s">
        <v>318</v>
      </c>
    </row>
    <row r="17" spans="1:8" x14ac:dyDescent="0.15">
      <c r="A17" s="105">
        <v>10024</v>
      </c>
      <c r="B17" s="138" t="str">
        <f>VLOOKUP(A17,[1]characters!$A:$C,3,FALSE)</f>
        <v>テストユニット24</v>
      </c>
      <c r="C17" s="105" t="s">
        <v>198</v>
      </c>
      <c r="D17" s="138" t="str">
        <f>A17&amp;C17</f>
        <v>10024cskill</v>
      </c>
      <c r="E17" s="138" t="str">
        <f>A17&amp;+(COUNTIF(A17:A$100,A17)-1)</f>
        <v>100242</v>
      </c>
      <c r="F17" s="105" t="s">
        <v>186</v>
      </c>
      <c r="G17" s="162" t="s">
        <v>315</v>
      </c>
      <c r="H17" s="162" t="s">
        <v>316</v>
      </c>
    </row>
    <row r="18" spans="1:8" x14ac:dyDescent="0.15">
      <c r="A18" s="105">
        <v>10024</v>
      </c>
      <c r="B18" s="138" t="str">
        <f>VLOOKUP(A18,[1]characters!$A:$C,3,FALSE)</f>
        <v>テストユニット24</v>
      </c>
      <c r="C18" s="105" t="s">
        <v>198</v>
      </c>
      <c r="D18" s="138" t="str">
        <f>A18&amp;C18</f>
        <v>10024cskill</v>
      </c>
      <c r="E18" s="138" t="str">
        <f>A18&amp;+(COUNTIF(A18:A$100,A18)-1)</f>
        <v>100241</v>
      </c>
      <c r="F18" s="105" t="s">
        <v>186</v>
      </c>
      <c r="G18" s="162" t="s">
        <v>315</v>
      </c>
      <c r="H18" s="162" t="s">
        <v>317</v>
      </c>
    </row>
    <row r="19" spans="1:8" x14ac:dyDescent="0.15">
      <c r="A19" s="105">
        <v>10024</v>
      </c>
      <c r="B19" s="138" t="str">
        <f>VLOOKUP(A19,[1]characters!$A:$C,3,FALSE)</f>
        <v>テストユニット24</v>
      </c>
      <c r="C19" s="105" t="s">
        <v>198</v>
      </c>
      <c r="D19" s="138" t="str">
        <f>A19&amp;C19</f>
        <v>10024cskill</v>
      </c>
      <c r="E19" s="138" t="str">
        <f>A19&amp;+(COUNTIF(A19:A$100,A19)-1)</f>
        <v>100240</v>
      </c>
      <c r="F19" s="105" t="s">
        <v>186</v>
      </c>
      <c r="G19" s="162" t="s">
        <v>196</v>
      </c>
      <c r="H19" s="162" t="s">
        <v>320</v>
      </c>
    </row>
    <row r="20" spans="1:8" x14ac:dyDescent="0.15">
      <c r="A20" s="105">
        <v>10025</v>
      </c>
      <c r="B20" s="138" t="str">
        <f>VLOOKUP(A20,[1]characters!$A:$C,3,FALSE)</f>
        <v>テストユニット25</v>
      </c>
      <c r="C20" s="105" t="s">
        <v>195</v>
      </c>
      <c r="D20" s="138" t="str">
        <f t="shared" ref="D20" si="4">A20&amp;C20</f>
        <v>10025skill</v>
      </c>
      <c r="E20" s="138" t="str">
        <f>A20&amp;+(COUNTIF(A20:A$100,A20)-1)</f>
        <v>100253</v>
      </c>
      <c r="F20" s="105" t="s">
        <v>185</v>
      </c>
      <c r="G20" s="162" t="s">
        <v>315</v>
      </c>
      <c r="H20" s="162" t="s">
        <v>321</v>
      </c>
    </row>
    <row r="21" spans="1:8" x14ac:dyDescent="0.15">
      <c r="A21" s="105">
        <v>10025</v>
      </c>
      <c r="B21" s="138" t="str">
        <f>VLOOKUP(A21,[1]characters!$A:$C,3,FALSE)</f>
        <v>テストユニット25</v>
      </c>
      <c r="C21" s="105" t="s">
        <v>198</v>
      </c>
      <c r="D21" s="138" t="str">
        <f>A21&amp;C21</f>
        <v>10025cskill</v>
      </c>
      <c r="E21" s="138" t="str">
        <f>A21&amp;+(COUNTIF(A21:A$100,A21)-1)</f>
        <v>100252</v>
      </c>
      <c r="F21" s="105" t="s">
        <v>186</v>
      </c>
      <c r="G21" s="162" t="s">
        <v>196</v>
      </c>
      <c r="H21" s="162" t="s">
        <v>318</v>
      </c>
    </row>
    <row r="22" spans="1:8" x14ac:dyDescent="0.15">
      <c r="A22" s="105">
        <v>10025</v>
      </c>
      <c r="B22" s="138" t="str">
        <f>VLOOKUP(A22,[1]characters!$A:$C,3,FALSE)</f>
        <v>テストユニット25</v>
      </c>
      <c r="C22" s="105" t="s">
        <v>198</v>
      </c>
      <c r="D22" s="138" t="str">
        <f>A22&amp;C22</f>
        <v>10025cskill</v>
      </c>
      <c r="E22" s="138" t="str">
        <f>A22&amp;+(COUNTIF(A22:A$100,A22)-1)</f>
        <v>100251</v>
      </c>
      <c r="F22" s="105" t="s">
        <v>186</v>
      </c>
      <c r="G22" s="162" t="s">
        <v>315</v>
      </c>
      <c r="H22" s="162" t="s">
        <v>316</v>
      </c>
    </row>
    <row r="23" spans="1:8" x14ac:dyDescent="0.15">
      <c r="A23" s="105">
        <v>10025</v>
      </c>
      <c r="B23" s="138" t="str">
        <f>VLOOKUP(A23,[1]characters!$A:$C,3,FALSE)</f>
        <v>テストユニット25</v>
      </c>
      <c r="C23" s="105" t="s">
        <v>198</v>
      </c>
      <c r="D23" s="138" t="str">
        <f>A23&amp;C23</f>
        <v>10025cskill</v>
      </c>
      <c r="E23" s="138" t="str">
        <f>A23&amp;+(COUNTIF(A23:A$100,A23)-1)</f>
        <v>100250</v>
      </c>
      <c r="F23" s="105" t="s">
        <v>185</v>
      </c>
      <c r="G23" s="162" t="s">
        <v>315</v>
      </c>
      <c r="H23" s="162" t="s">
        <v>317</v>
      </c>
    </row>
    <row r="24" spans="1:8" x14ac:dyDescent="0.15">
      <c r="A24" s="105">
        <v>10026</v>
      </c>
      <c r="B24" s="138" t="str">
        <f>VLOOKUP(A24,[1]characters!$A:$C,3,FALSE)</f>
        <v>テストユニット26</v>
      </c>
      <c r="C24" s="105" t="s">
        <v>195</v>
      </c>
      <c r="D24" s="138" t="str">
        <f t="shared" ref="D24" si="5">A24&amp;C24</f>
        <v>10026skill</v>
      </c>
      <c r="E24" s="138" t="str">
        <f>A24&amp;+(COUNTIF(A24:A$100,A24)-1)</f>
        <v>100264</v>
      </c>
      <c r="F24" s="105" t="s">
        <v>186</v>
      </c>
      <c r="G24" s="162" t="s">
        <v>315</v>
      </c>
      <c r="H24" s="162" t="s">
        <v>321</v>
      </c>
    </row>
    <row r="25" spans="1:8" x14ac:dyDescent="0.15">
      <c r="A25" s="105">
        <v>10026</v>
      </c>
      <c r="B25" s="138" t="str">
        <f>VLOOKUP(A25,[1]characters!$A:$C,3,FALSE)</f>
        <v>テストユニット26</v>
      </c>
      <c r="C25" s="105" t="s">
        <v>198</v>
      </c>
      <c r="D25" s="138" t="str">
        <f>A25&amp;C25</f>
        <v>10026cskill</v>
      </c>
      <c r="E25" s="138" t="str">
        <f>A25&amp;+(COUNTIF(A25:A$100,A25)-1)</f>
        <v>100263</v>
      </c>
      <c r="F25" s="105" t="s">
        <v>186</v>
      </c>
      <c r="G25" s="162" t="s">
        <v>196</v>
      </c>
      <c r="H25" s="162" t="s">
        <v>318</v>
      </c>
    </row>
    <row r="26" spans="1:8" x14ac:dyDescent="0.15">
      <c r="A26" s="105">
        <v>10026</v>
      </c>
      <c r="B26" s="138" t="str">
        <f>VLOOKUP(A26,[1]characters!$A:$C,3,FALSE)</f>
        <v>テストユニット26</v>
      </c>
      <c r="C26" s="105" t="s">
        <v>198</v>
      </c>
      <c r="D26" s="138" t="str">
        <f>A26&amp;C26</f>
        <v>10026cskill</v>
      </c>
      <c r="E26" s="138" t="str">
        <f>A26&amp;+(COUNTIF(A26:A$100,A26)-1)</f>
        <v>100262</v>
      </c>
      <c r="F26" s="105" t="s">
        <v>186</v>
      </c>
      <c r="G26" s="162" t="s">
        <v>315</v>
      </c>
      <c r="H26" s="162" t="s">
        <v>316</v>
      </c>
    </row>
    <row r="27" spans="1:8" x14ac:dyDescent="0.15">
      <c r="A27" s="105">
        <v>10026</v>
      </c>
      <c r="B27" s="138" t="str">
        <f>VLOOKUP(A27,[1]characters!$A:$C,3,FALSE)</f>
        <v>テストユニット26</v>
      </c>
      <c r="C27" s="105" t="s">
        <v>198</v>
      </c>
      <c r="D27" s="138" t="str">
        <f>A27&amp;C27</f>
        <v>10026cskill</v>
      </c>
      <c r="E27" s="138" t="str">
        <f>A27&amp;+(COUNTIF(A27:A$100,A27)-1)</f>
        <v>100261</v>
      </c>
      <c r="F27" s="105" t="s">
        <v>186</v>
      </c>
      <c r="G27" s="162" t="s">
        <v>315</v>
      </c>
      <c r="H27" s="162" t="s">
        <v>317</v>
      </c>
    </row>
    <row r="28" spans="1:8" x14ac:dyDescent="0.15">
      <c r="A28" s="105">
        <v>10026</v>
      </c>
      <c r="B28" s="138" t="str">
        <f>VLOOKUP(A28,[1]characters!$A:$C,3,FALSE)</f>
        <v>テストユニット26</v>
      </c>
      <c r="C28" s="105" t="s">
        <v>198</v>
      </c>
      <c r="D28" s="138" t="str">
        <f>A28&amp;C28</f>
        <v>10026cskill</v>
      </c>
      <c r="E28" s="138" t="str">
        <f>A28&amp;+(COUNTIF(A28:A$100,A28)-1)</f>
        <v>100260</v>
      </c>
      <c r="F28" s="105" t="s">
        <v>186</v>
      </c>
      <c r="G28" s="162" t="s">
        <v>196</v>
      </c>
      <c r="H28" s="162" t="s">
        <v>320</v>
      </c>
    </row>
  </sheetData>
  <phoneticPr fontId="22"/>
  <dataValidations count="2">
    <dataValidation type="list" allowBlank="1" showInputMessage="1" showErrorMessage="1" sqref="G2:G28">
      <formula1>"maru,giza,kumo"</formula1>
    </dataValidation>
    <dataValidation type="list" allowBlank="1" showInputMessage="1" showErrorMessage="1" sqref="C2:C28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3" sqref="A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1">
        <v>10021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テストユニット21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10022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テストユニット22</v>
      </c>
      <c r="S2" s="5">
        <f ca="1">IF(ISNA(MATCH(A2,Q:Q,0)),A2,INDIRECT(ADDRESS(MATCH(A2,Q:Q,0),COLUMN())))</f>
        <v>10021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テストユニット21</v>
      </c>
      <c r="U2" s="10">
        <f ca="1">IF(Q2="NULL","NULL",VLOOKUP(G2,[3]ビット!$A$2:$B$7,2))</f>
        <v>200000</v>
      </c>
    </row>
    <row r="3" spans="1:21" ht="21" customHeight="1" x14ac:dyDescent="0.15">
      <c r="A3" s="191">
        <v>10023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テストユニット23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PremiumSSw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samurai</v>
      </c>
      <c r="K3" s="5" t="str">
        <f ca="1">VLOOKUP(J3,[1]character_tribe_i18n!$A:$H,3,FALSE)</f>
        <v>サムライ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10024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テストユニット24</v>
      </c>
      <c r="S3" s="5">
        <f ca="1">IF(ISNA(MATCH(A3,Q:Q,0)),A3,INDIRECT(ADDRESS(MATCH(A3,Q:Q,0),COLUMN())))</f>
        <v>10023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テストユニット23</v>
      </c>
      <c r="U3" s="10">
        <f ca="1">IF(Q3="NULL","NULL",VLOOKUP(G3,[3]ビット!$A$2:$B$7,2))</f>
        <v>200000</v>
      </c>
    </row>
  </sheetData>
  <autoFilter ref="A1:U2"/>
  <phoneticPr fontId="22"/>
  <conditionalFormatting sqref="W1:W2 W4:W1048576">
    <cfRule type="cellIs" dxfId="25" priority="7" operator="equal">
      <formula>"FALSE"</formula>
    </cfRule>
  </conditionalFormatting>
  <conditionalFormatting sqref="W3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1"/>
  <sheetViews>
    <sheetView showGridLines="0" workbookViewId="0">
      <pane ySplit="1" topLeftCell="A2" activePane="bottomLeft" state="frozen"/>
      <selection pane="bottomLeft" activeCell="A10" sqref="A10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 t="shared" ref="A2:A11" si="0">B2&amp;"_"&amp;I2</f>
        <v>10021_1324</v>
      </c>
      <c r="B2" s="195">
        <v>10021</v>
      </c>
      <c r="C2" s="178">
        <f t="shared" ref="C2:C11" si="1">B2</f>
        <v>10021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テストユニット21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PremiumSSw</v>
      </c>
      <c r="G2" s="195">
        <v>10022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テストユニット22</v>
      </c>
      <c r="I2" s="194">
        <v>1324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アウリ</v>
      </c>
      <c r="K2" s="192">
        <v>1</v>
      </c>
      <c r="L2" s="193">
        <v>1</v>
      </c>
      <c r="M2" s="193">
        <v>100</v>
      </c>
      <c r="N2" s="2" t="s">
        <v>290</v>
      </c>
    </row>
    <row r="3" spans="1:14" ht="21" customHeight="1" x14ac:dyDescent="0.15">
      <c r="A3" s="61" t="str">
        <f t="shared" si="0"/>
        <v>10021_420</v>
      </c>
      <c r="B3" s="195">
        <v>10021</v>
      </c>
      <c r="C3" s="178">
        <f t="shared" si="1"/>
        <v>10021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テストユニット21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PremiumSSw</v>
      </c>
      <c r="G3" s="195">
        <v>10022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テストユニット22</v>
      </c>
      <c r="I3" s="194">
        <v>420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カエデ</v>
      </c>
      <c r="K3" s="192">
        <v>1</v>
      </c>
      <c r="L3" s="193">
        <v>1</v>
      </c>
      <c r="M3" s="193">
        <v>100</v>
      </c>
      <c r="N3" s="2" t="s">
        <v>290</v>
      </c>
    </row>
    <row r="4" spans="1:14" ht="21" customHeight="1" x14ac:dyDescent="0.15">
      <c r="A4" s="61" t="str">
        <f t="shared" si="0"/>
        <v>10021_111</v>
      </c>
      <c r="B4" s="195">
        <v>10021</v>
      </c>
      <c r="C4" s="178">
        <f t="shared" si="1"/>
        <v>10021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テストユニット21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PremiumSSw</v>
      </c>
      <c r="G4" s="195">
        <v>10022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テストユニット22</v>
      </c>
      <c r="I4" s="194">
        <v>111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ブルーキャタップ</v>
      </c>
      <c r="K4" s="192">
        <v>1</v>
      </c>
      <c r="L4" s="193">
        <v>1</v>
      </c>
      <c r="M4" s="193">
        <v>10</v>
      </c>
      <c r="N4" s="2" t="s">
        <v>290</v>
      </c>
    </row>
    <row r="5" spans="1:14" ht="21" customHeight="1" x14ac:dyDescent="0.15">
      <c r="A5" s="61" t="str">
        <f t="shared" si="0"/>
        <v>10021_112</v>
      </c>
      <c r="B5" s="195">
        <v>10021</v>
      </c>
      <c r="C5" s="178">
        <f t="shared" si="1"/>
        <v>10021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テストユニット21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PremiumSSw</v>
      </c>
      <c r="G5" s="195">
        <v>10022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テストユニット22</v>
      </c>
      <c r="I5" s="194">
        <v>112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水のマッドハッター</v>
      </c>
      <c r="K5" s="192">
        <v>1</v>
      </c>
      <c r="L5" s="193">
        <v>1</v>
      </c>
      <c r="M5" s="193">
        <v>10</v>
      </c>
      <c r="N5" s="2" t="s">
        <v>290</v>
      </c>
    </row>
    <row r="6" spans="1:14" ht="21" customHeight="1" x14ac:dyDescent="0.15">
      <c r="A6" s="61" t="str">
        <f t="shared" si="0"/>
        <v>10021_837</v>
      </c>
      <c r="B6" s="195">
        <v>10021</v>
      </c>
      <c r="C6" s="178">
        <f t="shared" si="1"/>
        <v>10021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テストユニット21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PremiumSSw</v>
      </c>
      <c r="G6" s="195">
        <v>10022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テストユニット22</v>
      </c>
      <c r="I6" s="194">
        <v>837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リトルハンプティ</v>
      </c>
      <c r="K6" s="192">
        <v>1</v>
      </c>
      <c r="L6" s="193">
        <v>1</v>
      </c>
      <c r="M6" s="193">
        <v>1000</v>
      </c>
      <c r="N6" s="2" t="s">
        <v>290</v>
      </c>
    </row>
    <row r="7" spans="1:14" ht="21" customHeight="1" x14ac:dyDescent="0.15">
      <c r="A7" s="61" t="str">
        <f t="shared" si="0"/>
        <v>10023_270</v>
      </c>
      <c r="B7" s="195">
        <v>10023</v>
      </c>
      <c r="C7" s="178">
        <f t="shared" si="1"/>
        <v>10023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テストユニット23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PremiumSSw</v>
      </c>
      <c r="G7" s="195">
        <v>10024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テストユニット24</v>
      </c>
      <c r="I7" s="194">
        <v>270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風爪のミリー</v>
      </c>
      <c r="K7" s="192">
        <v>1</v>
      </c>
      <c r="L7" s="193">
        <v>1</v>
      </c>
      <c r="M7" s="193">
        <v>100</v>
      </c>
      <c r="N7" s="2" t="s">
        <v>290</v>
      </c>
    </row>
    <row r="8" spans="1:14" ht="21" customHeight="1" x14ac:dyDescent="0.15">
      <c r="A8" s="61" t="str">
        <f t="shared" si="0"/>
        <v>10023_298</v>
      </c>
      <c r="B8" s="195">
        <v>10023</v>
      </c>
      <c r="C8" s="178">
        <f t="shared" si="1"/>
        <v>10023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テストユニット23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PremiumSSw</v>
      </c>
      <c r="G8" s="195">
        <v>10024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テストユニット24</v>
      </c>
      <c r="I8" s="194">
        <v>298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炎殺のミサコ</v>
      </c>
      <c r="K8" s="192">
        <v>1</v>
      </c>
      <c r="L8" s="193">
        <v>1</v>
      </c>
      <c r="M8" s="193">
        <v>100</v>
      </c>
      <c r="N8" s="2" t="s">
        <v>290</v>
      </c>
    </row>
    <row r="9" spans="1:14" ht="21" customHeight="1" x14ac:dyDescent="0.15">
      <c r="A9" s="61" t="str">
        <f t="shared" si="0"/>
        <v>10023_107</v>
      </c>
      <c r="B9" s="195">
        <v>10023</v>
      </c>
      <c r="C9" s="178">
        <f t="shared" si="1"/>
        <v>10023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テストユニット23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PremiumSSw</v>
      </c>
      <c r="G9" s="195">
        <v>10024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テストユニット24</v>
      </c>
      <c r="I9" s="194">
        <v>107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グリーンキャタップ</v>
      </c>
      <c r="K9" s="192">
        <v>1</v>
      </c>
      <c r="L9" s="193">
        <v>1</v>
      </c>
      <c r="M9" s="193">
        <v>10</v>
      </c>
      <c r="N9" s="2" t="s">
        <v>290</v>
      </c>
    </row>
    <row r="10" spans="1:14" ht="21" customHeight="1" x14ac:dyDescent="0.15">
      <c r="A10" s="61" t="str">
        <f t="shared" si="0"/>
        <v>10023_108</v>
      </c>
      <c r="B10" s="195">
        <v>10023</v>
      </c>
      <c r="C10" s="178">
        <f t="shared" si="1"/>
        <v>10023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テストユニット23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PremiumSSw</v>
      </c>
      <c r="G10" s="195">
        <v>10024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テストユニット24</v>
      </c>
      <c r="I10" s="194">
        <v>108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森のマッドハッター</v>
      </c>
      <c r="K10" s="192">
        <v>1</v>
      </c>
      <c r="L10" s="193">
        <v>1</v>
      </c>
      <c r="M10" s="193">
        <v>10</v>
      </c>
      <c r="N10" s="2" t="s">
        <v>290</v>
      </c>
    </row>
    <row r="11" spans="1:14" ht="21" customHeight="1" x14ac:dyDescent="0.15">
      <c r="A11" s="61" t="str">
        <f t="shared" si="0"/>
        <v>10023_837</v>
      </c>
      <c r="B11" s="195">
        <v>10023</v>
      </c>
      <c r="C11" s="178">
        <f t="shared" si="1"/>
        <v>10023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テストユニット23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PremiumSSw</v>
      </c>
      <c r="G11" s="195">
        <v>10024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テストユニット24</v>
      </c>
      <c r="I11" s="194">
        <v>837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リトルハンプティ</v>
      </c>
      <c r="K11" s="192">
        <v>1</v>
      </c>
      <c r="L11" s="193">
        <v>1</v>
      </c>
      <c r="M11" s="193">
        <v>1000</v>
      </c>
      <c r="N11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1"/>
  <sheetViews>
    <sheetView workbookViewId="0">
      <selection activeCell="E18" sqref="E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</cols>
  <sheetData>
    <row r="1" spans="1:11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3" t="s">
        <v>310</v>
      </c>
      <c r="J1" s="117" t="s">
        <v>344</v>
      </c>
      <c r="K1" s="168" t="s">
        <v>311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3"/>
  <sheetViews>
    <sheetView workbookViewId="0">
      <selection activeCell="F35" sqref="F3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10022</v>
      </c>
      <c r="B2" s="172" t="str">
        <f>VLOOKUP(A2,[1]characters!$A:$C,3)</f>
        <v>テストユニット22</v>
      </c>
      <c r="C2" s="196">
        <v>1</v>
      </c>
      <c r="D2" s="196">
        <v>109</v>
      </c>
      <c r="E2" s="173" t="str">
        <f>IF(ISERROR(VLOOKUP(D2,[4]abilities!A:D,3,FALSE))=FALSE,VLOOKUP(D2,[4]abilities!A:D,3),IF(ISERROR(VLOOKUP(D2,abilities!A:D,3,FALSE))=FALSE,VLOOKUP(D2,abilities!A:D,3),"なし"))</f>
        <v>ダメージパネルブレイク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自身が先頭の時、ダメージを受けずにダメージパネルを破壊できる</v>
      </c>
      <c r="G2" s="174" t="s">
        <v>274</v>
      </c>
      <c r="H2" s="197" t="s">
        <v>357</v>
      </c>
    </row>
    <row r="3" spans="1:8" s="4" customFormat="1" ht="21" customHeight="1" x14ac:dyDescent="0.15">
      <c r="A3" s="169">
        <v>10024</v>
      </c>
      <c r="B3" s="172" t="str">
        <f>VLOOKUP(A3,[1]characters!$A:$C,3)</f>
        <v>テストユニット24</v>
      </c>
      <c r="C3" s="196">
        <v>1</v>
      </c>
      <c r="D3" s="196">
        <v>103</v>
      </c>
      <c r="E3" s="173" t="str">
        <f>IF(ISERROR(VLOOKUP(D3,[4]abilities!A:D,3,FALSE))=FALSE,VLOOKUP(D3,[4]abilities!A:D,3),IF(ISERROR(VLOOKUP(D3,abilities!A:D,3,FALSE))=FALSE,VLOOKUP(D3,abilities!A:D,3),"なし"))</f>
        <v>お邪魔ブレイク</v>
      </c>
      <c r="F3" s="173" t="str">
        <f>IF(ISERROR(VLOOKUP(D3,[4]abilities!A:D,4,FALSE))=FALSE,VLOOKUP(D3,[4]abilities!A:D,4),IF(ISERROR(VLOOKUP(D3,abilities!A:D,4,FALSE))=FALSE,VLOOKUP(D3,abilities!A:D,4),"なし"))</f>
        <v>自身が先頭の時、お邪魔パネルを破壊できる</v>
      </c>
      <c r="G3" s="174" t="s">
        <v>274</v>
      </c>
      <c r="H3" s="197" t="s">
        <v>357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324</v>
      </c>
      <c r="B1" t="s">
        <v>325</v>
      </c>
    </row>
    <row r="2" spans="1:2" x14ac:dyDescent="0.15">
      <c r="A2" t="s">
        <v>326</v>
      </c>
      <c r="B2">
        <v>1</v>
      </c>
    </row>
    <row r="3" spans="1:2" x14ac:dyDescent="0.15">
      <c r="A3" t="s">
        <v>327</v>
      </c>
      <c r="B3">
        <v>1</v>
      </c>
    </row>
    <row r="4" spans="1:2" x14ac:dyDescent="0.15">
      <c r="A4" t="s">
        <v>328</v>
      </c>
      <c r="B4">
        <v>1</v>
      </c>
    </row>
    <row r="5" spans="1:2" x14ac:dyDescent="0.15">
      <c r="A5" t="s">
        <v>329</v>
      </c>
      <c r="B5">
        <v>1</v>
      </c>
    </row>
    <row r="6" spans="1:2" x14ac:dyDescent="0.15">
      <c r="A6" t="s">
        <v>330</v>
      </c>
      <c r="B6">
        <v>1</v>
      </c>
    </row>
    <row r="7" spans="1:2" x14ac:dyDescent="0.15">
      <c r="A7" t="s">
        <v>331</v>
      </c>
      <c r="B7">
        <v>1</v>
      </c>
    </row>
    <row r="8" spans="1:2" x14ac:dyDescent="0.15">
      <c r="A8" t="s">
        <v>332</v>
      </c>
      <c r="B8">
        <v>1</v>
      </c>
    </row>
    <row r="9" spans="1:2" x14ac:dyDescent="0.15">
      <c r="A9" t="s">
        <v>333</v>
      </c>
      <c r="B9">
        <v>1</v>
      </c>
    </row>
    <row r="10" spans="1:2" x14ac:dyDescent="0.15">
      <c r="A10" t="s">
        <v>334</v>
      </c>
      <c r="B10">
        <v>1</v>
      </c>
    </row>
    <row r="11" spans="1:2" x14ac:dyDescent="0.15">
      <c r="A11" t="s">
        <v>335</v>
      </c>
      <c r="B11">
        <v>1</v>
      </c>
    </row>
    <row r="12" spans="1:2" x14ac:dyDescent="0.15">
      <c r="A12" t="s">
        <v>336</v>
      </c>
      <c r="B12">
        <v>1</v>
      </c>
    </row>
    <row r="13" spans="1:2" x14ac:dyDescent="0.15">
      <c r="A13" t="s">
        <v>337</v>
      </c>
      <c r="B13">
        <v>0</v>
      </c>
    </row>
    <row r="14" spans="1:2" x14ac:dyDescent="0.15">
      <c r="A14" t="s">
        <v>338</v>
      </c>
      <c r="B14">
        <v>500</v>
      </c>
    </row>
    <row r="15" spans="1:2" x14ac:dyDescent="0.15">
      <c r="A15" t="s">
        <v>339</v>
      </c>
      <c r="B15">
        <v>600</v>
      </c>
    </row>
    <row r="16" spans="1:2" x14ac:dyDescent="0.15">
      <c r="A16" t="s">
        <v>340</v>
      </c>
      <c r="B16">
        <v>700</v>
      </c>
    </row>
    <row r="17" spans="1:2" x14ac:dyDescent="0.15">
      <c r="A17" t="s">
        <v>341</v>
      </c>
      <c r="B17">
        <v>5500</v>
      </c>
    </row>
    <row r="18" spans="1:2" x14ac:dyDescent="0.15">
      <c r="A18" t="s">
        <v>342</v>
      </c>
      <c r="B18">
        <v>6000</v>
      </c>
    </row>
    <row r="19" spans="1:2" x14ac:dyDescent="0.15">
      <c r="A19" t="s">
        <v>343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2017-04-19T02:25:42Z</dcterms:modified>
</cp:coreProperties>
</file>