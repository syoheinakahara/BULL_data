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codeName="ThisWorkbook" autoCompressPictures="0"/>
  <bookViews>
    <workbookView xWindow="2800" yWindow="2800" windowWidth="22800" windowHeight="13260" tabRatio="740" firstSheet="3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e" sheetId="20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stage_hints_complete!$C$1:$N$1</definedName>
    <definedName name="_xlnm._FilterDatabase" localSheetId="9" hidden="1">stage_hints_failue!$C$1:$N$2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6" l="1"/>
  <c r="C12" i="16"/>
  <c r="E12" i="16"/>
  <c r="E11" i="16"/>
  <c r="C10" i="16"/>
  <c r="E10" i="16"/>
  <c r="M3" i="19"/>
  <c r="N3" i="19"/>
  <c r="M4" i="19"/>
  <c r="N4" i="19"/>
  <c r="M5" i="19"/>
  <c r="N5" i="19"/>
  <c r="M6" i="19"/>
  <c r="N6" i="19"/>
  <c r="M7" i="19"/>
  <c r="N7" i="19"/>
  <c r="M8" i="19"/>
  <c r="N8" i="19"/>
  <c r="M9" i="19"/>
  <c r="N9" i="19"/>
  <c r="M10" i="19"/>
  <c r="N10" i="19"/>
  <c r="M11" i="19"/>
  <c r="N11" i="19"/>
  <c r="M12" i="19"/>
  <c r="N12" i="19"/>
  <c r="M13" i="19"/>
  <c r="N13" i="19"/>
  <c r="M14" i="19"/>
  <c r="N14" i="19"/>
  <c r="M15" i="19"/>
  <c r="N15" i="19"/>
  <c r="M16" i="19"/>
  <c r="N16" i="19"/>
  <c r="M17" i="19"/>
  <c r="N17" i="19"/>
  <c r="M18" i="19"/>
  <c r="N18" i="19"/>
  <c r="M19" i="19"/>
  <c r="N19" i="19"/>
  <c r="M20" i="19"/>
  <c r="N20" i="19"/>
  <c r="M21" i="19"/>
  <c r="N21" i="19"/>
  <c r="M22" i="19"/>
  <c r="N22" i="19"/>
  <c r="M23" i="19"/>
  <c r="N23" i="19"/>
  <c r="M24" i="19"/>
  <c r="N24" i="19"/>
  <c r="M25" i="19"/>
  <c r="N25" i="19"/>
  <c r="M26" i="19"/>
  <c r="N26" i="19"/>
  <c r="M27" i="19"/>
  <c r="N27" i="19"/>
  <c r="M28" i="19"/>
  <c r="N28" i="19"/>
  <c r="M29" i="19"/>
  <c r="N29" i="19"/>
  <c r="M30" i="19"/>
  <c r="N30" i="19"/>
  <c r="M31" i="19"/>
  <c r="N31" i="19"/>
  <c r="M32" i="19"/>
  <c r="N32" i="19"/>
  <c r="M33" i="19"/>
  <c r="N33" i="19"/>
  <c r="M34" i="19"/>
  <c r="N34" i="19"/>
  <c r="M35" i="19"/>
  <c r="N35" i="19"/>
  <c r="M36" i="19"/>
  <c r="N36" i="19"/>
  <c r="M37" i="19"/>
  <c r="N37" i="19"/>
  <c r="M38" i="19"/>
  <c r="N38" i="19"/>
  <c r="M39" i="19"/>
  <c r="N39" i="19"/>
  <c r="N2" i="19"/>
  <c r="M2" i="19"/>
  <c r="O8" i="20"/>
  <c r="C8" i="20"/>
  <c r="K8" i="20"/>
  <c r="H8" i="20"/>
  <c r="G8" i="20"/>
  <c r="E8" i="20"/>
  <c r="D8" i="20"/>
  <c r="A8" i="20"/>
  <c r="O7" i="20"/>
  <c r="C7" i="20"/>
  <c r="K7" i="20"/>
  <c r="H7" i="20"/>
  <c r="G7" i="20"/>
  <c r="E7" i="20"/>
  <c r="D7" i="20"/>
  <c r="A7" i="20"/>
  <c r="O6" i="20"/>
  <c r="C6" i="20"/>
  <c r="K6" i="20"/>
  <c r="H6" i="20"/>
  <c r="G6" i="20"/>
  <c r="E6" i="20"/>
  <c r="D6" i="20"/>
  <c r="A6" i="20"/>
  <c r="O5" i="20"/>
  <c r="C5" i="20"/>
  <c r="K5" i="20"/>
  <c r="H5" i="20"/>
  <c r="G5" i="20"/>
  <c r="E5" i="20"/>
  <c r="D5" i="20"/>
  <c r="A5" i="20"/>
  <c r="O4" i="20"/>
  <c r="C4" i="20"/>
  <c r="K4" i="20"/>
  <c r="H4" i="20"/>
  <c r="G4" i="20"/>
  <c r="E4" i="20"/>
  <c r="D4" i="20"/>
  <c r="A4" i="20"/>
  <c r="O3" i="20"/>
  <c r="C3" i="20"/>
  <c r="K3" i="20"/>
  <c r="H3" i="20"/>
  <c r="G3" i="20"/>
  <c r="E3" i="20"/>
  <c r="D3" i="20"/>
  <c r="A3" i="20"/>
  <c r="O2" i="20"/>
  <c r="C2" i="20"/>
  <c r="K2" i="20"/>
  <c r="H2" i="20"/>
  <c r="G2" i="20"/>
  <c r="E2" i="20"/>
  <c r="D2" i="20"/>
  <c r="A2" i="20"/>
  <c r="C2" i="19"/>
  <c r="J2" i="19"/>
  <c r="J3" i="19"/>
  <c r="C3" i="19"/>
  <c r="J4" i="19"/>
  <c r="C4" i="19"/>
  <c r="J5" i="19"/>
  <c r="C5" i="19"/>
  <c r="J6" i="19"/>
  <c r="C6" i="19"/>
  <c r="J7" i="19"/>
  <c r="C7" i="19"/>
  <c r="J8" i="19"/>
  <c r="C8" i="19"/>
  <c r="J9" i="19"/>
  <c r="C9" i="19"/>
  <c r="J10" i="19"/>
  <c r="C10" i="19"/>
  <c r="J11" i="19"/>
  <c r="C11" i="19"/>
  <c r="J12" i="19"/>
  <c r="C12" i="19"/>
  <c r="J13" i="19"/>
  <c r="C13" i="19"/>
  <c r="J14" i="19"/>
  <c r="C14" i="19"/>
  <c r="J15" i="19"/>
  <c r="C15" i="19"/>
  <c r="J16" i="19"/>
  <c r="C16" i="19"/>
  <c r="J17" i="19"/>
  <c r="C17" i="19"/>
  <c r="J18" i="19"/>
  <c r="C18" i="19"/>
  <c r="J19" i="19"/>
  <c r="C19" i="19"/>
  <c r="J20" i="19"/>
  <c r="C20" i="19"/>
  <c r="J21" i="19"/>
  <c r="C21" i="19"/>
  <c r="J22" i="19"/>
  <c r="C22" i="19"/>
  <c r="J23" i="19"/>
  <c r="C23" i="19"/>
  <c r="J24" i="19"/>
  <c r="C24" i="19"/>
  <c r="J25" i="19"/>
  <c r="C25" i="19"/>
  <c r="J26" i="19"/>
  <c r="C26" i="19"/>
  <c r="J27" i="19"/>
  <c r="C27" i="19"/>
  <c r="J28" i="19"/>
  <c r="C28" i="19"/>
  <c r="J29" i="19"/>
  <c r="C29" i="19"/>
  <c r="J30" i="19"/>
  <c r="C30" i="19"/>
  <c r="J31" i="19"/>
  <c r="C31" i="19"/>
  <c r="J32" i="19"/>
  <c r="C32" i="19"/>
  <c r="J33" i="19"/>
  <c r="C33" i="19"/>
  <c r="J34" i="19"/>
  <c r="C34" i="19"/>
  <c r="J35" i="19"/>
  <c r="C35" i="19"/>
  <c r="J36" i="19"/>
  <c r="C36" i="19"/>
  <c r="J37" i="19"/>
  <c r="C37" i="19"/>
  <c r="J38" i="19"/>
  <c r="C38" i="19"/>
  <c r="J39" i="19"/>
  <c r="C39" i="1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H39" i="19"/>
  <c r="G39" i="19"/>
  <c r="E39" i="19"/>
  <c r="D39" i="19"/>
  <c r="A39" i="19"/>
  <c r="H38" i="19"/>
  <c r="G38" i="19"/>
  <c r="E38" i="19"/>
  <c r="D38" i="19"/>
  <c r="A38" i="19"/>
  <c r="H37" i="19"/>
  <c r="G37" i="19"/>
  <c r="E37" i="19"/>
  <c r="D37" i="19"/>
  <c r="A37" i="19"/>
  <c r="H36" i="19"/>
  <c r="G36" i="19"/>
  <c r="E36" i="19"/>
  <c r="D36" i="19"/>
  <c r="A36" i="19"/>
  <c r="H35" i="19"/>
  <c r="G35" i="19"/>
  <c r="E35" i="19"/>
  <c r="D35" i="19"/>
  <c r="A35" i="19"/>
  <c r="H34" i="19"/>
  <c r="G34" i="19"/>
  <c r="E34" i="19"/>
  <c r="D34" i="19"/>
  <c r="A34" i="19"/>
  <c r="H33" i="19"/>
  <c r="G33" i="19"/>
  <c r="E33" i="19"/>
  <c r="D33" i="19"/>
  <c r="A33" i="19"/>
  <c r="H32" i="19"/>
  <c r="G32" i="19"/>
  <c r="E32" i="19"/>
  <c r="D32" i="19"/>
  <c r="A32" i="19"/>
  <c r="H31" i="19"/>
  <c r="G31" i="19"/>
  <c r="E31" i="19"/>
  <c r="D31" i="19"/>
  <c r="A31" i="19"/>
  <c r="H30" i="19"/>
  <c r="G30" i="19"/>
  <c r="E30" i="19"/>
  <c r="D30" i="19"/>
  <c r="A30" i="19"/>
  <c r="H29" i="19"/>
  <c r="G29" i="19"/>
  <c r="E29" i="19"/>
  <c r="D29" i="19"/>
  <c r="A29" i="19"/>
  <c r="H28" i="19"/>
  <c r="G28" i="19"/>
  <c r="E28" i="19"/>
  <c r="D28" i="19"/>
  <c r="A28" i="19"/>
  <c r="H27" i="19"/>
  <c r="G27" i="19"/>
  <c r="E27" i="19"/>
  <c r="D27" i="19"/>
  <c r="A27" i="19"/>
  <c r="H26" i="19"/>
  <c r="G26" i="19"/>
  <c r="E26" i="19"/>
  <c r="D26" i="19"/>
  <c r="A26" i="19"/>
  <c r="H25" i="19"/>
  <c r="G25" i="19"/>
  <c r="E25" i="19"/>
  <c r="D25" i="19"/>
  <c r="A25" i="19"/>
  <c r="H24" i="19"/>
  <c r="G24" i="19"/>
  <c r="E24" i="19"/>
  <c r="D24" i="19"/>
  <c r="A24" i="19"/>
  <c r="H23" i="19"/>
  <c r="G23" i="19"/>
  <c r="E23" i="19"/>
  <c r="D23" i="19"/>
  <c r="A23" i="19"/>
  <c r="H22" i="19"/>
  <c r="G22" i="19"/>
  <c r="E22" i="19"/>
  <c r="D22" i="19"/>
  <c r="A22" i="19"/>
  <c r="H21" i="19"/>
  <c r="G21" i="19"/>
  <c r="E21" i="19"/>
  <c r="D21" i="19"/>
  <c r="A21" i="19"/>
  <c r="H20" i="19"/>
  <c r="G20" i="19"/>
  <c r="E20" i="19"/>
  <c r="D20" i="19"/>
  <c r="A20" i="19"/>
  <c r="H19" i="19"/>
  <c r="G19" i="19"/>
  <c r="E19" i="19"/>
  <c r="D19" i="19"/>
  <c r="A19" i="19"/>
  <c r="H18" i="19"/>
  <c r="G18" i="19"/>
  <c r="E18" i="19"/>
  <c r="D18" i="19"/>
  <c r="A18" i="19"/>
  <c r="H17" i="19"/>
  <c r="G17" i="19"/>
  <c r="E17" i="19"/>
  <c r="D17" i="19"/>
  <c r="A17" i="19"/>
  <c r="H16" i="19"/>
  <c r="G16" i="19"/>
  <c r="E16" i="19"/>
  <c r="D16" i="19"/>
  <c r="A16" i="19"/>
  <c r="H15" i="19"/>
  <c r="G15" i="19"/>
  <c r="E15" i="19"/>
  <c r="D15" i="19"/>
  <c r="A15" i="19"/>
  <c r="H14" i="19"/>
  <c r="G14" i="19"/>
  <c r="E14" i="19"/>
  <c r="D14" i="19"/>
  <c r="A14" i="19"/>
  <c r="H13" i="19"/>
  <c r="G13" i="19"/>
  <c r="E13" i="19"/>
  <c r="D13" i="19"/>
  <c r="A13" i="19"/>
  <c r="H12" i="19"/>
  <c r="G12" i="19"/>
  <c r="E12" i="19"/>
  <c r="D12" i="19"/>
  <c r="A12" i="19"/>
  <c r="H11" i="19"/>
  <c r="G11" i="19"/>
  <c r="E11" i="19"/>
  <c r="D11" i="19"/>
  <c r="A11" i="19"/>
  <c r="H10" i="19"/>
  <c r="G10" i="19"/>
  <c r="E10" i="19"/>
  <c r="D10" i="19"/>
  <c r="A10" i="19"/>
  <c r="H9" i="19"/>
  <c r="G9" i="19"/>
  <c r="E9" i="19"/>
  <c r="D9" i="19"/>
  <c r="A9" i="19"/>
  <c r="H8" i="19"/>
  <c r="G8" i="19"/>
  <c r="E8" i="19"/>
  <c r="D8" i="19"/>
  <c r="A8" i="19"/>
  <c r="H7" i="19"/>
  <c r="G7" i="19"/>
  <c r="E7" i="19"/>
  <c r="D7" i="19"/>
  <c r="A7" i="19"/>
  <c r="H6" i="19"/>
  <c r="G6" i="19"/>
  <c r="E6" i="19"/>
  <c r="D6" i="19"/>
  <c r="A6" i="19"/>
  <c r="H5" i="19"/>
  <c r="G5" i="19"/>
  <c r="E5" i="19"/>
  <c r="D5" i="19"/>
  <c r="A5" i="19"/>
  <c r="H4" i="19"/>
  <c r="G4" i="19"/>
  <c r="E4" i="19"/>
  <c r="D4" i="19"/>
  <c r="A4" i="19"/>
  <c r="H3" i="19"/>
  <c r="G3" i="19"/>
  <c r="E3" i="19"/>
  <c r="D3" i="19"/>
  <c r="A3" i="19"/>
  <c r="H2" i="19"/>
  <c r="G2" i="19"/>
  <c r="E2" i="19"/>
  <c r="D2" i="19"/>
  <c r="A2" i="19"/>
  <c r="J60" i="11"/>
  <c r="O22" i="9"/>
  <c r="N22" i="9"/>
  <c r="M22" i="9"/>
  <c r="L22" i="9"/>
  <c r="K22" i="9"/>
  <c r="J22" i="9"/>
  <c r="I22" i="9"/>
  <c r="H22" i="9"/>
  <c r="G22" i="9"/>
  <c r="E22" i="9"/>
  <c r="D22" i="9"/>
  <c r="A22" i="9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O17" i="9"/>
  <c r="N17" i="9"/>
  <c r="M17" i="9"/>
  <c r="L17" i="9"/>
  <c r="K17" i="9"/>
  <c r="J17" i="9"/>
  <c r="I17" i="9"/>
  <c r="H17" i="9"/>
  <c r="G17" i="9"/>
  <c r="E17" i="9"/>
  <c r="D17" i="9"/>
  <c r="A17" i="9"/>
  <c r="J59" i="11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48" i="9"/>
  <c r="N48" i="9"/>
  <c r="M48" i="9"/>
  <c r="L48" i="9"/>
  <c r="K48" i="9"/>
  <c r="J48" i="9"/>
  <c r="I48" i="9"/>
  <c r="H48" i="9"/>
  <c r="G48" i="9"/>
  <c r="E48" i="9"/>
  <c r="D48" i="9"/>
  <c r="A48" i="9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J58" i="11"/>
  <c r="O39" i="9"/>
  <c r="N39" i="9"/>
  <c r="M39" i="9"/>
  <c r="L39" i="9"/>
  <c r="K39" i="9"/>
  <c r="J39" i="9"/>
  <c r="I39" i="9"/>
  <c r="H39" i="9"/>
  <c r="G39" i="9"/>
  <c r="E39" i="9"/>
  <c r="D39" i="9"/>
  <c r="A39" i="9"/>
  <c r="J57" i="11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J56" i="11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O20" i="9"/>
  <c r="N20" i="9"/>
  <c r="M20" i="9"/>
  <c r="L20" i="9"/>
  <c r="K20" i="9"/>
  <c r="J20" i="9"/>
  <c r="I20" i="9"/>
  <c r="H20" i="9"/>
  <c r="G20" i="9"/>
  <c r="E20" i="9"/>
  <c r="D20" i="9"/>
  <c r="A20" i="9"/>
  <c r="O23" i="9"/>
  <c r="N23" i="9"/>
  <c r="M23" i="9"/>
  <c r="L23" i="9"/>
  <c r="K23" i="9"/>
  <c r="J23" i="9"/>
  <c r="I23" i="9"/>
  <c r="H23" i="9"/>
  <c r="G23" i="9"/>
  <c r="E23" i="9"/>
  <c r="D23" i="9"/>
  <c r="A23" i="9"/>
  <c r="J55" i="11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J54" i="11"/>
  <c r="O18" i="9"/>
  <c r="N18" i="9"/>
  <c r="M18" i="9"/>
  <c r="L18" i="9"/>
  <c r="K18" i="9"/>
  <c r="J18" i="9"/>
  <c r="I18" i="9"/>
  <c r="H18" i="9"/>
  <c r="G18" i="9"/>
  <c r="E18" i="9"/>
  <c r="D18" i="9"/>
  <c r="A18" i="9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J53" i="11"/>
  <c r="O16" i="9"/>
  <c r="N16" i="9"/>
  <c r="M16" i="9"/>
  <c r="L16" i="9"/>
  <c r="K16" i="9"/>
  <c r="J16" i="9"/>
  <c r="I16" i="9"/>
  <c r="H16" i="9"/>
  <c r="G16" i="9"/>
  <c r="E16" i="9"/>
  <c r="D16" i="9"/>
  <c r="A16" i="9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O8" i="9"/>
  <c r="N8" i="9"/>
  <c r="M8" i="9"/>
  <c r="L8" i="9"/>
  <c r="K8" i="9"/>
  <c r="J8" i="9"/>
  <c r="I8" i="9"/>
  <c r="H8" i="9"/>
  <c r="G8" i="9"/>
  <c r="E8" i="9"/>
  <c r="D8" i="9"/>
  <c r="A8" i="9"/>
  <c r="J52" i="11"/>
  <c r="J51" i="11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J50" i="11"/>
  <c r="O2" i="9"/>
  <c r="N2" i="9"/>
  <c r="M2" i="9"/>
  <c r="L2" i="9"/>
  <c r="K2" i="9"/>
  <c r="J2" i="9"/>
  <c r="I2" i="9"/>
  <c r="H2" i="9"/>
  <c r="G2" i="9"/>
  <c r="E2" i="9"/>
  <c r="D2" i="9"/>
  <c r="A2" i="9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7" i="9"/>
  <c r="N47" i="9"/>
  <c r="M47" i="9"/>
  <c r="L47" i="9"/>
  <c r="K47" i="9"/>
  <c r="J47" i="9"/>
  <c r="I47" i="9"/>
  <c r="H47" i="9"/>
  <c r="G47" i="9"/>
  <c r="E47" i="9"/>
  <c r="D47" i="9"/>
  <c r="A47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W6" i="7"/>
  <c r="O55" i="9"/>
  <c r="N55" i="9"/>
  <c r="M55" i="9"/>
  <c r="L55" i="9"/>
  <c r="K55" i="9"/>
  <c r="J55" i="9"/>
  <c r="I55" i="9"/>
  <c r="H55" i="9"/>
  <c r="G55" i="9"/>
  <c r="E55" i="9"/>
  <c r="D55" i="9"/>
  <c r="A55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1" i="9"/>
  <c r="N21" i="9"/>
  <c r="M21" i="9"/>
  <c r="L21" i="9"/>
  <c r="K21" i="9"/>
  <c r="J21" i="9"/>
  <c r="I21" i="9"/>
  <c r="H21" i="9"/>
  <c r="G21" i="9"/>
  <c r="E21" i="9"/>
  <c r="D21" i="9"/>
  <c r="A21" i="9"/>
  <c r="O19" i="9"/>
  <c r="N19" i="9"/>
  <c r="M19" i="9"/>
  <c r="L19" i="9"/>
  <c r="K19" i="9"/>
  <c r="J19" i="9"/>
  <c r="I19" i="9"/>
  <c r="H19" i="9"/>
  <c r="G19" i="9"/>
  <c r="E19" i="9"/>
  <c r="D19" i="9"/>
  <c r="A19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E3" i="9"/>
  <c r="V2" i="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30" i="10"/>
  <c r="T30" i="10"/>
  <c r="W30" i="10"/>
  <c r="V30" i="10"/>
  <c r="X30" i="10"/>
  <c r="U30" i="10"/>
  <c r="Y30" i="10"/>
  <c r="M43" i="10"/>
  <c r="N43" i="10"/>
  <c r="Q43" i="10"/>
  <c r="P43" i="10"/>
  <c r="R43" i="10"/>
  <c r="O43" i="10"/>
  <c r="S43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M45" i="10"/>
  <c r="N45" i="10"/>
  <c r="Q45" i="10"/>
  <c r="P45" i="10"/>
  <c r="R45" i="10"/>
  <c r="O45" i="10"/>
  <c r="S45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M44" i="10"/>
  <c r="N44" i="10"/>
  <c r="Q44" i="10"/>
  <c r="P44" i="10"/>
  <c r="R44" i="10"/>
  <c r="O44" i="10"/>
  <c r="S44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6" i="7"/>
  <c r="Q6" i="7"/>
  <c r="P6" i="7"/>
  <c r="O6" i="7"/>
  <c r="N6" i="7"/>
  <c r="H6" i="7"/>
  <c r="G2" i="2"/>
  <c r="A2" i="2"/>
  <c r="G3" i="2"/>
  <c r="A3" i="2"/>
  <c r="G4" i="2"/>
  <c r="A4" i="2"/>
  <c r="G5" i="2"/>
  <c r="A5" i="2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Q2" i="1"/>
  <c r="P2" i="1"/>
  <c r="O2" i="1"/>
  <c r="N2" i="1"/>
  <c r="M2" i="1"/>
  <c r="H2" i="1"/>
  <c r="J2" i="1"/>
  <c r="I2" i="1"/>
  <c r="D2" i="1"/>
  <c r="F2" i="1"/>
  <c r="E2" i="1"/>
  <c r="A2" i="1"/>
  <c r="H5" i="2"/>
  <c r="E5" i="2"/>
  <c r="D5" i="2"/>
  <c r="B5" i="2"/>
  <c r="H4" i="2"/>
  <c r="E4" i="2"/>
  <c r="D4" i="2"/>
  <c r="B4" i="2"/>
  <c r="H3" i="2"/>
  <c r="E3" i="2"/>
  <c r="D3" i="2"/>
  <c r="B3" i="2"/>
  <c r="H2" i="2"/>
  <c r="E2" i="2"/>
  <c r="D2" i="2"/>
  <c r="B2" i="2"/>
  <c r="O3" i="9"/>
  <c r="N3" i="9"/>
  <c r="M3" i="9"/>
  <c r="L3" i="9"/>
  <c r="K3" i="9"/>
  <c r="J3" i="9"/>
  <c r="I3" i="9"/>
  <c r="H3" i="9"/>
  <c r="G3" i="9"/>
  <c r="D3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3" i="9"/>
  <c r="A2" i="7"/>
  <c r="I2" i="7"/>
  <c r="D2" i="7"/>
  <c r="F2" i="7"/>
  <c r="E2" i="7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<sst xmlns="http://schemas.openxmlformats.org/spreadsheetml/2006/main" count="1088" uniqueCount="412">
  <si>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</si>
  <si>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</si>
  <si>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</si>
  <si>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</si>
  <si>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</si>
  <si>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</si>
  <si>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</si>
  <si>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</si>
  <si>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</si>
  <si>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</si>
  <si>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</si>
  <si>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</si>
  <si>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</si>
  <si>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</si>
  <si>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</si>
  <si>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</si>
  <si>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floor_id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</si>
  <si>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</si>
  <si>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</si>
  <si>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</si>
  <si>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</si>
  <si>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</si>
  <si>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temp_stage</t>
    <phoneticPr fontId="5"/>
  </si>
  <si>
    <t>temp_habitats</t>
    <phoneticPr fontId="5"/>
  </si>
  <si>
    <t>temp_floor</t>
    <phoneticPr fontId="5"/>
  </si>
  <si>
    <t>位置付け</t>
    <rPh sb="0" eb="3">
      <t>イチヅ</t>
    </rPh>
    <phoneticPr fontId="5"/>
  </si>
  <si>
    <t>hp_plus</t>
  </si>
  <si>
    <t>attack_plus</t>
  </si>
  <si>
    <t>defense_plus</t>
  </si>
  <si>
    <t>heal_plus</t>
  </si>
  <si>
    <t>bug</t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</si>
  <si>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</si>
  <si>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</si>
  <si>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</si>
  <si>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</si>
  <si>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</si>
  <si>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</si>
  <si>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</si>
  <si>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</si>
  <si>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</si>
  <si>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</si>
  <si>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</si>
  <si>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</si>
  <si>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</si>
  <si>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</si>
  <si>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</si>
  <si>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</si>
  <si>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</si>
  <si>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</si>
  <si>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</si>
  <si>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</si>
  <si>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</si>
  <si>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</si>
  <si>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</si>
  <si>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</si>
  <si>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</si>
  <si>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</si>
  <si>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</si>
  <si>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</si>
  <si>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</si>
  <si>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</si>
  <si>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</si>
  <si>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</si>
  <si>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</si>
  <si>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</si>
  <si>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</si>
  <si>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</si>
  <si>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</si>
  <si>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</si>
  <si>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</si>
  <si>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</si>
  <si>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</si>
  <si>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</si>
  <si>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</si>
  <si>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</si>
  <si>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</si>
  <si>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</si>
  <si>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</si>
  <si>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</si>
  <si>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</si>
  <si>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</si>
  <si>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</si>
  <si>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</si>
  <si>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</si>
  <si>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</si>
  <si>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</si>
  <si>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</si>
  <si>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</si>
  <si>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</si>
  <si>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</si>
  <si>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</si>
  <si>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</si>
  <si>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</si>
  <si>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</si>
  <si>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</si>
  <si>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</si>
  <si>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</si>
  <si>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</si>
  <si>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</si>
  <si>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</si>
  <si>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</si>
  <si>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</si>
  <si>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</si>
  <si>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</si>
  <si>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</si>
  <si>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</si>
  <si>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</si>
  <si>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</si>
  <si>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</si>
  <si>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</si>
  <si>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</si>
  <si>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</si>
  <si>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</si>
  <si>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</si>
  <si>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</si>
  <si>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</si>
  <si>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</si>
  <si>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</si>
  <si>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</si>
  <si>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</si>
  <si>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</si>
  <si>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</si>
  <si>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</si>
  <si>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</si>
  <si>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</si>
  <si>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</si>
  <si>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</si>
  <si>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</si>
  <si>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</si>
  <si>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</si>
  <si>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</si>
  <si>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</si>
  <si>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</si>
  <si>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</si>
  <si>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</si>
  <si>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</si>
  <si>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</si>
  <si>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</si>
  <si>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</si>
  <si>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</si>
  <si>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</si>
  <si>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</si>
  <si>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</si>
  <si>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</si>
  <si>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</si>
  <si>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</si>
  <si>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</si>
  <si>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</si>
  <si>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</si>
  <si>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</si>
  <si>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</si>
  <si>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</si>
  <si>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</si>
  <si>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</si>
  <si>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</si>
  <si>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</si>
  <si>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</si>
  <si>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</si>
  <si>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</si>
  <si>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</si>
  <si>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</si>
  <si>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</si>
  <si>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</si>
  <si>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hint_id</t>
    <phoneticPr fontId="5"/>
  </si>
  <si>
    <t>hint_type</t>
    <phoneticPr fontId="5"/>
  </si>
  <si>
    <t>hint</t>
    <phoneticPr fontId="5"/>
  </si>
  <si>
    <t>filename</t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</si>
  <si>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</si>
  <si>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</si>
  <si>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</si>
  <si>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</si>
  <si>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</si>
  <si>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</si>
  <si>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</si>
  <si>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</si>
  <si>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</si>
  <si>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</si>
  <si>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</si>
  <si>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</si>
  <si>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</si>
  <si>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</si>
  <si>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temp_floor</t>
    <phoneticPr fontId="5"/>
  </si>
  <si>
    <t>status</t>
    <phoneticPr fontId="5"/>
  </si>
  <si>
    <t>name</t>
    <phoneticPr fontId="5"/>
  </si>
  <si>
    <t>temp_stage</t>
    <phoneticPr fontId="5"/>
  </si>
  <si>
    <t>name</t>
    <phoneticPr fontId="5"/>
  </si>
  <si>
    <t>temp_habitats</t>
    <phoneticPr fontId="5"/>
  </si>
  <si>
    <t>temp_stage</t>
    <phoneticPr fontId="5"/>
  </si>
  <si>
    <t>floor_id</t>
    <phoneticPr fontId="5"/>
  </si>
  <si>
    <t>temp_floor</t>
    <phoneticPr fontId="5"/>
  </si>
  <si>
    <t>seq_no</t>
    <phoneticPr fontId="5"/>
  </si>
  <si>
    <t>color</t>
    <phoneticPr fontId="5"/>
  </si>
  <si>
    <t>drop_label</t>
    <phoneticPr fontId="5"/>
  </si>
  <si>
    <t>hp_coefficient</t>
    <phoneticPr fontId="5"/>
  </si>
  <si>
    <t>attack_coefficient</t>
    <phoneticPr fontId="5"/>
  </si>
  <si>
    <t>defense_correction</t>
    <phoneticPr fontId="5"/>
  </si>
  <si>
    <t>スキル</t>
    <phoneticPr fontId="5"/>
  </si>
  <si>
    <t>skill_set_id</t>
    <phoneticPr fontId="5"/>
  </si>
  <si>
    <t>name</t>
    <phoneticPr fontId="5"/>
  </si>
  <si>
    <t>rare</t>
    <phoneticPr fontId="5"/>
  </si>
  <si>
    <t>drop_label</t>
    <phoneticPr fontId="7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</si>
  <si>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</si>
  <si>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</si>
  <si>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</si>
  <si>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</si>
  <si>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</si>
  <si>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skill_level</t>
    <phoneticPr fontId="5"/>
  </si>
  <si>
    <t>null</t>
    <phoneticPr fontId="5"/>
  </si>
  <si>
    <t>null</t>
    <phoneticPr fontId="5"/>
  </si>
  <si>
    <t>old</t>
  </si>
  <si>
    <t>old</t>
    <phoneticPr fontId="5"/>
  </si>
  <si>
    <t>LB藤井</t>
    <rPh sb="2" eb="4">
      <t>フジイ</t>
    </rPh>
    <phoneticPr fontId="5"/>
  </si>
  <si>
    <t>[effect:nothing]</t>
  </si>
  <si>
    <t>フィーバーゲージを0にする</t>
    <phoneticPr fontId="5"/>
  </si>
  <si>
    <t>6回連続攻撃</t>
    <rPh sb="1" eb="2">
      <t>カイ</t>
    </rPh>
    <rPh sb="2" eb="4">
      <t>レンゾク</t>
    </rPh>
    <rPh sb="4" eb="6">
      <t>タンタイコウゲキ</t>
    </rPh>
    <phoneticPr fontId="5"/>
  </si>
  <si>
    <t>LB藤井</t>
    <rPh sb="2" eb="4">
      <t>フジイ</t>
    </rPh>
    <phoneticPr fontId="5"/>
  </si>
  <si>
    <t>3回連続攻撃</t>
    <rPh sb="1" eb="2">
      <t>カイ</t>
    </rPh>
    <rPh sb="2" eb="4">
      <t>レンゾク</t>
    </rPh>
    <rPh sb="4" eb="6">
      <t>コウゲキ</t>
    </rPh>
    <phoneticPr fontId="5"/>
  </si>
  <si>
    <t>4回連続攻撃</t>
    <rPh sb="1" eb="2">
      <t>カイ</t>
    </rPh>
    <rPh sb="2" eb="4">
      <t>レンゾク</t>
    </rPh>
    <rPh sb="4" eb="6">
      <t>コウゲキ</t>
    </rPh>
    <phoneticPr fontId="5"/>
  </si>
  <si>
    <t>5回連続攻撃</t>
    <rPh sb="1" eb="2">
      <t>カイ</t>
    </rPh>
    <rPh sb="2" eb="4">
      <t>レンゾク</t>
    </rPh>
    <rPh sb="4" eb="6">
      <t>コウゲキ</t>
    </rPh>
    <phoneticPr fontId="5"/>
  </si>
  <si>
    <t>6回連続攻撃</t>
    <rPh sb="1" eb="2">
      <t>カイ</t>
    </rPh>
    <rPh sb="2" eb="4">
      <t>レンゾク</t>
    </rPh>
    <rPh sb="4" eb="6">
      <t>コウゲキ</t>
    </rPh>
    <phoneticPr fontId="5"/>
  </si>
  <si>
    <t>全体攻撃</t>
    <rPh sb="0" eb="4">
      <t>ゼンタイコウゲキ</t>
    </rPh>
    <phoneticPr fontId="5"/>
  </si>
  <si>
    <t>6回連続攻撃</t>
    <rPh sb="1" eb="2">
      <t>カイ</t>
    </rPh>
    <rPh sb="2" eb="6">
      <t>レンゾクコウゲキ</t>
    </rPh>
    <phoneticPr fontId="5"/>
  </si>
  <si>
    <t>7回連続攻撃</t>
    <rPh sb="1" eb="2">
      <t>カイ</t>
    </rPh>
    <rPh sb="2" eb="4">
      <t>レンゾク</t>
    </rPh>
    <rPh sb="4" eb="6">
      <t>コウゲキ</t>
    </rPh>
    <phoneticPr fontId="5"/>
  </si>
  <si>
    <t>8回連続攻撃</t>
    <rPh sb="1" eb="2">
      <t>カイ</t>
    </rPh>
    <rPh sb="2" eb="6">
      <t>レンゾクコウゲキ</t>
    </rPh>
    <phoneticPr fontId="5"/>
  </si>
  <si>
    <t>Cパネル破壊＋破壊数に応じた攻撃</t>
    <rPh sb="4" eb="6">
      <t>ハカイ</t>
    </rPh>
    <rPh sb="7" eb="9">
      <t>ハカイ</t>
    </rPh>
    <rPh sb="9" eb="10">
      <t>カズ</t>
    </rPh>
    <rPh sb="11" eb="12">
      <t>オウ</t>
    </rPh>
    <rPh sb="14" eb="16">
      <t>コウゲキ</t>
    </rPh>
    <phoneticPr fontId="5"/>
  </si>
  <si>
    <t>Cパネル破壊＋破壊数に応じた回復</t>
    <rPh sb="4" eb="6">
      <t>ハカイ</t>
    </rPh>
    <rPh sb="7" eb="10">
      <t>ハカイスウ</t>
    </rPh>
    <rPh sb="11" eb="12">
      <t>オウ</t>
    </rPh>
    <rPh sb="14" eb="16">
      <t>カイフク</t>
    </rPh>
    <phoneticPr fontId="5"/>
  </si>
  <si>
    <t>青属性以外のユニットに大ダメージ</t>
    <rPh sb="0" eb="1">
      <t>アオ</t>
    </rPh>
    <rPh sb="1" eb="3">
      <t>ゾクセイ</t>
    </rPh>
    <rPh sb="3" eb="5">
      <t>イガイ</t>
    </rPh>
    <rPh sb="11" eb="12">
      <t>ダイ</t>
    </rPh>
    <phoneticPr fontId="5"/>
  </si>
  <si>
    <t>ハート破壊＋破壊数に応じた全体攻撃</t>
    <rPh sb="3" eb="5">
      <t>ハカイ</t>
    </rPh>
    <rPh sb="6" eb="9">
      <t>ハカイカズ</t>
    </rPh>
    <rPh sb="10" eb="11">
      <t>オウ</t>
    </rPh>
    <rPh sb="13" eb="15">
      <t>ゼンタイ</t>
    </rPh>
    <rPh sb="15" eb="17">
      <t>コウゲキ</t>
    </rPh>
    <phoneticPr fontId="5"/>
  </si>
  <si>
    <t>null</t>
    <phoneticPr fontId="5"/>
  </si>
  <si>
    <t>全体攻撃＋小回復</t>
    <rPh sb="0" eb="2">
      <t>ゼンタイ</t>
    </rPh>
    <rPh sb="2" eb="4">
      <t>コウゲキ</t>
    </rPh>
    <rPh sb="5" eb="8">
      <t>ショウカイフク</t>
    </rPh>
    <phoneticPr fontId="5"/>
  </si>
  <si>
    <t>次のターン強力な攻撃</t>
    <phoneticPr fontId="5"/>
  </si>
  <si>
    <t>[effect:dis_panel, target:block_red, turn:5, animation:enemy_dis_red],[effect:rush, count:1, val:1.0]</t>
    <phoneticPr fontId="5"/>
  </si>
  <si>
    <t>5ターン赤パネルが使えない！＋攻撃</t>
    <rPh sb="4" eb="5">
      <t>アカ</t>
    </rPh>
    <rPh sb="9" eb="10">
      <t>ツカ</t>
    </rPh>
    <rPh sb="15" eb="17">
      <t>コウゲキ</t>
    </rPh>
    <phoneticPr fontId="5"/>
  </si>
  <si>
    <t>5ターン黄パネルが使えない！＋攻撃</t>
    <rPh sb="4" eb="5">
      <t>キイロ</t>
    </rPh>
    <rPh sb="9" eb="10">
      <t>ツカ</t>
    </rPh>
    <rPh sb="15" eb="17">
      <t>コウゲキ</t>
    </rPh>
    <phoneticPr fontId="5"/>
  </si>
  <si>
    <t>5ターン緑パネルが使えない！＋攻撃</t>
    <rPh sb="4" eb="5">
      <t>ミドリ</t>
    </rPh>
    <rPh sb="9" eb="10">
      <t>ツカ</t>
    </rPh>
    <rPh sb="15" eb="17">
      <t>コウゲキ</t>
    </rPh>
    <phoneticPr fontId="5"/>
  </si>
  <si>
    <t>[effect:dis_panel, target:block_yellow, turn:5, animation:enemy_dis_yellow],[effect:rush, count:1, val:1.0]</t>
    <phoneticPr fontId="5"/>
  </si>
  <si>
    <t>[effect:dis_panel, target:block_green, turn:5, animation:enemy_dis_green],[effect:rush, count:1, val:1.0]</t>
    <phoneticPr fontId="5"/>
  </si>
  <si>
    <t>[effect:spread, val:0.3],[effect:heal, target:enemy_one, val:0.1, animation:enemy_heal]</t>
    <phoneticPr fontId="5"/>
  </si>
  <si>
    <t>[effect:break_attack_fix, val:1250, lowest_val:666, count:-1, block:jammer, target:unit_one]</t>
    <phoneticPr fontId="5"/>
  </si>
  <si>
    <t>[effect:spread, val:0.3]</t>
    <phoneticPr fontId="5"/>
  </si>
  <si>
    <t>[effect:freq_turn, target:myself, turn:2, val:1, animation:enemy_freq_turn]</t>
    <phoneticPr fontId="5"/>
  </si>
  <si>
    <t>null</t>
    <phoneticPr fontId="5"/>
  </si>
  <si>
    <t>お邪魔パネル破壊＋破壊数に応じた攻撃</t>
    <rPh sb="1" eb="3">
      <t>ジャマ</t>
    </rPh>
    <rPh sb="6" eb="8">
      <t>ハカイ</t>
    </rPh>
    <rPh sb="9" eb="12">
      <t>ハカイスウ</t>
    </rPh>
    <rPh sb="13" eb="14">
      <t>オウ</t>
    </rPh>
    <rPh sb="16" eb="18">
      <t>コウゲキ</t>
    </rPh>
    <phoneticPr fontId="5"/>
  </si>
  <si>
    <t>null</t>
    <phoneticPr fontId="5"/>
  </si>
  <si>
    <t>HPが多いほど強力な全体攻撃</t>
    <rPh sb="3" eb="4">
      <t>オオ</t>
    </rPh>
    <rPh sb="7" eb="9">
      <t>キョウリョク</t>
    </rPh>
    <rPh sb="10" eb="12">
      <t>ゼンタイ</t>
    </rPh>
    <rPh sb="12" eb="14">
      <t>ダイコウゲキ</t>
    </rPh>
    <phoneticPr fontId="5"/>
  </si>
  <si>
    <t>HPが少ないほど強力な全体攻撃</t>
    <rPh sb="3" eb="4">
      <t>スク</t>
    </rPh>
    <rPh sb="8" eb="10">
      <t>キョウリョク</t>
    </rPh>
    <rPh sb="11" eb="13">
      <t>ゼンタイ</t>
    </rPh>
    <rPh sb="13" eb="15">
      <t>ダイコウゲキ</t>
    </rPh>
    <phoneticPr fontId="5"/>
  </si>
  <si>
    <t>[effect:rush, count:6, val:0.25]</t>
    <phoneticPr fontId="5"/>
  </si>
  <si>
    <t>[effect:rush, count:4, val:0.34]</t>
    <phoneticPr fontId="5"/>
  </si>
  <si>
    <t>攻撃力×1.5倍の攻撃</t>
    <phoneticPr fontId="5"/>
  </si>
  <si>
    <t>[effect:critical, val:1.5]</t>
    <phoneticPr fontId="5"/>
  </si>
  <si>
    <t>[effect:spread, val:0.2],[effect:rush, count:6, val:0.25]</t>
    <phoneticPr fontId="5"/>
  </si>
  <si>
    <t>[effect:damage_anti_color, target:unit_all, color:blue, val1:0.25, val2:0.75]</t>
    <phoneticPr fontId="5"/>
  </si>
  <si>
    <t>[effect:rush, count:3, val:0.4]</t>
    <phoneticPr fontId="5"/>
  </si>
  <si>
    <t>[effect:freq_turn, target:myself, turn:-1, val:1, animation:enemy_freq_turn]</t>
    <phoneticPr fontId="5"/>
  </si>
  <si>
    <t>この手は使いたくなかったが…</t>
    <rPh sb="2" eb="3">
      <t>テ</t>
    </rPh>
    <rPh sb="4" eb="5">
      <t>ツカ</t>
    </rPh>
    <phoneticPr fontId="5"/>
  </si>
  <si>
    <t>3回連続攻撃</t>
    <phoneticPr fontId="5"/>
  </si>
  <si>
    <t>フェイタルスプレッド</t>
    <phoneticPr fontId="5"/>
  </si>
  <si>
    <t>確かに彼は歪んでしまった</t>
    <rPh sb="0" eb="1">
      <t>タシ</t>
    </rPh>
    <rPh sb="3" eb="4">
      <t>カレ</t>
    </rPh>
    <rPh sb="5" eb="6">
      <t>ユガ</t>
    </rPh>
    <phoneticPr fontId="5"/>
  </si>
  <si>
    <t>null</t>
    <phoneticPr fontId="5"/>
  </si>
  <si>
    <t>[effect:nothing]</t>
    <phoneticPr fontId="5"/>
  </si>
  <si>
    <t>ja</t>
  </si>
  <si>
    <t>[effect:change_block, new_block:block_heart, target:block_all, count:12, val:0, animation:change_block],[effect:dis_heart, turn:2, animation:enemy_dis_heart]</t>
    <phoneticPr fontId="5"/>
  </si>
  <si>
    <t>燃料投下…フフッ…</t>
    <rPh sb="0" eb="4">
      <t>ネンリョウトウカ</t>
    </rPh>
    <phoneticPr fontId="5"/>
  </si>
  <si>
    <t>砲弾装填！</t>
    <rPh sb="0" eb="2">
      <t>ホウダン</t>
    </rPh>
    <rPh sb="2" eb="4">
      <t>ソウテン</t>
    </rPh>
    <phoneticPr fontId="5"/>
  </si>
  <si>
    <t>外敵排除！</t>
    <rPh sb="0" eb="2">
      <t>ガイテキ</t>
    </rPh>
    <rPh sb="2" eb="4">
      <t>ハイジョ</t>
    </rPh>
    <phoneticPr fontId="5"/>
  </si>
  <si>
    <t>攻撃力×1.3倍の攻撃</t>
    <phoneticPr fontId="5"/>
  </si>
  <si>
    <t>[effect:rush, count:1, val:1.3]</t>
    <phoneticPr fontId="5"/>
  </si>
  <si>
    <t>燃料投下！</t>
    <rPh sb="0" eb="4">
      <t>ネンリョウトウカ</t>
    </rPh>
    <phoneticPr fontId="5"/>
  </si>
  <si>
    <t>ハート出現</t>
    <rPh sb="3" eb="5">
      <t>シュツゲン</t>
    </rPh>
    <phoneticPr fontId="5"/>
  </si>
  <si>
    <t>敵全体の次の攻撃頻度が1ターンにUP</t>
    <rPh sb="0" eb="1">
      <t>テキゼンイン</t>
    </rPh>
    <rPh sb="1" eb="3">
      <t>ゼンタイ</t>
    </rPh>
    <rPh sb="4" eb="5">
      <t>ツギ</t>
    </rPh>
    <rPh sb="6" eb="8">
      <t>コウゲキ</t>
    </rPh>
    <rPh sb="8" eb="10">
      <t>コウドウヒンド</t>
    </rPh>
    <phoneticPr fontId="5"/>
  </si>
  <si>
    <t>ウェポンクラッシュ</t>
    <phoneticPr fontId="5"/>
  </si>
  <si>
    <t>次の攻撃頻度が1にUP＋攻撃</t>
    <rPh sb="0" eb="1">
      <t>ツギ</t>
    </rPh>
    <rPh sb="2" eb="6">
      <t>コウゲキヒンド</t>
    </rPh>
    <rPh sb="12" eb="14">
      <t>コウゲキ</t>
    </rPh>
    <phoneticPr fontId="5"/>
  </si>
  <si>
    <t>3ターンタップ回数を1減少＋全体攻撃</t>
    <rPh sb="7" eb="9">
      <t>カイスウ</t>
    </rPh>
    <rPh sb="11" eb="13">
      <t>ゲンショウ</t>
    </rPh>
    <rPh sb="14" eb="16">
      <t>ゼンタイ</t>
    </rPh>
    <rPh sb="16" eb="18">
      <t>コウゲキ</t>
    </rPh>
    <phoneticPr fontId="5"/>
  </si>
  <si>
    <t>カーペットボミング</t>
    <phoneticPr fontId="5"/>
  </si>
  <si>
    <t>弱い者いじめはダメ…</t>
    <rPh sb="0" eb="1">
      <t>ヨワ</t>
    </rPh>
    <rPh sb="2" eb="3">
      <t>モノ</t>
    </rPh>
    <phoneticPr fontId="5"/>
  </si>
  <si>
    <t>10ターン暗闇＋次のターン強力な攻撃</t>
    <rPh sb="5" eb="7">
      <t>クラヤミ</t>
    </rPh>
    <rPh sb="8" eb="9">
      <t>ツギ</t>
    </rPh>
    <rPh sb="13" eb="15">
      <t>キョウリョク</t>
    </rPh>
    <rPh sb="16" eb="18">
      <t>コウゲキ</t>
    </rPh>
    <phoneticPr fontId="5"/>
  </si>
  <si>
    <t>いかせてもらおうか！</t>
    <phoneticPr fontId="5"/>
  </si>
  <si>
    <t>もう…許さないよ…！</t>
    <rPh sb="3" eb="4">
      <t>ユル</t>
    </rPh>
    <phoneticPr fontId="5"/>
  </si>
  <si>
    <t>トリニティバレット</t>
    <phoneticPr fontId="5"/>
  </si>
  <si>
    <t>アクセルカノン</t>
    <phoneticPr fontId="5"/>
  </si>
  <si>
    <t>[effect:change_block, new_block:block_heart, target:block_all, count:8, val:0, animation:change_block]</t>
    <phoneticPr fontId="5"/>
  </si>
  <si>
    <t>バーストショット</t>
    <phoneticPr fontId="5"/>
  </si>
  <si>
    <t>お邪魔パネル出現＋攻撃</t>
    <rPh sb="1" eb="3">
      <t>ジャマ</t>
    </rPh>
    <rPh sb="6" eb="8">
      <t>シュツゲン</t>
    </rPh>
    <rPh sb="9" eb="11">
      <t>コウゲキ</t>
    </rPh>
    <phoneticPr fontId="5"/>
  </si>
  <si>
    <t>[effect:change_block, new_block:jammer, target:block_all, count:1, val:0, animation:change_block],[effect:rush, count:1, val:0.8]</t>
    <phoneticPr fontId="5"/>
  </si>
  <si>
    <t>ステイシス</t>
    <phoneticPr fontId="5"/>
  </si>
  <si>
    <t>琥を穿つ衝撃</t>
    <rPh sb="0" eb="1">
      <t>コハク</t>
    </rPh>
    <rPh sb="2" eb="3">
      <t>ウガ</t>
    </rPh>
    <rPh sb="4" eb="6">
      <t>ショウゲキ</t>
    </rPh>
    <phoneticPr fontId="5"/>
  </si>
  <si>
    <t>紅を穿つ閃光</t>
    <rPh sb="0" eb="1">
      <t>クレナイ</t>
    </rPh>
    <rPh sb="2" eb="3">
      <t>ウガ</t>
    </rPh>
    <rPh sb="4" eb="5">
      <t>センコウ</t>
    </rPh>
    <rPh sb="5" eb="6">
      <t>ヒカリ</t>
    </rPh>
    <phoneticPr fontId="5"/>
  </si>
  <si>
    <t>調子に乗らないで…！</t>
    <rPh sb="0" eb="2">
      <t>チョウシ</t>
    </rPh>
    <rPh sb="3" eb="4">
      <t>ノ</t>
    </rPh>
    <phoneticPr fontId="5"/>
  </si>
  <si>
    <t>翠を穿つ波動</t>
    <rPh sb="0" eb="1">
      <t>ヒスイ</t>
    </rPh>
    <rPh sb="2" eb="3">
      <t>ウガ</t>
    </rPh>
    <rPh sb="4" eb="6">
      <t>ハドウ</t>
    </rPh>
    <phoneticPr fontId="5"/>
  </si>
  <si>
    <t>ガトリングショット</t>
    <phoneticPr fontId="5"/>
  </si>
  <si>
    <t>引導を渡してあげる！</t>
    <rPh sb="0" eb="2">
      <t>インドウ</t>
    </rPh>
    <rPh sb="3" eb="4">
      <t>ワタ</t>
    </rPh>
    <phoneticPr fontId="5"/>
  </si>
  <si>
    <t>止まりなさい！</t>
    <rPh sb="0" eb="1">
      <t>ト</t>
    </rPh>
    <phoneticPr fontId="5"/>
  </si>
  <si>
    <t>あなたの相手はこの私よ…！</t>
    <rPh sb="4" eb="6">
      <t>アイテ</t>
    </rPh>
    <rPh sb="9" eb="10">
      <t>ワタシ</t>
    </rPh>
    <phoneticPr fontId="5"/>
  </si>
  <si>
    <t>解除されるまで攻撃力UP</t>
    <phoneticPr fontId="5"/>
  </si>
  <si>
    <t>[effect:fix_speed,target:myself,turn:3]</t>
    <phoneticPr fontId="5"/>
  </si>
  <si>
    <t>[effect:fix_speed,target:myself,turn:1]</t>
    <phoneticPr fontId="5"/>
  </si>
  <si>
    <t>[effect:change_block, new_block:jammer, target:block_all, count:4, val:0, animation:change_block]</t>
    <phoneticPr fontId="5"/>
  </si>
  <si>
    <t>[effect:dark, target:unit_all, turn:10, animation:enemy_dark]</t>
    <phoneticPr fontId="5"/>
  </si>
  <si>
    <t>銃弾の嵐が戦場を埋め尽くす！</t>
    <rPh sb="0" eb="2">
      <t>ジュウダン</t>
    </rPh>
    <rPh sb="3" eb="4">
      <t>アラシ</t>
    </rPh>
    <rPh sb="5" eb="7">
      <t>センジョウ</t>
    </rPh>
    <rPh sb="8" eb="9">
      <t>ウ</t>
    </rPh>
    <rPh sb="10" eb="11">
      <t>ツ</t>
    </rPh>
    <phoneticPr fontId="5"/>
  </si>
  <si>
    <t>2ターン攻撃頻度が1ターンにUP</t>
    <phoneticPr fontId="5"/>
  </si>
  <si>
    <t>[effect:rush, count:9, val:0.2]</t>
    <phoneticPr fontId="5"/>
  </si>
  <si>
    <t>[effect:spread, val:0.4]</t>
    <phoneticPr fontId="5"/>
  </si>
  <si>
    <t>[effect:break_attack, val:0.3, lowest_val:1, count:-1, block:crash, target:unit_all]</t>
    <phoneticPr fontId="5"/>
  </si>
  <si>
    <t>悪いが、お引取りいただこう</t>
    <rPh sb="0" eb="1">
      <t>ワル</t>
    </rPh>
    <rPh sb="5" eb="7">
      <t>ヒキト</t>
    </rPh>
    <phoneticPr fontId="5"/>
  </si>
  <si>
    <t>[effect:rush, count:6, val:0.3]</t>
    <phoneticPr fontId="5"/>
  </si>
  <si>
    <t>[effect:rush, count:5, val:0.32]</t>
    <phoneticPr fontId="5"/>
  </si>
  <si>
    <t>[effect:rush, count:3, val:0.36]</t>
    <phoneticPr fontId="5"/>
  </si>
  <si>
    <t>[effect:charge, status:attack, val:3.0]</t>
    <phoneticPr fontId="5"/>
  </si>
  <si>
    <t>[effect:rush, count:6, val:0.28]</t>
    <phoneticPr fontId="5"/>
  </si>
  <si>
    <t>[effect:rush, count:7, val:0.26]</t>
    <phoneticPr fontId="5"/>
  </si>
  <si>
    <t>[effect:rush, count:8, val:0.24]</t>
    <phoneticPr fontId="5"/>
  </si>
  <si>
    <t>レイディアント</t>
    <phoneticPr fontId="5"/>
  </si>
  <si>
    <t>スパイラルソード</t>
    <phoneticPr fontId="5"/>
  </si>
  <si>
    <t>オールレンジスライサー</t>
    <phoneticPr fontId="5"/>
  </si>
  <si>
    <t>ライフスティール</t>
    <phoneticPr fontId="5"/>
  </si>
  <si>
    <t>老、力を貸してくれ！</t>
    <rPh sb="0" eb="1">
      <t>ロウ</t>
    </rPh>
    <rPh sb="2" eb="3">
      <t>チカラ</t>
    </rPh>
    <rPh sb="4" eb="5">
      <t>カ</t>
    </rPh>
    <phoneticPr fontId="5"/>
  </si>
  <si>
    <t>10ターンパネルの色が分からなくなる！</t>
    <phoneticPr fontId="5"/>
  </si>
  <si>
    <t>[effect:dark, target:unit_all, turn:10, animation:enemy_dark]</t>
    <phoneticPr fontId="5"/>
  </si>
  <si>
    <t>パーシ、援護を頼む！</t>
    <rPh sb="4" eb="6">
      <t>エンゴ</t>
    </rPh>
    <rPh sb="7" eb="8">
      <t>タノ</t>
    </rPh>
    <phoneticPr fontId="5"/>
  </si>
  <si>
    <t>魔銃解放…！</t>
    <rPh sb="0" eb="1">
      <t>マ</t>
    </rPh>
    <rPh sb="1" eb="2">
      <t>ジュウ</t>
    </rPh>
    <rPh sb="2" eb="4">
      <t>カイホウ</t>
    </rPh>
    <phoneticPr fontId="5"/>
  </si>
  <si>
    <t>それでも今のALICEには、彼が必要なのだよ</t>
    <rPh sb="4" eb="5">
      <t>イマ</t>
    </rPh>
    <rPh sb="14" eb="15">
      <t>カレ</t>
    </rPh>
    <rPh sb="16" eb="18">
      <t>ヒツヨウ</t>
    </rPh>
    <phoneticPr fontId="5"/>
  </si>
  <si>
    <t>ジャスティス</t>
    <phoneticPr fontId="5"/>
  </si>
  <si>
    <t>アサルトスタンス</t>
    <phoneticPr fontId="5"/>
  </si>
  <si>
    <t>シースオブマジック</t>
    <phoneticPr fontId="5"/>
  </si>
  <si>
    <t>ソードオブマジック</t>
    <phoneticPr fontId="5"/>
  </si>
  <si>
    <t>トリス、畳み掛けるぞ！</t>
    <rPh sb="4" eb="5">
      <t>タタ</t>
    </rPh>
    <rPh sb="6" eb="7">
      <t>カ</t>
    </rPh>
    <phoneticPr fontId="5"/>
  </si>
  <si>
    <t>だが、その力も正義のための礎となる！</t>
    <rPh sb="5" eb="6">
      <t>チカラ</t>
    </rPh>
    <rPh sb="7" eb="9">
      <t>セイギ</t>
    </rPh>
    <rPh sb="13" eb="14">
      <t>イシズエ</t>
    </rPh>
    <phoneticPr fontId="5"/>
  </si>
  <si>
    <t>ディストピア</t>
    <phoneticPr fontId="5"/>
  </si>
  <si>
    <t>null</t>
    <phoneticPr fontId="5"/>
  </si>
  <si>
    <t>null</t>
    <phoneticPr fontId="5"/>
  </si>
  <si>
    <t>null</t>
    <phoneticPr fontId="5"/>
  </si>
  <si>
    <t>ハート破壊＋破壊数に応じた全体攻撃</t>
    <phoneticPr fontId="5"/>
  </si>
  <si>
    <t>[effect:spread, val:0.4]</t>
    <phoneticPr fontId="5"/>
  </si>
  <si>
    <t>本気で戦うしかないみたいだね…</t>
    <rPh sb="0" eb="2">
      <t>ホンキ</t>
    </rPh>
    <rPh sb="3" eb="4">
      <t>タタカ</t>
    </rPh>
    <phoneticPr fontId="5"/>
  </si>
  <si>
    <t>エクスシュレッドIII</t>
    <phoneticPr fontId="5"/>
  </si>
  <si>
    <t>エクスシュレッドIV</t>
    <phoneticPr fontId="5"/>
  </si>
  <si>
    <t>エクスシュレッドV</t>
    <phoneticPr fontId="5"/>
  </si>
  <si>
    <t>エクスシュレッドVI</t>
    <phoneticPr fontId="5"/>
  </si>
  <si>
    <t>エクスシュレッドVII</t>
    <phoneticPr fontId="5"/>
  </si>
  <si>
    <t>エクスシュレッドVIII</t>
    <phoneticPr fontId="5"/>
  </si>
  <si>
    <t>エクスシュレッドIX</t>
    <phoneticPr fontId="5"/>
  </si>
  <si>
    <t>[effect:change_block, new_block:time_bomb, target:block_red, count:4, val:0.25, min_time_count:3, max_time_count:3, animation:change_block]</t>
    <phoneticPr fontId="5"/>
  </si>
  <si>
    <t>[effect:change_block, new_block:time_bomb, target:block_red, count:6, val:0.15, min_time_count:2, max_time_count:2, animation:change_block]</t>
    <phoneticPr fontId="5"/>
  </si>
  <si>
    <t>[effect:spread, val:0.8]</t>
    <phoneticPr fontId="5"/>
  </si>
  <si>
    <t>[effect:spread, val:0.6]</t>
    <phoneticPr fontId="5"/>
  </si>
  <si>
    <t>[effect:break_heal_ratio, val:0.15, lowest_val:1, count:-1, block:crash, target:myself, animation:enemy_heal]</t>
    <phoneticPr fontId="5"/>
  </si>
  <si>
    <t>[effect:spread, val:0.8]</t>
    <phoneticPr fontId="5"/>
  </si>
  <si>
    <t>[effect:enhance_enemy, target:myself, turn:-1, status:attack, val:0.4, animation:enemy_enhance_attack]</t>
    <phoneticPr fontId="5"/>
  </si>
  <si>
    <t>[effect:spread, val:0.4]</t>
    <phoneticPr fontId="5"/>
  </si>
  <si>
    <t>5ターン攻撃力UP</t>
    <rPh sb="4" eb="6">
      <t>コウゲキ</t>
    </rPh>
    <rPh sb="6" eb="7">
      <t>リョク</t>
    </rPh>
    <phoneticPr fontId="5"/>
  </si>
  <si>
    <t>[effect:enhance_enemy, target:myself, turn:5, status:attack, val:0.3, animation:enemy_enhance_attack]</t>
    <phoneticPr fontId="5"/>
  </si>
  <si>
    <t>[effect:break_attack, val:0.08, lowest_val:1, count:8, block:block_heart, target:unit_all]</t>
    <phoneticPr fontId="5"/>
  </si>
  <si>
    <t>俺の正義を見せてやる！</t>
    <rPh sb="0" eb="1">
      <t>オレ</t>
    </rPh>
    <rPh sb="2" eb="4">
      <t>セイギ</t>
    </rPh>
    <rPh sb="5" eb="6">
      <t>ミ</t>
    </rPh>
    <phoneticPr fontId="5"/>
  </si>
  <si>
    <t>HPが多いと強力なスキルを連発する</t>
    <rPh sb="3" eb="4">
      <t>オオ</t>
    </rPh>
    <rPh sb="6" eb="8">
      <t>キョウリョク</t>
    </rPh>
    <rPh sb="13" eb="15">
      <t>レンパツ</t>
    </rPh>
    <phoneticPr fontId="5"/>
  </si>
  <si>
    <t>HPが減るほど強力なスキルを連発する</t>
    <rPh sb="3" eb="4">
      <t>ヘ</t>
    </rPh>
    <rPh sb="7" eb="9">
      <t>キョウリョク</t>
    </rPh>
    <rPh sb="14" eb="16">
      <t>レンパツ</t>
    </rPh>
    <phoneticPr fontId="5"/>
  </si>
  <si>
    <t>null</t>
    <phoneticPr fontId="5"/>
  </si>
  <si>
    <t>null</t>
    <phoneticPr fontId="5"/>
  </si>
  <si>
    <t>9回連続攻撃</t>
    <rPh sb="1" eb="2">
      <t>カイ</t>
    </rPh>
    <rPh sb="2" eb="4">
      <t>レンゾク</t>
    </rPh>
    <rPh sb="4" eb="6">
      <t>コウゲキ</t>
    </rPh>
    <phoneticPr fontId="5"/>
  </si>
  <si>
    <t>[effect:spread, val:0.6]</t>
    <phoneticPr fontId="5"/>
  </si>
  <si>
    <t>[effect:degrade_unit, target:unit_all, turn:3, status:action, val:1.0,animation:enemy_tap_down],[effect:spread, val:0.25]</t>
    <phoneticPr fontId="5"/>
  </si>
  <si>
    <t>強力な全体攻撃</t>
    <rPh sb="0" eb="2">
      <t>キョウリョク</t>
    </rPh>
    <rPh sb="3" eb="5">
      <t>ゼンタイ</t>
    </rPh>
    <rPh sb="5" eb="7">
      <t>コウゲキ</t>
    </rPh>
    <phoneticPr fontId="5"/>
  </si>
  <si>
    <t>[effect:break_attack, val:0.07, lowest_val:1, count:8, block:block_heart, target:unit_all]</t>
    <phoneticPr fontId="5"/>
  </si>
  <si>
    <t>みんな、下がってくれ！</t>
    <rPh sb="4" eb="5">
      <t>サ</t>
    </rPh>
    <phoneticPr fontId="5"/>
  </si>
  <si>
    <t>ここは俺が前に出る！</t>
    <rPh sb="3" eb="4">
      <t>オレ</t>
    </rPh>
    <rPh sb="5" eb="6">
      <t>マエ</t>
    </rPh>
    <rPh sb="7" eb="8">
      <t>デ</t>
    </rPh>
    <phoneticPr fontId="5"/>
  </si>
  <si>
    <t>君の力は本物らしいな</t>
    <rPh sb="0" eb="1">
      <t>キミ</t>
    </rPh>
    <rPh sb="2" eb="3">
      <t>チカラ</t>
    </rPh>
    <rPh sb="4" eb="6">
      <t>ホンモノ</t>
    </rPh>
    <phoneticPr fontId="5"/>
  </si>
  <si>
    <t>俺はまだ生きているぞ…！</t>
    <rPh sb="0" eb="1">
      <t>オレ</t>
    </rPh>
    <rPh sb="4" eb="5">
      <t>イ</t>
    </rPh>
    <phoneticPr fontId="5"/>
  </si>
  <si>
    <t>link</t>
    <phoneticPr fontId="5"/>
  </si>
  <si>
    <t>unit</t>
    <phoneticPr fontId="5"/>
  </si>
  <si>
    <t>null</t>
    <phoneticPr fontId="5"/>
  </si>
  <si>
    <t>old</t>
    <phoneticPr fontId="5"/>
  </si>
  <si>
    <t>報告デス！</t>
    <rPh sb="0" eb="2">
      <t>ホウコク</t>
    </rPh>
    <phoneticPr fontId="5"/>
  </si>
  <si>
    <t>[effect:fix_speed,target:myself,turn:2]</t>
    <phoneticPr fontId="5"/>
  </si>
  <si>
    <t>ユニット1体に3ターンスリープ</t>
    <phoneticPr fontId="5"/>
  </si>
  <si>
    <t>お邪魔パネル4つ出現</t>
    <phoneticPr fontId="5"/>
  </si>
  <si>
    <t>[effect:sleep, target:unit_one, turn:3, rate:1, animation:sleep01]</t>
    <phoneticPr fontId="5"/>
  </si>
  <si>
    <t>ユニット1体に3ターンスキルバインド</t>
    <phoneticPr fontId="5"/>
  </si>
  <si>
    <t>レストレイン</t>
    <phoneticPr fontId="5"/>
  </si>
  <si>
    <t>[effect:hungup, target:unit_one, turn:3, rate:1, animation:hungup01]</t>
    <phoneticPr fontId="5"/>
  </si>
  <si>
    <t>赤パネルを6つ時限式ダメージパネルに変換</t>
    <rPh sb="0" eb="1">
      <t>アカ</t>
    </rPh>
    <rPh sb="7" eb="10">
      <t>ジゲンシキ</t>
    </rPh>
    <rPh sb="18" eb="20">
      <t>ヘンカン</t>
    </rPh>
    <phoneticPr fontId="5"/>
  </si>
  <si>
    <t>赤パネルを4つ時限式ダメージパネルに変換</t>
    <phoneticPr fontId="5"/>
  </si>
  <si>
    <t>お邪魔パネル6つ出現</t>
    <phoneticPr fontId="5"/>
  </si>
  <si>
    <t>[effect:change_block, new_block:jammer, target:block_all, count:6, val:0, animation:change_block]</t>
    <phoneticPr fontId="5"/>
  </si>
  <si>
    <t>[effect:tolerance, target:myself, turn:-1, tolerance_effect:all, count:-1, animation:enemy_tolerance],[effect:fix_speed,target:myself,turn:2]</t>
    <phoneticPr fontId="5"/>
  </si>
  <si>
    <t>[effect:tolerance, target:myself, turn:-1, tolerance_effect:hungup, count:-1, animation:enemy_tolerance]</t>
    <phoneticPr fontId="5"/>
  </si>
  <si>
    <t>コールドロック</t>
    <phoneticPr fontId="5"/>
  </si>
  <si>
    <t>フリーズショット</t>
    <phoneticPr fontId="5"/>
  </si>
  <si>
    <t>ゴニョゴニョ…</t>
    <phoneticPr fontId="5"/>
  </si>
  <si>
    <t>…おじさんがやられた？</t>
    <phoneticPr fontId="5"/>
  </si>
  <si>
    <t>彼に会いに来たのかね</t>
    <rPh sb="0" eb="1">
      <t>カレ</t>
    </rPh>
    <rPh sb="2" eb="3">
      <t>ア</t>
    </rPh>
    <rPh sb="5" eb="6">
      <t>キ</t>
    </rPh>
    <phoneticPr fontId="5"/>
  </si>
  <si>
    <t>complete</t>
  </si>
  <si>
    <t>NULL</t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</si>
  <si>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</si>
  <si>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</si>
  <si>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</si>
  <si>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</si>
  <si>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</si>
  <si>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</si>
  <si>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[effect:degrade_fever, val:1000, animation:fevergage_down],[effect:fix_speed,target:myself,turn:1],[effect:enhance_fever, val:0.0]</t>
    <phoneticPr fontId="5"/>
  </si>
  <si>
    <t>stage_hints_data_c_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</si>
  <si>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</si>
  <si>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stage_hints_data_f_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</si>
  <si>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_failue</t>
    </r>
    <phoneticPr fontId="5"/>
  </si>
  <si>
    <t>stage_hints_i18n_f_</t>
    <phoneticPr fontId="5"/>
  </si>
  <si>
    <t>[effect:freq_turn, target:myself, turn:1, val:1, animation:enemy_freq_turn],[effect:rush, count:1, val:1.0]</t>
    <phoneticPr fontId="5"/>
  </si>
  <si>
    <t>[effect:break_enchance_enemy, val:0.03, lowest_val:0.06, count:8, status:attack, turn:-1, block:block_heart, target:myself, calc:mul, animation:enemy_enhance_attack],[effect:tolerance, target:myself, turn:-1, tolerance_effect:hungup, count:-1, animation:enemy_tolerance]</t>
    <phoneticPr fontId="5"/>
  </si>
  <si>
    <t>ガウェインはHPが減ると攻撃が加速します
その後の難易度は一気に上昇しますので
余裕があるうちに対策を整えましょう</t>
    <phoneticPr fontId="5"/>
  </si>
  <si>
    <t>トリスタンのハート破壊攻撃は強力ですが
発動のタイミングに癖があるようです
次の手を見極めて攻略の糸口を掴みましょう</t>
    <rPh sb="53" eb="54">
      <t>ツカ</t>
    </rPh>
    <phoneticPr fontId="5"/>
  </si>
  <si>
    <t>トトの攻撃はゲージを削りきると阻止できます
ただし完全に撃破してしまうと
トリスタンが反撃してくるので要注意です</t>
    <rPh sb="52" eb="55">
      <t>ヨウチュウイ</t>
    </rPh>
    <phoneticPr fontId="5"/>
  </si>
  <si>
    <t>パーシヴァルは多彩な妨害をしてきます
特にお邪魔パネルが増えると辛くなるので
なるべく短期決戦に持ち込みましょう</t>
    <rPh sb="49" eb="50">
      <t>モ</t>
    </rPh>
    <rPh sb="51" eb="52">
      <t>コ</t>
    </rPh>
    <phoneticPr fontId="5"/>
  </si>
  <si>
    <t>アーサーのスキル「エクスシュレッド」は
少しずつ攻撃回数が増えていきます
終盤は不意の大ダメージに警戒しましょう</t>
    <rPh sb="20" eb="21">
      <t>スコ</t>
    </rPh>
    <phoneticPr fontId="5"/>
  </si>
  <si>
    <t>アーサーは仲間達の力を借りて
特徴的なスキルを繰り出してきます
ここまでの経験を活かして戦いましょう</t>
    <rPh sb="45" eb="46">
      <t>タタカ</t>
    </rPh>
    <phoneticPr fontId="5"/>
  </si>
  <si>
    <t>アーサーはCパネルを利用して
強力な攻撃や大回復をすることがあります
Cパネルを盤面に残す時は要注意です</t>
    <rPh sb="10" eb="12">
      <t>リヨウ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</si>
</sst>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charset val="128"/>
      <scheme val="minor"/>
    </font>
    <font>
      <sz val="10"/>
      <color rgb="FFFF0000"/>
      <name val="ＭＳ Ｐゴシック"/>
      <charset val="128"/>
      <scheme val="minor"/>
    </font>
    <font>
      <sz val="9.6"/>
      <color rgb="FF000000"/>
      <name val="ＭＳ Ｐゴシック"/>
      <family val="2"/>
      <charset val="128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93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0" fillId="16" borderId="13" applyNumberFormat="0" applyAlignment="0" applyProtection="0"/>
    <xf numFmtId="0" fontId="31" fillId="17" borderId="0" applyNumberFormat="0" applyBorder="0" applyAlignment="0" applyProtection="0"/>
    <xf numFmtId="0" fontId="32" fillId="18" borderId="14" applyNumberFormat="0" applyAlignment="0" applyProtection="0"/>
    <xf numFmtId="0" fontId="33" fillId="0" borderId="0" applyNumberFormat="0" applyFill="0" applyBorder="0" applyAlignment="0" applyProtection="0"/>
    <xf numFmtId="0" fontId="34" fillId="19" borderId="0" applyNumberFormat="0" applyBorder="0" applyAlignment="0" applyProtection="0"/>
    <xf numFmtId="0" fontId="35" fillId="20" borderId="15" applyNumberFormat="0" applyAlignment="0" applyProtection="0"/>
    <xf numFmtId="0" fontId="36" fillId="0" borderId="0" applyNumberFormat="0" applyFill="0" applyBorder="0" applyAlignment="0" applyProtection="0"/>
    <xf numFmtId="0" fontId="37" fillId="0" borderId="16" applyNumberFormat="0" applyFill="0" applyAlignment="0" applyProtection="0"/>
    <xf numFmtId="0" fontId="38" fillId="0" borderId="17" applyNumberFormat="0" applyFill="0" applyAlignment="0" applyProtection="0"/>
    <xf numFmtId="0" fontId="39" fillId="0" borderId="18" applyNumberFormat="0" applyFill="0" applyAlignment="0" applyProtection="0"/>
    <xf numFmtId="0" fontId="39" fillId="0" borderId="0" applyNumberFormat="0" applyFill="0" applyBorder="0" applyAlignment="0" applyProtection="0"/>
    <xf numFmtId="0" fontId="40" fillId="18" borderId="0" applyNumberFormat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18" borderId="0" applyNumberFormat="0" applyBorder="0" applyAlignment="0" applyProtection="0"/>
    <xf numFmtId="0" fontId="40" fillId="22" borderId="0" applyNumberFormat="0" applyBorder="0" applyAlignment="0" applyProtection="0"/>
    <xf numFmtId="0" fontId="40" fillId="16" borderId="0" applyNumberFormat="0" applyBorder="0" applyAlignment="0" applyProtection="0"/>
    <xf numFmtId="0" fontId="40" fillId="18" borderId="0" applyNumberFormat="0" applyBorder="0" applyAlignment="0" applyProtection="0"/>
    <xf numFmtId="0" fontId="40" fillId="23" borderId="0" applyNumberFormat="0" applyBorder="0" applyAlignment="0" applyProtection="0"/>
    <xf numFmtId="0" fontId="40" fillId="21" borderId="0" applyNumberFormat="0" applyBorder="0" applyAlignment="0" applyProtection="0"/>
    <xf numFmtId="0" fontId="40" fillId="18" borderId="0" applyNumberFormat="0" applyBorder="0" applyAlignment="0" applyProtection="0"/>
    <xf numFmtId="0" fontId="40" fillId="24" borderId="0" applyNumberFormat="0" applyBorder="0" applyAlignment="0" applyProtection="0"/>
    <xf numFmtId="0" fontId="40" fillId="17" borderId="0" applyNumberFormat="0" applyBorder="0" applyAlignment="0" applyProtection="0"/>
    <xf numFmtId="0" fontId="41" fillId="25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5" borderId="0" applyNumberFormat="0" applyBorder="0" applyAlignment="0" applyProtection="0"/>
    <xf numFmtId="0" fontId="41" fillId="17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25" borderId="0" applyNumberFormat="0" applyBorder="0" applyAlignment="0" applyProtection="0"/>
    <xf numFmtId="0" fontId="41" fillId="26" borderId="0" applyNumberFormat="0" applyBorder="0" applyAlignment="0" applyProtection="0"/>
    <xf numFmtId="0" fontId="41" fillId="21" borderId="0" applyNumberFormat="0" applyBorder="0" applyAlignment="0" applyProtection="0"/>
    <xf numFmtId="0" fontId="41" fillId="27" borderId="0" applyNumberFormat="0" applyBorder="0" applyAlignment="0" applyProtection="0"/>
    <xf numFmtId="0" fontId="41" fillId="25" borderId="0" applyNumberFormat="0" applyBorder="0" applyAlignment="0" applyProtection="0"/>
    <xf numFmtId="0" fontId="41" fillId="23" borderId="0" applyNumberFormat="0" applyBorder="0" applyAlignment="0" applyProtection="0"/>
    <xf numFmtId="0" fontId="42" fillId="28" borderId="0" applyNumberFormat="0" applyBorder="0" applyAlignment="0" applyProtection="0"/>
    <xf numFmtId="0" fontId="31" fillId="17" borderId="0" applyNumberFormat="0" applyBorder="0" applyAlignment="0" applyProtection="0"/>
    <xf numFmtId="0" fontId="43" fillId="0" borderId="19" applyNumberFormat="0" applyFill="0" applyAlignment="0" applyProtection="0"/>
    <xf numFmtId="0" fontId="44" fillId="18" borderId="20" applyNumberFormat="0" applyAlignment="0" applyProtection="0"/>
    <xf numFmtId="0" fontId="44" fillId="29" borderId="20" applyNumberFormat="0" applyAlignment="0" applyProtection="0"/>
    <xf numFmtId="0" fontId="32" fillId="17" borderId="14" applyNumberFormat="0" applyAlignment="0" applyProtection="0"/>
    <xf numFmtId="0" fontId="45" fillId="0" borderId="21" applyNumberFormat="0" applyFill="0" applyAlignment="0" applyProtection="0"/>
    <xf numFmtId="0" fontId="46" fillId="29" borderId="14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56" fontId="16" fillId="15" borderId="7" xfId="0" applyNumberFormat="1" applyFont="1" applyFill="1" applyBorder="1" applyAlignment="1">
      <alignment horizontal="center"/>
    </xf>
    <xf numFmtId="0" fontId="0" fillId="15" borderId="7" xfId="0" applyFill="1" applyBorder="1"/>
    <xf numFmtId="0" fontId="13" fillId="7" borderId="0" xfId="0" applyFont="1" applyFill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29" fillId="0" borderId="12" xfId="0" applyFont="1" applyFill="1" applyBorder="1" applyAlignment="1">
      <alignment vertical="center"/>
    </xf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6" fillId="31" borderId="3" xfId="0" applyFont="1" applyFill="1" applyBorder="1" applyAlignment="1">
      <alignment vertical="center"/>
    </xf>
    <xf numFmtId="0" fontId="49" fillId="32" borderId="7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50" fillId="0" borderId="7" xfId="0" applyFont="1" applyFill="1" applyBorder="1" applyAlignment="1">
      <alignment vertical="center"/>
    </xf>
    <xf numFmtId="0" fontId="50" fillId="7" borderId="7" xfId="0" applyFont="1" applyFill="1" applyBorder="1" applyAlignment="1">
      <alignment vertical="center"/>
    </xf>
    <xf numFmtId="0" fontId="50" fillId="7" borderId="10" xfId="0" applyFont="1" applyFill="1" applyBorder="1" applyAlignment="1">
      <alignment vertical="center"/>
    </xf>
    <xf numFmtId="0" fontId="50" fillId="7" borderId="10" xfId="0" applyFont="1" applyFill="1" applyBorder="1" applyAlignment="1">
      <alignment horizontal="left" vertical="center"/>
    </xf>
    <xf numFmtId="0" fontId="50" fillId="7" borderId="10" xfId="0" applyFont="1" applyFill="1" applyBorder="1" applyAlignment="1">
      <alignment horizontal="left" vertical="center" wrapText="1"/>
    </xf>
    <xf numFmtId="0" fontId="50" fillId="32" borderId="7" xfId="0" applyFont="1" applyFill="1" applyBorder="1" applyAlignment="1">
      <alignment vertical="center"/>
    </xf>
    <xf numFmtId="0" fontId="27" fillId="33" borderId="7" xfId="0" applyFont="1" applyFill="1" applyBorder="1"/>
    <xf numFmtId="38" fontId="16" fillId="0" borderId="7" xfId="628" applyFont="1" applyFill="1" applyBorder="1" applyAlignment="1">
      <alignment wrapText="1"/>
    </xf>
    <xf numFmtId="0" fontId="0" fillId="0" borderId="7" xfId="0" applyFont="1" applyBorder="1"/>
    <xf numFmtId="0" fontId="27" fillId="13" borderId="7" xfId="0" applyFont="1" applyFill="1" applyBorder="1"/>
    <xf numFmtId="0" fontId="28" fillId="30" borderId="7" xfId="0" applyFont="1" applyFill="1" applyBorder="1"/>
    <xf numFmtId="0" fontId="28" fillId="14" borderId="7" xfId="0" applyFont="1" applyFill="1" applyBorder="1"/>
    <xf numFmtId="0" fontId="8" fillId="0" borderId="7" xfId="0" applyFont="1" applyFill="1" applyBorder="1"/>
    <xf numFmtId="0" fontId="13" fillId="7" borderId="0" xfId="0" applyFont="1" applyFill="1" applyAlignment="1"/>
    <xf numFmtId="0" fontId="51" fillId="14" borderId="7" xfId="0" applyFont="1" applyFill="1" applyBorder="1"/>
    <xf numFmtId="38" fontId="16" fillId="14" borderId="7" xfId="628" applyFont="1" applyFill="1" applyBorder="1" applyAlignment="1"/>
    <xf numFmtId="0" fontId="0" fillId="0" borderId="7" xfId="0" applyBorder="1" applyAlignment="1">
      <alignment wrapText="1"/>
    </xf>
  </cellXfs>
  <cellStyles count="930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無題1" xfId="435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attribute_red</v>
          </cell>
          <cell r="H1" t="str">
            <v>attribute_blue</v>
          </cell>
          <cell r="I1" t="str">
            <v>attribute_green</v>
          </cell>
          <cell r="J1" t="str">
            <v>attribute_yellow</v>
          </cell>
          <cell r="K1" t="str">
            <v>story</v>
          </cell>
          <cell r="L1" t="str">
            <v>story文字数</v>
          </cell>
          <cell r="M1" t="str">
            <v>位置付け</v>
          </cell>
          <cell r="N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11214</v>
          </cell>
        </row>
        <row r="70">
          <cell r="A70">
            <v>11215</v>
          </cell>
        </row>
        <row r="71">
          <cell r="A71">
            <v>11216</v>
          </cell>
        </row>
        <row r="72">
          <cell r="A72">
            <v>11217</v>
          </cell>
        </row>
        <row r="73">
          <cell r="A73">
            <v>12001</v>
          </cell>
        </row>
        <row r="74">
          <cell r="A74">
            <v>12002</v>
          </cell>
        </row>
        <row r="75">
          <cell r="A75">
            <v>12003</v>
          </cell>
        </row>
        <row r="76">
          <cell r="A76">
            <v>11210</v>
          </cell>
        </row>
        <row r="77">
          <cell r="A77">
            <v>13001</v>
          </cell>
        </row>
        <row r="78">
          <cell r="A78">
            <v>14001</v>
          </cell>
        </row>
        <row r="79">
          <cell r="A79">
            <v>14002</v>
          </cell>
        </row>
        <row r="80">
          <cell r="A80">
            <v>14003</v>
          </cell>
        </row>
        <row r="81">
          <cell r="A81">
            <v>20001</v>
          </cell>
        </row>
        <row r="82">
          <cell r="A82">
            <v>20002</v>
          </cell>
        </row>
        <row r="83">
          <cell r="A83">
            <v>20003</v>
          </cell>
        </row>
        <row r="84">
          <cell r="A84">
            <v>20004</v>
          </cell>
        </row>
        <row r="85">
          <cell r="A85">
            <v>20005</v>
          </cell>
        </row>
        <row r="86">
          <cell r="A86">
            <v>20006</v>
          </cell>
        </row>
        <row r="87">
          <cell r="A87">
            <v>20007</v>
          </cell>
        </row>
        <row r="88">
          <cell r="A88">
            <v>20008</v>
          </cell>
        </row>
        <row r="89">
          <cell r="A89">
            <v>20009</v>
          </cell>
        </row>
        <row r="90">
          <cell r="A90">
            <v>20010</v>
          </cell>
        </row>
        <row r="91">
          <cell r="A91">
            <v>20011</v>
          </cell>
        </row>
        <row r="92">
          <cell r="A92">
            <v>20012</v>
          </cell>
        </row>
        <row r="93">
          <cell r="A93">
            <v>30001</v>
          </cell>
        </row>
        <row r="94">
          <cell r="A94">
            <v>30002</v>
          </cell>
        </row>
        <row r="95">
          <cell r="A95">
            <v>30003</v>
          </cell>
        </row>
        <row r="96">
          <cell r="A96">
            <v>30004</v>
          </cell>
        </row>
        <row r="97">
          <cell r="A97">
            <v>30005</v>
          </cell>
        </row>
        <row r="98">
          <cell r="A98">
            <v>30006</v>
          </cell>
        </row>
        <row r="99">
          <cell r="A99">
            <v>30007</v>
          </cell>
        </row>
        <row r="100">
          <cell r="A100">
            <v>30008</v>
          </cell>
        </row>
        <row r="101">
          <cell r="A101">
            <v>30009</v>
          </cell>
        </row>
        <row r="102">
          <cell r="A102">
            <v>30010</v>
          </cell>
        </row>
        <row r="103">
          <cell r="A103">
            <v>30011</v>
          </cell>
        </row>
        <row r="104">
          <cell r="A104">
            <v>30012</v>
          </cell>
        </row>
        <row r="105">
          <cell r="A105">
            <v>30013</v>
          </cell>
        </row>
        <row r="106">
          <cell r="A106">
            <v>30014</v>
          </cell>
        </row>
        <row r="107">
          <cell r="A107">
            <v>30015</v>
          </cell>
        </row>
        <row r="108">
          <cell r="A108">
            <v>30016</v>
          </cell>
        </row>
        <row r="109">
          <cell r="A109">
            <v>30017</v>
          </cell>
        </row>
        <row r="110">
          <cell r="A110">
            <v>30018</v>
          </cell>
        </row>
        <row r="111">
          <cell r="A111">
            <v>30019</v>
          </cell>
        </row>
        <row r="112">
          <cell r="A112">
            <v>30020</v>
          </cell>
        </row>
        <row r="113">
          <cell r="A113">
            <v>30021</v>
          </cell>
        </row>
        <row r="114">
          <cell r="A114">
            <v>30022</v>
          </cell>
        </row>
        <row r="115">
          <cell r="A115">
            <v>30023</v>
          </cell>
        </row>
        <row r="116">
          <cell r="A116">
            <v>39001</v>
          </cell>
        </row>
        <row r="117">
          <cell r="A117">
            <v>40001</v>
          </cell>
        </row>
        <row r="118">
          <cell r="A118">
            <v>40002</v>
          </cell>
        </row>
        <row r="119">
          <cell r="A119">
            <v>40003</v>
          </cell>
        </row>
        <row r="120">
          <cell r="A120">
            <v>40004</v>
          </cell>
        </row>
        <row r="121">
          <cell r="A121">
            <v>40005</v>
          </cell>
        </row>
        <row r="122">
          <cell r="A122">
            <v>40006</v>
          </cell>
        </row>
        <row r="123">
          <cell r="A123">
            <v>40007</v>
          </cell>
        </row>
        <row r="124">
          <cell r="A124">
            <v>40008</v>
          </cell>
        </row>
        <row r="125">
          <cell r="A125">
            <v>50001</v>
          </cell>
        </row>
        <row r="126">
          <cell r="A126">
            <v>49001</v>
          </cell>
        </row>
        <row r="127">
          <cell r="A127">
            <v>65535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continue_limit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3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1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3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3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3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3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12001_1</v>
          </cell>
          <cell r="B260">
            <v>3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1</v>
          </cell>
          <cell r="G260" t="str">
            <v>ja</v>
          </cell>
          <cell r="H260" t="str">
            <v xml:space="preserve">【初級】メタルダックを捕獲せよ！ </v>
          </cell>
          <cell r="I260" t="str">
            <v>経験値ゲリラ</v>
          </cell>
          <cell r="J260">
            <v>334</v>
          </cell>
          <cell r="K260">
            <v>8</v>
          </cell>
          <cell r="L260">
            <v>140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everyone</v>
          </cell>
        </row>
        <row r="261">
          <cell r="A261" t="str">
            <v>12001_2</v>
          </cell>
          <cell r="B261">
            <v>3</v>
          </cell>
          <cell r="C261">
            <v>12001</v>
          </cell>
          <cell r="D261" t="str">
            <v>【緊急！！】 アヒル捕獲作戦</v>
          </cell>
          <cell r="E261" t="str">
            <v>ゲリラクエスト</v>
          </cell>
          <cell r="F261">
            <v>2</v>
          </cell>
          <cell r="G261" t="str">
            <v>ja</v>
          </cell>
          <cell r="H261" t="str">
            <v xml:space="preserve">【上級】メタルダックを捕獲せよ！ </v>
          </cell>
          <cell r="I261" t="str">
            <v>経験値ゲリラ</v>
          </cell>
          <cell r="J261">
            <v>334</v>
          </cell>
          <cell r="K261">
            <v>20</v>
          </cell>
          <cell r="L261">
            <v>350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12001_3</v>
          </cell>
          <cell r="B262">
            <v>0</v>
          </cell>
          <cell r="C262">
            <v>12001</v>
          </cell>
          <cell r="D262" t="str">
            <v>【緊急！！】 アヒル捕獲作戦</v>
          </cell>
          <cell r="E262" t="str">
            <v>ゲリラクエスト</v>
          </cell>
          <cell r="F262">
            <v>3</v>
          </cell>
          <cell r="G262" t="str">
            <v>ja</v>
          </cell>
          <cell r="H262" t="str">
            <v>★100DL記念 マルチ専用★_x000D_【上級】メタルダックを捕獲せよ！</v>
          </cell>
          <cell r="I262" t="str">
            <v>経験値ゲリラ</v>
          </cell>
          <cell r="J262">
            <v>334</v>
          </cell>
          <cell r="K262">
            <v>10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multionly</v>
          </cell>
        </row>
        <row r="263">
          <cell r="A263" t="str">
            <v>12002_3</v>
          </cell>
          <cell r="B263">
            <v>0</v>
          </cell>
          <cell r="C263">
            <v>12002</v>
          </cell>
          <cell r="D263" t="str">
            <v>【マルチ専用1/2】 アヒル捕獲作戦</v>
          </cell>
          <cell r="E263" t="str">
            <v>ゲリラクエスト</v>
          </cell>
          <cell r="F263">
            <v>3</v>
          </cell>
          <cell r="G263" t="str">
            <v>ja</v>
          </cell>
          <cell r="H263" t="str">
            <v xml:space="preserve">【初級】メタルダックを捕獲せよ！ </v>
          </cell>
          <cell r="I263" t="str">
            <v>経験値ゲリラ</v>
          </cell>
          <cell r="J263">
            <v>334</v>
          </cell>
          <cell r="K263">
            <v>8</v>
          </cell>
          <cell r="L263">
            <v>140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everyone</v>
          </cell>
        </row>
        <row r="264">
          <cell r="A264" t="str">
            <v>12002_2</v>
          </cell>
          <cell r="B264">
            <v>0</v>
          </cell>
          <cell r="C264">
            <v>12002</v>
          </cell>
          <cell r="D264" t="str">
            <v>【マルチ専用1/2】 アヒル捕獲作戦</v>
          </cell>
          <cell r="E264" t="str">
            <v>ゲリラクエスト</v>
          </cell>
          <cell r="F264">
            <v>2</v>
          </cell>
          <cell r="G264" t="str">
            <v>ja</v>
          </cell>
          <cell r="H264" t="str">
            <v xml:space="preserve">【上級】メタルダックを捕獲せよ！ </v>
          </cell>
          <cell r="I264" t="str">
            <v>経験値ゲリラ</v>
          </cell>
          <cell r="J264">
            <v>334</v>
          </cell>
          <cell r="K264">
            <v>20</v>
          </cell>
          <cell r="L264">
            <v>350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12002_1</v>
          </cell>
          <cell r="B265">
            <v>3</v>
          </cell>
          <cell r="C265">
            <v>12002</v>
          </cell>
          <cell r="D265" t="str">
            <v>【マルチ専用1/2】 アヒル捕獲作戦</v>
          </cell>
          <cell r="E265" t="str">
            <v>ゲリラクエスト</v>
          </cell>
          <cell r="F265">
            <v>1</v>
          </cell>
          <cell r="G265" t="str">
            <v>ja</v>
          </cell>
          <cell r="H265" t="str">
            <v>【上級】メタルダックを捕獲せよ！</v>
          </cell>
          <cell r="I265" t="str">
            <v>経験値ゲリラ</v>
          </cell>
          <cell r="J265">
            <v>334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multionly</v>
          </cell>
        </row>
        <row r="266">
          <cell r="A266" t="str">
            <v>12003_1</v>
          </cell>
          <cell r="B266">
            <v>3</v>
          </cell>
          <cell r="C266">
            <v>12003</v>
          </cell>
          <cell r="D266" t="str">
            <v>【超緊急！！】メタルジェントルを追え</v>
          </cell>
          <cell r="E266" t="str">
            <v>ゲリラ【超級】</v>
          </cell>
          <cell r="F266">
            <v>1</v>
          </cell>
          <cell r="G266" t="str">
            <v>ja</v>
          </cell>
          <cell r="H266" t="str">
            <v>【超級】雷のジェントルを追え！</v>
          </cell>
          <cell r="I266" t="str">
            <v>超級ゲリラ</v>
          </cell>
          <cell r="J266">
            <v>347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12</v>
          </cell>
          <cell r="AD266">
            <v>6</v>
          </cell>
          <cell r="AE266" t="str">
            <v>singleonly</v>
          </cell>
        </row>
        <row r="267">
          <cell r="A267" t="str">
            <v>12003_2</v>
          </cell>
          <cell r="B267">
            <v>3</v>
          </cell>
          <cell r="C267">
            <v>12003</v>
          </cell>
          <cell r="D267" t="str">
            <v>【超緊急！！】メタルジェントルを追え</v>
          </cell>
          <cell r="E267" t="str">
            <v>ゲリラ【超級】</v>
          </cell>
          <cell r="F267">
            <v>2</v>
          </cell>
          <cell r="G267" t="str">
            <v>ja</v>
          </cell>
          <cell r="H267" t="str">
            <v>【超級】水のジェントルを追え！</v>
          </cell>
          <cell r="I267" t="str">
            <v>超級ゲリラ</v>
          </cell>
          <cell r="J267">
            <v>343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5</v>
          </cell>
          <cell r="AD267">
            <v>6</v>
          </cell>
          <cell r="AE267" t="str">
            <v>singleonly</v>
          </cell>
        </row>
        <row r="268">
          <cell r="A268" t="str">
            <v>12003_3</v>
          </cell>
          <cell r="B268">
            <v>3</v>
          </cell>
          <cell r="C268">
            <v>12003</v>
          </cell>
          <cell r="D268" t="str">
            <v>【超緊急！！】メタルジェントルを追え</v>
          </cell>
          <cell r="E268" t="str">
            <v>ゲリラ【超級】</v>
          </cell>
          <cell r="F268">
            <v>3</v>
          </cell>
          <cell r="G268" t="str">
            <v>ja</v>
          </cell>
          <cell r="H268" t="str">
            <v>【超級】森のジェントルを追え！</v>
          </cell>
          <cell r="I268" t="str">
            <v>超級ゲリラ</v>
          </cell>
          <cell r="J268">
            <v>339</v>
          </cell>
          <cell r="K268">
            <v>40</v>
          </cell>
          <cell r="L268">
            <v>500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7</v>
          </cell>
          <cell r="AD268">
            <v>6</v>
          </cell>
          <cell r="AE268" t="str">
            <v>singleonly</v>
          </cell>
        </row>
        <row r="269">
          <cell r="A269" t="str">
            <v>12003_4</v>
          </cell>
          <cell r="B269">
            <v>3</v>
          </cell>
          <cell r="C269">
            <v>12003</v>
          </cell>
          <cell r="D269" t="str">
            <v>【超緊急！！】メタルジェントルを追え</v>
          </cell>
          <cell r="E269" t="str">
            <v>ゲリラ【超級】</v>
          </cell>
          <cell r="F269">
            <v>4</v>
          </cell>
          <cell r="G269" t="str">
            <v>ja</v>
          </cell>
          <cell r="H269" t="str">
            <v>【超級】炎のジェントルを追え！</v>
          </cell>
          <cell r="I269" t="str">
            <v>超級ゲリラ</v>
          </cell>
          <cell r="J269">
            <v>335</v>
          </cell>
          <cell r="K269">
            <v>40</v>
          </cell>
          <cell r="L269">
            <v>500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10</v>
          </cell>
          <cell r="AD269">
            <v>6</v>
          </cell>
          <cell r="AE269" t="str">
            <v>singleonly</v>
          </cell>
        </row>
        <row r="270">
          <cell r="A270" t="str">
            <v>13001_1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試練の塔</v>
          </cell>
          <cell r="F270">
            <v>1</v>
          </cell>
          <cell r="G270" t="str">
            <v>ja</v>
          </cell>
          <cell r="H270" t="str">
            <v>チャレンジタワー 1F</v>
          </cell>
          <cell r="I270" t="str">
            <v>試練の塔</v>
          </cell>
          <cell r="J270">
            <v>345</v>
          </cell>
          <cell r="K270">
            <v>3</v>
          </cell>
          <cell r="L270">
            <v>120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345,345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13001_2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試練の塔</v>
          </cell>
          <cell r="F271">
            <v>2</v>
          </cell>
          <cell r="G271" t="str">
            <v>ja</v>
          </cell>
          <cell r="H271" t="str">
            <v>チャレンジタワー 2F</v>
          </cell>
          <cell r="I271" t="str">
            <v>試練の塔</v>
          </cell>
          <cell r="J271">
            <v>333</v>
          </cell>
          <cell r="K271">
            <v>4</v>
          </cell>
          <cell r="L271">
            <v>176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333,333</v>
          </cell>
          <cell r="U271">
            <v>13001</v>
          </cell>
          <cell r="V271">
            <v>1</v>
          </cell>
          <cell r="W271" t="str">
            <v>チャレンジタワー 1F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13001_3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試練の塔</v>
          </cell>
          <cell r="F272">
            <v>3</v>
          </cell>
          <cell r="G272" t="str">
            <v>ja</v>
          </cell>
          <cell r="H272" t="str">
            <v>チャレンジタワー 3F</v>
          </cell>
          <cell r="I272" t="str">
            <v>試練の塔</v>
          </cell>
          <cell r="J272">
            <v>337</v>
          </cell>
          <cell r="K272">
            <v>5</v>
          </cell>
          <cell r="L272">
            <v>242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337,337</v>
          </cell>
          <cell r="U272">
            <v>13001</v>
          </cell>
          <cell r="V272">
            <v>2</v>
          </cell>
          <cell r="W272" t="str">
            <v>チャレンジタワー 2F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13001_4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4</v>
          </cell>
          <cell r="G273" t="str">
            <v>ja</v>
          </cell>
          <cell r="H273" t="str">
            <v>チャレンジタワー 4F</v>
          </cell>
          <cell r="I273" t="str">
            <v>試練の塔</v>
          </cell>
          <cell r="J273">
            <v>341</v>
          </cell>
          <cell r="K273">
            <v>7</v>
          </cell>
          <cell r="L273">
            <v>508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341,341</v>
          </cell>
          <cell r="U273">
            <v>13001</v>
          </cell>
          <cell r="V273">
            <v>3</v>
          </cell>
          <cell r="W273" t="str">
            <v>チャレンジタワー 3F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13001_5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5</v>
          </cell>
          <cell r="G274" t="str">
            <v>ja</v>
          </cell>
          <cell r="H274" t="str">
            <v>チャレンジタワー 5F</v>
          </cell>
          <cell r="I274" t="str">
            <v>試練の塔</v>
          </cell>
          <cell r="J274">
            <v>333</v>
          </cell>
          <cell r="K274">
            <v>7</v>
          </cell>
          <cell r="L274">
            <v>280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333,337,341,345</v>
          </cell>
          <cell r="U274">
            <v>13001</v>
          </cell>
          <cell r="V274">
            <v>4</v>
          </cell>
          <cell r="W274" t="str">
            <v>チャレンジタワー 4F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13001_6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6</v>
          </cell>
          <cell r="G275" t="str">
            <v>ja</v>
          </cell>
          <cell r="H275" t="str">
            <v>チャレンジタワー 6F</v>
          </cell>
          <cell r="I275" t="str">
            <v>試練の塔</v>
          </cell>
          <cell r="J275">
            <v>346</v>
          </cell>
          <cell r="K275">
            <v>8</v>
          </cell>
          <cell r="L275">
            <v>474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346,345</v>
          </cell>
          <cell r="U275">
            <v>13001</v>
          </cell>
          <cell r="V275">
            <v>5</v>
          </cell>
          <cell r="W275" t="str">
            <v>チャレンジタワー 5F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13001_7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7</v>
          </cell>
          <cell r="G276" t="str">
            <v>ja</v>
          </cell>
          <cell r="H276" t="str">
            <v>チャレンジタワー 7F</v>
          </cell>
          <cell r="I276" t="str">
            <v>試練の塔</v>
          </cell>
          <cell r="J276">
            <v>342</v>
          </cell>
          <cell r="K276">
            <v>8</v>
          </cell>
          <cell r="L276">
            <v>486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342,341</v>
          </cell>
          <cell r="U276">
            <v>13001</v>
          </cell>
          <cell r="V276">
            <v>6</v>
          </cell>
          <cell r="W276" t="str">
            <v>チャレンジタワー 6F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13001_8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8</v>
          </cell>
          <cell r="G277" t="str">
            <v>ja</v>
          </cell>
          <cell r="H277" t="str">
            <v>チャレンジタワー 8F</v>
          </cell>
          <cell r="I277" t="str">
            <v>試練の塔</v>
          </cell>
          <cell r="J277">
            <v>334</v>
          </cell>
          <cell r="K277">
            <v>10</v>
          </cell>
          <cell r="L277">
            <v>1006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334,333</v>
          </cell>
          <cell r="U277">
            <v>13001</v>
          </cell>
          <cell r="V277">
            <v>7</v>
          </cell>
          <cell r="W277" t="str">
            <v>チャレンジタワー 7F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13001_9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9</v>
          </cell>
          <cell r="G278" t="str">
            <v>ja</v>
          </cell>
          <cell r="H278" t="str">
            <v>チャレンジタワー 9F</v>
          </cell>
          <cell r="I278" t="str">
            <v>試練の塔</v>
          </cell>
          <cell r="J278">
            <v>338</v>
          </cell>
          <cell r="K278">
            <v>10</v>
          </cell>
          <cell r="L278">
            <v>702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337,337,338</v>
          </cell>
          <cell r="U278">
            <v>13001</v>
          </cell>
          <cell r="V278">
            <v>8</v>
          </cell>
          <cell r="W278" t="str">
            <v>チャレンジタワー 8F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13001_10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10</v>
          </cell>
          <cell r="G279" t="str">
            <v>ja</v>
          </cell>
          <cell r="H279" t="str">
            <v>チャレンジタワー 10F</v>
          </cell>
          <cell r="I279" t="str">
            <v>試練の塔</v>
          </cell>
          <cell r="J279">
            <v>346</v>
          </cell>
          <cell r="K279">
            <v>11</v>
          </cell>
          <cell r="L279">
            <v>788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346,333,337,341</v>
          </cell>
          <cell r="U279">
            <v>13001</v>
          </cell>
          <cell r="V279">
            <v>9</v>
          </cell>
          <cell r="W279" t="str">
            <v>チャレンジタワー 9F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13001_11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11</v>
          </cell>
          <cell r="G280" t="str">
            <v>ja</v>
          </cell>
          <cell r="H280" t="str">
            <v>チャレンジタワー 11F</v>
          </cell>
          <cell r="I280" t="str">
            <v>試練の塔</v>
          </cell>
          <cell r="J280">
            <v>346</v>
          </cell>
          <cell r="K280">
            <v>12</v>
          </cell>
          <cell r="L280">
            <v>936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346,346</v>
          </cell>
          <cell r="U280">
            <v>13001</v>
          </cell>
          <cell r="V280">
            <v>10</v>
          </cell>
          <cell r="W280" t="str">
            <v>チャレンジタワー 10F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13001_12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12</v>
          </cell>
          <cell r="G281" t="str">
            <v>ja</v>
          </cell>
          <cell r="H281" t="str">
            <v>チャレンジタワー 12F</v>
          </cell>
          <cell r="I281" t="str">
            <v>試練の塔</v>
          </cell>
          <cell r="J281">
            <v>342</v>
          </cell>
          <cell r="K281">
            <v>13</v>
          </cell>
          <cell r="L281">
            <v>1601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342,342</v>
          </cell>
          <cell r="U281">
            <v>13001</v>
          </cell>
          <cell r="V281">
            <v>11</v>
          </cell>
          <cell r="W281" t="str">
            <v>チャレンジタワー 11F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13001_13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13</v>
          </cell>
          <cell r="G282" t="str">
            <v>ja</v>
          </cell>
          <cell r="H282" t="str">
            <v>チャレンジタワー 13F</v>
          </cell>
          <cell r="I282" t="str">
            <v>試練の塔</v>
          </cell>
          <cell r="J282">
            <v>338</v>
          </cell>
          <cell r="K282">
            <v>14</v>
          </cell>
          <cell r="L282">
            <v>945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338,338</v>
          </cell>
          <cell r="U282">
            <v>13001</v>
          </cell>
          <cell r="V282">
            <v>12</v>
          </cell>
          <cell r="W282" t="str">
            <v>チャレンジタワー 12F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13001_14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14</v>
          </cell>
          <cell r="G283" t="str">
            <v>ja</v>
          </cell>
          <cell r="H283" t="str">
            <v>チャレンジタワー 14F</v>
          </cell>
          <cell r="I283" t="str">
            <v>試練の塔</v>
          </cell>
          <cell r="J283">
            <v>334</v>
          </cell>
          <cell r="K283">
            <v>14</v>
          </cell>
          <cell r="L283">
            <v>1188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334,334</v>
          </cell>
          <cell r="U283">
            <v>13001</v>
          </cell>
          <cell r="V283">
            <v>13</v>
          </cell>
          <cell r="W283" t="str">
            <v>チャレンジタワー 13F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13001_15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15</v>
          </cell>
          <cell r="G284" t="str">
            <v>ja</v>
          </cell>
          <cell r="H284" t="str">
            <v>チャレンジタワー 15F</v>
          </cell>
          <cell r="I284" t="str">
            <v>試練の塔</v>
          </cell>
          <cell r="J284">
            <v>316</v>
          </cell>
          <cell r="K284">
            <v>14</v>
          </cell>
          <cell r="L284">
            <v>1008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316</v>
          </cell>
          <cell r="U284">
            <v>13001</v>
          </cell>
          <cell r="V284">
            <v>14</v>
          </cell>
          <cell r="W284" t="str">
            <v>チャレンジタワー 14F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13001_16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16</v>
          </cell>
          <cell r="G285" t="str">
            <v>ja</v>
          </cell>
          <cell r="H285" t="str">
            <v>チャレンジタワー 16F</v>
          </cell>
          <cell r="I285" t="str">
            <v>試練の塔</v>
          </cell>
          <cell r="J285">
            <v>338</v>
          </cell>
          <cell r="K285">
            <v>16</v>
          </cell>
          <cell r="L285">
            <v>2573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338,338,337</v>
          </cell>
          <cell r="U285">
            <v>13001</v>
          </cell>
          <cell r="V285">
            <v>15</v>
          </cell>
          <cell r="W285" t="str">
            <v>チャレンジタワー 15F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13001_17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17</v>
          </cell>
          <cell r="G286" t="str">
            <v>ja</v>
          </cell>
          <cell r="H286" t="str">
            <v>チャレンジタワー 17F</v>
          </cell>
          <cell r="I286" t="str">
            <v>試練の塔</v>
          </cell>
          <cell r="J286">
            <v>346</v>
          </cell>
          <cell r="K286">
            <v>16</v>
          </cell>
          <cell r="L286">
            <v>1568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346,346,345</v>
          </cell>
          <cell r="U286">
            <v>13001</v>
          </cell>
          <cell r="V286">
            <v>16</v>
          </cell>
          <cell r="W286" t="str">
            <v>チャレンジタワー 16F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13001_18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18</v>
          </cell>
          <cell r="G287" t="str">
            <v>ja</v>
          </cell>
          <cell r="H287" t="str">
            <v>チャレンジタワー 18F</v>
          </cell>
          <cell r="I287" t="str">
            <v>試練の塔</v>
          </cell>
          <cell r="J287">
            <v>334</v>
          </cell>
          <cell r="K287">
            <v>17</v>
          </cell>
          <cell r="L287">
            <v>1821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334,334,333</v>
          </cell>
          <cell r="U287">
            <v>13001</v>
          </cell>
          <cell r="V287">
            <v>17</v>
          </cell>
          <cell r="W287" t="str">
            <v>チャレンジタワー 17F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13001_19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19</v>
          </cell>
          <cell r="G288" t="str">
            <v>ja</v>
          </cell>
          <cell r="H288" t="str">
            <v>チャレンジタワー 19F</v>
          </cell>
          <cell r="I288" t="str">
            <v>試練の塔</v>
          </cell>
          <cell r="J288">
            <v>342</v>
          </cell>
          <cell r="K288">
            <v>18</v>
          </cell>
          <cell r="L288">
            <v>2108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342,342,341</v>
          </cell>
          <cell r="U288">
            <v>13001</v>
          </cell>
          <cell r="V288">
            <v>18</v>
          </cell>
          <cell r="W288" t="str">
            <v>チャレンジタワー 18F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13001_20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20</v>
          </cell>
          <cell r="G289" t="str">
            <v>ja</v>
          </cell>
          <cell r="H289" t="str">
            <v>チャレンジタワー 20F</v>
          </cell>
          <cell r="I289" t="str">
            <v>試練の塔</v>
          </cell>
          <cell r="J289">
            <v>318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318</v>
          </cell>
          <cell r="U289">
            <v>13001</v>
          </cell>
          <cell r="V289">
            <v>19</v>
          </cell>
          <cell r="W289" t="str">
            <v>チャレンジタワー 19F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13001_21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21</v>
          </cell>
          <cell r="G290" t="str">
            <v>ja</v>
          </cell>
          <cell r="H290" t="str">
            <v>チャレンジタワー 21F</v>
          </cell>
          <cell r="I290" t="str">
            <v>試練の塔</v>
          </cell>
          <cell r="J290" t="str">
            <v>335</v>
          </cell>
          <cell r="K290">
            <v>18</v>
          </cell>
          <cell r="L290">
            <v>1620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334,335,335</v>
          </cell>
          <cell r="U290">
            <v>13001</v>
          </cell>
          <cell r="V290">
            <v>20</v>
          </cell>
          <cell r="W290" t="str">
            <v>チャレンジタワー 20F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13001_22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22</v>
          </cell>
          <cell r="G291" t="str">
            <v>ja</v>
          </cell>
          <cell r="H291" t="str">
            <v>チャレンジタワー 22F</v>
          </cell>
          <cell r="I291" t="str">
            <v>試練の塔</v>
          </cell>
          <cell r="J291" t="str">
            <v>339</v>
          </cell>
          <cell r="K291">
            <v>18</v>
          </cell>
          <cell r="L291">
            <v>1620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338,339,339</v>
          </cell>
          <cell r="U291">
            <v>13001</v>
          </cell>
          <cell r="V291">
            <v>21</v>
          </cell>
          <cell r="W291" t="str">
            <v>チャレンジタワー 21F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13001_23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23</v>
          </cell>
          <cell r="G292" t="str">
            <v>ja</v>
          </cell>
          <cell r="H292" t="str">
            <v>チャレンジタワー 23F</v>
          </cell>
          <cell r="I292" t="str">
            <v>試練の塔</v>
          </cell>
          <cell r="J292" t="str">
            <v>347</v>
          </cell>
          <cell r="K292">
            <v>20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346,347,347</v>
          </cell>
          <cell r="U292">
            <v>13001</v>
          </cell>
          <cell r="V292">
            <v>22</v>
          </cell>
          <cell r="W292" t="str">
            <v>チャレンジタワー 22F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13001_24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24</v>
          </cell>
          <cell r="G293" t="str">
            <v>ja</v>
          </cell>
          <cell r="H293" t="str">
            <v>チャレンジタワー 24F</v>
          </cell>
          <cell r="I293" t="str">
            <v>試練の塔</v>
          </cell>
          <cell r="J293" t="str">
            <v>343</v>
          </cell>
          <cell r="K293">
            <v>20</v>
          </cell>
          <cell r="L293">
            <v>2871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342,343,343</v>
          </cell>
          <cell r="U293">
            <v>13001</v>
          </cell>
          <cell r="V293">
            <v>23</v>
          </cell>
          <cell r="W293" t="str">
            <v>チャレンジタワー 23F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13001_25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25</v>
          </cell>
          <cell r="G294" t="str">
            <v>ja</v>
          </cell>
          <cell r="H294" t="str">
            <v>チャレンジタワー 25F</v>
          </cell>
          <cell r="I294" t="str">
            <v>試練の塔</v>
          </cell>
          <cell r="J294" t="str">
            <v>368</v>
          </cell>
          <cell r="K294">
            <v>22</v>
          </cell>
          <cell r="L294">
            <v>3740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368</v>
          </cell>
          <cell r="U294">
            <v>13001</v>
          </cell>
          <cell r="V294">
            <v>24</v>
          </cell>
          <cell r="W294" t="str">
            <v>チャレンジタワー 24F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14001_1</v>
          </cell>
          <cell r="B295">
            <v>1</v>
          </cell>
          <cell r="C295">
            <v>14001</v>
          </cell>
          <cell r="D295" t="str">
            <v>【ロッククエスト】経験値</v>
          </cell>
          <cell r="E295" t="str">
            <v>【ロッククエスト】経験値</v>
          </cell>
          <cell r="F295">
            <v>1</v>
          </cell>
          <cell r="G295" t="str">
            <v>ja</v>
          </cell>
          <cell r="H295" t="str">
            <v>【超級】雷のファミリー（ハートなし）</v>
          </cell>
          <cell r="I295" t="str">
            <v>【ロッククエスト】経験値</v>
          </cell>
          <cell r="J295">
            <v>347</v>
          </cell>
          <cell r="K295">
            <v>1</v>
          </cell>
          <cell r="L295">
            <v>500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0</v>
          </cell>
          <cell r="R295">
            <v>3</v>
          </cell>
          <cell r="S295" t="str">
            <v>none</v>
          </cell>
          <cell r="T295">
            <v>0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12</v>
          </cell>
          <cell r="AD295">
            <v>6</v>
          </cell>
          <cell r="AE295" t="str">
            <v>everyone</v>
          </cell>
        </row>
        <row r="296">
          <cell r="A296" t="str">
            <v>14001_2</v>
          </cell>
          <cell r="B296">
            <v>1</v>
          </cell>
          <cell r="C296">
            <v>14001</v>
          </cell>
          <cell r="D296" t="str">
            <v>【ロッククエスト】経験値</v>
          </cell>
          <cell r="E296" t="str">
            <v>【ロッククエスト】経験値</v>
          </cell>
          <cell r="F296">
            <v>2</v>
          </cell>
          <cell r="G296" t="str">
            <v>ja</v>
          </cell>
          <cell r="H296" t="str">
            <v>【超級】水のファミリー（ハートなし）</v>
          </cell>
          <cell r="I296" t="str">
            <v>【ロッククエスト】経験値</v>
          </cell>
          <cell r="J296">
            <v>343</v>
          </cell>
          <cell r="K296">
            <v>1</v>
          </cell>
          <cell r="L296">
            <v>500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12</v>
          </cell>
          <cell r="AD296">
            <v>6</v>
          </cell>
          <cell r="AE296" t="str">
            <v>everyone</v>
          </cell>
        </row>
        <row r="297">
          <cell r="A297" t="str">
            <v>14001_3</v>
          </cell>
          <cell r="B297">
            <v>1</v>
          </cell>
          <cell r="C297">
            <v>14001</v>
          </cell>
          <cell r="D297" t="str">
            <v>【ロッククエスト】経験値</v>
          </cell>
          <cell r="E297" t="str">
            <v>【ロッククエスト】経験値</v>
          </cell>
          <cell r="F297">
            <v>3</v>
          </cell>
          <cell r="G297" t="str">
            <v>ja</v>
          </cell>
          <cell r="H297" t="str">
            <v>【超級】森のファミリー（ハートなし）</v>
          </cell>
          <cell r="I297" t="str">
            <v>【ロッククエスト】経験値</v>
          </cell>
          <cell r="J297">
            <v>339</v>
          </cell>
          <cell r="K297">
            <v>1</v>
          </cell>
          <cell r="L297">
            <v>500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12</v>
          </cell>
          <cell r="AD297">
            <v>6</v>
          </cell>
          <cell r="AE297" t="str">
            <v>everyone</v>
          </cell>
        </row>
        <row r="298">
          <cell r="A298" t="str">
            <v>14001_4</v>
          </cell>
          <cell r="B298">
            <v>1</v>
          </cell>
          <cell r="C298">
            <v>14001</v>
          </cell>
          <cell r="D298" t="str">
            <v>【ロッククエスト】経験値</v>
          </cell>
          <cell r="E298" t="str">
            <v>【ロッククエスト】経験値</v>
          </cell>
          <cell r="F298">
            <v>4</v>
          </cell>
          <cell r="G298" t="str">
            <v>ja</v>
          </cell>
          <cell r="H298" t="str">
            <v>【超級】炎のファミリー（ハートなし）</v>
          </cell>
          <cell r="I298" t="str">
            <v>【ロッククエスト】経験値</v>
          </cell>
          <cell r="J298">
            <v>335</v>
          </cell>
          <cell r="K298">
            <v>1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12</v>
          </cell>
          <cell r="AD298">
            <v>6</v>
          </cell>
          <cell r="AE298" t="str">
            <v>everyone</v>
          </cell>
        </row>
        <row r="299">
          <cell r="A299" t="str">
            <v>14002_1</v>
          </cell>
          <cell r="B299">
            <v>1</v>
          </cell>
          <cell r="C299">
            <v>14002</v>
          </cell>
          <cell r="D299" t="str">
            <v>【ロッククエスト】ビット</v>
          </cell>
          <cell r="E299" t="str">
            <v>【ロッククエスト】ビット</v>
          </cell>
          <cell r="F299">
            <v>1</v>
          </cell>
          <cell r="G299" t="str">
            <v>ja</v>
          </cell>
          <cell r="H299" t="str">
            <v>【超級】ハイローラー（ハートなし）</v>
          </cell>
          <cell r="I299" t="str">
            <v>【ロッククエスト】ビット</v>
          </cell>
          <cell r="J299">
            <v>119</v>
          </cell>
          <cell r="K299">
            <v>1</v>
          </cell>
          <cell r="L299">
            <v>777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105</v>
          </cell>
          <cell r="AD299">
            <v>6</v>
          </cell>
          <cell r="AE299" t="str">
            <v>everyone</v>
          </cell>
        </row>
        <row r="300">
          <cell r="A300" t="str">
            <v>14003_1</v>
          </cell>
          <cell r="B300">
            <v>3</v>
          </cell>
          <cell r="C300">
            <v>14003</v>
          </cell>
          <cell r="D300" t="str">
            <v>【ロッククエスト】限界突破</v>
          </cell>
          <cell r="E300" t="str">
            <v>【ロッククエスト】限界突破</v>
          </cell>
          <cell r="F300">
            <v>1</v>
          </cell>
          <cell r="G300" t="str">
            <v>ja</v>
          </cell>
          <cell r="H300" t="str">
            <v>【超級】果実のキモチ（ハートなし）</v>
          </cell>
          <cell r="I300" t="str">
            <v>【ロッククエスト】限界突破</v>
          </cell>
          <cell r="J300">
            <v>125</v>
          </cell>
          <cell r="K300">
            <v>1</v>
          </cell>
          <cell r="L300">
            <v>860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21</v>
          </cell>
          <cell r="AD300">
            <v>6</v>
          </cell>
          <cell r="AE300" t="str">
            <v>everyone</v>
          </cell>
        </row>
        <row r="301">
          <cell r="A301" t="str">
            <v>20001_1</v>
          </cell>
          <cell r="B301">
            <v>3</v>
          </cell>
          <cell r="C301">
            <v>20001</v>
          </cell>
          <cell r="D301" t="str">
            <v>紅き執行者</v>
          </cell>
          <cell r="E301" t="str">
            <v>ドロップイベント1-1</v>
          </cell>
          <cell r="F301">
            <v>1</v>
          </cell>
          <cell r="G301" t="str">
            <v>ja</v>
          </cell>
          <cell r="H301" t="str">
            <v xml:space="preserve">【初級】紅き執行者 </v>
          </cell>
          <cell r="I301" t="str">
            <v>初級</v>
          </cell>
          <cell r="J301">
            <v>262</v>
          </cell>
          <cell r="K301">
            <v>8</v>
          </cell>
          <cell r="L301">
            <v>384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14</v>
          </cell>
          <cell r="AD301">
            <v>6</v>
          </cell>
          <cell r="AE301" t="str">
            <v>everyone</v>
          </cell>
        </row>
        <row r="302">
          <cell r="A302" t="str">
            <v>20001_2</v>
          </cell>
          <cell r="B302">
            <v>3</v>
          </cell>
          <cell r="C302">
            <v>20001</v>
          </cell>
          <cell r="D302" t="str">
            <v>紅き執行者</v>
          </cell>
          <cell r="E302" t="str">
            <v>ドロップイベント1-1</v>
          </cell>
          <cell r="F302">
            <v>2</v>
          </cell>
          <cell r="G302" t="str">
            <v>ja</v>
          </cell>
          <cell r="H302" t="str">
            <v>【中級】紅き執行者</v>
          </cell>
          <cell r="I302" t="str">
            <v>中級</v>
          </cell>
          <cell r="J302">
            <v>262</v>
          </cell>
          <cell r="K302">
            <v>15</v>
          </cell>
          <cell r="L302">
            <v>1200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14</v>
          </cell>
          <cell r="AD302">
            <v>6</v>
          </cell>
          <cell r="AE302" t="str">
            <v>everyone</v>
          </cell>
        </row>
        <row r="303">
          <cell r="A303" t="str">
            <v>20001_3</v>
          </cell>
          <cell r="B303">
            <v>3</v>
          </cell>
          <cell r="C303">
            <v>20001</v>
          </cell>
          <cell r="D303" t="str">
            <v>紅き執行者</v>
          </cell>
          <cell r="E303" t="str">
            <v>ドロップイベント1-1</v>
          </cell>
          <cell r="F303">
            <v>3</v>
          </cell>
          <cell r="G303" t="str">
            <v>ja</v>
          </cell>
          <cell r="H303" t="str">
            <v xml:space="preserve">【上級】紅き執行者 </v>
          </cell>
          <cell r="I303" t="str">
            <v>上級</v>
          </cell>
          <cell r="J303">
            <v>263</v>
          </cell>
          <cell r="K303">
            <v>20</v>
          </cell>
          <cell r="L303">
            <v>2000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polygon</v>
          </cell>
          <cell r="T303">
            <v>1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14</v>
          </cell>
          <cell r="AD303">
            <v>6</v>
          </cell>
          <cell r="AE303" t="str">
            <v>everyone</v>
          </cell>
        </row>
        <row r="304">
          <cell r="A304" t="str">
            <v>20002_1</v>
          </cell>
          <cell r="B304">
            <v>3</v>
          </cell>
          <cell r="C304">
            <v>20002</v>
          </cell>
          <cell r="D304" t="str">
            <v>孤高の一角獣</v>
          </cell>
          <cell r="E304" t="str">
            <v>ドロップイベント1-2</v>
          </cell>
          <cell r="F304">
            <v>1</v>
          </cell>
          <cell r="G304" t="str">
            <v>ja</v>
          </cell>
          <cell r="H304" t="str">
            <v>【初級】孤高の一角獣(ハートなし)</v>
          </cell>
          <cell r="I304" t="str">
            <v>初級</v>
          </cell>
          <cell r="J304">
            <v>264</v>
          </cell>
          <cell r="K304">
            <v>8</v>
          </cell>
          <cell r="L304">
            <v>384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19</v>
          </cell>
          <cell r="AD304">
            <v>6</v>
          </cell>
          <cell r="AE304" t="str">
            <v>everyone</v>
          </cell>
        </row>
        <row r="305">
          <cell r="A305" t="str">
            <v>20002_2</v>
          </cell>
          <cell r="B305">
            <v>3</v>
          </cell>
          <cell r="C305">
            <v>20002</v>
          </cell>
          <cell r="D305" t="str">
            <v>孤高の一角獣</v>
          </cell>
          <cell r="E305" t="str">
            <v>ドロップイベント1-2</v>
          </cell>
          <cell r="F305">
            <v>2</v>
          </cell>
          <cell r="G305" t="str">
            <v>ja</v>
          </cell>
          <cell r="H305" t="str">
            <v>【中級】孤高の一角獣(ハートなし)</v>
          </cell>
          <cell r="I305" t="str">
            <v>中級</v>
          </cell>
          <cell r="J305">
            <v>264</v>
          </cell>
          <cell r="K305">
            <v>15</v>
          </cell>
          <cell r="L305">
            <v>1200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19</v>
          </cell>
          <cell r="AD305">
            <v>6</v>
          </cell>
          <cell r="AE305" t="str">
            <v>everyone</v>
          </cell>
        </row>
        <row r="306">
          <cell r="A306" t="str">
            <v>20002_3</v>
          </cell>
          <cell r="B306">
            <v>3</v>
          </cell>
          <cell r="C306">
            <v>20002</v>
          </cell>
          <cell r="D306" t="str">
            <v>孤高の一角獣</v>
          </cell>
          <cell r="E306" t="str">
            <v>ドロップイベント1-2</v>
          </cell>
          <cell r="F306">
            <v>3</v>
          </cell>
          <cell r="G306" t="str">
            <v>ja</v>
          </cell>
          <cell r="H306" t="str">
            <v>【上級】孤高の一角獣(ハートなし)</v>
          </cell>
          <cell r="I306" t="str">
            <v>上級</v>
          </cell>
          <cell r="J306">
            <v>265</v>
          </cell>
          <cell r="K306">
            <v>20</v>
          </cell>
          <cell r="L306">
            <v>2000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polygon</v>
          </cell>
          <cell r="T306">
            <v>1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19</v>
          </cell>
          <cell r="AD306">
            <v>6</v>
          </cell>
          <cell r="AE306" t="str">
            <v>everyone</v>
          </cell>
        </row>
        <row r="307">
          <cell r="A307" t="str">
            <v>20003_1</v>
          </cell>
          <cell r="B307">
            <v>3</v>
          </cell>
          <cell r="C307">
            <v>20003</v>
          </cell>
          <cell r="D307" t="str">
            <v>忍び寄る短剣</v>
          </cell>
          <cell r="E307" t="str">
            <v>ドロップイベント1-3</v>
          </cell>
          <cell r="F307">
            <v>1</v>
          </cell>
          <cell r="G307" t="str">
            <v>ja</v>
          </cell>
          <cell r="H307" t="str">
            <v xml:space="preserve">【初級】忍び寄る短剣 </v>
          </cell>
          <cell r="I307" t="str">
            <v>初級</v>
          </cell>
          <cell r="J307">
            <v>266</v>
          </cell>
          <cell r="K307">
            <v>8</v>
          </cell>
          <cell r="L307">
            <v>384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11</v>
          </cell>
          <cell r="AD307">
            <v>6</v>
          </cell>
          <cell r="AE307" t="str">
            <v>everyone</v>
          </cell>
        </row>
        <row r="308">
          <cell r="A308" t="str">
            <v>20003_2</v>
          </cell>
          <cell r="B308">
            <v>3</v>
          </cell>
          <cell r="C308">
            <v>20003</v>
          </cell>
          <cell r="D308" t="str">
            <v>忍び寄る短剣</v>
          </cell>
          <cell r="E308" t="str">
            <v>ドロップイベント1-3</v>
          </cell>
          <cell r="F308">
            <v>2</v>
          </cell>
          <cell r="G308" t="str">
            <v>ja</v>
          </cell>
          <cell r="H308" t="str">
            <v xml:space="preserve">【中級】忍び寄る短剣 </v>
          </cell>
          <cell r="I308" t="str">
            <v>中級</v>
          </cell>
          <cell r="J308">
            <v>266</v>
          </cell>
          <cell r="K308">
            <v>15</v>
          </cell>
          <cell r="L308">
            <v>1200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11</v>
          </cell>
          <cell r="AD308">
            <v>6</v>
          </cell>
          <cell r="AE308" t="str">
            <v>everyone</v>
          </cell>
        </row>
        <row r="309">
          <cell r="A309" t="str">
            <v>20003_3</v>
          </cell>
          <cell r="B309">
            <v>3</v>
          </cell>
          <cell r="C309">
            <v>20003</v>
          </cell>
          <cell r="D309" t="str">
            <v>忍び寄る短剣</v>
          </cell>
          <cell r="E309" t="str">
            <v>ドロップイベント1-3</v>
          </cell>
          <cell r="F309">
            <v>3</v>
          </cell>
          <cell r="G309" t="str">
            <v>ja</v>
          </cell>
          <cell r="H309" t="str">
            <v xml:space="preserve">【上級】忍び寄る短剣 </v>
          </cell>
          <cell r="I309" t="str">
            <v>上級</v>
          </cell>
          <cell r="J309">
            <v>267</v>
          </cell>
          <cell r="K309">
            <v>20</v>
          </cell>
          <cell r="L309">
            <v>2000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polygon</v>
          </cell>
          <cell r="T309">
            <v>1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11</v>
          </cell>
          <cell r="AD309">
            <v>6</v>
          </cell>
          <cell r="AE309" t="str">
            <v>everyone</v>
          </cell>
        </row>
        <row r="310">
          <cell r="A310" t="str">
            <v>20004_1</v>
          </cell>
          <cell r="B310">
            <v>3</v>
          </cell>
          <cell r="C310">
            <v>20004</v>
          </cell>
          <cell r="D310" t="str">
            <v>雷雲からの刺客</v>
          </cell>
          <cell r="E310" t="str">
            <v>ドロップイベント1-4</v>
          </cell>
          <cell r="F310">
            <v>1</v>
          </cell>
          <cell r="G310" t="str">
            <v>ja</v>
          </cell>
          <cell r="H310" t="str">
            <v>【初級】雷雲からの刺客(ハートなし)</v>
          </cell>
          <cell r="I310" t="str">
            <v>初級</v>
          </cell>
          <cell r="J310">
            <v>268</v>
          </cell>
          <cell r="K310">
            <v>8</v>
          </cell>
          <cell r="L310">
            <v>384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4</v>
          </cell>
          <cell r="AD310">
            <v>6</v>
          </cell>
          <cell r="AE310" t="str">
            <v>everyone</v>
          </cell>
        </row>
        <row r="311">
          <cell r="A311" t="str">
            <v>20004_2</v>
          </cell>
          <cell r="B311">
            <v>3</v>
          </cell>
          <cell r="C311">
            <v>20004</v>
          </cell>
          <cell r="D311" t="str">
            <v>雷雲からの刺客</v>
          </cell>
          <cell r="E311" t="str">
            <v>ドロップイベント1-4</v>
          </cell>
          <cell r="F311">
            <v>2</v>
          </cell>
          <cell r="G311" t="str">
            <v>ja</v>
          </cell>
          <cell r="H311" t="str">
            <v>【中級】雷雲からの刺客(ハートなし)</v>
          </cell>
          <cell r="I311" t="str">
            <v>中級</v>
          </cell>
          <cell r="J311">
            <v>268</v>
          </cell>
          <cell r="K311">
            <v>15</v>
          </cell>
          <cell r="L311">
            <v>1200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4</v>
          </cell>
          <cell r="AD311">
            <v>6</v>
          </cell>
          <cell r="AE311" t="str">
            <v>everyone</v>
          </cell>
        </row>
        <row r="312">
          <cell r="A312" t="str">
            <v>20004_3</v>
          </cell>
          <cell r="B312">
            <v>3</v>
          </cell>
          <cell r="C312">
            <v>20004</v>
          </cell>
          <cell r="D312" t="str">
            <v>雷雲からの刺客</v>
          </cell>
          <cell r="E312" t="str">
            <v>ドロップイベント1-4</v>
          </cell>
          <cell r="F312">
            <v>3</v>
          </cell>
          <cell r="G312" t="str">
            <v>ja</v>
          </cell>
          <cell r="H312" t="str">
            <v>【上級】雷雲からの刺客(ハートなし)</v>
          </cell>
          <cell r="I312" t="str">
            <v>上級</v>
          </cell>
          <cell r="J312">
            <v>269</v>
          </cell>
          <cell r="K312">
            <v>20</v>
          </cell>
          <cell r="L312">
            <v>2000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polygon</v>
          </cell>
          <cell r="T312">
            <v>1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4</v>
          </cell>
          <cell r="AD312">
            <v>6</v>
          </cell>
          <cell r="AE312" t="str">
            <v>everyone</v>
          </cell>
        </row>
        <row r="313">
          <cell r="A313" t="str">
            <v>20005_1</v>
          </cell>
          <cell r="B313">
            <v>3</v>
          </cell>
          <cell r="C313">
            <v>20005</v>
          </cell>
          <cell r="D313" t="str">
            <v>ザ・キャノン</v>
          </cell>
          <cell r="E313" t="str">
            <v>ドロップイベント2-2</v>
          </cell>
          <cell r="F313">
            <v>1</v>
          </cell>
          <cell r="G313" t="str">
            <v>ja</v>
          </cell>
          <cell r="H313" t="str">
            <v>【初級】ザ・キャノン(4タップ）</v>
          </cell>
          <cell r="I313" t="str">
            <v>初級</v>
          </cell>
          <cell r="J313">
            <v>286</v>
          </cell>
          <cell r="K313">
            <v>8</v>
          </cell>
          <cell r="L313">
            <v>384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14</v>
          </cell>
          <cell r="AD313">
            <v>6</v>
          </cell>
          <cell r="AE313" t="str">
            <v>everyone</v>
          </cell>
        </row>
        <row r="314">
          <cell r="A314" t="str">
            <v>20005_2</v>
          </cell>
          <cell r="B314">
            <v>3</v>
          </cell>
          <cell r="C314">
            <v>20005</v>
          </cell>
          <cell r="D314" t="str">
            <v>ザ・キャノン</v>
          </cell>
          <cell r="E314" t="str">
            <v>ドロップイベント2-2</v>
          </cell>
          <cell r="F314">
            <v>2</v>
          </cell>
          <cell r="G314" t="str">
            <v>ja</v>
          </cell>
          <cell r="H314" t="str">
            <v>【中級】ザ・キャノン(4タップ)</v>
          </cell>
          <cell r="I314" t="str">
            <v>中級</v>
          </cell>
          <cell r="J314">
            <v>286</v>
          </cell>
          <cell r="K314">
            <v>15</v>
          </cell>
          <cell r="L314">
            <v>1200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14</v>
          </cell>
          <cell r="AD314">
            <v>6</v>
          </cell>
          <cell r="AE314" t="str">
            <v>everyone</v>
          </cell>
        </row>
        <row r="315">
          <cell r="A315" t="str">
            <v>20005_3</v>
          </cell>
          <cell r="B315">
            <v>3</v>
          </cell>
          <cell r="C315">
            <v>20005</v>
          </cell>
          <cell r="D315" t="str">
            <v>ザ・キャノン</v>
          </cell>
          <cell r="E315" t="str">
            <v>ドロップイベント2-2</v>
          </cell>
          <cell r="F315">
            <v>3</v>
          </cell>
          <cell r="G315" t="str">
            <v>ja</v>
          </cell>
          <cell r="H315" t="str">
            <v>【上級】ザ・キャノン(4タップ)</v>
          </cell>
          <cell r="I315" t="str">
            <v>上級</v>
          </cell>
          <cell r="J315">
            <v>287</v>
          </cell>
          <cell r="K315">
            <v>20</v>
          </cell>
          <cell r="L315">
            <v>2000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4</v>
          </cell>
          <cell r="S315" t="str">
            <v>polygon</v>
          </cell>
          <cell r="T315">
            <v>1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14</v>
          </cell>
          <cell r="AD315">
            <v>6</v>
          </cell>
          <cell r="AE315" t="str">
            <v>everyone</v>
          </cell>
        </row>
        <row r="316">
          <cell r="A316" t="str">
            <v>20006_1</v>
          </cell>
          <cell r="B316">
            <v>3</v>
          </cell>
          <cell r="C316">
            <v>20006</v>
          </cell>
          <cell r="D316" t="str">
            <v>スチール・プレデター</v>
          </cell>
          <cell r="E316" t="str">
            <v>ドロップイベント2-3</v>
          </cell>
          <cell r="F316">
            <v>1</v>
          </cell>
          <cell r="G316" t="str">
            <v>ja</v>
          </cell>
          <cell r="H316" t="str">
            <v>【初級】スチール・プレデター</v>
          </cell>
          <cell r="I316" t="str">
            <v>初級</v>
          </cell>
          <cell r="J316">
            <v>280</v>
          </cell>
          <cell r="K316">
            <v>8</v>
          </cell>
          <cell r="L316">
            <v>384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2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19</v>
          </cell>
          <cell r="AD316">
            <v>6</v>
          </cell>
          <cell r="AE316" t="str">
            <v>everyone</v>
          </cell>
        </row>
        <row r="317">
          <cell r="A317" t="str">
            <v>20006_2</v>
          </cell>
          <cell r="B317">
            <v>3</v>
          </cell>
          <cell r="C317">
            <v>20006</v>
          </cell>
          <cell r="D317" t="str">
            <v>スチール・プレデター</v>
          </cell>
          <cell r="E317" t="str">
            <v>ドロップイベント2-3</v>
          </cell>
          <cell r="F317">
            <v>2</v>
          </cell>
          <cell r="G317" t="str">
            <v>ja</v>
          </cell>
          <cell r="H317" t="str">
            <v>【中級】スチール・プレデター</v>
          </cell>
          <cell r="I317" t="str">
            <v>中級</v>
          </cell>
          <cell r="J317">
            <v>280</v>
          </cell>
          <cell r="K317">
            <v>15</v>
          </cell>
          <cell r="L317">
            <v>1200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2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19</v>
          </cell>
          <cell r="AD317">
            <v>6</v>
          </cell>
          <cell r="AE317" t="str">
            <v>everyone</v>
          </cell>
        </row>
        <row r="318">
          <cell r="A318" t="str">
            <v>20006_3</v>
          </cell>
          <cell r="B318">
            <v>3</v>
          </cell>
          <cell r="C318">
            <v>20006</v>
          </cell>
          <cell r="D318" t="str">
            <v>スチール・プレデター</v>
          </cell>
          <cell r="E318" t="str">
            <v>ドロップイベント2-3</v>
          </cell>
          <cell r="F318">
            <v>3</v>
          </cell>
          <cell r="G318" t="str">
            <v>ja</v>
          </cell>
          <cell r="H318" t="str">
            <v>【上級】スチール・プレデター</v>
          </cell>
          <cell r="I318" t="str">
            <v>上級</v>
          </cell>
          <cell r="J318">
            <v>281</v>
          </cell>
          <cell r="K318">
            <v>20</v>
          </cell>
          <cell r="L318">
            <v>2000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2</v>
          </cell>
          <cell r="S318" t="str">
            <v>polygon</v>
          </cell>
          <cell r="T318">
            <v>1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19</v>
          </cell>
          <cell r="AD318">
            <v>6</v>
          </cell>
          <cell r="AE318" t="str">
            <v>everyone</v>
          </cell>
        </row>
        <row r="319">
          <cell r="A319" t="str">
            <v>20007_1</v>
          </cell>
          <cell r="B319">
            <v>3</v>
          </cell>
          <cell r="C319">
            <v>20007</v>
          </cell>
          <cell r="D319" t="str">
            <v>女王陛下の処刑龍</v>
          </cell>
          <cell r="E319" t="str">
            <v>ドロップイベント2-1</v>
          </cell>
          <cell r="F319">
            <v>1</v>
          </cell>
          <cell r="G319" t="str">
            <v>ja</v>
          </cell>
          <cell r="H319" t="str">
            <v>【初級】女王陛下の処刑龍(4タップ)</v>
          </cell>
          <cell r="I319" t="str">
            <v>初級</v>
          </cell>
          <cell r="J319">
            <v>282</v>
          </cell>
          <cell r="K319">
            <v>8</v>
          </cell>
          <cell r="L319">
            <v>384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4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17</v>
          </cell>
          <cell r="AD319">
            <v>6</v>
          </cell>
          <cell r="AE319" t="str">
            <v>everyone</v>
          </cell>
        </row>
        <row r="320">
          <cell r="A320" t="str">
            <v>20007_2</v>
          </cell>
          <cell r="B320">
            <v>3</v>
          </cell>
          <cell r="C320">
            <v>20007</v>
          </cell>
          <cell r="D320" t="str">
            <v>女王陛下の処刑龍</v>
          </cell>
          <cell r="E320" t="str">
            <v>ドロップイベント2-1</v>
          </cell>
          <cell r="F320">
            <v>2</v>
          </cell>
          <cell r="G320" t="str">
            <v>ja</v>
          </cell>
          <cell r="H320" t="str">
            <v>【中級】女王陛下の処刑龍(4タップ)</v>
          </cell>
          <cell r="I320" t="str">
            <v>中級</v>
          </cell>
          <cell r="J320">
            <v>282</v>
          </cell>
          <cell r="K320">
            <v>15</v>
          </cell>
          <cell r="L320">
            <v>1200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4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17</v>
          </cell>
          <cell r="AD320">
            <v>6</v>
          </cell>
          <cell r="AE320" t="str">
            <v>everyone</v>
          </cell>
        </row>
        <row r="321">
          <cell r="A321" t="str">
            <v>20007_3</v>
          </cell>
          <cell r="B321">
            <v>3</v>
          </cell>
          <cell r="C321">
            <v>20007</v>
          </cell>
          <cell r="D321" t="str">
            <v>女王陛下の処刑龍</v>
          </cell>
          <cell r="E321" t="str">
            <v>ドロップイベント2-1</v>
          </cell>
          <cell r="F321">
            <v>3</v>
          </cell>
          <cell r="G321" t="str">
            <v>ja</v>
          </cell>
          <cell r="H321" t="str">
            <v>【上級】女王陛下の処刑龍(4タップ)</v>
          </cell>
          <cell r="I321" t="str">
            <v>上級</v>
          </cell>
          <cell r="J321">
            <v>283</v>
          </cell>
          <cell r="K321">
            <v>20</v>
          </cell>
          <cell r="L321">
            <v>2000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4</v>
          </cell>
          <cell r="S321" t="str">
            <v>polygon</v>
          </cell>
          <cell r="T321">
            <v>1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17</v>
          </cell>
          <cell r="AD321">
            <v>6</v>
          </cell>
          <cell r="AE321" t="str">
            <v>everyone</v>
          </cell>
        </row>
        <row r="322">
          <cell r="A322" t="str">
            <v>20008_1</v>
          </cell>
          <cell r="B322">
            <v>3</v>
          </cell>
          <cell r="C322">
            <v>20008</v>
          </cell>
          <cell r="D322" t="str">
            <v>天翔ける金轟機龍</v>
          </cell>
          <cell r="E322" t="str">
            <v>ドロップイベント2-4</v>
          </cell>
          <cell r="F322">
            <v>1</v>
          </cell>
          <cell r="G322" t="str">
            <v>ja</v>
          </cell>
          <cell r="H322" t="str">
            <v>【初級】天翔ける金轟機龍</v>
          </cell>
          <cell r="I322" t="str">
            <v>初級</v>
          </cell>
          <cell r="J322">
            <v>284</v>
          </cell>
          <cell r="K322">
            <v>8</v>
          </cell>
          <cell r="L322">
            <v>384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4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8</v>
          </cell>
          <cell r="AD322">
            <v>6</v>
          </cell>
          <cell r="AE322" t="str">
            <v>everyone</v>
          </cell>
        </row>
        <row r="323">
          <cell r="A323" t="str">
            <v>20008_2</v>
          </cell>
          <cell r="B323">
            <v>3</v>
          </cell>
          <cell r="C323">
            <v>20008</v>
          </cell>
          <cell r="D323" t="str">
            <v>天翔ける金轟機龍</v>
          </cell>
          <cell r="E323" t="str">
            <v>ドロップイベント2-4</v>
          </cell>
          <cell r="F323">
            <v>2</v>
          </cell>
          <cell r="G323" t="str">
            <v>ja</v>
          </cell>
          <cell r="H323" t="str">
            <v>【中級】天翔ける金轟機龍</v>
          </cell>
          <cell r="I323" t="str">
            <v>中級</v>
          </cell>
          <cell r="J323">
            <v>284</v>
          </cell>
          <cell r="K323">
            <v>15</v>
          </cell>
          <cell r="L323">
            <v>1200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8</v>
          </cell>
          <cell r="AD323">
            <v>6</v>
          </cell>
          <cell r="AE323" t="str">
            <v>everyone</v>
          </cell>
        </row>
        <row r="324">
          <cell r="A324" t="str">
            <v>20008_3</v>
          </cell>
          <cell r="B324">
            <v>3</v>
          </cell>
          <cell r="C324">
            <v>20008</v>
          </cell>
          <cell r="D324" t="str">
            <v>天翔ける金轟機龍</v>
          </cell>
          <cell r="E324" t="str">
            <v>ドロップイベント2-4</v>
          </cell>
          <cell r="F324">
            <v>3</v>
          </cell>
          <cell r="G324" t="str">
            <v>ja</v>
          </cell>
          <cell r="H324" t="str">
            <v>【上級】天翔ける金轟機龍</v>
          </cell>
          <cell r="I324" t="str">
            <v>上級</v>
          </cell>
          <cell r="J324">
            <v>285</v>
          </cell>
          <cell r="K324">
            <v>20</v>
          </cell>
          <cell r="L324">
            <v>2000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polygon</v>
          </cell>
          <cell r="T324">
            <v>1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8</v>
          </cell>
          <cell r="AD324">
            <v>6</v>
          </cell>
          <cell r="AE324" t="str">
            <v>everyone</v>
          </cell>
        </row>
        <row r="325">
          <cell r="A325" t="str">
            <v>20009_1</v>
          </cell>
          <cell r="B325">
            <v>0</v>
          </cell>
          <cell r="C325">
            <v>20009</v>
          </cell>
          <cell r="D325" t="str">
            <v>迫り来る窒息</v>
          </cell>
          <cell r="E325" t="str">
            <v>ドロップイベント3</v>
          </cell>
          <cell r="F325">
            <v>1</v>
          </cell>
          <cell r="G325" t="str">
            <v>ja</v>
          </cell>
          <cell r="H325" t="str">
            <v>【初級】迫り来る窒息</v>
          </cell>
          <cell r="I325" t="str">
            <v>初級</v>
          </cell>
          <cell r="J325" t="str">
            <v>NULL</v>
          </cell>
          <cell r="K325">
            <v>8</v>
          </cell>
          <cell r="L325">
            <v>384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25</v>
          </cell>
          <cell r="AD325">
            <v>5</v>
          </cell>
          <cell r="AE325" t="str">
            <v>everyone</v>
          </cell>
        </row>
        <row r="326">
          <cell r="A326" t="str">
            <v>20009_2</v>
          </cell>
          <cell r="B326">
            <v>3</v>
          </cell>
          <cell r="C326">
            <v>20009</v>
          </cell>
          <cell r="D326" t="str">
            <v>迫り来る窒息</v>
          </cell>
          <cell r="E326" t="str">
            <v>ドロップイベント3</v>
          </cell>
          <cell r="F326">
            <v>2</v>
          </cell>
          <cell r="G326" t="str">
            <v>ja</v>
          </cell>
          <cell r="H326" t="str">
            <v>【中級】迫り来る窒息</v>
          </cell>
          <cell r="I326" t="str">
            <v>中級</v>
          </cell>
          <cell r="J326">
            <v>302</v>
          </cell>
          <cell r="K326">
            <v>15</v>
          </cell>
          <cell r="L326">
            <v>1200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25</v>
          </cell>
          <cell r="AD326">
            <v>5</v>
          </cell>
          <cell r="AE326" t="str">
            <v>everyone</v>
          </cell>
        </row>
        <row r="327">
          <cell r="A327" t="str">
            <v>20009_3</v>
          </cell>
          <cell r="B327">
            <v>3</v>
          </cell>
          <cell r="C327">
            <v>20009</v>
          </cell>
          <cell r="D327" t="str">
            <v>迫り来る窒息</v>
          </cell>
          <cell r="E327" t="str">
            <v>ドロップイベント3</v>
          </cell>
          <cell r="F327">
            <v>3</v>
          </cell>
          <cell r="G327" t="str">
            <v>ja</v>
          </cell>
          <cell r="H327" t="str">
            <v>【上級】迫り来る窒息</v>
          </cell>
          <cell r="I327" t="str">
            <v>上級</v>
          </cell>
          <cell r="J327">
            <v>303</v>
          </cell>
          <cell r="K327">
            <v>20</v>
          </cell>
          <cell r="L327">
            <v>2000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polygon</v>
          </cell>
          <cell r="T327">
            <v>1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25</v>
          </cell>
          <cell r="AD327">
            <v>5</v>
          </cell>
          <cell r="AE327" t="str">
            <v>everyone</v>
          </cell>
        </row>
        <row r="328">
          <cell r="A328" t="str">
            <v>20010_1</v>
          </cell>
          <cell r="B328">
            <v>3</v>
          </cell>
          <cell r="C328">
            <v>20010</v>
          </cell>
          <cell r="D328" t="str">
            <v>悪夢の一目惚れ</v>
          </cell>
          <cell r="E328" t="str">
            <v>ドロップイベント3</v>
          </cell>
          <cell r="F328">
            <v>1</v>
          </cell>
          <cell r="G328" t="str">
            <v>ja</v>
          </cell>
          <cell r="H328" t="str">
            <v>【初級】悪夢の一目惚れ</v>
          </cell>
          <cell r="I328" t="str">
            <v>初級</v>
          </cell>
          <cell r="J328">
            <v>304</v>
          </cell>
          <cell r="K328">
            <v>8</v>
          </cell>
          <cell r="L328">
            <v>384</v>
          </cell>
          <cell r="M328">
            <v>1</v>
          </cell>
          <cell r="N328">
            <v>1</v>
          </cell>
          <cell r="O328">
            <v>0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2601</v>
          </cell>
          <cell r="AD328">
            <v>6</v>
          </cell>
          <cell r="AE328" t="str">
            <v>everyone</v>
          </cell>
        </row>
        <row r="329">
          <cell r="A329" t="str">
            <v>20010_2</v>
          </cell>
          <cell r="B329">
            <v>3</v>
          </cell>
          <cell r="C329">
            <v>20010</v>
          </cell>
          <cell r="D329" t="str">
            <v>悪夢の一目惚れ</v>
          </cell>
          <cell r="E329" t="str">
            <v>ドロップイベント3</v>
          </cell>
          <cell r="F329">
            <v>2</v>
          </cell>
          <cell r="G329" t="str">
            <v>ja</v>
          </cell>
          <cell r="H329" t="str">
            <v>【中級】悪夢の一目惚れ</v>
          </cell>
          <cell r="I329" t="str">
            <v>中級</v>
          </cell>
          <cell r="J329">
            <v>304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0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2601</v>
          </cell>
          <cell r="AD329">
            <v>6</v>
          </cell>
          <cell r="AE329" t="str">
            <v>everyone</v>
          </cell>
        </row>
        <row r="330">
          <cell r="A330" t="str">
            <v>20010_3</v>
          </cell>
          <cell r="B330">
            <v>3</v>
          </cell>
          <cell r="C330">
            <v>20010</v>
          </cell>
          <cell r="D330" t="str">
            <v>悪夢の一目惚れ</v>
          </cell>
          <cell r="E330" t="str">
            <v>ドロップイベント3</v>
          </cell>
          <cell r="F330">
            <v>3</v>
          </cell>
          <cell r="G330" t="str">
            <v>ja</v>
          </cell>
          <cell r="H330" t="str">
            <v>【上級】悪夢の一目惚れ</v>
          </cell>
          <cell r="I330" t="str">
            <v>上級</v>
          </cell>
          <cell r="J330">
            <v>305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0</v>
          </cell>
          <cell r="P330">
            <v>1</v>
          </cell>
          <cell r="Q330">
            <v>1</v>
          </cell>
          <cell r="R330">
            <v>3</v>
          </cell>
          <cell r="S330" t="str">
            <v>polygon</v>
          </cell>
          <cell r="T330">
            <v>1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2601</v>
          </cell>
          <cell r="AD330">
            <v>6</v>
          </cell>
          <cell r="AE330" t="str">
            <v>everyone</v>
          </cell>
        </row>
        <row r="331">
          <cell r="A331" t="str">
            <v>20011_1</v>
          </cell>
          <cell r="B331">
            <v>3</v>
          </cell>
          <cell r="C331">
            <v>20011</v>
          </cell>
          <cell r="D331" t="str">
            <v>すべてが灰になる</v>
          </cell>
          <cell r="E331" t="str">
            <v>ドロップイベント3</v>
          </cell>
          <cell r="F331">
            <v>1</v>
          </cell>
          <cell r="G331" t="str">
            <v>ja</v>
          </cell>
          <cell r="H331" t="str">
            <v>【初級】すべてが灰になる</v>
          </cell>
          <cell r="I331" t="str">
            <v>初級</v>
          </cell>
          <cell r="J331">
            <v>298</v>
          </cell>
          <cell r="K331">
            <v>8</v>
          </cell>
          <cell r="L331">
            <v>384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10</v>
          </cell>
          <cell r="AD331">
            <v>5</v>
          </cell>
          <cell r="AE331" t="str">
            <v>everyone</v>
          </cell>
        </row>
        <row r="332">
          <cell r="A332" t="str">
            <v>20011_2</v>
          </cell>
          <cell r="B332">
            <v>3</v>
          </cell>
          <cell r="C332">
            <v>20011</v>
          </cell>
          <cell r="D332" t="str">
            <v>すべてが灰になる</v>
          </cell>
          <cell r="E332" t="str">
            <v>ドロップイベント3</v>
          </cell>
          <cell r="F332">
            <v>2</v>
          </cell>
          <cell r="G332" t="str">
            <v>ja</v>
          </cell>
          <cell r="H332" t="str">
            <v>【中級】すべてが灰になる</v>
          </cell>
          <cell r="I332" t="str">
            <v>中級</v>
          </cell>
          <cell r="J332">
            <v>298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10</v>
          </cell>
          <cell r="AD332">
            <v>5</v>
          </cell>
          <cell r="AE332" t="str">
            <v>everyone</v>
          </cell>
        </row>
        <row r="333">
          <cell r="A333" t="str">
            <v>20011_3</v>
          </cell>
          <cell r="B333">
            <v>3</v>
          </cell>
          <cell r="C333">
            <v>20011</v>
          </cell>
          <cell r="D333" t="str">
            <v>すべてが灰になる</v>
          </cell>
          <cell r="E333" t="str">
            <v>ドロップイベント3</v>
          </cell>
          <cell r="F333">
            <v>3</v>
          </cell>
          <cell r="G333" t="str">
            <v>ja</v>
          </cell>
          <cell r="H333" t="str">
            <v>【上級】すべてが灰になる</v>
          </cell>
          <cell r="I333" t="str">
            <v>上級</v>
          </cell>
          <cell r="J333">
            <v>299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polygon</v>
          </cell>
          <cell r="T333">
            <v>1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10</v>
          </cell>
          <cell r="AD333">
            <v>5</v>
          </cell>
          <cell r="AE333" t="str">
            <v>everyone</v>
          </cell>
        </row>
        <row r="334">
          <cell r="A334" t="str">
            <v>20012_1</v>
          </cell>
          <cell r="B334">
            <v>3</v>
          </cell>
          <cell r="C334">
            <v>20012</v>
          </cell>
          <cell r="D334" t="str">
            <v>罪と劇薬</v>
          </cell>
          <cell r="E334" t="str">
            <v>ドロップイベント3</v>
          </cell>
          <cell r="F334">
            <v>1</v>
          </cell>
          <cell r="G334" t="str">
            <v>ja</v>
          </cell>
          <cell r="H334" t="str">
            <v>【初級】罪と劇薬</v>
          </cell>
          <cell r="I334" t="str">
            <v>初級</v>
          </cell>
          <cell r="J334">
            <v>300</v>
          </cell>
          <cell r="K334">
            <v>8</v>
          </cell>
          <cell r="L334">
            <v>384</v>
          </cell>
          <cell r="M334">
            <v>0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19</v>
          </cell>
          <cell r="AD334">
            <v>6</v>
          </cell>
          <cell r="AE334" t="str">
            <v>everyone</v>
          </cell>
        </row>
        <row r="335">
          <cell r="A335" t="str">
            <v>20012_2</v>
          </cell>
          <cell r="B335">
            <v>3</v>
          </cell>
          <cell r="C335">
            <v>20012</v>
          </cell>
          <cell r="D335" t="str">
            <v>罪と劇薬</v>
          </cell>
          <cell r="E335" t="str">
            <v>ドロップイベント3</v>
          </cell>
          <cell r="F335">
            <v>2</v>
          </cell>
          <cell r="G335" t="str">
            <v>ja</v>
          </cell>
          <cell r="H335" t="str">
            <v>【中級】罪と劇薬</v>
          </cell>
          <cell r="I335" t="str">
            <v>中級</v>
          </cell>
          <cell r="J335">
            <v>300</v>
          </cell>
          <cell r="K335">
            <v>15</v>
          </cell>
          <cell r="L335">
            <v>1200</v>
          </cell>
          <cell r="M335">
            <v>0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20012_3</v>
          </cell>
          <cell r="B336">
            <v>3</v>
          </cell>
          <cell r="C336">
            <v>20012</v>
          </cell>
          <cell r="D336" t="str">
            <v>罪と劇薬</v>
          </cell>
          <cell r="E336" t="str">
            <v>ドロップイベント3</v>
          </cell>
          <cell r="F336">
            <v>3</v>
          </cell>
          <cell r="G336" t="str">
            <v>ja</v>
          </cell>
          <cell r="H336" t="str">
            <v>【上級】罪と劇薬</v>
          </cell>
          <cell r="I336" t="str">
            <v>上級</v>
          </cell>
          <cell r="J336">
            <v>301</v>
          </cell>
          <cell r="K336">
            <v>20</v>
          </cell>
          <cell r="L336">
            <v>2000</v>
          </cell>
          <cell r="M336">
            <v>0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polygon</v>
          </cell>
          <cell r="T336">
            <v>1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30001_1</v>
          </cell>
          <cell r="B337">
            <v>3</v>
          </cell>
          <cell r="C337">
            <v>30001</v>
          </cell>
          <cell r="D337" t="str">
            <v>ハンター・オブ・ハンター</v>
          </cell>
          <cell r="E337" t="str">
            <v>ドロップイベント1-1（マルチ専用）</v>
          </cell>
          <cell r="F337">
            <v>1</v>
          </cell>
          <cell r="G337" t="str">
            <v>ja</v>
          </cell>
          <cell r="H337" t="str">
            <v xml:space="preserve">【中級】ハンター・オブ・ハンター </v>
          </cell>
          <cell r="I337" t="str">
            <v>中級</v>
          </cell>
          <cell r="J337">
            <v>270</v>
          </cell>
          <cell r="K337">
            <v>15</v>
          </cell>
          <cell r="L337">
            <v>1200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7</v>
          </cell>
          <cell r="AD337">
            <v>6</v>
          </cell>
          <cell r="AE337" t="str">
            <v>everyone</v>
          </cell>
        </row>
        <row r="338">
          <cell r="A338" t="str">
            <v>30001_2</v>
          </cell>
          <cell r="B338">
            <v>3</v>
          </cell>
          <cell r="C338">
            <v>30001</v>
          </cell>
          <cell r="D338" t="str">
            <v>ハンター・オブ・ハンター</v>
          </cell>
          <cell r="E338" t="str">
            <v>ドロップイベント1-1（マルチ専用）</v>
          </cell>
          <cell r="F338">
            <v>2</v>
          </cell>
          <cell r="G338" t="str">
            <v>ja</v>
          </cell>
          <cell r="H338" t="str">
            <v xml:space="preserve">【上級】ハンター・オブ・ハンター </v>
          </cell>
          <cell r="I338" t="str">
            <v>上級</v>
          </cell>
          <cell r="J338">
            <v>270</v>
          </cell>
          <cell r="K338">
            <v>20</v>
          </cell>
          <cell r="L338">
            <v>2000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7</v>
          </cell>
          <cell r="AD338">
            <v>6</v>
          </cell>
          <cell r="AE338" t="str">
            <v>everyone</v>
          </cell>
        </row>
        <row r="339">
          <cell r="A339" t="str">
            <v>30001_3</v>
          </cell>
          <cell r="B339">
            <v>3</v>
          </cell>
          <cell r="C339">
            <v>30001</v>
          </cell>
          <cell r="D339" t="str">
            <v>ハンター・オブ・ハンター</v>
          </cell>
          <cell r="E339" t="str">
            <v>ドロップイベント1-1（マルチ専用）</v>
          </cell>
          <cell r="F339">
            <v>3</v>
          </cell>
          <cell r="G339" t="str">
            <v>ja</v>
          </cell>
          <cell r="H339" t="str">
            <v xml:space="preserve">【超級】ハンター・オブ・ハンター </v>
          </cell>
          <cell r="I339" t="str">
            <v>超級</v>
          </cell>
          <cell r="J339">
            <v>271</v>
          </cell>
          <cell r="K339">
            <v>30</v>
          </cell>
          <cell r="L339">
            <v>3300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polygon</v>
          </cell>
          <cell r="T339">
            <v>1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7</v>
          </cell>
          <cell r="AD339">
            <v>6</v>
          </cell>
          <cell r="AE339" t="str">
            <v>everyone</v>
          </cell>
        </row>
        <row r="340">
          <cell r="A340" t="str">
            <v>30002_1</v>
          </cell>
          <cell r="B340">
            <v>3</v>
          </cell>
          <cell r="C340">
            <v>30002</v>
          </cell>
          <cell r="D340" t="str">
            <v>トリックスター</v>
          </cell>
          <cell r="E340" t="str">
            <v>ドロップイベント1-2（マルチ専用）</v>
          </cell>
          <cell r="F340">
            <v>1</v>
          </cell>
          <cell r="G340" t="str">
            <v>ja</v>
          </cell>
          <cell r="H340" t="str">
            <v xml:space="preserve">【中級】トリックスター </v>
          </cell>
          <cell r="I340" t="str">
            <v>中級</v>
          </cell>
          <cell r="J340">
            <v>272</v>
          </cell>
          <cell r="K340">
            <v>15</v>
          </cell>
          <cell r="L340">
            <v>1200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17</v>
          </cell>
          <cell r="AD340">
            <v>6</v>
          </cell>
          <cell r="AE340" t="str">
            <v>everyone</v>
          </cell>
        </row>
        <row r="341">
          <cell r="A341" t="str">
            <v>30002_2</v>
          </cell>
          <cell r="B341">
            <v>3</v>
          </cell>
          <cell r="C341">
            <v>30002</v>
          </cell>
          <cell r="D341" t="str">
            <v>トリックスター</v>
          </cell>
          <cell r="E341" t="str">
            <v>ドロップイベント1-2（マルチ専用）</v>
          </cell>
          <cell r="F341">
            <v>2</v>
          </cell>
          <cell r="G341" t="str">
            <v>ja</v>
          </cell>
          <cell r="H341" t="str">
            <v xml:space="preserve">【上級】トリックスター </v>
          </cell>
          <cell r="I341" t="str">
            <v>上級</v>
          </cell>
          <cell r="J341">
            <v>272</v>
          </cell>
          <cell r="K341">
            <v>20</v>
          </cell>
          <cell r="L341">
            <v>2000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17</v>
          </cell>
          <cell r="AD341">
            <v>6</v>
          </cell>
          <cell r="AE341" t="str">
            <v>everyone</v>
          </cell>
        </row>
        <row r="342">
          <cell r="A342" t="str">
            <v>30002_3</v>
          </cell>
          <cell r="B342">
            <v>3</v>
          </cell>
          <cell r="C342">
            <v>30002</v>
          </cell>
          <cell r="D342" t="str">
            <v>トリックスター</v>
          </cell>
          <cell r="E342" t="str">
            <v>ドロップイベント1-2（マルチ専用）</v>
          </cell>
          <cell r="F342">
            <v>3</v>
          </cell>
          <cell r="G342" t="str">
            <v>ja</v>
          </cell>
          <cell r="H342" t="str">
            <v xml:space="preserve">【超級】トリックスター </v>
          </cell>
          <cell r="I342" t="str">
            <v>超級</v>
          </cell>
          <cell r="J342">
            <v>273</v>
          </cell>
          <cell r="K342">
            <v>30</v>
          </cell>
          <cell r="L342">
            <v>3300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polygon</v>
          </cell>
          <cell r="T342">
            <v>1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17</v>
          </cell>
          <cell r="AD342">
            <v>6</v>
          </cell>
          <cell r="AE342" t="str">
            <v>everyone</v>
          </cell>
        </row>
        <row r="343">
          <cell r="A343" t="str">
            <v>30003_1</v>
          </cell>
          <cell r="B343">
            <v>3</v>
          </cell>
          <cell r="C343">
            <v>30003</v>
          </cell>
          <cell r="D343" t="str">
            <v>打ち下ろされる砕棒</v>
          </cell>
          <cell r="E343" t="str">
            <v>ドロップイベント1-3（マルチ専用）</v>
          </cell>
          <cell r="F343">
            <v>1</v>
          </cell>
          <cell r="G343" t="str">
            <v>ja</v>
          </cell>
          <cell r="H343" t="str">
            <v xml:space="preserve">【中級】打ち下ろされる砕棒 </v>
          </cell>
          <cell r="I343" t="str">
            <v>中級</v>
          </cell>
          <cell r="J343">
            <v>274</v>
          </cell>
          <cell r="K343">
            <v>15</v>
          </cell>
          <cell r="L343">
            <v>1200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20</v>
          </cell>
          <cell r="AD343">
            <v>6</v>
          </cell>
          <cell r="AE343" t="str">
            <v>everyone</v>
          </cell>
        </row>
        <row r="344">
          <cell r="A344" t="str">
            <v>30003_2</v>
          </cell>
          <cell r="B344">
            <v>3</v>
          </cell>
          <cell r="C344">
            <v>30003</v>
          </cell>
          <cell r="D344" t="str">
            <v>打ち下ろされる砕棒</v>
          </cell>
          <cell r="E344" t="str">
            <v>ドロップイベント1-3（マルチ専用）</v>
          </cell>
          <cell r="F344">
            <v>2</v>
          </cell>
          <cell r="G344" t="str">
            <v>ja</v>
          </cell>
          <cell r="H344" t="str">
            <v>【上級】打ち下ろされる砕棒</v>
          </cell>
          <cell r="I344" t="str">
            <v>上級</v>
          </cell>
          <cell r="J344">
            <v>274</v>
          </cell>
          <cell r="K344">
            <v>20</v>
          </cell>
          <cell r="L344">
            <v>2000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20</v>
          </cell>
          <cell r="AD344">
            <v>6</v>
          </cell>
          <cell r="AE344" t="str">
            <v>everyone</v>
          </cell>
        </row>
        <row r="345">
          <cell r="A345" t="str">
            <v>30003_3</v>
          </cell>
          <cell r="B345">
            <v>3</v>
          </cell>
          <cell r="C345">
            <v>30003</v>
          </cell>
          <cell r="D345" t="str">
            <v>打ち下ろされる砕棒</v>
          </cell>
          <cell r="E345" t="str">
            <v>ドロップイベント1-3（マルチ専用）</v>
          </cell>
          <cell r="F345">
            <v>3</v>
          </cell>
          <cell r="G345" t="str">
            <v>ja</v>
          </cell>
          <cell r="H345" t="str">
            <v xml:space="preserve">【超級】打ち下ろされる砕棒 </v>
          </cell>
          <cell r="I345" t="str">
            <v>超級</v>
          </cell>
          <cell r="J345">
            <v>275</v>
          </cell>
          <cell r="K345">
            <v>30</v>
          </cell>
          <cell r="L345">
            <v>3300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polygon</v>
          </cell>
          <cell r="T345">
            <v>1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20</v>
          </cell>
          <cell r="AD345">
            <v>6</v>
          </cell>
          <cell r="AE345" t="str">
            <v>everyone</v>
          </cell>
        </row>
        <row r="346">
          <cell r="A346" t="str">
            <v>30004_1</v>
          </cell>
          <cell r="B346">
            <v>3</v>
          </cell>
          <cell r="C346">
            <v>30004</v>
          </cell>
          <cell r="D346" t="str">
            <v>危険な仲裁者</v>
          </cell>
          <cell r="E346" t="str">
            <v>ドロップイベント1-4（マルチ専用）</v>
          </cell>
          <cell r="F346">
            <v>1</v>
          </cell>
          <cell r="G346" t="str">
            <v>ja</v>
          </cell>
          <cell r="H346" t="str">
            <v xml:space="preserve">【中級】危険な仲裁者 </v>
          </cell>
          <cell r="I346" t="str">
            <v>中級</v>
          </cell>
          <cell r="J346">
            <v>276</v>
          </cell>
          <cell r="K346">
            <v>15</v>
          </cell>
          <cell r="L346">
            <v>1200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30004_2</v>
          </cell>
          <cell r="B347">
            <v>3</v>
          </cell>
          <cell r="C347">
            <v>30004</v>
          </cell>
          <cell r="D347" t="str">
            <v>危険な仲裁者</v>
          </cell>
          <cell r="E347" t="str">
            <v>ドロップイベント1-4（マルチ専用）</v>
          </cell>
          <cell r="F347">
            <v>2</v>
          </cell>
          <cell r="G347" t="str">
            <v>ja</v>
          </cell>
          <cell r="H347" t="str">
            <v xml:space="preserve">【上級】危険な仲裁者 </v>
          </cell>
          <cell r="I347" t="str">
            <v>上級</v>
          </cell>
          <cell r="J347">
            <v>276</v>
          </cell>
          <cell r="K347">
            <v>20</v>
          </cell>
          <cell r="L347">
            <v>2000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14</v>
          </cell>
          <cell r="AD347">
            <v>6</v>
          </cell>
          <cell r="AE347" t="str">
            <v>everyone</v>
          </cell>
        </row>
        <row r="348">
          <cell r="A348" t="str">
            <v>30004_3</v>
          </cell>
          <cell r="B348">
            <v>3</v>
          </cell>
          <cell r="C348">
            <v>30004</v>
          </cell>
          <cell r="D348" t="str">
            <v>危険な仲裁者</v>
          </cell>
          <cell r="E348" t="str">
            <v>ドロップイベント1-4（マルチ専用）</v>
          </cell>
          <cell r="F348">
            <v>3</v>
          </cell>
          <cell r="G348" t="str">
            <v>ja</v>
          </cell>
          <cell r="H348" t="str">
            <v xml:space="preserve">【超級】危険な仲裁者 </v>
          </cell>
          <cell r="I348" t="str">
            <v>超級</v>
          </cell>
          <cell r="J348">
            <v>277</v>
          </cell>
          <cell r="K348">
            <v>30</v>
          </cell>
          <cell r="L348">
            <v>3300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polygon</v>
          </cell>
          <cell r="T348">
            <v>1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14</v>
          </cell>
          <cell r="AD348">
            <v>6</v>
          </cell>
          <cell r="AE348" t="str">
            <v>everyone</v>
          </cell>
        </row>
        <row r="349">
          <cell r="A349" t="str">
            <v>30005_1</v>
          </cell>
          <cell r="B349">
            <v>3</v>
          </cell>
          <cell r="C349">
            <v>30005</v>
          </cell>
          <cell r="D349" t="str">
            <v>ニンゲンにしてあげる☆</v>
          </cell>
          <cell r="E349" t="str">
            <v>ドロップイベント2-1（マルチ専用）</v>
          </cell>
          <cell r="F349">
            <v>1</v>
          </cell>
          <cell r="G349" t="str">
            <v>ja</v>
          </cell>
          <cell r="H349" t="str">
            <v xml:space="preserve">【中級】ニンゲンにしてあげる </v>
          </cell>
          <cell r="I349" t="str">
            <v>中級</v>
          </cell>
          <cell r="J349">
            <v>290</v>
          </cell>
          <cell r="K349">
            <v>15</v>
          </cell>
          <cell r="L349">
            <v>1200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11</v>
          </cell>
          <cell r="AD349">
            <v>6</v>
          </cell>
          <cell r="AE349" t="str">
            <v>everyone</v>
          </cell>
        </row>
        <row r="350">
          <cell r="A350" t="str">
            <v>30005_2</v>
          </cell>
          <cell r="B350">
            <v>3</v>
          </cell>
          <cell r="C350">
            <v>30005</v>
          </cell>
          <cell r="D350" t="str">
            <v>ニンゲンにしてあげる☆</v>
          </cell>
          <cell r="E350" t="str">
            <v>ドロップイベント2-1（マルチ専用）</v>
          </cell>
          <cell r="F350">
            <v>2</v>
          </cell>
          <cell r="G350" t="str">
            <v>ja</v>
          </cell>
          <cell r="H350" t="str">
            <v xml:space="preserve">【上級】ニンゲンにしてあげる </v>
          </cell>
          <cell r="I350" t="str">
            <v>上級</v>
          </cell>
          <cell r="J350">
            <v>290</v>
          </cell>
          <cell r="K350">
            <v>20</v>
          </cell>
          <cell r="L350">
            <v>2000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11</v>
          </cell>
          <cell r="AD350">
            <v>6</v>
          </cell>
          <cell r="AE350" t="str">
            <v>everyone</v>
          </cell>
        </row>
        <row r="351">
          <cell r="A351" t="str">
            <v>30005_3</v>
          </cell>
          <cell r="B351">
            <v>3</v>
          </cell>
          <cell r="C351">
            <v>30005</v>
          </cell>
          <cell r="D351" t="str">
            <v>ニンゲンにしてあげる☆</v>
          </cell>
          <cell r="E351" t="str">
            <v>ドロップイベント2-1（マルチ専用）</v>
          </cell>
          <cell r="F351">
            <v>3</v>
          </cell>
          <cell r="G351" t="str">
            <v>ja</v>
          </cell>
          <cell r="H351" t="str">
            <v>【超級】ニンゲンにしてあげる</v>
          </cell>
          <cell r="I351" t="str">
            <v>超級</v>
          </cell>
          <cell r="J351">
            <v>291</v>
          </cell>
          <cell r="K351">
            <v>30</v>
          </cell>
          <cell r="L351">
            <v>3300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11</v>
          </cell>
          <cell r="AD351">
            <v>6</v>
          </cell>
          <cell r="AE351" t="str">
            <v>everyone</v>
          </cell>
        </row>
        <row r="352">
          <cell r="A352" t="str">
            <v>30006_1</v>
          </cell>
          <cell r="B352">
            <v>3</v>
          </cell>
          <cell r="C352">
            <v>30006</v>
          </cell>
          <cell r="D352" t="str">
            <v>それはお前を食べるためさ</v>
          </cell>
          <cell r="E352" t="str">
            <v>ドロップイベント2-3（マルチ専用）</v>
          </cell>
          <cell r="F352">
            <v>1</v>
          </cell>
          <cell r="G352" t="str">
            <v>ja</v>
          </cell>
          <cell r="H352" t="str">
            <v>【中級】それはお前を食べるためさ</v>
          </cell>
          <cell r="I352" t="str">
            <v>中級</v>
          </cell>
          <cell r="J352">
            <v>294</v>
          </cell>
          <cell r="K352">
            <v>15</v>
          </cell>
          <cell r="L352">
            <v>1200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7</v>
          </cell>
          <cell r="AD352">
            <v>6</v>
          </cell>
          <cell r="AE352" t="str">
            <v>everyone</v>
          </cell>
        </row>
        <row r="353">
          <cell r="A353" t="str">
            <v>30006_2</v>
          </cell>
          <cell r="B353">
            <v>3</v>
          </cell>
          <cell r="C353">
            <v>30006</v>
          </cell>
          <cell r="D353" t="str">
            <v>それはお前を食べるためさ</v>
          </cell>
          <cell r="E353" t="str">
            <v>ドロップイベント2-3（マルチ専用）</v>
          </cell>
          <cell r="F353">
            <v>2</v>
          </cell>
          <cell r="G353" t="str">
            <v>ja</v>
          </cell>
          <cell r="H353" t="str">
            <v>【上級】それはお前を食べるためさ</v>
          </cell>
          <cell r="I353" t="str">
            <v>上級</v>
          </cell>
          <cell r="J353">
            <v>294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7</v>
          </cell>
          <cell r="AD353">
            <v>6</v>
          </cell>
          <cell r="AE353" t="str">
            <v>everyone</v>
          </cell>
        </row>
        <row r="354">
          <cell r="A354" t="str">
            <v>30006_3</v>
          </cell>
          <cell r="B354">
            <v>3</v>
          </cell>
          <cell r="C354">
            <v>30006</v>
          </cell>
          <cell r="D354" t="str">
            <v>それはお前を食べるためさ</v>
          </cell>
          <cell r="E354" t="str">
            <v>ドロップイベント2-3（マルチ専用）</v>
          </cell>
          <cell r="F354">
            <v>3</v>
          </cell>
          <cell r="G354" t="str">
            <v>ja</v>
          </cell>
          <cell r="H354" t="str">
            <v>【超級】それはお前を食べるためさ</v>
          </cell>
          <cell r="I354" t="str">
            <v>超級</v>
          </cell>
          <cell r="J354">
            <v>295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7</v>
          </cell>
          <cell r="AD354">
            <v>6</v>
          </cell>
          <cell r="AE354" t="str">
            <v>everyone</v>
          </cell>
        </row>
        <row r="355">
          <cell r="A355" t="str">
            <v>30007_1</v>
          </cell>
          <cell r="B355">
            <v>3</v>
          </cell>
          <cell r="C355">
            <v>30007</v>
          </cell>
          <cell r="D355" t="str">
            <v>ガラスの靴は私のもの</v>
          </cell>
          <cell r="E355" t="str">
            <v>ドロップイベント2-2（マルチ専用）</v>
          </cell>
          <cell r="F355">
            <v>1</v>
          </cell>
          <cell r="G355" t="str">
            <v>ja</v>
          </cell>
          <cell r="H355" t="str">
            <v xml:space="preserve">【中級】ガラスの靴は私のもの </v>
          </cell>
          <cell r="I355" t="str">
            <v>中級</v>
          </cell>
          <cell r="J355">
            <v>292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9</v>
          </cell>
          <cell r="AD355">
            <v>6</v>
          </cell>
          <cell r="AE355" t="str">
            <v>everyone</v>
          </cell>
        </row>
        <row r="356">
          <cell r="A356" t="str">
            <v>30007_2</v>
          </cell>
          <cell r="B356">
            <v>3</v>
          </cell>
          <cell r="C356">
            <v>30007</v>
          </cell>
          <cell r="D356" t="str">
            <v>ガラスの靴は私のもの</v>
          </cell>
          <cell r="E356" t="str">
            <v>ドロップイベント2-2（マルチ専用）</v>
          </cell>
          <cell r="F356">
            <v>2</v>
          </cell>
          <cell r="G356" t="str">
            <v>ja</v>
          </cell>
          <cell r="H356" t="str">
            <v>【上級】ガラスの靴は私のもの</v>
          </cell>
          <cell r="I356" t="str">
            <v>上級</v>
          </cell>
          <cell r="J356">
            <v>292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9</v>
          </cell>
          <cell r="AD356">
            <v>6</v>
          </cell>
          <cell r="AE356" t="str">
            <v>everyone</v>
          </cell>
        </row>
        <row r="357">
          <cell r="A357" t="str">
            <v>30007_3</v>
          </cell>
          <cell r="B357">
            <v>3</v>
          </cell>
          <cell r="C357">
            <v>30007</v>
          </cell>
          <cell r="D357" t="str">
            <v>ガラスの靴は私のもの</v>
          </cell>
          <cell r="E357" t="str">
            <v>ドロップイベント2-2（マルチ専用）</v>
          </cell>
          <cell r="F357">
            <v>3</v>
          </cell>
          <cell r="G357" t="str">
            <v>ja</v>
          </cell>
          <cell r="H357" t="str">
            <v xml:space="preserve">【超級】ガラスの靴は私のもの </v>
          </cell>
          <cell r="I357" t="str">
            <v>超級</v>
          </cell>
          <cell r="J357">
            <v>293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9</v>
          </cell>
          <cell r="AD357">
            <v>6</v>
          </cell>
          <cell r="AE357" t="str">
            <v>everyone</v>
          </cell>
        </row>
        <row r="358">
          <cell r="A358" t="str">
            <v>30008_1</v>
          </cell>
          <cell r="B358">
            <v>3</v>
          </cell>
          <cell r="C358">
            <v>30008</v>
          </cell>
          <cell r="D358" t="str">
            <v>わたしの嫁を返してもらおう</v>
          </cell>
          <cell r="E358" t="str">
            <v>ドロップイベント2-4（マルチ専用）</v>
          </cell>
          <cell r="F358">
            <v>1</v>
          </cell>
          <cell r="G358" t="str">
            <v>ja</v>
          </cell>
          <cell r="H358" t="str">
            <v>【中級】わたしの嫁を返してもらおう</v>
          </cell>
          <cell r="I358" t="str">
            <v>中級</v>
          </cell>
          <cell r="J358">
            <v>288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22</v>
          </cell>
          <cell r="AD358">
            <v>6</v>
          </cell>
          <cell r="AE358" t="str">
            <v>everyone</v>
          </cell>
        </row>
        <row r="359">
          <cell r="A359" t="str">
            <v>30008_2</v>
          </cell>
          <cell r="B359">
            <v>3</v>
          </cell>
          <cell r="C359">
            <v>30008</v>
          </cell>
          <cell r="D359" t="str">
            <v>わたしの嫁を返してもらおう</v>
          </cell>
          <cell r="E359" t="str">
            <v>ドロップイベント2-4（マルチ専用）</v>
          </cell>
          <cell r="F359">
            <v>2</v>
          </cell>
          <cell r="G359" t="str">
            <v>ja</v>
          </cell>
          <cell r="H359" t="str">
            <v>【上級】わたしの嫁を返してもらおう</v>
          </cell>
          <cell r="I359" t="str">
            <v>上級</v>
          </cell>
          <cell r="J359">
            <v>288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22</v>
          </cell>
          <cell r="AD359">
            <v>6</v>
          </cell>
          <cell r="AE359" t="str">
            <v>everyone</v>
          </cell>
        </row>
        <row r="360">
          <cell r="A360" t="str">
            <v>30008_3</v>
          </cell>
          <cell r="B360">
            <v>3</v>
          </cell>
          <cell r="C360">
            <v>30008</v>
          </cell>
          <cell r="D360" t="str">
            <v>わたしの嫁を返してもらおう</v>
          </cell>
          <cell r="E360" t="str">
            <v>ドロップイベント2-4（マルチ専用）</v>
          </cell>
          <cell r="F360">
            <v>3</v>
          </cell>
          <cell r="G360" t="str">
            <v>ja</v>
          </cell>
          <cell r="H360" t="str">
            <v>【超級】わたしの嫁を返してもらおう</v>
          </cell>
          <cell r="I360" t="str">
            <v>超級</v>
          </cell>
          <cell r="J360">
            <v>289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22</v>
          </cell>
          <cell r="AD360">
            <v>6</v>
          </cell>
          <cell r="AE360" t="str">
            <v>everyone</v>
          </cell>
        </row>
        <row r="361">
          <cell r="A361" t="str">
            <v>30009_3</v>
          </cell>
          <cell r="B361">
            <v>0</v>
          </cell>
          <cell r="C361">
            <v>30009</v>
          </cell>
          <cell r="D361" t="str">
            <v>復活の捕食者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【上級】復活の捕食者</v>
          </cell>
          <cell r="I361" t="str">
            <v>上級</v>
          </cell>
          <cell r="J361">
            <v>312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8</v>
          </cell>
          <cell r="AD361">
            <v>6</v>
          </cell>
          <cell r="AE361" t="str">
            <v>everyone</v>
          </cell>
        </row>
        <row r="362">
          <cell r="A362" t="str">
            <v>30009_1</v>
          </cell>
          <cell r="B362">
            <v>3</v>
          </cell>
          <cell r="C362">
            <v>30009</v>
          </cell>
          <cell r="D362" t="str">
            <v>復活の捕食者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【超級】復活の捕食者</v>
          </cell>
          <cell r="I362" t="str">
            <v>超級</v>
          </cell>
          <cell r="J362">
            <v>312</v>
          </cell>
          <cell r="K362">
            <v>30</v>
          </cell>
          <cell r="L362">
            <v>3300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2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8</v>
          </cell>
          <cell r="AD362">
            <v>6</v>
          </cell>
          <cell r="AE362" t="str">
            <v>everyone</v>
          </cell>
        </row>
        <row r="363">
          <cell r="A363" t="str">
            <v>30009_2</v>
          </cell>
          <cell r="B363">
            <v>3</v>
          </cell>
          <cell r="C363">
            <v>30009</v>
          </cell>
          <cell r="D363" t="str">
            <v>復活の捕食者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【超絶級】復活の捕食者</v>
          </cell>
          <cell r="I363" t="str">
            <v>超絶級</v>
          </cell>
          <cell r="J363">
            <v>312</v>
          </cell>
          <cell r="K363">
            <v>35</v>
          </cell>
          <cell r="L363">
            <v>4200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2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8</v>
          </cell>
          <cell r="AD363">
            <v>6</v>
          </cell>
          <cell r="AE363" t="str">
            <v>everyone</v>
          </cell>
        </row>
        <row r="364">
          <cell r="A364" t="str">
            <v>30010_1</v>
          </cell>
          <cell r="B364">
            <v>3</v>
          </cell>
          <cell r="C364">
            <v>30010</v>
          </cell>
          <cell r="D364" t="str">
            <v>最大最凶</v>
          </cell>
          <cell r="E364" t="str">
            <v>ドロップイベント3（マルチ専用）</v>
          </cell>
          <cell r="F364">
            <v>1</v>
          </cell>
          <cell r="G364" t="str">
            <v>ja</v>
          </cell>
          <cell r="H364" t="str">
            <v>【上級】最大最凶</v>
          </cell>
          <cell r="I364" t="str">
            <v>上級</v>
          </cell>
          <cell r="J364">
            <v>306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2</v>
          </cell>
          <cell r="AD364">
            <v>7</v>
          </cell>
          <cell r="AE364" t="str">
            <v>everyone</v>
          </cell>
        </row>
        <row r="365">
          <cell r="A365" t="str">
            <v>30010_2</v>
          </cell>
          <cell r="B365">
            <v>3</v>
          </cell>
          <cell r="C365">
            <v>30010</v>
          </cell>
          <cell r="D365" t="str">
            <v>最大最凶</v>
          </cell>
          <cell r="E365" t="str">
            <v>ドロップイベント3（マルチ専用）</v>
          </cell>
          <cell r="F365">
            <v>2</v>
          </cell>
          <cell r="G365" t="str">
            <v>ja</v>
          </cell>
          <cell r="H365" t="str">
            <v>【超級】最大最凶</v>
          </cell>
          <cell r="I365" t="str">
            <v>超級</v>
          </cell>
          <cell r="J365">
            <v>306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2</v>
          </cell>
          <cell r="AD365">
            <v>7</v>
          </cell>
          <cell r="AE365" t="str">
            <v>everyone</v>
          </cell>
        </row>
        <row r="366">
          <cell r="A366" t="str">
            <v>30010_3</v>
          </cell>
          <cell r="B366">
            <v>3</v>
          </cell>
          <cell r="C366">
            <v>30010</v>
          </cell>
          <cell r="D366" t="str">
            <v>最大最凶</v>
          </cell>
          <cell r="E366" t="str">
            <v>ドロップイベント3（マルチ専用）</v>
          </cell>
          <cell r="F366">
            <v>3</v>
          </cell>
          <cell r="G366" t="str">
            <v>ja</v>
          </cell>
          <cell r="H366" t="str">
            <v>【超絶級】最大最凶</v>
          </cell>
          <cell r="I366" t="str">
            <v>超絶級</v>
          </cell>
          <cell r="J366">
            <v>306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2</v>
          </cell>
          <cell r="AD366">
            <v>7</v>
          </cell>
          <cell r="AE366" t="str">
            <v>everyone</v>
          </cell>
        </row>
        <row r="367">
          <cell r="A367" t="str">
            <v>30011_1</v>
          </cell>
          <cell r="B367">
            <v>3</v>
          </cell>
          <cell r="C367">
            <v>30011</v>
          </cell>
          <cell r="D367" t="str">
            <v>気怠い巨読者</v>
          </cell>
          <cell r="E367" t="str">
            <v>ドロップイベント3（マルチ専用）</v>
          </cell>
          <cell r="F367">
            <v>1</v>
          </cell>
          <cell r="G367" t="str">
            <v>ja</v>
          </cell>
          <cell r="H367" t="str">
            <v>【上級】気怠い巨読者</v>
          </cell>
          <cell r="I367" t="str">
            <v>上級</v>
          </cell>
          <cell r="J367">
            <v>308</v>
          </cell>
          <cell r="K367">
            <v>20</v>
          </cell>
          <cell r="L367">
            <v>2000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2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30011_2</v>
          </cell>
          <cell r="B368">
            <v>3</v>
          </cell>
          <cell r="C368">
            <v>30011</v>
          </cell>
          <cell r="D368" t="str">
            <v>気怠い巨読者</v>
          </cell>
          <cell r="E368" t="str">
            <v>ドロップイベント3（マルチ専用）</v>
          </cell>
          <cell r="F368">
            <v>2</v>
          </cell>
          <cell r="G368" t="str">
            <v>ja</v>
          </cell>
          <cell r="H368" t="str">
            <v>【超級】気怠い巨読者</v>
          </cell>
          <cell r="I368" t="str">
            <v>超級</v>
          </cell>
          <cell r="J368">
            <v>308</v>
          </cell>
          <cell r="K368">
            <v>30</v>
          </cell>
          <cell r="L368">
            <v>3300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2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19</v>
          </cell>
          <cell r="AD368">
            <v>6</v>
          </cell>
          <cell r="AE368" t="str">
            <v>everyone</v>
          </cell>
        </row>
        <row r="369">
          <cell r="A369" t="str">
            <v>30011_3</v>
          </cell>
          <cell r="B369">
            <v>3</v>
          </cell>
          <cell r="C369">
            <v>30011</v>
          </cell>
          <cell r="D369" t="str">
            <v>気怠い巨読者</v>
          </cell>
          <cell r="E369" t="str">
            <v>ドロップイベント3（マルチ専用）</v>
          </cell>
          <cell r="F369">
            <v>3</v>
          </cell>
          <cell r="G369" t="str">
            <v>ja</v>
          </cell>
          <cell r="H369" t="str">
            <v>【超絶級】気怠い巨読者</v>
          </cell>
          <cell r="I369" t="str">
            <v>超絶級</v>
          </cell>
          <cell r="J369">
            <v>309</v>
          </cell>
          <cell r="K369">
            <v>35</v>
          </cell>
          <cell r="L369">
            <v>4200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2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19</v>
          </cell>
          <cell r="AD369">
            <v>6</v>
          </cell>
          <cell r="AE369" t="str">
            <v>everyone</v>
          </cell>
        </row>
        <row r="370">
          <cell r="A370" t="str">
            <v>30012_1</v>
          </cell>
          <cell r="B370">
            <v>3</v>
          </cell>
          <cell r="C370">
            <v>30012</v>
          </cell>
          <cell r="D370" t="str">
            <v>底なしの胃袋</v>
          </cell>
          <cell r="E370" t="str">
            <v>ドロップイベント3（マルチ専用）</v>
          </cell>
          <cell r="F370">
            <v>1</v>
          </cell>
          <cell r="G370" t="str">
            <v>ja</v>
          </cell>
          <cell r="H370" t="str">
            <v>【上級】底なしの胃袋</v>
          </cell>
          <cell r="I370" t="str">
            <v>上級</v>
          </cell>
          <cell r="J370">
            <v>310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0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5</v>
          </cell>
          <cell r="AD370">
            <v>6</v>
          </cell>
          <cell r="AE370" t="str">
            <v>everyone</v>
          </cell>
        </row>
        <row r="371">
          <cell r="A371" t="str">
            <v>30012_2</v>
          </cell>
          <cell r="B371">
            <v>3</v>
          </cell>
          <cell r="C371">
            <v>30012</v>
          </cell>
          <cell r="D371" t="str">
            <v>底なしの胃袋</v>
          </cell>
          <cell r="E371" t="str">
            <v>ドロップイベント3（マルチ専用）</v>
          </cell>
          <cell r="F371">
            <v>2</v>
          </cell>
          <cell r="G371" t="str">
            <v>ja</v>
          </cell>
          <cell r="H371" t="str">
            <v>【超級】底なしの胃袋</v>
          </cell>
          <cell r="I371" t="str">
            <v>超級</v>
          </cell>
          <cell r="J371">
            <v>310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0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5</v>
          </cell>
          <cell r="AD371">
            <v>6</v>
          </cell>
          <cell r="AE371" t="str">
            <v>everyone</v>
          </cell>
        </row>
        <row r="372">
          <cell r="A372" t="str">
            <v>30012_3</v>
          </cell>
          <cell r="B372">
            <v>3</v>
          </cell>
          <cell r="C372">
            <v>30012</v>
          </cell>
          <cell r="D372" t="str">
            <v>底なしの胃袋</v>
          </cell>
          <cell r="E372" t="str">
            <v>ドロップイベント3（マルチ専用）</v>
          </cell>
          <cell r="F372">
            <v>3</v>
          </cell>
          <cell r="G372" t="str">
            <v>ja</v>
          </cell>
          <cell r="H372" t="str">
            <v>【超絶級】底なしの胃袋</v>
          </cell>
          <cell r="I372" t="str">
            <v>超絶級</v>
          </cell>
          <cell r="J372">
            <v>310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0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5</v>
          </cell>
          <cell r="AD372">
            <v>6</v>
          </cell>
          <cell r="AE372" t="str">
            <v>everyone</v>
          </cell>
        </row>
        <row r="373">
          <cell r="A373" t="str">
            <v>30013_1</v>
          </cell>
          <cell r="B373">
            <v>3</v>
          </cell>
          <cell r="C373">
            <v>30013</v>
          </cell>
          <cell r="D373" t="str">
            <v>決戦・竜宮城</v>
          </cell>
          <cell r="E373" t="str">
            <v>ドロップイベント4（マルチ専用）</v>
          </cell>
          <cell r="F373">
            <v>1</v>
          </cell>
          <cell r="G373" t="str">
            <v>ja</v>
          </cell>
          <cell r="H373" t="str">
            <v>【超級】決戦・竜宮城</v>
          </cell>
          <cell r="I373" t="str">
            <v>超級</v>
          </cell>
          <cell r="J373">
            <v>418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17</v>
          </cell>
          <cell r="AD373">
            <v>6</v>
          </cell>
          <cell r="AE373" t="str">
            <v>everyone</v>
          </cell>
        </row>
        <row r="374">
          <cell r="A374" t="str">
            <v>30013_2</v>
          </cell>
          <cell r="B374">
            <v>3</v>
          </cell>
          <cell r="C374">
            <v>30013</v>
          </cell>
          <cell r="D374" t="str">
            <v>決戦・竜宮城</v>
          </cell>
          <cell r="E374" t="str">
            <v>ドロップイベント4（マルチ専用）</v>
          </cell>
          <cell r="F374">
            <v>2</v>
          </cell>
          <cell r="G374" t="str">
            <v>ja</v>
          </cell>
          <cell r="H374" t="str">
            <v>【超絶級】決戦・竜宮城</v>
          </cell>
          <cell r="I374" t="str">
            <v>超絶級</v>
          </cell>
          <cell r="J374">
            <v>419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17</v>
          </cell>
          <cell r="AD374">
            <v>6</v>
          </cell>
          <cell r="AE374" t="str">
            <v>everyone</v>
          </cell>
        </row>
        <row r="375">
          <cell r="A375" t="str">
            <v>30014_1</v>
          </cell>
          <cell r="B375">
            <v>3</v>
          </cell>
          <cell r="C375">
            <v>30014</v>
          </cell>
          <cell r="D375" t="str">
            <v>親指を突き立てろ！</v>
          </cell>
          <cell r="E375" t="str">
            <v>ドロップイベント4（マルチ専用）</v>
          </cell>
          <cell r="F375">
            <v>1</v>
          </cell>
          <cell r="G375" t="str">
            <v>ja</v>
          </cell>
          <cell r="H375" t="str">
            <v>【超級】親指を突き立てろ！</v>
          </cell>
          <cell r="I375" t="str">
            <v>超級</v>
          </cell>
          <cell r="J375">
            <v>420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23</v>
          </cell>
          <cell r="AD375">
            <v>5</v>
          </cell>
          <cell r="AE375" t="str">
            <v>everyone</v>
          </cell>
        </row>
        <row r="376">
          <cell r="A376" t="str">
            <v>30014_2</v>
          </cell>
          <cell r="B376">
            <v>3</v>
          </cell>
          <cell r="C376">
            <v>30014</v>
          </cell>
          <cell r="D376" t="str">
            <v>親指を突き立てろ！</v>
          </cell>
          <cell r="E376" t="str">
            <v>ドロップイベント4（マルチ専用）</v>
          </cell>
          <cell r="F376">
            <v>2</v>
          </cell>
          <cell r="G376" t="str">
            <v>ja</v>
          </cell>
          <cell r="H376" t="str">
            <v>【超絶級】親指を突き立てろ！</v>
          </cell>
          <cell r="I376" t="str">
            <v>超絶級</v>
          </cell>
          <cell r="J376">
            <v>421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23</v>
          </cell>
          <cell r="AD376">
            <v>5</v>
          </cell>
          <cell r="AE376" t="str">
            <v>everyone</v>
          </cell>
        </row>
        <row r="377">
          <cell r="A377" t="str">
            <v>30015_1</v>
          </cell>
          <cell r="B377">
            <v>3</v>
          </cell>
          <cell r="C377">
            <v>30015</v>
          </cell>
          <cell r="D377" t="str">
            <v>兄妹の大冒険</v>
          </cell>
          <cell r="E377" t="str">
            <v>ドロップイベント4（マルチ専用）</v>
          </cell>
          <cell r="F377">
            <v>1</v>
          </cell>
          <cell r="G377" t="str">
            <v>ja</v>
          </cell>
          <cell r="H377" t="str">
            <v>【超級】兄妹の大冒険</v>
          </cell>
          <cell r="I377" t="str">
            <v>超級</v>
          </cell>
          <cell r="J377">
            <v>422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16</v>
          </cell>
          <cell r="AD377">
            <v>6</v>
          </cell>
          <cell r="AE377" t="str">
            <v>everyone</v>
          </cell>
        </row>
        <row r="378">
          <cell r="A378" t="str">
            <v>30015_2</v>
          </cell>
          <cell r="B378">
            <v>3</v>
          </cell>
          <cell r="C378">
            <v>30015</v>
          </cell>
          <cell r="D378" t="str">
            <v>兄妹の大冒険</v>
          </cell>
          <cell r="E378" t="str">
            <v>ドロップイベント4（マルチ専用）</v>
          </cell>
          <cell r="F378">
            <v>2</v>
          </cell>
          <cell r="G378" t="str">
            <v>ja</v>
          </cell>
          <cell r="H378" t="str">
            <v>【超絶級】兄妹の大冒険</v>
          </cell>
          <cell r="I378" t="str">
            <v>超絶級</v>
          </cell>
          <cell r="J378">
            <v>423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16</v>
          </cell>
          <cell r="AD378">
            <v>6</v>
          </cell>
          <cell r="AE378" t="str">
            <v>everyone</v>
          </cell>
        </row>
        <row r="379">
          <cell r="A379" t="str">
            <v>30016_1</v>
          </cell>
          <cell r="B379">
            <v>3</v>
          </cell>
          <cell r="C379">
            <v>30016</v>
          </cell>
          <cell r="D379" t="str">
            <v>私がワニの天敵よ？</v>
          </cell>
          <cell r="E379" t="str">
            <v>ドロップイベント4（マルチ専用）</v>
          </cell>
          <cell r="F379">
            <v>1</v>
          </cell>
          <cell r="G379" t="str">
            <v>ja</v>
          </cell>
          <cell r="H379" t="str">
            <v>【超級】私がワニの天敵よ？</v>
          </cell>
          <cell r="I379" t="str">
            <v>超級</v>
          </cell>
          <cell r="J379">
            <v>424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4</v>
          </cell>
          <cell r="AD379">
            <v>6</v>
          </cell>
          <cell r="AE379" t="str">
            <v>everyone</v>
          </cell>
        </row>
        <row r="380">
          <cell r="A380" t="str">
            <v>30016_2</v>
          </cell>
          <cell r="B380">
            <v>3</v>
          </cell>
          <cell r="C380">
            <v>30016</v>
          </cell>
          <cell r="D380" t="str">
            <v>私がワニの天敵よ？</v>
          </cell>
          <cell r="E380" t="str">
            <v>ドロップイベント4（マルチ専用）</v>
          </cell>
          <cell r="F380">
            <v>2</v>
          </cell>
          <cell r="G380" t="str">
            <v>ja</v>
          </cell>
          <cell r="H380" t="str">
            <v>【超絶級】私がワニの天敵よ？</v>
          </cell>
          <cell r="I380" t="str">
            <v>超絶級</v>
          </cell>
          <cell r="J380">
            <v>425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4</v>
          </cell>
          <cell r="AD380">
            <v>6</v>
          </cell>
          <cell r="AE380" t="str">
            <v>everyone</v>
          </cell>
        </row>
        <row r="381">
          <cell r="A381" t="str">
            <v>30017_1</v>
          </cell>
          <cell r="B381">
            <v>3</v>
          </cell>
          <cell r="C381">
            <v>30017</v>
          </cell>
          <cell r="D381" t="str">
            <v>狩人の挽歌</v>
          </cell>
          <cell r="E381" t="str">
            <v>ドロップイベント5（マルチ専用）</v>
          </cell>
          <cell r="F381">
            <v>1</v>
          </cell>
          <cell r="G381" t="str">
            <v>ja</v>
          </cell>
          <cell r="H381" t="str">
            <v>【超級】狩人の挽歌</v>
          </cell>
          <cell r="I381" t="str">
            <v>超級</v>
          </cell>
          <cell r="J381">
            <v>452</v>
          </cell>
          <cell r="K381">
            <v>30</v>
          </cell>
          <cell r="L381">
            <v>3300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20</v>
          </cell>
          <cell r="AD381">
            <v>6</v>
          </cell>
          <cell r="AE381" t="str">
            <v>multionly</v>
          </cell>
        </row>
        <row r="382">
          <cell r="A382" t="str">
            <v>30017_2</v>
          </cell>
          <cell r="B382">
            <v>3</v>
          </cell>
          <cell r="C382">
            <v>30017</v>
          </cell>
          <cell r="D382" t="str">
            <v>狩人の挽歌</v>
          </cell>
          <cell r="E382" t="str">
            <v>ドロップイベント5（マルチ専用）</v>
          </cell>
          <cell r="F382">
            <v>2</v>
          </cell>
          <cell r="G382" t="str">
            <v>ja</v>
          </cell>
          <cell r="H382" t="str">
            <v>【超絶級】狩人の挽歌</v>
          </cell>
          <cell r="I382" t="str">
            <v>超絶級</v>
          </cell>
          <cell r="J382">
            <v>453</v>
          </cell>
          <cell r="K382">
            <v>35</v>
          </cell>
          <cell r="L382">
            <v>4200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20</v>
          </cell>
          <cell r="AD382">
            <v>6</v>
          </cell>
          <cell r="AE382" t="str">
            <v>multionly</v>
          </cell>
        </row>
        <row r="383">
          <cell r="A383" t="str">
            <v>30018_1</v>
          </cell>
          <cell r="B383">
            <v>3</v>
          </cell>
          <cell r="C383">
            <v>30018</v>
          </cell>
          <cell r="D383" t="str">
            <v>バックストリートファイト</v>
          </cell>
          <cell r="E383" t="str">
            <v>ドロップイベント5（マルチ専用）</v>
          </cell>
          <cell r="F383">
            <v>1</v>
          </cell>
          <cell r="G383" t="str">
            <v>ja</v>
          </cell>
          <cell r="H383" t="str">
            <v>【超級】バックストリートファイト</v>
          </cell>
          <cell r="I383" t="str">
            <v>超級</v>
          </cell>
          <cell r="J383">
            <v>454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0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14</v>
          </cell>
          <cell r="AD383">
            <v>6</v>
          </cell>
          <cell r="AE383" t="str">
            <v>everyone</v>
          </cell>
        </row>
        <row r="384">
          <cell r="A384" t="str">
            <v>30018_2</v>
          </cell>
          <cell r="B384">
            <v>3</v>
          </cell>
          <cell r="C384">
            <v>30018</v>
          </cell>
          <cell r="D384" t="str">
            <v>バックストリートファイト</v>
          </cell>
          <cell r="E384" t="str">
            <v>ドロップイベント5（マルチ専用）</v>
          </cell>
          <cell r="F384">
            <v>2</v>
          </cell>
          <cell r="G384" t="str">
            <v>ja</v>
          </cell>
          <cell r="H384" t="str">
            <v>【超絶級】バックストリートファイト</v>
          </cell>
          <cell r="I384" t="str">
            <v>超絶級</v>
          </cell>
          <cell r="J384">
            <v>455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0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14</v>
          </cell>
          <cell r="AD384">
            <v>6</v>
          </cell>
          <cell r="AE384" t="str">
            <v>everyone</v>
          </cell>
        </row>
        <row r="385">
          <cell r="A385" t="str">
            <v>30019_1</v>
          </cell>
          <cell r="B385">
            <v>3</v>
          </cell>
          <cell r="C385">
            <v>30019</v>
          </cell>
          <cell r="D385" t="str">
            <v>狙撃は終わらない</v>
          </cell>
          <cell r="E385" t="str">
            <v>ドロップイベント5（マルチ専用）</v>
          </cell>
          <cell r="F385">
            <v>1</v>
          </cell>
          <cell r="G385" t="str">
            <v>ja</v>
          </cell>
          <cell r="H385" t="str">
            <v>【超級】狙撃は終わらない</v>
          </cell>
          <cell r="I385" t="str">
            <v>超級</v>
          </cell>
          <cell r="J385">
            <v>456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24</v>
          </cell>
          <cell r="AD385">
            <v>6</v>
          </cell>
          <cell r="AE385" t="str">
            <v>multionly</v>
          </cell>
        </row>
        <row r="386">
          <cell r="A386" t="str">
            <v>30019_2</v>
          </cell>
          <cell r="B386">
            <v>3</v>
          </cell>
          <cell r="C386">
            <v>30019</v>
          </cell>
          <cell r="D386" t="str">
            <v>狙撃は終わらない</v>
          </cell>
          <cell r="E386" t="str">
            <v>ドロップイベント5（マルチ専用）</v>
          </cell>
          <cell r="F386">
            <v>2</v>
          </cell>
          <cell r="G386" t="str">
            <v>ja</v>
          </cell>
          <cell r="H386" t="str">
            <v>【超絶級】狙撃は終わらない</v>
          </cell>
          <cell r="I386" t="str">
            <v>超絶級</v>
          </cell>
          <cell r="J386">
            <v>457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24</v>
          </cell>
          <cell r="AD386">
            <v>6</v>
          </cell>
          <cell r="AE386" t="str">
            <v>multionly</v>
          </cell>
        </row>
        <row r="387">
          <cell r="A387" t="str">
            <v>30020_1</v>
          </cell>
          <cell r="B387">
            <v>3</v>
          </cell>
          <cell r="C387">
            <v>30020</v>
          </cell>
          <cell r="D387" t="str">
            <v>若造よ、身の程を知れ</v>
          </cell>
          <cell r="E387" t="str">
            <v>ドロップイベント5（マルチ専用）</v>
          </cell>
          <cell r="F387">
            <v>1</v>
          </cell>
          <cell r="G387" t="str">
            <v>ja</v>
          </cell>
          <cell r="H387" t="str">
            <v>【超級】若造よ、身の程を知れ</v>
          </cell>
          <cell r="I387" t="str">
            <v>超級</v>
          </cell>
          <cell r="J387">
            <v>458</v>
          </cell>
          <cell r="K387">
            <v>30</v>
          </cell>
          <cell r="L387">
            <v>3300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13</v>
          </cell>
          <cell r="AD387">
            <v>6</v>
          </cell>
          <cell r="AE387" t="str">
            <v>everyone</v>
          </cell>
        </row>
        <row r="388">
          <cell r="A388" t="str">
            <v>30020_2</v>
          </cell>
          <cell r="B388">
            <v>3</v>
          </cell>
          <cell r="C388">
            <v>30020</v>
          </cell>
          <cell r="D388" t="str">
            <v>若造よ、身の程を知れ</v>
          </cell>
          <cell r="E388" t="str">
            <v>ドロップイベント5（マルチ専用）</v>
          </cell>
          <cell r="F388">
            <v>2</v>
          </cell>
          <cell r="G388" t="str">
            <v>ja</v>
          </cell>
          <cell r="H388" t="str">
            <v>【超絶級】若造よ、身の程を知れ</v>
          </cell>
          <cell r="I388" t="str">
            <v>超絶級</v>
          </cell>
          <cell r="J388">
            <v>459</v>
          </cell>
          <cell r="K388">
            <v>35</v>
          </cell>
          <cell r="L388">
            <v>4200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13</v>
          </cell>
          <cell r="AD388">
            <v>6</v>
          </cell>
          <cell r="AE388" t="str">
            <v>everyone</v>
          </cell>
        </row>
        <row r="389">
          <cell r="A389" t="str">
            <v>30021_1</v>
          </cell>
          <cell r="B389">
            <v>3</v>
          </cell>
          <cell r="C389">
            <v>30021</v>
          </cell>
          <cell r="D389" t="str">
            <v>野獣死すべしっ！</v>
          </cell>
          <cell r="E389" t="str">
            <v>ドロップイベント6（マルチ専用）</v>
          </cell>
          <cell r="F389">
            <v>1</v>
          </cell>
          <cell r="G389" t="str">
            <v>ja</v>
          </cell>
          <cell r="H389" t="str">
            <v>【中級】野獣死すべしっ！</v>
          </cell>
          <cell r="I389" t="str">
            <v>中級</v>
          </cell>
          <cell r="J389">
            <v>502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0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14</v>
          </cell>
          <cell r="AD389">
            <v>6</v>
          </cell>
          <cell r="AE389" t="str">
            <v>everyone</v>
          </cell>
        </row>
        <row r="390">
          <cell r="A390" t="str">
            <v>30021_2</v>
          </cell>
          <cell r="B390">
            <v>3</v>
          </cell>
          <cell r="C390">
            <v>30021</v>
          </cell>
          <cell r="D390" t="str">
            <v>野獣死すべしっ！</v>
          </cell>
          <cell r="E390" t="str">
            <v>ドロップイベント6（マルチ専用）</v>
          </cell>
          <cell r="F390">
            <v>2</v>
          </cell>
          <cell r="G390" t="str">
            <v>ja</v>
          </cell>
          <cell r="H390" t="str">
            <v>【上級】野獣死すべしっ！</v>
          </cell>
          <cell r="I390" t="str">
            <v>上級</v>
          </cell>
          <cell r="J390">
            <v>502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0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14</v>
          </cell>
          <cell r="AD390">
            <v>6</v>
          </cell>
          <cell r="AE390" t="str">
            <v>everyone</v>
          </cell>
        </row>
        <row r="391">
          <cell r="A391" t="str">
            <v>30021_3</v>
          </cell>
          <cell r="B391">
            <v>3</v>
          </cell>
          <cell r="C391">
            <v>30021</v>
          </cell>
          <cell r="D391" t="str">
            <v>野獣死すべしっ！</v>
          </cell>
          <cell r="E391" t="str">
            <v>ドロップイベント6（マルチ専用）</v>
          </cell>
          <cell r="F391">
            <v>3</v>
          </cell>
          <cell r="G391" t="str">
            <v>ja</v>
          </cell>
          <cell r="H391" t="str">
            <v>【超級】野獣死すべしっ！</v>
          </cell>
          <cell r="I391" t="str">
            <v>超級</v>
          </cell>
          <cell r="J391">
            <v>503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0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14</v>
          </cell>
          <cell r="AD391">
            <v>6</v>
          </cell>
          <cell r="AE391" t="str">
            <v>everyone</v>
          </cell>
        </row>
        <row r="392">
          <cell r="A392" t="str">
            <v>30022_1</v>
          </cell>
          <cell r="B392">
            <v>1</v>
          </cell>
          <cell r="C392">
            <v>30022</v>
          </cell>
          <cell r="D392" t="str">
            <v>凶鼠ネコを咬む</v>
          </cell>
          <cell r="E392" t="str">
            <v>ドロップイベント7（マルチ専用）</v>
          </cell>
          <cell r="F392">
            <v>1</v>
          </cell>
          <cell r="G392" t="str">
            <v>ja</v>
          </cell>
          <cell r="H392" t="str">
            <v>【超級】凶鼠ネコを咬む</v>
          </cell>
          <cell r="I392" t="str">
            <v>超級</v>
          </cell>
          <cell r="J392">
            <v>504</v>
          </cell>
          <cell r="K392">
            <v>30</v>
          </cell>
          <cell r="L392">
            <v>3300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6</v>
          </cell>
          <cell r="AD392">
            <v>6</v>
          </cell>
          <cell r="AE392" t="str">
            <v>everyone</v>
          </cell>
        </row>
        <row r="393">
          <cell r="A393" t="str">
            <v>30022_2</v>
          </cell>
          <cell r="B393">
            <v>1</v>
          </cell>
          <cell r="C393">
            <v>30022</v>
          </cell>
          <cell r="D393" t="str">
            <v>凶鼠ネコを咬む</v>
          </cell>
          <cell r="E393" t="str">
            <v>ドロップイベント7（マルチ専用）</v>
          </cell>
          <cell r="F393">
            <v>2</v>
          </cell>
          <cell r="G393" t="str">
            <v>ja</v>
          </cell>
          <cell r="H393" t="str">
            <v>【超絶級】凶鼠ネコを咬む</v>
          </cell>
          <cell r="I393" t="str">
            <v>超絶級</v>
          </cell>
          <cell r="J393">
            <v>505</v>
          </cell>
          <cell r="K393">
            <v>35</v>
          </cell>
          <cell r="L393">
            <v>4200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6</v>
          </cell>
          <cell r="AD393">
            <v>6</v>
          </cell>
          <cell r="AE393" t="str">
            <v>everyone</v>
          </cell>
        </row>
        <row r="394">
          <cell r="A394" t="str">
            <v>30023_1</v>
          </cell>
          <cell r="B394">
            <v>1</v>
          </cell>
          <cell r="C394">
            <v>30023</v>
          </cell>
          <cell r="D394" t="str">
            <v>隔離からのエスケイプ</v>
          </cell>
          <cell r="E394" t="str">
            <v>ドロップイベント8（マルチ専用）</v>
          </cell>
          <cell r="F394">
            <v>1</v>
          </cell>
          <cell r="G394" t="str">
            <v>ja</v>
          </cell>
          <cell r="H394" t="str">
            <v>【中級】隔離からのエスケイプ</v>
          </cell>
          <cell r="I394" t="str">
            <v>中級</v>
          </cell>
          <cell r="J394">
            <v>506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25</v>
          </cell>
          <cell r="AD394">
            <v>6</v>
          </cell>
          <cell r="AE394" t="str">
            <v>everyone</v>
          </cell>
        </row>
        <row r="395">
          <cell r="A395" t="str">
            <v>30023_2</v>
          </cell>
          <cell r="B395">
            <v>1</v>
          </cell>
          <cell r="C395">
            <v>30023</v>
          </cell>
          <cell r="D395" t="str">
            <v>隔離からのエスケイプ</v>
          </cell>
          <cell r="E395" t="str">
            <v>ドロップイベント8（マルチ専用）</v>
          </cell>
          <cell r="F395">
            <v>2</v>
          </cell>
          <cell r="G395" t="str">
            <v>ja</v>
          </cell>
          <cell r="H395" t="str">
            <v>【上級】隔離からのエスケイプ</v>
          </cell>
          <cell r="I395" t="str">
            <v>上級</v>
          </cell>
          <cell r="J395">
            <v>506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25</v>
          </cell>
          <cell r="AD395">
            <v>6</v>
          </cell>
          <cell r="AE395" t="str">
            <v>everyone</v>
          </cell>
        </row>
        <row r="396">
          <cell r="A396" t="str">
            <v>30023_3</v>
          </cell>
          <cell r="B396">
            <v>1</v>
          </cell>
          <cell r="C396">
            <v>30023</v>
          </cell>
          <cell r="D396" t="str">
            <v>隔離からのエスケイプ</v>
          </cell>
          <cell r="E396" t="str">
            <v>ドロップイベント8（マルチ専用）</v>
          </cell>
          <cell r="F396">
            <v>3</v>
          </cell>
          <cell r="G396" t="str">
            <v>ja</v>
          </cell>
          <cell r="H396" t="str">
            <v>【超級】隔離からのエスケイプ</v>
          </cell>
          <cell r="I396" t="str">
            <v>超級</v>
          </cell>
          <cell r="J396">
            <v>507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25</v>
          </cell>
          <cell r="AD396">
            <v>6</v>
          </cell>
          <cell r="AE396" t="str">
            <v>everyone</v>
          </cell>
        </row>
        <row r="397">
          <cell r="A397" t="str">
            <v>39001_1</v>
          </cell>
          <cell r="B397">
            <v>1</v>
          </cell>
          <cell r="C397">
            <v>39001</v>
          </cell>
          <cell r="D397" t="str">
            <v>雪の歌姫</v>
          </cell>
          <cell r="E397" t="str">
            <v>コラボクエスト</v>
          </cell>
          <cell r="F397">
            <v>1</v>
          </cell>
          <cell r="G397" t="str">
            <v>ja</v>
          </cell>
          <cell r="H397" t="str">
            <v>【初級】雪の歌姫</v>
          </cell>
          <cell r="I397" t="str">
            <v>初級</v>
          </cell>
          <cell r="J397">
            <v>1</v>
          </cell>
          <cell r="K397">
            <v>8</v>
          </cell>
          <cell r="L397">
            <v>384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14</v>
          </cell>
          <cell r="AD397">
            <v>6</v>
          </cell>
          <cell r="AE397" t="str">
            <v>everyone</v>
          </cell>
        </row>
        <row r="398">
          <cell r="A398" t="str">
            <v>39001_2</v>
          </cell>
          <cell r="B398">
            <v>1</v>
          </cell>
          <cell r="C398">
            <v>39001</v>
          </cell>
          <cell r="D398" t="str">
            <v>雪の歌姫</v>
          </cell>
          <cell r="E398" t="str">
            <v>コラボクエスト</v>
          </cell>
          <cell r="F398">
            <v>2</v>
          </cell>
          <cell r="G398" t="str">
            <v>ja</v>
          </cell>
          <cell r="H398" t="str">
            <v>【中級】雪の歌姫</v>
          </cell>
          <cell r="I398" t="str">
            <v>中級</v>
          </cell>
          <cell r="J398">
            <v>1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14</v>
          </cell>
          <cell r="AD398">
            <v>6</v>
          </cell>
          <cell r="AE398" t="str">
            <v>everyone</v>
          </cell>
        </row>
        <row r="399">
          <cell r="A399" t="str">
            <v>39001_3</v>
          </cell>
          <cell r="B399">
            <v>1</v>
          </cell>
          <cell r="C399">
            <v>39001</v>
          </cell>
          <cell r="D399" t="str">
            <v>雪の歌姫</v>
          </cell>
          <cell r="E399" t="str">
            <v>コラボクエスト</v>
          </cell>
          <cell r="F399">
            <v>3</v>
          </cell>
          <cell r="G399" t="str">
            <v>ja</v>
          </cell>
          <cell r="H399" t="str">
            <v>【上級】雪の歌姫</v>
          </cell>
          <cell r="I399" t="str">
            <v>上級</v>
          </cell>
          <cell r="J399">
            <v>1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14</v>
          </cell>
          <cell r="AD399">
            <v>6</v>
          </cell>
          <cell r="AE399" t="str">
            <v>everyone</v>
          </cell>
        </row>
        <row r="400">
          <cell r="A400" t="str">
            <v>39001_4</v>
          </cell>
          <cell r="B400">
            <v>1</v>
          </cell>
          <cell r="C400">
            <v>39001</v>
          </cell>
          <cell r="D400" t="str">
            <v>雪の歌姫</v>
          </cell>
          <cell r="E400" t="str">
            <v>コラボクエスト</v>
          </cell>
          <cell r="F400">
            <v>4</v>
          </cell>
          <cell r="G400" t="str">
            <v>ja</v>
          </cell>
          <cell r="H400" t="str">
            <v>【超級】雪の歌姫</v>
          </cell>
          <cell r="I400" t="str">
            <v>超級</v>
          </cell>
          <cell r="J400">
            <v>1</v>
          </cell>
          <cell r="K400">
            <v>30</v>
          </cell>
          <cell r="L400">
            <v>3300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14</v>
          </cell>
          <cell r="AD400">
            <v>6</v>
          </cell>
          <cell r="AE400" t="str">
            <v>everyone</v>
          </cell>
        </row>
        <row r="401">
          <cell r="A401" t="str">
            <v>39001_5</v>
          </cell>
          <cell r="B401">
            <v>1</v>
          </cell>
          <cell r="C401">
            <v>39001</v>
          </cell>
          <cell r="D401" t="str">
            <v>雪の歌姫</v>
          </cell>
          <cell r="E401" t="str">
            <v>コラボクエスト</v>
          </cell>
          <cell r="F401">
            <v>5</v>
          </cell>
          <cell r="G401" t="str">
            <v>ja</v>
          </cell>
          <cell r="H401" t="str">
            <v>【超絶級】雪の歌姫</v>
          </cell>
          <cell r="I401" t="str">
            <v>超絶級</v>
          </cell>
          <cell r="J401">
            <v>1</v>
          </cell>
          <cell r="K401">
            <v>35</v>
          </cell>
          <cell r="L401">
            <v>4200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14</v>
          </cell>
          <cell r="AD401">
            <v>6</v>
          </cell>
          <cell r="AE401" t="str">
            <v>everyone</v>
          </cell>
        </row>
        <row r="402">
          <cell r="A402" t="str">
            <v>40001_1</v>
          </cell>
          <cell r="B402">
            <v>3</v>
          </cell>
          <cell r="C402">
            <v>40001</v>
          </cell>
          <cell r="D402" t="str">
            <v>アマテラス襲来！</v>
          </cell>
          <cell r="E402" t="str">
            <v>降臨1</v>
          </cell>
          <cell r="F402">
            <v>1</v>
          </cell>
          <cell r="G402" t="str">
            <v>ja</v>
          </cell>
          <cell r="H402" t="str">
            <v xml:space="preserve">【ウィザード級】アマテラス襲来 </v>
          </cell>
          <cell r="I402" t="str">
            <v>地獄級</v>
          </cell>
          <cell r="J402">
            <v>278</v>
          </cell>
          <cell r="K402">
            <v>35</v>
          </cell>
          <cell r="L402">
            <v>4200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901</v>
          </cell>
          <cell r="AD402">
            <v>6</v>
          </cell>
          <cell r="AE402" t="str">
            <v>everyone</v>
          </cell>
        </row>
        <row r="403">
          <cell r="A403" t="str">
            <v>40002_1</v>
          </cell>
          <cell r="B403">
            <v>3</v>
          </cell>
          <cell r="C403">
            <v>40002</v>
          </cell>
          <cell r="D403" t="str">
            <v>アザゼル襲来！</v>
          </cell>
          <cell r="E403" t="str">
            <v>降臨2</v>
          </cell>
          <cell r="F403">
            <v>1</v>
          </cell>
          <cell r="G403" t="str">
            <v>ja</v>
          </cell>
          <cell r="H403" t="str">
            <v xml:space="preserve">【超級】アザゼル襲来 </v>
          </cell>
          <cell r="I403" t="str">
            <v>超級</v>
          </cell>
          <cell r="J403">
            <v>296</v>
          </cell>
          <cell r="K403">
            <v>25</v>
          </cell>
          <cell r="L403">
            <v>2000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902</v>
          </cell>
          <cell r="AD403">
            <v>6</v>
          </cell>
          <cell r="AE403" t="str">
            <v>everyone</v>
          </cell>
        </row>
        <row r="404">
          <cell r="A404" t="str">
            <v>40002_2</v>
          </cell>
          <cell r="B404">
            <v>3</v>
          </cell>
          <cell r="C404">
            <v>40002</v>
          </cell>
          <cell r="D404" t="str">
            <v>アザゼル襲来！</v>
          </cell>
          <cell r="E404" t="str">
            <v>降臨2</v>
          </cell>
          <cell r="F404">
            <v>2</v>
          </cell>
          <cell r="G404" t="str">
            <v>ja</v>
          </cell>
          <cell r="H404" t="str">
            <v>【超絶級】アザゼル襲来</v>
          </cell>
          <cell r="I404" t="str">
            <v>超絶級</v>
          </cell>
          <cell r="J404">
            <v>297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902</v>
          </cell>
          <cell r="AD404">
            <v>6</v>
          </cell>
          <cell r="AE404" t="str">
            <v>everyone</v>
          </cell>
        </row>
        <row r="405">
          <cell r="A405" t="str">
            <v>40002_3</v>
          </cell>
          <cell r="B405">
            <v>3</v>
          </cell>
          <cell r="C405">
            <v>40002</v>
          </cell>
          <cell r="D405" t="str">
            <v>アザゼル襲来！</v>
          </cell>
          <cell r="E405" t="str">
            <v>降臨2</v>
          </cell>
          <cell r="F405">
            <v>3</v>
          </cell>
          <cell r="G405" t="str">
            <v>ja</v>
          </cell>
          <cell r="H405" t="str">
            <v xml:space="preserve">【ウィザード級】アザゼル襲来 </v>
          </cell>
          <cell r="I405" t="str">
            <v>地獄級</v>
          </cell>
          <cell r="J405">
            <v>297</v>
          </cell>
          <cell r="K405">
            <v>35</v>
          </cell>
          <cell r="L405">
            <v>4200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>
            <v>296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902</v>
          </cell>
          <cell r="AD405">
            <v>6</v>
          </cell>
          <cell r="AE405" t="str">
            <v>everyone</v>
          </cell>
        </row>
        <row r="406">
          <cell r="A406" t="str">
            <v>40003_1</v>
          </cell>
          <cell r="B406">
            <v>3</v>
          </cell>
          <cell r="C406">
            <v>40003</v>
          </cell>
          <cell r="D406" t="str">
            <v>ジャンヌ襲来！</v>
          </cell>
          <cell r="E406" t="str">
            <v>降臨3</v>
          </cell>
          <cell r="F406">
            <v>1</v>
          </cell>
          <cell r="G406" t="str">
            <v>ja</v>
          </cell>
          <cell r="H406" t="str">
            <v xml:space="preserve">【ウィザード級】ジャンヌ襲来 </v>
          </cell>
          <cell r="I406" t="str">
            <v>地獄級</v>
          </cell>
          <cell r="J406">
            <v>315</v>
          </cell>
          <cell r="K406">
            <v>35</v>
          </cell>
          <cell r="L406">
            <v>4200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>
            <v>314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903</v>
          </cell>
          <cell r="AD406">
            <v>6</v>
          </cell>
          <cell r="AE406" t="str">
            <v>everyone</v>
          </cell>
        </row>
        <row r="407">
          <cell r="A407" t="str">
            <v>40004_1</v>
          </cell>
          <cell r="B407">
            <v>3</v>
          </cell>
          <cell r="C407">
            <v>40004</v>
          </cell>
          <cell r="D407" t="str">
            <v>宮本武蔵襲来！</v>
          </cell>
          <cell r="E407" t="str">
            <v>降臨4</v>
          </cell>
          <cell r="F407">
            <v>1</v>
          </cell>
          <cell r="G407" t="str">
            <v>ja</v>
          </cell>
          <cell r="H407" t="str">
            <v xml:space="preserve">【ウィザード級】宮本武蔵襲来 </v>
          </cell>
          <cell r="I407" t="str">
            <v>地獄級</v>
          </cell>
          <cell r="J407">
            <v>427</v>
          </cell>
          <cell r="K407">
            <v>35</v>
          </cell>
          <cell r="L407">
            <v>4200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>
            <v>426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904</v>
          </cell>
          <cell r="AD407">
            <v>6</v>
          </cell>
          <cell r="AE407" t="str">
            <v>everyone</v>
          </cell>
        </row>
        <row r="408">
          <cell r="A408" t="str">
            <v>40005_1</v>
          </cell>
          <cell r="B408">
            <v>3</v>
          </cell>
          <cell r="C408">
            <v>40005</v>
          </cell>
          <cell r="D408" t="str">
            <v>オズ襲来！</v>
          </cell>
          <cell r="E408" t="str">
            <v>降臨5</v>
          </cell>
          <cell r="F408">
            <v>1</v>
          </cell>
          <cell r="G408" t="str">
            <v>ja</v>
          </cell>
          <cell r="H408" t="str">
            <v xml:space="preserve">【ウィザード級】オズ襲来 </v>
          </cell>
          <cell r="I408" t="str">
            <v>地獄級</v>
          </cell>
          <cell r="J408">
            <v>461</v>
          </cell>
          <cell r="K408">
            <v>35</v>
          </cell>
          <cell r="L408">
            <v>4200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>
            <v>460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906</v>
          </cell>
          <cell r="AD408">
            <v>6</v>
          </cell>
          <cell r="AE408" t="str">
            <v>everyone</v>
          </cell>
        </row>
        <row r="409">
          <cell r="A409" t="str">
            <v>40006_1</v>
          </cell>
          <cell r="B409">
            <v>3</v>
          </cell>
          <cell r="C409">
            <v>40006</v>
          </cell>
          <cell r="D409" t="str">
            <v>アーサー襲来！</v>
          </cell>
          <cell r="E409" t="str">
            <v>降臨6</v>
          </cell>
          <cell r="F409">
            <v>1</v>
          </cell>
          <cell r="G409" t="str">
            <v>ja</v>
          </cell>
          <cell r="H409" t="str">
            <v xml:space="preserve">【ウィザード級】アーサー襲来 </v>
          </cell>
          <cell r="I409" t="str">
            <v>地獄級</v>
          </cell>
          <cell r="J409">
            <v>473</v>
          </cell>
          <cell r="K409">
            <v>35</v>
          </cell>
          <cell r="L409">
            <v>4200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>
            <v>472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907</v>
          </cell>
          <cell r="AD409">
            <v>6</v>
          </cell>
          <cell r="AE409" t="str">
            <v>everyone</v>
          </cell>
        </row>
        <row r="410">
          <cell r="A410" t="str">
            <v>40007_1</v>
          </cell>
          <cell r="B410">
            <v>3</v>
          </cell>
          <cell r="C410">
            <v>40007</v>
          </cell>
          <cell r="D410" t="str">
            <v>グリム襲来！</v>
          </cell>
          <cell r="E410" t="str">
            <v>降臨7</v>
          </cell>
          <cell r="F410">
            <v>1</v>
          </cell>
          <cell r="G410" t="str">
            <v>ja</v>
          </cell>
          <cell r="H410" t="str">
            <v xml:space="preserve">【ウィザード級】グリム襲来 </v>
          </cell>
          <cell r="I410" t="str">
            <v>地獄級</v>
          </cell>
          <cell r="J410">
            <v>491</v>
          </cell>
          <cell r="K410">
            <v>35</v>
          </cell>
          <cell r="L410">
            <v>4200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>
            <v>490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908</v>
          </cell>
          <cell r="AD410">
            <v>6</v>
          </cell>
          <cell r="AE410" t="str">
            <v>everyone</v>
          </cell>
        </row>
        <row r="411">
          <cell r="A411" t="str">
            <v>40008_1</v>
          </cell>
          <cell r="B411">
            <v>3</v>
          </cell>
          <cell r="C411">
            <v>40008</v>
          </cell>
          <cell r="D411" t="str">
            <v>Gスター・チルドレン襲来！</v>
          </cell>
          <cell r="E411" t="str">
            <v>降臨8</v>
          </cell>
          <cell r="F411">
            <v>1</v>
          </cell>
          <cell r="G411" t="str">
            <v>ja</v>
          </cell>
          <cell r="H411" t="str">
            <v xml:space="preserve">【ウィザード級】Gスター・チルドレン襲来 </v>
          </cell>
          <cell r="I411" t="str">
            <v>地獄級</v>
          </cell>
          <cell r="J411">
            <v>491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490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12</v>
          </cell>
          <cell r="AD411">
            <v>6</v>
          </cell>
          <cell r="AE411" t="str">
            <v>everyone</v>
          </cell>
        </row>
        <row r="412">
          <cell r="A412" t="str">
            <v>50001_1</v>
          </cell>
          <cell r="B412">
            <v>3</v>
          </cell>
          <cell r="C412">
            <v>50001</v>
          </cell>
          <cell r="D412" t="str">
            <v>麒麟襲来！</v>
          </cell>
          <cell r="E412" t="str">
            <v>超降臨1</v>
          </cell>
          <cell r="F412">
            <v>1</v>
          </cell>
          <cell r="G412" t="str">
            <v>ja</v>
          </cell>
          <cell r="H412" t="str">
            <v xml:space="preserve">【超ウィザード級】麒麟襲来 </v>
          </cell>
          <cell r="I412" t="str">
            <v>超地獄級</v>
          </cell>
          <cell r="J412">
            <v>328</v>
          </cell>
          <cell r="K412">
            <v>40</v>
          </cell>
          <cell r="L412">
            <v>5200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432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905</v>
          </cell>
          <cell r="AD412">
            <v>6</v>
          </cell>
          <cell r="AE412" t="str">
            <v>everyone</v>
          </cell>
        </row>
        <row r="413">
          <cell r="A413" t="str">
            <v>49001_1</v>
          </cell>
          <cell r="B413">
            <v>1</v>
          </cell>
          <cell r="C413">
            <v>49001</v>
          </cell>
          <cell r="D413" t="str">
            <v>初音ミクV3襲来！</v>
          </cell>
          <cell r="E413" t="str">
            <v>コラボ降臨1</v>
          </cell>
          <cell r="F413">
            <v>1</v>
          </cell>
          <cell r="G413" t="str">
            <v>ja</v>
          </cell>
          <cell r="H413" t="str">
            <v xml:space="preserve">【ウィザード級】V3襲来 </v>
          </cell>
          <cell r="I413" t="str">
            <v>地獄級</v>
          </cell>
          <cell r="J413">
            <v>328</v>
          </cell>
          <cell r="K413">
            <v>35</v>
          </cell>
          <cell r="L413">
            <v>4200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907</v>
          </cell>
          <cell r="AD413">
            <v>6</v>
          </cell>
          <cell r="AE413" t="str">
            <v>everyone</v>
          </cell>
        </row>
        <row r="414">
          <cell r="A414" t="str">
            <v>65535_1</v>
          </cell>
          <cell r="B414">
            <v>1</v>
          </cell>
          <cell r="C414">
            <v>65535</v>
          </cell>
          <cell r="D414" t="str">
            <v>★検証専用クエスト★</v>
          </cell>
          <cell r="E414" t="str">
            <v>検証</v>
          </cell>
          <cell r="F414">
            <v>1</v>
          </cell>
          <cell r="G414" t="str">
            <v>ja</v>
          </cell>
          <cell r="H414" t="str">
            <v>テンプレート</v>
          </cell>
          <cell r="I414" t="str">
            <v>検証</v>
          </cell>
          <cell r="J414" t="str">
            <v>NULL</v>
          </cell>
          <cell r="K414">
            <v>1</v>
          </cell>
          <cell r="L414">
            <v>1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903</v>
          </cell>
          <cell r="AD414">
            <v>6</v>
          </cell>
          <cell r="AE414" t="str">
            <v>everyone</v>
          </cell>
        </row>
        <row r="415">
          <cell r="A415" t="str">
            <v>65535_2</v>
          </cell>
          <cell r="B415">
            <v>1</v>
          </cell>
          <cell r="C415">
            <v>65535</v>
          </cell>
          <cell r="D415" t="str">
            <v>★検証専用クエスト★</v>
          </cell>
          <cell r="E415" t="str">
            <v>検証</v>
          </cell>
          <cell r="F415">
            <v>2</v>
          </cell>
          <cell r="G415" t="str">
            <v>ja</v>
          </cell>
          <cell r="H415" t="str">
            <v>ランクアップクエスト</v>
          </cell>
          <cell r="I415" t="str">
            <v>検証</v>
          </cell>
          <cell r="J415" t="str">
            <v>NULL</v>
          </cell>
          <cell r="K415">
            <v>1</v>
          </cell>
          <cell r="L415">
            <v>65535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903</v>
          </cell>
          <cell r="AD415">
            <v>6</v>
          </cell>
          <cell r="AE415" t="str">
            <v>everyone</v>
          </cell>
        </row>
        <row r="416">
          <cell r="A416" t="str">
            <v>65535_3</v>
          </cell>
          <cell r="B416">
            <v>1</v>
          </cell>
          <cell r="C416">
            <v>65535</v>
          </cell>
          <cell r="D416" t="str">
            <v>★検証専用クエスト★</v>
          </cell>
          <cell r="E416" t="str">
            <v>検証</v>
          </cell>
          <cell r="F416">
            <v>3</v>
          </cell>
          <cell r="G416" t="str">
            <v>ja</v>
          </cell>
          <cell r="H416" t="str">
            <v>男気ゲリラテスト</v>
          </cell>
          <cell r="I416" t="str">
            <v>検証</v>
          </cell>
          <cell r="J416" t="str">
            <v>NULL</v>
          </cell>
          <cell r="K416">
            <v>1</v>
          </cell>
          <cell r="L416">
            <v>1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105</v>
          </cell>
          <cell r="AD416">
            <v>6</v>
          </cell>
          <cell r="AE416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D22" sqref="D22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55" t="s">
        <v>114</v>
      </c>
      <c r="B1" s="50" t="s">
        <v>84</v>
      </c>
      <c r="C1" s="50" t="s">
        <v>85</v>
      </c>
      <c r="D1" s="50" t="s">
        <v>86</v>
      </c>
      <c r="E1" s="50" t="s">
        <v>87</v>
      </c>
      <c r="F1" s="50" t="s">
        <v>88</v>
      </c>
      <c r="G1" s="50" t="s">
        <v>89</v>
      </c>
      <c r="H1" s="50"/>
      <c r="I1" s="50"/>
      <c r="J1" s="50"/>
      <c r="K1" s="50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30">
      <c r="A2" s="56" t="s">
        <v>209</v>
      </c>
      <c r="B2" s="52" t="s">
        <v>90</v>
      </c>
      <c r="C2" s="57">
        <v>40006</v>
      </c>
      <c r="D2" s="52" t="s">
        <v>91</v>
      </c>
      <c r="E2" s="51" t="str">
        <f>B2&amp;C2&amp;D2</f>
        <v>floors_40006.tmp</v>
      </c>
      <c r="F2" s="52" t="s">
        <v>92</v>
      </c>
      <c r="G2" s="53" t="s">
        <v>0</v>
      </c>
      <c r="H2" s="53" t="s">
        <v>1</v>
      </c>
      <c r="I2" s="53" t="s">
        <v>12</v>
      </c>
      <c r="J2" s="53" t="s">
        <v>13</v>
      </c>
      <c r="K2" s="53" t="s">
        <v>14</v>
      </c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1:30">
      <c r="A3" s="56" t="s">
        <v>209</v>
      </c>
      <c r="B3" s="52" t="s">
        <v>93</v>
      </c>
      <c r="C3" s="57">
        <f>C$2</f>
        <v>40006</v>
      </c>
      <c r="D3" s="52" t="s">
        <v>91</v>
      </c>
      <c r="E3" s="51" t="str">
        <f>B3&amp;C3&amp;D3</f>
        <v>enemy_habitats_40006.tmp</v>
      </c>
      <c r="F3" s="52" t="s">
        <v>94</v>
      </c>
      <c r="G3" s="53" t="s">
        <v>0</v>
      </c>
      <c r="H3" s="53" t="s">
        <v>1</v>
      </c>
      <c r="I3" s="53" t="s">
        <v>12</v>
      </c>
      <c r="J3" s="53" t="s">
        <v>2</v>
      </c>
      <c r="K3" s="53" t="s">
        <v>3</v>
      </c>
      <c r="L3" s="53" t="s">
        <v>31</v>
      </c>
      <c r="M3" s="53" t="s">
        <v>33</v>
      </c>
      <c r="N3" s="53" t="s">
        <v>35</v>
      </c>
      <c r="O3" s="53" t="s">
        <v>17</v>
      </c>
      <c r="P3" s="53" t="s">
        <v>4</v>
      </c>
      <c r="Q3" s="53" t="s">
        <v>5</v>
      </c>
      <c r="R3" s="53" t="s">
        <v>6</v>
      </c>
      <c r="S3" s="53" t="s">
        <v>7</v>
      </c>
      <c r="T3" s="53" t="s">
        <v>8</v>
      </c>
      <c r="U3" s="53" t="s">
        <v>9</v>
      </c>
      <c r="V3" s="53" t="s">
        <v>10</v>
      </c>
      <c r="W3" s="53" t="s">
        <v>11</v>
      </c>
      <c r="X3" s="53" t="s">
        <v>26</v>
      </c>
      <c r="Y3" s="53" t="s">
        <v>27</v>
      </c>
      <c r="Z3" s="53" t="s">
        <v>28</v>
      </c>
      <c r="AA3" s="53" t="s">
        <v>29</v>
      </c>
      <c r="AB3" s="53" t="s">
        <v>30</v>
      </c>
      <c r="AC3" s="53" t="s">
        <v>37</v>
      </c>
      <c r="AD3" s="53" t="s">
        <v>162</v>
      </c>
    </row>
    <row r="4" spans="1:30">
      <c r="A4" s="56" t="s">
        <v>209</v>
      </c>
      <c r="B4" s="52" t="s">
        <v>95</v>
      </c>
      <c r="C4" s="57">
        <f t="shared" ref="C4:C9" si="0">C$2</f>
        <v>40006</v>
      </c>
      <c r="D4" s="52" t="s">
        <v>91</v>
      </c>
      <c r="E4" s="51" t="str">
        <f>B4&amp;C4&amp;D4</f>
        <v>enemy_habitat_S_40006.tmp</v>
      </c>
      <c r="F4" s="52" t="s">
        <v>96</v>
      </c>
      <c r="G4" s="53" t="s">
        <v>0</v>
      </c>
      <c r="H4" s="53" t="s">
        <v>1</v>
      </c>
      <c r="I4" s="53" t="s">
        <v>12</v>
      </c>
      <c r="J4" s="53" t="s">
        <v>37</v>
      </c>
      <c r="K4" s="53" t="s">
        <v>38</v>
      </c>
      <c r="L4" s="53" t="s">
        <v>39</v>
      </c>
      <c r="M4" s="53" t="s">
        <v>40</v>
      </c>
      <c r="N4" s="53" t="s">
        <v>41</v>
      </c>
      <c r="O4" s="53" t="s">
        <v>42</v>
      </c>
      <c r="P4" s="53" t="s">
        <v>32</v>
      </c>
      <c r="Q4" s="53" t="s">
        <v>34</v>
      </c>
      <c r="R4" s="53" t="s">
        <v>36</v>
      </c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</row>
    <row r="5" spans="1:30">
      <c r="A5" s="56" t="s">
        <v>209</v>
      </c>
      <c r="B5" s="52" t="s">
        <v>97</v>
      </c>
      <c r="C5" s="57">
        <f t="shared" si="0"/>
        <v>40006</v>
      </c>
      <c r="D5" s="52" t="s">
        <v>91</v>
      </c>
      <c r="E5" s="51" t="str">
        <f>B5&amp;C5&amp;D5</f>
        <v>enemy_skill_sets_40006.tmp</v>
      </c>
      <c r="F5" s="52" t="s">
        <v>98</v>
      </c>
      <c r="G5" s="54" t="s">
        <v>17</v>
      </c>
      <c r="H5" s="54" t="s">
        <v>83</v>
      </c>
      <c r="I5" s="54" t="s">
        <v>78</v>
      </c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</row>
    <row r="6" spans="1:30">
      <c r="A6" s="56" t="s">
        <v>209</v>
      </c>
      <c r="B6" s="52" t="s">
        <v>99</v>
      </c>
      <c r="C6" s="57">
        <f t="shared" si="0"/>
        <v>40006</v>
      </c>
      <c r="D6" s="52" t="s">
        <v>100</v>
      </c>
      <c r="E6" s="51" t="str">
        <f t="shared" ref="E6:E12" si="1">B6&amp;C6&amp;D6</f>
        <v>enemy_skills_tmp_40006.tmp</v>
      </c>
      <c r="F6" s="52" t="s">
        <v>74</v>
      </c>
      <c r="G6" s="53" t="s">
        <v>62</v>
      </c>
      <c r="H6" s="53" t="s">
        <v>63</v>
      </c>
      <c r="I6" s="53" t="s">
        <v>64</v>
      </c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</row>
    <row r="7" spans="1:30">
      <c r="A7" s="56" t="s">
        <v>209</v>
      </c>
      <c r="B7" s="52" t="s">
        <v>101</v>
      </c>
      <c r="C7" s="57">
        <f t="shared" si="0"/>
        <v>40006</v>
      </c>
      <c r="D7" s="52" t="s">
        <v>91</v>
      </c>
      <c r="E7" s="51" t="str">
        <f>B7&amp;C7&amp;D7</f>
        <v>enemy_skills_i18n_40006.tmp</v>
      </c>
      <c r="F7" s="52" t="s">
        <v>102</v>
      </c>
      <c r="G7" s="53" t="s">
        <v>62</v>
      </c>
      <c r="H7" s="53" t="s">
        <v>75</v>
      </c>
      <c r="I7" s="53" t="s">
        <v>76</v>
      </c>
      <c r="J7" s="53" t="s">
        <v>77</v>
      </c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</row>
    <row r="8" spans="1:30">
      <c r="A8" s="56" t="s">
        <v>210</v>
      </c>
      <c r="B8" s="52" t="s">
        <v>103</v>
      </c>
      <c r="C8" s="57">
        <f t="shared" si="0"/>
        <v>40006</v>
      </c>
      <c r="D8" s="52" t="s">
        <v>104</v>
      </c>
      <c r="E8" s="51" t="str">
        <f t="shared" si="1"/>
        <v>enemy_skill_triggers_40006.tmp</v>
      </c>
      <c r="F8" s="52" t="s">
        <v>105</v>
      </c>
      <c r="G8" s="53" t="s">
        <v>78</v>
      </c>
      <c r="H8" s="53" t="s">
        <v>79</v>
      </c>
      <c r="I8" s="53" t="s">
        <v>80</v>
      </c>
      <c r="J8" s="53" t="s">
        <v>81</v>
      </c>
      <c r="K8" s="53" t="s">
        <v>106</v>
      </c>
      <c r="L8" s="53" t="s">
        <v>82</v>
      </c>
      <c r="M8" s="53" t="s">
        <v>107</v>
      </c>
      <c r="N8" s="53" t="s">
        <v>108</v>
      </c>
      <c r="O8" s="53" t="s">
        <v>109</v>
      </c>
      <c r="P8" s="53" t="s">
        <v>50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</row>
    <row r="9" spans="1:30">
      <c r="A9" s="56" t="s">
        <v>369</v>
      </c>
      <c r="B9" s="62" t="s">
        <v>161</v>
      </c>
      <c r="C9" s="57">
        <f t="shared" si="0"/>
        <v>40006</v>
      </c>
      <c r="D9" s="62" t="s">
        <v>155</v>
      </c>
      <c r="E9" s="63" t="str">
        <f t="shared" si="1"/>
        <v>stage_bug_bonuses_40006.tmp</v>
      </c>
      <c r="F9" s="62" t="s">
        <v>156</v>
      </c>
      <c r="G9" s="59" t="s">
        <v>134</v>
      </c>
      <c r="H9" s="59" t="s">
        <v>157</v>
      </c>
      <c r="I9" s="59" t="s">
        <v>158</v>
      </c>
      <c r="J9" s="61" t="s">
        <v>159</v>
      </c>
      <c r="K9" s="59" t="s">
        <v>160</v>
      </c>
      <c r="L9" s="59" t="s">
        <v>140</v>
      </c>
      <c r="M9" s="59" t="s">
        <v>141</v>
      </c>
      <c r="N9" s="59" t="s">
        <v>142</v>
      </c>
      <c r="O9" s="59" t="s">
        <v>143</v>
      </c>
      <c r="P9" s="59" t="s">
        <v>144</v>
      </c>
      <c r="Q9" s="59" t="s">
        <v>145</v>
      </c>
      <c r="R9" s="59" t="s">
        <v>146</v>
      </c>
      <c r="S9" s="59" t="s">
        <v>147</v>
      </c>
      <c r="T9" s="59" t="s">
        <v>148</v>
      </c>
      <c r="U9" s="59" t="s">
        <v>149</v>
      </c>
      <c r="V9" s="59" t="s">
        <v>150</v>
      </c>
      <c r="W9" s="59" t="s">
        <v>151</v>
      </c>
    </row>
    <row r="10" spans="1:30" s="69" customFormat="1">
      <c r="A10" s="56" t="s">
        <v>210</v>
      </c>
      <c r="B10" s="62" t="s">
        <v>398</v>
      </c>
      <c r="C10" s="57">
        <f>C8</f>
        <v>40006</v>
      </c>
      <c r="D10" s="62" t="s">
        <v>155</v>
      </c>
      <c r="E10" s="63" t="str">
        <f t="shared" si="1"/>
        <v>stage_hints_data_c_40006.tmp</v>
      </c>
      <c r="F10" s="62" t="s">
        <v>399</v>
      </c>
      <c r="G10" s="66" t="s">
        <v>134</v>
      </c>
      <c r="H10" s="66" t="s">
        <v>135</v>
      </c>
      <c r="I10" s="67" t="s">
        <v>163</v>
      </c>
      <c r="J10" s="61" t="s">
        <v>16</v>
      </c>
      <c r="K10" s="68" t="s">
        <v>164</v>
      </c>
    </row>
    <row r="11" spans="1:30" s="69" customFormat="1">
      <c r="A11" s="56" t="s">
        <v>210</v>
      </c>
      <c r="B11" s="62" t="s">
        <v>400</v>
      </c>
      <c r="C11" s="57">
        <f>C9</f>
        <v>40006</v>
      </c>
      <c r="D11" s="62" t="s">
        <v>155</v>
      </c>
      <c r="E11" s="63" t="str">
        <f t="shared" si="1"/>
        <v>stage_hints_data_f_40006.tmp</v>
      </c>
      <c r="F11" s="62" t="s">
        <v>401</v>
      </c>
      <c r="G11" s="66" t="s">
        <v>134</v>
      </c>
      <c r="H11" s="66" t="s">
        <v>135</v>
      </c>
      <c r="I11" s="67" t="s">
        <v>163</v>
      </c>
      <c r="J11" s="61" t="s">
        <v>16</v>
      </c>
      <c r="K11" s="68" t="s">
        <v>164</v>
      </c>
    </row>
    <row r="12" spans="1:30" s="69" customFormat="1">
      <c r="A12" s="56" t="s">
        <v>210</v>
      </c>
      <c r="B12" s="62" t="s">
        <v>402</v>
      </c>
      <c r="C12" s="57">
        <f t="shared" ref="C12" si="2">C11</f>
        <v>40006</v>
      </c>
      <c r="D12" s="62" t="s">
        <v>155</v>
      </c>
      <c r="E12" s="63" t="str">
        <f t="shared" si="1"/>
        <v>stage_hints_i18n_f_40006.tmp</v>
      </c>
      <c r="F12" s="62" t="s">
        <v>401</v>
      </c>
      <c r="G12" s="67" t="s">
        <v>163</v>
      </c>
      <c r="H12" s="70" t="s">
        <v>110</v>
      </c>
      <c r="I12" s="66" t="s">
        <v>165</v>
      </c>
      <c r="J12" s="71" t="s">
        <v>166</v>
      </c>
      <c r="K12" s="68" t="s">
        <v>167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zoomScale="85" zoomScaleNormal="85" zoomScalePageLayoutView="85" workbookViewId="0">
      <pane ySplit="1" topLeftCell="A2" activePane="bottomLeft" state="frozen"/>
      <selection activeCell="V2" sqref="V2:X34"/>
      <selection pane="bottomLeft" activeCell="O16" sqref="O16"/>
    </sheetView>
  </sheetViews>
  <sheetFormatPr baseColWidth="12" defaultColWidth="13" defaultRowHeight="21" customHeight="1" outlineLevelCol="1" x14ac:dyDescent="0"/>
  <cols>
    <col min="1" max="1" width="8.83203125" style="15" bestFit="1" customWidth="1"/>
    <col min="2" max="2" width="5" style="15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5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>
      <c r="A1" s="12" t="s">
        <v>181</v>
      </c>
      <c r="B1" s="12" t="s">
        <v>182</v>
      </c>
      <c r="C1" s="86" t="s">
        <v>0</v>
      </c>
      <c r="D1" s="11" t="s">
        <v>183</v>
      </c>
      <c r="E1" s="11" t="s">
        <v>25</v>
      </c>
      <c r="F1" s="86" t="s">
        <v>1</v>
      </c>
      <c r="G1" s="19" t="s">
        <v>184</v>
      </c>
      <c r="H1" s="11" t="s">
        <v>185</v>
      </c>
      <c r="I1" s="86" t="s">
        <v>12</v>
      </c>
      <c r="J1" s="86" t="s">
        <v>13</v>
      </c>
      <c r="K1" s="86" t="s">
        <v>14</v>
      </c>
    </row>
    <row r="2" spans="1:11" ht="21" customHeight="1">
      <c r="A2" s="12" t="str">
        <f>G2&amp;"-"&amp;I2</f>
        <v>40006_1-1</v>
      </c>
      <c r="B2" s="12" t="str">
        <f>IF(COUNTIF(enemy_habitats!$H:$H,A2),"OK","NG")</f>
        <v>OK</v>
      </c>
      <c r="C2" s="87">
        <v>40006</v>
      </c>
      <c r="D2" s="14" t="str">
        <f ca="1">VLOOKUP($C2,OFFSET([2]quests!$A$1,0,0,COUNTA([2]quests!$A:$A),MATCH(D$1,[2]quests!$1:$1,0)-MATCH($C$1,[2]quests!$1:$1,0)+1),MATCH(D$1,[2]quests!$1:$1,0)-MATCH($C$1,[2]quests!$1:$1,0)+1,FALSE)</f>
        <v>アーサー襲来！</v>
      </c>
      <c r="E2" s="14" t="str">
        <f ca="1">VLOOKUP($C2,OFFSET([2]quests!$A$1,0,0,COUNTA([2]quests!$A:$A),MATCH(E$1,[2]quests!$1:$1,0)-MATCH($C$1,[2]quests!$1:$1,0)+1),MATCH(E$1,[2]quests!$1:$1,0)-MATCH($C$1,[2]quests!$1:$1,0)+1,FALSE)</f>
        <v>降臨6</v>
      </c>
      <c r="F2" s="88">
        <v>1</v>
      </c>
      <c r="G2" s="19" t="str">
        <f>C2&amp;"_"&amp;F2</f>
        <v>40006_1</v>
      </c>
      <c r="H2" s="11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【ウィザード級】アーサー襲来 </v>
      </c>
      <c r="I2" s="88">
        <v>1</v>
      </c>
      <c r="J2" s="33">
        <v>60</v>
      </c>
      <c r="K2" s="33">
        <v>60</v>
      </c>
    </row>
    <row r="3" spans="1:11" ht="21" customHeight="1">
      <c r="A3" s="12" t="str">
        <f>G3&amp;"-"&amp;I3</f>
        <v>40006_1-2</v>
      </c>
      <c r="B3" s="12" t="str">
        <f>IF(COUNTIF(enemy_habitats!$H:$H,A3),"OK","NG")</f>
        <v>OK</v>
      </c>
      <c r="C3" s="87">
        <v>40006</v>
      </c>
      <c r="D3" s="14" t="str">
        <f ca="1">VLOOKUP($C3,OFFSET([2]quests!$A$1,0,0,COUNTA([2]quests!$A:$A),MATCH(D$1,[2]quests!$1:$1,0)-MATCH($C$1,[2]quests!$1:$1,0)+1),MATCH(D$1,[2]quests!$1:$1,0)-MATCH($C$1,[2]quests!$1:$1,0)+1,FALSE)</f>
        <v>アーサー襲来！</v>
      </c>
      <c r="E3" s="14" t="str">
        <f ca="1">VLOOKUP($C3,OFFSET([2]quests!$A$1,0,0,COUNTA([2]quests!$A:$A),MATCH(E$1,[2]quests!$1:$1,0)-MATCH($C$1,[2]quests!$1:$1,0)+1),MATCH(E$1,[2]quests!$1:$1,0)-MATCH($C$1,[2]quests!$1:$1,0)+1,FALSE)</f>
        <v>降臨6</v>
      </c>
      <c r="F3" s="88">
        <v>1</v>
      </c>
      <c r="G3" s="19" t="str">
        <f>C3&amp;"_"&amp;F3</f>
        <v>40006_1</v>
      </c>
      <c r="H3" s="11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【ウィザード級】アーサー襲来 </v>
      </c>
      <c r="I3" s="88">
        <v>2</v>
      </c>
      <c r="J3" s="33">
        <v>60</v>
      </c>
      <c r="K3" s="33">
        <v>60</v>
      </c>
    </row>
    <row r="4" spans="1:11" ht="21" customHeight="1">
      <c r="A4" s="12" t="str">
        <f>G4&amp;"-"&amp;I4</f>
        <v>40006_1-3</v>
      </c>
      <c r="B4" s="12" t="str">
        <f>IF(COUNTIF(enemy_habitats!$H:$H,A4),"OK","NG")</f>
        <v>OK</v>
      </c>
      <c r="C4" s="87">
        <v>40006</v>
      </c>
      <c r="D4" s="14" t="str">
        <f ca="1">VLOOKUP($C4,OFFSET([2]quests!$A$1,0,0,COUNTA([2]quests!$A:$A),MATCH(D$1,[2]quests!$1:$1,0)-MATCH($C$1,[2]quests!$1:$1,0)+1),MATCH(D$1,[2]quests!$1:$1,0)-MATCH($C$1,[2]quests!$1:$1,0)+1,FALSE)</f>
        <v>アーサー襲来！</v>
      </c>
      <c r="E4" s="14" t="str">
        <f ca="1">VLOOKUP($C4,OFFSET([2]quests!$A$1,0,0,COUNTA([2]quests!$A:$A),MATCH(E$1,[2]quests!$1:$1,0)-MATCH($C$1,[2]quests!$1:$1,0)+1),MATCH(E$1,[2]quests!$1:$1,0)-MATCH($C$1,[2]quests!$1:$1,0)+1,FALSE)</f>
        <v>降臨6</v>
      </c>
      <c r="F4" s="88">
        <v>1</v>
      </c>
      <c r="G4" s="19" t="str">
        <f>C4&amp;"_"&amp;F4</f>
        <v>40006_1</v>
      </c>
      <c r="H4" s="11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【ウィザード級】アーサー襲来 </v>
      </c>
      <c r="I4" s="88">
        <v>3</v>
      </c>
      <c r="J4" s="33">
        <v>60</v>
      </c>
      <c r="K4" s="33">
        <v>60</v>
      </c>
    </row>
    <row r="5" spans="1:11" ht="21" customHeight="1">
      <c r="A5" s="12" t="str">
        <f>G5&amp;"-"&amp;I5</f>
        <v>40006_1-4</v>
      </c>
      <c r="B5" s="12" t="str">
        <f>IF(COUNTIF(enemy_habitats!$H:$H,A5),"OK","NG")</f>
        <v>OK</v>
      </c>
      <c r="C5" s="87">
        <v>40006</v>
      </c>
      <c r="D5" s="14" t="str">
        <f ca="1">VLOOKUP($C5,OFFSET([2]quests!$A$1,0,0,COUNTA([2]quests!$A:$A),MATCH(D$1,[2]quests!$1:$1,0)-MATCH($C$1,[2]quests!$1:$1,0)+1),MATCH(D$1,[2]quests!$1:$1,0)-MATCH($C$1,[2]quests!$1:$1,0)+1,FALSE)</f>
        <v>アーサー襲来！</v>
      </c>
      <c r="E5" s="14" t="str">
        <f ca="1">VLOOKUP($C5,OFFSET([2]quests!$A$1,0,0,COUNTA([2]quests!$A:$A),MATCH(E$1,[2]quests!$1:$1,0)-MATCH($C$1,[2]quests!$1:$1,0)+1),MATCH(E$1,[2]quests!$1:$1,0)-MATCH($C$1,[2]quests!$1:$1,0)+1,FALSE)</f>
        <v>降臨6</v>
      </c>
      <c r="F5" s="88">
        <v>1</v>
      </c>
      <c r="G5" s="19" t="str">
        <f>C5&amp;"_"&amp;F5</f>
        <v>40006_1</v>
      </c>
      <c r="H5" s="11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【ウィザード級】アーサー襲来 </v>
      </c>
      <c r="I5" s="88">
        <v>4</v>
      </c>
      <c r="J5" s="33">
        <v>60</v>
      </c>
      <c r="K5" s="33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"/>
  <sheetViews>
    <sheetView showGridLines="0" zoomScale="85" zoomScaleNormal="85" zoomScalePageLayoutView="8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Q17" sqref="Q17"/>
    </sheetView>
  </sheetViews>
  <sheetFormatPr baseColWidth="12" defaultColWidth="13" defaultRowHeight="21" customHeight="1" outlineLevelCol="1" x14ac:dyDescent="0"/>
  <cols>
    <col min="1" max="1" width="15.83203125" style="15" bestFit="1" customWidth="1"/>
    <col min="2" max="2" width="10.83203125" style="2" bestFit="1" customWidth="1"/>
    <col min="3" max="3" width="10.6640625" style="2" bestFit="1" customWidth="1" collapsed="1"/>
    <col min="4" max="4" width="13" style="10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7" bestFit="1" customWidth="1"/>
    <col min="13" max="13" width="8.8320312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0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9" bestFit="1" customWidth="1" outlineLevel="1"/>
    <col min="30" max="30" width="8" style="10" bestFit="1" customWidth="1" outlineLevel="1"/>
    <col min="31" max="31" width="12" style="10" bestFit="1" customWidth="1" outlineLevel="1"/>
    <col min="32" max="32" width="15" style="8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30" customFormat="1" ht="21" customHeight="1">
      <c r="A1" s="22" t="s">
        <v>186</v>
      </c>
      <c r="B1" s="21" t="s">
        <v>0</v>
      </c>
      <c r="C1" s="21" t="s">
        <v>1</v>
      </c>
      <c r="D1" s="24" t="s">
        <v>187</v>
      </c>
      <c r="E1" s="24" t="s">
        <v>183</v>
      </c>
      <c r="F1" s="24" t="s">
        <v>183</v>
      </c>
      <c r="G1" s="21" t="s">
        <v>188</v>
      </c>
      <c r="H1" s="24" t="s">
        <v>189</v>
      </c>
      <c r="I1" s="24" t="s">
        <v>13</v>
      </c>
      <c r="J1" s="24" t="s">
        <v>14</v>
      </c>
      <c r="K1" s="31" t="s">
        <v>190</v>
      </c>
      <c r="L1" s="31" t="s">
        <v>2</v>
      </c>
      <c r="M1" s="26" t="s">
        <v>183</v>
      </c>
      <c r="N1" s="24" t="s">
        <v>191</v>
      </c>
      <c r="O1" s="24" t="s">
        <v>192</v>
      </c>
      <c r="P1" s="27" t="s">
        <v>21</v>
      </c>
      <c r="Q1" s="24" t="s">
        <v>20</v>
      </c>
      <c r="R1" s="21" t="s">
        <v>3</v>
      </c>
      <c r="S1" s="21" t="s">
        <v>193</v>
      </c>
      <c r="T1" s="21" t="s">
        <v>194</v>
      </c>
      <c r="U1" s="21" t="s">
        <v>195</v>
      </c>
      <c r="V1" s="24" t="s">
        <v>196</v>
      </c>
      <c r="W1" s="21" t="s">
        <v>197</v>
      </c>
      <c r="X1" s="21" t="s">
        <v>4</v>
      </c>
      <c r="Y1" s="21" t="s">
        <v>5</v>
      </c>
      <c r="Z1" s="21" t="s">
        <v>6</v>
      </c>
      <c r="AA1" s="21" t="s">
        <v>7</v>
      </c>
      <c r="AB1" s="28" t="s">
        <v>8</v>
      </c>
      <c r="AC1" s="29" t="s">
        <v>198</v>
      </c>
      <c r="AD1" s="29" t="s">
        <v>199</v>
      </c>
      <c r="AE1" s="29" t="s">
        <v>200</v>
      </c>
      <c r="AF1" s="28" t="s">
        <v>9</v>
      </c>
      <c r="AG1" s="21" t="s">
        <v>10</v>
      </c>
      <c r="AH1" s="21" t="s">
        <v>11</v>
      </c>
      <c r="AI1" s="21" t="s">
        <v>201</v>
      </c>
      <c r="AJ1" s="21" t="s">
        <v>202</v>
      </c>
      <c r="AK1" s="21" t="s">
        <v>203</v>
      </c>
      <c r="AL1" s="21" t="s">
        <v>204</v>
      </c>
      <c r="AM1" s="21" t="s">
        <v>205</v>
      </c>
      <c r="AN1" s="31" t="s">
        <v>206</v>
      </c>
    </row>
    <row r="2" spans="1:40" ht="21" customHeight="1">
      <c r="A2" s="12" t="str">
        <f t="shared" ref="A2:A7" si="0">B2&amp;"_"&amp;C2&amp;"-"&amp;G2&amp;"/"&amp;L2&amp;"&lt;lv"&amp;R2&amp;"&gt;s"&amp;AA2</f>
        <v>40006_1-1/464&lt;lv50&gt;s2</v>
      </c>
      <c r="B2" s="18">
        <v>40006</v>
      </c>
      <c r="C2" s="88">
        <v>1</v>
      </c>
      <c r="D2" s="11" t="str">
        <f t="shared" ref="D2:D7" si="1">B2&amp;"_"&amp;C2</f>
        <v>40006_1</v>
      </c>
      <c r="E2" s="3" t="str">
        <f ca="1">VLOOKUP($B2,OFFSET([2]quests!$A$1,0,0,COUNTA([2]quests!$A:$A),MATCH(E$1,[2]quests!$1:$1,0)-MATCH($B$1,[2]quests!$1:$1,0)+1),MATCH(E$1,[2]quests!$1:$1,0)-MATCH($B$1,[2]quests!$1:$1,0)+1,FALSE)</f>
        <v>アーサー襲来！</v>
      </c>
      <c r="F2" s="3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2" s="88">
        <v>1</v>
      </c>
      <c r="H2" s="11" t="str">
        <f t="shared" ref="H2:H7" si="2">B2&amp;"_"&amp;C2&amp;"-"&amp;G2</f>
        <v>40006_1-1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3" t="s">
        <v>207</v>
      </c>
      <c r="L2" s="89">
        <v>464</v>
      </c>
      <c r="M2" s="13" t="str">
        <f ca="1">VLOOKUP($L2,OFFSET([3]enemies!$A$1,0,0,COUNTA([3]enemies!$A:$A),MATCH(M$1,[3]enemies!$1:$1,0)-MATCH($L$1,[3]enemies!$1:$1,0)+1),MATCH(M$1,[3]enemies!$1:$1,0)-MATCH($L$1,[3]enemies!$1:$1,0)+1,FALSE)</f>
        <v>円熟の弾導 ガウェイン</v>
      </c>
      <c r="N2" s="13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3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3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3">
        <f ca="1">VLOOKUP($L2,OFFSET([3]enemies!$A$1,0,0,COUNTA([3]enemies!$A:$A),MATCH(Q$1,[3]enemies!$1:$1,0)-MATCH($L$1,[3]enemies!$1:$1,0)+1),MATCH(Q$1,[3]enemies!$1:$1,0)-MATCH($L$1,[3]enemies!$1:$1,0)+1,FALSE)</f>
        <v>60</v>
      </c>
      <c r="R2" s="4">
        <v>50</v>
      </c>
      <c r="S2" s="20">
        <v>2.6</v>
      </c>
      <c r="T2" s="20">
        <v>1.8</v>
      </c>
      <c r="U2" s="4">
        <v>0</v>
      </c>
      <c r="V2" s="3" t="str">
        <f ca="1">VLOOKUP($W2,OFFSET(enemy_skill_sets!$B$1,0,0,COUNTA(enemy_skill_sets!$B:$B),MATCH(M$1,enemy_skill_sets!$1:$1,0)-MATCH($W$1,enemy_skill_sets!$1:$1,0)+2),MATCH(M$1,enemy_skill_sets!$1:$1,0)-MATCH($W$1,enemy_skill_sets!$1:$1,0)+2,FALSE)</f>
        <v>悪いが、お引取りいただこう</v>
      </c>
      <c r="W2" s="96">
        <v>40006000</v>
      </c>
      <c r="X2" s="5">
        <v>1</v>
      </c>
      <c r="Y2" s="5">
        <v>100</v>
      </c>
      <c r="Z2" s="5">
        <v>1</v>
      </c>
      <c r="AA2" s="92">
        <v>2</v>
      </c>
      <c r="AB2" s="90">
        <f t="shared" ref="AB2:AB6" si="3">L2</f>
        <v>464</v>
      </c>
      <c r="AC2" s="3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円熟の弾導 ガウェイン</v>
      </c>
      <c r="AD2" s="3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3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87">
        <v>1</v>
      </c>
      <c r="AG2" s="90">
        <f t="shared" ref="AG2:AG7" ca="1" si="4">AD2</f>
        <v>5</v>
      </c>
      <c r="AH2" s="6">
        <v>0</v>
      </c>
      <c r="AI2" s="87">
        <v>0</v>
      </c>
      <c r="AJ2" s="87">
        <v>0</v>
      </c>
      <c r="AK2" s="87">
        <v>0</v>
      </c>
      <c r="AL2" s="87">
        <v>0</v>
      </c>
      <c r="AM2" s="87">
        <v>1</v>
      </c>
      <c r="AN2" s="64">
        <v>1</v>
      </c>
    </row>
    <row r="3" spans="1:40" ht="21" customHeight="1">
      <c r="A3" s="12" t="str">
        <f t="shared" si="0"/>
        <v>40006_1-2/470&lt;lv50&gt;s3</v>
      </c>
      <c r="B3" s="18">
        <v>40006</v>
      </c>
      <c r="C3" s="88">
        <v>1</v>
      </c>
      <c r="D3" s="11" t="str">
        <f t="shared" si="1"/>
        <v>40006_1</v>
      </c>
      <c r="E3" s="3" t="str">
        <f ca="1">VLOOKUP($B3,OFFSET([2]quests!$A$1,0,0,COUNTA([2]quests!$A:$A),MATCH(E$1,[2]quests!$1:$1,0)-MATCH($B$1,[2]quests!$1:$1,0)+1),MATCH(E$1,[2]quests!$1:$1,0)-MATCH($B$1,[2]quests!$1:$1,0)+1,FALSE)</f>
        <v>アーサー襲来！</v>
      </c>
      <c r="F3" s="3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3" s="88">
        <v>2</v>
      </c>
      <c r="H3" s="11" t="str">
        <f t="shared" si="2"/>
        <v>40006_1-2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3" t="s">
        <v>208</v>
      </c>
      <c r="L3" s="89">
        <v>470</v>
      </c>
      <c r="M3" s="13" t="str">
        <f ca="1">VLOOKUP($L3,OFFSET([3]enemies!$A$1,0,0,COUNTA([3]enemies!$A:$A),MATCH(M$1,[3]enemies!$1:$1,0)-MATCH($L$1,[3]enemies!$1:$1,0)+1),MATCH(M$1,[3]enemies!$1:$1,0)-MATCH($L$1,[3]enemies!$1:$1,0)+1,FALSE)</f>
        <v>純心 トリスタン</v>
      </c>
      <c r="N3" s="13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3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3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3">
        <f ca="1">VLOOKUP($L3,OFFSET([3]enemies!$A$1,0,0,COUNTA([3]enemies!$A:$A),MATCH(Q$1,[3]enemies!$1:$1,0)-MATCH($L$1,[3]enemies!$1:$1,0)+1),MATCH(Q$1,[3]enemies!$1:$1,0)-MATCH($L$1,[3]enemies!$1:$1,0)+1,FALSE)</f>
        <v>30</v>
      </c>
      <c r="R3" s="4">
        <v>50</v>
      </c>
      <c r="S3" s="20">
        <v>3.2</v>
      </c>
      <c r="T3" s="20">
        <v>0.6</v>
      </c>
      <c r="U3" s="4">
        <v>0</v>
      </c>
      <c r="V3" s="3" t="str">
        <f ca="1">VLOOKUP($W3,OFFSET(enemy_skill_sets!$B$1,0,0,COUNTA(enemy_skill_sets!$B:$B),MATCH(M$1,enemy_skill_sets!$1:$1,0)-MATCH($W$1,enemy_skill_sets!$1:$1,0)+2),MATCH(M$1,enemy_skill_sets!$1:$1,0)-MATCH($W$1,enemy_skill_sets!$1:$1,0)+2,FALSE)</f>
        <v>本気で戦うしかないみたいだね…</v>
      </c>
      <c r="W3" s="96">
        <v>40006001</v>
      </c>
      <c r="X3" s="5">
        <v>1</v>
      </c>
      <c r="Y3" s="5">
        <v>100</v>
      </c>
      <c r="Z3" s="5">
        <v>1</v>
      </c>
      <c r="AA3" s="92">
        <v>3</v>
      </c>
      <c r="AB3" s="90">
        <f t="shared" si="3"/>
        <v>470</v>
      </c>
      <c r="AC3" s="3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純心 トリスタン</v>
      </c>
      <c r="AD3" s="3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3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87">
        <v>1</v>
      </c>
      <c r="AG3" s="90">
        <f t="shared" ca="1" si="4"/>
        <v>4</v>
      </c>
      <c r="AH3" s="6">
        <v>0</v>
      </c>
      <c r="AI3" s="87">
        <v>0</v>
      </c>
      <c r="AJ3" s="87">
        <v>0</v>
      </c>
      <c r="AK3" s="87">
        <v>0</v>
      </c>
      <c r="AL3" s="87">
        <v>0</v>
      </c>
      <c r="AM3" s="87">
        <v>1</v>
      </c>
      <c r="AN3" s="64">
        <v>1</v>
      </c>
    </row>
    <row r="4" spans="1:40" ht="21" customHeight="1">
      <c r="A4" s="12" t="str">
        <f t="shared" si="0"/>
        <v>40006_1-2/367&lt;lv49&gt;s4</v>
      </c>
      <c r="B4" s="18">
        <v>40006</v>
      </c>
      <c r="C4" s="88">
        <v>1</v>
      </c>
      <c r="D4" s="11" t="str">
        <f t="shared" si="1"/>
        <v>40006_1</v>
      </c>
      <c r="E4" s="3" t="str">
        <f ca="1">VLOOKUP($B4,OFFSET([2]quests!$A$1,0,0,COUNTA([2]quests!$A:$A),MATCH(E$1,[2]quests!$1:$1,0)-MATCH($B$1,[2]quests!$1:$1,0)+1),MATCH(E$1,[2]quests!$1:$1,0)-MATCH($B$1,[2]quests!$1:$1,0)+1,FALSE)</f>
        <v>アーサー襲来！</v>
      </c>
      <c r="F4" s="3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4" s="88">
        <v>2</v>
      </c>
      <c r="H4" s="11" t="str">
        <f t="shared" si="2"/>
        <v>40006_1-2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3">
        <v>1</v>
      </c>
      <c r="L4" s="89">
        <v>367</v>
      </c>
      <c r="M4" s="13" t="str">
        <f ca="1">VLOOKUP($L4,OFFSET([3]enemies!$A$1,0,0,COUNTA([3]enemies!$A:$A),MATCH(M$1,[3]enemies!$1:$1,0)-MATCH($L$1,[3]enemies!$1:$1,0)+1),MATCH(M$1,[3]enemies!$1:$1,0)-MATCH($L$1,[3]enemies!$1:$1,0)+1,FALSE)</f>
        <v>爆進の小兵 トト</v>
      </c>
      <c r="N4" s="13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3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3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3">
        <f ca="1">VLOOKUP($L4,OFFSET([3]enemies!$A$1,0,0,COUNTA([3]enemies!$A:$A),MATCH(Q$1,[3]enemies!$1:$1,0)-MATCH($L$1,[3]enemies!$1:$1,0)+1),MATCH(Q$1,[3]enemies!$1:$1,0)-MATCH($L$1,[3]enemies!$1:$1,0)+1,FALSE)</f>
        <v>15</v>
      </c>
      <c r="R4" s="4">
        <v>49</v>
      </c>
      <c r="S4" s="20">
        <v>1.2</v>
      </c>
      <c r="T4" s="20">
        <v>0.8</v>
      </c>
      <c r="U4" s="4">
        <v>0</v>
      </c>
      <c r="V4" s="3" t="str">
        <f ca="1">VLOOKUP($W4,OFFSET(enemy_skill_sets!$B$1,0,0,COUNTA(enemy_skill_sets!$B:$B),MATCH(M$1,enemy_skill_sets!$1:$1,0)-MATCH($W$1,enemy_skill_sets!$1:$1,0)+2),MATCH(M$1,enemy_skill_sets!$1:$1,0)-MATCH($W$1,enemy_skill_sets!$1:$1,0)+2,FALSE)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4" s="96">
        <v>40006002</v>
      </c>
      <c r="X4" s="5">
        <v>1</v>
      </c>
      <c r="Y4" s="5">
        <v>100</v>
      </c>
      <c r="Z4" s="5">
        <v>0</v>
      </c>
      <c r="AA4" s="92">
        <v>4</v>
      </c>
      <c r="AB4" s="90">
        <f t="shared" si="3"/>
        <v>367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87">
        <v>1</v>
      </c>
      <c r="AG4" s="90">
        <f t="shared" ca="1" si="4"/>
        <v>3</v>
      </c>
      <c r="AH4" s="6">
        <v>0</v>
      </c>
      <c r="AI4" s="87">
        <v>0</v>
      </c>
      <c r="AJ4" s="87">
        <v>0</v>
      </c>
      <c r="AK4" s="87">
        <v>0</v>
      </c>
      <c r="AL4" s="87">
        <v>0</v>
      </c>
      <c r="AM4" s="87">
        <v>1</v>
      </c>
      <c r="AN4" s="64">
        <v>1</v>
      </c>
    </row>
    <row r="5" spans="1:40" ht="21" customHeight="1">
      <c r="A5" s="12" t="str">
        <f t="shared" si="0"/>
        <v>40006_1-2/367&lt;lv50&gt;s2</v>
      </c>
      <c r="B5" s="18">
        <v>40006</v>
      </c>
      <c r="C5" s="88">
        <v>1</v>
      </c>
      <c r="D5" s="11" t="str">
        <f t="shared" si="1"/>
        <v>40006_1</v>
      </c>
      <c r="E5" s="3" t="str">
        <f ca="1">VLOOKUP($B5,OFFSET([2]quests!$A$1,0,0,COUNTA([2]quests!$A:$A),MATCH(E$1,[2]quests!$1:$1,0)-MATCH($B$1,[2]quests!$1:$1,0)+1),MATCH(E$1,[2]quests!$1:$1,0)-MATCH($B$1,[2]quests!$1:$1,0)+1,FALSE)</f>
        <v>アーサー襲来！</v>
      </c>
      <c r="F5" s="3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5" s="88">
        <v>2</v>
      </c>
      <c r="H5" s="11" t="str">
        <f t="shared" si="2"/>
        <v>40006_1-2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33">
        <v>2</v>
      </c>
      <c r="L5" s="89">
        <v>367</v>
      </c>
      <c r="M5" s="13" t="str">
        <f ca="1">VLOOKUP($L5,OFFSET([3]enemies!$A$1,0,0,COUNTA([3]enemies!$A:$A),MATCH(M$1,[3]enemies!$1:$1,0)-MATCH($L$1,[3]enemies!$1:$1,0)+1),MATCH(M$1,[3]enemies!$1:$1,0)-MATCH($L$1,[3]enemies!$1:$1,0)+1,FALSE)</f>
        <v>爆進の小兵 トト</v>
      </c>
      <c r="N5" s="13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3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3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3">
        <f ca="1">VLOOKUP($L5,OFFSET([3]enemies!$A$1,0,0,COUNTA([3]enemies!$A:$A),MATCH(Q$1,[3]enemies!$1:$1,0)-MATCH($L$1,[3]enemies!$1:$1,0)+1),MATCH(Q$1,[3]enemies!$1:$1,0)-MATCH($L$1,[3]enemies!$1:$1,0)+1,FALSE)</f>
        <v>15</v>
      </c>
      <c r="R5" s="4">
        <v>50</v>
      </c>
      <c r="S5" s="20">
        <v>1.2</v>
      </c>
      <c r="T5" s="20">
        <v>0.8</v>
      </c>
      <c r="U5" s="4">
        <v>0</v>
      </c>
      <c r="V5" s="3" t="str">
        <f ca="1">VLOOKUP($W5,OFFSET(enemy_skill_sets!$B$1,0,0,COUNTA(enemy_skill_sets!$B:$B),MATCH(M$1,enemy_skill_sets!$1:$1,0)-MATCH($W$1,enemy_skill_sets!$1:$1,0)+2),MATCH(M$1,enemy_skill_sets!$1:$1,0)-MATCH($W$1,enemy_skill_sets!$1:$1,0)+2,FALSE)</f>
        <v>攻撃力×1.3倍の攻撃</v>
      </c>
      <c r="W5" s="96">
        <v>40006003</v>
      </c>
      <c r="X5" s="5">
        <v>1</v>
      </c>
      <c r="Y5" s="5">
        <v>100</v>
      </c>
      <c r="Z5" s="5">
        <v>2</v>
      </c>
      <c r="AA5" s="92">
        <v>2</v>
      </c>
      <c r="AB5" s="90">
        <f t="shared" si="3"/>
        <v>367</v>
      </c>
      <c r="AC5" s="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5" s="3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87">
        <v>1</v>
      </c>
      <c r="AG5" s="90">
        <f t="shared" ca="1" si="4"/>
        <v>3</v>
      </c>
      <c r="AH5" s="6">
        <v>0</v>
      </c>
      <c r="AI5" s="87">
        <v>0</v>
      </c>
      <c r="AJ5" s="87">
        <v>0</v>
      </c>
      <c r="AK5" s="87">
        <v>0</v>
      </c>
      <c r="AL5" s="87">
        <v>0</v>
      </c>
      <c r="AM5" s="87">
        <v>1</v>
      </c>
      <c r="AN5" s="64">
        <v>1</v>
      </c>
    </row>
    <row r="6" spans="1:40" ht="21" customHeight="1">
      <c r="A6" s="12" t="str">
        <f t="shared" si="0"/>
        <v>40006_1-3/234&lt;lv50&gt;s1</v>
      </c>
      <c r="B6" s="18">
        <v>40006</v>
      </c>
      <c r="C6" s="88">
        <v>1</v>
      </c>
      <c r="D6" s="11" t="str">
        <f t="shared" si="1"/>
        <v>40006_1</v>
      </c>
      <c r="E6" s="3" t="str">
        <f ca="1">VLOOKUP($B6,OFFSET([2]quests!$A$1,0,0,COUNTA([2]quests!$A:$A),MATCH(E$1,[2]quests!$1:$1,0)-MATCH($B$1,[2]quests!$1:$1,0)+1),MATCH(E$1,[2]quests!$1:$1,0)-MATCH($B$1,[2]quests!$1:$1,0)+1,FALSE)</f>
        <v>アーサー襲来！</v>
      </c>
      <c r="F6" s="3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6" s="88">
        <v>3</v>
      </c>
      <c r="H6" s="11" t="str">
        <f t="shared" si="2"/>
        <v>40006_1-3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3">
        <v>3</v>
      </c>
      <c r="L6" s="89">
        <v>234</v>
      </c>
      <c r="M6" s="13" t="str">
        <f ca="1">VLOOKUP($L6,OFFSET([3]enemies!$A$1,0,0,COUNTA([3]enemies!$A:$A),MATCH(M$1,[3]enemies!$1:$1,0)-MATCH($L$1,[3]enemies!$1:$1,0)+1),MATCH(M$1,[3]enemies!$1:$1,0)-MATCH($L$1,[3]enemies!$1:$1,0)+1,FALSE)</f>
        <v>精密なる照準 パーシヴァル</v>
      </c>
      <c r="N6" s="13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3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3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3">
        <f ca="1">VLOOKUP($L6,OFFSET([3]enemies!$A$1,0,0,COUNTA([3]enemies!$A:$A),MATCH(Q$1,[3]enemies!$1:$1,0)-MATCH($L$1,[3]enemies!$1:$1,0)+1),MATCH(Q$1,[3]enemies!$1:$1,0)-MATCH($L$1,[3]enemies!$1:$1,0)+1,FALSE)</f>
        <v>60</v>
      </c>
      <c r="R6" s="4">
        <v>50</v>
      </c>
      <c r="S6" s="20">
        <v>2.2999999999999998</v>
      </c>
      <c r="T6" s="20">
        <v>1.1000000000000001</v>
      </c>
      <c r="U6" s="4">
        <v>0</v>
      </c>
      <c r="V6" s="3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あなたの相手はこの私よ…！</v>
      </c>
      <c r="W6" s="96">
        <v>40006004</v>
      </c>
      <c r="X6" s="5">
        <v>1</v>
      </c>
      <c r="Y6" s="5">
        <v>100</v>
      </c>
      <c r="Z6" s="5">
        <v>1</v>
      </c>
      <c r="AA6" s="92">
        <v>1</v>
      </c>
      <c r="AB6" s="90">
        <f t="shared" si="3"/>
        <v>234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精密なる照準 パーシヴァル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87">
        <v>1</v>
      </c>
      <c r="AG6" s="90">
        <f t="shared" ca="1" si="4"/>
        <v>5</v>
      </c>
      <c r="AH6" s="6">
        <v>0</v>
      </c>
      <c r="AI6" s="87">
        <v>0</v>
      </c>
      <c r="AJ6" s="87">
        <v>0</v>
      </c>
      <c r="AK6" s="87">
        <v>0</v>
      </c>
      <c r="AL6" s="87">
        <v>0</v>
      </c>
      <c r="AM6" s="87">
        <v>1</v>
      </c>
      <c r="AN6" s="64">
        <v>1</v>
      </c>
    </row>
    <row r="7" spans="1:40" ht="21" customHeight="1">
      <c r="A7" s="12" t="str">
        <f t="shared" si="0"/>
        <v>40006_1-4/473&lt;lv50&gt;s2</v>
      </c>
      <c r="B7" s="18">
        <v>40006</v>
      </c>
      <c r="C7" s="88">
        <v>1</v>
      </c>
      <c r="D7" s="11" t="str">
        <f t="shared" si="1"/>
        <v>40006_1</v>
      </c>
      <c r="E7" s="3" t="str">
        <f ca="1">VLOOKUP($B7,OFFSET([2]quests!$A$1,0,0,COUNTA([2]quests!$A:$A),MATCH(E$1,[2]quests!$1:$1,0)-MATCH($B$1,[2]quests!$1:$1,0)+1),MATCH(E$1,[2]quests!$1:$1,0)-MATCH($B$1,[2]quests!$1:$1,0)+1,FALSE)</f>
        <v>アーサー襲来！</v>
      </c>
      <c r="F7" s="3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7" s="88">
        <v>4</v>
      </c>
      <c r="H7" s="11" t="str">
        <f t="shared" si="2"/>
        <v>40006_1-4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33">
        <v>4</v>
      </c>
      <c r="L7" s="89">
        <v>473</v>
      </c>
      <c r="M7" s="13" t="str">
        <f ca="1">VLOOKUP($L7,OFFSET([3]enemies!$A$1,0,0,COUNTA([3]enemies!$A:$A),MATCH(M$1,[3]enemies!$1:$1,0)-MATCH($L$1,[3]enemies!$1:$1,0)+1),MATCH(M$1,[3]enemies!$1:$1,0)-MATCH($L$1,[3]enemies!$1:$1,0)+1,FALSE)</f>
        <v>凶堅なる正義 アーサー</v>
      </c>
      <c r="N7" s="13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3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3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3">
        <f ca="1">VLOOKUP($L7,OFFSET([3]enemies!$A$1,0,0,COUNTA([3]enemies!$A:$A),MATCH(Q$1,[3]enemies!$1:$1,0)-MATCH($L$1,[3]enemies!$1:$1,0)+1),MATCH(Q$1,[3]enemies!$1:$1,0)-MATCH($L$1,[3]enemies!$1:$1,0)+1,FALSE)</f>
        <v>60</v>
      </c>
      <c r="R7" s="4">
        <v>50</v>
      </c>
      <c r="S7" s="20">
        <v>4</v>
      </c>
      <c r="T7" s="20">
        <v>1.6</v>
      </c>
      <c r="U7" s="4">
        <v>0</v>
      </c>
      <c r="V7" s="3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ここは俺が前に出る！</v>
      </c>
      <c r="W7" s="96">
        <v>40006006</v>
      </c>
      <c r="X7" s="5">
        <v>1</v>
      </c>
      <c r="Y7" s="5">
        <v>100</v>
      </c>
      <c r="Z7" s="5">
        <v>1</v>
      </c>
      <c r="AA7" s="92">
        <v>2</v>
      </c>
      <c r="AB7" s="98">
        <v>472</v>
      </c>
      <c r="AC7" s="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アーサー</v>
      </c>
      <c r="AD7" s="3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87">
        <v>1</v>
      </c>
      <c r="AG7" s="90">
        <f t="shared" ca="1" si="4"/>
        <v>4</v>
      </c>
      <c r="AH7" s="6">
        <v>30</v>
      </c>
      <c r="AI7" s="87">
        <v>0</v>
      </c>
      <c r="AJ7" s="87">
        <v>0</v>
      </c>
      <c r="AK7" s="87">
        <v>0</v>
      </c>
      <c r="AL7" s="87">
        <v>0</v>
      </c>
      <c r="AM7" s="87">
        <v>1</v>
      </c>
      <c r="AN7" s="64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O18" sqref="O18"/>
    </sheetView>
  </sheetViews>
  <sheetFormatPr baseColWidth="12" defaultColWidth="13" defaultRowHeight="21" customHeight="1" outlineLevelCol="1" x14ac:dyDescent="0"/>
  <cols>
    <col min="1" max="1" width="17" style="15" bestFit="1" customWidth="1"/>
    <col min="2" max="2" width="10.83203125" style="2" bestFit="1" customWidth="1"/>
    <col min="3" max="3" width="10.6640625" style="2" bestFit="1" customWidth="1"/>
    <col min="4" max="4" width="13" style="10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/>
    <col min="8" max="9" width="12.33203125" style="2" bestFit="1" customWidth="1" outlineLevel="1"/>
    <col min="10" max="10" width="12.33203125" style="2" customWidth="1" outlineLevel="1"/>
    <col min="11" max="11" width="12.33203125" style="2" customWidth="1"/>
    <col min="12" max="12" width="11" style="2" bestFit="1" customWidth="1"/>
    <col min="13" max="13" width="13.5" style="7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30" customFormat="1" ht="21" customHeight="1">
      <c r="A1" s="22" t="s">
        <v>23</v>
      </c>
      <c r="B1" s="23" t="s">
        <v>0</v>
      </c>
      <c r="C1" s="23" t="s">
        <v>1</v>
      </c>
      <c r="D1" s="24" t="s">
        <v>22</v>
      </c>
      <c r="E1" s="25" t="s">
        <v>15</v>
      </c>
      <c r="F1" s="25" t="s">
        <v>15</v>
      </c>
      <c r="G1" s="23" t="s">
        <v>16</v>
      </c>
      <c r="H1" s="24" t="s">
        <v>24</v>
      </c>
      <c r="I1" s="24" t="s">
        <v>13</v>
      </c>
      <c r="J1" s="24" t="s">
        <v>14</v>
      </c>
      <c r="K1" s="31" t="s">
        <v>37</v>
      </c>
      <c r="L1" s="31" t="s">
        <v>38</v>
      </c>
      <c r="M1" s="32" t="s">
        <v>2</v>
      </c>
      <c r="N1" s="26" t="s">
        <v>15</v>
      </c>
      <c r="O1" s="24" t="s">
        <v>19</v>
      </c>
      <c r="P1" s="24" t="s">
        <v>18</v>
      </c>
      <c r="Q1" s="27" t="s">
        <v>21</v>
      </c>
      <c r="R1" s="25" t="s">
        <v>20</v>
      </c>
      <c r="S1" s="23" t="s">
        <v>3</v>
      </c>
      <c r="T1" s="21" t="s">
        <v>32</v>
      </c>
      <c r="U1" s="21" t="s">
        <v>34</v>
      </c>
      <c r="V1" s="21" t="s">
        <v>36</v>
      </c>
      <c r="W1" s="23" t="s">
        <v>113</v>
      </c>
      <c r="X1" s="24" t="s">
        <v>112</v>
      </c>
      <c r="Y1" s="23" t="s">
        <v>7</v>
      </c>
    </row>
    <row r="2" spans="1:25" ht="21" customHeight="1">
      <c r="A2" s="12" t="str">
        <f>B2&amp;"_"&amp;C2&amp;"-"&amp;G2&amp;"/"&amp;M2&amp;"&lt;lv"&amp;S2&amp;"&gt;sq"&amp;K2&amp;"st"&amp;L2</f>
        <v>40006_1-2/367&lt;lv50&gt;sq1st2</v>
      </c>
      <c r="B2" s="18">
        <v>40006</v>
      </c>
      <c r="C2" s="17">
        <v>1</v>
      </c>
      <c r="D2" s="1" t="str">
        <f>B2&amp;"_"&amp;C2</f>
        <v>40006_1</v>
      </c>
      <c r="E2" s="3" t="str">
        <f ca="1">VLOOKUP($B2,OFFSET([2]quests!$A$1,0,0,COUNTA([2]quests!$A:$A),MATCH(E$1,[2]quests!$1:$1,0)-MATCH($B$1,[2]quests!$1:$1,0)+1),MATCH(E$1,[2]quests!$1:$1,0)-MATCH($B$1,[2]quests!$1:$1,0)+1,FALSE)</f>
        <v>アーサー襲来！</v>
      </c>
      <c r="F2" s="3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2" s="17">
        <v>2</v>
      </c>
      <c r="H2" s="11" t="str">
        <f>B2&amp;"_"&amp;C2&amp;"-"&amp;G2</f>
        <v>40006_1-2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3">
        <v>1</v>
      </c>
      <c r="L2" s="33">
        <v>2</v>
      </c>
      <c r="M2" s="16">
        <v>367</v>
      </c>
      <c r="N2" s="13" t="str">
        <f ca="1">VLOOKUP($M2,OFFSET([3]enemies!$A$1,0,0,COUNTA([3]enemies!$A:$A),MATCH(N$1,[3]enemies!$1:$1,0)-MATCH($M$1,[3]enemies!$1:$1,0)+1),MATCH(N$1,[3]enemies!$1:$1,0)-MATCH($M$1,[3]enemies!$1:$1,0)+1,FALSE)</f>
        <v>爆進の小兵 トト</v>
      </c>
      <c r="O2" s="13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3" t="str">
        <f ca="1">VLOOKUP($M2,OFFSET([4]characters!$A$1,0,0,COUNTA([4]characters!$A:$A),MATCH(P$1,[4]characters!$1:$1,0)-MATCH($M$1,[4]characters!$1:$1,0)+1),MATCH(P$1,[4]characters!$1:$1,0)-MATCH($M$1,[4]characters!$1:$1,0)+1,FALSE)</f>
        <v>Drop1S</v>
      </c>
      <c r="Q2" s="13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3">
        <f ca="1">VLOOKUP($M2,OFFSET([3]enemies!$A$1,0,0,COUNTA([3]enemies!$A:$A),MATCH(R$1,[3]enemies!$1:$1,0)-MATCH($M$1,[3]enemies!$1:$1,0)+1),MATCH(R$1,[3]enemies!$1:$1,0)-MATCH($M$1,[3]enemies!$1:$1,0)+1,FALSE)</f>
        <v>15</v>
      </c>
      <c r="S2" s="4">
        <v>50</v>
      </c>
      <c r="T2" s="20">
        <v>1.2</v>
      </c>
      <c r="U2" s="20">
        <v>0.8</v>
      </c>
      <c r="V2" s="4">
        <v>0</v>
      </c>
      <c r="W2" s="3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6">
        <v>40006009</v>
      </c>
      <c r="Y2" s="91">
        <v>2</v>
      </c>
    </row>
    <row r="3" spans="1:25" ht="21" customHeight="1">
      <c r="A3" s="12" t="str">
        <f>B3&amp;"_"&amp;C3&amp;"-"&amp;G3&amp;"/"&amp;M3&amp;"&lt;lv"&amp;S3&amp;"&gt;sq"&amp;K3&amp;"st"&amp;L3</f>
        <v>40006_1-2/367&lt;lv49&gt;sq2st2</v>
      </c>
      <c r="B3" s="18">
        <v>40006</v>
      </c>
      <c r="C3" s="17">
        <v>1</v>
      </c>
      <c r="D3" s="1" t="str">
        <f>B3&amp;"_"&amp;C3</f>
        <v>40006_1</v>
      </c>
      <c r="E3" s="3" t="str">
        <f ca="1">VLOOKUP($B3,OFFSET([2]quests!$A$1,0,0,COUNTA([2]quests!$A:$A),MATCH(E$1,[2]quests!$1:$1,0)-MATCH($B$1,[2]quests!$1:$1,0)+1),MATCH(E$1,[2]quests!$1:$1,0)-MATCH($B$1,[2]quests!$1:$1,0)+1,FALSE)</f>
        <v>アーサー襲来！</v>
      </c>
      <c r="F3" s="3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3" s="17">
        <v>2</v>
      </c>
      <c r="H3" s="11" t="str">
        <f>B3&amp;"_"&amp;C3&amp;"-"&amp;G3</f>
        <v>40006_1-2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3">
        <v>2</v>
      </c>
      <c r="L3" s="33">
        <v>2</v>
      </c>
      <c r="M3" s="16">
        <v>367</v>
      </c>
      <c r="N3" s="13" t="str">
        <f ca="1">VLOOKUP($M3,OFFSET([3]enemies!$A$1,0,0,COUNTA([3]enemies!$A:$A),MATCH(N$1,[3]enemies!$1:$1,0)-MATCH($M$1,[3]enemies!$1:$1,0)+1),MATCH(N$1,[3]enemies!$1:$1,0)-MATCH($M$1,[3]enemies!$1:$1,0)+1,FALSE)</f>
        <v>爆進の小兵 トト</v>
      </c>
      <c r="O3" s="13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3" t="str">
        <f ca="1">VLOOKUP($M3,OFFSET([4]characters!$A$1,0,0,COUNTA([4]characters!$A:$A),MATCH(P$1,[4]characters!$1:$1,0)-MATCH($M$1,[4]characters!$1:$1,0)+1),MATCH(P$1,[4]characters!$1:$1,0)-MATCH($M$1,[4]characters!$1:$1,0)+1,FALSE)</f>
        <v>Drop1S</v>
      </c>
      <c r="Q3" s="13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3">
        <f ca="1">VLOOKUP($M3,OFFSET([3]enemies!$A$1,0,0,COUNTA([3]enemies!$A:$A),MATCH(R$1,[3]enemies!$1:$1,0)-MATCH($M$1,[3]enemies!$1:$1,0)+1),MATCH(R$1,[3]enemies!$1:$1,0)-MATCH($M$1,[3]enemies!$1:$1,0)+1,FALSE)</f>
        <v>15</v>
      </c>
      <c r="S3" s="4">
        <v>49</v>
      </c>
      <c r="T3" s="20">
        <v>1.2</v>
      </c>
      <c r="U3" s="20">
        <v>0.8</v>
      </c>
      <c r="V3" s="4">
        <v>0</v>
      </c>
      <c r="W3" s="3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6">
        <v>40006002</v>
      </c>
      <c r="Y3" s="91">
        <v>4</v>
      </c>
    </row>
    <row r="4" spans="1:25" ht="21" customHeight="1">
      <c r="A4" s="12" t="str">
        <f>B4&amp;"_"&amp;C4&amp;"-"&amp;G4&amp;"/"&amp;M4&amp;"&lt;lv"&amp;S4&amp;"&gt;sq"&amp;K4&amp;"st"&amp;L4</f>
        <v>40006_1-3/234&lt;lv50&gt;sq3st2</v>
      </c>
      <c r="B4" s="18">
        <v>40006</v>
      </c>
      <c r="C4" s="17">
        <v>1</v>
      </c>
      <c r="D4" s="1" t="str">
        <f>B4&amp;"_"&amp;C4</f>
        <v>40006_1</v>
      </c>
      <c r="E4" s="3" t="str">
        <f ca="1">VLOOKUP($B4,OFFSET([2]quests!$A$1,0,0,COUNTA([2]quests!$A:$A),MATCH(E$1,[2]quests!$1:$1,0)-MATCH($B$1,[2]quests!$1:$1,0)+1),MATCH(E$1,[2]quests!$1:$1,0)-MATCH($B$1,[2]quests!$1:$1,0)+1,FALSE)</f>
        <v>アーサー襲来！</v>
      </c>
      <c r="F4" s="3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4" s="17">
        <v>3</v>
      </c>
      <c r="H4" s="11" t="str">
        <f>B4&amp;"_"&amp;C4&amp;"-"&amp;G4</f>
        <v>40006_1-3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3">
        <v>3</v>
      </c>
      <c r="L4" s="33">
        <v>2</v>
      </c>
      <c r="M4" s="16">
        <v>234</v>
      </c>
      <c r="N4" s="13" t="str">
        <f ca="1">VLOOKUP($M4,OFFSET([3]enemies!$A$1,0,0,COUNTA([3]enemies!$A:$A),MATCH(N$1,[3]enemies!$1:$1,0)-MATCH($M$1,[3]enemies!$1:$1,0)+1),MATCH(N$1,[3]enemies!$1:$1,0)-MATCH($M$1,[3]enemies!$1:$1,0)+1,FALSE)</f>
        <v>精密なる照準 パーシヴァル</v>
      </c>
      <c r="O4" s="13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3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3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3">
        <f ca="1">VLOOKUP($M4,OFFSET([3]enemies!$A$1,0,0,COUNTA([3]enemies!$A:$A),MATCH(R$1,[3]enemies!$1:$1,0)-MATCH($M$1,[3]enemies!$1:$1,0)+1),MATCH(R$1,[3]enemies!$1:$1,0)-MATCH($M$1,[3]enemies!$1:$1,0)+1,FALSE)</f>
        <v>60</v>
      </c>
      <c r="S4" s="4">
        <v>50</v>
      </c>
      <c r="T4" s="20">
        <v>2.7</v>
      </c>
      <c r="U4" s="20">
        <v>1.3</v>
      </c>
      <c r="V4" s="4">
        <v>0</v>
      </c>
      <c r="W4" s="3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96">
        <v>40006005</v>
      </c>
      <c r="Y4" s="91">
        <v>1</v>
      </c>
    </row>
    <row r="5" spans="1:25" ht="21" customHeight="1">
      <c r="A5" s="12" t="str">
        <f>B5&amp;"_"&amp;C5&amp;"-"&amp;G5&amp;"/"&amp;M5&amp;"&lt;lv"&amp;S5&amp;"&gt;sq"&amp;K5&amp;"st"&amp;L5</f>
        <v>40006_1-4/473&lt;lv50&gt;sq4st2</v>
      </c>
      <c r="B5" s="18">
        <v>40006</v>
      </c>
      <c r="C5" s="17">
        <v>1</v>
      </c>
      <c r="D5" s="1" t="str">
        <f>B5&amp;"_"&amp;C5</f>
        <v>40006_1</v>
      </c>
      <c r="E5" s="3" t="str">
        <f ca="1">VLOOKUP($B5,OFFSET([2]quests!$A$1,0,0,COUNTA([2]quests!$A:$A),MATCH(E$1,[2]quests!$1:$1,0)-MATCH($B$1,[2]quests!$1:$1,0)+1),MATCH(E$1,[2]quests!$1:$1,0)-MATCH($B$1,[2]quests!$1:$1,0)+1,FALSE)</f>
        <v>アーサー襲来！</v>
      </c>
      <c r="F5" s="3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5" s="17">
        <v>4</v>
      </c>
      <c r="H5" s="11" t="str">
        <f>B5&amp;"_"&amp;C5&amp;"-"&amp;G5</f>
        <v>40006_1-4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33">
        <v>4</v>
      </c>
      <c r="L5" s="33">
        <v>2</v>
      </c>
      <c r="M5" s="16">
        <v>473</v>
      </c>
      <c r="N5" s="13" t="str">
        <f ca="1">VLOOKUP($M5,OFFSET([3]enemies!$A$1,0,0,COUNTA([3]enemies!$A:$A),MATCH(N$1,[3]enemies!$1:$1,0)-MATCH($M$1,[3]enemies!$1:$1,0)+1),MATCH(N$1,[3]enemies!$1:$1,0)-MATCH($M$1,[3]enemies!$1:$1,0)+1,FALSE)</f>
        <v>凶堅なる正義 アーサー</v>
      </c>
      <c r="O5" s="13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3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3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3">
        <f ca="1">VLOOKUP($M5,OFFSET([3]enemies!$A$1,0,0,COUNTA([3]enemies!$A:$A),MATCH(R$1,[3]enemies!$1:$1,0)-MATCH($M$1,[3]enemies!$1:$1,0)+1),MATCH(R$1,[3]enemies!$1:$1,0)-MATCH($M$1,[3]enemies!$1:$1,0)+1,FALSE)</f>
        <v>60</v>
      </c>
      <c r="S5" s="4">
        <v>50</v>
      </c>
      <c r="T5" s="20">
        <v>4.2</v>
      </c>
      <c r="U5" s="20">
        <v>1.5</v>
      </c>
      <c r="V5" s="4">
        <v>0</v>
      </c>
      <c r="W5" s="3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96">
        <v>40006007</v>
      </c>
      <c r="Y5" s="91">
        <v>2</v>
      </c>
    </row>
    <row r="6" spans="1:25" ht="21" customHeight="1">
      <c r="A6" s="12" t="str">
        <f>B6&amp;"_"&amp;C6&amp;"-"&amp;G6&amp;"/"&amp;M6&amp;"&lt;lv"&amp;S6&amp;"&gt;sq"&amp;K6&amp;"st"&amp;L6</f>
        <v>40006_1-4/473&lt;lv50&gt;sq4st3</v>
      </c>
      <c r="B6" s="18">
        <v>40006</v>
      </c>
      <c r="C6" s="17">
        <v>1</v>
      </c>
      <c r="D6" s="1" t="str">
        <f>B6&amp;"_"&amp;C6</f>
        <v>40006_1</v>
      </c>
      <c r="E6" s="3" t="str">
        <f ca="1">VLOOKUP($B6,OFFSET([2]quests!$A$1,0,0,COUNTA([2]quests!$A:$A),MATCH(E$1,[2]quests!$1:$1,0)-MATCH($B$1,[2]quests!$1:$1,0)+1),MATCH(E$1,[2]quests!$1:$1,0)-MATCH($B$1,[2]quests!$1:$1,0)+1,FALSE)</f>
        <v>アーサー襲来！</v>
      </c>
      <c r="F6" s="3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【ウィザード級】アーサー襲来 </v>
      </c>
      <c r="G6" s="17">
        <v>4</v>
      </c>
      <c r="H6" s="11" t="str">
        <f>B6&amp;"_"&amp;C6&amp;"-"&amp;G6</f>
        <v>40006_1-4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3">
        <v>4</v>
      </c>
      <c r="L6" s="33">
        <v>3</v>
      </c>
      <c r="M6" s="16">
        <v>473</v>
      </c>
      <c r="N6" s="13" t="str">
        <f ca="1">VLOOKUP($M6,OFFSET([3]enemies!$A$1,0,0,COUNTA([3]enemies!$A:$A),MATCH(N$1,[3]enemies!$1:$1,0)-MATCH($M$1,[3]enemies!$1:$1,0)+1),MATCH(N$1,[3]enemies!$1:$1,0)-MATCH($M$1,[3]enemies!$1:$1,0)+1,FALSE)</f>
        <v>凶堅なる正義 アーサー</v>
      </c>
      <c r="O6" s="13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3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3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3">
        <f ca="1">VLOOKUP($M6,OFFSET([3]enemies!$A$1,0,0,COUNTA([3]enemies!$A:$A),MATCH(R$1,[3]enemies!$1:$1,0)-MATCH($M$1,[3]enemies!$1:$1,0)+1),MATCH(R$1,[3]enemies!$1:$1,0)-MATCH($M$1,[3]enemies!$1:$1,0)+1,FALSE)</f>
        <v>60</v>
      </c>
      <c r="S6" s="4">
        <v>50</v>
      </c>
      <c r="T6" s="20">
        <v>4</v>
      </c>
      <c r="U6" s="20">
        <v>1.5</v>
      </c>
      <c r="V6" s="4">
        <v>0</v>
      </c>
      <c r="W6" s="3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96">
        <v>40006008</v>
      </c>
      <c r="Y6" s="91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1"/>
  <sheetViews>
    <sheetView showGridLines="0" zoomScale="85" zoomScaleNormal="85" zoomScalePageLayoutView="85" workbookViewId="0">
      <pane xSplit="5" ySplit="1" topLeftCell="F35" activePane="bottomRight" state="frozen"/>
      <selection pane="topRight"/>
      <selection pane="bottomLeft"/>
      <selection pane="bottomRight" activeCell="H57" sqref="H57"/>
    </sheetView>
  </sheetViews>
  <sheetFormatPr baseColWidth="12" defaultColWidth="12.83203125" defaultRowHeight="21" customHeight="1" outlineLevelCol="1" x14ac:dyDescent="0"/>
  <cols>
    <col min="1" max="1" width="11.33203125" style="34" bestFit="1" customWidth="1"/>
    <col min="2" max="2" width="9.5" style="44" bestFit="1" customWidth="1"/>
    <col min="3" max="3" width="9.6640625" style="44" customWidth="1"/>
    <col min="4" max="4" width="18.5" style="44" customWidth="1" outlineLevel="1"/>
    <col min="5" max="5" width="44.1640625" style="44" bestFit="1" customWidth="1" outlineLevel="1"/>
    <col min="6" max="6" width="10.83203125" style="44" bestFit="1" customWidth="1"/>
    <col min="7" max="7" width="8.33203125" style="44" bestFit="1" customWidth="1" outlineLevel="1"/>
    <col min="8" max="9" width="12.83203125" style="44" outlineLevel="1"/>
    <col min="10" max="10" width="17.6640625" style="44" bestFit="1" customWidth="1" outlineLevel="1"/>
    <col min="11" max="15" width="12.83203125" style="44" outlineLevel="1"/>
    <col min="16" max="16" width="8.33203125" style="40" bestFit="1" customWidth="1"/>
    <col min="17" max="17" width="9.6640625" style="40" customWidth="1"/>
    <col min="18" max="18" width="56.5" style="40" bestFit="1" customWidth="1"/>
    <col min="19" max="16384" width="12.83203125" style="40"/>
  </cols>
  <sheetData>
    <row r="1" spans="1:18" ht="21" customHeight="1">
      <c r="A1" s="34" t="s">
        <v>43</v>
      </c>
      <c r="B1" s="35" t="s">
        <v>44</v>
      </c>
      <c r="C1" s="35" t="s">
        <v>45</v>
      </c>
      <c r="D1" s="36" t="s">
        <v>46</v>
      </c>
      <c r="E1" s="36" t="s">
        <v>47</v>
      </c>
      <c r="F1" s="37" t="s">
        <v>48</v>
      </c>
      <c r="G1" s="38" t="s">
        <v>49</v>
      </c>
      <c r="H1" s="38" t="s">
        <v>51</v>
      </c>
      <c r="I1" s="38" t="s">
        <v>52</v>
      </c>
      <c r="J1" s="38" t="s">
        <v>53</v>
      </c>
      <c r="K1" s="39" t="s">
        <v>54</v>
      </c>
      <c r="L1" s="39" t="s">
        <v>55</v>
      </c>
      <c r="M1" s="38" t="s">
        <v>56</v>
      </c>
      <c r="N1" s="38" t="s">
        <v>57</v>
      </c>
      <c r="O1" s="38" t="s">
        <v>58</v>
      </c>
      <c r="P1" s="36" t="s">
        <v>59</v>
      </c>
      <c r="Q1" s="36" t="s">
        <v>60</v>
      </c>
      <c r="R1" s="36" t="s">
        <v>61</v>
      </c>
    </row>
    <row r="2" spans="1:18" ht="21" customHeight="1">
      <c r="A2" s="34" t="str">
        <f t="shared" ref="A2" si="0">B2&amp;"_"&amp;C2</f>
        <v>40006000_40006048</v>
      </c>
      <c r="B2" s="93">
        <v>40006000</v>
      </c>
      <c r="C2" s="104">
        <v>40006048</v>
      </c>
      <c r="D2" s="41" t="str">
        <f ca="1">VLOOKUP($C2,OFFSET(enemy_skills!$A$1,0,0,COUNTA(enemy_skills!$A:$A),MATCH(D$1,enemy_skills!$1:$1,0)-MATCH("enemy_skill_id",enemy_skills!$1:$1,0)+1),MATCH(D$1,enemy_skills!$1:$1,0)-MATCH("enemy_skill_id",enemy_skills!$1:$1,0)+1,FALSE)</f>
        <v>彼に会いに来たのかね</v>
      </c>
      <c r="E2" s="41" t="str">
        <f ca="1">VLOOKUP($C2,OFFSET(enemy_skills!$A$1,0,0,COUNTA(enemy_skills!$A:$A),MATCH(E$1,enemy_skills!$1:$1,0)-MATCH("enemy_skill_id",enemy_skills!$1:$1,0)+1),MATCH(E$1,enemy_skills!$1:$1,0)-MATCH("enemy_skill_id",enemy_skills!$1:$1,0)+1,FALSE)</f>
        <v>悪いが、お引取りいただこう</v>
      </c>
      <c r="F2" s="93">
        <v>40006048</v>
      </c>
      <c r="G2" s="43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3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" s="43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3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3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3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3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3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3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2" t="s">
        <v>211</v>
      </c>
      <c r="Q2" s="42"/>
      <c r="R2" s="42"/>
    </row>
    <row r="3" spans="1:18" ht="21" customHeight="1">
      <c r="A3" s="34" t="str">
        <f t="shared" ref="A3" si="1">B3&amp;"_"&amp;C3</f>
        <v>40006000_40006000</v>
      </c>
      <c r="B3" s="93">
        <v>40006000</v>
      </c>
      <c r="C3" s="93">
        <v>40006000</v>
      </c>
      <c r="D3" s="41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トリニティバレット</v>
      </c>
      <c r="E3" s="41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93">
        <v>40006000</v>
      </c>
      <c r="G3" s="43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3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" s="43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3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3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3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3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3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3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2" t="s">
        <v>211</v>
      </c>
      <c r="Q3" s="42"/>
      <c r="R3" s="42"/>
    </row>
    <row r="4" spans="1:18" ht="21" customHeight="1">
      <c r="A4" s="34" t="str">
        <f t="shared" ref="A4:A5" si="2">B4&amp;"_"&amp;C4</f>
        <v>40006000_40006001</v>
      </c>
      <c r="B4" s="93">
        <v>40006000</v>
      </c>
      <c r="C4" s="93">
        <v>40006001</v>
      </c>
      <c r="D4" s="41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フェイタルスプレッド</v>
      </c>
      <c r="E4" s="41" t="str">
        <f ca="1">VLOOKUP($C4,OFFSET(enemy_skills!$A$1,0,0,COUNTA(enemy_skills!$A:$A),MATCH(E$1,enemy_skills!$1:$1,0)-MATCH("enemy_skill_id",enemy_skills!$1:$1,0)+1),MATCH(E$1,enemy_skills!$1:$1,0)-MATCH("enemy_skill_id",enemy_skills!$1:$1,0)+1,FALSE)</f>
        <v>青属性以外のユニットに大ダメージ</v>
      </c>
      <c r="F4" s="93">
        <v>40006001</v>
      </c>
      <c r="G4" s="43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3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" s="43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3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3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3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3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3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3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2" t="s">
        <v>211</v>
      </c>
      <c r="Q4" s="42"/>
      <c r="R4" s="42"/>
    </row>
    <row r="5" spans="1:18" ht="21" customHeight="1">
      <c r="A5" s="34" t="str">
        <f t="shared" si="2"/>
        <v>40006000_40006002</v>
      </c>
      <c r="B5" s="93">
        <v>40006000</v>
      </c>
      <c r="C5" s="93">
        <v>40006002</v>
      </c>
      <c r="D5" s="41" t="str">
        <f ca="1">VLOOKUP($C5,OFFSET(enemy_skills!$A$1,0,0,COUNTA(enemy_skills!$A:$A),MATCH(D$1,enemy_skills!$1:$1,0)-MATCH("enemy_skill_id",enemy_skills!$1:$1,0)+1),MATCH(D$1,enemy_skills!$1:$1,0)-MATCH("enemy_skill_id",enemy_skills!$1:$1,0)+1,FALSE)</f>
        <v>確かに彼は歪んでしまった</v>
      </c>
      <c r="E5" s="41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それでも今のALICEには、彼が必要なのだよ</v>
      </c>
      <c r="F5" s="93">
        <v>40006002</v>
      </c>
      <c r="G5" s="43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3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5" s="4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3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65</v>
      </c>
      <c r="K5" s="4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3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3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2" t="s">
        <v>211</v>
      </c>
      <c r="Q5" s="42"/>
      <c r="R5" s="42"/>
    </row>
    <row r="6" spans="1:18" ht="21" customHeight="1">
      <c r="A6" s="34" t="str">
        <f t="shared" ref="A6:A10" si="3">B6&amp;"_"&amp;C6</f>
        <v>40006000_40006003</v>
      </c>
      <c r="B6" s="93">
        <v>40006000</v>
      </c>
      <c r="C6" s="93">
        <v>40006003</v>
      </c>
      <c r="D6" s="4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この手は使いたくなかったが…</v>
      </c>
      <c r="E6" s="41" t="str">
        <f ca="1">VLOOKUP($C6,OFFSET(enemy_skills!$A$1,0,0,COUNTA(enemy_skills!$A:$A),MATCH(E$1,enemy_skills!$1:$1,0)-MATCH("enemy_skill_id",enemy_skills!$1:$1,0)+1),MATCH(E$1,enemy_skills!$1:$1,0)-MATCH("enemy_skill_id",enemy_skills!$1:$1,0)+1,FALSE)</f>
        <v>10ターン暗闇＋次のターン強力な攻撃</v>
      </c>
      <c r="F6" s="93">
        <v>40006003</v>
      </c>
      <c r="G6" s="43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3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6" s="43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3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6" s="43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3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3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3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3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2" t="s">
        <v>211</v>
      </c>
      <c r="Q6" s="42"/>
      <c r="R6" s="42"/>
    </row>
    <row r="7" spans="1:18" ht="21" customHeight="1">
      <c r="A7" s="34" t="str">
        <f t="shared" si="3"/>
        <v>40006000_40006004</v>
      </c>
      <c r="B7" s="93">
        <v>40006000</v>
      </c>
      <c r="C7" s="93">
        <v>40006004</v>
      </c>
      <c r="D7" s="41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いかせてもらおうか！</v>
      </c>
      <c r="E7" s="41" t="str">
        <f ca="1">VLOOKUP($C7,OFFSET(enemy_skills!$A$1,0,0,COUNTA(enemy_skills!$A:$A),MATCH(E$1,enemy_skills!$1:$1,0)-MATCH("enemy_skill_id",enemy_skills!$1:$1,0)+1),MATCH(E$1,enemy_skills!$1:$1,0)-MATCH("enemy_skill_id",enemy_skills!$1:$1,0)+1,FALSE)</f>
        <v>銃弾の嵐が戦場を埋め尽くす！</v>
      </c>
      <c r="F7" s="93">
        <v>40006004</v>
      </c>
      <c r="G7" s="43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3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7" s="43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3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" s="43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3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3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3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3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2" t="s">
        <v>211</v>
      </c>
      <c r="Q7" s="42"/>
      <c r="R7" s="42"/>
    </row>
    <row r="8" spans="1:18" ht="21" customHeight="1">
      <c r="A8" s="34" t="str">
        <f t="shared" ref="A8" si="4">B8&amp;"_"&amp;C8</f>
        <v>40006001_40006049</v>
      </c>
      <c r="B8" s="42">
        <v>40006001</v>
      </c>
      <c r="C8" s="99">
        <v>40006049</v>
      </c>
      <c r="D8" s="41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…おじさんがやられた？</v>
      </c>
      <c r="E8" s="41" t="str">
        <f ca="1">VLOOKUP($C8,OFFSET(enemy_skills!$A$1,0,0,COUNTA(enemy_skills!$A:$A),MATCH(E$1,enemy_skills!$1:$1,0)-MATCH("enemy_skill_id",enemy_skills!$1:$1,0)+1),MATCH(E$1,enemy_skills!$1:$1,0)-MATCH("enemy_skill_id",enemy_skills!$1:$1,0)+1,FALSE)</f>
        <v>本気で戦うしかないみたいだね…</v>
      </c>
      <c r="F8" s="42">
        <v>40006049</v>
      </c>
      <c r="G8" s="43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3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" s="43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3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3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3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3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3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3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2" t="s">
        <v>211</v>
      </c>
      <c r="Q8" s="42"/>
      <c r="R8" s="42"/>
    </row>
    <row r="9" spans="1:18" ht="21" customHeight="1">
      <c r="A9" s="34" t="str">
        <f t="shared" si="3"/>
        <v>40006001_40006005</v>
      </c>
      <c r="B9" s="42">
        <v>40006001</v>
      </c>
      <c r="C9" s="42">
        <v>40006005</v>
      </c>
      <c r="D9" s="4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カーペットボミング</v>
      </c>
      <c r="E9" s="41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ハート破壊＋破壊数に応じた全体攻撃</v>
      </c>
      <c r="F9" s="42">
        <v>40006005</v>
      </c>
      <c r="G9" s="43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3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3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3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3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3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3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3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3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2" t="s">
        <v>211</v>
      </c>
      <c r="Q9" s="42"/>
      <c r="R9" s="42"/>
    </row>
    <row r="10" spans="1:18" ht="21" customHeight="1">
      <c r="A10" s="34" t="str">
        <f t="shared" si="3"/>
        <v>40006001_40006006</v>
      </c>
      <c r="B10" s="42">
        <v>40006001</v>
      </c>
      <c r="C10" s="42">
        <v>40006006</v>
      </c>
      <c r="D10" s="4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アクセルカノン</v>
      </c>
      <c r="E10" s="4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次の攻撃頻度が1にUP＋攻撃</v>
      </c>
      <c r="F10" s="42">
        <v>40006006</v>
      </c>
      <c r="G10" s="43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3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0" s="43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3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3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3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3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2" t="s">
        <v>211</v>
      </c>
      <c r="Q10" s="42"/>
      <c r="R10" s="42"/>
    </row>
    <row r="11" spans="1:18" ht="21" customHeight="1">
      <c r="A11" s="34" t="str">
        <f t="shared" ref="A11:A12" si="5">B11&amp;"_"&amp;C11</f>
        <v>40006001_40006007</v>
      </c>
      <c r="B11" s="42">
        <v>40006001</v>
      </c>
      <c r="C11" s="42">
        <v>40006007</v>
      </c>
      <c r="D11" s="41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ウェポンクラッシュ</v>
      </c>
      <c r="E11" s="41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3ターンタップ回数を1減少＋全体攻撃</v>
      </c>
      <c r="F11" s="42">
        <v>40006007</v>
      </c>
      <c r="G11" s="43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3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1" s="43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3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3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3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1" s="43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3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3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2" t="s">
        <v>211</v>
      </c>
      <c r="Q11" s="42"/>
      <c r="R11" s="42"/>
    </row>
    <row r="12" spans="1:18" ht="21" customHeight="1">
      <c r="A12" s="34" t="str">
        <f t="shared" si="5"/>
        <v>40006001_40006008</v>
      </c>
      <c r="B12" s="42">
        <v>40006001</v>
      </c>
      <c r="C12" s="42">
        <v>40006008</v>
      </c>
      <c r="D12" s="41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弱い者いじめはダメ…</v>
      </c>
      <c r="E12" s="41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42">
        <v>40006008</v>
      </c>
      <c r="G12" s="43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3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12" s="43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3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3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3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3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3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367</v>
      </c>
      <c r="O12" s="43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2" t="s">
        <v>211</v>
      </c>
      <c r="Q12" s="42"/>
      <c r="R12" s="42"/>
    </row>
    <row r="13" spans="1:18" ht="21" customHeight="1">
      <c r="A13" s="34" t="str">
        <f t="shared" ref="A13:A28" si="6">B13&amp;"_"&amp;C13</f>
        <v>40006001_40006009</v>
      </c>
      <c r="B13" s="42">
        <v>40006001</v>
      </c>
      <c r="C13" s="42">
        <v>40006009</v>
      </c>
      <c r="D13" s="4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もう…許さないよ…！</v>
      </c>
      <c r="E13" s="4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13" s="42">
        <v>40006009</v>
      </c>
      <c r="G13" s="43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3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13" s="43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3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3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3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3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3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367</v>
      </c>
      <c r="O13" s="43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2" t="s">
        <v>211</v>
      </c>
      <c r="Q13" s="42"/>
      <c r="R13" s="42"/>
    </row>
    <row r="14" spans="1:18" ht="21" customHeight="1">
      <c r="A14" s="34" t="str">
        <f t="shared" si="6"/>
        <v>40006002_40006010</v>
      </c>
      <c r="B14" s="93">
        <v>40006002</v>
      </c>
      <c r="C14" s="93">
        <v>40006010</v>
      </c>
      <c r="D14" s="4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砲弾装填！</v>
      </c>
      <c r="E14" s="4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4" s="93">
        <v>40006010</v>
      </c>
      <c r="G14" s="43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3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3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3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3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3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3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3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3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2" t="s">
        <v>211</v>
      </c>
      <c r="Q14" s="42"/>
      <c r="R14" s="42"/>
    </row>
    <row r="15" spans="1:18" ht="21" customHeight="1">
      <c r="A15" s="34" t="str">
        <f t="shared" si="6"/>
        <v>40006003_40006011</v>
      </c>
      <c r="B15" s="93">
        <v>40006003</v>
      </c>
      <c r="C15" s="93">
        <v>40006011</v>
      </c>
      <c r="D15" s="41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外敵排除！</v>
      </c>
      <c r="E15" s="41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攻撃力×1.3倍の攻撃</v>
      </c>
      <c r="F15" s="93">
        <v>40006011</v>
      </c>
      <c r="G15" s="43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3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" s="43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3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3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3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3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3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3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2" t="s">
        <v>211</v>
      </c>
      <c r="Q15" s="42"/>
      <c r="R15" s="42"/>
    </row>
    <row r="16" spans="1:18" ht="21" customHeight="1">
      <c r="A16" s="34" t="str">
        <f t="shared" ref="A16:A18" si="7">B16&amp;"_"&amp;C16</f>
        <v>40006003_40006051</v>
      </c>
      <c r="B16" s="93">
        <v>40006003</v>
      </c>
      <c r="C16" s="104">
        <v>40006051</v>
      </c>
      <c r="D16" s="41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燃料投下！</v>
      </c>
      <c r="E16" s="41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ハート出現</v>
      </c>
      <c r="F16" s="93">
        <v>40006051</v>
      </c>
      <c r="G16" s="43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3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6" s="43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3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3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3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3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3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3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2" t="s">
        <v>211</v>
      </c>
      <c r="Q16" s="42"/>
      <c r="R16" s="42"/>
    </row>
    <row r="17" spans="1:18" ht="21" customHeight="1">
      <c r="A17" s="34" t="str">
        <f t="shared" ref="A17" si="8">B17&amp;"_"&amp;C17</f>
        <v>40006003_40006057</v>
      </c>
      <c r="B17" s="93">
        <v>40006003</v>
      </c>
      <c r="C17" s="104">
        <v>40006057</v>
      </c>
      <c r="D17" s="41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報告デス！</v>
      </c>
      <c r="E17" s="41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ゴニョゴニョ…</v>
      </c>
      <c r="F17" s="93">
        <v>40006057</v>
      </c>
      <c r="G17" s="43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3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7" s="43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3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3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3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3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3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3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2" t="s">
        <v>211</v>
      </c>
      <c r="Q17" s="42"/>
      <c r="R17" s="42"/>
    </row>
    <row r="18" spans="1:18" ht="21" customHeight="1">
      <c r="A18" s="34" t="str">
        <f t="shared" si="7"/>
        <v>40006004_40006052</v>
      </c>
      <c r="B18" s="42">
        <v>40006004</v>
      </c>
      <c r="C18" s="42">
        <v>40006052</v>
      </c>
      <c r="D18" s="41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止まりなさい！</v>
      </c>
      <c r="E18" s="41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あなたの相手はこの私よ…！</v>
      </c>
      <c r="F18" s="42">
        <v>40006052</v>
      </c>
      <c r="G18" s="43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3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3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3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3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3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3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3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3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2" t="s">
        <v>211</v>
      </c>
      <c r="Q18" s="42"/>
      <c r="R18" s="42"/>
    </row>
    <row r="19" spans="1:18" ht="21" customHeight="1">
      <c r="A19" s="34" t="str">
        <f t="shared" si="6"/>
        <v>40006004_40006012</v>
      </c>
      <c r="B19" s="42">
        <v>40006004</v>
      </c>
      <c r="C19" s="42">
        <v>40006012</v>
      </c>
      <c r="D19" s="41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バーストショット</v>
      </c>
      <c r="E19" s="41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攻撃力×1.5倍の攻撃</v>
      </c>
      <c r="F19" s="42">
        <v>40006012</v>
      </c>
      <c r="G19" s="43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3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" s="43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9" s="43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3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3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3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3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3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9" s="42" t="s">
        <v>211</v>
      </c>
      <c r="Q19" s="42"/>
      <c r="R19" s="42"/>
    </row>
    <row r="20" spans="1:18" ht="21" customHeight="1">
      <c r="A20" s="34" t="str">
        <f t="shared" ref="A20" si="9">B20&amp;"_"&amp;C20</f>
        <v>40006004_40006054</v>
      </c>
      <c r="B20" s="42">
        <v>40006004</v>
      </c>
      <c r="C20" s="99">
        <v>40006054</v>
      </c>
      <c r="D20" s="41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フリーズショット</v>
      </c>
      <c r="E20" s="41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お邪魔パネル出現＋攻撃</v>
      </c>
      <c r="F20" s="42">
        <v>40006054</v>
      </c>
      <c r="G20" s="43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3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0" s="43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0" s="43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3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3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3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3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3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0" s="42" t="s">
        <v>211</v>
      </c>
      <c r="Q20" s="42"/>
      <c r="R20" s="42"/>
    </row>
    <row r="21" spans="1:18" ht="21" customHeight="1">
      <c r="A21" s="34" t="str">
        <f t="shared" si="6"/>
        <v>40006004_40006013</v>
      </c>
      <c r="B21" s="42">
        <v>40006004</v>
      </c>
      <c r="C21" s="42">
        <v>40006013</v>
      </c>
      <c r="D21" s="41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ステイシス</v>
      </c>
      <c r="E21" s="41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ユニット1体に3ターンスリープ</v>
      </c>
      <c r="F21" s="42">
        <v>40006013</v>
      </c>
      <c r="G21" s="43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3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21" s="43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3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3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3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3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3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3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2" t="s">
        <v>211</v>
      </c>
      <c r="Q21" s="42"/>
      <c r="R21" s="42"/>
    </row>
    <row r="22" spans="1:18" ht="21" customHeight="1">
      <c r="A22" s="34" t="str">
        <f t="shared" ref="A22" si="10">B22&amp;"_"&amp;C22</f>
        <v>40006004_40006058</v>
      </c>
      <c r="B22" s="42">
        <v>40006004</v>
      </c>
      <c r="C22" s="42">
        <v>40006058</v>
      </c>
      <c r="D22" s="4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レストレイン</v>
      </c>
      <c r="E22" s="4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ユニット1体に3ターンスキルバインド</v>
      </c>
      <c r="F22" s="42">
        <v>40006058</v>
      </c>
      <c r="G22" s="43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3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22" s="43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3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3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3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3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2" s="43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3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2" t="s">
        <v>211</v>
      </c>
      <c r="Q22" s="42"/>
      <c r="R22" s="42"/>
    </row>
    <row r="23" spans="1:18" ht="21" customHeight="1">
      <c r="A23" s="34" t="str">
        <f t="shared" ref="A23" si="11">B23&amp;"_"&amp;C23</f>
        <v>40006004_40006053</v>
      </c>
      <c r="B23" s="42">
        <v>40006004</v>
      </c>
      <c r="C23" s="42">
        <v>40006053</v>
      </c>
      <c r="D23" s="41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魔銃解放…！</v>
      </c>
      <c r="E23" s="41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解除されるまで攻撃力UP</v>
      </c>
      <c r="F23" s="42">
        <v>40006053</v>
      </c>
      <c r="G23" s="43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3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3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3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3" s="43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3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3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3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3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2" t="s">
        <v>211</v>
      </c>
      <c r="Q23" s="42"/>
      <c r="R23" s="42"/>
    </row>
    <row r="24" spans="1:18" ht="21" customHeight="1">
      <c r="A24" s="34" t="str">
        <f t="shared" si="6"/>
        <v>40006004_40006014</v>
      </c>
      <c r="B24" s="42">
        <v>40006004</v>
      </c>
      <c r="C24" s="42">
        <v>40006014</v>
      </c>
      <c r="D24" s="41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紅を穿つ閃光</v>
      </c>
      <c r="E24" s="41" t="str">
        <f ca="1">VLOOKUP($C24,OFFSET(enemy_skills!$A$1,0,0,COUNTA(enemy_skills!$A:$A),MATCH(E$1,enemy_skills!$1:$1,0)-MATCH("enemy_skill_id",enemy_skills!$1:$1,0)+1),MATCH(E$1,enemy_skills!$1:$1,0)-MATCH("enemy_skill_id",enemy_skills!$1:$1,0)+1,FALSE)</f>
        <v>5ターン赤パネルが使えない！＋攻撃</v>
      </c>
      <c r="F24" s="42">
        <v>40006014</v>
      </c>
      <c r="G24" s="43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3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4" s="43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3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3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3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3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3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3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2" t="s">
        <v>211</v>
      </c>
      <c r="Q24" s="42"/>
      <c r="R24" s="42"/>
    </row>
    <row r="25" spans="1:18" ht="21" customHeight="1">
      <c r="A25" s="34" t="str">
        <f t="shared" si="6"/>
        <v>40006004_40006015</v>
      </c>
      <c r="B25" s="42">
        <v>40006004</v>
      </c>
      <c r="C25" s="42">
        <v>40006015</v>
      </c>
      <c r="D25" s="41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琥を穿つ衝撃</v>
      </c>
      <c r="E25" s="41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5ターン黄パネルが使えない！＋攻撃</v>
      </c>
      <c r="F25" s="42">
        <v>40006015</v>
      </c>
      <c r="G25" s="43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3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5" s="43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3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3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3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3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3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3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2" t="s">
        <v>211</v>
      </c>
      <c r="Q25" s="42"/>
      <c r="R25" s="42"/>
    </row>
    <row r="26" spans="1:18" ht="21" customHeight="1">
      <c r="A26" s="34" t="str">
        <f t="shared" si="6"/>
        <v>40006004_40006016</v>
      </c>
      <c r="B26" s="42">
        <v>40006004</v>
      </c>
      <c r="C26" s="42">
        <v>40006016</v>
      </c>
      <c r="D26" s="41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翠を穿つ波動</v>
      </c>
      <c r="E26" s="41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5ターン緑パネルが使えない！＋攻撃</v>
      </c>
      <c r="F26" s="42">
        <v>40006016</v>
      </c>
      <c r="G26" s="43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3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6" s="43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3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6" s="43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3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3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3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3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2" t="s">
        <v>211</v>
      </c>
      <c r="Q26" s="42"/>
      <c r="R26" s="42"/>
    </row>
    <row r="27" spans="1:18" ht="21" customHeight="1">
      <c r="A27" s="34" t="str">
        <f t="shared" si="6"/>
        <v>40006005_40006017</v>
      </c>
      <c r="B27" s="93">
        <v>40006005</v>
      </c>
      <c r="C27" s="93">
        <v>40006017</v>
      </c>
      <c r="D27" s="41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調子に乗らないで…！</v>
      </c>
      <c r="E27" s="41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フィーバーゲージを0にする</v>
      </c>
      <c r="F27" s="93">
        <v>40006017</v>
      </c>
      <c r="G27" s="43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3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7" s="43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3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3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3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3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3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3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2" t="s">
        <v>211</v>
      </c>
      <c r="Q27" s="42"/>
      <c r="R27" s="42"/>
    </row>
    <row r="28" spans="1:18" ht="21" customHeight="1">
      <c r="A28" s="34" t="str">
        <f t="shared" si="6"/>
        <v>40006005_40006018</v>
      </c>
      <c r="B28" s="93">
        <v>40006005</v>
      </c>
      <c r="C28" s="93">
        <v>40006018</v>
      </c>
      <c r="D28" s="41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ガトリングショット</v>
      </c>
      <c r="E28" s="41" t="str">
        <f ca="1">VLOOKUP($C28,OFFSET(enemy_skills!$A$1,0,0,COUNTA(enemy_skills!$A:$A),MATCH(E$1,enemy_skills!$1:$1,0)-MATCH("enemy_skill_id",enemy_skills!$1:$1,0)+1),MATCH(E$1,enemy_skills!$1:$1,0)-MATCH("enemy_skill_id",enemy_skills!$1:$1,0)+1,FALSE)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8" s="93">
        <v>40006018</v>
      </c>
      <c r="G28" s="43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3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8" s="43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8" s="43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3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3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3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3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3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8" s="42" t="s">
        <v>211</v>
      </c>
      <c r="Q28" s="42"/>
      <c r="R28" s="42"/>
    </row>
    <row r="29" spans="1:18" ht="21" customHeight="1">
      <c r="A29" s="34" t="str">
        <f t="shared" ref="A29:A31" si="12">B29&amp;"_"&amp;C29</f>
        <v>40006005_40006019</v>
      </c>
      <c r="B29" s="93">
        <v>40006005</v>
      </c>
      <c r="C29" s="93">
        <v>40006019</v>
      </c>
      <c r="D29" s="41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ライフスティール</v>
      </c>
      <c r="E29" s="41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全体攻撃＋小回復</v>
      </c>
      <c r="F29" s="93">
        <v>40006019</v>
      </c>
      <c r="G29" s="43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3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3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9" s="43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9" s="43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3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9" s="43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3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3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9" s="42" t="s">
        <v>211</v>
      </c>
      <c r="Q29" s="42"/>
      <c r="R29" s="42"/>
    </row>
    <row r="30" spans="1:18" ht="21" customHeight="1">
      <c r="A30" s="34" t="str">
        <f t="shared" si="12"/>
        <v>40006005_40006020</v>
      </c>
      <c r="B30" s="93">
        <v>40006005</v>
      </c>
      <c r="C30" s="93">
        <v>40006020</v>
      </c>
      <c r="D30" s="4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コールドロック</v>
      </c>
      <c r="E30" s="4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お邪魔パネル4つ出現</v>
      </c>
      <c r="F30" s="93">
        <v>40006020</v>
      </c>
      <c r="G30" s="43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3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0" s="43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3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3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3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0" s="43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3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3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2" t="s">
        <v>211</v>
      </c>
      <c r="Q30" s="42"/>
      <c r="R30" s="42"/>
    </row>
    <row r="31" spans="1:18" ht="21" customHeight="1">
      <c r="A31" s="34" t="str">
        <f t="shared" si="12"/>
        <v>40006005_40006021</v>
      </c>
      <c r="B31" s="93">
        <v>40006005</v>
      </c>
      <c r="C31" s="93">
        <v>40006021</v>
      </c>
      <c r="D31" s="4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引導を渡してあげる！</v>
      </c>
      <c r="E31" s="4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お邪魔パネル破壊＋破壊数に応じた攻撃</v>
      </c>
      <c r="F31" s="93">
        <v>40006021</v>
      </c>
      <c r="G31" s="43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3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31" s="43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3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3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3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3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1" s="43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3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2" t="s">
        <v>211</v>
      </c>
      <c r="Q31" s="42"/>
      <c r="R31" s="42"/>
    </row>
    <row r="32" spans="1:18" ht="21" customHeight="1">
      <c r="A32" s="34" t="str">
        <f t="shared" ref="A32" si="13">B32&amp;"_"&amp;C32</f>
        <v>40006006_40006022</v>
      </c>
      <c r="B32" s="42">
        <v>40006006</v>
      </c>
      <c r="C32" s="42">
        <v>40006022</v>
      </c>
      <c r="D32" s="41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みんな、下がってくれ！</v>
      </c>
      <c r="E32" s="41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ここは俺が前に出る！</v>
      </c>
      <c r="F32" s="42">
        <v>40006022</v>
      </c>
      <c r="G32" s="43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3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2" s="43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3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3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3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3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3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3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2" t="s">
        <v>211</v>
      </c>
      <c r="Q32" s="42"/>
      <c r="R32" s="42"/>
    </row>
    <row r="33" spans="1:18" ht="21" customHeight="1">
      <c r="A33" s="34" t="str">
        <f t="shared" ref="A33:A34" si="14">B33&amp;"_"&amp;C33</f>
        <v>40006006_40006023</v>
      </c>
      <c r="B33" s="42">
        <v>40006006</v>
      </c>
      <c r="C33" s="42">
        <v>40006023</v>
      </c>
      <c r="D33" s="41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エクスシュレッドIII</v>
      </c>
      <c r="E33" s="41" t="str">
        <f ca="1">VLOOKUP($C33,OFFSET(enemy_skills!$A$1,0,0,COUNTA(enemy_skills!$A:$A),MATCH(E$1,enemy_skills!$1:$1,0)-MATCH("enemy_skill_id",enemy_skills!$1:$1,0)+1),MATCH(E$1,enemy_skills!$1:$1,0)-MATCH("enemy_skill_id",enemy_skills!$1:$1,0)+1,FALSE)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3" s="42">
        <v>40006023</v>
      </c>
      <c r="G33" s="43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3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33" s="43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3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3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3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3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3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3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2" t="s">
        <v>211</v>
      </c>
      <c r="Q33" s="42"/>
      <c r="R33" s="42"/>
    </row>
    <row r="34" spans="1:18" ht="21" customHeight="1">
      <c r="A34" s="34" t="str">
        <f t="shared" si="14"/>
        <v>40006006_40006024</v>
      </c>
      <c r="B34" s="42">
        <v>40006006</v>
      </c>
      <c r="C34" s="42">
        <v>40006024</v>
      </c>
      <c r="D34" s="41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エクスシュレッドIV</v>
      </c>
      <c r="E34" s="41" t="str">
        <f ca="1">VLOOKUP($C34,OFFSET(enemy_skills!$A$1,0,0,COUNTA(enemy_skills!$A:$A),MATCH(E$1,enemy_skills!$1:$1,0)-MATCH("enemy_skill_id",enemy_skills!$1:$1,0)+1),MATCH(E$1,enemy_skills!$1:$1,0)-MATCH("enemy_skill_id",enemy_skills!$1:$1,0)+1,FALSE)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4" s="42">
        <v>40006024</v>
      </c>
      <c r="G34" s="43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3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34" s="43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3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3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3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3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3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3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2" t="s">
        <v>211</v>
      </c>
      <c r="Q34" s="42"/>
      <c r="R34" s="42"/>
    </row>
    <row r="35" spans="1:18" ht="21" customHeight="1">
      <c r="A35" s="34" t="str">
        <f t="shared" ref="A35:A38" si="15">B35&amp;"_"&amp;C35</f>
        <v>40006006_40006025</v>
      </c>
      <c r="B35" s="42">
        <v>40006006</v>
      </c>
      <c r="C35" s="42">
        <v>40006025</v>
      </c>
      <c r="D35" s="41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エクスシュレッドV</v>
      </c>
      <c r="E35" s="41" t="str">
        <f ca="1">VLOOKUP($C35,OFFSET(enemy_skills!$A$1,0,0,COUNTA(enemy_skills!$A:$A),MATCH(E$1,enemy_skills!$1:$1,0)-MATCH("enemy_skill_id",enemy_skills!$1:$1,0)+1),MATCH(E$1,enemy_skills!$1:$1,0)-MATCH("enemy_skill_id",enemy_skills!$1:$1,0)+1,FALSE)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5" s="42">
        <v>40006025</v>
      </c>
      <c r="G35" s="43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3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5" s="43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3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3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3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3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3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3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2" t="s">
        <v>211</v>
      </c>
      <c r="Q35" s="42"/>
      <c r="R35" s="42"/>
    </row>
    <row r="36" spans="1:18" ht="21" customHeight="1">
      <c r="A36" s="34" t="str">
        <f t="shared" si="15"/>
        <v>40006006_40006026</v>
      </c>
      <c r="B36" s="42">
        <v>40006006</v>
      </c>
      <c r="C36" s="42">
        <v>40006026</v>
      </c>
      <c r="D36" s="41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エクスシュレッドVI</v>
      </c>
      <c r="E36" s="41" t="str">
        <f ca="1">VLOOKUP($C36,OFFSET(enemy_skills!$A$1,0,0,COUNTA(enemy_skills!$A:$A),MATCH(E$1,enemy_skills!$1:$1,0)-MATCH("enemy_skill_id",enemy_skills!$1:$1,0)+1),MATCH(E$1,enemy_skills!$1:$1,0)-MATCH("enemy_skill_id",enemy_skills!$1:$1,0)+1,FALSE)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6" s="42">
        <v>40006026</v>
      </c>
      <c r="G36" s="43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3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6" s="43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3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3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3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3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3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3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2" t="s">
        <v>211</v>
      </c>
      <c r="Q36" s="42"/>
      <c r="R36" s="42"/>
    </row>
    <row r="37" spans="1:18" ht="21" customHeight="1">
      <c r="A37" s="34" t="str">
        <f t="shared" si="15"/>
        <v>40006006_40006027</v>
      </c>
      <c r="B37" s="42">
        <v>40006006</v>
      </c>
      <c r="C37" s="42">
        <v>40006027</v>
      </c>
      <c r="D37" s="41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スパイラルソード</v>
      </c>
      <c r="E37" s="41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7" s="42">
        <v>40006027</v>
      </c>
      <c r="G37" s="43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3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7" s="43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3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3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3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3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3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3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2" t="s">
        <v>211</v>
      </c>
      <c r="Q37" s="42"/>
      <c r="R37" s="42"/>
    </row>
    <row r="38" spans="1:18" ht="21" customHeight="1">
      <c r="A38" s="34" t="str">
        <f t="shared" si="15"/>
        <v>40006006_40006028</v>
      </c>
      <c r="B38" s="42">
        <v>40006006</v>
      </c>
      <c r="C38" s="42">
        <v>40006028</v>
      </c>
      <c r="D38" s="41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レイディアント</v>
      </c>
      <c r="E38" s="41" t="str">
        <f ca="1">VLOOKUP($C38,OFFSET(enemy_skills!$A$1,0,0,COUNTA(enemy_skills!$A:$A),MATCH(E$1,enemy_skills!$1:$1,0)-MATCH("enemy_skill_id",enemy_skills!$1:$1,0)+1),MATCH(E$1,enemy_skills!$1:$1,0)-MATCH("enemy_skill_id",enemy_skills!$1:$1,0)+1,FALSE)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38" s="42">
        <v>40006028</v>
      </c>
      <c r="G38" s="43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3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3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3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3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3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3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3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3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2" t="s">
        <v>211</v>
      </c>
      <c r="Q38" s="42"/>
      <c r="R38" s="42"/>
    </row>
    <row r="39" spans="1:18" ht="21" customHeight="1">
      <c r="A39" s="34" t="str">
        <f t="shared" ref="A39" si="16">B39&amp;"_"&amp;C39</f>
        <v>40006006_40006055</v>
      </c>
      <c r="B39" s="42">
        <v>40006006</v>
      </c>
      <c r="C39" s="99">
        <v>40006055</v>
      </c>
      <c r="D39" s="41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老、力を貸してくれ！</v>
      </c>
      <c r="E39" s="41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10ターンパネルの色が分からなくなる！</v>
      </c>
      <c r="F39" s="42">
        <v>40006055</v>
      </c>
      <c r="G39" s="43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3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39" s="43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3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3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3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3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9" s="43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3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2" t="s">
        <v>211</v>
      </c>
      <c r="Q39" s="42"/>
      <c r="R39" s="42"/>
    </row>
    <row r="40" spans="1:18" ht="21" customHeight="1">
      <c r="A40" s="34" t="str">
        <f t="shared" ref="A40:A46" si="17">B40&amp;"_"&amp;C40</f>
        <v>40006007_40006029</v>
      </c>
      <c r="B40" s="93">
        <v>40006007</v>
      </c>
      <c r="C40" s="93">
        <v>40006029</v>
      </c>
      <c r="D40" s="41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君の力は本物らしいな</v>
      </c>
      <c r="E40" s="41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だが、その力も正義のための礎となる！</v>
      </c>
      <c r="F40" s="93">
        <v>40006029</v>
      </c>
      <c r="G40" s="43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3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0" s="43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3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3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3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3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3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3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2" t="s">
        <v>211</v>
      </c>
      <c r="Q40" s="42"/>
      <c r="R40" s="42"/>
    </row>
    <row r="41" spans="1:18" ht="21" customHeight="1">
      <c r="A41" s="34" t="str">
        <f t="shared" si="17"/>
        <v>40006007_40006030</v>
      </c>
      <c r="B41" s="93">
        <v>40006007</v>
      </c>
      <c r="C41" s="93">
        <v>40006030</v>
      </c>
      <c r="D41" s="41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パーシ、援護を頼む！</v>
      </c>
      <c r="E41" s="41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お邪魔パネル6つ出現</v>
      </c>
      <c r="F41" s="93">
        <v>40006030</v>
      </c>
      <c r="G41" s="43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3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1" s="43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3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3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3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3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3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3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2" t="s">
        <v>211</v>
      </c>
      <c r="Q41" s="42"/>
      <c r="R41" s="42"/>
    </row>
    <row r="42" spans="1:18" ht="21" customHeight="1">
      <c r="A42" s="34" t="str">
        <f t="shared" si="17"/>
        <v>40006007_40006031</v>
      </c>
      <c r="B42" s="93">
        <v>40006007</v>
      </c>
      <c r="C42" s="93">
        <v>40006031</v>
      </c>
      <c r="D42" s="41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エクスシュレッドVI</v>
      </c>
      <c r="E42" s="41" t="str">
        <f ca="1">VLOOKUP($C42,OFFSET(enemy_skills!$A$1,0,0,COUNTA(enemy_skills!$A:$A),MATCH(E$1,enemy_skills!$1:$1,0)-MATCH("enemy_skill_id",enemy_skills!$1:$1,0)+1),MATCH(E$1,enemy_skills!$1:$1,0)-MATCH("enemy_skill_id",enemy_skills!$1:$1,0)+1,FALSE)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2" s="93">
        <v>40006031</v>
      </c>
      <c r="G42" s="43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3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42" s="43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3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3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3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3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3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3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2" t="s">
        <v>211</v>
      </c>
      <c r="Q42" s="42"/>
      <c r="R42" s="42"/>
    </row>
    <row r="43" spans="1:18" ht="21" customHeight="1">
      <c r="A43" s="34" t="str">
        <f t="shared" si="17"/>
        <v>40006007_40006032</v>
      </c>
      <c r="B43" s="93">
        <v>40006007</v>
      </c>
      <c r="C43" s="93">
        <v>40006032</v>
      </c>
      <c r="D43" s="41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エクスシュレッドVII</v>
      </c>
      <c r="E43" s="41" t="str">
        <f ca="1">VLOOKUP($C43,OFFSET(enemy_skills!$A$1,0,0,COUNTA(enemy_skills!$A:$A),MATCH(E$1,enemy_skills!$1:$1,0)-MATCH("enemy_skill_id",enemy_skills!$1:$1,0)+1),MATCH(E$1,enemy_skills!$1:$1,0)-MATCH("enemy_skill_id",enemy_skills!$1:$1,0)+1,FALSE)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43" s="93">
        <v>40006032</v>
      </c>
      <c r="G43" s="43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3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43" s="43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3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3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3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3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3" s="43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3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2" t="s">
        <v>211</v>
      </c>
      <c r="Q43" s="42"/>
      <c r="R43" s="42"/>
    </row>
    <row r="44" spans="1:18" ht="21" customHeight="1">
      <c r="A44" s="34" t="str">
        <f t="shared" si="17"/>
        <v>40006007_40006033</v>
      </c>
      <c r="B44" s="93">
        <v>40006007</v>
      </c>
      <c r="C44" s="93">
        <v>40006033</v>
      </c>
      <c r="D44" s="41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エクスシュレッドVIII</v>
      </c>
      <c r="E44" s="41" t="str">
        <f ca="1">VLOOKUP($C44,OFFSET(enemy_skills!$A$1,0,0,COUNTA(enemy_skills!$A:$A),MATCH(E$1,enemy_skills!$1:$1,0)-MATCH("enemy_skill_id",enemy_skills!$1:$1,0)+1),MATCH(E$1,enemy_skills!$1:$1,0)-MATCH("enemy_skill_id",enemy_skills!$1:$1,0)+1,FALSE)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44" s="93">
        <v>40006033</v>
      </c>
      <c r="G44" s="43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3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4" s="43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3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3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3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3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3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3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2" t="s">
        <v>211</v>
      </c>
      <c r="Q44" s="42"/>
      <c r="R44" s="42"/>
    </row>
    <row r="45" spans="1:18" ht="21" customHeight="1">
      <c r="A45" s="34" t="str">
        <f t="shared" si="17"/>
        <v>40006007_40006034</v>
      </c>
      <c r="B45" s="93">
        <v>40006007</v>
      </c>
      <c r="C45" s="93">
        <v>40006034</v>
      </c>
      <c r="D45" s="41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オールレンジスライサー</v>
      </c>
      <c r="E45" s="41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赤パネルを6つ時限式ダメージパネルに変換</v>
      </c>
      <c r="F45" s="93">
        <v>40006034</v>
      </c>
      <c r="G45" s="43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3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45" s="43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5" s="43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3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3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3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3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3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5" s="42" t="s">
        <v>211</v>
      </c>
      <c r="Q45" s="42"/>
      <c r="R45" s="42"/>
    </row>
    <row r="46" spans="1:18" ht="21" customHeight="1">
      <c r="A46" s="34" t="str">
        <f t="shared" si="17"/>
        <v>40006007_40006035</v>
      </c>
      <c r="B46" s="93">
        <v>40006007</v>
      </c>
      <c r="C46" s="93">
        <v>40006035</v>
      </c>
      <c r="D46" s="41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オールレンジスライサー</v>
      </c>
      <c r="E46" s="41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赤パネルを4つ時限式ダメージパネルに変換</v>
      </c>
      <c r="F46" s="93">
        <v>40006035</v>
      </c>
      <c r="G46" s="43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3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6" s="43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3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3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3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3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3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3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2" t="s">
        <v>211</v>
      </c>
      <c r="Q46" s="42"/>
      <c r="R46" s="42"/>
    </row>
    <row r="47" spans="1:18" ht="21" customHeight="1">
      <c r="A47" s="34" t="str">
        <f t="shared" ref="A47:A54" si="18">B47&amp;"_"&amp;C47</f>
        <v>40006007_40006036</v>
      </c>
      <c r="B47" s="97">
        <v>40006007</v>
      </c>
      <c r="C47" s="93">
        <v>40006036</v>
      </c>
      <c r="D47" s="41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アサルトスタンス</v>
      </c>
      <c r="E47" s="41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2ターン攻撃頻度が1ターンにUP</v>
      </c>
      <c r="F47" s="93">
        <v>40006036</v>
      </c>
      <c r="G47" s="43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3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7" s="43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7" s="43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3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3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7" s="43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3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3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7" s="42" t="s">
        <v>211</v>
      </c>
      <c r="Q47" s="42"/>
      <c r="R47" s="42"/>
    </row>
    <row r="48" spans="1:18" ht="21" customHeight="1">
      <c r="A48" s="34" t="str">
        <f t="shared" ref="A48" si="19">B48&amp;"_"&amp;C48</f>
        <v>40006007_40006056</v>
      </c>
      <c r="B48" s="97">
        <v>40006007</v>
      </c>
      <c r="C48" s="104">
        <v>40006056</v>
      </c>
      <c r="D48" s="41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トリス、畳み掛けるぞ！</v>
      </c>
      <c r="E48" s="41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ハート破壊＋破壊数に応じた全体攻撃</v>
      </c>
      <c r="F48" s="93">
        <v>40006056</v>
      </c>
      <c r="G48" s="43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3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48" s="43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3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3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3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3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8" s="43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3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2" t="s">
        <v>211</v>
      </c>
      <c r="Q48" s="42"/>
      <c r="R48" s="42"/>
    </row>
    <row r="49" spans="1:18" ht="21" customHeight="1">
      <c r="A49" s="34" t="str">
        <f t="shared" si="18"/>
        <v>40006008_40006037</v>
      </c>
      <c r="B49" s="42">
        <v>40006008</v>
      </c>
      <c r="C49" s="42">
        <v>40006037</v>
      </c>
      <c r="D49" s="41" t="str">
        <f ca="1">VLOOKUP($C49,OFFSET(enemy_skills!$A$1,0,0,COUNTA(enemy_skills!$A:$A),MATCH(D$1,enemy_skills!$1:$1,0)-MATCH("enemy_skill_id",enemy_skills!$1:$1,0)+1),MATCH(D$1,enemy_skills!$1:$1,0)-MATCH("enemy_skill_id",enemy_skills!$1:$1,0)+1,FALSE)</f>
        <v>俺の正義を見せてやる！</v>
      </c>
      <c r="E49" s="41" t="str">
        <f ca="1">VLOOKUP($C49,OFFSET(enemy_skills!$A$1,0,0,COUNTA(enemy_skills!$A:$A),MATCH(E$1,enemy_skills!$1:$1,0)-MATCH("enemy_skill_id",enemy_skills!$1:$1,0)+1),MATCH(E$1,enemy_skills!$1:$1,0)-MATCH("enemy_skill_id",enemy_skills!$1:$1,0)+1,FALSE)</f>
        <v>HPが多いと強力なスキルを連発する</v>
      </c>
      <c r="F49" s="42">
        <v>40006037</v>
      </c>
      <c r="G49" s="43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3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9" s="43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3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3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3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3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3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3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2" t="s">
        <v>211</v>
      </c>
      <c r="Q49" s="42"/>
      <c r="R49" s="42"/>
    </row>
    <row r="50" spans="1:18" ht="21" customHeight="1">
      <c r="A50" s="34" t="str">
        <f t="shared" si="18"/>
        <v>40006008_40006038</v>
      </c>
      <c r="B50" s="42">
        <v>40006008</v>
      </c>
      <c r="C50" s="42">
        <v>40006038</v>
      </c>
      <c r="D50" s="41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ジャスティス</v>
      </c>
      <c r="E50" s="41" t="str">
        <f ca="1">VLOOKUP($C50,OFFSET(enemy_skills!$A$1,0,0,COUNTA(enemy_skills!$A:$A),MATCH(E$1,enemy_skills!$1:$1,0)-MATCH("enemy_skill_id",enemy_skills!$1:$1,0)+1),MATCH(E$1,enemy_skills!$1:$1,0)-MATCH("enemy_skill_id",enemy_skills!$1:$1,0)+1,FALSE)</f>
        <v>HPが多いほど強力な全体攻撃</v>
      </c>
      <c r="F50" s="42">
        <v>40006038</v>
      </c>
      <c r="G50" s="43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3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0" s="43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3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3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50" s="43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3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3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3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2" t="s">
        <v>211</v>
      </c>
      <c r="Q50" s="42"/>
      <c r="R50" s="42"/>
    </row>
    <row r="51" spans="1:18" ht="21" customHeight="1">
      <c r="A51" s="34" t="str">
        <f t="shared" si="18"/>
        <v>40006008_40006039</v>
      </c>
      <c r="B51" s="42">
        <v>40006008</v>
      </c>
      <c r="C51" s="42">
        <v>40006039</v>
      </c>
      <c r="D51" s="41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ジャスティス</v>
      </c>
      <c r="E51" s="41" t="str">
        <f ca="1">VLOOKUP($C51,OFFSET(enemy_skills!$A$1,0,0,COUNTA(enemy_skills!$A:$A),MATCH(E$1,enemy_skills!$1:$1,0)-MATCH("enemy_skill_id",enemy_skills!$1:$1,0)+1),MATCH(E$1,enemy_skills!$1:$1,0)-MATCH("enemy_skill_id",enemy_skills!$1:$1,0)+1,FALSE)</f>
        <v>HPが多いほど強力な全体攻撃</v>
      </c>
      <c r="F51" s="42">
        <v>40006039</v>
      </c>
      <c r="G51" s="43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3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51" s="43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3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3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82</v>
      </c>
      <c r="L51" s="43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3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3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3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2" t="s">
        <v>211</v>
      </c>
      <c r="Q51" s="42"/>
      <c r="R51" s="42"/>
    </row>
    <row r="52" spans="1:18" ht="21" customHeight="1">
      <c r="A52" s="34" t="str">
        <f t="shared" si="18"/>
        <v>40006008_40006040</v>
      </c>
      <c r="B52" s="42">
        <v>40006008</v>
      </c>
      <c r="C52" s="42">
        <v>40006040</v>
      </c>
      <c r="D52" s="41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ジャスティス</v>
      </c>
      <c r="E52" s="41" t="str">
        <f ca="1">VLOOKUP($C52,OFFSET(enemy_skills!$A$1,0,0,COUNTA(enemy_skills!$A:$A),MATCH(E$1,enemy_skills!$1:$1,0)-MATCH("enemy_skill_id",enemy_skills!$1:$1,0)+1),MATCH(E$1,enemy_skills!$1:$1,0)-MATCH("enemy_skill_id",enemy_skills!$1:$1,0)+1,FALSE)</f>
        <v>HPが多いほど強力な全体攻撃</v>
      </c>
      <c r="F52" s="42">
        <v>40006040</v>
      </c>
      <c r="G52" s="43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3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52" s="43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3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3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52" s="43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3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3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3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2" t="s">
        <v>211</v>
      </c>
      <c r="Q52" s="42"/>
      <c r="R52" s="42"/>
    </row>
    <row r="53" spans="1:18" ht="21" customHeight="1">
      <c r="A53" s="34" t="str">
        <f t="shared" si="18"/>
        <v>40006008_40006041</v>
      </c>
      <c r="B53" s="42">
        <v>40006008</v>
      </c>
      <c r="C53" s="42">
        <v>40006041</v>
      </c>
      <c r="D53" s="41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エクスシュレッドIX</v>
      </c>
      <c r="E53" s="41" t="str">
        <f ca="1">VLOOKUP($C53,OFFSET(enemy_skills!$A$1,0,0,COUNTA(enemy_skills!$A:$A),MATCH(E$1,enemy_skills!$1:$1,0)-MATCH("enemy_skill_id",enemy_skills!$1:$1,0)+1),MATCH(E$1,enemy_skills!$1:$1,0)-MATCH("enemy_skill_id",enemy_skills!$1:$1,0)+1,FALSE)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53" s="42">
        <v>40006041</v>
      </c>
      <c r="G53" s="43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3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3" s="43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3" s="43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3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3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3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3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3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3" s="42" t="s">
        <v>211</v>
      </c>
      <c r="Q53" s="42"/>
      <c r="R53" s="42"/>
    </row>
    <row r="54" spans="1:18" ht="21" customHeight="1">
      <c r="A54" s="34" t="str">
        <f t="shared" si="18"/>
        <v>40006008_40006042</v>
      </c>
      <c r="B54" s="42">
        <v>40006008</v>
      </c>
      <c r="C54" s="42">
        <v>40006042</v>
      </c>
      <c r="D54" s="41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ソードオブマジック</v>
      </c>
      <c r="E54" s="41" t="str">
        <f ca="1">VLOOKUP($C54,OFFSET(enemy_skills!$A$1,0,0,COUNTA(enemy_skills!$A:$A),MATCH(E$1,enemy_skills!$1:$1,0)-MATCH("enemy_skill_id",enemy_skills!$1:$1,0)+1),MATCH(E$1,enemy_skills!$1:$1,0)-MATCH("enemy_skill_id",enemy_skills!$1:$1,0)+1,FALSE)</f>
        <v>Cパネル破壊＋破壊数に応じた攻撃</v>
      </c>
      <c r="F54" s="42">
        <v>40006042</v>
      </c>
      <c r="G54" s="43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3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54" s="43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3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3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3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3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3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3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2" t="s">
        <v>211</v>
      </c>
      <c r="Q54" s="42"/>
      <c r="R54" s="42"/>
    </row>
    <row r="55" spans="1:18" ht="21" customHeight="1">
      <c r="A55" s="34" t="str">
        <f t="shared" ref="A55:A58" si="20">B55&amp;"_"&amp;C55</f>
        <v>40006008_40006043</v>
      </c>
      <c r="B55" s="42">
        <v>40006008</v>
      </c>
      <c r="C55" s="42">
        <v>40006043</v>
      </c>
      <c r="D55" s="41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シースオブマジック</v>
      </c>
      <c r="E55" s="41" t="str">
        <f ca="1">VLOOKUP($C55,OFFSET(enemy_skills!$A$1,0,0,COUNTA(enemy_skills!$A:$A),MATCH(E$1,enemy_skills!$1:$1,0)-MATCH("enemy_skill_id",enemy_skills!$1:$1,0)+1),MATCH(E$1,enemy_skills!$1:$1,0)-MATCH("enemy_skill_id",enemy_skills!$1:$1,0)+1,FALSE)</f>
        <v>Cパネル破壊＋破壊数に応じた回復</v>
      </c>
      <c r="F55" s="42">
        <v>40006043</v>
      </c>
      <c r="G55" s="43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3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5" s="43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5" s="43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5" s="43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3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5" s="43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3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3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5" s="42" t="s">
        <v>211</v>
      </c>
      <c r="Q55" s="42"/>
      <c r="R55" s="42"/>
    </row>
    <row r="56" spans="1:18" ht="21" customHeight="1">
      <c r="A56" s="34" t="str">
        <f t="shared" si="20"/>
        <v>40006008_40006044</v>
      </c>
      <c r="B56" s="42">
        <v>40006008</v>
      </c>
      <c r="C56" s="42">
        <v>40006044</v>
      </c>
      <c r="D56" s="41" t="str">
        <f ca="1">VLOOKUP($C56,OFFSET(enemy_skills!$A$1,0,0,COUNTA(enemy_skills!$A:$A),MATCH(D$1,enemy_skills!$1:$1,0)-MATCH("enemy_skill_id",enemy_skills!$1:$1,0)+1),MATCH(D$1,enemy_skills!$1:$1,0)-MATCH("enemy_skill_id",enemy_skills!$1:$1,0)+1,FALSE)</f>
        <v>俺はまだ生きているぞ…！</v>
      </c>
      <c r="E56" s="41" t="str">
        <f ca="1">VLOOKUP($C56,OFFSET(enemy_skills!$A$1,0,0,COUNTA(enemy_skills!$A:$A),MATCH(E$1,enemy_skills!$1:$1,0)-MATCH("enemy_skill_id",enemy_skills!$1:$1,0)+1),MATCH(E$1,enemy_skills!$1:$1,0)-MATCH("enemy_skill_id",enemy_skills!$1:$1,0)+1,FALSE)</f>
        <v>HPが減るほど強力なスキルを連発する</v>
      </c>
      <c r="F56" s="42">
        <v>40006044</v>
      </c>
      <c r="G56" s="43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3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6" s="43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3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43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3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3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3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3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2" t="s">
        <v>211</v>
      </c>
      <c r="Q56" s="42"/>
      <c r="R56" s="42"/>
    </row>
    <row r="57" spans="1:18" ht="21" customHeight="1">
      <c r="A57" s="34" t="str">
        <f t="shared" si="20"/>
        <v>40006008_40006045</v>
      </c>
      <c r="B57" s="42">
        <v>40006008</v>
      </c>
      <c r="C57" s="42">
        <v>40006045</v>
      </c>
      <c r="D57" s="41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57" s="41" t="str">
        <f ca="1">VLOOKUP($C57,OFFSET(enemy_skills!$A$1,0,0,COUNTA(enemy_skills!$A:$A),MATCH(E$1,enemy_skills!$1:$1,0)-MATCH("enemy_skill_id",enemy_skills!$1:$1,0)+1),MATCH(E$1,enemy_skills!$1:$1,0)-MATCH("enemy_skill_id",enemy_skills!$1:$1,0)+1,FALSE)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57" s="42">
        <v>40006045</v>
      </c>
      <c r="G57" s="43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3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37</v>
      </c>
      <c r="I57" s="43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3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3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3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3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3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3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2" t="s">
        <v>211</v>
      </c>
      <c r="Q57" s="42"/>
      <c r="R57" s="42"/>
    </row>
    <row r="58" spans="1:18" ht="21" customHeight="1">
      <c r="A58" s="34" t="str">
        <f t="shared" si="20"/>
        <v>40006008_40006046</v>
      </c>
      <c r="B58" s="42">
        <v>40006008</v>
      </c>
      <c r="C58" s="42">
        <v>40006046</v>
      </c>
      <c r="D58" s="41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58" s="41" t="str">
        <f ca="1">VLOOKUP($C58,OFFSET(enemy_skills!$A$1,0,0,COUNTA(enemy_skills!$A:$A),MATCH(E$1,enemy_skills!$1:$1,0)-MATCH("enemy_skill_id",enemy_skills!$1:$1,0)+1),MATCH(E$1,enemy_skills!$1:$1,0)-MATCH("enemy_skill_id",enemy_skills!$1:$1,0)+1,FALSE)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58" s="42">
        <v>40006046</v>
      </c>
      <c r="G58" s="43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3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58" s="43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3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8" s="43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3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3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3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3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2" t="s">
        <v>211</v>
      </c>
      <c r="Q58" s="42"/>
      <c r="R58" s="42"/>
    </row>
    <row r="59" spans="1:18" ht="21" customHeight="1">
      <c r="A59" s="34" t="str">
        <f t="shared" ref="A59:A61" si="21">B59&amp;"_"&amp;C59</f>
        <v>40006008_40006047</v>
      </c>
      <c r="B59" s="42">
        <v>40006008</v>
      </c>
      <c r="C59" s="42">
        <v>40006047</v>
      </c>
      <c r="D59" s="41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ディストピア</v>
      </c>
      <c r="E59" s="41" t="str">
        <f ca="1">VLOOKUP($C59,OFFSET(enemy_skills!$A$1,0,0,COUNTA(enemy_skills!$A:$A),MATCH(E$1,enemy_skills!$1:$1,0)-MATCH("enemy_skill_id",enemy_skills!$1:$1,0)+1),MATCH(E$1,enemy_skills!$1:$1,0)-MATCH("enemy_skill_id",enemy_skills!$1:$1,0)+1,FALSE)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59" s="42">
        <v>40006047</v>
      </c>
      <c r="G59" s="43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3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59" s="43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3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59" s="43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3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3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3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3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2" t="s">
        <v>211</v>
      </c>
      <c r="Q59" s="42"/>
      <c r="R59" s="42"/>
    </row>
    <row r="60" spans="1:18" ht="21" customHeight="1">
      <c r="A60" s="34" t="str">
        <f t="shared" si="21"/>
        <v>40006009_40006011</v>
      </c>
      <c r="B60" s="93">
        <v>40006009</v>
      </c>
      <c r="C60" s="93">
        <v>40006011</v>
      </c>
      <c r="D60" s="41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外敵排除！</v>
      </c>
      <c r="E60" s="41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攻撃力×1.3倍の攻撃</v>
      </c>
      <c r="F60" s="93">
        <v>40006011</v>
      </c>
      <c r="G60" s="43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3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0" s="43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3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3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3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3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3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3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2" t="s">
        <v>211</v>
      </c>
      <c r="Q60" s="42"/>
      <c r="R60" s="42"/>
    </row>
    <row r="61" spans="1:18" ht="21" customHeight="1">
      <c r="A61" s="34" t="str">
        <f t="shared" si="21"/>
        <v>40006009_40006051</v>
      </c>
      <c r="B61" s="93">
        <v>40006009</v>
      </c>
      <c r="C61" s="104">
        <v>40006051</v>
      </c>
      <c r="D61" s="41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燃料投下！</v>
      </c>
      <c r="E61" s="41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ハート出現</v>
      </c>
      <c r="F61" s="93">
        <v>40006051</v>
      </c>
      <c r="G61" s="43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3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61" s="43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3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3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3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3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3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3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2" t="s">
        <v>211</v>
      </c>
      <c r="Q61" s="42"/>
      <c r="R61" s="4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0"/>
  <sheetViews>
    <sheetView showGridLines="0" zoomScale="85" zoomScaleNormal="85" zoomScalePageLayoutView="85" workbookViewId="0">
      <pane ySplit="1" topLeftCell="A8" activePane="bottomLeft" state="frozenSplit"/>
      <selection pane="bottomLeft" activeCell="B31" sqref="B31"/>
    </sheetView>
  </sheetViews>
  <sheetFormatPr baseColWidth="12" defaultColWidth="12.83203125" defaultRowHeight="21" customHeight="1" outlineLevelCol="1" x14ac:dyDescent="0"/>
  <cols>
    <col min="1" max="1" width="12.83203125" style="44"/>
    <col min="2" max="2" width="67.1640625" style="44" customWidth="1"/>
    <col min="3" max="4" width="12.83203125" style="44"/>
    <col min="5" max="5" width="23.6640625" style="44" bestFit="1" customWidth="1"/>
    <col min="6" max="6" width="44.1640625" style="44" bestFit="1" customWidth="1"/>
    <col min="7" max="7" width="52" style="44" customWidth="1" outlineLevel="1"/>
    <col min="8" max="8" width="18.33203125" style="44" customWidth="1" outlineLevel="1"/>
    <col min="9" max="11" width="18.6640625" style="44" customWidth="1" outlineLevel="1"/>
    <col min="12" max="12" width="23.6640625" style="44" customWidth="1"/>
    <col min="13" max="18" width="23.6640625" style="44" customWidth="1" outlineLevel="1"/>
    <col min="19" max="19" width="23.6640625" style="44" customWidth="1"/>
    <col min="20" max="24" width="23.6640625" style="44" customWidth="1" outlineLevel="1"/>
    <col min="25" max="25" width="23.6640625" style="44" customWidth="1"/>
    <col min="26" max="27" width="12.83203125" style="44"/>
    <col min="28" max="28" width="44.5" style="44" customWidth="1"/>
    <col min="29" max="16384" width="12.83203125" style="44"/>
  </cols>
  <sheetData>
    <row r="1" spans="1:28" ht="21" customHeight="1">
      <c r="A1" s="35" t="s">
        <v>62</v>
      </c>
      <c r="B1" s="35" t="s">
        <v>63</v>
      </c>
      <c r="C1" s="35" t="s">
        <v>64</v>
      </c>
      <c r="D1" s="35" t="s">
        <v>110</v>
      </c>
      <c r="E1" s="35" t="s">
        <v>65</v>
      </c>
      <c r="F1" s="35" t="s">
        <v>66</v>
      </c>
      <c r="G1" s="36" t="s">
        <v>116</v>
      </c>
      <c r="H1" s="36" t="s">
        <v>122</v>
      </c>
      <c r="I1" s="36" t="s">
        <v>124</v>
      </c>
      <c r="J1" s="36" t="s">
        <v>123</v>
      </c>
      <c r="K1" s="36" t="s">
        <v>125</v>
      </c>
      <c r="L1" s="36" t="s">
        <v>117</v>
      </c>
      <c r="M1" s="36" t="s">
        <v>115</v>
      </c>
      <c r="N1" s="36" t="s">
        <v>118</v>
      </c>
      <c r="O1" s="36" t="s">
        <v>126</v>
      </c>
      <c r="P1" s="36" t="s">
        <v>127</v>
      </c>
      <c r="Q1" s="36" t="s">
        <v>128</v>
      </c>
      <c r="R1" s="36" t="s">
        <v>129</v>
      </c>
      <c r="S1" s="36" t="s">
        <v>119</v>
      </c>
      <c r="T1" s="36" t="s">
        <v>120</v>
      </c>
      <c r="U1" s="36" t="s">
        <v>130</v>
      </c>
      <c r="V1" s="36" t="s">
        <v>131</v>
      </c>
      <c r="W1" s="36" t="s">
        <v>132</v>
      </c>
      <c r="X1" s="36" t="s">
        <v>133</v>
      </c>
      <c r="Y1" s="36" t="s">
        <v>121</v>
      </c>
      <c r="Z1" s="36" t="s">
        <v>59</v>
      </c>
      <c r="AA1" s="36" t="s">
        <v>60</v>
      </c>
      <c r="AB1" s="36" t="s">
        <v>61</v>
      </c>
    </row>
    <row r="2" spans="1:28" ht="21" customHeight="1">
      <c r="A2" s="93">
        <v>40006000</v>
      </c>
      <c r="B2" s="93" t="s">
        <v>252</v>
      </c>
      <c r="C2" s="94">
        <v>3</v>
      </c>
      <c r="D2" s="94" t="s">
        <v>111</v>
      </c>
      <c r="E2" s="95" t="s">
        <v>278</v>
      </c>
      <c r="F2" s="95" t="s">
        <v>255</v>
      </c>
      <c r="G2" s="58" t="str">
        <f t="shared" ref="G2:G45" si="0">IFERROR(LEFT(B2,FIND("],",B2)),B2)</f>
        <v>[effect:rush, count:3, val:0.4]</v>
      </c>
      <c r="H2" s="58">
        <f t="shared" ref="H2:H46" si="1">FIND("effect:",G2)+7</f>
        <v>9</v>
      </c>
      <c r="I2" s="58">
        <f t="shared" ref="I2:I45" si="2">IFERROR(FIND(",",G2),LEN(G2))</f>
        <v>13</v>
      </c>
      <c r="J2" s="58" t="e">
        <f t="shared" ref="J2:J45" si="3">FIND("target:",G2)+7</f>
        <v>#VALUE!</v>
      </c>
      <c r="K2" s="58">
        <f t="shared" ref="K2:K45" si="4">FIND(",",G2,I2+1)</f>
        <v>22</v>
      </c>
      <c r="L2" s="58" t="str">
        <f>IFERROR(VLOOKUP(MID(G2,J2,K2-J2),[6]skilldef!$C:$D,2,FALSE),"-") &amp; " / " &amp; IFERROR(VLOOKUP(MID(G2,H2,I2-H2),[6]skilldef!$A:$B,2,FALSE),"-")</f>
        <v>- / 連続攻撃</v>
      </c>
      <c r="M2" s="58" t="str">
        <f t="shared" ref="M2:M45" si="5">IFERROR(RIGHT(B2,LEN(B2)-FIND("],",B2)-1),"none")</f>
        <v>none</v>
      </c>
      <c r="N2" s="43" t="str">
        <f t="shared" ref="N2:N17" si="6">IFERROR(LEFT(M2,FIND("],",M2)+S12),M2)</f>
        <v>none</v>
      </c>
      <c r="O2" s="58" t="e">
        <f t="shared" ref="O2:O46" si="7">FIND("effect:",N2)+7</f>
        <v>#VALUE!</v>
      </c>
      <c r="P2" s="58">
        <f t="shared" ref="P2:P45" si="8">IFERROR(FIND(",",N2),LEN(N2))</f>
        <v>4</v>
      </c>
      <c r="Q2" s="58" t="e">
        <f t="shared" ref="Q2:Q45" si="9">FIND("target:",N2)+7</f>
        <v>#VALUE!</v>
      </c>
      <c r="R2" s="58" t="e">
        <f t="shared" ref="R2:R45" si="10">FIND(",",N2,P2+1)</f>
        <v>#VALUE!</v>
      </c>
      <c r="S2" s="58" t="str">
        <f>IFERROR(VLOOKUP(MID(N2,Q2,R2-Q2),[6]skilldef!$C:$D,2,FALSE),"-") &amp; " / " &amp; IFERROR(VLOOKUP(MID(N2,O2,P2-O2),[6]skilldef!$A:$B,2,FALSE),"-")</f>
        <v>- / -</v>
      </c>
      <c r="T2" s="43" t="str">
        <f t="shared" ref="T2:T45" si="11">IFERROR(RIGHT(M2,LEN(M2)-FIND("],",M2)-1),"none")</f>
        <v>none</v>
      </c>
      <c r="U2" s="58" t="e">
        <f t="shared" ref="U2:U46" si="12">FIND("effect:",T2)+7</f>
        <v>#VALUE!</v>
      </c>
      <c r="V2" s="58">
        <f t="shared" ref="V2:V45" si="13">IFERROR(FIND(",",T2),LEN(T2))</f>
        <v>4</v>
      </c>
      <c r="W2" s="58" t="e">
        <f t="shared" ref="W2:W45" si="14">FIND("target:",T2)+7</f>
        <v>#VALUE!</v>
      </c>
      <c r="X2" s="58" t="e">
        <f t="shared" ref="X2:X45" si="15">FIND(",",T2,V2+1)</f>
        <v>#VALUE!</v>
      </c>
      <c r="Y2" s="58" t="str">
        <f>IFERROR(VLOOKUP(MID(T2,W2,X2-W2),[6]skilldef!$C:$D,2,FALSE),"-") &amp; " / " &amp; IFERROR(VLOOKUP(MID(T2,U2,V2-U2),[6]skilldef!$A:$B,2,FALSE),"-")</f>
        <v>- / -</v>
      </c>
      <c r="Z2" s="45" t="s">
        <v>215</v>
      </c>
      <c r="AA2" s="47"/>
      <c r="AB2" s="45"/>
    </row>
    <row r="3" spans="1:28" ht="21" customHeight="1">
      <c r="A3" s="93">
        <v>40006001</v>
      </c>
      <c r="B3" s="93" t="s">
        <v>251</v>
      </c>
      <c r="C3" s="94">
        <v>3</v>
      </c>
      <c r="D3" s="94" t="s">
        <v>111</v>
      </c>
      <c r="E3" s="95" t="s">
        <v>256</v>
      </c>
      <c r="F3" s="95" t="s">
        <v>226</v>
      </c>
      <c r="G3" s="58" t="str">
        <f t="shared" si="0"/>
        <v>[effect:damage_anti_color, target:unit_all, color:blue, val1:0.25, val2:0.75]</v>
      </c>
      <c r="H3" s="58">
        <f t="shared" si="1"/>
        <v>9</v>
      </c>
      <c r="I3" s="58">
        <f t="shared" si="2"/>
        <v>26</v>
      </c>
      <c r="J3" s="58">
        <f t="shared" si="3"/>
        <v>35</v>
      </c>
      <c r="K3" s="58">
        <f t="shared" si="4"/>
        <v>43</v>
      </c>
      <c r="L3" s="58" t="str">
        <f>IFERROR(VLOOKUP(MID(G3,J3,K3-J3),[6]skilldef!$C:$D,2,FALSE),"-") &amp; " / " &amp; IFERROR(VLOOKUP(MID(G3,H3,I3-H3),[6]skilldef!$A:$B,2,FALSE),"-")</f>
        <v>味方全体に / 属性キラー</v>
      </c>
      <c r="M3" s="58" t="str">
        <f t="shared" si="5"/>
        <v>none</v>
      </c>
      <c r="N3" s="43" t="str">
        <f t="shared" si="6"/>
        <v>none</v>
      </c>
      <c r="O3" s="58" t="e">
        <f t="shared" si="7"/>
        <v>#VALUE!</v>
      </c>
      <c r="P3" s="58">
        <f t="shared" si="8"/>
        <v>4</v>
      </c>
      <c r="Q3" s="58" t="e">
        <f t="shared" si="9"/>
        <v>#VALUE!</v>
      </c>
      <c r="R3" s="58" t="e">
        <f t="shared" si="10"/>
        <v>#VALUE!</v>
      </c>
      <c r="S3" s="58" t="str">
        <f>IFERROR(VLOOKUP(MID(N3,Q3,R3-Q3),[6]skilldef!$C:$D,2,FALSE),"-") &amp; " / " &amp; IFERROR(VLOOKUP(MID(N3,O3,P3-O3),[6]skilldef!$A:$B,2,FALSE),"-")</f>
        <v>- / -</v>
      </c>
      <c r="T3" s="43" t="str">
        <f t="shared" si="11"/>
        <v>none</v>
      </c>
      <c r="U3" s="58" t="e">
        <f t="shared" si="12"/>
        <v>#VALUE!</v>
      </c>
      <c r="V3" s="58">
        <f t="shared" si="13"/>
        <v>4</v>
      </c>
      <c r="W3" s="58" t="e">
        <f t="shared" si="14"/>
        <v>#VALUE!</v>
      </c>
      <c r="X3" s="58" t="e">
        <f t="shared" si="15"/>
        <v>#VALUE!</v>
      </c>
      <c r="Y3" s="58" t="str">
        <f>IFERROR(VLOOKUP(MID(T3,W3,X3-W3),[6]skilldef!$C:$D,2,FALSE),"-") &amp; " / " &amp; IFERROR(VLOOKUP(MID(T3,U3,V3-U3),[6]skilldef!$A:$B,2,FALSE),"-")</f>
        <v>- / -</v>
      </c>
      <c r="Z3" s="45" t="s">
        <v>215</v>
      </c>
      <c r="AA3" s="47"/>
      <c r="AB3" s="45"/>
    </row>
    <row r="4" spans="1:28" ht="21" customHeight="1">
      <c r="A4" s="93">
        <v>40006002</v>
      </c>
      <c r="B4" s="93" t="s">
        <v>253</v>
      </c>
      <c r="C4" s="94">
        <v>3</v>
      </c>
      <c r="D4" s="94" t="s">
        <v>111</v>
      </c>
      <c r="E4" s="95" t="s">
        <v>257</v>
      </c>
      <c r="F4" s="95" t="s">
        <v>320</v>
      </c>
      <c r="G4" s="58" t="str">
        <f t="shared" si="0"/>
        <v>[effect:freq_turn, target:myself, turn:-1, val:1, animation:enemy_freq_turn]</v>
      </c>
      <c r="H4" s="58">
        <f t="shared" si="1"/>
        <v>9</v>
      </c>
      <c r="I4" s="58">
        <f t="shared" si="2"/>
        <v>18</v>
      </c>
      <c r="J4" s="58">
        <f t="shared" si="3"/>
        <v>27</v>
      </c>
      <c r="K4" s="58">
        <f t="shared" si="4"/>
        <v>33</v>
      </c>
      <c r="L4" s="58" t="str">
        <f>IFERROR(VLOOKUP(MID(G4,J4,K4-J4),[6]skilldef!$C:$D,2,FALSE),"-") &amp; " / " &amp; IFERROR(VLOOKUP(MID(G4,H4,I4-H4),[6]skilldef!$A:$B,2,FALSE),"-")</f>
        <v>自分自身に / 攻撃頻度がUP</v>
      </c>
      <c r="M4" s="58" t="str">
        <f t="shared" si="5"/>
        <v>none</v>
      </c>
      <c r="N4" s="43" t="str">
        <f t="shared" si="6"/>
        <v>none</v>
      </c>
      <c r="O4" s="58" t="e">
        <f t="shared" si="7"/>
        <v>#VALUE!</v>
      </c>
      <c r="P4" s="58">
        <f t="shared" si="8"/>
        <v>4</v>
      </c>
      <c r="Q4" s="58" t="e">
        <f t="shared" si="9"/>
        <v>#VALUE!</v>
      </c>
      <c r="R4" s="58" t="e">
        <f t="shared" si="10"/>
        <v>#VALUE!</v>
      </c>
      <c r="S4" s="58" t="str">
        <f>IFERROR(VLOOKUP(MID(N4,Q4,R4-Q4),[6]skilldef!$C:$D,2,FALSE),"-") &amp; " / " &amp; IFERROR(VLOOKUP(MID(N4,O4,P4-O4),[6]skilldef!$A:$B,2,FALSE),"-")</f>
        <v>- / -</v>
      </c>
      <c r="T4" s="43" t="str">
        <f t="shared" si="11"/>
        <v>none</v>
      </c>
      <c r="U4" s="58" t="e">
        <f t="shared" si="12"/>
        <v>#VALUE!</v>
      </c>
      <c r="V4" s="58">
        <f t="shared" si="13"/>
        <v>4</v>
      </c>
      <c r="W4" s="58" t="e">
        <f t="shared" si="14"/>
        <v>#VALUE!</v>
      </c>
      <c r="X4" s="58" t="e">
        <f t="shared" si="15"/>
        <v>#VALUE!</v>
      </c>
      <c r="Y4" s="58" t="str">
        <f>IFERROR(VLOOKUP(MID(T4,W4,X4-W4),[6]skilldef!$C:$D,2,FALSE),"-") &amp; " / " &amp; IFERROR(VLOOKUP(MID(T4,U4,V4-U4),[6]skilldef!$A:$B,2,FALSE),"-")</f>
        <v>- / -</v>
      </c>
      <c r="Z4" s="45" t="s">
        <v>215</v>
      </c>
      <c r="AA4" s="47"/>
      <c r="AB4" s="45"/>
    </row>
    <row r="5" spans="1:28" ht="21" customHeight="1">
      <c r="A5" s="93">
        <v>40006003</v>
      </c>
      <c r="B5" s="93" t="s">
        <v>297</v>
      </c>
      <c r="C5" s="94">
        <v>3</v>
      </c>
      <c r="D5" s="94" t="s">
        <v>111</v>
      </c>
      <c r="E5" s="95" t="s">
        <v>254</v>
      </c>
      <c r="F5" s="95" t="s">
        <v>275</v>
      </c>
      <c r="G5" s="58" t="str">
        <f t="shared" si="0"/>
        <v>[effect:dark, target:unit_all, turn:10, animation:enemy_dark]</v>
      </c>
      <c r="H5" s="58">
        <f t="shared" si="1"/>
        <v>9</v>
      </c>
      <c r="I5" s="58">
        <f t="shared" si="2"/>
        <v>13</v>
      </c>
      <c r="J5" s="58">
        <f t="shared" si="3"/>
        <v>22</v>
      </c>
      <c r="K5" s="58">
        <f t="shared" si="4"/>
        <v>30</v>
      </c>
      <c r="L5" s="58" t="str">
        <f>IFERROR(VLOOKUP(MID(G5,J5,K5-J5),[6]skilldef!$C:$D,2,FALSE),"-") &amp; " / " &amp; IFERROR(VLOOKUP(MID(G5,H5,I5-H5),[6]skilldef!$A:$B,2,FALSE),"-")</f>
        <v>味方全体に / 暗黒</v>
      </c>
      <c r="M5" s="58" t="str">
        <f t="shared" si="5"/>
        <v>none</v>
      </c>
      <c r="N5" s="43" t="str">
        <f t="shared" si="6"/>
        <v>none</v>
      </c>
      <c r="O5" s="58" t="e">
        <f t="shared" si="7"/>
        <v>#VALUE!</v>
      </c>
      <c r="P5" s="58">
        <f t="shared" si="8"/>
        <v>4</v>
      </c>
      <c r="Q5" s="58" t="e">
        <f t="shared" si="9"/>
        <v>#VALUE!</v>
      </c>
      <c r="R5" s="58" t="e">
        <f t="shared" si="10"/>
        <v>#VALUE!</v>
      </c>
      <c r="S5" s="58" t="str">
        <f>IFERROR(VLOOKUP(MID(N5,Q5,R5-Q5),[6]skilldef!$C:$D,2,FALSE),"-") &amp; " / " &amp; IFERROR(VLOOKUP(MID(N5,O5,P5-O5),[6]skilldef!$A:$B,2,FALSE),"-")</f>
        <v>- / -</v>
      </c>
      <c r="T5" s="43" t="str">
        <f t="shared" si="11"/>
        <v>none</v>
      </c>
      <c r="U5" s="58" t="e">
        <f t="shared" si="12"/>
        <v>#VALUE!</v>
      </c>
      <c r="V5" s="58">
        <f t="shared" si="13"/>
        <v>4</v>
      </c>
      <c r="W5" s="58" t="e">
        <f t="shared" si="14"/>
        <v>#VALUE!</v>
      </c>
      <c r="X5" s="58" t="e">
        <f t="shared" si="15"/>
        <v>#VALUE!</v>
      </c>
      <c r="Y5" s="58" t="str">
        <f>IFERROR(VLOOKUP(MID(T5,W5,X5-W5),[6]skilldef!$C:$D,2,FALSE),"-") &amp; " / " &amp; IFERROR(VLOOKUP(MID(T5,U5,V5-U5),[6]skilldef!$A:$B,2,FALSE),"-")</f>
        <v>- / -</v>
      </c>
      <c r="Z5" s="45" t="s">
        <v>215</v>
      </c>
      <c r="AA5" s="47"/>
      <c r="AB5" s="45"/>
    </row>
    <row r="6" spans="1:28" ht="21" customHeight="1">
      <c r="A6" s="93">
        <v>40006004</v>
      </c>
      <c r="B6" s="93" t="s">
        <v>250</v>
      </c>
      <c r="C6" s="94">
        <v>3</v>
      </c>
      <c r="D6" s="94" t="s">
        <v>111</v>
      </c>
      <c r="E6" s="95" t="s">
        <v>276</v>
      </c>
      <c r="F6" s="95" t="s">
        <v>298</v>
      </c>
      <c r="G6" s="58" t="str">
        <f t="shared" si="0"/>
        <v>[effect:spread, val:0.2]</v>
      </c>
      <c r="H6" s="58">
        <f t="shared" si="1"/>
        <v>9</v>
      </c>
      <c r="I6" s="58">
        <f t="shared" si="2"/>
        <v>15</v>
      </c>
      <c r="J6" s="58" t="e">
        <f t="shared" si="3"/>
        <v>#VALUE!</v>
      </c>
      <c r="K6" s="58" t="e">
        <f t="shared" si="4"/>
        <v>#VALUE!</v>
      </c>
      <c r="L6" s="58" t="str">
        <f>IFERROR(VLOOKUP(MID(G6,J6,K6-J6),[6]skilldef!$C:$D,2,FALSE),"-") &amp; " / " &amp; IFERROR(VLOOKUP(MID(G6,H6,I6-H6),[6]skilldef!$A:$B,2,FALSE),"-")</f>
        <v>- / 全体攻撃</v>
      </c>
      <c r="M6" s="58" t="str">
        <f t="shared" si="5"/>
        <v>[effect:rush, count:6, val:0.25]</v>
      </c>
      <c r="N6" s="43" t="str">
        <f t="shared" si="6"/>
        <v>[effect:rush, count:6, val:0.25]</v>
      </c>
      <c r="O6" s="58">
        <f t="shared" si="7"/>
        <v>9</v>
      </c>
      <c r="P6" s="58">
        <f t="shared" si="8"/>
        <v>13</v>
      </c>
      <c r="Q6" s="58" t="e">
        <f t="shared" si="9"/>
        <v>#VALUE!</v>
      </c>
      <c r="R6" s="58">
        <f t="shared" si="10"/>
        <v>22</v>
      </c>
      <c r="S6" s="58" t="str">
        <f>IFERROR(VLOOKUP(MID(N6,Q6,R6-Q6),[6]skilldef!$C:$D,2,FALSE),"-") &amp; " / " &amp; IFERROR(VLOOKUP(MID(N6,O6,P6-O6),[6]skilldef!$A:$B,2,FALSE),"-")</f>
        <v>- / 連続攻撃</v>
      </c>
      <c r="T6" s="43" t="str">
        <f t="shared" si="11"/>
        <v>none</v>
      </c>
      <c r="U6" s="58" t="e">
        <f t="shared" si="12"/>
        <v>#VALUE!</v>
      </c>
      <c r="V6" s="58">
        <f t="shared" si="13"/>
        <v>4</v>
      </c>
      <c r="W6" s="58" t="e">
        <f t="shared" si="14"/>
        <v>#VALUE!</v>
      </c>
      <c r="X6" s="58" t="e">
        <f t="shared" si="15"/>
        <v>#VALUE!</v>
      </c>
      <c r="Y6" s="58" t="str">
        <f>IFERROR(VLOOKUP(MID(T6,W6,X6-W6),[6]skilldef!$C:$D,2,FALSE),"-") &amp; " / " &amp; IFERROR(VLOOKUP(MID(T6,U6,V6-U6),[6]skilldef!$A:$B,2,FALSE),"-")</f>
        <v>- / -</v>
      </c>
      <c r="Z6" s="45" t="s">
        <v>215</v>
      </c>
      <c r="AA6" s="47"/>
      <c r="AB6" s="45"/>
    </row>
    <row r="7" spans="1:28" ht="21" customHeight="1">
      <c r="A7" s="42">
        <v>40006005</v>
      </c>
      <c r="B7" s="42" t="s">
        <v>361</v>
      </c>
      <c r="C7" s="45">
        <v>3</v>
      </c>
      <c r="D7" s="45" t="s">
        <v>111</v>
      </c>
      <c r="E7" s="46" t="s">
        <v>273</v>
      </c>
      <c r="F7" s="46" t="s">
        <v>227</v>
      </c>
      <c r="G7" s="58" t="str">
        <f t="shared" si="0"/>
        <v>[effect:break_attack, val:0.07, lowest_val:1, count:8, block:block_heart, target:unit_all]</v>
      </c>
      <c r="H7" s="58">
        <f t="shared" si="1"/>
        <v>9</v>
      </c>
      <c r="I7" s="58">
        <f t="shared" si="2"/>
        <v>21</v>
      </c>
      <c r="J7" s="58">
        <f t="shared" si="3"/>
        <v>82</v>
      </c>
      <c r="K7" s="58">
        <f t="shared" si="4"/>
        <v>31</v>
      </c>
      <c r="L7" s="58" t="str">
        <f>IFERROR(VLOOKUP(MID(G7,J7,K7-J7),[6]skilldef!$C:$D,2,FALSE),"-") &amp; " / " &amp; IFERROR(VLOOKUP(MID(G7,H7,I7-H7),[6]skilldef!$A:$B,2,FALSE),"-")</f>
        <v>- / -</v>
      </c>
      <c r="M7" s="58" t="str">
        <f t="shared" si="5"/>
        <v>none</v>
      </c>
      <c r="N7" s="43" t="str">
        <f t="shared" si="6"/>
        <v>none</v>
      </c>
      <c r="O7" s="58" t="e">
        <f t="shared" si="7"/>
        <v>#VALUE!</v>
      </c>
      <c r="P7" s="58">
        <f t="shared" si="8"/>
        <v>4</v>
      </c>
      <c r="Q7" s="58" t="e">
        <f t="shared" si="9"/>
        <v>#VALUE!</v>
      </c>
      <c r="R7" s="58" t="e">
        <f t="shared" si="10"/>
        <v>#VALUE!</v>
      </c>
      <c r="S7" s="58" t="str">
        <f>IFERROR(VLOOKUP(MID(N7,Q7,R7-Q7),[6]skilldef!$C:$D,2,FALSE),"-") &amp; " / " &amp; IFERROR(VLOOKUP(MID(N7,O7,P7-O7),[6]skilldef!$A:$B,2,FALSE),"-")</f>
        <v>- / -</v>
      </c>
      <c r="T7" s="43" t="str">
        <f t="shared" si="11"/>
        <v>none</v>
      </c>
      <c r="U7" s="58" t="e">
        <f t="shared" si="12"/>
        <v>#VALUE!</v>
      </c>
      <c r="V7" s="58">
        <f t="shared" si="13"/>
        <v>4</v>
      </c>
      <c r="W7" s="58" t="e">
        <f t="shared" si="14"/>
        <v>#VALUE!</v>
      </c>
      <c r="X7" s="58" t="e">
        <f t="shared" si="15"/>
        <v>#VALUE!</v>
      </c>
      <c r="Y7" s="58" t="str">
        <f>IFERROR(VLOOKUP(MID(T7,W7,X7-W7),[6]skilldef!$C:$D,2,FALSE),"-") &amp; " / " &amp; IFERROR(VLOOKUP(MID(T7,U7,V7-U7),[6]skilldef!$A:$B,2,FALSE),"-")</f>
        <v>- / -</v>
      </c>
      <c r="Z7" s="45" t="s">
        <v>215</v>
      </c>
      <c r="AA7" s="47"/>
      <c r="AB7" s="45"/>
    </row>
    <row r="8" spans="1:28" ht="21" customHeight="1">
      <c r="A8" s="42">
        <v>40006006</v>
      </c>
      <c r="B8" s="42" t="s">
        <v>403</v>
      </c>
      <c r="C8" s="45">
        <v>3</v>
      </c>
      <c r="D8" s="45" t="s">
        <v>111</v>
      </c>
      <c r="E8" s="46" t="s">
        <v>279</v>
      </c>
      <c r="F8" s="46" t="s">
        <v>271</v>
      </c>
      <c r="G8" s="58" t="str">
        <f t="shared" si="0"/>
        <v>[effect:freq_turn, target:myself, turn:1, val:1, animation:enemy_freq_turn]</v>
      </c>
      <c r="H8" s="58">
        <f t="shared" si="1"/>
        <v>9</v>
      </c>
      <c r="I8" s="58">
        <f t="shared" si="2"/>
        <v>18</v>
      </c>
      <c r="J8" s="58">
        <f t="shared" si="3"/>
        <v>27</v>
      </c>
      <c r="K8" s="58">
        <f t="shared" si="4"/>
        <v>33</v>
      </c>
      <c r="L8" s="58" t="str">
        <f>IFERROR(VLOOKUP(MID(G8,J8,K8-J8),[6]skilldef!$C:$D,2,FALSE),"-") &amp; " / " &amp; IFERROR(VLOOKUP(MID(G8,H8,I8-H8),[6]skilldef!$A:$B,2,FALSE),"-")</f>
        <v>自分自身に / 攻撃頻度がUP</v>
      </c>
      <c r="M8" s="58" t="str">
        <f t="shared" si="5"/>
        <v>[effect:rush, count:1, val:1.0]</v>
      </c>
      <c r="N8" s="43" t="str">
        <f t="shared" si="6"/>
        <v>[effect:rush, count:1, val:1.0]</v>
      </c>
      <c r="O8" s="58">
        <f t="shared" si="7"/>
        <v>9</v>
      </c>
      <c r="P8" s="58">
        <f t="shared" si="8"/>
        <v>13</v>
      </c>
      <c r="Q8" s="58" t="e">
        <f t="shared" si="9"/>
        <v>#VALUE!</v>
      </c>
      <c r="R8" s="58">
        <f t="shared" si="10"/>
        <v>22</v>
      </c>
      <c r="S8" s="58" t="str">
        <f>IFERROR(VLOOKUP(MID(N8,Q8,R8-Q8),[6]skilldef!$C:$D,2,FALSE),"-") &amp; " / " &amp; IFERROR(VLOOKUP(MID(N8,O8,P8-O8),[6]skilldef!$A:$B,2,FALSE),"-")</f>
        <v>- / 連続攻撃</v>
      </c>
      <c r="T8" s="43" t="str">
        <f t="shared" si="11"/>
        <v>none</v>
      </c>
      <c r="U8" s="58" t="e">
        <f t="shared" si="12"/>
        <v>#VALUE!</v>
      </c>
      <c r="V8" s="58">
        <f t="shared" si="13"/>
        <v>4</v>
      </c>
      <c r="W8" s="58" t="e">
        <f t="shared" si="14"/>
        <v>#VALUE!</v>
      </c>
      <c r="X8" s="58" t="e">
        <f t="shared" si="15"/>
        <v>#VALUE!</v>
      </c>
      <c r="Y8" s="58" t="str">
        <f>IFERROR(VLOOKUP(MID(T8,W8,X8-W8),[6]skilldef!$C:$D,2,FALSE),"-") &amp; " / " &amp; IFERROR(VLOOKUP(MID(T8,U8,V8-U8),[6]skilldef!$A:$B,2,FALSE),"-")</f>
        <v>- / -</v>
      </c>
      <c r="Z8" s="45" t="s">
        <v>215</v>
      </c>
      <c r="AA8" s="47"/>
      <c r="AB8" s="45"/>
    </row>
    <row r="9" spans="1:28" ht="21" customHeight="1">
      <c r="A9" s="42">
        <v>40006007</v>
      </c>
      <c r="B9" s="42" t="s">
        <v>359</v>
      </c>
      <c r="C9" s="45">
        <v>3</v>
      </c>
      <c r="D9" s="45" t="s">
        <v>111</v>
      </c>
      <c r="E9" s="46" t="s">
        <v>270</v>
      </c>
      <c r="F9" s="46" t="s">
        <v>272</v>
      </c>
      <c r="G9" s="58" t="str">
        <f t="shared" si="0"/>
        <v>[effect:degrade_unit, target:unit_all, turn:3, status:action, val:1.0,animation:enemy_tap_down]</v>
      </c>
      <c r="H9" s="58">
        <f t="shared" si="1"/>
        <v>9</v>
      </c>
      <c r="I9" s="58">
        <f t="shared" si="2"/>
        <v>21</v>
      </c>
      <c r="J9" s="58">
        <f t="shared" si="3"/>
        <v>30</v>
      </c>
      <c r="K9" s="58">
        <f t="shared" si="4"/>
        <v>38</v>
      </c>
      <c r="L9" s="58" t="str">
        <f>IFERROR(VLOOKUP(MID(G9,J9,K9-J9),[6]skilldef!$C:$D,2,FALSE),"-") &amp; " / " &amp; IFERROR(VLOOKUP(MID(G9,H9,I9-H9),[6]skilldef!$A:$B,2,FALSE),"-")</f>
        <v>味方全体に / ステータスDOWN</v>
      </c>
      <c r="M9" s="58" t="str">
        <f t="shared" si="5"/>
        <v>[effect:spread, val:0.25]</v>
      </c>
      <c r="N9" s="43" t="str">
        <f t="shared" si="6"/>
        <v>[effect:spread, val:0.25]</v>
      </c>
      <c r="O9" s="58">
        <f t="shared" si="7"/>
        <v>9</v>
      </c>
      <c r="P9" s="58">
        <f t="shared" si="8"/>
        <v>15</v>
      </c>
      <c r="Q9" s="58" t="e">
        <f t="shared" si="9"/>
        <v>#VALUE!</v>
      </c>
      <c r="R9" s="58" t="e">
        <f t="shared" si="10"/>
        <v>#VALUE!</v>
      </c>
      <c r="S9" s="58" t="str">
        <f>IFERROR(VLOOKUP(MID(N9,Q9,R9-Q9),[6]skilldef!$C:$D,2,FALSE),"-") &amp; " / " &amp; IFERROR(VLOOKUP(MID(N9,O9,P9-O9),[6]skilldef!$A:$B,2,FALSE),"-")</f>
        <v>- / 全体攻撃</v>
      </c>
      <c r="T9" s="43" t="str">
        <f t="shared" si="11"/>
        <v>none</v>
      </c>
      <c r="U9" s="58" t="e">
        <f t="shared" si="12"/>
        <v>#VALUE!</v>
      </c>
      <c r="V9" s="58">
        <f t="shared" si="13"/>
        <v>4</v>
      </c>
      <c r="W9" s="58" t="e">
        <f t="shared" si="14"/>
        <v>#VALUE!</v>
      </c>
      <c r="X9" s="58" t="e">
        <f t="shared" si="15"/>
        <v>#VALUE!</v>
      </c>
      <c r="Y9" s="58" t="str">
        <f>IFERROR(VLOOKUP(MID(T9,W9,X9-W9),[6]skilldef!$C:$D,2,FALSE),"-") &amp; " / " &amp; IFERROR(VLOOKUP(MID(T9,U9,V9-U9),[6]skilldef!$A:$B,2,FALSE),"-")</f>
        <v>- / -</v>
      </c>
      <c r="Z9" s="45" t="s">
        <v>215</v>
      </c>
      <c r="AA9" s="47"/>
      <c r="AB9" s="45"/>
    </row>
    <row r="10" spans="1:28" ht="21" customHeight="1">
      <c r="A10" s="42">
        <v>40006008</v>
      </c>
      <c r="B10" s="42" t="s">
        <v>348</v>
      </c>
      <c r="C10" s="45">
        <v>3</v>
      </c>
      <c r="D10" s="45" t="s">
        <v>111</v>
      </c>
      <c r="E10" s="46" t="s">
        <v>274</v>
      </c>
      <c r="F10" s="46" t="s">
        <v>220</v>
      </c>
      <c r="G10" s="58" t="str">
        <f t="shared" si="0"/>
        <v>[effect:spread, val:0.4]</v>
      </c>
      <c r="H10" s="58">
        <f t="shared" si="1"/>
        <v>9</v>
      </c>
      <c r="I10" s="58">
        <f t="shared" si="2"/>
        <v>15</v>
      </c>
      <c r="J10" s="58" t="e">
        <f t="shared" si="3"/>
        <v>#VALUE!</v>
      </c>
      <c r="K10" s="58" t="e">
        <f t="shared" si="4"/>
        <v>#VALUE!</v>
      </c>
      <c r="L10" s="58" t="str">
        <f>IFERROR(VLOOKUP(MID(G10,J10,K10-J10),[6]skilldef!$C:$D,2,FALSE),"-") &amp; " / " &amp; IFERROR(VLOOKUP(MID(G10,H10,I10-H10),[6]skilldef!$A:$B,2,FALSE),"-")</f>
        <v>- / 全体攻撃</v>
      </c>
      <c r="M10" s="58" t="str">
        <f t="shared" si="5"/>
        <v>none</v>
      </c>
      <c r="N10" s="43" t="str">
        <f t="shared" si="6"/>
        <v>none</v>
      </c>
      <c r="O10" s="58" t="e">
        <f t="shared" si="7"/>
        <v>#VALUE!</v>
      </c>
      <c r="P10" s="58">
        <f t="shared" si="8"/>
        <v>4</v>
      </c>
      <c r="Q10" s="58" t="e">
        <f t="shared" si="9"/>
        <v>#VALUE!</v>
      </c>
      <c r="R10" s="58" t="e">
        <f t="shared" si="10"/>
        <v>#VALUE!</v>
      </c>
      <c r="S10" s="58" t="str">
        <f>IFERROR(VLOOKUP(MID(N10,Q10,R10-Q10),[6]skilldef!$C:$D,2,FALSE),"-") &amp; " / " &amp; IFERROR(VLOOKUP(MID(N10,O10,P10-O10),[6]skilldef!$A:$B,2,FALSE),"-")</f>
        <v>- / -</v>
      </c>
      <c r="T10" s="43" t="str">
        <f t="shared" si="11"/>
        <v>none</v>
      </c>
      <c r="U10" s="58" t="e">
        <f t="shared" si="12"/>
        <v>#VALUE!</v>
      </c>
      <c r="V10" s="58">
        <f t="shared" si="13"/>
        <v>4</v>
      </c>
      <c r="W10" s="58" t="e">
        <f t="shared" si="14"/>
        <v>#VALUE!</v>
      </c>
      <c r="X10" s="58" t="e">
        <f t="shared" si="15"/>
        <v>#VALUE!</v>
      </c>
      <c r="Y10" s="58" t="str">
        <f>IFERROR(VLOOKUP(MID(T10,W10,X10-W10),[6]skilldef!$C:$D,2,FALSE),"-") &amp; " / " &amp; IFERROR(VLOOKUP(MID(T10,U10,V10-U10),[6]skilldef!$A:$B,2,FALSE),"-")</f>
        <v>- / -</v>
      </c>
      <c r="Z10" s="45" t="s">
        <v>215</v>
      </c>
      <c r="AA10" s="47"/>
      <c r="AB10" s="45"/>
    </row>
    <row r="11" spans="1:28" ht="21" customHeight="1">
      <c r="A11" s="42">
        <v>40006009</v>
      </c>
      <c r="B11" s="42" t="s">
        <v>358</v>
      </c>
      <c r="C11" s="45">
        <v>3</v>
      </c>
      <c r="D11" s="45" t="s">
        <v>111</v>
      </c>
      <c r="E11" s="46" t="s">
        <v>277</v>
      </c>
      <c r="F11" s="46" t="s">
        <v>360</v>
      </c>
      <c r="G11" s="58" t="str">
        <f t="shared" si="0"/>
        <v>[effect:spread, val:0.6]</v>
      </c>
      <c r="H11" s="58">
        <f t="shared" si="1"/>
        <v>9</v>
      </c>
      <c r="I11" s="58">
        <f t="shared" si="2"/>
        <v>15</v>
      </c>
      <c r="J11" s="58" t="e">
        <f t="shared" si="3"/>
        <v>#VALUE!</v>
      </c>
      <c r="K11" s="58" t="e">
        <f t="shared" si="4"/>
        <v>#VALUE!</v>
      </c>
      <c r="L11" s="58" t="str">
        <f>IFERROR(VLOOKUP(MID(G11,J11,K11-J11),[6]skilldef!$C:$D,2,FALSE),"-") &amp; " / " &amp; IFERROR(VLOOKUP(MID(G11,H11,I11-H11),[6]skilldef!$A:$B,2,FALSE),"-")</f>
        <v>- / 全体攻撃</v>
      </c>
      <c r="M11" s="58" t="str">
        <f t="shared" si="5"/>
        <v>none</v>
      </c>
      <c r="N11" s="43" t="str">
        <f t="shared" si="6"/>
        <v>none</v>
      </c>
      <c r="O11" s="58" t="e">
        <f t="shared" si="7"/>
        <v>#VALUE!</v>
      </c>
      <c r="P11" s="58">
        <f t="shared" si="8"/>
        <v>4</v>
      </c>
      <c r="Q11" s="58" t="e">
        <f t="shared" si="9"/>
        <v>#VALUE!</v>
      </c>
      <c r="R11" s="58" t="e">
        <f t="shared" si="10"/>
        <v>#VALUE!</v>
      </c>
      <c r="S11" s="58" t="str">
        <f>IFERROR(VLOOKUP(MID(N11,Q11,R11-Q11),[6]skilldef!$C:$D,2,FALSE),"-") &amp; " / " &amp; IFERROR(VLOOKUP(MID(N11,O11,P11-O11),[6]skilldef!$A:$B,2,FALSE),"-")</f>
        <v>- / -</v>
      </c>
      <c r="T11" s="43" t="str">
        <f t="shared" si="11"/>
        <v>none</v>
      </c>
      <c r="U11" s="58" t="e">
        <f t="shared" si="12"/>
        <v>#VALUE!</v>
      </c>
      <c r="V11" s="58">
        <f t="shared" si="13"/>
        <v>4</v>
      </c>
      <c r="W11" s="58" t="e">
        <f t="shared" si="14"/>
        <v>#VALUE!</v>
      </c>
      <c r="X11" s="58" t="e">
        <f t="shared" si="15"/>
        <v>#VALUE!</v>
      </c>
      <c r="Y11" s="58" t="str">
        <f>IFERROR(VLOOKUP(MID(T11,W11,X11-W11),[6]skilldef!$C:$D,2,FALSE),"-") &amp; " / " &amp; IFERROR(VLOOKUP(MID(T11,U11,V11-U11),[6]skilldef!$A:$B,2,FALSE),"-")</f>
        <v>- / -</v>
      </c>
      <c r="Z11" s="45" t="s">
        <v>215</v>
      </c>
      <c r="AA11" s="47"/>
      <c r="AB11" s="45"/>
    </row>
    <row r="12" spans="1:28" ht="21" customHeight="1">
      <c r="A12" s="93">
        <v>40006010</v>
      </c>
      <c r="B12" s="93" t="s">
        <v>307</v>
      </c>
      <c r="C12" s="94">
        <v>3</v>
      </c>
      <c r="D12" s="94" t="s">
        <v>111</v>
      </c>
      <c r="E12" s="95" t="s">
        <v>263</v>
      </c>
      <c r="F12" s="95" t="s">
        <v>230</v>
      </c>
      <c r="G12" s="58" t="str">
        <f t="shared" si="0"/>
        <v>[effect:charge, status:attack, val:3.0]</v>
      </c>
      <c r="H12" s="58">
        <f t="shared" si="1"/>
        <v>9</v>
      </c>
      <c r="I12" s="58">
        <f t="shared" si="2"/>
        <v>15</v>
      </c>
      <c r="J12" s="58" t="e">
        <f t="shared" si="3"/>
        <v>#VALUE!</v>
      </c>
      <c r="K12" s="58">
        <f t="shared" si="4"/>
        <v>30</v>
      </c>
      <c r="L12" s="58" t="str">
        <f>IFERROR(VLOOKUP(MID(G12,J12,K12-J12),[6]skilldef!$C:$D,2,FALSE),"-") &amp; " / " &amp; IFERROR(VLOOKUP(MID(G12,H12,I12-H12),[6]skilldef!$A:$B,2,FALSE),"-")</f>
        <v>- / 溜め</v>
      </c>
      <c r="M12" s="58" t="str">
        <f t="shared" si="5"/>
        <v>none</v>
      </c>
      <c r="N12" s="43" t="str">
        <f t="shared" si="6"/>
        <v>none</v>
      </c>
      <c r="O12" s="58" t="e">
        <f t="shared" si="7"/>
        <v>#VALUE!</v>
      </c>
      <c r="P12" s="58">
        <f t="shared" si="8"/>
        <v>4</v>
      </c>
      <c r="Q12" s="58" t="e">
        <f t="shared" si="9"/>
        <v>#VALUE!</v>
      </c>
      <c r="R12" s="58" t="e">
        <f t="shared" si="10"/>
        <v>#VALUE!</v>
      </c>
      <c r="S12" s="58" t="str">
        <f>IFERROR(VLOOKUP(MID(N12,Q12,R12-Q12),[6]skilldef!$C:$D,2,FALSE),"-") &amp; " / " &amp; IFERROR(VLOOKUP(MID(N12,O12,P12-O12),[6]skilldef!$A:$B,2,FALSE),"-")</f>
        <v>- / -</v>
      </c>
      <c r="T12" s="43" t="str">
        <f t="shared" si="11"/>
        <v>none</v>
      </c>
      <c r="U12" s="58" t="e">
        <f t="shared" si="12"/>
        <v>#VALUE!</v>
      </c>
      <c r="V12" s="58">
        <f t="shared" si="13"/>
        <v>4</v>
      </c>
      <c r="W12" s="58" t="e">
        <f t="shared" si="14"/>
        <v>#VALUE!</v>
      </c>
      <c r="X12" s="58" t="e">
        <f t="shared" si="15"/>
        <v>#VALUE!</v>
      </c>
      <c r="Y12" s="58" t="str">
        <f>IFERROR(VLOOKUP(MID(T12,W12,X12-W12),[6]skilldef!$C:$D,2,FALSE),"-") &amp; " / " &amp; IFERROR(VLOOKUP(MID(T12,U12,V12-U12),[6]skilldef!$A:$B,2,FALSE),"-")</f>
        <v>- / -</v>
      </c>
      <c r="Z12" s="45" t="s">
        <v>215</v>
      </c>
      <c r="AA12" s="47"/>
      <c r="AB12" s="45"/>
    </row>
    <row r="13" spans="1:28" ht="21" customHeight="1">
      <c r="A13" s="93">
        <v>40006011</v>
      </c>
      <c r="B13" s="93" t="s">
        <v>266</v>
      </c>
      <c r="C13" s="94">
        <v>3</v>
      </c>
      <c r="D13" s="94" t="s">
        <v>111</v>
      </c>
      <c r="E13" s="95" t="s">
        <v>264</v>
      </c>
      <c r="F13" s="95" t="s">
        <v>265</v>
      </c>
      <c r="G13" s="58" t="str">
        <f t="shared" si="0"/>
        <v>[effect:rush, count:1, val:1.3]</v>
      </c>
      <c r="H13" s="58">
        <f t="shared" si="1"/>
        <v>9</v>
      </c>
      <c r="I13" s="58">
        <f t="shared" si="2"/>
        <v>13</v>
      </c>
      <c r="J13" s="58" t="e">
        <f t="shared" si="3"/>
        <v>#VALUE!</v>
      </c>
      <c r="K13" s="58">
        <f t="shared" si="4"/>
        <v>22</v>
      </c>
      <c r="L13" s="58" t="str">
        <f>IFERROR(VLOOKUP(MID(G13,J13,K13-J13),[6]skilldef!$C:$D,2,FALSE),"-") &amp; " / " &amp; IFERROR(VLOOKUP(MID(G13,H13,I13-H13),[6]skilldef!$A:$B,2,FALSE),"-")</f>
        <v>- / 連続攻撃</v>
      </c>
      <c r="M13" s="58" t="str">
        <f t="shared" si="5"/>
        <v>none</v>
      </c>
      <c r="N13" s="43" t="str">
        <f t="shared" si="6"/>
        <v>none</v>
      </c>
      <c r="O13" s="58" t="e">
        <f t="shared" si="7"/>
        <v>#VALUE!</v>
      </c>
      <c r="P13" s="58">
        <f t="shared" si="8"/>
        <v>4</v>
      </c>
      <c r="Q13" s="58" t="e">
        <f t="shared" si="9"/>
        <v>#VALUE!</v>
      </c>
      <c r="R13" s="58" t="e">
        <f t="shared" si="10"/>
        <v>#VALUE!</v>
      </c>
      <c r="S13" s="58" t="str">
        <f>IFERROR(VLOOKUP(MID(N13,Q13,R13-Q13),[6]skilldef!$C:$D,2,FALSE),"-") &amp; " / " &amp; IFERROR(VLOOKUP(MID(N13,O13,P13-O13),[6]skilldef!$A:$B,2,FALSE),"-")</f>
        <v>- / -</v>
      </c>
      <c r="T13" s="43" t="str">
        <f t="shared" si="11"/>
        <v>none</v>
      </c>
      <c r="U13" s="58" t="e">
        <f t="shared" si="12"/>
        <v>#VALUE!</v>
      </c>
      <c r="V13" s="58">
        <f t="shared" si="13"/>
        <v>4</v>
      </c>
      <c r="W13" s="58" t="e">
        <f t="shared" si="14"/>
        <v>#VALUE!</v>
      </c>
      <c r="X13" s="58" t="e">
        <f t="shared" si="15"/>
        <v>#VALUE!</v>
      </c>
      <c r="Y13" s="58" t="str">
        <f>IFERROR(VLOOKUP(MID(T13,W13,X13-W13),[6]skilldef!$C:$D,2,FALSE),"-") &amp; " / " &amp; IFERROR(VLOOKUP(MID(T13,U13,V13-U13),[6]skilldef!$A:$B,2,FALSE),"-")</f>
        <v>- / -</v>
      </c>
      <c r="Z13" s="45" t="s">
        <v>215</v>
      </c>
      <c r="AA13" s="47"/>
      <c r="AB13" s="45"/>
    </row>
    <row r="14" spans="1:28" ht="21" customHeight="1">
      <c r="A14" s="42">
        <v>40006012</v>
      </c>
      <c r="B14" s="42" t="s">
        <v>249</v>
      </c>
      <c r="C14" s="45">
        <v>3</v>
      </c>
      <c r="D14" s="45" t="s">
        <v>111</v>
      </c>
      <c r="E14" s="46" t="s">
        <v>281</v>
      </c>
      <c r="F14" s="46" t="s">
        <v>248</v>
      </c>
      <c r="G14" s="58" t="str">
        <f t="shared" si="0"/>
        <v>[effect:critical, val:1.5]</v>
      </c>
      <c r="H14" s="58">
        <f t="shared" si="1"/>
        <v>9</v>
      </c>
      <c r="I14" s="58">
        <f t="shared" si="2"/>
        <v>17</v>
      </c>
      <c r="J14" s="58" t="e">
        <f t="shared" si="3"/>
        <v>#VALUE!</v>
      </c>
      <c r="K14" s="58" t="e">
        <f t="shared" si="4"/>
        <v>#VALUE!</v>
      </c>
      <c r="L14" s="58" t="str">
        <f>IFERROR(VLOOKUP(MID(G14,J14,K14-J14),[6]skilldef!$C:$D,2,FALSE),"-") &amp; " / " &amp; IFERROR(VLOOKUP(MID(G14,H14,I14-H14),[6]skilldef!$A:$B,2,FALSE),"-")</f>
        <v>- / 大攻撃</v>
      </c>
      <c r="M14" s="58" t="str">
        <f t="shared" si="5"/>
        <v>none</v>
      </c>
      <c r="N14" s="43" t="str">
        <f t="shared" si="6"/>
        <v>none</v>
      </c>
      <c r="O14" s="58" t="e">
        <f t="shared" si="7"/>
        <v>#VALUE!</v>
      </c>
      <c r="P14" s="58">
        <f t="shared" si="8"/>
        <v>4</v>
      </c>
      <c r="Q14" s="58" t="e">
        <f t="shared" si="9"/>
        <v>#VALUE!</v>
      </c>
      <c r="R14" s="58" t="e">
        <f t="shared" si="10"/>
        <v>#VALUE!</v>
      </c>
      <c r="S14" s="58" t="str">
        <f>IFERROR(VLOOKUP(MID(N14,Q14,R14-Q14),[6]skilldef!$C:$D,2,FALSE),"-") &amp; " / " &amp; IFERROR(VLOOKUP(MID(N14,O14,P14-O14),[6]skilldef!$A:$B,2,FALSE),"-")</f>
        <v>- / -</v>
      </c>
      <c r="T14" s="43" t="str">
        <f t="shared" si="11"/>
        <v>none</v>
      </c>
      <c r="U14" s="58" t="e">
        <f t="shared" si="12"/>
        <v>#VALUE!</v>
      </c>
      <c r="V14" s="58">
        <f t="shared" si="13"/>
        <v>4</v>
      </c>
      <c r="W14" s="58" t="e">
        <f t="shared" si="14"/>
        <v>#VALUE!</v>
      </c>
      <c r="X14" s="58" t="e">
        <f t="shared" si="15"/>
        <v>#VALUE!</v>
      </c>
      <c r="Y14" s="58" t="str">
        <f>IFERROR(VLOOKUP(MID(T14,W14,X14-W14),[6]skilldef!$C:$D,2,FALSE),"-") &amp; " / " &amp; IFERROR(VLOOKUP(MID(T14,U14,V14-U14),[6]skilldef!$A:$B,2,FALSE),"-")</f>
        <v>- / -</v>
      </c>
      <c r="Z14" s="45" t="s">
        <v>215</v>
      </c>
      <c r="AA14" s="47"/>
      <c r="AB14" s="45"/>
    </row>
    <row r="15" spans="1:28" ht="21" customHeight="1">
      <c r="A15" s="42">
        <v>40006013</v>
      </c>
      <c r="B15" s="42" t="s">
        <v>374</v>
      </c>
      <c r="C15" s="45">
        <v>3</v>
      </c>
      <c r="D15" s="45" t="s">
        <v>111</v>
      </c>
      <c r="E15" s="46" t="s">
        <v>284</v>
      </c>
      <c r="F15" s="46" t="s">
        <v>372</v>
      </c>
      <c r="G15" s="58" t="str">
        <f t="shared" si="0"/>
        <v>[effect:sleep, target:unit_one, turn:3, rate:1, animation:sleep01]</v>
      </c>
      <c r="H15" s="58">
        <f t="shared" si="1"/>
        <v>9</v>
      </c>
      <c r="I15" s="58">
        <f t="shared" si="2"/>
        <v>14</v>
      </c>
      <c r="J15" s="58">
        <f t="shared" si="3"/>
        <v>23</v>
      </c>
      <c r="K15" s="58">
        <f t="shared" si="4"/>
        <v>31</v>
      </c>
      <c r="L15" s="58" t="str">
        <f>IFERROR(VLOOKUP(MID(G15,J15,K15-J15),[6]skilldef!$C:$D,2,FALSE),"-") &amp; " / " &amp; IFERROR(VLOOKUP(MID(G15,H15,I15-H15),[6]skilldef!$A:$B,2,FALSE),"-")</f>
        <v>味方単体に / スリープ</v>
      </c>
      <c r="M15" s="58" t="str">
        <f t="shared" si="5"/>
        <v>none</v>
      </c>
      <c r="N15" s="43" t="str">
        <f t="shared" si="6"/>
        <v>none</v>
      </c>
      <c r="O15" s="58" t="e">
        <f t="shared" si="7"/>
        <v>#VALUE!</v>
      </c>
      <c r="P15" s="58">
        <f t="shared" si="8"/>
        <v>4</v>
      </c>
      <c r="Q15" s="58" t="e">
        <f t="shared" si="9"/>
        <v>#VALUE!</v>
      </c>
      <c r="R15" s="58" t="e">
        <f t="shared" si="10"/>
        <v>#VALUE!</v>
      </c>
      <c r="S15" s="58" t="str">
        <f>IFERROR(VLOOKUP(MID(N15,Q15,R15-Q15),[6]skilldef!$C:$D,2,FALSE),"-") &amp; " / " &amp; IFERROR(VLOOKUP(MID(N15,O15,P15-O15),[6]skilldef!$A:$B,2,FALSE),"-")</f>
        <v>- / -</v>
      </c>
      <c r="T15" s="43" t="str">
        <f t="shared" si="11"/>
        <v>none</v>
      </c>
      <c r="U15" s="58" t="e">
        <f t="shared" si="12"/>
        <v>#VALUE!</v>
      </c>
      <c r="V15" s="58">
        <f t="shared" si="13"/>
        <v>4</v>
      </c>
      <c r="W15" s="58" t="e">
        <f t="shared" si="14"/>
        <v>#VALUE!</v>
      </c>
      <c r="X15" s="58" t="e">
        <f t="shared" si="15"/>
        <v>#VALUE!</v>
      </c>
      <c r="Y15" s="58" t="str">
        <f>IFERROR(VLOOKUP(MID(T15,W15,X15-W15),[6]skilldef!$C:$D,2,FALSE),"-") &amp; " / " &amp; IFERROR(VLOOKUP(MID(T15,U15,V15-U15),[6]skilldef!$A:$B,2,FALSE),"-")</f>
        <v>- / -</v>
      </c>
      <c r="Z15" s="45" t="s">
        <v>215</v>
      </c>
      <c r="AA15" s="47"/>
      <c r="AB15" s="45"/>
    </row>
    <row r="16" spans="1:28" ht="21" customHeight="1">
      <c r="A16" s="42">
        <v>40006014</v>
      </c>
      <c r="B16" s="42" t="s">
        <v>231</v>
      </c>
      <c r="C16" s="45">
        <v>3</v>
      </c>
      <c r="D16" s="45" t="s">
        <v>111</v>
      </c>
      <c r="E16" s="46" t="s">
        <v>286</v>
      </c>
      <c r="F16" s="46" t="s">
        <v>232</v>
      </c>
      <c r="G16" s="58" t="str">
        <f t="shared" si="0"/>
        <v>[effect:dis_panel, target:block_red, turn:5, animation:enemy_dis_red]</v>
      </c>
      <c r="H16" s="58">
        <f t="shared" si="1"/>
        <v>9</v>
      </c>
      <c r="I16" s="58">
        <f t="shared" si="2"/>
        <v>18</v>
      </c>
      <c r="J16" s="58">
        <f t="shared" si="3"/>
        <v>27</v>
      </c>
      <c r="K16" s="58">
        <f t="shared" si="4"/>
        <v>36</v>
      </c>
      <c r="L16" s="58" t="str">
        <f>IFERROR(VLOOKUP(MID(G16,J16,K16-J16),[6]skilldef!$C:$D,2,FALSE),"-") &amp; " / " &amp; IFERROR(VLOOKUP(MID(G16,H16,I16-H16),[6]skilldef!$A:$B,2,FALSE),"-")</f>
        <v>赤パネルを / ディスパネル</v>
      </c>
      <c r="M16" s="58" t="str">
        <f t="shared" si="5"/>
        <v>[effect:rush, count:1, val:1.0]</v>
      </c>
      <c r="N16" s="43" t="str">
        <f t="shared" si="6"/>
        <v>[effect:rush, count:1, val:1.0]</v>
      </c>
      <c r="O16" s="58">
        <f t="shared" si="7"/>
        <v>9</v>
      </c>
      <c r="P16" s="58">
        <f t="shared" si="8"/>
        <v>13</v>
      </c>
      <c r="Q16" s="58" t="e">
        <f t="shared" si="9"/>
        <v>#VALUE!</v>
      </c>
      <c r="R16" s="58">
        <f t="shared" si="10"/>
        <v>22</v>
      </c>
      <c r="S16" s="58" t="str">
        <f>IFERROR(VLOOKUP(MID(N16,Q16,R16-Q16),[6]skilldef!$C:$D,2,FALSE),"-") &amp; " / " &amp; IFERROR(VLOOKUP(MID(N16,O16,P16-O16),[6]skilldef!$A:$B,2,FALSE),"-")</f>
        <v>- / 連続攻撃</v>
      </c>
      <c r="T16" s="43" t="str">
        <f t="shared" si="11"/>
        <v>none</v>
      </c>
      <c r="U16" s="58" t="e">
        <f t="shared" si="12"/>
        <v>#VALUE!</v>
      </c>
      <c r="V16" s="58">
        <f t="shared" si="13"/>
        <v>4</v>
      </c>
      <c r="W16" s="58" t="e">
        <f t="shared" si="14"/>
        <v>#VALUE!</v>
      </c>
      <c r="X16" s="58" t="e">
        <f t="shared" si="15"/>
        <v>#VALUE!</v>
      </c>
      <c r="Y16" s="58" t="str">
        <f>IFERROR(VLOOKUP(MID(T16,W16,X16-W16),[6]skilldef!$C:$D,2,FALSE),"-") &amp; " / " &amp; IFERROR(VLOOKUP(MID(T16,U16,V16-U16),[6]skilldef!$A:$B,2,FALSE),"-")</f>
        <v>- / -</v>
      </c>
      <c r="Z16" s="45" t="s">
        <v>215</v>
      </c>
      <c r="AA16" s="47"/>
      <c r="AB16" s="45"/>
    </row>
    <row r="17" spans="1:28" ht="21" customHeight="1">
      <c r="A17" s="42">
        <v>40006015</v>
      </c>
      <c r="B17" s="42" t="s">
        <v>235</v>
      </c>
      <c r="C17" s="45">
        <v>3</v>
      </c>
      <c r="D17" s="45" t="s">
        <v>111</v>
      </c>
      <c r="E17" s="46" t="s">
        <v>285</v>
      </c>
      <c r="F17" s="46" t="s">
        <v>233</v>
      </c>
      <c r="G17" s="58" t="str">
        <f t="shared" si="0"/>
        <v>[effect:dis_panel, target:block_yellow, turn:5, animation:enemy_dis_yellow]</v>
      </c>
      <c r="H17" s="58">
        <f t="shared" si="1"/>
        <v>9</v>
      </c>
      <c r="I17" s="58">
        <f t="shared" si="2"/>
        <v>18</v>
      </c>
      <c r="J17" s="58">
        <f t="shared" si="3"/>
        <v>27</v>
      </c>
      <c r="K17" s="58">
        <f t="shared" si="4"/>
        <v>39</v>
      </c>
      <c r="L17" s="58" t="str">
        <f>IFERROR(VLOOKUP(MID(G17,J17,K17-J17),[6]skilldef!$C:$D,2,FALSE),"-") &amp; " / " &amp; IFERROR(VLOOKUP(MID(G17,H17,I17-H17),[6]skilldef!$A:$B,2,FALSE),"-")</f>
        <v>黄色パネルを / ディスパネル</v>
      </c>
      <c r="M17" s="58" t="str">
        <f t="shared" si="5"/>
        <v>[effect:rush, count:1, val:1.0]</v>
      </c>
      <c r="N17" s="43" t="str">
        <f t="shared" si="6"/>
        <v>[effect:rush, count:1, val:1.0]</v>
      </c>
      <c r="O17" s="58">
        <f t="shared" si="7"/>
        <v>9</v>
      </c>
      <c r="P17" s="58">
        <f t="shared" si="8"/>
        <v>13</v>
      </c>
      <c r="Q17" s="58" t="e">
        <f t="shared" si="9"/>
        <v>#VALUE!</v>
      </c>
      <c r="R17" s="58">
        <f t="shared" si="10"/>
        <v>22</v>
      </c>
      <c r="S17" s="58" t="str">
        <f>IFERROR(VLOOKUP(MID(N17,Q17,R17-Q17),[6]skilldef!$C:$D,2,FALSE),"-") &amp; " / " &amp; IFERROR(VLOOKUP(MID(N17,O17,P17-O17),[6]skilldef!$A:$B,2,FALSE),"-")</f>
        <v>- / 連続攻撃</v>
      </c>
      <c r="T17" s="43" t="str">
        <f t="shared" si="11"/>
        <v>none</v>
      </c>
      <c r="U17" s="58" t="e">
        <f t="shared" si="12"/>
        <v>#VALUE!</v>
      </c>
      <c r="V17" s="58">
        <f t="shared" si="13"/>
        <v>4</v>
      </c>
      <c r="W17" s="58" t="e">
        <f t="shared" si="14"/>
        <v>#VALUE!</v>
      </c>
      <c r="X17" s="58" t="e">
        <f t="shared" si="15"/>
        <v>#VALUE!</v>
      </c>
      <c r="Y17" s="58" t="str">
        <f>IFERROR(VLOOKUP(MID(T17,W17,X17-W17),[6]skilldef!$C:$D,2,FALSE),"-") &amp; " / " &amp; IFERROR(VLOOKUP(MID(T17,U17,V17-U17),[6]skilldef!$A:$B,2,FALSE),"-")</f>
        <v>- / -</v>
      </c>
      <c r="Z17" s="45" t="s">
        <v>215</v>
      </c>
      <c r="AA17" s="47"/>
      <c r="AB17" s="45"/>
    </row>
    <row r="18" spans="1:28" ht="21" customHeight="1">
      <c r="A18" s="42">
        <v>40006016</v>
      </c>
      <c r="B18" s="42" t="s">
        <v>236</v>
      </c>
      <c r="C18" s="45">
        <v>3</v>
      </c>
      <c r="D18" s="45" t="s">
        <v>111</v>
      </c>
      <c r="E18" s="46" t="s">
        <v>288</v>
      </c>
      <c r="F18" s="46" t="s">
        <v>234</v>
      </c>
      <c r="G18" s="58" t="str">
        <f t="shared" si="0"/>
        <v>[effect:dis_panel, target:block_green, turn:5, animation:enemy_dis_green]</v>
      </c>
      <c r="H18" s="58">
        <f t="shared" si="1"/>
        <v>9</v>
      </c>
      <c r="I18" s="58">
        <f t="shared" si="2"/>
        <v>18</v>
      </c>
      <c r="J18" s="58">
        <f t="shared" si="3"/>
        <v>27</v>
      </c>
      <c r="K18" s="58">
        <f t="shared" si="4"/>
        <v>38</v>
      </c>
      <c r="L18" s="58" t="str">
        <f>IFERROR(VLOOKUP(MID(G18,J18,K18-J18),[6]skilldef!$C:$D,2,FALSE),"-") &amp; " / " &amp; IFERROR(VLOOKUP(MID(G18,H18,I18-H18),[6]skilldef!$A:$B,2,FALSE),"-")</f>
        <v>緑パネルを / ディスパネル</v>
      </c>
      <c r="M18" s="58" t="str">
        <f t="shared" si="5"/>
        <v>[effect:rush, count:1, val:1.0]</v>
      </c>
      <c r="N18" s="43" t="str">
        <f t="shared" ref="N18:N23" si="16">IFERROR(LEFT(M18,FIND("],",M18)+S31),M18)</f>
        <v>[effect:rush, count:1, val:1.0]</v>
      </c>
      <c r="O18" s="58">
        <f t="shared" si="7"/>
        <v>9</v>
      </c>
      <c r="P18" s="58">
        <f t="shared" si="8"/>
        <v>13</v>
      </c>
      <c r="Q18" s="58" t="e">
        <f t="shared" si="9"/>
        <v>#VALUE!</v>
      </c>
      <c r="R18" s="58">
        <f t="shared" si="10"/>
        <v>22</v>
      </c>
      <c r="S18" s="58" t="str">
        <f>IFERROR(VLOOKUP(MID(N18,Q18,R18-Q18),[6]skilldef!$C:$D,2,FALSE),"-") &amp; " / " &amp; IFERROR(VLOOKUP(MID(N18,O18,P18-O18),[6]skilldef!$A:$B,2,FALSE),"-")</f>
        <v>- / 連続攻撃</v>
      </c>
      <c r="T18" s="43" t="str">
        <f t="shared" si="11"/>
        <v>none</v>
      </c>
      <c r="U18" s="58" t="e">
        <f t="shared" si="12"/>
        <v>#VALUE!</v>
      </c>
      <c r="V18" s="58">
        <f t="shared" si="13"/>
        <v>4</v>
      </c>
      <c r="W18" s="58" t="e">
        <f t="shared" si="14"/>
        <v>#VALUE!</v>
      </c>
      <c r="X18" s="58" t="e">
        <f t="shared" si="15"/>
        <v>#VALUE!</v>
      </c>
      <c r="Y18" s="58" t="str">
        <f>IFERROR(VLOOKUP(MID(T18,W18,X18-W18),[6]skilldef!$C:$D,2,FALSE),"-") &amp; " / " &amp; IFERROR(VLOOKUP(MID(T18,U18,V18-U18),[6]skilldef!$A:$B,2,FALSE),"-")</f>
        <v>- / -</v>
      </c>
      <c r="Z18" s="45" t="s">
        <v>215</v>
      </c>
      <c r="AA18" s="47"/>
      <c r="AB18" s="45"/>
    </row>
    <row r="19" spans="1:28" ht="21" customHeight="1">
      <c r="A19" s="93">
        <v>40006017</v>
      </c>
      <c r="B19" s="93" t="s">
        <v>397</v>
      </c>
      <c r="C19" s="94">
        <v>3</v>
      </c>
      <c r="D19" s="94" t="s">
        <v>111</v>
      </c>
      <c r="E19" s="95" t="s">
        <v>287</v>
      </c>
      <c r="F19" s="95" t="s">
        <v>213</v>
      </c>
      <c r="G19" s="58" t="str">
        <f t="shared" si="0"/>
        <v>[effect:degrade_fever, val:1000, animation:fevergage_down]</v>
      </c>
      <c r="H19" s="58">
        <f t="shared" si="1"/>
        <v>9</v>
      </c>
      <c r="I19" s="58">
        <f t="shared" si="2"/>
        <v>22</v>
      </c>
      <c r="J19" s="58" t="e">
        <f t="shared" si="3"/>
        <v>#VALUE!</v>
      </c>
      <c r="K19" s="58">
        <f t="shared" si="4"/>
        <v>32</v>
      </c>
      <c r="L19" s="58" t="str">
        <f>IFERROR(VLOOKUP(MID(G19,J19,K19-J19),[6]skilldef!$C:$D,2,FALSE),"-") &amp; " / " &amp; IFERROR(VLOOKUP(MID(G19,H19,I19-H19),[6]skilldef!$A:$B,2,FALSE),"-")</f>
        <v>- / フィーバーゲージ減少</v>
      </c>
      <c r="M19" s="58" t="str">
        <f t="shared" si="5"/>
        <v>[effect:fix_speed,target:myself,turn:1],[effect:enhance_fever, val:0.0]</v>
      </c>
      <c r="N19" s="43" t="str">
        <f t="shared" si="16"/>
        <v>[effect:fix_speed,target:myself,turn:1],[effect:enhance_fever, val:0.0]</v>
      </c>
      <c r="O19" s="58">
        <f t="shared" si="7"/>
        <v>9</v>
      </c>
      <c r="P19" s="58">
        <f t="shared" si="8"/>
        <v>18</v>
      </c>
      <c r="Q19" s="58">
        <f t="shared" si="9"/>
        <v>26</v>
      </c>
      <c r="R19" s="58">
        <f t="shared" si="10"/>
        <v>32</v>
      </c>
      <c r="S19" s="58" t="str">
        <f>IFERROR(VLOOKUP(MID(N19,Q19,R19-Q19),[6]skilldef!$C:$D,2,FALSE),"-") &amp; " / " &amp; IFERROR(VLOOKUP(MID(N19,O19,P19-O19),[6]skilldef!$A:$B,2,FALSE),"-")</f>
        <v>自分自身に / 行動値設定</v>
      </c>
      <c r="T19" s="43" t="str">
        <f t="shared" si="11"/>
        <v>[effect:enhance_fever, val:0.0]</v>
      </c>
      <c r="U19" s="58">
        <f t="shared" si="12"/>
        <v>9</v>
      </c>
      <c r="V19" s="58">
        <f t="shared" si="13"/>
        <v>22</v>
      </c>
      <c r="W19" s="58" t="e">
        <f t="shared" si="14"/>
        <v>#VALUE!</v>
      </c>
      <c r="X19" s="58" t="e">
        <f t="shared" si="15"/>
        <v>#VALUE!</v>
      </c>
      <c r="Y19" s="58" t="str">
        <f>IFERROR(VLOOKUP(MID(T19,W19,X19-W19),[6]skilldef!$C:$D,2,FALSE),"-") &amp; " / " &amp; IFERROR(VLOOKUP(MID(T19,U19,V19-U19),[6]skilldef!$A:$B,2,FALSE),"-")</f>
        <v>- / -</v>
      </c>
      <c r="Z19" s="45" t="s">
        <v>215</v>
      </c>
      <c r="AA19" s="47"/>
      <c r="AB19" s="45"/>
    </row>
    <row r="20" spans="1:28" ht="21" customHeight="1">
      <c r="A20" s="93">
        <v>40006018</v>
      </c>
      <c r="B20" s="93" t="s">
        <v>246</v>
      </c>
      <c r="C20" s="94">
        <v>3</v>
      </c>
      <c r="D20" s="94" t="s">
        <v>111</v>
      </c>
      <c r="E20" s="95" t="s">
        <v>289</v>
      </c>
      <c r="F20" s="95" t="s">
        <v>214</v>
      </c>
      <c r="G20" s="58" t="str">
        <f t="shared" si="0"/>
        <v>[effect:rush, count:6, val:0.25]</v>
      </c>
      <c r="H20" s="58">
        <f t="shared" si="1"/>
        <v>9</v>
      </c>
      <c r="I20" s="58">
        <f t="shared" si="2"/>
        <v>13</v>
      </c>
      <c r="J20" s="58" t="e">
        <f t="shared" si="3"/>
        <v>#VALUE!</v>
      </c>
      <c r="K20" s="58">
        <f t="shared" si="4"/>
        <v>22</v>
      </c>
      <c r="L20" s="58" t="str">
        <f>IFERROR(VLOOKUP(MID(G20,J20,K20-J20),[6]skilldef!$C:$D,2,FALSE),"-") &amp; " / " &amp; IFERROR(VLOOKUP(MID(G20,H20,I20-H20),[6]skilldef!$A:$B,2,FALSE),"-")</f>
        <v>- / 連続攻撃</v>
      </c>
      <c r="M20" s="58" t="str">
        <f t="shared" si="5"/>
        <v>none</v>
      </c>
      <c r="N20" s="43" t="str">
        <f t="shared" si="16"/>
        <v>none</v>
      </c>
      <c r="O20" s="58" t="e">
        <f t="shared" si="7"/>
        <v>#VALUE!</v>
      </c>
      <c r="P20" s="58">
        <f t="shared" si="8"/>
        <v>4</v>
      </c>
      <c r="Q20" s="58" t="e">
        <f t="shared" si="9"/>
        <v>#VALUE!</v>
      </c>
      <c r="R20" s="58" t="e">
        <f t="shared" si="10"/>
        <v>#VALUE!</v>
      </c>
      <c r="S20" s="58" t="str">
        <f>IFERROR(VLOOKUP(MID(N20,Q20,R20-Q20),[6]skilldef!$C:$D,2,FALSE),"-") &amp; " / " &amp; IFERROR(VLOOKUP(MID(N20,O20,P20-O20),[6]skilldef!$A:$B,2,FALSE),"-")</f>
        <v>- / -</v>
      </c>
      <c r="T20" s="43" t="str">
        <f t="shared" si="11"/>
        <v>none</v>
      </c>
      <c r="U20" s="58" t="e">
        <f t="shared" si="12"/>
        <v>#VALUE!</v>
      </c>
      <c r="V20" s="58">
        <f t="shared" si="13"/>
        <v>4</v>
      </c>
      <c r="W20" s="58" t="e">
        <f t="shared" si="14"/>
        <v>#VALUE!</v>
      </c>
      <c r="X20" s="58" t="e">
        <f t="shared" si="15"/>
        <v>#VALUE!</v>
      </c>
      <c r="Y20" s="58" t="str">
        <f>IFERROR(VLOOKUP(MID(T20,W20,X20-W20),[6]skilldef!$C:$D,2,FALSE),"-") &amp; " / " &amp; IFERROR(VLOOKUP(MID(T20,U20,V20-U20),[6]skilldef!$A:$B,2,FALSE),"-")</f>
        <v>- / -</v>
      </c>
      <c r="Z20" s="45" t="s">
        <v>215</v>
      </c>
      <c r="AA20" s="47"/>
      <c r="AB20" s="45"/>
    </row>
    <row r="21" spans="1:28" ht="21" customHeight="1">
      <c r="A21" s="93">
        <v>40006019</v>
      </c>
      <c r="B21" s="93" t="s">
        <v>237</v>
      </c>
      <c r="C21" s="94">
        <v>3</v>
      </c>
      <c r="D21" s="94" t="s">
        <v>111</v>
      </c>
      <c r="E21" s="95" t="s">
        <v>314</v>
      </c>
      <c r="F21" s="95" t="s">
        <v>229</v>
      </c>
      <c r="G21" s="58" t="str">
        <f t="shared" si="0"/>
        <v>[effect:spread, val:0.3]</v>
      </c>
      <c r="H21" s="58">
        <f t="shared" si="1"/>
        <v>9</v>
      </c>
      <c r="I21" s="58">
        <f t="shared" si="2"/>
        <v>15</v>
      </c>
      <c r="J21" s="58" t="e">
        <f t="shared" si="3"/>
        <v>#VALUE!</v>
      </c>
      <c r="K21" s="58" t="e">
        <f t="shared" si="4"/>
        <v>#VALUE!</v>
      </c>
      <c r="L21" s="58" t="str">
        <f>IFERROR(VLOOKUP(MID(G21,J21,K21-J21),[6]skilldef!$C:$D,2,FALSE),"-") &amp; " / " &amp; IFERROR(VLOOKUP(MID(G21,H21,I21-H21),[6]skilldef!$A:$B,2,FALSE),"-")</f>
        <v>- / 全体攻撃</v>
      </c>
      <c r="M21" s="58" t="str">
        <f t="shared" si="5"/>
        <v>[effect:heal, target:enemy_one, val:0.1, animation:enemy_heal]</v>
      </c>
      <c r="N21" s="43" t="str">
        <f t="shared" si="16"/>
        <v>[effect:heal, target:enemy_one, val:0.1, animation:enemy_heal]</v>
      </c>
      <c r="O21" s="58">
        <f t="shared" si="7"/>
        <v>9</v>
      </c>
      <c r="P21" s="58">
        <f t="shared" si="8"/>
        <v>13</v>
      </c>
      <c r="Q21" s="58">
        <f t="shared" si="9"/>
        <v>22</v>
      </c>
      <c r="R21" s="58">
        <f t="shared" si="10"/>
        <v>31</v>
      </c>
      <c r="S21" s="58" t="str">
        <f>IFERROR(VLOOKUP(MID(N21,Q21,R21-Q21),[6]skilldef!$C:$D,2,FALSE),"-") &amp; " / " &amp; IFERROR(VLOOKUP(MID(N21,O21,P21-O21),[6]skilldef!$A:$B,2,FALSE),"-")</f>
        <v>敵単体に / 回復</v>
      </c>
      <c r="T21" s="43" t="str">
        <f t="shared" si="11"/>
        <v>none</v>
      </c>
      <c r="U21" s="58" t="e">
        <f t="shared" si="12"/>
        <v>#VALUE!</v>
      </c>
      <c r="V21" s="58">
        <f t="shared" si="13"/>
        <v>4</v>
      </c>
      <c r="W21" s="58" t="e">
        <f t="shared" si="14"/>
        <v>#VALUE!</v>
      </c>
      <c r="X21" s="58" t="e">
        <f t="shared" si="15"/>
        <v>#VALUE!</v>
      </c>
      <c r="Y21" s="58" t="str">
        <f>IFERROR(VLOOKUP(MID(T21,W21,X21-W21),[6]skilldef!$C:$D,2,FALSE),"-") &amp; " / " &amp; IFERROR(VLOOKUP(MID(T21,U21,V21-U21),[6]skilldef!$A:$B,2,FALSE),"-")</f>
        <v>- / -</v>
      </c>
      <c r="Z21" s="45" t="s">
        <v>215</v>
      </c>
      <c r="AA21" s="47"/>
      <c r="AB21" s="45"/>
    </row>
    <row r="22" spans="1:28" ht="21" customHeight="1">
      <c r="A22" s="93">
        <v>40006020</v>
      </c>
      <c r="B22" s="93" t="s">
        <v>296</v>
      </c>
      <c r="C22" s="94">
        <v>3</v>
      </c>
      <c r="D22" s="94" t="s">
        <v>111</v>
      </c>
      <c r="E22" s="95" t="s">
        <v>384</v>
      </c>
      <c r="F22" s="95" t="s">
        <v>373</v>
      </c>
      <c r="G22" s="58" t="str">
        <f t="shared" si="0"/>
        <v>[effect:change_block, new_block:jammer, target:block_all, count:4, val:0, animation:change_block]</v>
      </c>
      <c r="H22" s="58">
        <f t="shared" si="1"/>
        <v>9</v>
      </c>
      <c r="I22" s="58">
        <f t="shared" si="2"/>
        <v>21</v>
      </c>
      <c r="J22" s="58">
        <f t="shared" si="3"/>
        <v>48</v>
      </c>
      <c r="K22" s="58">
        <f t="shared" si="4"/>
        <v>39</v>
      </c>
      <c r="L22" s="58" t="str">
        <f>IFERROR(VLOOKUP(MID(G22,J22,K22-J22),[6]skilldef!$C:$D,2,FALSE),"-") &amp; " / " &amp; IFERROR(VLOOKUP(MID(G22,H22,I22-H22),[6]skilldef!$A:$B,2,FALSE),"-")</f>
        <v>- / ブロック変換</v>
      </c>
      <c r="M22" s="58" t="str">
        <f t="shared" si="5"/>
        <v>none</v>
      </c>
      <c r="N22" s="43" t="str">
        <f t="shared" si="16"/>
        <v>none</v>
      </c>
      <c r="O22" s="58" t="e">
        <f t="shared" si="7"/>
        <v>#VALUE!</v>
      </c>
      <c r="P22" s="58">
        <f t="shared" si="8"/>
        <v>4</v>
      </c>
      <c r="Q22" s="58" t="e">
        <f t="shared" si="9"/>
        <v>#VALUE!</v>
      </c>
      <c r="R22" s="58" t="e">
        <f t="shared" si="10"/>
        <v>#VALUE!</v>
      </c>
      <c r="S22" s="58" t="str">
        <f>IFERROR(VLOOKUP(MID(N22,Q22,R22-Q22),[6]skilldef!$C:$D,2,FALSE),"-") &amp; " / " &amp; IFERROR(VLOOKUP(MID(N22,O22,P22-O22),[6]skilldef!$A:$B,2,FALSE),"-")</f>
        <v>- / -</v>
      </c>
      <c r="T22" s="43" t="str">
        <f t="shared" si="11"/>
        <v>none</v>
      </c>
      <c r="U22" s="58" t="e">
        <f t="shared" si="12"/>
        <v>#VALUE!</v>
      </c>
      <c r="V22" s="58">
        <f t="shared" si="13"/>
        <v>4</v>
      </c>
      <c r="W22" s="58" t="e">
        <f t="shared" si="14"/>
        <v>#VALUE!</v>
      </c>
      <c r="X22" s="58" t="e">
        <f t="shared" si="15"/>
        <v>#VALUE!</v>
      </c>
      <c r="Y22" s="58" t="str">
        <f>IFERROR(VLOOKUP(MID(T22,W22,X22-W22),[6]skilldef!$C:$D,2,FALSE),"-") &amp; " / " &amp; IFERROR(VLOOKUP(MID(T22,U22,V22-U22),[6]skilldef!$A:$B,2,FALSE),"-")</f>
        <v>- / -</v>
      </c>
      <c r="Z22" s="45" t="s">
        <v>215</v>
      </c>
      <c r="AA22" s="47"/>
      <c r="AB22" s="45"/>
    </row>
    <row r="23" spans="1:28" ht="21" customHeight="1">
      <c r="A23" s="93">
        <v>40006021</v>
      </c>
      <c r="B23" s="93" t="s">
        <v>238</v>
      </c>
      <c r="C23" s="94">
        <v>3</v>
      </c>
      <c r="D23" s="94" t="s">
        <v>111</v>
      </c>
      <c r="E23" s="95" t="s">
        <v>290</v>
      </c>
      <c r="F23" s="95" t="s">
        <v>242</v>
      </c>
      <c r="G23" s="58" t="str">
        <f t="shared" si="0"/>
        <v>[effect:break_attack_fix, val:1250, lowest_val:666, count:-1, block:jammer, target:unit_one]</v>
      </c>
      <c r="H23" s="58">
        <f t="shared" si="1"/>
        <v>9</v>
      </c>
      <c r="I23" s="58">
        <f t="shared" si="2"/>
        <v>25</v>
      </c>
      <c r="J23" s="58">
        <f t="shared" si="3"/>
        <v>84</v>
      </c>
      <c r="K23" s="58">
        <f t="shared" si="4"/>
        <v>35</v>
      </c>
      <c r="L23" s="58" t="str">
        <f>IFERROR(VLOOKUP(MID(G23,J23,K23-J23),[6]skilldef!$C:$D,2,FALSE),"-") &amp; " / " &amp; IFERROR(VLOOKUP(MID(G23,H23,I23-H23),[6]skilldef!$A:$B,2,FALSE),"-")</f>
        <v>- / -</v>
      </c>
      <c r="M23" s="58" t="str">
        <f t="shared" si="5"/>
        <v>none</v>
      </c>
      <c r="N23" s="43" t="str">
        <f t="shared" si="16"/>
        <v>none</v>
      </c>
      <c r="O23" s="58" t="e">
        <f t="shared" si="7"/>
        <v>#VALUE!</v>
      </c>
      <c r="P23" s="58">
        <f t="shared" si="8"/>
        <v>4</v>
      </c>
      <c r="Q23" s="58" t="e">
        <f t="shared" si="9"/>
        <v>#VALUE!</v>
      </c>
      <c r="R23" s="58" t="e">
        <f t="shared" si="10"/>
        <v>#VALUE!</v>
      </c>
      <c r="S23" s="58" t="str">
        <f>IFERROR(VLOOKUP(MID(N23,Q23,R23-Q23),[6]skilldef!$C:$D,2,FALSE),"-") &amp; " / " &amp; IFERROR(VLOOKUP(MID(N23,O23,P23-O23),[6]skilldef!$A:$B,2,FALSE),"-")</f>
        <v>- / -</v>
      </c>
      <c r="T23" s="43" t="str">
        <f t="shared" si="11"/>
        <v>none</v>
      </c>
      <c r="U23" s="58" t="e">
        <f t="shared" si="12"/>
        <v>#VALUE!</v>
      </c>
      <c r="V23" s="58">
        <f t="shared" si="13"/>
        <v>4</v>
      </c>
      <c r="W23" s="58" t="e">
        <f t="shared" si="14"/>
        <v>#VALUE!</v>
      </c>
      <c r="X23" s="58" t="e">
        <f t="shared" si="15"/>
        <v>#VALUE!</v>
      </c>
      <c r="Y23" s="58" t="str">
        <f>IFERROR(VLOOKUP(MID(T23,W23,X23-W23),[6]skilldef!$C:$D,2,FALSE),"-") &amp; " / " &amp; IFERROR(VLOOKUP(MID(T23,U23,V23-U23),[6]skilldef!$A:$B,2,FALSE),"-")</f>
        <v>- / -</v>
      </c>
      <c r="Z23" s="45" t="s">
        <v>215</v>
      </c>
      <c r="AA23" s="47"/>
      <c r="AB23" s="45"/>
    </row>
    <row r="24" spans="1:28" ht="21" customHeight="1">
      <c r="A24" s="42">
        <v>40006022</v>
      </c>
      <c r="B24" s="42" t="s">
        <v>383</v>
      </c>
      <c r="C24" s="45">
        <v>3</v>
      </c>
      <c r="D24" s="45" t="s">
        <v>111</v>
      </c>
      <c r="E24" s="46" t="s">
        <v>362</v>
      </c>
      <c r="F24" s="46" t="s">
        <v>363</v>
      </c>
      <c r="G24" s="58" t="str">
        <f t="shared" si="0"/>
        <v>[effect:tolerance, target:myself, turn:-1, tolerance_effect:hungup, count:-1, animation:enemy_tolerance]</v>
      </c>
      <c r="H24" s="58">
        <f t="shared" si="1"/>
        <v>9</v>
      </c>
      <c r="I24" s="58">
        <f t="shared" si="2"/>
        <v>18</v>
      </c>
      <c r="J24" s="58">
        <f t="shared" si="3"/>
        <v>27</v>
      </c>
      <c r="K24" s="58">
        <f t="shared" si="4"/>
        <v>33</v>
      </c>
      <c r="L24" s="58" t="str">
        <f>IFERROR(VLOOKUP(MID(G24,J24,K24-J24),[6]skilldef!$C:$D,2,FALSE),"-") &amp; " / " &amp; IFERROR(VLOOKUP(MID(G24,H24,I24-H24),[6]skilldef!$A:$B,2,FALSE),"-")</f>
        <v>自分自身に / 状態異常耐性</v>
      </c>
      <c r="M24" s="58" t="str">
        <f t="shared" si="5"/>
        <v>none</v>
      </c>
      <c r="N24" s="43" t="str">
        <f>IFERROR(LEFT(M24,FIND("],",M24)+S38),M24)</f>
        <v>none</v>
      </c>
      <c r="O24" s="58" t="e">
        <f t="shared" si="7"/>
        <v>#VALUE!</v>
      </c>
      <c r="P24" s="58">
        <f t="shared" si="8"/>
        <v>4</v>
      </c>
      <c r="Q24" s="58" t="e">
        <f t="shared" si="9"/>
        <v>#VALUE!</v>
      </c>
      <c r="R24" s="58" t="e">
        <f t="shared" si="10"/>
        <v>#VALUE!</v>
      </c>
      <c r="S24" s="58" t="str">
        <f>IFERROR(VLOOKUP(MID(N24,Q24,R24-Q24),[6]skilldef!$C:$D,2,FALSE),"-") &amp; " / " &amp; IFERROR(VLOOKUP(MID(N24,O24,P24-O24),[6]skilldef!$A:$B,2,FALSE),"-")</f>
        <v>- / -</v>
      </c>
      <c r="T24" s="43" t="str">
        <f t="shared" si="11"/>
        <v>none</v>
      </c>
      <c r="U24" s="58" t="e">
        <f t="shared" si="12"/>
        <v>#VALUE!</v>
      </c>
      <c r="V24" s="58">
        <f t="shared" si="13"/>
        <v>4</v>
      </c>
      <c r="W24" s="58" t="e">
        <f t="shared" si="14"/>
        <v>#VALUE!</v>
      </c>
      <c r="X24" s="58" t="e">
        <f t="shared" si="15"/>
        <v>#VALUE!</v>
      </c>
      <c r="Y24" s="58" t="str">
        <f>IFERROR(VLOOKUP(MID(T24,W24,X24-W24),[6]skilldef!$C:$D,2,FALSE),"-") &amp; " / " &amp; IFERROR(VLOOKUP(MID(T24,U24,V24-U24),[6]skilldef!$A:$B,2,FALSE),"-")</f>
        <v>- / -</v>
      </c>
      <c r="Z24" s="45" t="s">
        <v>215</v>
      </c>
      <c r="AA24" s="47"/>
      <c r="AB24" s="45"/>
    </row>
    <row r="25" spans="1:28" ht="21" customHeight="1">
      <c r="A25" s="42">
        <v>40006023</v>
      </c>
      <c r="B25" s="42" t="s">
        <v>306</v>
      </c>
      <c r="C25" s="45">
        <v>3</v>
      </c>
      <c r="D25" s="45" t="s">
        <v>111</v>
      </c>
      <c r="E25" s="46" t="s">
        <v>334</v>
      </c>
      <c r="F25" s="46" t="s">
        <v>216</v>
      </c>
      <c r="G25" s="58" t="str">
        <f t="shared" si="0"/>
        <v>[effect:rush, count:3, val:0.36]</v>
      </c>
      <c r="H25" s="58">
        <f t="shared" si="1"/>
        <v>9</v>
      </c>
      <c r="I25" s="58">
        <f t="shared" si="2"/>
        <v>13</v>
      </c>
      <c r="J25" s="58" t="e">
        <f t="shared" si="3"/>
        <v>#VALUE!</v>
      </c>
      <c r="K25" s="58">
        <f t="shared" si="4"/>
        <v>22</v>
      </c>
      <c r="L25" s="58" t="str">
        <f>IFERROR(VLOOKUP(MID(G25,J25,K25-J25),[6]skilldef!$C:$D,2,FALSE),"-") &amp; " / " &amp; IFERROR(VLOOKUP(MID(G25,H25,I25-H25),[6]skilldef!$A:$B,2,FALSE),"-")</f>
        <v>- / 連続攻撃</v>
      </c>
      <c r="M25" s="58" t="str">
        <f t="shared" si="5"/>
        <v>none</v>
      </c>
      <c r="N25" s="43" t="str">
        <f>IFERROR(LEFT(M25,FIND("],",M25)+S39),M25)</f>
        <v>none</v>
      </c>
      <c r="O25" s="58" t="e">
        <f t="shared" si="7"/>
        <v>#VALUE!</v>
      </c>
      <c r="P25" s="58">
        <f t="shared" si="8"/>
        <v>4</v>
      </c>
      <c r="Q25" s="58" t="e">
        <f t="shared" si="9"/>
        <v>#VALUE!</v>
      </c>
      <c r="R25" s="58" t="e">
        <f t="shared" si="10"/>
        <v>#VALUE!</v>
      </c>
      <c r="S25" s="58" t="str">
        <f>IFERROR(VLOOKUP(MID(N25,Q25,R25-Q25),[6]skilldef!$C:$D,2,FALSE),"-") &amp; " / " &amp; IFERROR(VLOOKUP(MID(N25,O25,P25-O25),[6]skilldef!$A:$B,2,FALSE),"-")</f>
        <v>- / -</v>
      </c>
      <c r="T25" s="43" t="str">
        <f t="shared" si="11"/>
        <v>none</v>
      </c>
      <c r="U25" s="58" t="e">
        <f t="shared" si="12"/>
        <v>#VALUE!</v>
      </c>
      <c r="V25" s="58">
        <f t="shared" si="13"/>
        <v>4</v>
      </c>
      <c r="W25" s="58" t="e">
        <f t="shared" si="14"/>
        <v>#VALUE!</v>
      </c>
      <c r="X25" s="58" t="e">
        <f t="shared" si="15"/>
        <v>#VALUE!</v>
      </c>
      <c r="Y25" s="58" t="str">
        <f>IFERROR(VLOOKUP(MID(T25,W25,X25-W25),[6]skilldef!$C:$D,2,FALSE),"-") &amp; " / " &amp; IFERROR(VLOOKUP(MID(T25,U25,V25-U25),[6]skilldef!$A:$B,2,FALSE),"-")</f>
        <v>- / -</v>
      </c>
      <c r="Z25" s="45" t="s">
        <v>215</v>
      </c>
      <c r="AA25" s="47"/>
      <c r="AB25" s="45"/>
    </row>
    <row r="26" spans="1:28" ht="21" customHeight="1">
      <c r="A26" s="42">
        <v>40006024</v>
      </c>
      <c r="B26" s="42" t="s">
        <v>247</v>
      </c>
      <c r="C26" s="45">
        <v>3</v>
      </c>
      <c r="D26" s="45" t="s">
        <v>111</v>
      </c>
      <c r="E26" s="46" t="s">
        <v>335</v>
      </c>
      <c r="F26" s="46" t="s">
        <v>217</v>
      </c>
      <c r="G26" s="58" t="str">
        <f t="shared" si="0"/>
        <v>[effect:rush, count:4, val:0.34]</v>
      </c>
      <c r="H26" s="58">
        <f t="shared" si="1"/>
        <v>9</v>
      </c>
      <c r="I26" s="58">
        <f t="shared" si="2"/>
        <v>13</v>
      </c>
      <c r="J26" s="58" t="e">
        <f t="shared" si="3"/>
        <v>#VALUE!</v>
      </c>
      <c r="K26" s="58">
        <f t="shared" si="4"/>
        <v>22</v>
      </c>
      <c r="L26" s="58" t="str">
        <f>IFERROR(VLOOKUP(MID(G26,J26,K26-J26),[6]skilldef!$C:$D,2,FALSE),"-") &amp; " / " &amp; IFERROR(VLOOKUP(MID(G26,H26,I26-H26),[6]skilldef!$A:$B,2,FALSE),"-")</f>
        <v>- / 連続攻撃</v>
      </c>
      <c r="M26" s="58" t="str">
        <f t="shared" si="5"/>
        <v>none</v>
      </c>
      <c r="N26" s="43" t="str">
        <f>IFERROR(LEFT(M26,FIND("],",M26)+S40),M26)</f>
        <v>none</v>
      </c>
      <c r="O26" s="58" t="e">
        <f t="shared" si="7"/>
        <v>#VALUE!</v>
      </c>
      <c r="P26" s="58">
        <f t="shared" si="8"/>
        <v>4</v>
      </c>
      <c r="Q26" s="58" t="e">
        <f t="shared" si="9"/>
        <v>#VALUE!</v>
      </c>
      <c r="R26" s="58" t="e">
        <f t="shared" si="10"/>
        <v>#VALUE!</v>
      </c>
      <c r="S26" s="58" t="str">
        <f>IFERROR(VLOOKUP(MID(N26,Q26,R26-Q26),[6]skilldef!$C:$D,2,FALSE),"-") &amp; " / " &amp; IFERROR(VLOOKUP(MID(N26,O26,P26-O26),[6]skilldef!$A:$B,2,FALSE),"-")</f>
        <v>- / -</v>
      </c>
      <c r="T26" s="43" t="str">
        <f t="shared" si="11"/>
        <v>none</v>
      </c>
      <c r="U26" s="58" t="e">
        <f t="shared" si="12"/>
        <v>#VALUE!</v>
      </c>
      <c r="V26" s="58">
        <f t="shared" si="13"/>
        <v>4</v>
      </c>
      <c r="W26" s="58" t="e">
        <f t="shared" si="14"/>
        <v>#VALUE!</v>
      </c>
      <c r="X26" s="58" t="e">
        <f t="shared" si="15"/>
        <v>#VALUE!</v>
      </c>
      <c r="Y26" s="58" t="str">
        <f>IFERROR(VLOOKUP(MID(T26,W26,X26-W26),[6]skilldef!$C:$D,2,FALSE),"-") &amp; " / " &amp; IFERROR(VLOOKUP(MID(T26,U26,V26-U26),[6]skilldef!$A:$B,2,FALSE),"-")</f>
        <v>- / -</v>
      </c>
      <c r="Z26" s="45" t="s">
        <v>215</v>
      </c>
      <c r="AA26" s="47"/>
      <c r="AB26" s="45"/>
    </row>
    <row r="27" spans="1:28" ht="21" customHeight="1">
      <c r="A27" s="42">
        <v>40006025</v>
      </c>
      <c r="B27" s="42" t="s">
        <v>305</v>
      </c>
      <c r="C27" s="45">
        <v>3</v>
      </c>
      <c r="D27" s="45" t="s">
        <v>111</v>
      </c>
      <c r="E27" s="46" t="s">
        <v>336</v>
      </c>
      <c r="F27" s="46" t="s">
        <v>218</v>
      </c>
      <c r="G27" s="58" t="str">
        <f t="shared" si="0"/>
        <v>[effect:rush, count:5, val:0.32]</v>
      </c>
      <c r="H27" s="58">
        <f t="shared" si="1"/>
        <v>9</v>
      </c>
      <c r="I27" s="58">
        <f t="shared" si="2"/>
        <v>13</v>
      </c>
      <c r="J27" s="58" t="e">
        <f t="shared" si="3"/>
        <v>#VALUE!</v>
      </c>
      <c r="K27" s="58">
        <f t="shared" si="4"/>
        <v>22</v>
      </c>
      <c r="L27" s="58" t="str">
        <f>IFERROR(VLOOKUP(MID(G27,J27,K27-J27),[6]skilldef!$C:$D,2,FALSE),"-") &amp; " / " &amp; IFERROR(VLOOKUP(MID(G27,H27,I27-H27),[6]skilldef!$A:$B,2,FALSE),"-")</f>
        <v>- / 連続攻撃</v>
      </c>
      <c r="M27" s="58" t="str">
        <f t="shared" si="5"/>
        <v>none</v>
      </c>
      <c r="N27" s="43" t="str">
        <f>IFERROR(LEFT(M27,FIND("],",M27)+S43),M27)</f>
        <v>none</v>
      </c>
      <c r="O27" s="58" t="e">
        <f t="shared" si="7"/>
        <v>#VALUE!</v>
      </c>
      <c r="P27" s="58">
        <f t="shared" si="8"/>
        <v>4</v>
      </c>
      <c r="Q27" s="58" t="e">
        <f t="shared" si="9"/>
        <v>#VALUE!</v>
      </c>
      <c r="R27" s="58" t="e">
        <f t="shared" si="10"/>
        <v>#VALUE!</v>
      </c>
      <c r="S27" s="58" t="str">
        <f>IFERROR(VLOOKUP(MID(N27,Q27,R27-Q27),[6]skilldef!$C:$D,2,FALSE),"-") &amp; " / " &amp; IFERROR(VLOOKUP(MID(N27,O27,P27-O27),[6]skilldef!$A:$B,2,FALSE),"-")</f>
        <v>- / -</v>
      </c>
      <c r="T27" s="43" t="str">
        <f t="shared" si="11"/>
        <v>none</v>
      </c>
      <c r="U27" s="58" t="e">
        <f t="shared" si="12"/>
        <v>#VALUE!</v>
      </c>
      <c r="V27" s="58">
        <f t="shared" si="13"/>
        <v>4</v>
      </c>
      <c r="W27" s="58" t="e">
        <f t="shared" si="14"/>
        <v>#VALUE!</v>
      </c>
      <c r="X27" s="58" t="e">
        <f t="shared" si="15"/>
        <v>#VALUE!</v>
      </c>
      <c r="Y27" s="58" t="str">
        <f>IFERROR(VLOOKUP(MID(T27,W27,X27-W27),[6]skilldef!$C:$D,2,FALSE),"-") &amp; " / " &amp; IFERROR(VLOOKUP(MID(T27,U27,V27-U27),[6]skilldef!$A:$B,2,FALSE),"-")</f>
        <v>- / -</v>
      </c>
      <c r="Z27" s="45" t="s">
        <v>215</v>
      </c>
      <c r="AA27" s="47"/>
      <c r="AB27" s="45"/>
    </row>
    <row r="28" spans="1:28" ht="21" customHeight="1">
      <c r="A28" s="42">
        <v>40006026</v>
      </c>
      <c r="B28" s="42" t="s">
        <v>304</v>
      </c>
      <c r="C28" s="45">
        <v>3</v>
      </c>
      <c r="D28" s="45" t="s">
        <v>111</v>
      </c>
      <c r="E28" s="46" t="s">
        <v>337</v>
      </c>
      <c r="F28" s="46" t="s">
        <v>219</v>
      </c>
      <c r="G28" s="58" t="str">
        <f t="shared" si="0"/>
        <v>[effect:rush, count:6, val:0.3]</v>
      </c>
      <c r="H28" s="58">
        <f t="shared" si="1"/>
        <v>9</v>
      </c>
      <c r="I28" s="58">
        <f t="shared" si="2"/>
        <v>13</v>
      </c>
      <c r="J28" s="58" t="e">
        <f t="shared" si="3"/>
        <v>#VALUE!</v>
      </c>
      <c r="K28" s="58">
        <f t="shared" si="4"/>
        <v>22</v>
      </c>
      <c r="L28" s="58" t="str">
        <f>IFERROR(VLOOKUP(MID(G28,J28,K28-J28),[6]skilldef!$C:$D,2,FALSE),"-") &amp; " / " &amp; IFERROR(VLOOKUP(MID(G28,H28,I28-H28),[6]skilldef!$A:$B,2,FALSE),"-")</f>
        <v>- / 連続攻撃</v>
      </c>
      <c r="M28" s="58" t="str">
        <f t="shared" si="5"/>
        <v>none</v>
      </c>
      <c r="N28" s="43" t="str">
        <f>IFERROR(LEFT(M28,FIND("],",M28)+S44),M28)</f>
        <v>none</v>
      </c>
      <c r="O28" s="58" t="e">
        <f t="shared" si="7"/>
        <v>#VALUE!</v>
      </c>
      <c r="P28" s="58">
        <f t="shared" si="8"/>
        <v>4</v>
      </c>
      <c r="Q28" s="58" t="e">
        <f t="shared" si="9"/>
        <v>#VALUE!</v>
      </c>
      <c r="R28" s="58" t="e">
        <f t="shared" si="10"/>
        <v>#VALUE!</v>
      </c>
      <c r="S28" s="58" t="str">
        <f>IFERROR(VLOOKUP(MID(N28,Q28,R28-Q28),[6]skilldef!$C:$D,2,FALSE),"-") &amp; " / " &amp; IFERROR(VLOOKUP(MID(N28,O28,P28-O28),[6]skilldef!$A:$B,2,FALSE),"-")</f>
        <v>- / -</v>
      </c>
      <c r="T28" s="43" t="str">
        <f t="shared" si="11"/>
        <v>none</v>
      </c>
      <c r="U28" s="58" t="e">
        <f t="shared" si="12"/>
        <v>#VALUE!</v>
      </c>
      <c r="V28" s="58">
        <f t="shared" si="13"/>
        <v>4</v>
      </c>
      <c r="W28" s="58" t="e">
        <f t="shared" si="14"/>
        <v>#VALUE!</v>
      </c>
      <c r="X28" s="58" t="e">
        <f t="shared" si="15"/>
        <v>#VALUE!</v>
      </c>
      <c r="Y28" s="58" t="str">
        <f>IFERROR(VLOOKUP(MID(T28,W28,X28-W28),[6]skilldef!$C:$D,2,FALSE),"-") &amp; " / " &amp; IFERROR(VLOOKUP(MID(T28,U28,V28-U28),[6]skilldef!$A:$B,2,FALSE),"-")</f>
        <v>- / -</v>
      </c>
      <c r="Z28" s="45" t="s">
        <v>215</v>
      </c>
      <c r="AA28" s="47"/>
      <c r="AB28" s="45"/>
    </row>
    <row r="29" spans="1:28" ht="21" customHeight="1">
      <c r="A29" s="42">
        <v>40006027</v>
      </c>
      <c r="B29" s="42" t="s">
        <v>239</v>
      </c>
      <c r="C29" s="45">
        <v>3</v>
      </c>
      <c r="D29" s="45" t="s">
        <v>111</v>
      </c>
      <c r="E29" s="46" t="s">
        <v>312</v>
      </c>
      <c r="F29" s="46" t="s">
        <v>220</v>
      </c>
      <c r="G29" s="58" t="str">
        <f t="shared" si="0"/>
        <v>[effect:spread, val:0.3]</v>
      </c>
      <c r="H29" s="58">
        <f t="shared" si="1"/>
        <v>9</v>
      </c>
      <c r="I29" s="58">
        <f t="shared" si="2"/>
        <v>15</v>
      </c>
      <c r="J29" s="58" t="e">
        <f t="shared" si="3"/>
        <v>#VALUE!</v>
      </c>
      <c r="K29" s="58" t="e">
        <f t="shared" si="4"/>
        <v>#VALUE!</v>
      </c>
      <c r="L29" s="58" t="str">
        <f>IFERROR(VLOOKUP(MID(G29,J29,K29-J29),[6]skilldef!$C:$D,2,FALSE),"-") &amp; " / " &amp; IFERROR(VLOOKUP(MID(G29,H29,I29-H29),[6]skilldef!$A:$B,2,FALSE),"-")</f>
        <v>- / 全体攻撃</v>
      </c>
      <c r="M29" s="58" t="str">
        <f t="shared" si="5"/>
        <v>none</v>
      </c>
      <c r="N29" s="43" t="str">
        <f>IFERROR(LEFT(M29,FIND("],",M29)+S45),M29)</f>
        <v>none</v>
      </c>
      <c r="O29" s="58" t="e">
        <f t="shared" si="7"/>
        <v>#VALUE!</v>
      </c>
      <c r="P29" s="58">
        <f t="shared" si="8"/>
        <v>4</v>
      </c>
      <c r="Q29" s="58" t="e">
        <f t="shared" si="9"/>
        <v>#VALUE!</v>
      </c>
      <c r="R29" s="58" t="e">
        <f t="shared" si="10"/>
        <v>#VALUE!</v>
      </c>
      <c r="S29" s="58" t="str">
        <f>IFERROR(VLOOKUP(MID(N29,Q29,R29-Q29),[6]skilldef!$C:$D,2,FALSE),"-") &amp; " / " &amp; IFERROR(VLOOKUP(MID(N29,O29,P29-O29),[6]skilldef!$A:$B,2,FALSE),"-")</f>
        <v>- / -</v>
      </c>
      <c r="T29" s="43" t="str">
        <f t="shared" si="11"/>
        <v>none</v>
      </c>
      <c r="U29" s="58" t="e">
        <f t="shared" si="12"/>
        <v>#VALUE!</v>
      </c>
      <c r="V29" s="58">
        <f t="shared" si="13"/>
        <v>4</v>
      </c>
      <c r="W29" s="58" t="e">
        <f t="shared" si="14"/>
        <v>#VALUE!</v>
      </c>
      <c r="X29" s="58" t="e">
        <f t="shared" si="15"/>
        <v>#VALUE!</v>
      </c>
      <c r="Y29" s="58" t="str">
        <f>IFERROR(VLOOKUP(MID(T29,W29,X29-W29),[6]skilldef!$C:$D,2,FALSE),"-") &amp; " / " &amp; IFERROR(VLOOKUP(MID(T29,U29,V29-U29),[6]skilldef!$A:$B,2,FALSE),"-")</f>
        <v>- / -</v>
      </c>
      <c r="Z29" s="45" t="s">
        <v>215</v>
      </c>
      <c r="AA29" s="47"/>
      <c r="AB29" s="45"/>
    </row>
    <row r="30" spans="1:28" ht="21" customHeight="1">
      <c r="A30" s="42">
        <v>40006028</v>
      </c>
      <c r="B30" s="42" t="s">
        <v>350</v>
      </c>
      <c r="C30" s="45">
        <v>3</v>
      </c>
      <c r="D30" s="45" t="s">
        <v>111</v>
      </c>
      <c r="E30" s="46" t="s">
        <v>311</v>
      </c>
      <c r="F30" s="46" t="s">
        <v>349</v>
      </c>
      <c r="G30" s="58" t="str">
        <f t="shared" si="0"/>
        <v>[effect:enhance_enemy, target:myself, turn:5, status:attack, val:0.3, animation:enemy_enhance_attack]</v>
      </c>
      <c r="H30" s="58">
        <f t="shared" si="1"/>
        <v>9</v>
      </c>
      <c r="I30" s="58">
        <f t="shared" si="2"/>
        <v>22</v>
      </c>
      <c r="J30" s="58">
        <f t="shared" si="3"/>
        <v>31</v>
      </c>
      <c r="K30" s="58">
        <f t="shared" si="4"/>
        <v>37</v>
      </c>
      <c r="L30" s="58" t="str">
        <f>IFERROR(VLOOKUP(MID(G30,J30,K30-J30),[6]skilldef!$C:$D,2,FALSE),"-") &amp; " / " &amp; IFERROR(VLOOKUP(MID(G30,H30,I30-H30),[6]skilldef!$A:$B,2,FALSE),"-")</f>
        <v>自分自身に / ステータス強化</v>
      </c>
      <c r="M30" s="58" t="str">
        <f t="shared" si="5"/>
        <v>none</v>
      </c>
      <c r="N30" s="43" t="str">
        <f>IFERROR(LEFT(M30,FIND("],",M30)+S43),M30)</f>
        <v>none</v>
      </c>
      <c r="O30" s="58" t="e">
        <f t="shared" si="7"/>
        <v>#VALUE!</v>
      </c>
      <c r="P30" s="58">
        <f t="shared" si="8"/>
        <v>4</v>
      </c>
      <c r="Q30" s="58" t="e">
        <f t="shared" si="9"/>
        <v>#VALUE!</v>
      </c>
      <c r="R30" s="58" t="e">
        <f t="shared" si="10"/>
        <v>#VALUE!</v>
      </c>
      <c r="S30" s="58" t="str">
        <f>IFERROR(VLOOKUP(MID(N30,Q30,R30-Q30),[6]skilldef!$C:$D,2,FALSE),"-") &amp; " / " &amp; IFERROR(VLOOKUP(MID(N30,O30,P30-O30),[6]skilldef!$A:$B,2,FALSE),"-")</f>
        <v>- / -</v>
      </c>
      <c r="T30" s="43" t="str">
        <f t="shared" si="11"/>
        <v>none</v>
      </c>
      <c r="U30" s="58" t="e">
        <f t="shared" si="12"/>
        <v>#VALUE!</v>
      </c>
      <c r="V30" s="58">
        <f t="shared" si="13"/>
        <v>4</v>
      </c>
      <c r="W30" s="58" t="e">
        <f t="shared" si="14"/>
        <v>#VALUE!</v>
      </c>
      <c r="X30" s="58" t="e">
        <f t="shared" si="15"/>
        <v>#VALUE!</v>
      </c>
      <c r="Y30" s="58" t="str">
        <f>IFERROR(VLOOKUP(MID(T30,W30,X30-W30),[6]skilldef!$C:$D,2,FALSE),"-") &amp; " / " &amp; IFERROR(VLOOKUP(MID(T30,U30,V30-U30),[6]skilldef!$A:$B,2,FALSE),"-")</f>
        <v>- / -</v>
      </c>
      <c r="Z30" s="45" t="s">
        <v>215</v>
      </c>
      <c r="AA30" s="47"/>
      <c r="AB30" s="45"/>
    </row>
    <row r="31" spans="1:28" ht="21" customHeight="1">
      <c r="A31" s="93">
        <v>40006029</v>
      </c>
      <c r="B31" s="93" t="s">
        <v>404</v>
      </c>
      <c r="C31" s="94">
        <v>3</v>
      </c>
      <c r="D31" s="94" t="s">
        <v>111</v>
      </c>
      <c r="E31" s="95" t="s">
        <v>364</v>
      </c>
      <c r="F31" s="95" t="s">
        <v>326</v>
      </c>
      <c r="G31" s="58" t="str">
        <f t="shared" si="0"/>
        <v>[effect:break_enchance_enemy, val:0.03, lowest_val:0.06, count:8, status:attack, turn:-1, block:block_heart, target:myself, calc:mul, animation:enemy_enhance_attack]</v>
      </c>
      <c r="H31" s="58">
        <f t="shared" si="1"/>
        <v>9</v>
      </c>
      <c r="I31" s="58">
        <f t="shared" si="2"/>
        <v>29</v>
      </c>
      <c r="J31" s="58">
        <f t="shared" si="3"/>
        <v>117</v>
      </c>
      <c r="K31" s="58">
        <f t="shared" si="4"/>
        <v>39</v>
      </c>
      <c r="L31" s="58" t="str">
        <f>IFERROR(VLOOKUP(MID(G31,J31,K31-J31),[6]skilldef!$C:$D,2,FALSE),"-") &amp; " / " &amp; IFERROR(VLOOKUP(MID(G31,H31,I31-H31),[6]skilldef!$A:$B,2,FALSE),"-")</f>
        <v>- / -</v>
      </c>
      <c r="M31" s="58" t="str">
        <f t="shared" si="5"/>
        <v>[effect:tolerance, target:myself, turn:-1, tolerance_effect:hungup, count:-1, animation:enemy_tolerance]</v>
      </c>
      <c r="N31" s="43" t="str">
        <f t="shared" ref="N31:N37" si="17">IFERROR(LEFT(M31,FIND("],",M31)+S44),M31)</f>
        <v>[effect:tolerance, target:myself, turn:-1, tolerance_effect:hungup, count:-1, animation:enemy_tolerance]</v>
      </c>
      <c r="O31" s="58">
        <f t="shared" si="7"/>
        <v>9</v>
      </c>
      <c r="P31" s="58">
        <f t="shared" si="8"/>
        <v>18</v>
      </c>
      <c r="Q31" s="58">
        <f t="shared" si="9"/>
        <v>27</v>
      </c>
      <c r="R31" s="58">
        <f t="shared" si="10"/>
        <v>33</v>
      </c>
      <c r="S31" s="58" t="str">
        <f>IFERROR(VLOOKUP(MID(N31,Q31,R31-Q31),[6]skilldef!$C:$D,2,FALSE),"-") &amp; " / " &amp; IFERROR(VLOOKUP(MID(N31,O31,P31-O31),[6]skilldef!$A:$B,2,FALSE),"-")</f>
        <v>自分自身に / 状態異常耐性</v>
      </c>
      <c r="T31" s="43" t="str">
        <f t="shared" si="11"/>
        <v>none</v>
      </c>
      <c r="U31" s="58" t="e">
        <f t="shared" si="12"/>
        <v>#VALUE!</v>
      </c>
      <c r="V31" s="58">
        <f t="shared" si="13"/>
        <v>4</v>
      </c>
      <c r="W31" s="58" t="e">
        <f t="shared" si="14"/>
        <v>#VALUE!</v>
      </c>
      <c r="X31" s="58" t="e">
        <f t="shared" si="15"/>
        <v>#VALUE!</v>
      </c>
      <c r="Y31" s="58" t="str">
        <f>IFERROR(VLOOKUP(MID(T31,W31,X31-W31),[6]skilldef!$C:$D,2,FALSE),"-") &amp; " / " &amp; IFERROR(VLOOKUP(MID(T31,U31,V31-U31),[6]skilldef!$A:$B,2,FALSE),"-")</f>
        <v>- / -</v>
      </c>
      <c r="Z31" s="45" t="s">
        <v>215</v>
      </c>
      <c r="AA31" s="47"/>
      <c r="AB31" s="45"/>
    </row>
    <row r="32" spans="1:28" ht="21" customHeight="1">
      <c r="A32" s="93">
        <v>40006030</v>
      </c>
      <c r="B32" s="93" t="s">
        <v>381</v>
      </c>
      <c r="C32" s="94">
        <v>3</v>
      </c>
      <c r="D32" s="94" t="s">
        <v>111</v>
      </c>
      <c r="E32" s="95" t="s">
        <v>318</v>
      </c>
      <c r="F32" s="95" t="s">
        <v>380</v>
      </c>
      <c r="G32" s="58" t="str">
        <f t="shared" si="0"/>
        <v>[effect:change_block, new_block:jammer, target:block_all, count:6, val:0, animation:change_block]</v>
      </c>
      <c r="H32" s="58">
        <f t="shared" si="1"/>
        <v>9</v>
      </c>
      <c r="I32" s="58">
        <f t="shared" si="2"/>
        <v>21</v>
      </c>
      <c r="J32" s="58">
        <f t="shared" si="3"/>
        <v>48</v>
      </c>
      <c r="K32" s="58">
        <f t="shared" si="4"/>
        <v>39</v>
      </c>
      <c r="L32" s="58" t="str">
        <f>IFERROR(VLOOKUP(MID(G32,J32,K32-J32),[6]skilldef!$C:$D,2,FALSE),"-") &amp; " / " &amp; IFERROR(VLOOKUP(MID(G32,H32,I32-H32),[6]skilldef!$A:$B,2,FALSE),"-")</f>
        <v>- / ブロック変換</v>
      </c>
      <c r="M32" s="58" t="str">
        <f t="shared" si="5"/>
        <v>none</v>
      </c>
      <c r="N32" s="43" t="str">
        <f t="shared" si="17"/>
        <v>none</v>
      </c>
      <c r="O32" s="58" t="e">
        <f t="shared" si="7"/>
        <v>#VALUE!</v>
      </c>
      <c r="P32" s="58">
        <f t="shared" si="8"/>
        <v>4</v>
      </c>
      <c r="Q32" s="58" t="e">
        <f t="shared" si="9"/>
        <v>#VALUE!</v>
      </c>
      <c r="R32" s="58" t="e">
        <f t="shared" si="10"/>
        <v>#VALUE!</v>
      </c>
      <c r="S32" s="58" t="str">
        <f>IFERROR(VLOOKUP(MID(N32,Q32,R32-Q32),[6]skilldef!$C:$D,2,FALSE),"-") &amp; " / " &amp; IFERROR(VLOOKUP(MID(N32,O32,P32-O32),[6]skilldef!$A:$B,2,FALSE),"-")</f>
        <v>- / -</v>
      </c>
      <c r="T32" s="43" t="str">
        <f t="shared" si="11"/>
        <v>none</v>
      </c>
      <c r="U32" s="58" t="e">
        <f t="shared" si="12"/>
        <v>#VALUE!</v>
      </c>
      <c r="V32" s="58">
        <f t="shared" si="13"/>
        <v>4</v>
      </c>
      <c r="W32" s="58" t="e">
        <f t="shared" si="14"/>
        <v>#VALUE!</v>
      </c>
      <c r="X32" s="58" t="e">
        <f t="shared" si="15"/>
        <v>#VALUE!</v>
      </c>
      <c r="Y32" s="58" t="str">
        <f>IFERROR(VLOOKUP(MID(T32,W32,X32-W32),[6]skilldef!$C:$D,2,FALSE),"-") &amp; " / " &amp; IFERROR(VLOOKUP(MID(T32,U32,V32-U32),[6]skilldef!$A:$B,2,FALSE),"-")</f>
        <v>- / -</v>
      </c>
      <c r="Z32" s="45" t="s">
        <v>215</v>
      </c>
      <c r="AA32" s="47"/>
      <c r="AB32" s="45"/>
    </row>
    <row r="33" spans="1:28" ht="21" customHeight="1">
      <c r="A33" s="93">
        <v>40006031</v>
      </c>
      <c r="B33" s="93" t="s">
        <v>308</v>
      </c>
      <c r="C33" s="94">
        <v>3</v>
      </c>
      <c r="D33" s="94" t="s">
        <v>111</v>
      </c>
      <c r="E33" s="95" t="s">
        <v>337</v>
      </c>
      <c r="F33" s="95" t="s">
        <v>221</v>
      </c>
      <c r="G33" s="58" t="str">
        <f t="shared" si="0"/>
        <v>[effect:rush, count:6, val:0.28]</v>
      </c>
      <c r="H33" s="58">
        <f t="shared" si="1"/>
        <v>9</v>
      </c>
      <c r="I33" s="58">
        <f t="shared" si="2"/>
        <v>13</v>
      </c>
      <c r="J33" s="58" t="e">
        <f t="shared" si="3"/>
        <v>#VALUE!</v>
      </c>
      <c r="K33" s="58">
        <f t="shared" si="4"/>
        <v>22</v>
      </c>
      <c r="L33" s="58" t="str">
        <f>IFERROR(VLOOKUP(MID(G33,J33,K33-J33),[6]skilldef!$C:$D,2,FALSE),"-") &amp; " / " &amp; IFERROR(VLOOKUP(MID(G33,H33,I33-H33),[6]skilldef!$A:$B,2,FALSE),"-")</f>
        <v>- / 連続攻撃</v>
      </c>
      <c r="M33" s="58" t="str">
        <f t="shared" si="5"/>
        <v>none</v>
      </c>
      <c r="N33" s="43" t="str">
        <f t="shared" si="17"/>
        <v>none</v>
      </c>
      <c r="O33" s="58" t="e">
        <f t="shared" si="7"/>
        <v>#VALUE!</v>
      </c>
      <c r="P33" s="58">
        <f t="shared" si="8"/>
        <v>4</v>
      </c>
      <c r="Q33" s="58" t="e">
        <f t="shared" si="9"/>
        <v>#VALUE!</v>
      </c>
      <c r="R33" s="58" t="e">
        <f t="shared" si="10"/>
        <v>#VALUE!</v>
      </c>
      <c r="S33" s="58" t="str">
        <f>IFERROR(VLOOKUP(MID(N33,Q33,R33-Q33),[6]skilldef!$C:$D,2,FALSE),"-") &amp; " / " &amp; IFERROR(VLOOKUP(MID(N33,O33,P33-O33),[6]skilldef!$A:$B,2,FALSE),"-")</f>
        <v>- / -</v>
      </c>
      <c r="T33" s="43" t="str">
        <f t="shared" si="11"/>
        <v>none</v>
      </c>
      <c r="U33" s="58" t="e">
        <f t="shared" si="12"/>
        <v>#VALUE!</v>
      </c>
      <c r="V33" s="58">
        <f t="shared" si="13"/>
        <v>4</v>
      </c>
      <c r="W33" s="58" t="e">
        <f t="shared" si="14"/>
        <v>#VALUE!</v>
      </c>
      <c r="X33" s="58" t="e">
        <f t="shared" si="15"/>
        <v>#VALUE!</v>
      </c>
      <c r="Y33" s="58" t="str">
        <f>IFERROR(VLOOKUP(MID(T33,W33,X33-W33),[6]skilldef!$C:$D,2,FALSE),"-") &amp; " / " &amp; IFERROR(VLOOKUP(MID(T33,U33,V33-U33),[6]skilldef!$A:$B,2,FALSE),"-")</f>
        <v>- / -</v>
      </c>
      <c r="Z33" s="45" t="s">
        <v>215</v>
      </c>
      <c r="AA33" s="47"/>
      <c r="AB33" s="45"/>
    </row>
    <row r="34" spans="1:28" ht="21" customHeight="1">
      <c r="A34" s="93">
        <v>40006032</v>
      </c>
      <c r="B34" s="93" t="s">
        <v>309</v>
      </c>
      <c r="C34" s="94">
        <v>3</v>
      </c>
      <c r="D34" s="94" t="s">
        <v>111</v>
      </c>
      <c r="E34" s="95" t="s">
        <v>338</v>
      </c>
      <c r="F34" s="95" t="s">
        <v>222</v>
      </c>
      <c r="G34" s="58" t="str">
        <f t="shared" si="0"/>
        <v>[effect:rush, count:7, val:0.26]</v>
      </c>
      <c r="H34" s="58">
        <f t="shared" si="1"/>
        <v>9</v>
      </c>
      <c r="I34" s="58">
        <f t="shared" si="2"/>
        <v>13</v>
      </c>
      <c r="J34" s="58" t="e">
        <f t="shared" si="3"/>
        <v>#VALUE!</v>
      </c>
      <c r="K34" s="58">
        <f t="shared" si="4"/>
        <v>22</v>
      </c>
      <c r="L34" s="58" t="str">
        <f>IFERROR(VLOOKUP(MID(G34,J34,K34-J34),[6]skilldef!$C:$D,2,FALSE),"-") &amp; " / " &amp; IFERROR(VLOOKUP(MID(G34,H34,I34-H34),[6]skilldef!$A:$B,2,FALSE),"-")</f>
        <v>- / 連続攻撃</v>
      </c>
      <c r="M34" s="58" t="str">
        <f t="shared" si="5"/>
        <v>none</v>
      </c>
      <c r="N34" s="43" t="str">
        <f t="shared" si="17"/>
        <v>none</v>
      </c>
      <c r="O34" s="58" t="e">
        <f t="shared" si="7"/>
        <v>#VALUE!</v>
      </c>
      <c r="P34" s="58">
        <f t="shared" si="8"/>
        <v>4</v>
      </c>
      <c r="Q34" s="58" t="e">
        <f t="shared" si="9"/>
        <v>#VALUE!</v>
      </c>
      <c r="R34" s="58" t="e">
        <f t="shared" si="10"/>
        <v>#VALUE!</v>
      </c>
      <c r="S34" s="58" t="str">
        <f>IFERROR(VLOOKUP(MID(N34,Q34,R34-Q34),[6]skilldef!$C:$D,2,FALSE),"-") &amp; " / " &amp; IFERROR(VLOOKUP(MID(N34,O34,P34-O34),[6]skilldef!$A:$B,2,FALSE),"-")</f>
        <v>- / -</v>
      </c>
      <c r="T34" s="43" t="str">
        <f t="shared" si="11"/>
        <v>none</v>
      </c>
      <c r="U34" s="58" t="e">
        <f t="shared" si="12"/>
        <v>#VALUE!</v>
      </c>
      <c r="V34" s="58">
        <f t="shared" si="13"/>
        <v>4</v>
      </c>
      <c r="W34" s="58" t="e">
        <f t="shared" si="14"/>
        <v>#VALUE!</v>
      </c>
      <c r="X34" s="58" t="e">
        <f t="shared" si="15"/>
        <v>#VALUE!</v>
      </c>
      <c r="Y34" s="58" t="str">
        <f>IFERROR(VLOOKUP(MID(T34,W34,X34-W34),[6]skilldef!$C:$D,2,FALSE),"-") &amp; " / " &amp; IFERROR(VLOOKUP(MID(T34,U34,V34-U34),[6]skilldef!$A:$B,2,FALSE),"-")</f>
        <v>- / -</v>
      </c>
      <c r="Z34" s="45" t="s">
        <v>215</v>
      </c>
      <c r="AA34" s="47"/>
      <c r="AB34" s="45"/>
    </row>
    <row r="35" spans="1:28" ht="21" customHeight="1">
      <c r="A35" s="93">
        <v>40006033</v>
      </c>
      <c r="B35" s="93" t="s">
        <v>310</v>
      </c>
      <c r="C35" s="94">
        <v>3</v>
      </c>
      <c r="D35" s="94" t="s">
        <v>111</v>
      </c>
      <c r="E35" s="95" t="s">
        <v>339</v>
      </c>
      <c r="F35" s="95" t="s">
        <v>223</v>
      </c>
      <c r="G35" s="58" t="str">
        <f t="shared" si="0"/>
        <v>[effect:rush, count:8, val:0.24]</v>
      </c>
      <c r="H35" s="58">
        <f t="shared" si="1"/>
        <v>9</v>
      </c>
      <c r="I35" s="58">
        <f t="shared" si="2"/>
        <v>13</v>
      </c>
      <c r="J35" s="58" t="e">
        <f t="shared" si="3"/>
        <v>#VALUE!</v>
      </c>
      <c r="K35" s="58">
        <f t="shared" si="4"/>
        <v>22</v>
      </c>
      <c r="L35" s="58" t="str">
        <f>IFERROR(VLOOKUP(MID(G35,J35,K35-J35),[6]skilldef!$C:$D,2,FALSE),"-") &amp; " / " &amp; IFERROR(VLOOKUP(MID(G35,H35,I35-H35),[6]skilldef!$A:$B,2,FALSE),"-")</f>
        <v>- / 連続攻撃</v>
      </c>
      <c r="M35" s="58" t="str">
        <f t="shared" si="5"/>
        <v>none</v>
      </c>
      <c r="N35" s="43" t="str">
        <f t="shared" si="17"/>
        <v>none</v>
      </c>
      <c r="O35" s="58" t="e">
        <f t="shared" si="7"/>
        <v>#VALUE!</v>
      </c>
      <c r="P35" s="58">
        <f t="shared" si="8"/>
        <v>4</v>
      </c>
      <c r="Q35" s="58" t="e">
        <f t="shared" si="9"/>
        <v>#VALUE!</v>
      </c>
      <c r="R35" s="58" t="e">
        <f t="shared" si="10"/>
        <v>#VALUE!</v>
      </c>
      <c r="S35" s="58" t="str">
        <f>IFERROR(VLOOKUP(MID(N35,Q35,R35-Q35),[6]skilldef!$C:$D,2,FALSE),"-") &amp; " / " &amp; IFERROR(VLOOKUP(MID(N35,O35,P35-O35),[6]skilldef!$A:$B,2,FALSE),"-")</f>
        <v>- / -</v>
      </c>
      <c r="T35" s="43" t="str">
        <f t="shared" si="11"/>
        <v>none</v>
      </c>
      <c r="U35" s="58" t="e">
        <f t="shared" si="12"/>
        <v>#VALUE!</v>
      </c>
      <c r="V35" s="58">
        <f t="shared" si="13"/>
        <v>4</v>
      </c>
      <c r="W35" s="58" t="e">
        <f t="shared" si="14"/>
        <v>#VALUE!</v>
      </c>
      <c r="X35" s="58" t="e">
        <f t="shared" si="15"/>
        <v>#VALUE!</v>
      </c>
      <c r="Y35" s="58" t="str">
        <f>IFERROR(VLOOKUP(MID(T35,W35,X35-W35),[6]skilldef!$C:$D,2,FALSE),"-") &amp; " / " &amp; IFERROR(VLOOKUP(MID(T35,U35,V35-U35),[6]skilldef!$A:$B,2,FALSE),"-")</f>
        <v>- / -</v>
      </c>
      <c r="Z35" s="45" t="s">
        <v>215</v>
      </c>
      <c r="AA35" s="47"/>
      <c r="AB35" s="45"/>
    </row>
    <row r="36" spans="1:28" ht="21" customHeight="1">
      <c r="A36" s="93">
        <v>40006034</v>
      </c>
      <c r="B36" s="93" t="s">
        <v>342</v>
      </c>
      <c r="C36" s="94">
        <v>3</v>
      </c>
      <c r="D36" s="94" t="s">
        <v>111</v>
      </c>
      <c r="E36" s="95" t="s">
        <v>313</v>
      </c>
      <c r="F36" s="95" t="s">
        <v>378</v>
      </c>
      <c r="G36" s="58" t="str">
        <f t="shared" si="0"/>
        <v>[effect:change_block, new_block:time_bomb, target:block_red, count:6, val:0.15, min_time_count:2, max_time_count:2, animation:change_block]</v>
      </c>
      <c r="H36" s="58">
        <f t="shared" si="1"/>
        <v>9</v>
      </c>
      <c r="I36" s="58">
        <f t="shared" si="2"/>
        <v>21</v>
      </c>
      <c r="J36" s="58">
        <f t="shared" si="3"/>
        <v>51</v>
      </c>
      <c r="K36" s="58">
        <f t="shared" si="4"/>
        <v>42</v>
      </c>
      <c r="L36" s="58" t="str">
        <f>IFERROR(VLOOKUP(MID(G36,J36,K36-J36),[6]skilldef!$C:$D,2,FALSE),"-") &amp; " / " &amp; IFERROR(VLOOKUP(MID(G36,H36,I36-H36),[6]skilldef!$A:$B,2,FALSE),"-")</f>
        <v>- / ブロック変換</v>
      </c>
      <c r="M36" s="58" t="str">
        <f t="shared" si="5"/>
        <v>none</v>
      </c>
      <c r="N36" s="43" t="str">
        <f t="shared" si="17"/>
        <v>none</v>
      </c>
      <c r="O36" s="58" t="e">
        <f t="shared" si="7"/>
        <v>#VALUE!</v>
      </c>
      <c r="P36" s="58">
        <f t="shared" si="8"/>
        <v>4</v>
      </c>
      <c r="Q36" s="58" t="e">
        <f t="shared" si="9"/>
        <v>#VALUE!</v>
      </c>
      <c r="R36" s="58" t="e">
        <f t="shared" si="10"/>
        <v>#VALUE!</v>
      </c>
      <c r="S36" s="58" t="str">
        <f>IFERROR(VLOOKUP(MID(N36,Q36,R36-Q36),[6]skilldef!$C:$D,2,FALSE),"-") &amp; " / " &amp; IFERROR(VLOOKUP(MID(N36,O36,P36-O36),[6]skilldef!$A:$B,2,FALSE),"-")</f>
        <v>- / -</v>
      </c>
      <c r="T36" s="43" t="str">
        <f t="shared" si="11"/>
        <v>none</v>
      </c>
      <c r="U36" s="58" t="e">
        <f t="shared" si="12"/>
        <v>#VALUE!</v>
      </c>
      <c r="V36" s="58">
        <f t="shared" si="13"/>
        <v>4</v>
      </c>
      <c r="W36" s="58" t="e">
        <f t="shared" si="14"/>
        <v>#VALUE!</v>
      </c>
      <c r="X36" s="58" t="e">
        <f t="shared" si="15"/>
        <v>#VALUE!</v>
      </c>
      <c r="Y36" s="58" t="str">
        <f>IFERROR(VLOOKUP(MID(T36,W36,X36-W36),[6]skilldef!$C:$D,2,FALSE),"-") &amp; " / " &amp; IFERROR(VLOOKUP(MID(T36,U36,V36-U36),[6]skilldef!$A:$B,2,FALSE),"-")</f>
        <v>- / -</v>
      </c>
      <c r="Z36" s="45" t="s">
        <v>215</v>
      </c>
      <c r="AA36" s="47"/>
      <c r="AB36" s="45"/>
    </row>
    <row r="37" spans="1:28" ht="21" customHeight="1">
      <c r="A37" s="93">
        <v>40006035</v>
      </c>
      <c r="B37" s="93" t="s">
        <v>341</v>
      </c>
      <c r="C37" s="94">
        <v>3</v>
      </c>
      <c r="D37" s="94" t="s">
        <v>111</v>
      </c>
      <c r="E37" s="95" t="s">
        <v>313</v>
      </c>
      <c r="F37" s="95" t="s">
        <v>379</v>
      </c>
      <c r="G37" s="58" t="str">
        <f t="shared" ref="G37" si="18">IFERROR(LEFT(B37,FIND("],",B37)),B37)</f>
        <v>[effect:change_block, new_block:time_bomb, target:block_red, count:4, val:0.25, min_time_count:3, max_time_count:3, animation:change_block]</v>
      </c>
      <c r="H37" s="58">
        <f t="shared" ref="H37" si="19">FIND("effect:",G37)+7</f>
        <v>9</v>
      </c>
      <c r="I37" s="58">
        <f t="shared" ref="I37" si="20">IFERROR(FIND(",",G37),LEN(G37))</f>
        <v>21</v>
      </c>
      <c r="J37" s="58">
        <f t="shared" ref="J37" si="21">FIND("target:",G37)+7</f>
        <v>51</v>
      </c>
      <c r="K37" s="58">
        <f t="shared" ref="K37" si="22">FIND(",",G37,I37+1)</f>
        <v>42</v>
      </c>
      <c r="L37" s="58" t="str">
        <f>IFERROR(VLOOKUP(MID(G37,J37,K37-J37),[6]skilldef!$C:$D,2,FALSE),"-") &amp; " / " &amp; IFERROR(VLOOKUP(MID(G37,H37,I37-H37),[6]skilldef!$A:$B,2,FALSE),"-")</f>
        <v>- / ブロック変換</v>
      </c>
      <c r="M37" s="58" t="str">
        <f t="shared" ref="M37" si="23">IFERROR(RIGHT(B37,LEN(B37)-FIND("],",B37)-1),"none")</f>
        <v>none</v>
      </c>
      <c r="N37" s="43" t="str">
        <f t="shared" si="17"/>
        <v>none</v>
      </c>
      <c r="O37" s="58" t="e">
        <f t="shared" ref="O37" si="24">FIND("effect:",N37)+7</f>
        <v>#VALUE!</v>
      </c>
      <c r="P37" s="58">
        <f t="shared" ref="P37" si="25">IFERROR(FIND(",",N37),LEN(N37))</f>
        <v>4</v>
      </c>
      <c r="Q37" s="58" t="e">
        <f t="shared" ref="Q37" si="26">FIND("target:",N37)+7</f>
        <v>#VALUE!</v>
      </c>
      <c r="R37" s="58" t="e">
        <f t="shared" ref="R37" si="27">FIND(",",N37,P37+1)</f>
        <v>#VALUE!</v>
      </c>
      <c r="S37" s="58" t="str">
        <f>IFERROR(VLOOKUP(MID(N37,Q37,R37-Q37),[6]skilldef!$C:$D,2,FALSE),"-") &amp; " / " &amp; IFERROR(VLOOKUP(MID(N37,O37,P37-O37),[6]skilldef!$A:$B,2,FALSE),"-")</f>
        <v>- / -</v>
      </c>
      <c r="T37" s="43" t="str">
        <f t="shared" ref="T37" si="28">IFERROR(RIGHT(M37,LEN(M37)-FIND("],",M37)-1),"none")</f>
        <v>none</v>
      </c>
      <c r="U37" s="58" t="e">
        <f t="shared" ref="U37" si="29">FIND("effect:",T37)+7</f>
        <v>#VALUE!</v>
      </c>
      <c r="V37" s="58">
        <f t="shared" ref="V37" si="30">IFERROR(FIND(",",T37),LEN(T37))</f>
        <v>4</v>
      </c>
      <c r="W37" s="58" t="e">
        <f t="shared" ref="W37" si="31">FIND("target:",T37)+7</f>
        <v>#VALUE!</v>
      </c>
      <c r="X37" s="58" t="e">
        <f t="shared" ref="X37" si="32">FIND(",",T37,V37+1)</f>
        <v>#VALUE!</v>
      </c>
      <c r="Y37" s="58" t="str">
        <f>IFERROR(VLOOKUP(MID(T37,W37,X37-W37),[6]skilldef!$C:$D,2,FALSE),"-") &amp; " / " &amp; IFERROR(VLOOKUP(MID(T37,U37,V37-U37),[6]skilldef!$A:$B,2,FALSE),"-")</f>
        <v>- / -</v>
      </c>
      <c r="Z37" s="45" t="s">
        <v>211</v>
      </c>
      <c r="AA37" s="47"/>
      <c r="AB37" s="45"/>
    </row>
    <row r="38" spans="1:28" ht="21" customHeight="1">
      <c r="A38" s="93">
        <v>40006036</v>
      </c>
      <c r="B38" s="93" t="s">
        <v>240</v>
      </c>
      <c r="C38" s="94">
        <v>3</v>
      </c>
      <c r="D38" s="94" t="s">
        <v>111</v>
      </c>
      <c r="E38" s="95" t="s">
        <v>322</v>
      </c>
      <c r="F38" s="95" t="s">
        <v>299</v>
      </c>
      <c r="G38" s="58" t="str">
        <f t="shared" si="0"/>
        <v>[effect:freq_turn, target:myself, turn:2, val:1, animation:enemy_freq_turn]</v>
      </c>
      <c r="H38" s="58">
        <f t="shared" si="1"/>
        <v>9</v>
      </c>
      <c r="I38" s="58">
        <f t="shared" si="2"/>
        <v>18</v>
      </c>
      <c r="J38" s="58">
        <f t="shared" si="3"/>
        <v>27</v>
      </c>
      <c r="K38" s="58">
        <f t="shared" si="4"/>
        <v>33</v>
      </c>
      <c r="L38" s="58" t="str">
        <f>IFERROR(VLOOKUP(MID(G38,J38,K38-J38),[6]skilldef!$C:$D,2,FALSE),"-") &amp; " / " &amp; IFERROR(VLOOKUP(MID(G38,H38,I38-H38),[6]skilldef!$A:$B,2,FALSE),"-")</f>
        <v>自分自身に / 攻撃頻度がUP</v>
      </c>
      <c r="M38" s="58" t="str">
        <f t="shared" si="5"/>
        <v>none</v>
      </c>
      <c r="N38" s="43" t="str">
        <f>IFERROR(LEFT(M38,FIND("],",M38)+S50),M38)</f>
        <v>none</v>
      </c>
      <c r="O38" s="58" t="e">
        <f t="shared" si="7"/>
        <v>#VALUE!</v>
      </c>
      <c r="P38" s="58">
        <f t="shared" si="8"/>
        <v>4</v>
      </c>
      <c r="Q38" s="58" t="e">
        <f t="shared" si="9"/>
        <v>#VALUE!</v>
      </c>
      <c r="R38" s="58" t="e">
        <f t="shared" si="10"/>
        <v>#VALUE!</v>
      </c>
      <c r="S38" s="58" t="str">
        <f>IFERROR(VLOOKUP(MID(N38,Q38,R38-Q38),[6]skilldef!$C:$D,2,FALSE),"-") &amp; " / " &amp; IFERROR(VLOOKUP(MID(N38,O38,P38-O38),[6]skilldef!$A:$B,2,FALSE),"-")</f>
        <v>- / -</v>
      </c>
      <c r="T38" s="43" t="str">
        <f t="shared" si="11"/>
        <v>none</v>
      </c>
      <c r="U38" s="58" t="e">
        <f t="shared" si="12"/>
        <v>#VALUE!</v>
      </c>
      <c r="V38" s="58">
        <f t="shared" si="13"/>
        <v>4</v>
      </c>
      <c r="W38" s="58" t="e">
        <f t="shared" si="14"/>
        <v>#VALUE!</v>
      </c>
      <c r="X38" s="58" t="e">
        <f t="shared" si="15"/>
        <v>#VALUE!</v>
      </c>
      <c r="Y38" s="58" t="str">
        <f>IFERROR(VLOOKUP(MID(T38,W38,X38-W38),[6]skilldef!$C:$D,2,FALSE),"-") &amp; " / " &amp; IFERROR(VLOOKUP(MID(T38,U38,V38-U38),[6]skilldef!$A:$B,2,FALSE),"-")</f>
        <v>- / -</v>
      </c>
      <c r="Z38" s="45" t="s">
        <v>215</v>
      </c>
      <c r="AA38" s="47"/>
      <c r="AB38" s="45"/>
    </row>
    <row r="39" spans="1:28" ht="21" customHeight="1">
      <c r="A39" s="42">
        <v>40006037</v>
      </c>
      <c r="B39" s="42" t="s">
        <v>382</v>
      </c>
      <c r="C39" s="45">
        <v>3</v>
      </c>
      <c r="D39" s="45" t="s">
        <v>111</v>
      </c>
      <c r="E39" s="46" t="s">
        <v>352</v>
      </c>
      <c r="F39" s="46" t="s">
        <v>353</v>
      </c>
      <c r="G39" s="58" t="str">
        <f t="shared" si="0"/>
        <v>[effect:tolerance, target:myself, turn:-1, tolerance_effect:all, count:-1, animation:enemy_tolerance]</v>
      </c>
      <c r="H39" s="58">
        <f t="shared" si="1"/>
        <v>9</v>
      </c>
      <c r="I39" s="58">
        <f t="shared" si="2"/>
        <v>18</v>
      </c>
      <c r="J39" s="58">
        <f t="shared" si="3"/>
        <v>27</v>
      </c>
      <c r="K39" s="58">
        <f t="shared" si="4"/>
        <v>33</v>
      </c>
      <c r="L39" s="58" t="str">
        <f>IFERROR(VLOOKUP(MID(G39,J39,K39-J39),[6]skilldef!$C:$D,2,FALSE),"-") &amp; " / " &amp; IFERROR(VLOOKUP(MID(G39,H39,I39-H39),[6]skilldef!$A:$B,2,FALSE),"-")</f>
        <v>自分自身に / 状態異常耐性</v>
      </c>
      <c r="M39" s="58" t="str">
        <f t="shared" si="5"/>
        <v>[effect:fix_speed,target:myself,turn:2]</v>
      </c>
      <c r="N39" s="43" t="str">
        <f>IFERROR(LEFT(M39,FIND("],",M39)+S51),M39)</f>
        <v>[effect:fix_speed,target:myself,turn:2]</v>
      </c>
      <c r="O39" s="58">
        <f t="shared" si="7"/>
        <v>9</v>
      </c>
      <c r="P39" s="58">
        <f t="shared" si="8"/>
        <v>18</v>
      </c>
      <c r="Q39" s="58">
        <f t="shared" si="9"/>
        <v>26</v>
      </c>
      <c r="R39" s="58">
        <f t="shared" si="10"/>
        <v>32</v>
      </c>
      <c r="S39" s="58" t="str">
        <f>IFERROR(VLOOKUP(MID(N39,Q39,R39-Q39),[6]skilldef!$C:$D,2,FALSE),"-") &amp; " / " &amp; IFERROR(VLOOKUP(MID(N39,O39,P39-O39),[6]skilldef!$A:$B,2,FALSE),"-")</f>
        <v>自分自身に / 行動値設定</v>
      </c>
      <c r="T39" s="43" t="str">
        <f t="shared" si="11"/>
        <v>none</v>
      </c>
      <c r="U39" s="58" t="e">
        <f t="shared" si="12"/>
        <v>#VALUE!</v>
      </c>
      <c r="V39" s="58">
        <f t="shared" si="13"/>
        <v>4</v>
      </c>
      <c r="W39" s="58" t="e">
        <f t="shared" si="14"/>
        <v>#VALUE!</v>
      </c>
      <c r="X39" s="58" t="e">
        <f t="shared" si="15"/>
        <v>#VALUE!</v>
      </c>
      <c r="Y39" s="58" t="str">
        <f>IFERROR(VLOOKUP(MID(T39,W39,X39-W39),[6]skilldef!$C:$D,2,FALSE),"-") &amp; " / " &amp; IFERROR(VLOOKUP(MID(T39,U39,V39-U39),[6]skilldef!$A:$B,2,FALSE),"-")</f>
        <v>- / -</v>
      </c>
      <c r="Z39" s="45" t="s">
        <v>215</v>
      </c>
      <c r="AA39" s="47"/>
      <c r="AB39" s="45"/>
    </row>
    <row r="40" spans="1:28" ht="21" customHeight="1">
      <c r="A40" s="42">
        <v>40006038</v>
      </c>
      <c r="B40" s="42" t="s">
        <v>343</v>
      </c>
      <c r="C40" s="45">
        <v>3</v>
      </c>
      <c r="D40" s="45" t="s">
        <v>111</v>
      </c>
      <c r="E40" s="46" t="s">
        <v>321</v>
      </c>
      <c r="F40" s="46" t="s">
        <v>244</v>
      </c>
      <c r="G40" s="58" t="str">
        <f t="shared" si="0"/>
        <v>[effect:spread, val:0.8]</v>
      </c>
      <c r="H40" s="58">
        <f t="shared" si="1"/>
        <v>9</v>
      </c>
      <c r="I40" s="58">
        <f t="shared" si="2"/>
        <v>15</v>
      </c>
      <c r="J40" s="58" t="e">
        <f t="shared" si="3"/>
        <v>#VALUE!</v>
      </c>
      <c r="K40" s="58" t="e">
        <f t="shared" si="4"/>
        <v>#VALUE!</v>
      </c>
      <c r="L40" s="58" t="str">
        <f>IFERROR(VLOOKUP(MID(G40,J40,K40-J40),[6]skilldef!$C:$D,2,FALSE),"-") &amp; " / " &amp; IFERROR(VLOOKUP(MID(G40,H40,I40-H40),[6]skilldef!$A:$B,2,FALSE),"-")</f>
        <v>- / 全体攻撃</v>
      </c>
      <c r="M40" s="58" t="str">
        <f t="shared" si="5"/>
        <v>none</v>
      </c>
      <c r="N40" s="43" t="str">
        <f>IFERROR(LEFT(M40,FIND("],",M40)+S52),M40)</f>
        <v>none</v>
      </c>
      <c r="O40" s="58" t="e">
        <f t="shared" si="7"/>
        <v>#VALUE!</v>
      </c>
      <c r="P40" s="58">
        <f t="shared" si="8"/>
        <v>4</v>
      </c>
      <c r="Q40" s="58" t="e">
        <f t="shared" si="9"/>
        <v>#VALUE!</v>
      </c>
      <c r="R40" s="58" t="e">
        <f t="shared" si="10"/>
        <v>#VALUE!</v>
      </c>
      <c r="S40" s="58" t="str">
        <f>IFERROR(VLOOKUP(MID(N40,Q40,R40-Q40),[6]skilldef!$C:$D,2,FALSE),"-") &amp; " / " &amp; IFERROR(VLOOKUP(MID(N40,O40,P40-O40),[6]skilldef!$A:$B,2,FALSE),"-")</f>
        <v>- / -</v>
      </c>
      <c r="T40" s="43" t="str">
        <f t="shared" si="11"/>
        <v>none</v>
      </c>
      <c r="U40" s="58" t="e">
        <f t="shared" si="12"/>
        <v>#VALUE!</v>
      </c>
      <c r="V40" s="58">
        <f t="shared" si="13"/>
        <v>4</v>
      </c>
      <c r="W40" s="58" t="e">
        <f t="shared" si="14"/>
        <v>#VALUE!</v>
      </c>
      <c r="X40" s="58" t="e">
        <f t="shared" si="15"/>
        <v>#VALUE!</v>
      </c>
      <c r="Y40" s="58" t="str">
        <f>IFERROR(VLOOKUP(MID(T40,W40,X40-W40),[6]skilldef!$C:$D,2,FALSE),"-") &amp; " / " &amp; IFERROR(VLOOKUP(MID(T40,U40,V40-U40),[6]skilldef!$A:$B,2,FALSE),"-")</f>
        <v>- / -</v>
      </c>
      <c r="Z40" s="45" t="s">
        <v>215</v>
      </c>
      <c r="AA40" s="47"/>
      <c r="AB40" s="45"/>
    </row>
    <row r="41" spans="1:28" ht="21" customHeight="1">
      <c r="A41" s="42">
        <v>40006039</v>
      </c>
      <c r="B41" s="42" t="s">
        <v>344</v>
      </c>
      <c r="C41" s="45">
        <v>3</v>
      </c>
      <c r="D41" s="45" t="s">
        <v>111</v>
      </c>
      <c r="E41" s="46" t="s">
        <v>321</v>
      </c>
      <c r="F41" s="46" t="s">
        <v>244</v>
      </c>
      <c r="G41" s="58" t="str">
        <f t="shared" ref="G41" si="33">IFERROR(LEFT(B41,FIND("],",B41)),B41)</f>
        <v>[effect:spread, val:0.6]</v>
      </c>
      <c r="H41" s="58">
        <f t="shared" ref="H41" si="34">FIND("effect:",G41)+7</f>
        <v>9</v>
      </c>
      <c r="I41" s="58">
        <f t="shared" ref="I41" si="35">IFERROR(FIND(",",G41),LEN(G41))</f>
        <v>15</v>
      </c>
      <c r="J41" s="58" t="e">
        <f t="shared" ref="J41" si="36">FIND("target:",G41)+7</f>
        <v>#VALUE!</v>
      </c>
      <c r="K41" s="58" t="e">
        <f t="shared" ref="K41" si="37">FIND(",",G41,I41+1)</f>
        <v>#VALUE!</v>
      </c>
      <c r="L41" s="58" t="str">
        <f>IFERROR(VLOOKUP(MID(G41,J41,K41-J41),[6]skilldef!$C:$D,2,FALSE),"-") &amp; " / " &amp; IFERROR(VLOOKUP(MID(G41,H41,I41-H41),[6]skilldef!$A:$B,2,FALSE),"-")</f>
        <v>- / 全体攻撃</v>
      </c>
      <c r="M41" s="58" t="str">
        <f t="shared" ref="M41" si="38">IFERROR(RIGHT(B41,LEN(B41)-FIND("],",B41)-1),"none")</f>
        <v>none</v>
      </c>
      <c r="N41" s="43" t="str">
        <f>IFERROR(LEFT(M41,FIND("],",M41)+#REF!),M41)</f>
        <v>none</v>
      </c>
      <c r="O41" s="58" t="e">
        <f t="shared" ref="O41" si="39">FIND("effect:",N41)+7</f>
        <v>#VALUE!</v>
      </c>
      <c r="P41" s="58">
        <f t="shared" ref="P41" si="40">IFERROR(FIND(",",N41),LEN(N41))</f>
        <v>4</v>
      </c>
      <c r="Q41" s="58" t="e">
        <f t="shared" ref="Q41" si="41">FIND("target:",N41)+7</f>
        <v>#VALUE!</v>
      </c>
      <c r="R41" s="58" t="e">
        <f t="shared" ref="R41" si="42">FIND(",",N41,P41+1)</f>
        <v>#VALUE!</v>
      </c>
      <c r="S41" s="58" t="str">
        <f>IFERROR(VLOOKUP(MID(N41,Q41,R41-Q41),[6]skilldef!$C:$D,2,FALSE),"-") &amp; " / " &amp; IFERROR(VLOOKUP(MID(N41,O41,P41-O41),[6]skilldef!$A:$B,2,FALSE),"-")</f>
        <v>- / -</v>
      </c>
      <c r="T41" s="43" t="str">
        <f t="shared" ref="T41" si="43">IFERROR(RIGHT(M41,LEN(M41)-FIND("],",M41)-1),"none")</f>
        <v>none</v>
      </c>
      <c r="U41" s="58" t="e">
        <f t="shared" ref="U41" si="44">FIND("effect:",T41)+7</f>
        <v>#VALUE!</v>
      </c>
      <c r="V41" s="58">
        <f t="shared" ref="V41" si="45">IFERROR(FIND(",",T41),LEN(T41))</f>
        <v>4</v>
      </c>
      <c r="W41" s="58" t="e">
        <f t="shared" ref="W41" si="46">FIND("target:",T41)+7</f>
        <v>#VALUE!</v>
      </c>
      <c r="X41" s="58" t="e">
        <f t="shared" ref="X41" si="47">FIND(",",T41,V41+1)</f>
        <v>#VALUE!</v>
      </c>
      <c r="Y41" s="58" t="str">
        <f>IFERROR(VLOOKUP(MID(T41,W41,X41-W41),[6]skilldef!$C:$D,2,FALSE),"-") &amp; " / " &amp; IFERROR(VLOOKUP(MID(T41,U41,V41-U41),[6]skilldef!$A:$B,2,FALSE),"-")</f>
        <v>- / -</v>
      </c>
      <c r="Z41" s="45" t="s">
        <v>211</v>
      </c>
      <c r="AA41" s="47"/>
      <c r="AB41" s="45"/>
    </row>
    <row r="42" spans="1:28" ht="21" customHeight="1">
      <c r="A42" s="42">
        <v>40006040</v>
      </c>
      <c r="B42" s="42" t="s">
        <v>301</v>
      </c>
      <c r="C42" s="45">
        <v>3</v>
      </c>
      <c r="D42" s="45" t="s">
        <v>111</v>
      </c>
      <c r="E42" s="46" t="s">
        <v>321</v>
      </c>
      <c r="F42" s="46" t="s">
        <v>244</v>
      </c>
      <c r="G42" s="58" t="str">
        <f t="shared" ref="G42" si="48">IFERROR(LEFT(B42,FIND("],",B42)),B42)</f>
        <v>[effect:spread, val:0.4]</v>
      </c>
      <c r="H42" s="58">
        <f t="shared" ref="H42" si="49">FIND("effect:",G42)+7</f>
        <v>9</v>
      </c>
      <c r="I42" s="58">
        <f t="shared" ref="I42" si="50">IFERROR(FIND(",",G42),LEN(G42))</f>
        <v>15</v>
      </c>
      <c r="J42" s="58" t="e">
        <f t="shared" ref="J42" si="51">FIND("target:",G42)+7</f>
        <v>#VALUE!</v>
      </c>
      <c r="K42" s="58" t="e">
        <f t="shared" ref="K42" si="52">FIND(",",G42,I42+1)</f>
        <v>#VALUE!</v>
      </c>
      <c r="L42" s="58" t="str">
        <f>IFERROR(VLOOKUP(MID(G42,J42,K42-J42),[6]skilldef!$C:$D,2,FALSE),"-") &amp; " / " &amp; IFERROR(VLOOKUP(MID(G42,H42,I42-H42),[6]skilldef!$A:$B,2,FALSE),"-")</f>
        <v>- / 全体攻撃</v>
      </c>
      <c r="M42" s="58" t="str">
        <f t="shared" ref="M42" si="53">IFERROR(RIGHT(B42,LEN(B42)-FIND("],",B42)-1),"none")</f>
        <v>none</v>
      </c>
      <c r="N42" s="43" t="str">
        <f>IFERROR(LEFT(M42,FIND("],",M42)+S53),M42)</f>
        <v>none</v>
      </c>
      <c r="O42" s="58" t="e">
        <f t="shared" ref="O42" si="54">FIND("effect:",N42)+7</f>
        <v>#VALUE!</v>
      </c>
      <c r="P42" s="58">
        <f t="shared" ref="P42" si="55">IFERROR(FIND(",",N42),LEN(N42))</f>
        <v>4</v>
      </c>
      <c r="Q42" s="58" t="e">
        <f t="shared" ref="Q42" si="56">FIND("target:",N42)+7</f>
        <v>#VALUE!</v>
      </c>
      <c r="R42" s="58" t="e">
        <f t="shared" ref="R42" si="57">FIND(",",N42,P42+1)</f>
        <v>#VALUE!</v>
      </c>
      <c r="S42" s="58" t="str">
        <f>IFERROR(VLOOKUP(MID(N42,Q42,R42-Q42),[6]skilldef!$C:$D,2,FALSE),"-") &amp; " / " &amp; IFERROR(VLOOKUP(MID(N42,O42,P42-O42),[6]skilldef!$A:$B,2,FALSE),"-")</f>
        <v>- / -</v>
      </c>
      <c r="T42" s="43" t="str">
        <f t="shared" ref="T42" si="58">IFERROR(RIGHT(M42,LEN(M42)-FIND("],",M42)-1),"none")</f>
        <v>none</v>
      </c>
      <c r="U42" s="58" t="e">
        <f t="shared" ref="U42" si="59">FIND("effect:",T42)+7</f>
        <v>#VALUE!</v>
      </c>
      <c r="V42" s="58">
        <f t="shared" ref="V42" si="60">IFERROR(FIND(",",T42),LEN(T42))</f>
        <v>4</v>
      </c>
      <c r="W42" s="58" t="e">
        <f t="shared" ref="W42" si="61">FIND("target:",T42)+7</f>
        <v>#VALUE!</v>
      </c>
      <c r="X42" s="58" t="e">
        <f t="shared" ref="X42" si="62">FIND(",",T42,V42+1)</f>
        <v>#VALUE!</v>
      </c>
      <c r="Y42" s="58" t="str">
        <f>IFERROR(VLOOKUP(MID(T42,W42,X42-W42),[6]skilldef!$C:$D,2,FALSE),"-") &amp; " / " &amp; IFERROR(VLOOKUP(MID(T42,U42,V42-U42),[6]skilldef!$A:$B,2,FALSE),"-")</f>
        <v>- / -</v>
      </c>
      <c r="Z42" s="45" t="s">
        <v>211</v>
      </c>
      <c r="AA42" s="47"/>
      <c r="AB42" s="45"/>
    </row>
    <row r="43" spans="1:28" ht="21" customHeight="1">
      <c r="A43" s="42">
        <v>40006041</v>
      </c>
      <c r="B43" s="42" t="s">
        <v>300</v>
      </c>
      <c r="C43" s="45">
        <v>3</v>
      </c>
      <c r="D43" s="45" t="s">
        <v>111</v>
      </c>
      <c r="E43" s="46" t="s">
        <v>340</v>
      </c>
      <c r="F43" s="46" t="s">
        <v>357</v>
      </c>
      <c r="G43" s="58" t="str">
        <f t="shared" si="0"/>
        <v>[effect:rush, count:9, val:0.2]</v>
      </c>
      <c r="H43" s="58">
        <f t="shared" si="1"/>
        <v>9</v>
      </c>
      <c r="I43" s="58">
        <f t="shared" si="2"/>
        <v>13</v>
      </c>
      <c r="J43" s="58" t="e">
        <f t="shared" si="3"/>
        <v>#VALUE!</v>
      </c>
      <c r="K43" s="58">
        <f t="shared" si="4"/>
        <v>22</v>
      </c>
      <c r="L43" s="58" t="str">
        <f>IFERROR(VLOOKUP(MID(G43,J43,K43-J43),[6]skilldef!$C:$D,2,FALSE),"-") &amp; " / " &amp; IFERROR(VLOOKUP(MID(G43,H43,I43-H43),[6]skilldef!$A:$B,2,FALSE),"-")</f>
        <v>- / 連続攻撃</v>
      </c>
      <c r="M43" s="58" t="str">
        <f t="shared" si="5"/>
        <v>none</v>
      </c>
      <c r="N43" s="43" t="str">
        <f>IFERROR(LEFT(M43,FIND("],",M43)+#REF!),M43)</f>
        <v>none</v>
      </c>
      <c r="O43" s="58" t="e">
        <f t="shared" si="7"/>
        <v>#VALUE!</v>
      </c>
      <c r="P43" s="58">
        <f t="shared" si="8"/>
        <v>4</v>
      </c>
      <c r="Q43" s="58" t="e">
        <f t="shared" si="9"/>
        <v>#VALUE!</v>
      </c>
      <c r="R43" s="58" t="e">
        <f t="shared" si="10"/>
        <v>#VALUE!</v>
      </c>
      <c r="S43" s="58" t="str">
        <f>IFERROR(VLOOKUP(MID(N43,Q43,R43-Q43),[6]skilldef!$C:$D,2,FALSE),"-") &amp; " / " &amp; IFERROR(VLOOKUP(MID(N43,O43,P43-O43),[6]skilldef!$A:$B,2,FALSE),"-")</f>
        <v>- / -</v>
      </c>
      <c r="T43" s="43" t="str">
        <f t="shared" si="11"/>
        <v>none</v>
      </c>
      <c r="U43" s="58" t="e">
        <f t="shared" si="12"/>
        <v>#VALUE!</v>
      </c>
      <c r="V43" s="58">
        <f t="shared" si="13"/>
        <v>4</v>
      </c>
      <c r="W43" s="58" t="e">
        <f t="shared" si="14"/>
        <v>#VALUE!</v>
      </c>
      <c r="X43" s="58" t="e">
        <f t="shared" si="15"/>
        <v>#VALUE!</v>
      </c>
      <c r="Y43" s="58" t="str">
        <f>IFERROR(VLOOKUP(MID(T43,W43,X43-W43),[6]skilldef!$C:$D,2,FALSE),"-") &amp; " / " &amp; IFERROR(VLOOKUP(MID(T43,U43,V43-U43),[6]skilldef!$A:$B,2,FALSE),"-")</f>
        <v>- / -</v>
      </c>
      <c r="Z43" s="45" t="s">
        <v>215</v>
      </c>
      <c r="AA43" s="47"/>
      <c r="AB43" s="45"/>
    </row>
    <row r="44" spans="1:28" ht="21" customHeight="1">
      <c r="A44" s="42">
        <v>40006042</v>
      </c>
      <c r="B44" s="42" t="s">
        <v>302</v>
      </c>
      <c r="C44" s="45">
        <v>3</v>
      </c>
      <c r="D44" s="45" t="s">
        <v>111</v>
      </c>
      <c r="E44" s="46" t="s">
        <v>324</v>
      </c>
      <c r="F44" s="46" t="s">
        <v>224</v>
      </c>
      <c r="G44" s="58" t="str">
        <f t="shared" si="0"/>
        <v>[effect:break_attack, val:0.3, lowest_val:1, count:-1, block:crash, target:unit_all]</v>
      </c>
      <c r="H44" s="58">
        <f t="shared" si="1"/>
        <v>9</v>
      </c>
      <c r="I44" s="58">
        <f t="shared" si="2"/>
        <v>21</v>
      </c>
      <c r="J44" s="58">
        <f t="shared" si="3"/>
        <v>76</v>
      </c>
      <c r="K44" s="58">
        <f t="shared" si="4"/>
        <v>30</v>
      </c>
      <c r="L44" s="58" t="str">
        <f>IFERROR(VLOOKUP(MID(G44,J44,K44-J44),[6]skilldef!$C:$D,2,FALSE),"-") &amp; " / " &amp; IFERROR(VLOOKUP(MID(G44,H44,I44-H44),[6]skilldef!$A:$B,2,FALSE),"-")</f>
        <v>- / -</v>
      </c>
      <c r="M44" s="58" t="str">
        <f t="shared" si="5"/>
        <v>none</v>
      </c>
      <c r="N44" s="43" t="str">
        <f>IFERROR(LEFT(M44,FIND("],",M44)+S53),M44)</f>
        <v>none</v>
      </c>
      <c r="O44" s="58" t="e">
        <f t="shared" si="7"/>
        <v>#VALUE!</v>
      </c>
      <c r="P44" s="58">
        <f t="shared" si="8"/>
        <v>4</v>
      </c>
      <c r="Q44" s="58" t="e">
        <f t="shared" si="9"/>
        <v>#VALUE!</v>
      </c>
      <c r="R44" s="58" t="e">
        <f t="shared" si="10"/>
        <v>#VALUE!</v>
      </c>
      <c r="S44" s="58" t="str">
        <f>IFERROR(VLOOKUP(MID(N44,Q44,R44-Q44),[6]skilldef!$C:$D,2,FALSE),"-") &amp; " / " &amp; IFERROR(VLOOKUP(MID(N44,O44,P44-O44),[6]skilldef!$A:$B,2,FALSE),"-")</f>
        <v>- / -</v>
      </c>
      <c r="T44" s="43" t="str">
        <f t="shared" si="11"/>
        <v>none</v>
      </c>
      <c r="U44" s="58" t="e">
        <f t="shared" si="12"/>
        <v>#VALUE!</v>
      </c>
      <c r="V44" s="58">
        <f t="shared" si="13"/>
        <v>4</v>
      </c>
      <c r="W44" s="58" t="e">
        <f t="shared" si="14"/>
        <v>#VALUE!</v>
      </c>
      <c r="X44" s="58" t="e">
        <f t="shared" si="15"/>
        <v>#VALUE!</v>
      </c>
      <c r="Y44" s="58" t="str">
        <f>IFERROR(VLOOKUP(MID(T44,W44,X44-W44),[6]skilldef!$C:$D,2,FALSE),"-") &amp; " / " &amp; IFERROR(VLOOKUP(MID(T44,U44,V44-U44),[6]skilldef!$A:$B,2,FALSE),"-")</f>
        <v>- / -</v>
      </c>
      <c r="Z44" s="45" t="s">
        <v>215</v>
      </c>
      <c r="AA44" s="47"/>
      <c r="AB44" s="45"/>
    </row>
    <row r="45" spans="1:28" ht="21" customHeight="1">
      <c r="A45" s="42">
        <v>40006043</v>
      </c>
      <c r="B45" s="42" t="s">
        <v>345</v>
      </c>
      <c r="C45" s="45">
        <v>3</v>
      </c>
      <c r="D45" s="45" t="s">
        <v>111</v>
      </c>
      <c r="E45" s="46" t="s">
        <v>323</v>
      </c>
      <c r="F45" s="46" t="s">
        <v>225</v>
      </c>
      <c r="G45" s="58" t="str">
        <f t="shared" si="0"/>
        <v>[effect:break_heal_ratio, val:0.15, lowest_val:1, count:-1, block:crash, target:myself, animation:enemy_heal]</v>
      </c>
      <c r="H45" s="58">
        <f t="shared" si="1"/>
        <v>9</v>
      </c>
      <c r="I45" s="58">
        <f t="shared" si="2"/>
        <v>25</v>
      </c>
      <c r="J45" s="58">
        <f t="shared" si="3"/>
        <v>81</v>
      </c>
      <c r="K45" s="58">
        <f t="shared" si="4"/>
        <v>35</v>
      </c>
      <c r="L45" s="58" t="str">
        <f>IFERROR(VLOOKUP(MID(G45,J45,K45-J45),[6]skilldef!$C:$D,2,FALSE),"-") &amp; " / " &amp; IFERROR(VLOOKUP(MID(G45,H45,I45-H45),[6]skilldef!$A:$B,2,FALSE),"-")</f>
        <v>- / -</v>
      </c>
      <c r="M45" s="58" t="str">
        <f t="shared" si="5"/>
        <v>none</v>
      </c>
      <c r="N45" s="43" t="str">
        <f>IFERROR(LEFT(M45,FIND("],",M45)+S54),M45)</f>
        <v>none</v>
      </c>
      <c r="O45" s="58" t="e">
        <f t="shared" si="7"/>
        <v>#VALUE!</v>
      </c>
      <c r="P45" s="58">
        <f t="shared" si="8"/>
        <v>4</v>
      </c>
      <c r="Q45" s="58" t="e">
        <f t="shared" si="9"/>
        <v>#VALUE!</v>
      </c>
      <c r="R45" s="58" t="e">
        <f t="shared" si="10"/>
        <v>#VALUE!</v>
      </c>
      <c r="S45" s="58" t="str">
        <f>IFERROR(VLOOKUP(MID(N45,Q45,R45-Q45),[6]skilldef!$C:$D,2,FALSE),"-") &amp; " / " &amp; IFERROR(VLOOKUP(MID(N45,O45,P45-O45),[6]skilldef!$A:$B,2,FALSE),"-")</f>
        <v>- / -</v>
      </c>
      <c r="T45" s="43" t="str">
        <f t="shared" si="11"/>
        <v>none</v>
      </c>
      <c r="U45" s="58" t="e">
        <f t="shared" si="12"/>
        <v>#VALUE!</v>
      </c>
      <c r="V45" s="58">
        <f t="shared" si="13"/>
        <v>4</v>
      </c>
      <c r="W45" s="58" t="e">
        <f t="shared" si="14"/>
        <v>#VALUE!</v>
      </c>
      <c r="X45" s="58" t="e">
        <f t="shared" si="15"/>
        <v>#VALUE!</v>
      </c>
      <c r="Y45" s="58" t="str">
        <f>IFERROR(VLOOKUP(MID(T45,W45,X45-W45),[6]skilldef!$C:$D,2,FALSE),"-") &amp; " / " &amp; IFERROR(VLOOKUP(MID(T45,U45,V45-U45),[6]skilldef!$A:$B,2,FALSE),"-")</f>
        <v>- / -</v>
      </c>
      <c r="Z45" s="45" t="s">
        <v>215</v>
      </c>
      <c r="AA45" s="47"/>
      <c r="AB45" s="45"/>
    </row>
    <row r="46" spans="1:28" ht="21" customHeight="1">
      <c r="A46" s="42">
        <v>40006044</v>
      </c>
      <c r="B46" s="42" t="s">
        <v>212</v>
      </c>
      <c r="C46" s="45">
        <v>3</v>
      </c>
      <c r="D46" s="45" t="s">
        <v>111</v>
      </c>
      <c r="E46" s="46" t="s">
        <v>365</v>
      </c>
      <c r="F46" s="46" t="s">
        <v>354</v>
      </c>
      <c r="G46" s="58" t="str">
        <f t="shared" ref="G46:G49" si="63">IFERROR(LEFT(B46,FIND("],",B46)),B46)</f>
        <v>[effect:nothing]</v>
      </c>
      <c r="H46" s="58">
        <f t="shared" si="1"/>
        <v>9</v>
      </c>
      <c r="I46" s="58">
        <f t="shared" ref="I46:I49" si="64">IFERROR(FIND(",",G46),LEN(G46))</f>
        <v>16</v>
      </c>
      <c r="J46" s="58" t="e">
        <f t="shared" ref="J46:J49" si="65">FIND("target:",G46)+7</f>
        <v>#VALUE!</v>
      </c>
      <c r="K46" s="58" t="e">
        <f t="shared" ref="K46:K49" si="66">FIND(",",G46,I46+1)</f>
        <v>#VALUE!</v>
      </c>
      <c r="L46" s="58" t="str">
        <f>IFERROR(VLOOKUP(MID(G46,J46,K46-J46),[6]skilldef!$C:$D,2,FALSE),"-") &amp; " / " &amp; IFERROR(VLOOKUP(MID(G46,H46,I46-H46),[6]skilldef!$A:$B,2,FALSE),"-")</f>
        <v>- / 何もしない</v>
      </c>
      <c r="M46" s="58" t="str">
        <f t="shared" ref="M46:M49" si="67">IFERROR(RIGHT(B46,LEN(B46)-FIND("],",B46)-1),"none")</f>
        <v>none</v>
      </c>
      <c r="N46" s="43" t="str">
        <f>IFERROR(LEFT(M46,FIND("],",M46)+S55),M46)</f>
        <v>none</v>
      </c>
      <c r="O46" s="58" t="e">
        <f t="shared" si="7"/>
        <v>#VALUE!</v>
      </c>
      <c r="P46" s="58">
        <f t="shared" ref="P46:P49" si="68">IFERROR(FIND(",",N46),LEN(N46))</f>
        <v>4</v>
      </c>
      <c r="Q46" s="58" t="e">
        <f t="shared" ref="Q46:Q49" si="69">FIND("target:",N46)+7</f>
        <v>#VALUE!</v>
      </c>
      <c r="R46" s="58" t="e">
        <f t="shared" ref="R46:R49" si="70">FIND(",",N46,P46+1)</f>
        <v>#VALUE!</v>
      </c>
      <c r="S46" s="58" t="str">
        <f>IFERROR(VLOOKUP(MID(N46,Q46,R46-Q46),[6]skilldef!$C:$D,2,FALSE),"-") &amp; " / " &amp; IFERROR(VLOOKUP(MID(N46,O46,P46-O46),[6]skilldef!$A:$B,2,FALSE),"-")</f>
        <v>- / -</v>
      </c>
      <c r="T46" s="43" t="str">
        <f t="shared" ref="T46:T49" si="71">IFERROR(RIGHT(M46,LEN(M46)-FIND("],",M46)-1),"none")</f>
        <v>none</v>
      </c>
      <c r="U46" s="58" t="e">
        <f t="shared" si="12"/>
        <v>#VALUE!</v>
      </c>
      <c r="V46" s="58">
        <f t="shared" ref="V46:V49" si="72">IFERROR(FIND(",",T46),LEN(T46))</f>
        <v>4</v>
      </c>
      <c r="W46" s="58" t="e">
        <f t="shared" ref="W46:W49" si="73">FIND("target:",T46)+7</f>
        <v>#VALUE!</v>
      </c>
      <c r="X46" s="58" t="e">
        <f t="shared" ref="X46:X49" si="74">FIND(",",T46,V46+1)</f>
        <v>#VALUE!</v>
      </c>
      <c r="Y46" s="58" t="str">
        <f>IFERROR(VLOOKUP(MID(T46,W46,X46-W46),[6]skilldef!$C:$D,2,FALSE),"-") &amp; " / " &amp; IFERROR(VLOOKUP(MID(T46,U46,V46-U46),[6]skilldef!$A:$B,2,FALSE),"-")</f>
        <v>- / -</v>
      </c>
      <c r="Z46" s="45" t="s">
        <v>211</v>
      </c>
      <c r="AA46" s="47"/>
      <c r="AB46" s="45"/>
    </row>
    <row r="47" spans="1:28" ht="21" customHeight="1">
      <c r="A47" s="42">
        <v>40006045</v>
      </c>
      <c r="B47" s="42" t="s">
        <v>332</v>
      </c>
      <c r="C47" s="45">
        <v>3</v>
      </c>
      <c r="D47" s="45" t="s">
        <v>111</v>
      </c>
      <c r="E47" s="46" t="s">
        <v>327</v>
      </c>
      <c r="F47" s="46" t="s">
        <v>245</v>
      </c>
      <c r="G47" s="58" t="str">
        <f t="shared" si="63"/>
        <v>[effect:spread, val:0.4]</v>
      </c>
      <c r="H47" s="58">
        <f t="shared" ref="H47:H49" si="75">FIND("effect:",G47)+7</f>
        <v>9</v>
      </c>
      <c r="I47" s="58">
        <f t="shared" si="64"/>
        <v>15</v>
      </c>
      <c r="J47" s="58" t="e">
        <f t="shared" si="65"/>
        <v>#VALUE!</v>
      </c>
      <c r="K47" s="58" t="e">
        <f t="shared" si="66"/>
        <v>#VALUE!</v>
      </c>
      <c r="L47" s="58" t="str">
        <f>IFERROR(VLOOKUP(MID(G47,J47,K47-J47),[6]skilldef!$C:$D,2,FALSE),"-") &amp; " / " &amp; IFERROR(VLOOKUP(MID(G47,H47,I47-H47),[6]skilldef!$A:$B,2,FALSE),"-")</f>
        <v>- / 全体攻撃</v>
      </c>
      <c r="M47" s="58" t="str">
        <f t="shared" si="67"/>
        <v>none</v>
      </c>
      <c r="N47" s="43" t="str">
        <f t="shared" ref="N47:N52" si="76">IFERROR(LEFT(M47,FIND("],",M47)+S58),M47)</f>
        <v>none</v>
      </c>
      <c r="O47" s="58" t="e">
        <f t="shared" ref="O47:O49" si="77">FIND("effect:",N47)+7</f>
        <v>#VALUE!</v>
      </c>
      <c r="P47" s="58">
        <f t="shared" si="68"/>
        <v>4</v>
      </c>
      <c r="Q47" s="58" t="e">
        <f t="shared" si="69"/>
        <v>#VALUE!</v>
      </c>
      <c r="R47" s="58" t="e">
        <f t="shared" si="70"/>
        <v>#VALUE!</v>
      </c>
      <c r="S47" s="58" t="str">
        <f>IFERROR(VLOOKUP(MID(N47,Q47,R47-Q47),[6]skilldef!$C:$D,2,FALSE),"-") &amp; " / " &amp; IFERROR(VLOOKUP(MID(N47,O47,P47-O47),[6]skilldef!$A:$B,2,FALSE),"-")</f>
        <v>- / -</v>
      </c>
      <c r="T47" s="43" t="str">
        <f t="shared" si="71"/>
        <v>none</v>
      </c>
      <c r="U47" s="58" t="e">
        <f t="shared" ref="U47:U49" si="78">FIND("effect:",T47)+7</f>
        <v>#VALUE!</v>
      </c>
      <c r="V47" s="58">
        <f t="shared" si="72"/>
        <v>4</v>
      </c>
      <c r="W47" s="58" t="e">
        <f t="shared" si="73"/>
        <v>#VALUE!</v>
      </c>
      <c r="X47" s="58" t="e">
        <f t="shared" si="74"/>
        <v>#VALUE!</v>
      </c>
      <c r="Y47" s="58" t="str">
        <f>IFERROR(VLOOKUP(MID(T47,W47,X47-W47),[6]skilldef!$C:$D,2,FALSE),"-") &amp; " / " &amp; IFERROR(VLOOKUP(MID(T47,U47,V47-U47),[6]skilldef!$A:$B,2,FALSE),"-")</f>
        <v>- / -</v>
      </c>
      <c r="Z47" s="45" t="s">
        <v>211</v>
      </c>
      <c r="AA47" s="47"/>
      <c r="AB47" s="45"/>
    </row>
    <row r="48" spans="1:28" ht="21" customHeight="1">
      <c r="A48" s="42">
        <v>40006046</v>
      </c>
      <c r="B48" s="42" t="s">
        <v>344</v>
      </c>
      <c r="C48" s="45">
        <v>3</v>
      </c>
      <c r="D48" s="45" t="s">
        <v>111</v>
      </c>
      <c r="E48" s="46" t="s">
        <v>327</v>
      </c>
      <c r="F48" s="46" t="s">
        <v>245</v>
      </c>
      <c r="G48" s="58" t="str">
        <f t="shared" si="63"/>
        <v>[effect:spread, val:0.6]</v>
      </c>
      <c r="H48" s="58">
        <f t="shared" si="75"/>
        <v>9</v>
      </c>
      <c r="I48" s="58">
        <f t="shared" si="64"/>
        <v>15</v>
      </c>
      <c r="J48" s="58" t="e">
        <f t="shared" si="65"/>
        <v>#VALUE!</v>
      </c>
      <c r="K48" s="58" t="e">
        <f t="shared" si="66"/>
        <v>#VALUE!</v>
      </c>
      <c r="L48" s="58" t="str">
        <f>IFERROR(VLOOKUP(MID(G48,J48,K48-J48),[6]skilldef!$C:$D,2,FALSE),"-") &amp; " / " &amp; IFERROR(VLOOKUP(MID(G48,H48,I48-H48),[6]skilldef!$A:$B,2,FALSE),"-")</f>
        <v>- / 全体攻撃</v>
      </c>
      <c r="M48" s="58" t="str">
        <f t="shared" si="67"/>
        <v>none</v>
      </c>
      <c r="N48" s="43" t="str">
        <f t="shared" si="76"/>
        <v>none</v>
      </c>
      <c r="O48" s="58" t="e">
        <f t="shared" si="77"/>
        <v>#VALUE!</v>
      </c>
      <c r="P48" s="58">
        <f t="shared" si="68"/>
        <v>4</v>
      </c>
      <c r="Q48" s="58" t="e">
        <f t="shared" si="69"/>
        <v>#VALUE!</v>
      </c>
      <c r="R48" s="58" t="e">
        <f t="shared" si="70"/>
        <v>#VALUE!</v>
      </c>
      <c r="S48" s="58" t="str">
        <f>IFERROR(VLOOKUP(MID(N48,Q48,R48-Q48),[6]skilldef!$C:$D,2,FALSE),"-") &amp; " / " &amp; IFERROR(VLOOKUP(MID(N48,O48,P48-O48),[6]skilldef!$A:$B,2,FALSE),"-")</f>
        <v>- / -</v>
      </c>
      <c r="T48" s="43" t="str">
        <f t="shared" si="71"/>
        <v>none</v>
      </c>
      <c r="U48" s="58" t="e">
        <f t="shared" si="78"/>
        <v>#VALUE!</v>
      </c>
      <c r="V48" s="58">
        <f t="shared" si="72"/>
        <v>4</v>
      </c>
      <c r="W48" s="58" t="e">
        <f t="shared" si="73"/>
        <v>#VALUE!</v>
      </c>
      <c r="X48" s="58" t="e">
        <f t="shared" si="74"/>
        <v>#VALUE!</v>
      </c>
      <c r="Y48" s="58" t="str">
        <f>IFERROR(VLOOKUP(MID(T48,W48,X48-W48),[6]skilldef!$C:$D,2,FALSE),"-") &amp; " / " &amp; IFERROR(VLOOKUP(MID(T48,U48,V48-U48),[6]skilldef!$A:$B,2,FALSE),"-")</f>
        <v>- / -</v>
      </c>
      <c r="Z48" s="45" t="s">
        <v>211</v>
      </c>
      <c r="AA48" s="47"/>
      <c r="AB48" s="45"/>
    </row>
    <row r="49" spans="1:28" ht="21" customHeight="1">
      <c r="A49" s="42">
        <v>40006047</v>
      </c>
      <c r="B49" s="42" t="s">
        <v>346</v>
      </c>
      <c r="C49" s="45">
        <v>3</v>
      </c>
      <c r="D49" s="45" t="s">
        <v>111</v>
      </c>
      <c r="E49" s="46" t="s">
        <v>327</v>
      </c>
      <c r="F49" s="46" t="s">
        <v>245</v>
      </c>
      <c r="G49" s="58" t="str">
        <f t="shared" si="63"/>
        <v>[effect:spread, val:0.8]</v>
      </c>
      <c r="H49" s="58">
        <f t="shared" si="75"/>
        <v>9</v>
      </c>
      <c r="I49" s="58">
        <f t="shared" si="64"/>
        <v>15</v>
      </c>
      <c r="J49" s="58" t="e">
        <f t="shared" si="65"/>
        <v>#VALUE!</v>
      </c>
      <c r="K49" s="58" t="e">
        <f t="shared" si="66"/>
        <v>#VALUE!</v>
      </c>
      <c r="L49" s="58" t="str">
        <f>IFERROR(VLOOKUP(MID(G49,J49,K49-J49),[6]skilldef!$C:$D,2,FALSE),"-") &amp; " / " &amp; IFERROR(VLOOKUP(MID(G49,H49,I49-H49),[6]skilldef!$A:$B,2,FALSE),"-")</f>
        <v>- / 全体攻撃</v>
      </c>
      <c r="M49" s="58" t="str">
        <f t="shared" si="67"/>
        <v>none</v>
      </c>
      <c r="N49" s="43" t="str">
        <f t="shared" si="76"/>
        <v>none</v>
      </c>
      <c r="O49" s="58" t="e">
        <f t="shared" si="77"/>
        <v>#VALUE!</v>
      </c>
      <c r="P49" s="58">
        <f t="shared" si="68"/>
        <v>4</v>
      </c>
      <c r="Q49" s="58" t="e">
        <f t="shared" si="69"/>
        <v>#VALUE!</v>
      </c>
      <c r="R49" s="58" t="e">
        <f t="shared" si="70"/>
        <v>#VALUE!</v>
      </c>
      <c r="S49" s="58" t="str">
        <f>IFERROR(VLOOKUP(MID(N49,Q49,R49-Q49),[6]skilldef!$C:$D,2,FALSE),"-") &amp; " / " &amp; IFERROR(VLOOKUP(MID(N49,O49,P49-O49),[6]skilldef!$A:$B,2,FALSE),"-")</f>
        <v>- / -</v>
      </c>
      <c r="T49" s="43" t="str">
        <f t="shared" si="71"/>
        <v>none</v>
      </c>
      <c r="U49" s="58" t="e">
        <f t="shared" si="78"/>
        <v>#VALUE!</v>
      </c>
      <c r="V49" s="58">
        <f t="shared" si="72"/>
        <v>4</v>
      </c>
      <c r="W49" s="58" t="e">
        <f t="shared" si="73"/>
        <v>#VALUE!</v>
      </c>
      <c r="X49" s="58" t="e">
        <f t="shared" si="74"/>
        <v>#VALUE!</v>
      </c>
      <c r="Y49" s="58" t="str">
        <f>IFERROR(VLOOKUP(MID(T49,W49,X49-W49),[6]skilldef!$C:$D,2,FALSE),"-") &amp; " / " &amp; IFERROR(VLOOKUP(MID(T49,U49,V49-U49),[6]skilldef!$A:$B,2,FALSE),"-")</f>
        <v>- / -</v>
      </c>
      <c r="Z49" s="45" t="s">
        <v>211</v>
      </c>
      <c r="AA49" s="47"/>
      <c r="AB49" s="45"/>
    </row>
    <row r="50" spans="1:28" ht="21" customHeight="1">
      <c r="A50" s="99">
        <v>40006048</v>
      </c>
      <c r="B50" s="42" t="s">
        <v>259</v>
      </c>
      <c r="C50" s="45">
        <v>3</v>
      </c>
      <c r="D50" s="45" t="s">
        <v>111</v>
      </c>
      <c r="E50" s="46" t="s">
        <v>388</v>
      </c>
      <c r="F50" s="46" t="s">
        <v>303</v>
      </c>
      <c r="G50" s="58" t="str">
        <f t="shared" ref="G50" si="79">IFERROR(LEFT(B50,FIND("],",B50)),B50)</f>
        <v>[effect:nothing]</v>
      </c>
      <c r="H50" s="58">
        <f t="shared" ref="H50" si="80">FIND("effect:",G50)+7</f>
        <v>9</v>
      </c>
      <c r="I50" s="58">
        <f t="shared" ref="I50" si="81">IFERROR(FIND(",",G50),LEN(G50))</f>
        <v>16</v>
      </c>
      <c r="J50" s="58" t="e">
        <f t="shared" ref="J50" si="82">FIND("target:",G50)+7</f>
        <v>#VALUE!</v>
      </c>
      <c r="K50" s="58" t="e">
        <f t="shared" ref="K50" si="83">FIND(",",G50,I50+1)</f>
        <v>#VALUE!</v>
      </c>
      <c r="L50" s="58" t="str">
        <f>IFERROR(VLOOKUP(MID(G50,J50,K50-J50),[6]skilldef!$C:$D,2,FALSE),"-") &amp; " / " &amp; IFERROR(VLOOKUP(MID(G50,H50,I50-H50),[6]skilldef!$A:$B,2,FALSE),"-")</f>
        <v>- / 何もしない</v>
      </c>
      <c r="M50" s="58" t="str">
        <f t="shared" ref="M50" si="84">IFERROR(RIGHT(B50,LEN(B50)-FIND("],",B50)-1),"none")</f>
        <v>none</v>
      </c>
      <c r="N50" s="43" t="str">
        <f t="shared" si="76"/>
        <v>none</v>
      </c>
      <c r="O50" s="58" t="e">
        <f t="shared" ref="O50" si="85">FIND("effect:",N50)+7</f>
        <v>#VALUE!</v>
      </c>
      <c r="P50" s="58">
        <f t="shared" ref="P50" si="86">IFERROR(FIND(",",N50),LEN(N50))</f>
        <v>4</v>
      </c>
      <c r="Q50" s="58" t="e">
        <f t="shared" ref="Q50" si="87">FIND("target:",N50)+7</f>
        <v>#VALUE!</v>
      </c>
      <c r="R50" s="58" t="e">
        <f t="shared" ref="R50" si="88">FIND(",",N50,P50+1)</f>
        <v>#VALUE!</v>
      </c>
      <c r="S50" s="58" t="str">
        <f>IFERROR(VLOOKUP(MID(N50,Q50,R50-Q50),[6]skilldef!$C:$D,2,FALSE),"-") &amp; " / " &amp; IFERROR(VLOOKUP(MID(N50,O50,P50-O50),[6]skilldef!$A:$B,2,FALSE),"-")</f>
        <v>- / -</v>
      </c>
      <c r="T50" s="43" t="str">
        <f t="shared" ref="T50" si="89">IFERROR(RIGHT(M50,LEN(M50)-FIND("],",M50)-1),"none")</f>
        <v>none</v>
      </c>
      <c r="U50" s="58" t="e">
        <f t="shared" ref="U50" si="90">FIND("effect:",T50)+7</f>
        <v>#VALUE!</v>
      </c>
      <c r="V50" s="58">
        <f t="shared" ref="V50" si="91">IFERROR(FIND(",",T50),LEN(T50))</f>
        <v>4</v>
      </c>
      <c r="W50" s="58" t="e">
        <f t="shared" ref="W50" si="92">FIND("target:",T50)+7</f>
        <v>#VALUE!</v>
      </c>
      <c r="X50" s="58" t="e">
        <f t="shared" ref="X50" si="93">FIND(",",T50,V50+1)</f>
        <v>#VALUE!</v>
      </c>
      <c r="Y50" s="58" t="str">
        <f>IFERROR(VLOOKUP(MID(T50,W50,X50-W50),[6]skilldef!$C:$D,2,FALSE),"-") &amp; " / " &amp; IFERROR(VLOOKUP(MID(T50,U50,V50-U50),[6]skilldef!$A:$B,2,FALSE),"-")</f>
        <v>- / -</v>
      </c>
      <c r="Z50" s="45" t="s">
        <v>211</v>
      </c>
      <c r="AA50" s="47"/>
      <c r="AB50" s="45"/>
    </row>
    <row r="51" spans="1:28" ht="21" customHeight="1">
      <c r="A51" s="99">
        <v>40006049</v>
      </c>
      <c r="B51" s="42" t="s">
        <v>294</v>
      </c>
      <c r="C51" s="45">
        <v>3</v>
      </c>
      <c r="D51" s="45" t="s">
        <v>111</v>
      </c>
      <c r="E51" s="46" t="s">
        <v>387</v>
      </c>
      <c r="F51" s="46" t="s">
        <v>333</v>
      </c>
      <c r="G51" s="58" t="str">
        <f t="shared" ref="G51" si="94">IFERROR(LEFT(B51,FIND("],",B51)),B51)</f>
        <v>[effect:fix_speed,target:myself,turn:3]</v>
      </c>
      <c r="H51" s="58">
        <f t="shared" ref="H51" si="95">FIND("effect:",G51)+7</f>
        <v>9</v>
      </c>
      <c r="I51" s="58">
        <f t="shared" ref="I51" si="96">IFERROR(FIND(",",G51),LEN(G51))</f>
        <v>18</v>
      </c>
      <c r="J51" s="58">
        <f t="shared" ref="J51" si="97">FIND("target:",G51)+7</f>
        <v>26</v>
      </c>
      <c r="K51" s="58">
        <f t="shared" ref="K51" si="98">FIND(",",G51,I51+1)</f>
        <v>32</v>
      </c>
      <c r="L51" s="58" t="str">
        <f>IFERROR(VLOOKUP(MID(G51,J51,K51-J51),[6]skilldef!$C:$D,2,FALSE),"-") &amp; " / " &amp; IFERROR(VLOOKUP(MID(G51,H51,I51-H51),[6]skilldef!$A:$B,2,FALSE),"-")</f>
        <v>自分自身に / 行動値設定</v>
      </c>
      <c r="M51" s="58" t="str">
        <f t="shared" ref="M51" si="99">IFERROR(RIGHT(B51,LEN(B51)-FIND("],",B51)-1),"none")</f>
        <v>none</v>
      </c>
      <c r="N51" s="43" t="str">
        <f t="shared" si="76"/>
        <v>none</v>
      </c>
      <c r="O51" s="58" t="e">
        <f t="shared" ref="O51" si="100">FIND("effect:",N51)+7</f>
        <v>#VALUE!</v>
      </c>
      <c r="P51" s="58">
        <f t="shared" ref="P51" si="101">IFERROR(FIND(",",N51),LEN(N51))</f>
        <v>4</v>
      </c>
      <c r="Q51" s="58" t="e">
        <f t="shared" ref="Q51" si="102">FIND("target:",N51)+7</f>
        <v>#VALUE!</v>
      </c>
      <c r="R51" s="58" t="e">
        <f t="shared" ref="R51" si="103">FIND(",",N51,P51+1)</f>
        <v>#VALUE!</v>
      </c>
      <c r="S51" s="58" t="str">
        <f>IFERROR(VLOOKUP(MID(N51,Q51,R51-Q51),[6]skilldef!$C:$D,2,FALSE),"-") &amp; " / " &amp; IFERROR(VLOOKUP(MID(N51,O51,P51-O51),[6]skilldef!$A:$B,2,FALSE),"-")</f>
        <v>- / -</v>
      </c>
      <c r="T51" s="43" t="str">
        <f t="shared" ref="T51" si="104">IFERROR(RIGHT(M51,LEN(M51)-FIND("],",M51)-1),"none")</f>
        <v>none</v>
      </c>
      <c r="U51" s="58" t="e">
        <f t="shared" ref="U51" si="105">FIND("effect:",T51)+7</f>
        <v>#VALUE!</v>
      </c>
      <c r="V51" s="58">
        <f t="shared" ref="V51" si="106">IFERROR(FIND(",",T51),LEN(T51))</f>
        <v>4</v>
      </c>
      <c r="W51" s="58" t="e">
        <f t="shared" ref="W51" si="107">FIND("target:",T51)+7</f>
        <v>#VALUE!</v>
      </c>
      <c r="X51" s="58" t="e">
        <f t="shared" ref="X51" si="108">FIND(",",T51,V51+1)</f>
        <v>#VALUE!</v>
      </c>
      <c r="Y51" s="58" t="str">
        <f>IFERROR(VLOOKUP(MID(T51,W51,X51-W51),[6]skilldef!$C:$D,2,FALSE),"-") &amp; " / " &amp; IFERROR(VLOOKUP(MID(T51,U51,V51-U51),[6]skilldef!$A:$B,2,FALSE),"-")</f>
        <v>- / -</v>
      </c>
      <c r="Z51" s="45" t="s">
        <v>211</v>
      </c>
      <c r="AA51" s="47"/>
      <c r="AB51" s="45"/>
    </row>
    <row r="52" spans="1:28" ht="21" customHeight="1">
      <c r="A52" s="100">
        <v>40006050</v>
      </c>
      <c r="B52" s="101" t="s">
        <v>261</v>
      </c>
      <c r="C52" s="102">
        <v>1</v>
      </c>
      <c r="D52" s="102" t="s">
        <v>260</v>
      </c>
      <c r="E52" s="103" t="s">
        <v>262</v>
      </c>
      <c r="F52" s="103" t="s">
        <v>269</v>
      </c>
      <c r="G52" s="58" t="str">
        <f t="shared" ref="G52:G55" si="109">IFERROR(LEFT(B52,FIND("],",B52)),B52)</f>
        <v>[effect:change_block, new_block:block_heart, target:block_all, count:12, val:0, animation:change_block]</v>
      </c>
      <c r="H52" s="58">
        <f t="shared" ref="H52:H55" si="110">FIND("effect:",G52)+7</f>
        <v>9</v>
      </c>
      <c r="I52" s="58">
        <f t="shared" ref="I52:I55" si="111">IFERROR(FIND(",",G52),LEN(G52))</f>
        <v>21</v>
      </c>
      <c r="J52" s="58">
        <f t="shared" ref="J52:J55" si="112">FIND("target:",G52)+7</f>
        <v>53</v>
      </c>
      <c r="K52" s="58">
        <f t="shared" ref="K52:K55" si="113">FIND(",",G52,I52+1)</f>
        <v>44</v>
      </c>
      <c r="L52" s="58" t="str">
        <f>IFERROR(VLOOKUP(MID(G52,J52,K52-J52),[6]skilldef!$C:$D,2,FALSE),"-") &amp; " / " &amp; IFERROR(VLOOKUP(MID(G52,H52,I52-H52),[6]skilldef!$A:$B,2,FALSE),"-")</f>
        <v>- / ブロック変換</v>
      </c>
      <c r="M52" s="58" t="str">
        <f t="shared" ref="M52:M55" si="114">IFERROR(RIGHT(B52,LEN(B52)-FIND("],",B52)-1),"none")</f>
        <v>[effect:dis_heart, turn:2, animation:enemy_dis_heart]</v>
      </c>
      <c r="N52" s="43" t="str">
        <f t="shared" si="76"/>
        <v>[effect:dis_heart, turn:2, animation:enemy_dis_heart]</v>
      </c>
      <c r="O52" s="58">
        <f t="shared" ref="O52:O55" si="115">FIND("effect:",N52)+7</f>
        <v>9</v>
      </c>
      <c r="P52" s="58">
        <f t="shared" ref="P52:P55" si="116">IFERROR(FIND(",",N52),LEN(N52))</f>
        <v>18</v>
      </c>
      <c r="Q52" s="58" t="e">
        <f t="shared" ref="Q52:Q55" si="117">FIND("target:",N52)+7</f>
        <v>#VALUE!</v>
      </c>
      <c r="R52" s="58">
        <f t="shared" ref="R52:R55" si="118">FIND(",",N52,P52+1)</f>
        <v>26</v>
      </c>
      <c r="S52" s="58" t="str">
        <f>IFERROR(VLOOKUP(MID(N52,Q52,R52-Q52),[6]skilldef!$C:$D,2,FALSE),"-") &amp; " / " &amp; IFERROR(VLOOKUP(MID(N52,O52,P52-O52),[6]skilldef!$A:$B,2,FALSE),"-")</f>
        <v>- / ディスハート</v>
      </c>
      <c r="T52" s="43" t="str">
        <f t="shared" ref="T52:T55" si="119">IFERROR(RIGHT(M52,LEN(M52)-FIND("],",M52)-1),"none")</f>
        <v>none</v>
      </c>
      <c r="U52" s="58" t="e">
        <f t="shared" ref="U52:U55" si="120">FIND("effect:",T52)+7</f>
        <v>#VALUE!</v>
      </c>
      <c r="V52" s="58">
        <f t="shared" ref="V52:V55" si="121">IFERROR(FIND(",",T52),LEN(T52))</f>
        <v>4</v>
      </c>
      <c r="W52" s="58" t="e">
        <f t="shared" ref="W52:W55" si="122">FIND("target:",T52)+7</f>
        <v>#VALUE!</v>
      </c>
      <c r="X52" s="58" t="e">
        <f t="shared" ref="X52:X55" si="123">FIND(",",T52,V52+1)</f>
        <v>#VALUE!</v>
      </c>
      <c r="Y52" s="58" t="str">
        <f>IFERROR(VLOOKUP(MID(T52,W52,X52-W52),[6]skilldef!$C:$D,2,FALSE),"-") &amp; " / " &amp; IFERROR(VLOOKUP(MID(T52,U52,V52-U52),[6]skilldef!$A:$B,2,FALSE),"-")</f>
        <v>- / -</v>
      </c>
      <c r="Z52" s="45" t="s">
        <v>211</v>
      </c>
      <c r="AA52" s="47"/>
      <c r="AB52" s="45"/>
    </row>
    <row r="53" spans="1:28" ht="21" customHeight="1">
      <c r="A53" s="99">
        <v>40006051</v>
      </c>
      <c r="B53" s="42" t="s">
        <v>280</v>
      </c>
      <c r="C53" s="45">
        <v>3</v>
      </c>
      <c r="D53" s="45" t="s">
        <v>111</v>
      </c>
      <c r="E53" s="46" t="s">
        <v>267</v>
      </c>
      <c r="F53" s="46" t="s">
        <v>268</v>
      </c>
      <c r="G53" s="58" t="str">
        <f t="shared" si="109"/>
        <v>[effect:change_block, new_block:block_heart, target:block_all, count:8, val:0, animation:change_block]</v>
      </c>
      <c r="H53" s="58">
        <f t="shared" si="110"/>
        <v>9</v>
      </c>
      <c r="I53" s="58">
        <f t="shared" si="111"/>
        <v>21</v>
      </c>
      <c r="J53" s="58">
        <f t="shared" si="112"/>
        <v>53</v>
      </c>
      <c r="K53" s="58">
        <f t="shared" si="113"/>
        <v>44</v>
      </c>
      <c r="L53" s="58" t="str">
        <f>IFERROR(VLOOKUP(MID(G53,J53,K53-J53),[6]skilldef!$C:$D,2,FALSE),"-") &amp; " / " &amp; IFERROR(VLOOKUP(MID(G53,H53,I53-H53),[6]skilldef!$A:$B,2,FALSE),"-")</f>
        <v>- / ブロック変換</v>
      </c>
      <c r="M53" s="58" t="str">
        <f t="shared" si="114"/>
        <v>none</v>
      </c>
      <c r="N53" s="43" t="str">
        <f t="shared" ref="N53" si="124">IFERROR(LEFT(M53,FIND("],",M53)+S63),M53)</f>
        <v>none</v>
      </c>
      <c r="O53" s="58" t="e">
        <f t="shared" si="115"/>
        <v>#VALUE!</v>
      </c>
      <c r="P53" s="58">
        <f t="shared" si="116"/>
        <v>4</v>
      </c>
      <c r="Q53" s="58" t="e">
        <f t="shared" si="117"/>
        <v>#VALUE!</v>
      </c>
      <c r="R53" s="58" t="e">
        <f t="shared" si="118"/>
        <v>#VALUE!</v>
      </c>
      <c r="S53" s="58" t="str">
        <f>IFERROR(VLOOKUP(MID(N53,Q53,R53-Q53),[6]skilldef!$C:$D,2,FALSE),"-") &amp; " / " &amp; IFERROR(VLOOKUP(MID(N53,O53,P53-O53),[6]skilldef!$A:$B,2,FALSE),"-")</f>
        <v>- / -</v>
      </c>
      <c r="T53" s="43" t="str">
        <f t="shared" si="119"/>
        <v>none</v>
      </c>
      <c r="U53" s="58" t="e">
        <f t="shared" si="120"/>
        <v>#VALUE!</v>
      </c>
      <c r="V53" s="58">
        <f t="shared" si="121"/>
        <v>4</v>
      </c>
      <c r="W53" s="58" t="e">
        <f t="shared" si="122"/>
        <v>#VALUE!</v>
      </c>
      <c r="X53" s="58" t="e">
        <f t="shared" si="123"/>
        <v>#VALUE!</v>
      </c>
      <c r="Y53" s="58" t="str">
        <f>IFERROR(VLOOKUP(MID(T53,W53,X53-W53),[6]skilldef!$C:$D,2,FALSE),"-") &amp; " / " &amp; IFERROR(VLOOKUP(MID(T53,U53,V53-U53),[6]skilldef!$A:$B,2,FALSE),"-")</f>
        <v>- / -</v>
      </c>
      <c r="Z53" s="45" t="s">
        <v>211</v>
      </c>
      <c r="AA53" s="47"/>
      <c r="AB53" s="45"/>
    </row>
    <row r="54" spans="1:28" ht="21" customHeight="1">
      <c r="A54" s="99">
        <v>40006052</v>
      </c>
      <c r="B54" s="42" t="s">
        <v>295</v>
      </c>
      <c r="C54" s="45">
        <v>3</v>
      </c>
      <c r="D54" s="45" t="s">
        <v>111</v>
      </c>
      <c r="E54" s="46" t="s">
        <v>291</v>
      </c>
      <c r="F54" s="46" t="s">
        <v>292</v>
      </c>
      <c r="G54" s="58" t="str">
        <f t="shared" si="109"/>
        <v>[effect:fix_speed,target:myself,turn:1]</v>
      </c>
      <c r="H54" s="58">
        <f t="shared" si="110"/>
        <v>9</v>
      </c>
      <c r="I54" s="58">
        <f t="shared" si="111"/>
        <v>18</v>
      </c>
      <c r="J54" s="58">
        <f t="shared" si="112"/>
        <v>26</v>
      </c>
      <c r="K54" s="58">
        <f t="shared" si="113"/>
        <v>32</v>
      </c>
      <c r="L54" s="58" t="str">
        <f>IFERROR(VLOOKUP(MID(G54,J54,K54-J54),[6]skilldef!$C:$D,2,FALSE),"-") &amp; " / " &amp; IFERROR(VLOOKUP(MID(G54,H54,I54-H54),[6]skilldef!$A:$B,2,FALSE),"-")</f>
        <v>自分自身に / 行動値設定</v>
      </c>
      <c r="M54" s="58" t="str">
        <f t="shared" si="114"/>
        <v>none</v>
      </c>
      <c r="N54" s="43" t="str">
        <f t="shared" ref="N54" si="125">IFERROR(LEFT(M54,FIND("],",M54)+S65),M54)</f>
        <v>none</v>
      </c>
      <c r="O54" s="58" t="e">
        <f t="shared" si="115"/>
        <v>#VALUE!</v>
      </c>
      <c r="P54" s="58">
        <f t="shared" si="116"/>
        <v>4</v>
      </c>
      <c r="Q54" s="58" t="e">
        <f t="shared" si="117"/>
        <v>#VALUE!</v>
      </c>
      <c r="R54" s="58" t="e">
        <f t="shared" si="118"/>
        <v>#VALUE!</v>
      </c>
      <c r="S54" s="58" t="str">
        <f>IFERROR(VLOOKUP(MID(N54,Q54,R54-Q54),[6]skilldef!$C:$D,2,FALSE),"-") &amp; " / " &amp; IFERROR(VLOOKUP(MID(N54,O54,P54-O54),[6]skilldef!$A:$B,2,FALSE),"-")</f>
        <v>- / -</v>
      </c>
      <c r="T54" s="43" t="str">
        <f t="shared" si="119"/>
        <v>none</v>
      </c>
      <c r="U54" s="58" t="e">
        <f t="shared" si="120"/>
        <v>#VALUE!</v>
      </c>
      <c r="V54" s="58">
        <f t="shared" si="121"/>
        <v>4</v>
      </c>
      <c r="W54" s="58" t="e">
        <f t="shared" si="122"/>
        <v>#VALUE!</v>
      </c>
      <c r="X54" s="58" t="e">
        <f t="shared" si="123"/>
        <v>#VALUE!</v>
      </c>
      <c r="Y54" s="58" t="str">
        <f>IFERROR(VLOOKUP(MID(T54,W54,X54-W54),[6]skilldef!$C:$D,2,FALSE),"-") &amp; " / " &amp; IFERROR(VLOOKUP(MID(T54,U54,V54-U54),[6]skilldef!$A:$B,2,FALSE),"-")</f>
        <v>- / -</v>
      </c>
      <c r="Z54" s="45" t="s">
        <v>211</v>
      </c>
      <c r="AA54" s="47"/>
      <c r="AB54" s="45"/>
    </row>
    <row r="55" spans="1:28" ht="21" customHeight="1">
      <c r="A55" s="99">
        <v>40006053</v>
      </c>
      <c r="B55" s="42" t="s">
        <v>347</v>
      </c>
      <c r="C55" s="45">
        <v>3</v>
      </c>
      <c r="D55" s="45" t="s">
        <v>111</v>
      </c>
      <c r="E55" s="46" t="s">
        <v>319</v>
      </c>
      <c r="F55" s="46" t="s">
        <v>293</v>
      </c>
      <c r="G55" s="58" t="str">
        <f t="shared" si="109"/>
        <v>[effect:enhance_enemy, target:myself, turn:-1, status:attack, val:0.4, animation:enemy_enhance_attack]</v>
      </c>
      <c r="H55" s="58">
        <f t="shared" si="110"/>
        <v>9</v>
      </c>
      <c r="I55" s="58">
        <f t="shared" si="111"/>
        <v>22</v>
      </c>
      <c r="J55" s="58">
        <f t="shared" si="112"/>
        <v>31</v>
      </c>
      <c r="K55" s="58">
        <f t="shared" si="113"/>
        <v>37</v>
      </c>
      <c r="L55" s="58" t="str">
        <f>IFERROR(VLOOKUP(MID(G55,J55,K55-J55),[6]skilldef!$C:$D,2,FALSE),"-") &amp; " / " &amp; IFERROR(VLOOKUP(MID(G55,H55,I55-H55),[6]skilldef!$A:$B,2,FALSE),"-")</f>
        <v>自分自身に / ステータス強化</v>
      </c>
      <c r="M55" s="58" t="str">
        <f t="shared" si="114"/>
        <v>none</v>
      </c>
      <c r="N55" s="43" t="str">
        <f t="shared" ref="N55" si="126">IFERROR(LEFT(M55,FIND("],",M55)+S65),M55)</f>
        <v>none</v>
      </c>
      <c r="O55" s="58" t="e">
        <f t="shared" si="115"/>
        <v>#VALUE!</v>
      </c>
      <c r="P55" s="58">
        <f t="shared" si="116"/>
        <v>4</v>
      </c>
      <c r="Q55" s="58" t="e">
        <f t="shared" si="117"/>
        <v>#VALUE!</v>
      </c>
      <c r="R55" s="58" t="e">
        <f t="shared" si="118"/>
        <v>#VALUE!</v>
      </c>
      <c r="S55" s="58" t="str">
        <f>IFERROR(VLOOKUP(MID(N55,Q55,R55-Q55),[6]skilldef!$C:$D,2,FALSE),"-") &amp; " / " &amp; IFERROR(VLOOKUP(MID(N55,O55,P55-O55),[6]skilldef!$A:$B,2,FALSE),"-")</f>
        <v>- / -</v>
      </c>
      <c r="T55" s="43" t="str">
        <f t="shared" si="119"/>
        <v>none</v>
      </c>
      <c r="U55" s="58" t="e">
        <f t="shared" si="120"/>
        <v>#VALUE!</v>
      </c>
      <c r="V55" s="58">
        <f t="shared" si="121"/>
        <v>4</v>
      </c>
      <c r="W55" s="58" t="e">
        <f t="shared" si="122"/>
        <v>#VALUE!</v>
      </c>
      <c r="X55" s="58" t="e">
        <f t="shared" si="123"/>
        <v>#VALUE!</v>
      </c>
      <c r="Y55" s="58" t="str">
        <f>IFERROR(VLOOKUP(MID(T55,W55,X55-W55),[6]skilldef!$C:$D,2,FALSE),"-") &amp; " / " &amp; IFERROR(VLOOKUP(MID(T55,U55,V55-U55),[6]skilldef!$A:$B,2,FALSE),"-")</f>
        <v>- / -</v>
      </c>
      <c r="Z55" s="45" t="s">
        <v>211</v>
      </c>
      <c r="AA55" s="47"/>
      <c r="AB55" s="45"/>
    </row>
    <row r="56" spans="1:28" ht="21" customHeight="1">
      <c r="A56" s="99">
        <v>40006054</v>
      </c>
      <c r="B56" s="42" t="s">
        <v>283</v>
      </c>
      <c r="C56" s="45">
        <v>3</v>
      </c>
      <c r="D56" s="45" t="s">
        <v>111</v>
      </c>
      <c r="E56" s="46" t="s">
        <v>385</v>
      </c>
      <c r="F56" s="46" t="s">
        <v>282</v>
      </c>
      <c r="G56" s="58" t="str">
        <f t="shared" ref="G56:G57" si="127">IFERROR(LEFT(B56,FIND("],",B56)),B56)</f>
        <v>[effect:change_block, new_block:jammer, target:block_all, count:1, val:0, animation:change_block]</v>
      </c>
      <c r="H56" s="58">
        <f t="shared" ref="H56:H57" si="128">FIND("effect:",G56)+7</f>
        <v>9</v>
      </c>
      <c r="I56" s="58">
        <f t="shared" ref="I56:I57" si="129">IFERROR(FIND(",",G56),LEN(G56))</f>
        <v>21</v>
      </c>
      <c r="J56" s="58">
        <f t="shared" ref="J56:J57" si="130">FIND("target:",G56)+7</f>
        <v>48</v>
      </c>
      <c r="K56" s="58">
        <f t="shared" ref="K56:K57" si="131">FIND(",",G56,I56+1)</f>
        <v>39</v>
      </c>
      <c r="L56" s="58" t="str">
        <f>IFERROR(VLOOKUP(MID(G56,J56,K56-J56),[6]skilldef!$C:$D,2,FALSE),"-") &amp; " / " &amp; IFERROR(VLOOKUP(MID(G56,H56,I56-H56),[6]skilldef!$A:$B,2,FALSE),"-")</f>
        <v>- / ブロック変換</v>
      </c>
      <c r="M56" s="58" t="str">
        <f t="shared" ref="M56:M57" si="132">IFERROR(RIGHT(B56,LEN(B56)-FIND("],",B56)-1),"none")</f>
        <v>[effect:rush, count:1, val:0.8]</v>
      </c>
      <c r="N56" s="43" t="str">
        <f t="shared" ref="N56" si="133">IFERROR(LEFT(M56,FIND("],",M56)+S66),M56)</f>
        <v>[effect:rush, count:1, val:0.8]</v>
      </c>
      <c r="O56" s="58">
        <f t="shared" ref="O56:O57" si="134">FIND("effect:",N56)+7</f>
        <v>9</v>
      </c>
      <c r="P56" s="58">
        <f t="shared" ref="P56:P57" si="135">IFERROR(FIND(",",N56),LEN(N56))</f>
        <v>13</v>
      </c>
      <c r="Q56" s="58" t="e">
        <f t="shared" ref="Q56:Q57" si="136">FIND("target:",N56)+7</f>
        <v>#VALUE!</v>
      </c>
      <c r="R56" s="58">
        <f t="shared" ref="R56:R57" si="137">FIND(",",N56,P56+1)</f>
        <v>22</v>
      </c>
      <c r="S56" s="58" t="str">
        <f>IFERROR(VLOOKUP(MID(N56,Q56,R56-Q56),[6]skilldef!$C:$D,2,FALSE),"-") &amp; " / " &amp; IFERROR(VLOOKUP(MID(N56,O56,P56-O56),[6]skilldef!$A:$B,2,FALSE),"-")</f>
        <v>- / 連続攻撃</v>
      </c>
      <c r="T56" s="43" t="str">
        <f t="shared" ref="T56:T57" si="138">IFERROR(RIGHT(M56,LEN(M56)-FIND("],",M56)-1),"none")</f>
        <v>none</v>
      </c>
      <c r="U56" s="58" t="e">
        <f t="shared" ref="U56:U57" si="139">FIND("effect:",T56)+7</f>
        <v>#VALUE!</v>
      </c>
      <c r="V56" s="58">
        <f t="shared" ref="V56:V57" si="140">IFERROR(FIND(",",T56),LEN(T56))</f>
        <v>4</v>
      </c>
      <c r="W56" s="58" t="e">
        <f t="shared" ref="W56:W57" si="141">FIND("target:",T56)+7</f>
        <v>#VALUE!</v>
      </c>
      <c r="X56" s="58" t="e">
        <f t="shared" ref="X56:X57" si="142">FIND(",",T56,V56+1)</f>
        <v>#VALUE!</v>
      </c>
      <c r="Y56" s="58" t="str">
        <f>IFERROR(VLOOKUP(MID(T56,W56,X56-W56),[6]skilldef!$C:$D,2,FALSE),"-") &amp; " / " &amp; IFERROR(VLOOKUP(MID(T56,U56,V56-U56),[6]skilldef!$A:$B,2,FALSE),"-")</f>
        <v>- / -</v>
      </c>
      <c r="Z56" s="45" t="s">
        <v>211</v>
      </c>
      <c r="AA56" s="47"/>
      <c r="AB56" s="45"/>
    </row>
    <row r="57" spans="1:28" ht="21" customHeight="1">
      <c r="A57" s="99">
        <v>40006055</v>
      </c>
      <c r="B57" s="42" t="s">
        <v>317</v>
      </c>
      <c r="C57" s="45">
        <v>3</v>
      </c>
      <c r="D57" s="45" t="s">
        <v>111</v>
      </c>
      <c r="E57" s="46" t="s">
        <v>315</v>
      </c>
      <c r="F57" s="46" t="s">
        <v>316</v>
      </c>
      <c r="G57" s="58" t="str">
        <f t="shared" si="127"/>
        <v>[effect:dark, target:unit_all, turn:10, animation:enemy_dark]</v>
      </c>
      <c r="H57" s="58">
        <f t="shared" si="128"/>
        <v>9</v>
      </c>
      <c r="I57" s="58">
        <f t="shared" si="129"/>
        <v>13</v>
      </c>
      <c r="J57" s="58">
        <f t="shared" si="130"/>
        <v>22</v>
      </c>
      <c r="K57" s="58">
        <f t="shared" si="131"/>
        <v>30</v>
      </c>
      <c r="L57" s="58" t="str">
        <f>IFERROR(VLOOKUP(MID(G57,J57,K57-J57),[6]skilldef!$C:$D,2,FALSE),"-") &amp; " / " &amp; IFERROR(VLOOKUP(MID(G57,H57,I57-H57),[6]skilldef!$A:$B,2,FALSE),"-")</f>
        <v>味方全体に / 暗黒</v>
      </c>
      <c r="M57" s="58" t="str">
        <f t="shared" si="132"/>
        <v>none</v>
      </c>
      <c r="N57" s="43" t="str">
        <f>IFERROR(LEFT(M57,FIND("],",M57)+S73),M57)</f>
        <v>none</v>
      </c>
      <c r="O57" s="58" t="e">
        <f t="shared" si="134"/>
        <v>#VALUE!</v>
      </c>
      <c r="P57" s="58">
        <f t="shared" si="135"/>
        <v>4</v>
      </c>
      <c r="Q57" s="58" t="e">
        <f t="shared" si="136"/>
        <v>#VALUE!</v>
      </c>
      <c r="R57" s="58" t="e">
        <f t="shared" si="137"/>
        <v>#VALUE!</v>
      </c>
      <c r="S57" s="58" t="str">
        <f>IFERROR(VLOOKUP(MID(N57,Q57,R57-Q57),[6]skilldef!$C:$D,2,FALSE),"-") &amp; " / " &amp; IFERROR(VLOOKUP(MID(N57,O57,P57-O57),[6]skilldef!$A:$B,2,FALSE),"-")</f>
        <v>- / -</v>
      </c>
      <c r="T57" s="43" t="str">
        <f t="shared" si="138"/>
        <v>none</v>
      </c>
      <c r="U57" s="58" t="e">
        <f t="shared" si="139"/>
        <v>#VALUE!</v>
      </c>
      <c r="V57" s="58">
        <f t="shared" si="140"/>
        <v>4</v>
      </c>
      <c r="W57" s="58" t="e">
        <f t="shared" si="141"/>
        <v>#VALUE!</v>
      </c>
      <c r="X57" s="58" t="e">
        <f t="shared" si="142"/>
        <v>#VALUE!</v>
      </c>
      <c r="Y57" s="58" t="str">
        <f>IFERROR(VLOOKUP(MID(T57,W57,X57-W57),[6]skilldef!$C:$D,2,FALSE),"-") &amp; " / " &amp; IFERROR(VLOOKUP(MID(T57,U57,V57-U57),[6]skilldef!$A:$B,2,FALSE),"-")</f>
        <v>- / -</v>
      </c>
      <c r="Z57" s="45" t="s">
        <v>211</v>
      </c>
      <c r="AA57" s="47"/>
      <c r="AB57" s="45"/>
    </row>
    <row r="58" spans="1:28" ht="21" customHeight="1">
      <c r="A58" s="99">
        <v>40006056</v>
      </c>
      <c r="B58" s="42" t="s">
        <v>351</v>
      </c>
      <c r="C58" s="45">
        <v>3</v>
      </c>
      <c r="D58" s="45" t="s">
        <v>111</v>
      </c>
      <c r="E58" s="46" t="s">
        <v>325</v>
      </c>
      <c r="F58" s="46" t="s">
        <v>331</v>
      </c>
      <c r="G58" s="58" t="str">
        <f t="shared" ref="G58:G60" si="143">IFERROR(LEFT(B58,FIND("],",B58)),B58)</f>
        <v>[effect:break_attack, val:0.08, lowest_val:1, count:8, block:block_heart, target:unit_all]</v>
      </c>
      <c r="H58" s="58">
        <f t="shared" ref="H58:H60" si="144">FIND("effect:",G58)+7</f>
        <v>9</v>
      </c>
      <c r="I58" s="58">
        <f t="shared" ref="I58:I60" si="145">IFERROR(FIND(",",G58),LEN(G58))</f>
        <v>21</v>
      </c>
      <c r="J58" s="58">
        <f t="shared" ref="J58:J60" si="146">FIND("target:",G58)+7</f>
        <v>82</v>
      </c>
      <c r="K58" s="58">
        <f t="shared" ref="K58:K60" si="147">FIND(",",G58,I58+1)</f>
        <v>31</v>
      </c>
      <c r="L58" s="58" t="str">
        <f>IFERROR(VLOOKUP(MID(G58,J58,K58-J58),[6]skilldef!$C:$D,2,FALSE),"-") &amp; " / " &amp; IFERROR(VLOOKUP(MID(G58,H58,I58-H58),[6]skilldef!$A:$B,2,FALSE),"-")</f>
        <v>- / -</v>
      </c>
      <c r="M58" s="58" t="str">
        <f t="shared" ref="M58:M60" si="148">IFERROR(RIGHT(B58,LEN(B58)-FIND("],",B58)-1),"none")</f>
        <v>none</v>
      </c>
      <c r="N58" s="43" t="str">
        <f>IFERROR(LEFT(M58,FIND("],",M58)+S74),M58)</f>
        <v>none</v>
      </c>
      <c r="O58" s="58" t="e">
        <f t="shared" ref="O58:O60" si="149">FIND("effect:",N58)+7</f>
        <v>#VALUE!</v>
      </c>
      <c r="P58" s="58">
        <f t="shared" ref="P58:P60" si="150">IFERROR(FIND(",",N58),LEN(N58))</f>
        <v>4</v>
      </c>
      <c r="Q58" s="58" t="e">
        <f t="shared" ref="Q58:Q60" si="151">FIND("target:",N58)+7</f>
        <v>#VALUE!</v>
      </c>
      <c r="R58" s="58" t="e">
        <f t="shared" ref="R58:R60" si="152">FIND(",",N58,P58+1)</f>
        <v>#VALUE!</v>
      </c>
      <c r="S58" s="58" t="str">
        <f>IFERROR(VLOOKUP(MID(N58,Q58,R58-Q58),[6]skilldef!$C:$D,2,FALSE),"-") &amp; " / " &amp; IFERROR(VLOOKUP(MID(N58,O58,P58-O58),[6]skilldef!$A:$B,2,FALSE),"-")</f>
        <v>- / -</v>
      </c>
      <c r="T58" s="43" t="str">
        <f t="shared" ref="T58:T60" si="153">IFERROR(RIGHT(M58,LEN(M58)-FIND("],",M58)-1),"none")</f>
        <v>none</v>
      </c>
      <c r="U58" s="58" t="e">
        <f t="shared" ref="U58:U60" si="154">FIND("effect:",T58)+7</f>
        <v>#VALUE!</v>
      </c>
      <c r="V58" s="58">
        <f t="shared" ref="V58:V60" si="155">IFERROR(FIND(",",T58),LEN(T58))</f>
        <v>4</v>
      </c>
      <c r="W58" s="58" t="e">
        <f t="shared" ref="W58:W60" si="156">FIND("target:",T58)+7</f>
        <v>#VALUE!</v>
      </c>
      <c r="X58" s="58" t="e">
        <f t="shared" ref="X58:X60" si="157">FIND(",",T58,V58+1)</f>
        <v>#VALUE!</v>
      </c>
      <c r="Y58" s="58" t="str">
        <f>IFERROR(VLOOKUP(MID(T58,W58,X58-W58),[6]skilldef!$C:$D,2,FALSE),"-") &amp; " / " &amp; IFERROR(VLOOKUP(MID(T58,U58,V58-U58),[6]skilldef!$A:$B,2,FALSE),"-")</f>
        <v>- / -</v>
      </c>
      <c r="Z58" s="45" t="s">
        <v>211</v>
      </c>
      <c r="AA58" s="47"/>
      <c r="AB58" s="45"/>
    </row>
    <row r="59" spans="1:28" ht="21" customHeight="1">
      <c r="A59" s="99">
        <v>40006057</v>
      </c>
      <c r="B59" s="42" t="s">
        <v>371</v>
      </c>
      <c r="C59" s="45">
        <v>3</v>
      </c>
      <c r="D59" s="45" t="s">
        <v>111</v>
      </c>
      <c r="E59" s="46" t="s">
        <v>370</v>
      </c>
      <c r="F59" s="46" t="s">
        <v>386</v>
      </c>
      <c r="G59" s="58" t="str">
        <f t="shared" si="143"/>
        <v>[effect:fix_speed,target:myself,turn:2]</v>
      </c>
      <c r="H59" s="58">
        <f t="shared" si="144"/>
        <v>9</v>
      </c>
      <c r="I59" s="58">
        <f t="shared" si="145"/>
        <v>18</v>
      </c>
      <c r="J59" s="58">
        <f t="shared" si="146"/>
        <v>26</v>
      </c>
      <c r="K59" s="58">
        <f t="shared" si="147"/>
        <v>32</v>
      </c>
      <c r="L59" s="58" t="str">
        <f>IFERROR(VLOOKUP(MID(G59,J59,K59-J59),[6]skilldef!$C:$D,2,FALSE),"-") &amp; " / " &amp; IFERROR(VLOOKUP(MID(G59,H59,I59-H59),[6]skilldef!$A:$B,2,FALSE),"-")</f>
        <v>自分自身に / 行動値設定</v>
      </c>
      <c r="M59" s="58" t="str">
        <f t="shared" si="148"/>
        <v>none</v>
      </c>
      <c r="N59" s="43" t="str">
        <f t="shared" ref="N59:N60" si="158">IFERROR(LEFT(M59,FIND("],",M59)+S69),M59)</f>
        <v>none</v>
      </c>
      <c r="O59" s="58" t="e">
        <f t="shared" si="149"/>
        <v>#VALUE!</v>
      </c>
      <c r="P59" s="58">
        <f t="shared" si="150"/>
        <v>4</v>
      </c>
      <c r="Q59" s="58" t="e">
        <f t="shared" si="151"/>
        <v>#VALUE!</v>
      </c>
      <c r="R59" s="58" t="e">
        <f t="shared" si="152"/>
        <v>#VALUE!</v>
      </c>
      <c r="S59" s="58" t="str">
        <f>IFERROR(VLOOKUP(MID(N59,Q59,R59-Q59),[6]skilldef!$C:$D,2,FALSE),"-") &amp; " / " &amp; IFERROR(VLOOKUP(MID(N59,O59,P59-O59),[6]skilldef!$A:$B,2,FALSE),"-")</f>
        <v>- / -</v>
      </c>
      <c r="T59" s="43" t="str">
        <f t="shared" si="153"/>
        <v>none</v>
      </c>
      <c r="U59" s="58" t="e">
        <f t="shared" si="154"/>
        <v>#VALUE!</v>
      </c>
      <c r="V59" s="58">
        <f t="shared" si="155"/>
        <v>4</v>
      </c>
      <c r="W59" s="58" t="e">
        <f t="shared" si="156"/>
        <v>#VALUE!</v>
      </c>
      <c r="X59" s="58" t="e">
        <f t="shared" si="157"/>
        <v>#VALUE!</v>
      </c>
      <c r="Y59" s="58" t="str">
        <f>IFERROR(VLOOKUP(MID(T59,W59,X59-W59),[6]skilldef!$C:$D,2,FALSE),"-") &amp; " / " &amp; IFERROR(VLOOKUP(MID(T59,U59,V59-U59),[6]skilldef!$A:$B,2,FALSE),"-")</f>
        <v>- / -</v>
      </c>
      <c r="Z59" s="45" t="s">
        <v>211</v>
      </c>
      <c r="AA59" s="47"/>
      <c r="AB59" s="45"/>
    </row>
    <row r="60" spans="1:28" ht="21" customHeight="1">
      <c r="A60" s="99">
        <v>40006058</v>
      </c>
      <c r="B60" s="42" t="s">
        <v>377</v>
      </c>
      <c r="C60" s="45">
        <v>3</v>
      </c>
      <c r="D60" s="45" t="s">
        <v>111</v>
      </c>
      <c r="E60" s="46" t="s">
        <v>376</v>
      </c>
      <c r="F60" s="46" t="s">
        <v>375</v>
      </c>
      <c r="G60" s="58" t="str">
        <f t="shared" si="143"/>
        <v>[effect:hungup, target:unit_one, turn:3, rate:1, animation:hungup01]</v>
      </c>
      <c r="H60" s="58">
        <f t="shared" si="144"/>
        <v>9</v>
      </c>
      <c r="I60" s="58">
        <f t="shared" si="145"/>
        <v>15</v>
      </c>
      <c r="J60" s="58">
        <f t="shared" si="146"/>
        <v>24</v>
      </c>
      <c r="K60" s="58">
        <f t="shared" si="147"/>
        <v>32</v>
      </c>
      <c r="L60" s="58" t="str">
        <f>IFERROR(VLOOKUP(MID(G60,J60,K60-J60),[6]skilldef!$C:$D,2,FALSE),"-") &amp; " / " &amp; IFERROR(VLOOKUP(MID(G60,H60,I60-H60),[6]skilldef!$A:$B,2,FALSE),"-")</f>
        <v>味方単体に / ハングアップ</v>
      </c>
      <c r="M60" s="58" t="str">
        <f t="shared" si="148"/>
        <v>none</v>
      </c>
      <c r="N60" s="43" t="str">
        <f t="shared" si="158"/>
        <v>none</v>
      </c>
      <c r="O60" s="58" t="e">
        <f t="shared" si="149"/>
        <v>#VALUE!</v>
      </c>
      <c r="P60" s="58">
        <f t="shared" si="150"/>
        <v>4</v>
      </c>
      <c r="Q60" s="58" t="e">
        <f t="shared" si="151"/>
        <v>#VALUE!</v>
      </c>
      <c r="R60" s="58" t="e">
        <f t="shared" si="152"/>
        <v>#VALUE!</v>
      </c>
      <c r="S60" s="58" t="str">
        <f>IFERROR(VLOOKUP(MID(N60,Q60,R60-Q60),[6]skilldef!$C:$D,2,FALSE),"-") &amp; " / " &amp; IFERROR(VLOOKUP(MID(N60,O60,P60-O60),[6]skilldef!$A:$B,2,FALSE),"-")</f>
        <v>- / -</v>
      </c>
      <c r="T60" s="43" t="str">
        <f t="shared" si="153"/>
        <v>none</v>
      </c>
      <c r="U60" s="58" t="e">
        <f t="shared" si="154"/>
        <v>#VALUE!</v>
      </c>
      <c r="V60" s="58">
        <f t="shared" si="155"/>
        <v>4</v>
      </c>
      <c r="W60" s="58" t="e">
        <f t="shared" si="156"/>
        <v>#VALUE!</v>
      </c>
      <c r="X60" s="58" t="e">
        <f t="shared" si="157"/>
        <v>#VALUE!</v>
      </c>
      <c r="Y60" s="58" t="str">
        <f>IFERROR(VLOOKUP(MID(T60,W60,X60-W60),[6]skilldef!$C:$D,2,FALSE),"-") &amp; " / " &amp; IFERROR(VLOOKUP(MID(T60,U60,V60-U60),[6]skilldef!$A:$B,2,FALSE),"-")</f>
        <v>- / -</v>
      </c>
      <c r="Z60" s="45" t="s">
        <v>211</v>
      </c>
      <c r="AA60" s="47"/>
      <c r="AB60" s="45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0"/>
  <sheetViews>
    <sheetView showGridLines="0" zoomScale="85" zoomScaleNormal="85" zoomScalePageLayoutView="85" workbookViewId="0">
      <pane ySplit="1" topLeftCell="A21" activePane="bottomLeft" state="frozenSplit"/>
      <selection pane="bottomLeft" activeCell="L41" sqref="L41"/>
    </sheetView>
  </sheetViews>
  <sheetFormatPr baseColWidth="12" defaultColWidth="12.83203125" defaultRowHeight="21" customHeight="1" x14ac:dyDescent="0"/>
  <cols>
    <col min="1" max="1" width="16.1640625" style="44" bestFit="1" customWidth="1"/>
    <col min="2" max="2" width="13.33203125" style="44" bestFit="1" customWidth="1"/>
    <col min="3" max="3" width="11.83203125" style="44" bestFit="1" customWidth="1"/>
    <col min="4" max="4" width="14.6640625" style="44" bestFit="1" customWidth="1"/>
    <col min="5" max="5" width="15.6640625" style="44" bestFit="1" customWidth="1"/>
    <col min="6" max="6" width="17" style="44" bestFit="1" customWidth="1"/>
    <col min="7" max="7" width="15.6640625" style="44" bestFit="1" customWidth="1"/>
    <col min="8" max="9" width="14.6640625" style="44" customWidth="1"/>
    <col min="10" max="10" width="14.6640625" style="44" bestFit="1" customWidth="1"/>
    <col min="11" max="11" width="22.83203125" style="34" bestFit="1" customWidth="1"/>
    <col min="12" max="16384" width="12.83203125" style="40"/>
  </cols>
  <sheetData>
    <row r="1" spans="1:11" ht="21" customHeight="1">
      <c r="A1" s="37" t="s">
        <v>67</v>
      </c>
      <c r="B1" s="37" t="s">
        <v>68</v>
      </c>
      <c r="C1" s="37" t="s">
        <v>69</v>
      </c>
      <c r="D1" s="37" t="s">
        <v>70</v>
      </c>
      <c r="E1" s="37" t="s">
        <v>53</v>
      </c>
      <c r="F1" s="48" t="s">
        <v>54</v>
      </c>
      <c r="G1" s="48" t="s">
        <v>55</v>
      </c>
      <c r="H1" s="37" t="s">
        <v>56</v>
      </c>
      <c r="I1" s="37" t="s">
        <v>57</v>
      </c>
      <c r="J1" s="37" t="s">
        <v>58</v>
      </c>
      <c r="K1" s="49" t="s">
        <v>71</v>
      </c>
    </row>
    <row r="2" spans="1:11" ht="21" customHeight="1">
      <c r="A2" s="42">
        <v>40006000</v>
      </c>
      <c r="B2" s="42">
        <v>0</v>
      </c>
      <c r="C2" s="42">
        <v>10</v>
      </c>
      <c r="D2" s="42">
        <v>50</v>
      </c>
      <c r="E2" s="42" t="s">
        <v>228</v>
      </c>
      <c r="F2" s="42" t="s">
        <v>73</v>
      </c>
      <c r="G2" s="42" t="s">
        <v>241</v>
      </c>
      <c r="H2" s="42" t="s">
        <v>73</v>
      </c>
      <c r="I2" s="42" t="s">
        <v>73</v>
      </c>
      <c r="J2" s="43">
        <f t="shared" ref="J2" si="0">D2</f>
        <v>50</v>
      </c>
    </row>
    <row r="3" spans="1:11" ht="21" customHeight="1">
      <c r="A3" s="42">
        <v>40006001</v>
      </c>
      <c r="B3" s="42">
        <v>0</v>
      </c>
      <c r="C3" s="42">
        <v>9</v>
      </c>
      <c r="D3" s="42">
        <v>100</v>
      </c>
      <c r="E3" s="42" t="s">
        <v>72</v>
      </c>
      <c r="F3" s="42" t="s">
        <v>72</v>
      </c>
      <c r="G3" s="42" t="s">
        <v>241</v>
      </c>
      <c r="H3" s="42" t="s">
        <v>72</v>
      </c>
      <c r="I3" s="42" t="s">
        <v>72</v>
      </c>
      <c r="J3" s="43">
        <f t="shared" ref="J3:J4" si="1">D3</f>
        <v>100</v>
      </c>
    </row>
    <row r="4" spans="1:11" ht="21" customHeight="1">
      <c r="A4" s="42">
        <v>40006002</v>
      </c>
      <c r="B4" s="42">
        <v>0</v>
      </c>
      <c r="C4" s="42">
        <v>13</v>
      </c>
      <c r="D4" s="42">
        <v>100</v>
      </c>
      <c r="E4" s="42">
        <v>65</v>
      </c>
      <c r="F4" s="42" t="s">
        <v>72</v>
      </c>
      <c r="G4" s="42">
        <v>1</v>
      </c>
      <c r="H4" s="42" t="s">
        <v>72</v>
      </c>
      <c r="I4" s="42" t="s">
        <v>72</v>
      </c>
      <c r="J4" s="43">
        <f t="shared" si="1"/>
        <v>100</v>
      </c>
    </row>
    <row r="5" spans="1:11" ht="21" customHeight="1">
      <c r="A5" s="42">
        <v>40006003</v>
      </c>
      <c r="B5" s="42">
        <v>0</v>
      </c>
      <c r="C5" s="42">
        <v>12</v>
      </c>
      <c r="D5" s="42">
        <v>100</v>
      </c>
      <c r="E5" s="42">
        <v>40</v>
      </c>
      <c r="F5" s="42" t="s">
        <v>72</v>
      </c>
      <c r="G5" s="42">
        <v>1</v>
      </c>
      <c r="H5" s="42" t="s">
        <v>72</v>
      </c>
      <c r="I5" s="42" t="s">
        <v>72</v>
      </c>
      <c r="J5" s="43">
        <f t="shared" ref="J5:J8" si="2">D5</f>
        <v>100</v>
      </c>
    </row>
    <row r="6" spans="1:11" ht="21" customHeight="1">
      <c r="A6" s="42">
        <v>40006004</v>
      </c>
      <c r="B6" s="42">
        <v>0</v>
      </c>
      <c r="C6" s="42">
        <v>11</v>
      </c>
      <c r="D6" s="42">
        <v>100</v>
      </c>
      <c r="E6" s="42">
        <v>40</v>
      </c>
      <c r="F6" s="42" t="s">
        <v>72</v>
      </c>
      <c r="G6" s="42">
        <v>1</v>
      </c>
      <c r="H6" s="42" t="s">
        <v>72</v>
      </c>
      <c r="I6" s="42" t="s">
        <v>72</v>
      </c>
      <c r="J6" s="43">
        <f t="shared" si="2"/>
        <v>100</v>
      </c>
    </row>
    <row r="7" spans="1:11" ht="21" customHeight="1">
      <c r="A7" s="42">
        <v>40006005</v>
      </c>
      <c r="B7" s="42">
        <v>0</v>
      </c>
      <c r="C7" s="42">
        <v>10</v>
      </c>
      <c r="D7" s="42">
        <v>100</v>
      </c>
      <c r="E7" s="42" t="s">
        <v>72</v>
      </c>
      <c r="F7" s="42" t="s">
        <v>72</v>
      </c>
      <c r="G7" s="42" t="s">
        <v>241</v>
      </c>
      <c r="H7" s="42">
        <v>2</v>
      </c>
      <c r="I7" s="42" t="s">
        <v>72</v>
      </c>
      <c r="J7" s="43">
        <f t="shared" si="2"/>
        <v>100</v>
      </c>
    </row>
    <row r="8" spans="1:11" ht="21" customHeight="1">
      <c r="A8" s="42">
        <v>40006006</v>
      </c>
      <c r="B8" s="42">
        <v>0</v>
      </c>
      <c r="C8" s="42">
        <v>8</v>
      </c>
      <c r="D8" s="42">
        <v>100</v>
      </c>
      <c r="E8" s="42" t="s">
        <v>72</v>
      </c>
      <c r="F8" s="42" t="s">
        <v>72</v>
      </c>
      <c r="G8" s="42" t="s">
        <v>241</v>
      </c>
      <c r="H8" s="42" t="s">
        <v>72</v>
      </c>
      <c r="I8" s="42" t="s">
        <v>72</v>
      </c>
      <c r="J8" s="43">
        <f t="shared" si="2"/>
        <v>100</v>
      </c>
    </row>
    <row r="9" spans="1:11" ht="21" customHeight="1">
      <c r="A9" s="42">
        <v>40006007</v>
      </c>
      <c r="B9" s="42">
        <v>0</v>
      </c>
      <c r="C9" s="42">
        <v>9</v>
      </c>
      <c r="D9" s="42">
        <v>50</v>
      </c>
      <c r="E9" s="42">
        <v>50</v>
      </c>
      <c r="F9" s="42" t="s">
        <v>72</v>
      </c>
      <c r="G9" s="42">
        <v>2</v>
      </c>
      <c r="H9" s="42" t="s">
        <v>72</v>
      </c>
      <c r="I9" s="42" t="s">
        <v>72</v>
      </c>
      <c r="J9" s="43">
        <f t="shared" ref="J9:J16" si="3">D9</f>
        <v>50</v>
      </c>
    </row>
    <row r="10" spans="1:11" ht="21" customHeight="1">
      <c r="A10" s="42">
        <v>40006008</v>
      </c>
      <c r="B10" s="42">
        <v>0</v>
      </c>
      <c r="C10" s="42">
        <v>13</v>
      </c>
      <c r="D10" s="42">
        <v>100</v>
      </c>
      <c r="E10" s="42" t="s">
        <v>72</v>
      </c>
      <c r="F10" s="42" t="s">
        <v>72</v>
      </c>
      <c r="G10" s="42">
        <v>1</v>
      </c>
      <c r="H10" s="42" t="s">
        <v>72</v>
      </c>
      <c r="I10" s="42">
        <v>367</v>
      </c>
      <c r="J10" s="43">
        <f t="shared" si="3"/>
        <v>100</v>
      </c>
    </row>
    <row r="11" spans="1:11" ht="21" customHeight="1">
      <c r="A11" s="42">
        <v>40006009</v>
      </c>
      <c r="B11" s="42">
        <v>0</v>
      </c>
      <c r="C11" s="42">
        <v>12</v>
      </c>
      <c r="D11" s="42">
        <v>100</v>
      </c>
      <c r="E11" s="42" t="s">
        <v>72</v>
      </c>
      <c r="F11" s="42" t="s">
        <v>72</v>
      </c>
      <c r="G11" s="42">
        <v>1</v>
      </c>
      <c r="H11" s="42" t="s">
        <v>72</v>
      </c>
      <c r="I11" s="42">
        <v>367</v>
      </c>
      <c r="J11" s="43">
        <f t="shared" si="3"/>
        <v>100</v>
      </c>
    </row>
    <row r="12" spans="1:11" ht="21" customHeight="1">
      <c r="A12" s="42">
        <v>40006010</v>
      </c>
      <c r="B12" s="42">
        <v>0</v>
      </c>
      <c r="C12" s="42">
        <v>10</v>
      </c>
      <c r="D12" s="42">
        <v>100</v>
      </c>
      <c r="E12" s="42" t="s">
        <v>72</v>
      </c>
      <c r="F12" s="42" t="s">
        <v>72</v>
      </c>
      <c r="G12" s="42" t="s">
        <v>241</v>
      </c>
      <c r="H12" s="42" t="s">
        <v>72</v>
      </c>
      <c r="I12" s="42" t="s">
        <v>72</v>
      </c>
      <c r="J12" s="43">
        <f t="shared" si="3"/>
        <v>100</v>
      </c>
    </row>
    <row r="13" spans="1:11" ht="21" customHeight="1">
      <c r="A13" s="42">
        <v>40006011</v>
      </c>
      <c r="B13" s="42">
        <v>0</v>
      </c>
      <c r="C13" s="42">
        <v>10</v>
      </c>
      <c r="D13" s="42">
        <v>100</v>
      </c>
      <c r="E13" s="42" t="s">
        <v>72</v>
      </c>
      <c r="F13" s="42" t="s">
        <v>72</v>
      </c>
      <c r="G13" s="42" t="s">
        <v>241</v>
      </c>
      <c r="H13" s="42" t="s">
        <v>72</v>
      </c>
      <c r="I13" s="42" t="s">
        <v>72</v>
      </c>
      <c r="J13" s="43">
        <f t="shared" si="3"/>
        <v>100</v>
      </c>
    </row>
    <row r="14" spans="1:11" ht="21" customHeight="1">
      <c r="A14" s="42">
        <v>40006012</v>
      </c>
      <c r="B14" s="42">
        <v>0</v>
      </c>
      <c r="C14" s="42">
        <v>10</v>
      </c>
      <c r="D14" s="42">
        <v>35</v>
      </c>
      <c r="E14" s="42" t="s">
        <v>72</v>
      </c>
      <c r="F14" s="42" t="s">
        <v>72</v>
      </c>
      <c r="G14" s="42" t="s">
        <v>241</v>
      </c>
      <c r="H14" s="42" t="s">
        <v>72</v>
      </c>
      <c r="I14" s="42" t="s">
        <v>72</v>
      </c>
      <c r="J14" s="43">
        <f t="shared" si="3"/>
        <v>35</v>
      </c>
    </row>
    <row r="15" spans="1:11" ht="21" customHeight="1">
      <c r="A15" s="42">
        <v>40006013</v>
      </c>
      <c r="B15" s="42">
        <v>0</v>
      </c>
      <c r="C15" s="42">
        <v>12</v>
      </c>
      <c r="D15" s="42">
        <v>100</v>
      </c>
      <c r="E15" s="42" t="s">
        <v>72</v>
      </c>
      <c r="F15" s="42" t="s">
        <v>72</v>
      </c>
      <c r="G15" s="42" t="s">
        <v>241</v>
      </c>
      <c r="H15" s="42">
        <v>3</v>
      </c>
      <c r="I15" s="42" t="s">
        <v>72</v>
      </c>
      <c r="J15" s="43">
        <f t="shared" si="3"/>
        <v>100</v>
      </c>
    </row>
    <row r="16" spans="1:11" ht="21" customHeight="1">
      <c r="A16" s="42">
        <v>40006014</v>
      </c>
      <c r="B16" s="42">
        <v>0</v>
      </c>
      <c r="C16" s="42">
        <v>11</v>
      </c>
      <c r="D16" s="42">
        <v>100</v>
      </c>
      <c r="E16" s="42">
        <v>30</v>
      </c>
      <c r="F16" s="42" t="s">
        <v>72</v>
      </c>
      <c r="G16" s="42">
        <v>1</v>
      </c>
      <c r="H16" s="42" t="s">
        <v>72</v>
      </c>
      <c r="I16" s="42" t="s">
        <v>72</v>
      </c>
      <c r="J16" s="43">
        <f t="shared" si="3"/>
        <v>100</v>
      </c>
    </row>
    <row r="17" spans="1:10" ht="21" customHeight="1">
      <c r="A17" s="42">
        <v>40006015</v>
      </c>
      <c r="B17" s="42">
        <v>0</v>
      </c>
      <c r="C17" s="42">
        <v>11</v>
      </c>
      <c r="D17" s="42">
        <v>100</v>
      </c>
      <c r="E17" s="42">
        <v>30</v>
      </c>
      <c r="F17" s="42" t="s">
        <v>72</v>
      </c>
      <c r="G17" s="42">
        <v>1</v>
      </c>
      <c r="H17" s="42" t="s">
        <v>72</v>
      </c>
      <c r="I17" s="42" t="s">
        <v>72</v>
      </c>
      <c r="J17" s="43">
        <f t="shared" ref="J17:J32" si="4">D17</f>
        <v>100</v>
      </c>
    </row>
    <row r="18" spans="1:10" ht="21" customHeight="1">
      <c r="A18" s="42">
        <v>40006016</v>
      </c>
      <c r="B18" s="42">
        <v>0</v>
      </c>
      <c r="C18" s="42">
        <v>11</v>
      </c>
      <c r="D18" s="42">
        <v>100</v>
      </c>
      <c r="E18" s="42">
        <v>30</v>
      </c>
      <c r="F18" s="42" t="s">
        <v>72</v>
      </c>
      <c r="G18" s="42">
        <v>1</v>
      </c>
      <c r="H18" s="42" t="s">
        <v>72</v>
      </c>
      <c r="I18" s="42" t="s">
        <v>72</v>
      </c>
      <c r="J18" s="43">
        <f t="shared" si="4"/>
        <v>100</v>
      </c>
    </row>
    <row r="19" spans="1:10" ht="21" customHeight="1">
      <c r="A19" s="42">
        <v>40006017</v>
      </c>
      <c r="B19" s="42">
        <v>1</v>
      </c>
      <c r="C19" s="42">
        <v>99</v>
      </c>
      <c r="D19" s="42">
        <v>100</v>
      </c>
      <c r="E19" s="42" t="s">
        <v>72</v>
      </c>
      <c r="F19" s="42" t="s">
        <v>72</v>
      </c>
      <c r="G19" s="42">
        <v>1</v>
      </c>
      <c r="H19" s="42" t="s">
        <v>72</v>
      </c>
      <c r="I19" s="42" t="s">
        <v>72</v>
      </c>
      <c r="J19" s="43">
        <f t="shared" si="4"/>
        <v>100</v>
      </c>
    </row>
    <row r="20" spans="1:10" ht="21" customHeight="1">
      <c r="A20" s="42">
        <v>40006018</v>
      </c>
      <c r="B20" s="42">
        <v>0</v>
      </c>
      <c r="C20" s="42">
        <v>9</v>
      </c>
      <c r="D20" s="42">
        <v>70</v>
      </c>
      <c r="E20" s="42" t="s">
        <v>72</v>
      </c>
      <c r="F20" s="42" t="s">
        <v>72</v>
      </c>
      <c r="G20" s="42" t="s">
        <v>241</v>
      </c>
      <c r="H20" s="42" t="s">
        <v>72</v>
      </c>
      <c r="I20" s="42" t="s">
        <v>72</v>
      </c>
      <c r="J20" s="43">
        <f t="shared" si="4"/>
        <v>70</v>
      </c>
    </row>
    <row r="21" spans="1:10" ht="21" customHeight="1">
      <c r="A21" s="42">
        <v>40006019</v>
      </c>
      <c r="B21" s="42">
        <v>0</v>
      </c>
      <c r="C21" s="42">
        <v>10</v>
      </c>
      <c r="D21" s="42">
        <v>70</v>
      </c>
      <c r="E21" s="42">
        <v>90</v>
      </c>
      <c r="F21" s="42" t="s">
        <v>72</v>
      </c>
      <c r="G21" s="42">
        <v>2</v>
      </c>
      <c r="H21" s="42" t="s">
        <v>72</v>
      </c>
      <c r="I21" s="42" t="s">
        <v>72</v>
      </c>
      <c r="J21" s="43">
        <f t="shared" si="4"/>
        <v>70</v>
      </c>
    </row>
    <row r="22" spans="1:10" ht="21" customHeight="1">
      <c r="A22" s="42">
        <v>40006020</v>
      </c>
      <c r="B22" s="42">
        <v>0</v>
      </c>
      <c r="C22" s="42">
        <v>11</v>
      </c>
      <c r="D22" s="42">
        <v>100</v>
      </c>
      <c r="E22" s="42" t="s">
        <v>72</v>
      </c>
      <c r="F22" s="42" t="s">
        <v>72</v>
      </c>
      <c r="G22" s="42">
        <v>3</v>
      </c>
      <c r="H22" s="42">
        <v>3</v>
      </c>
      <c r="I22" s="42" t="s">
        <v>72</v>
      </c>
      <c r="J22" s="43">
        <f t="shared" si="4"/>
        <v>100</v>
      </c>
    </row>
    <row r="23" spans="1:10" ht="21" customHeight="1">
      <c r="A23" s="42">
        <v>40006021</v>
      </c>
      <c r="B23" s="42">
        <v>0</v>
      </c>
      <c r="C23" s="42">
        <v>12</v>
      </c>
      <c r="D23" s="42">
        <v>100</v>
      </c>
      <c r="E23" s="42" t="s">
        <v>72</v>
      </c>
      <c r="F23" s="42" t="s">
        <v>72</v>
      </c>
      <c r="G23" s="42">
        <v>1</v>
      </c>
      <c r="H23" s="42">
        <v>10</v>
      </c>
      <c r="I23" s="42" t="s">
        <v>72</v>
      </c>
      <c r="J23" s="43">
        <f t="shared" si="4"/>
        <v>100</v>
      </c>
    </row>
    <row r="24" spans="1:10" ht="21" customHeight="1">
      <c r="A24" s="42">
        <v>40006022</v>
      </c>
      <c r="B24" s="42">
        <v>1</v>
      </c>
      <c r="C24" s="42">
        <v>99</v>
      </c>
      <c r="D24" s="42">
        <v>100</v>
      </c>
      <c r="E24" s="42" t="s">
        <v>72</v>
      </c>
      <c r="F24" s="42" t="s">
        <v>72</v>
      </c>
      <c r="G24" s="42">
        <v>1</v>
      </c>
      <c r="H24" s="42" t="s">
        <v>72</v>
      </c>
      <c r="I24" s="42" t="s">
        <v>72</v>
      </c>
      <c r="J24" s="43">
        <f t="shared" si="4"/>
        <v>100</v>
      </c>
    </row>
    <row r="25" spans="1:10" ht="21" customHeight="1">
      <c r="A25" s="42">
        <v>40006023</v>
      </c>
      <c r="B25" s="42">
        <v>0</v>
      </c>
      <c r="C25" s="42">
        <v>13</v>
      </c>
      <c r="D25" s="42">
        <v>100</v>
      </c>
      <c r="E25" s="42" t="s">
        <v>72</v>
      </c>
      <c r="F25" s="42" t="s">
        <v>72</v>
      </c>
      <c r="G25" s="42">
        <v>1</v>
      </c>
      <c r="H25" s="42">
        <v>2</v>
      </c>
      <c r="I25" s="42" t="s">
        <v>72</v>
      </c>
      <c r="J25" s="43">
        <f t="shared" si="4"/>
        <v>100</v>
      </c>
    </row>
    <row r="26" spans="1:10" ht="21" customHeight="1">
      <c r="A26" s="42">
        <v>40006024</v>
      </c>
      <c r="B26" s="42">
        <v>0</v>
      </c>
      <c r="C26" s="42">
        <v>12</v>
      </c>
      <c r="D26" s="42">
        <v>100</v>
      </c>
      <c r="E26" s="42" t="s">
        <v>72</v>
      </c>
      <c r="F26" s="42" t="s">
        <v>72</v>
      </c>
      <c r="G26" s="42">
        <v>1</v>
      </c>
      <c r="H26" s="42">
        <v>2</v>
      </c>
      <c r="I26" s="42" t="s">
        <v>72</v>
      </c>
      <c r="J26" s="43">
        <f t="shared" si="4"/>
        <v>100</v>
      </c>
    </row>
    <row r="27" spans="1:10" ht="21" customHeight="1">
      <c r="A27" s="42">
        <v>40006025</v>
      </c>
      <c r="B27" s="42">
        <v>0</v>
      </c>
      <c r="C27" s="42">
        <v>11</v>
      </c>
      <c r="D27" s="42">
        <v>100</v>
      </c>
      <c r="E27" s="42" t="s">
        <v>72</v>
      </c>
      <c r="F27" s="42" t="s">
        <v>72</v>
      </c>
      <c r="G27" s="42">
        <v>1</v>
      </c>
      <c r="H27" s="42">
        <v>2</v>
      </c>
      <c r="I27" s="42" t="s">
        <v>72</v>
      </c>
      <c r="J27" s="43">
        <f t="shared" si="4"/>
        <v>100</v>
      </c>
    </row>
    <row r="28" spans="1:10" ht="21" customHeight="1">
      <c r="A28" s="42">
        <v>40006026</v>
      </c>
      <c r="B28" s="42">
        <v>0</v>
      </c>
      <c r="C28" s="42">
        <v>10</v>
      </c>
      <c r="D28" s="42">
        <v>100</v>
      </c>
      <c r="E28" s="42" t="s">
        <v>72</v>
      </c>
      <c r="F28" s="42" t="s">
        <v>72</v>
      </c>
      <c r="G28" s="42" t="s">
        <v>241</v>
      </c>
      <c r="H28" s="42">
        <v>2</v>
      </c>
      <c r="I28" s="42" t="s">
        <v>72</v>
      </c>
      <c r="J28" s="43">
        <f t="shared" si="4"/>
        <v>100</v>
      </c>
    </row>
    <row r="29" spans="1:10" ht="21" customHeight="1">
      <c r="A29" s="42">
        <v>40006027</v>
      </c>
      <c r="B29" s="42">
        <v>0</v>
      </c>
      <c r="C29" s="42">
        <v>9</v>
      </c>
      <c r="D29" s="42">
        <v>100</v>
      </c>
      <c r="E29" s="42" t="s">
        <v>72</v>
      </c>
      <c r="F29" s="42" t="s">
        <v>72</v>
      </c>
      <c r="G29" s="42" t="s">
        <v>241</v>
      </c>
      <c r="H29" s="42" t="s">
        <v>72</v>
      </c>
      <c r="I29" s="42" t="s">
        <v>72</v>
      </c>
      <c r="J29" s="43">
        <f t="shared" si="4"/>
        <v>100</v>
      </c>
    </row>
    <row r="30" spans="1:10" ht="21" customHeight="1">
      <c r="A30" s="42">
        <v>40006028</v>
      </c>
      <c r="B30" s="42">
        <v>0</v>
      </c>
      <c r="C30" s="42">
        <v>50</v>
      </c>
      <c r="D30" s="42">
        <v>100</v>
      </c>
      <c r="E30" s="42" t="s">
        <v>72</v>
      </c>
      <c r="F30" s="42" t="s">
        <v>72</v>
      </c>
      <c r="G30" s="42">
        <v>1</v>
      </c>
      <c r="H30" s="42">
        <v>1</v>
      </c>
      <c r="I30" s="42" t="s">
        <v>72</v>
      </c>
      <c r="J30" s="43">
        <f t="shared" si="4"/>
        <v>100</v>
      </c>
    </row>
    <row r="31" spans="1:10" ht="21" customHeight="1">
      <c r="A31" s="42">
        <v>40006029</v>
      </c>
      <c r="B31" s="42">
        <v>1</v>
      </c>
      <c r="C31" s="42">
        <v>99</v>
      </c>
      <c r="D31" s="42">
        <v>100</v>
      </c>
      <c r="E31" s="42" t="s">
        <v>72</v>
      </c>
      <c r="F31" s="42" t="s">
        <v>72</v>
      </c>
      <c r="G31" s="42">
        <v>1</v>
      </c>
      <c r="H31" s="42" t="s">
        <v>72</v>
      </c>
      <c r="I31" s="42" t="s">
        <v>72</v>
      </c>
      <c r="J31" s="43">
        <f t="shared" si="4"/>
        <v>100</v>
      </c>
    </row>
    <row r="32" spans="1:10" ht="21" customHeight="1">
      <c r="A32" s="42">
        <v>40006030</v>
      </c>
      <c r="B32" s="42">
        <v>0</v>
      </c>
      <c r="C32" s="42">
        <v>50</v>
      </c>
      <c r="D32" s="42">
        <v>100</v>
      </c>
      <c r="E32" s="42" t="s">
        <v>72</v>
      </c>
      <c r="F32" s="42" t="s">
        <v>72</v>
      </c>
      <c r="G32" s="42">
        <v>1</v>
      </c>
      <c r="H32" s="42" t="s">
        <v>72</v>
      </c>
      <c r="I32" s="42" t="s">
        <v>72</v>
      </c>
      <c r="J32" s="43">
        <f t="shared" si="4"/>
        <v>100</v>
      </c>
    </row>
    <row r="33" spans="1:10" ht="21" customHeight="1">
      <c r="A33" s="42">
        <v>40006031</v>
      </c>
      <c r="B33" s="42">
        <v>0</v>
      </c>
      <c r="C33" s="42">
        <v>12</v>
      </c>
      <c r="D33" s="42">
        <v>100</v>
      </c>
      <c r="E33" s="42" t="s">
        <v>72</v>
      </c>
      <c r="F33" s="42" t="s">
        <v>72</v>
      </c>
      <c r="G33" s="42">
        <v>1</v>
      </c>
      <c r="H33" s="42">
        <v>2</v>
      </c>
      <c r="I33" s="42" t="s">
        <v>72</v>
      </c>
      <c r="J33" s="43">
        <f t="shared" ref="J33:J49" si="5">D33</f>
        <v>100</v>
      </c>
    </row>
    <row r="34" spans="1:10" ht="21" customHeight="1">
      <c r="A34" s="42">
        <v>40006032</v>
      </c>
      <c r="B34" s="42">
        <v>0</v>
      </c>
      <c r="C34" s="42">
        <v>11</v>
      </c>
      <c r="D34" s="42">
        <v>100</v>
      </c>
      <c r="E34" s="42" t="s">
        <v>72</v>
      </c>
      <c r="F34" s="42" t="s">
        <v>72</v>
      </c>
      <c r="G34" s="42">
        <v>1</v>
      </c>
      <c r="H34" s="42">
        <v>2</v>
      </c>
      <c r="I34" s="42" t="s">
        <v>72</v>
      </c>
      <c r="J34" s="43">
        <f t="shared" si="5"/>
        <v>100</v>
      </c>
    </row>
    <row r="35" spans="1:10" ht="21" customHeight="1">
      <c r="A35" s="42">
        <v>40006033</v>
      </c>
      <c r="B35" s="42">
        <v>0</v>
      </c>
      <c r="C35" s="42">
        <v>10</v>
      </c>
      <c r="D35" s="42">
        <v>100</v>
      </c>
      <c r="E35" s="42" t="s">
        <v>72</v>
      </c>
      <c r="F35" s="42" t="s">
        <v>72</v>
      </c>
      <c r="G35" s="42" t="s">
        <v>241</v>
      </c>
      <c r="H35" s="42">
        <v>2</v>
      </c>
      <c r="I35" s="42" t="s">
        <v>72</v>
      </c>
      <c r="J35" s="43">
        <f t="shared" si="5"/>
        <v>100</v>
      </c>
    </row>
    <row r="36" spans="1:10" ht="21" customHeight="1">
      <c r="A36" s="42">
        <v>40006034</v>
      </c>
      <c r="B36" s="42">
        <v>0</v>
      </c>
      <c r="C36" s="42">
        <v>8</v>
      </c>
      <c r="D36" s="42">
        <v>60</v>
      </c>
      <c r="E36" s="42" t="s">
        <v>72</v>
      </c>
      <c r="F36" s="42" t="s">
        <v>72</v>
      </c>
      <c r="G36" s="42" t="s">
        <v>241</v>
      </c>
      <c r="H36" s="42" t="s">
        <v>72</v>
      </c>
      <c r="I36" s="42" t="s">
        <v>72</v>
      </c>
      <c r="J36" s="43">
        <f t="shared" si="5"/>
        <v>60</v>
      </c>
    </row>
    <row r="37" spans="1:10" ht="21" customHeight="1">
      <c r="A37" s="42">
        <v>40006035</v>
      </c>
      <c r="B37" s="42">
        <v>0</v>
      </c>
      <c r="C37" s="42">
        <v>7</v>
      </c>
      <c r="D37" s="42">
        <v>100</v>
      </c>
      <c r="E37" s="42" t="s">
        <v>72</v>
      </c>
      <c r="F37" s="42" t="s">
        <v>72</v>
      </c>
      <c r="G37" s="42" t="s">
        <v>243</v>
      </c>
      <c r="H37" s="42" t="s">
        <v>72</v>
      </c>
      <c r="I37" s="42" t="s">
        <v>72</v>
      </c>
      <c r="J37" s="43">
        <f t="shared" si="5"/>
        <v>100</v>
      </c>
    </row>
    <row r="38" spans="1:10" ht="21" customHeight="1">
      <c r="A38" s="42">
        <v>40006036</v>
      </c>
      <c r="B38" s="42">
        <v>0</v>
      </c>
      <c r="C38" s="42">
        <v>9</v>
      </c>
      <c r="D38" s="42">
        <v>40</v>
      </c>
      <c r="E38" s="42" t="s">
        <v>72</v>
      </c>
      <c r="F38" s="42" t="s">
        <v>72</v>
      </c>
      <c r="G38" s="42">
        <v>2</v>
      </c>
      <c r="H38" s="42" t="s">
        <v>72</v>
      </c>
      <c r="I38" s="42" t="s">
        <v>72</v>
      </c>
      <c r="J38" s="43">
        <f t="shared" si="5"/>
        <v>40</v>
      </c>
    </row>
    <row r="39" spans="1:10" ht="21" customHeight="1">
      <c r="A39" s="42">
        <v>40006037</v>
      </c>
      <c r="B39" s="42">
        <v>1</v>
      </c>
      <c r="C39" s="42">
        <v>99</v>
      </c>
      <c r="D39" s="42">
        <v>100</v>
      </c>
      <c r="E39" s="42" t="s">
        <v>72</v>
      </c>
      <c r="F39" s="42" t="s">
        <v>72</v>
      </c>
      <c r="G39" s="42">
        <v>1</v>
      </c>
      <c r="H39" s="42" t="s">
        <v>72</v>
      </c>
      <c r="I39" s="42" t="s">
        <v>72</v>
      </c>
      <c r="J39" s="43">
        <f t="shared" si="5"/>
        <v>100</v>
      </c>
    </row>
    <row r="40" spans="1:10" ht="21" customHeight="1">
      <c r="A40" s="42">
        <v>40006038</v>
      </c>
      <c r="B40" s="42">
        <v>0</v>
      </c>
      <c r="C40" s="42">
        <v>50</v>
      </c>
      <c r="D40" s="42">
        <v>100</v>
      </c>
      <c r="E40" s="42" t="s">
        <v>72</v>
      </c>
      <c r="F40" s="42">
        <v>90</v>
      </c>
      <c r="G40" s="42" t="s">
        <v>356</v>
      </c>
      <c r="H40" s="42" t="s">
        <v>72</v>
      </c>
      <c r="I40" s="42" t="s">
        <v>72</v>
      </c>
      <c r="J40" s="43">
        <f t="shared" si="5"/>
        <v>100</v>
      </c>
    </row>
    <row r="41" spans="1:10" ht="21" customHeight="1">
      <c r="A41" s="42">
        <v>40006039</v>
      </c>
      <c r="B41" s="42">
        <v>0</v>
      </c>
      <c r="C41" s="42">
        <v>49</v>
      </c>
      <c r="D41" s="42">
        <v>100</v>
      </c>
      <c r="E41" s="42" t="s">
        <v>72</v>
      </c>
      <c r="F41" s="42">
        <v>82</v>
      </c>
      <c r="G41" s="42" t="s">
        <v>356</v>
      </c>
      <c r="H41" s="42" t="s">
        <v>72</v>
      </c>
      <c r="I41" s="42" t="s">
        <v>72</v>
      </c>
      <c r="J41" s="43">
        <f t="shared" si="5"/>
        <v>100</v>
      </c>
    </row>
    <row r="42" spans="1:10" ht="21" customHeight="1">
      <c r="A42" s="42">
        <v>40006040</v>
      </c>
      <c r="B42" s="42">
        <v>0</v>
      </c>
      <c r="C42" s="42">
        <v>48</v>
      </c>
      <c r="D42" s="42">
        <v>100</v>
      </c>
      <c r="E42" s="42" t="s">
        <v>355</v>
      </c>
      <c r="F42" s="42">
        <v>75</v>
      </c>
      <c r="G42" s="42" t="s">
        <v>356</v>
      </c>
      <c r="H42" s="42" t="s">
        <v>72</v>
      </c>
      <c r="I42" s="42" t="s">
        <v>72</v>
      </c>
      <c r="J42" s="43">
        <f t="shared" si="5"/>
        <v>100</v>
      </c>
    </row>
    <row r="43" spans="1:10" ht="21" customHeight="1">
      <c r="A43" s="42">
        <v>40006041</v>
      </c>
      <c r="B43" s="42">
        <v>0</v>
      </c>
      <c r="C43" s="42">
        <v>10</v>
      </c>
      <c r="D43" s="42">
        <v>50</v>
      </c>
      <c r="E43" s="42" t="s">
        <v>72</v>
      </c>
      <c r="F43" s="42" t="s">
        <v>72</v>
      </c>
      <c r="G43" s="42" t="s">
        <v>241</v>
      </c>
      <c r="H43" s="42" t="s">
        <v>72</v>
      </c>
      <c r="I43" s="42" t="s">
        <v>72</v>
      </c>
      <c r="J43" s="43">
        <f t="shared" si="5"/>
        <v>50</v>
      </c>
    </row>
    <row r="44" spans="1:10" ht="21" customHeight="1">
      <c r="A44" s="42">
        <v>40006042</v>
      </c>
      <c r="B44" s="42">
        <v>0</v>
      </c>
      <c r="C44" s="42">
        <v>9</v>
      </c>
      <c r="D44" s="42">
        <v>100</v>
      </c>
      <c r="E44" s="42" t="s">
        <v>72</v>
      </c>
      <c r="F44" s="42" t="s">
        <v>72</v>
      </c>
      <c r="G44" s="42" t="s">
        <v>241</v>
      </c>
      <c r="H44" s="42" t="s">
        <v>72</v>
      </c>
      <c r="I44" s="42" t="s">
        <v>72</v>
      </c>
      <c r="J44" s="43">
        <f t="shared" si="5"/>
        <v>100</v>
      </c>
    </row>
    <row r="45" spans="1:10" ht="21" customHeight="1">
      <c r="A45" s="42">
        <v>40006043</v>
      </c>
      <c r="B45" s="42">
        <v>0</v>
      </c>
      <c r="C45" s="42">
        <v>11</v>
      </c>
      <c r="D45" s="42">
        <v>50</v>
      </c>
      <c r="E45" s="42">
        <v>60</v>
      </c>
      <c r="F45" s="42" t="s">
        <v>72</v>
      </c>
      <c r="G45" s="42">
        <v>2</v>
      </c>
      <c r="H45" s="42" t="s">
        <v>72</v>
      </c>
      <c r="I45" s="42" t="s">
        <v>72</v>
      </c>
      <c r="J45" s="43">
        <f t="shared" si="5"/>
        <v>50</v>
      </c>
    </row>
    <row r="46" spans="1:10" ht="21" customHeight="1">
      <c r="A46" s="42">
        <v>40006044</v>
      </c>
      <c r="B46" s="42">
        <v>0</v>
      </c>
      <c r="C46" s="42">
        <v>40</v>
      </c>
      <c r="D46" s="42">
        <v>100</v>
      </c>
      <c r="E46" s="42">
        <v>30</v>
      </c>
      <c r="F46" s="42" t="s">
        <v>72</v>
      </c>
      <c r="G46" s="42">
        <v>1</v>
      </c>
      <c r="H46" s="42" t="s">
        <v>72</v>
      </c>
      <c r="I46" s="42" t="s">
        <v>72</v>
      </c>
      <c r="J46" s="43">
        <f t="shared" si="5"/>
        <v>100</v>
      </c>
    </row>
    <row r="47" spans="1:10" ht="21" customHeight="1">
      <c r="A47" s="42">
        <v>40006045</v>
      </c>
      <c r="B47" s="42">
        <v>0</v>
      </c>
      <c r="C47" s="42">
        <v>37</v>
      </c>
      <c r="D47" s="42">
        <v>100</v>
      </c>
      <c r="E47" s="42">
        <v>30</v>
      </c>
      <c r="F47" s="42" t="s">
        <v>72</v>
      </c>
      <c r="G47" s="42" t="s">
        <v>330</v>
      </c>
      <c r="H47" s="42" t="s">
        <v>72</v>
      </c>
      <c r="I47" s="42" t="s">
        <v>72</v>
      </c>
      <c r="J47" s="43">
        <f t="shared" si="5"/>
        <v>100</v>
      </c>
    </row>
    <row r="48" spans="1:10" ht="21" customHeight="1">
      <c r="A48" s="42">
        <v>40006046</v>
      </c>
      <c r="B48" s="42">
        <v>0</v>
      </c>
      <c r="C48" s="42">
        <v>38</v>
      </c>
      <c r="D48" s="42">
        <v>100</v>
      </c>
      <c r="E48" s="42">
        <v>20</v>
      </c>
      <c r="F48" s="42" t="s">
        <v>72</v>
      </c>
      <c r="G48" s="42" t="s">
        <v>329</v>
      </c>
      <c r="H48" s="42" t="s">
        <v>72</v>
      </c>
      <c r="I48" s="42" t="s">
        <v>72</v>
      </c>
      <c r="J48" s="43">
        <f t="shared" si="5"/>
        <v>100</v>
      </c>
    </row>
    <row r="49" spans="1:10" ht="21" customHeight="1">
      <c r="A49" s="42">
        <v>40006047</v>
      </c>
      <c r="B49" s="42">
        <v>0</v>
      </c>
      <c r="C49" s="42">
        <v>39</v>
      </c>
      <c r="D49" s="42">
        <v>100</v>
      </c>
      <c r="E49" s="42">
        <v>10</v>
      </c>
      <c r="F49" s="42" t="s">
        <v>72</v>
      </c>
      <c r="G49" s="42" t="s">
        <v>328</v>
      </c>
      <c r="H49" s="42" t="s">
        <v>72</v>
      </c>
      <c r="I49" s="42" t="s">
        <v>72</v>
      </c>
      <c r="J49" s="43">
        <f t="shared" si="5"/>
        <v>100</v>
      </c>
    </row>
    <row r="50" spans="1:10" ht="21" customHeight="1">
      <c r="A50" s="99">
        <v>40006048</v>
      </c>
      <c r="B50" s="42">
        <v>1</v>
      </c>
      <c r="C50" s="42">
        <v>99</v>
      </c>
      <c r="D50" s="42">
        <v>100</v>
      </c>
      <c r="E50" s="42" t="s">
        <v>258</v>
      </c>
      <c r="F50" s="42" t="s">
        <v>72</v>
      </c>
      <c r="G50" s="42">
        <v>1</v>
      </c>
      <c r="H50" s="42" t="s">
        <v>72</v>
      </c>
      <c r="I50" s="42" t="s">
        <v>72</v>
      </c>
      <c r="J50" s="43">
        <f t="shared" ref="J50" si="6">D50</f>
        <v>100</v>
      </c>
    </row>
    <row r="51" spans="1:10" ht="21" customHeight="1">
      <c r="A51" s="99">
        <v>40006049</v>
      </c>
      <c r="B51" s="42">
        <v>1</v>
      </c>
      <c r="C51" s="42">
        <v>99</v>
      </c>
      <c r="D51" s="42">
        <v>100</v>
      </c>
      <c r="E51" s="42" t="s">
        <v>258</v>
      </c>
      <c r="F51" s="42" t="s">
        <v>72</v>
      </c>
      <c r="G51" s="42">
        <v>1</v>
      </c>
      <c r="H51" s="42" t="s">
        <v>72</v>
      </c>
      <c r="I51" s="42" t="s">
        <v>72</v>
      </c>
      <c r="J51" s="43">
        <f t="shared" ref="J51:J53" si="7">D51</f>
        <v>100</v>
      </c>
    </row>
    <row r="52" spans="1:10" ht="21" customHeight="1">
      <c r="A52" s="99">
        <v>40006050</v>
      </c>
      <c r="B52" s="42">
        <v>0</v>
      </c>
      <c r="C52" s="42">
        <v>50</v>
      </c>
      <c r="D52" s="42">
        <v>100</v>
      </c>
      <c r="E52" s="42">
        <v>50</v>
      </c>
      <c r="F52" s="42" t="s">
        <v>72</v>
      </c>
      <c r="G52" s="42">
        <v>1</v>
      </c>
      <c r="H52" s="42" t="s">
        <v>72</v>
      </c>
      <c r="I52" s="42" t="s">
        <v>72</v>
      </c>
      <c r="J52" s="43">
        <f t="shared" si="7"/>
        <v>100</v>
      </c>
    </row>
    <row r="53" spans="1:10" ht="21" customHeight="1">
      <c r="A53" s="99">
        <v>40006051</v>
      </c>
      <c r="B53" s="42">
        <v>0</v>
      </c>
      <c r="C53" s="42">
        <v>11</v>
      </c>
      <c r="D53" s="42">
        <v>100</v>
      </c>
      <c r="E53" s="42" t="s">
        <v>72</v>
      </c>
      <c r="F53" s="42" t="s">
        <v>72</v>
      </c>
      <c r="G53" s="42" t="s">
        <v>241</v>
      </c>
      <c r="H53" s="42">
        <v>2</v>
      </c>
      <c r="I53" s="42" t="s">
        <v>72</v>
      </c>
      <c r="J53" s="43">
        <f t="shared" si="7"/>
        <v>100</v>
      </c>
    </row>
    <row r="54" spans="1:10" ht="21" customHeight="1">
      <c r="A54" s="99">
        <v>40006052</v>
      </c>
      <c r="B54" s="42">
        <v>1</v>
      </c>
      <c r="C54" s="42">
        <v>99</v>
      </c>
      <c r="D54" s="42">
        <v>100</v>
      </c>
      <c r="E54" s="42" t="s">
        <v>72</v>
      </c>
      <c r="F54" s="42" t="s">
        <v>72</v>
      </c>
      <c r="G54" s="42">
        <v>1</v>
      </c>
      <c r="H54" s="42" t="s">
        <v>72</v>
      </c>
      <c r="I54" s="42" t="s">
        <v>72</v>
      </c>
      <c r="J54" s="43">
        <f t="shared" ref="J54" si="8">D54</f>
        <v>100</v>
      </c>
    </row>
    <row r="55" spans="1:10" ht="21" customHeight="1">
      <c r="A55" s="99">
        <v>40006053</v>
      </c>
      <c r="B55" s="42">
        <v>0</v>
      </c>
      <c r="C55" s="42">
        <v>50</v>
      </c>
      <c r="D55" s="42">
        <v>100</v>
      </c>
      <c r="E55" s="42">
        <v>60</v>
      </c>
      <c r="F55" s="42" t="s">
        <v>72</v>
      </c>
      <c r="G55" s="42">
        <v>1</v>
      </c>
      <c r="H55" s="42" t="s">
        <v>72</v>
      </c>
      <c r="I55" s="42" t="s">
        <v>72</v>
      </c>
      <c r="J55" s="43">
        <f t="shared" ref="J55:J57" si="9">D55</f>
        <v>100</v>
      </c>
    </row>
    <row r="56" spans="1:10" ht="21" customHeight="1">
      <c r="A56" s="99">
        <v>40006054</v>
      </c>
      <c r="B56" s="42">
        <v>0</v>
      </c>
      <c r="C56" s="42">
        <v>10</v>
      </c>
      <c r="D56" s="42">
        <v>35</v>
      </c>
      <c r="E56" s="42" t="s">
        <v>72</v>
      </c>
      <c r="F56" s="42" t="s">
        <v>72</v>
      </c>
      <c r="G56" s="42" t="s">
        <v>241</v>
      </c>
      <c r="H56" s="42" t="s">
        <v>72</v>
      </c>
      <c r="I56" s="42" t="s">
        <v>72</v>
      </c>
      <c r="J56" s="43">
        <f t="shared" si="9"/>
        <v>35</v>
      </c>
    </row>
    <row r="57" spans="1:10" ht="21" customHeight="1">
      <c r="A57" s="99">
        <v>40006055</v>
      </c>
      <c r="B57" s="42">
        <v>0</v>
      </c>
      <c r="C57" s="42">
        <v>14</v>
      </c>
      <c r="D57" s="42">
        <v>100</v>
      </c>
      <c r="E57" s="42" t="s">
        <v>72</v>
      </c>
      <c r="F57" s="42" t="s">
        <v>72</v>
      </c>
      <c r="G57" s="42">
        <v>1</v>
      </c>
      <c r="H57" s="42">
        <v>4</v>
      </c>
      <c r="I57" s="42" t="s">
        <v>72</v>
      </c>
      <c r="J57" s="43">
        <f t="shared" si="9"/>
        <v>100</v>
      </c>
    </row>
    <row r="58" spans="1:10" ht="21" customHeight="1">
      <c r="A58" s="99">
        <v>40006056</v>
      </c>
      <c r="B58" s="42">
        <v>0</v>
      </c>
      <c r="C58" s="42">
        <v>14</v>
      </c>
      <c r="D58" s="42">
        <v>100</v>
      </c>
      <c r="E58" s="42" t="s">
        <v>72</v>
      </c>
      <c r="F58" s="42" t="s">
        <v>72</v>
      </c>
      <c r="G58" s="42">
        <v>1</v>
      </c>
      <c r="H58" s="42">
        <v>3</v>
      </c>
      <c r="I58" s="42" t="s">
        <v>72</v>
      </c>
      <c r="J58" s="43">
        <f t="shared" ref="J58:J60" si="10">D58</f>
        <v>100</v>
      </c>
    </row>
    <row r="59" spans="1:10" ht="21" customHeight="1">
      <c r="A59" s="99">
        <v>40006057</v>
      </c>
      <c r="B59" s="42">
        <v>1</v>
      </c>
      <c r="C59" s="42">
        <v>99</v>
      </c>
      <c r="D59" s="42">
        <v>100</v>
      </c>
      <c r="E59" s="42" t="s">
        <v>258</v>
      </c>
      <c r="F59" s="42" t="s">
        <v>72</v>
      </c>
      <c r="G59" s="42">
        <v>1</v>
      </c>
      <c r="H59" s="42" t="s">
        <v>72</v>
      </c>
      <c r="I59" s="42" t="s">
        <v>72</v>
      </c>
      <c r="J59" s="43">
        <f t="shared" si="10"/>
        <v>100</v>
      </c>
    </row>
    <row r="60" spans="1:10" ht="21" customHeight="1">
      <c r="A60" s="99">
        <v>40006058</v>
      </c>
      <c r="B60" s="42">
        <v>0</v>
      </c>
      <c r="C60" s="42">
        <v>13</v>
      </c>
      <c r="D60" s="42">
        <v>100</v>
      </c>
      <c r="E60" s="42" t="s">
        <v>72</v>
      </c>
      <c r="F60" s="42" t="s">
        <v>72</v>
      </c>
      <c r="G60" s="42" t="s">
        <v>241</v>
      </c>
      <c r="H60" s="42">
        <v>6</v>
      </c>
      <c r="I60" s="42" t="s">
        <v>72</v>
      </c>
      <c r="J60" s="43">
        <f t="shared" si="10"/>
        <v>100</v>
      </c>
    </row>
  </sheetData>
  <autoFilter ref="A1:G1"/>
  <phoneticPr fontId="5"/>
  <conditionalFormatting sqref="K59 K1:K2 K61:K1048576">
    <cfRule type="duplicateValues" dxfId="57" priority="74"/>
  </conditionalFormatting>
  <conditionalFormatting sqref="K3">
    <cfRule type="duplicateValues" dxfId="56" priority="73"/>
  </conditionalFormatting>
  <conditionalFormatting sqref="K4">
    <cfRule type="duplicateValues" dxfId="55" priority="72"/>
  </conditionalFormatting>
  <conditionalFormatting sqref="K5">
    <cfRule type="duplicateValues" dxfId="54" priority="71"/>
  </conditionalFormatting>
  <conditionalFormatting sqref="K6">
    <cfRule type="duplicateValues" dxfId="53" priority="70"/>
  </conditionalFormatting>
  <conditionalFormatting sqref="K7">
    <cfRule type="duplicateValues" dxfId="52" priority="69"/>
  </conditionalFormatting>
  <conditionalFormatting sqref="K8">
    <cfRule type="duplicateValues" dxfId="51" priority="68"/>
  </conditionalFormatting>
  <conditionalFormatting sqref="K9">
    <cfRule type="duplicateValues" dxfId="50" priority="67"/>
  </conditionalFormatting>
  <conditionalFormatting sqref="K10">
    <cfRule type="duplicateValues" dxfId="49" priority="66"/>
  </conditionalFormatting>
  <conditionalFormatting sqref="K11">
    <cfRule type="duplicateValues" dxfId="48" priority="65"/>
  </conditionalFormatting>
  <conditionalFormatting sqref="K12">
    <cfRule type="duplicateValues" dxfId="47" priority="64"/>
  </conditionalFormatting>
  <conditionalFormatting sqref="K13">
    <cfRule type="duplicateValues" dxfId="46" priority="63"/>
  </conditionalFormatting>
  <conditionalFormatting sqref="K14">
    <cfRule type="duplicateValues" dxfId="45" priority="62"/>
  </conditionalFormatting>
  <conditionalFormatting sqref="K15">
    <cfRule type="duplicateValues" dxfId="44" priority="61"/>
  </conditionalFormatting>
  <conditionalFormatting sqref="K16">
    <cfRule type="duplicateValues" dxfId="43" priority="60"/>
  </conditionalFormatting>
  <conditionalFormatting sqref="K17">
    <cfRule type="duplicateValues" dxfId="42" priority="59"/>
  </conditionalFormatting>
  <conditionalFormatting sqref="K18">
    <cfRule type="duplicateValues" dxfId="41" priority="58"/>
  </conditionalFormatting>
  <conditionalFormatting sqref="K19">
    <cfRule type="duplicateValues" dxfId="40" priority="57"/>
  </conditionalFormatting>
  <conditionalFormatting sqref="K20">
    <cfRule type="duplicateValues" dxfId="39" priority="56"/>
  </conditionalFormatting>
  <conditionalFormatting sqref="K21">
    <cfRule type="duplicateValues" dxfId="38" priority="55"/>
  </conditionalFormatting>
  <conditionalFormatting sqref="K22">
    <cfRule type="duplicateValues" dxfId="37" priority="54"/>
  </conditionalFormatting>
  <conditionalFormatting sqref="K23">
    <cfRule type="duplicateValues" dxfId="36" priority="53"/>
  </conditionalFormatting>
  <conditionalFormatting sqref="K24">
    <cfRule type="duplicateValues" dxfId="35" priority="52"/>
  </conditionalFormatting>
  <conditionalFormatting sqref="K25">
    <cfRule type="duplicateValues" dxfId="34" priority="51"/>
  </conditionalFormatting>
  <conditionalFormatting sqref="K26">
    <cfRule type="duplicateValues" dxfId="33" priority="50"/>
  </conditionalFormatting>
  <conditionalFormatting sqref="K27">
    <cfRule type="duplicateValues" dxfId="32" priority="49"/>
  </conditionalFormatting>
  <conditionalFormatting sqref="K28">
    <cfRule type="duplicateValues" dxfId="31" priority="48"/>
  </conditionalFormatting>
  <conditionalFormatting sqref="K29">
    <cfRule type="duplicateValues" dxfId="30" priority="47"/>
  </conditionalFormatting>
  <conditionalFormatting sqref="K30">
    <cfRule type="duplicateValues" dxfId="29" priority="46"/>
  </conditionalFormatting>
  <conditionalFormatting sqref="K31">
    <cfRule type="duplicateValues" dxfId="28" priority="45"/>
  </conditionalFormatting>
  <conditionalFormatting sqref="K32">
    <cfRule type="duplicateValues" dxfId="27" priority="44"/>
  </conditionalFormatting>
  <conditionalFormatting sqref="K33">
    <cfRule type="duplicateValues" dxfId="26" priority="43"/>
  </conditionalFormatting>
  <conditionalFormatting sqref="K34">
    <cfRule type="duplicateValues" dxfId="25" priority="42"/>
  </conditionalFormatting>
  <conditionalFormatting sqref="K35">
    <cfRule type="duplicateValues" dxfId="24" priority="41"/>
  </conditionalFormatting>
  <conditionalFormatting sqref="K36">
    <cfRule type="duplicateValues" dxfId="23" priority="40"/>
  </conditionalFormatting>
  <conditionalFormatting sqref="K37">
    <cfRule type="duplicateValues" dxfId="22" priority="39"/>
  </conditionalFormatting>
  <conditionalFormatting sqref="K38">
    <cfRule type="duplicateValues" dxfId="21" priority="38"/>
  </conditionalFormatting>
  <conditionalFormatting sqref="K39">
    <cfRule type="duplicateValues" dxfId="20" priority="37"/>
  </conditionalFormatting>
  <conditionalFormatting sqref="K40">
    <cfRule type="duplicateValues" dxfId="19" priority="36"/>
  </conditionalFormatting>
  <conditionalFormatting sqref="K41">
    <cfRule type="duplicateValues" dxfId="18" priority="35"/>
  </conditionalFormatting>
  <conditionalFormatting sqref="K42">
    <cfRule type="duplicateValues" dxfId="17" priority="34"/>
  </conditionalFormatting>
  <conditionalFormatting sqref="K43">
    <cfRule type="duplicateValues" dxfId="16" priority="33"/>
  </conditionalFormatting>
  <conditionalFormatting sqref="K44">
    <cfRule type="duplicateValues" dxfId="15" priority="32"/>
  </conditionalFormatting>
  <conditionalFormatting sqref="K45">
    <cfRule type="duplicateValues" dxfId="14" priority="31"/>
  </conditionalFormatting>
  <conditionalFormatting sqref="K46">
    <cfRule type="duplicateValues" dxfId="13" priority="30"/>
  </conditionalFormatting>
  <conditionalFormatting sqref="K47">
    <cfRule type="duplicateValues" dxfId="12" priority="29"/>
  </conditionalFormatting>
  <conditionalFormatting sqref="K48">
    <cfRule type="duplicateValues" dxfId="11" priority="28"/>
  </conditionalFormatting>
  <conditionalFormatting sqref="K49">
    <cfRule type="duplicateValues" dxfId="10" priority="27"/>
  </conditionalFormatting>
  <conditionalFormatting sqref="K50">
    <cfRule type="duplicateValues" dxfId="9" priority="10"/>
  </conditionalFormatting>
  <conditionalFormatting sqref="K51">
    <cfRule type="duplicateValues" dxfId="8" priority="9"/>
  </conditionalFormatting>
  <conditionalFormatting sqref="K52">
    <cfRule type="duplicateValues" dxfId="7" priority="8"/>
  </conditionalFormatting>
  <conditionalFormatting sqref="K53">
    <cfRule type="duplicateValues" dxfId="6" priority="7"/>
  </conditionalFormatting>
  <conditionalFormatting sqref="K54">
    <cfRule type="duplicateValues" dxfId="5" priority="6"/>
  </conditionalFormatting>
  <conditionalFormatting sqref="K55">
    <cfRule type="duplicateValues" dxfId="4" priority="5"/>
  </conditionalFormatting>
  <conditionalFormatting sqref="K56">
    <cfRule type="duplicateValues" dxfId="3" priority="4"/>
  </conditionalFormatting>
  <conditionalFormatting sqref="K57">
    <cfRule type="duplicateValues" dxfId="2" priority="3"/>
  </conditionalFormatting>
  <conditionalFormatting sqref="K58">
    <cfRule type="duplicateValues" dxfId="1" priority="2"/>
  </conditionalFormatting>
  <conditionalFormatting sqref="K6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D2" sqref="D2"/>
    </sheetView>
  </sheetViews>
  <sheetFormatPr baseColWidth="12" defaultRowHeight="18" x14ac:dyDescent="0"/>
  <cols>
    <col min="17" max="18" width="19" bestFit="1" customWidth="1"/>
  </cols>
  <sheetData>
    <row r="1" spans="1:18">
      <c r="A1" s="59" t="s">
        <v>134</v>
      </c>
      <c r="B1" s="59" t="s">
        <v>135</v>
      </c>
      <c r="C1" s="60" t="s">
        <v>136</v>
      </c>
      <c r="D1" s="65" t="s">
        <v>137</v>
      </c>
      <c r="E1" s="61" t="s">
        <v>138</v>
      </c>
      <c r="F1" s="59" t="s">
        <v>139</v>
      </c>
      <c r="G1" s="59" t="s">
        <v>140</v>
      </c>
      <c r="H1" s="59" t="s">
        <v>141</v>
      </c>
      <c r="I1" s="59" t="s">
        <v>142</v>
      </c>
      <c r="J1" s="59" t="s">
        <v>143</v>
      </c>
      <c r="K1" s="59" t="s">
        <v>144</v>
      </c>
      <c r="L1" s="59" t="s">
        <v>145</v>
      </c>
      <c r="M1" s="59" t="s">
        <v>146</v>
      </c>
      <c r="N1" s="59" t="s">
        <v>147</v>
      </c>
      <c r="O1" s="59" t="s">
        <v>148</v>
      </c>
      <c r="P1" s="59" t="s">
        <v>149</v>
      </c>
      <c r="Q1" s="59" t="s">
        <v>150</v>
      </c>
      <c r="R1" s="59" t="s">
        <v>151</v>
      </c>
    </row>
    <row r="2" spans="1:18">
      <c r="A2" s="105">
        <v>40006</v>
      </c>
      <c r="B2" s="105">
        <v>1</v>
      </c>
      <c r="C2" s="105" t="str">
        <f t="shared" ref="C2:C11" si="0">A2&amp; "_"&amp;B2</f>
        <v>40006_1</v>
      </c>
      <c r="D2" s="105" t="str">
        <f>VLOOKUP(C2,[2]stages!$A:$AE,31,FALSE)</f>
        <v>everyone</v>
      </c>
      <c r="E2" s="105">
        <v>1</v>
      </c>
      <c r="F2" s="105" t="s">
        <v>152</v>
      </c>
      <c r="G2" s="105">
        <v>40000</v>
      </c>
      <c r="H2" s="105" t="s">
        <v>368</v>
      </c>
      <c r="I2" s="105">
        <v>1</v>
      </c>
      <c r="J2" s="105">
        <v>1</v>
      </c>
      <c r="K2" s="105">
        <v>0</v>
      </c>
      <c r="L2" s="105">
        <v>0</v>
      </c>
      <c r="M2" s="105">
        <v>0</v>
      </c>
      <c r="N2" s="105">
        <v>0</v>
      </c>
      <c r="O2" s="105">
        <v>1</v>
      </c>
      <c r="P2" s="105">
        <v>150</v>
      </c>
      <c r="Q2" s="105" t="s">
        <v>153</v>
      </c>
      <c r="R2" s="105" t="s">
        <v>154</v>
      </c>
    </row>
    <row r="3" spans="1:18">
      <c r="A3" s="105">
        <v>40006</v>
      </c>
      <c r="B3" s="105">
        <v>1</v>
      </c>
      <c r="C3" s="105" t="str">
        <f t="shared" si="0"/>
        <v>40006_1</v>
      </c>
      <c r="D3" s="105" t="str">
        <f>VLOOKUP(C3,[2]stages!$A:$AE,31,FALSE)</f>
        <v>everyone</v>
      </c>
      <c r="E3" s="105">
        <v>2</v>
      </c>
      <c r="F3" s="105" t="s">
        <v>366</v>
      </c>
      <c r="G3" s="105">
        <v>30</v>
      </c>
      <c r="H3" s="105" t="s">
        <v>368</v>
      </c>
      <c r="I3" s="105">
        <v>1</v>
      </c>
      <c r="J3" s="105">
        <v>1</v>
      </c>
      <c r="K3" s="105">
        <v>0</v>
      </c>
      <c r="L3" s="105">
        <v>0</v>
      </c>
      <c r="M3" s="105">
        <v>0</v>
      </c>
      <c r="N3" s="105">
        <v>0</v>
      </c>
      <c r="O3" s="105">
        <v>1</v>
      </c>
      <c r="P3" s="105">
        <v>150</v>
      </c>
      <c r="Q3" s="105" t="s">
        <v>153</v>
      </c>
      <c r="R3" s="105" t="s">
        <v>154</v>
      </c>
    </row>
    <row r="4" spans="1:18">
      <c r="A4" s="105">
        <v>40006</v>
      </c>
      <c r="B4" s="105">
        <v>1</v>
      </c>
      <c r="C4" s="105" t="str">
        <f t="shared" si="0"/>
        <v>40006_1</v>
      </c>
      <c r="D4" s="105" t="str">
        <f>VLOOKUP(C4,[2]stages!$A:$AE,31,FALSE)</f>
        <v>everyone</v>
      </c>
      <c r="E4" s="105">
        <v>3</v>
      </c>
      <c r="F4" s="105" t="s">
        <v>367</v>
      </c>
      <c r="G4" s="105">
        <v>333</v>
      </c>
      <c r="H4" s="105">
        <v>1</v>
      </c>
      <c r="I4" s="105">
        <v>1</v>
      </c>
      <c r="J4" s="105">
        <v>1</v>
      </c>
      <c r="K4" s="105">
        <v>0</v>
      </c>
      <c r="L4" s="105">
        <v>0</v>
      </c>
      <c r="M4" s="105">
        <v>0</v>
      </c>
      <c r="N4" s="105">
        <v>0</v>
      </c>
      <c r="O4" s="105">
        <v>1</v>
      </c>
      <c r="P4" s="105">
        <v>28</v>
      </c>
      <c r="Q4" s="105" t="s">
        <v>153</v>
      </c>
      <c r="R4" s="105" t="s">
        <v>154</v>
      </c>
    </row>
    <row r="5" spans="1:18">
      <c r="A5" s="105">
        <v>40006</v>
      </c>
      <c r="B5" s="105">
        <v>1</v>
      </c>
      <c r="C5" s="105" t="str">
        <f t="shared" si="0"/>
        <v>40006_1</v>
      </c>
      <c r="D5" s="105" t="str">
        <f>VLOOKUP(C5,[2]stages!$A:$AE,31,FALSE)</f>
        <v>everyone</v>
      </c>
      <c r="E5" s="105">
        <v>4</v>
      </c>
      <c r="F5" s="105" t="s">
        <v>367</v>
      </c>
      <c r="G5" s="105">
        <v>334</v>
      </c>
      <c r="H5" s="105">
        <v>1</v>
      </c>
      <c r="I5" s="105">
        <v>1</v>
      </c>
      <c r="J5" s="105">
        <v>1</v>
      </c>
      <c r="K5" s="105">
        <v>0</v>
      </c>
      <c r="L5" s="105">
        <v>0</v>
      </c>
      <c r="M5" s="105">
        <v>0</v>
      </c>
      <c r="N5" s="105">
        <v>0</v>
      </c>
      <c r="O5" s="105">
        <v>1</v>
      </c>
      <c r="P5" s="105">
        <v>112</v>
      </c>
      <c r="Q5" s="105" t="s">
        <v>153</v>
      </c>
      <c r="R5" s="105" t="s">
        <v>154</v>
      </c>
    </row>
    <row r="6" spans="1:18">
      <c r="A6" s="105">
        <v>40006</v>
      </c>
      <c r="B6" s="105">
        <v>1</v>
      </c>
      <c r="C6" s="105" t="str">
        <f t="shared" si="0"/>
        <v>40006_1</v>
      </c>
      <c r="D6" s="105" t="str">
        <f>VLOOKUP(C6,[2]stages!$A:$AE,31,FALSE)</f>
        <v>everyone</v>
      </c>
      <c r="E6" s="105">
        <v>5</v>
      </c>
      <c r="F6" s="105" t="s">
        <v>367</v>
      </c>
      <c r="G6" s="105">
        <v>121</v>
      </c>
      <c r="H6" s="105">
        <v>1</v>
      </c>
      <c r="I6" s="105">
        <v>1</v>
      </c>
      <c r="J6" s="105">
        <v>1</v>
      </c>
      <c r="K6" s="105">
        <v>0</v>
      </c>
      <c r="L6" s="105">
        <v>0</v>
      </c>
      <c r="M6" s="105">
        <v>0</v>
      </c>
      <c r="N6" s="105">
        <v>0</v>
      </c>
      <c r="O6" s="105">
        <v>1</v>
      </c>
      <c r="P6" s="105">
        <v>50</v>
      </c>
      <c r="Q6" s="105" t="s">
        <v>153</v>
      </c>
      <c r="R6" s="105" t="s">
        <v>154</v>
      </c>
    </row>
    <row r="7" spans="1:18">
      <c r="A7" s="105">
        <v>40006</v>
      </c>
      <c r="B7" s="105">
        <v>1</v>
      </c>
      <c r="C7" s="105" t="str">
        <f t="shared" si="0"/>
        <v>40006_1</v>
      </c>
      <c r="D7" s="105" t="str">
        <f>VLOOKUP(C7,[2]stages!$A:$AE,31,FALSE)</f>
        <v>everyone</v>
      </c>
      <c r="E7" s="105">
        <v>6</v>
      </c>
      <c r="F7" s="105" t="s">
        <v>367</v>
      </c>
      <c r="G7" s="105">
        <v>122</v>
      </c>
      <c r="H7" s="105">
        <v>1</v>
      </c>
      <c r="I7" s="105">
        <v>1</v>
      </c>
      <c r="J7" s="105">
        <v>1</v>
      </c>
      <c r="K7" s="105">
        <v>0</v>
      </c>
      <c r="L7" s="105">
        <v>0</v>
      </c>
      <c r="M7" s="105">
        <v>0</v>
      </c>
      <c r="N7" s="105">
        <v>0</v>
      </c>
      <c r="O7" s="105">
        <v>1</v>
      </c>
      <c r="P7" s="105">
        <v>50</v>
      </c>
      <c r="Q7" s="105" t="s">
        <v>153</v>
      </c>
      <c r="R7" s="105" t="s">
        <v>154</v>
      </c>
    </row>
    <row r="8" spans="1:18">
      <c r="A8" s="105">
        <v>40006</v>
      </c>
      <c r="B8" s="105">
        <v>1</v>
      </c>
      <c r="C8" s="105" t="str">
        <f t="shared" si="0"/>
        <v>40006_1</v>
      </c>
      <c r="D8" s="105" t="str">
        <f>VLOOKUP(C8,[2]stages!$A:$AE,31,FALSE)</f>
        <v>everyone</v>
      </c>
      <c r="E8" s="105">
        <v>7</v>
      </c>
      <c r="F8" s="105" t="s">
        <v>367</v>
      </c>
      <c r="G8" s="105">
        <v>123</v>
      </c>
      <c r="H8" s="105">
        <v>1</v>
      </c>
      <c r="I8" s="105">
        <v>1</v>
      </c>
      <c r="J8" s="105">
        <v>1</v>
      </c>
      <c r="K8" s="105">
        <v>0</v>
      </c>
      <c r="L8" s="105">
        <v>0</v>
      </c>
      <c r="M8" s="105">
        <v>0</v>
      </c>
      <c r="N8" s="105">
        <v>0</v>
      </c>
      <c r="O8" s="105">
        <v>1</v>
      </c>
      <c r="P8" s="105">
        <v>50</v>
      </c>
      <c r="Q8" s="105" t="s">
        <v>153</v>
      </c>
      <c r="R8" s="105" t="s">
        <v>154</v>
      </c>
    </row>
    <row r="9" spans="1:18">
      <c r="A9" s="105">
        <v>40006</v>
      </c>
      <c r="B9" s="105">
        <v>1</v>
      </c>
      <c r="C9" s="105" t="str">
        <f t="shared" si="0"/>
        <v>40006_1</v>
      </c>
      <c r="D9" s="105" t="str">
        <f>VLOOKUP(C9,[2]stages!$A:$AE,31,FALSE)</f>
        <v>everyone</v>
      </c>
      <c r="E9" s="105">
        <v>8</v>
      </c>
      <c r="F9" s="105" t="s">
        <v>367</v>
      </c>
      <c r="G9" s="105">
        <v>125</v>
      </c>
      <c r="H9" s="105">
        <v>1</v>
      </c>
      <c r="I9" s="105">
        <v>1</v>
      </c>
      <c r="J9" s="105">
        <v>1</v>
      </c>
      <c r="K9" s="105">
        <v>0</v>
      </c>
      <c r="L9" s="105">
        <v>0</v>
      </c>
      <c r="M9" s="105">
        <v>0</v>
      </c>
      <c r="N9" s="105">
        <v>0</v>
      </c>
      <c r="O9" s="105">
        <v>1</v>
      </c>
      <c r="P9" s="105">
        <v>10</v>
      </c>
      <c r="Q9" s="105" t="s">
        <v>153</v>
      </c>
      <c r="R9" s="105" t="s">
        <v>154</v>
      </c>
    </row>
    <row r="10" spans="1:18">
      <c r="A10" s="105">
        <v>40006</v>
      </c>
      <c r="B10" s="105">
        <v>1</v>
      </c>
      <c r="C10" s="105" t="str">
        <f t="shared" si="0"/>
        <v>40006_1</v>
      </c>
      <c r="D10" s="105" t="str">
        <f>VLOOKUP(C10,[2]stages!$A:$AE,31,FALSE)</f>
        <v>everyone</v>
      </c>
      <c r="E10" s="105">
        <v>9</v>
      </c>
      <c r="F10" s="105" t="s">
        <v>367</v>
      </c>
      <c r="G10" s="105">
        <v>472</v>
      </c>
      <c r="H10" s="105">
        <v>1</v>
      </c>
      <c r="I10" s="105">
        <v>1</v>
      </c>
      <c r="J10" s="105">
        <v>1</v>
      </c>
      <c r="K10" s="105">
        <v>0</v>
      </c>
      <c r="L10" s="105">
        <v>0</v>
      </c>
      <c r="M10" s="105">
        <v>0</v>
      </c>
      <c r="N10" s="105">
        <v>0</v>
      </c>
      <c r="O10" s="105">
        <v>1</v>
      </c>
      <c r="P10" s="105">
        <v>250</v>
      </c>
      <c r="Q10" s="105" t="s">
        <v>153</v>
      </c>
      <c r="R10" s="105" t="s">
        <v>154</v>
      </c>
    </row>
    <row r="11" spans="1:18">
      <c r="A11" s="105">
        <v>40006</v>
      </c>
      <c r="B11" s="105">
        <v>1</v>
      </c>
      <c r="C11" s="105" t="str">
        <f t="shared" si="0"/>
        <v>40006_1</v>
      </c>
      <c r="D11" s="105" t="str">
        <f>VLOOKUP(C11,[2]stages!$A:$AE,31,FALSE)</f>
        <v>everyone</v>
      </c>
      <c r="E11" s="105">
        <v>10</v>
      </c>
      <c r="F11" s="105" t="s">
        <v>367</v>
      </c>
      <c r="G11" s="105">
        <v>348</v>
      </c>
      <c r="H11" s="105">
        <v>1</v>
      </c>
      <c r="I11" s="105">
        <v>1</v>
      </c>
      <c r="J11" s="105">
        <v>1</v>
      </c>
      <c r="K11" s="105">
        <v>0</v>
      </c>
      <c r="L11" s="105">
        <v>0</v>
      </c>
      <c r="M11" s="105">
        <v>0</v>
      </c>
      <c r="N11" s="105">
        <v>0</v>
      </c>
      <c r="O11" s="105">
        <v>1</v>
      </c>
      <c r="P11" s="105">
        <v>150</v>
      </c>
      <c r="Q11" s="105" t="s">
        <v>153</v>
      </c>
      <c r="R11" s="105" t="s">
        <v>154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39"/>
  <sheetViews>
    <sheetView showGridLines="0" topLeftCell="B1" workbookViewId="0">
      <pane ySplit="1" topLeftCell="A2" activePane="bottomLeft" state="frozen"/>
      <selection pane="bottomLeft" activeCell="M11" sqref="M11"/>
    </sheetView>
  </sheetViews>
  <sheetFormatPr baseColWidth="12" defaultColWidth="13" defaultRowHeight="18" outlineLevelCol="1" x14ac:dyDescent="0"/>
  <cols>
    <col min="2" max="2" width="13" style="84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>
      <c r="A1" s="72" t="s">
        <v>43</v>
      </c>
      <c r="B1" s="73" t="s">
        <v>168</v>
      </c>
      <c r="C1" s="66" t="s">
        <v>169</v>
      </c>
      <c r="D1" s="74" t="s">
        <v>170</v>
      </c>
      <c r="E1" s="74" t="s">
        <v>25</v>
      </c>
      <c r="F1" s="66" t="s">
        <v>171</v>
      </c>
      <c r="G1" s="74" t="s">
        <v>172</v>
      </c>
      <c r="H1" s="74" t="s">
        <v>25</v>
      </c>
      <c r="I1" s="66" t="s">
        <v>173</v>
      </c>
      <c r="J1" s="85" t="s">
        <v>174</v>
      </c>
      <c r="K1" s="75" t="s">
        <v>175</v>
      </c>
      <c r="L1" s="76" t="s">
        <v>110</v>
      </c>
      <c r="M1" s="76" t="s">
        <v>167</v>
      </c>
      <c r="N1" s="77" t="s">
        <v>165</v>
      </c>
      <c r="O1" s="78" t="s">
        <v>176</v>
      </c>
    </row>
    <row r="2" spans="1:15">
      <c r="A2" s="112" t="str">
        <f t="shared" ref="A2:A39" si="0">C2&amp;"_"&amp;F2&amp;"_"&amp;J2</f>
        <v>40006_1_1</v>
      </c>
      <c r="B2" s="108" t="s">
        <v>389</v>
      </c>
      <c r="C2" s="81">
        <f>floors!$C$2</f>
        <v>40006</v>
      </c>
      <c r="D2" s="82" t="str">
        <f ca="1">VLOOKUP($C2,OFFSET([2]quests!$A$1,0,0,COUNTA([2]quests!$A:$A),MATCH(D$1,[2]quests!$1:$1,0)-MATCH($C$1,[2]quests!$1:$1,0)+1),MATCH(D$1,[2]quests!$1:$1,0)-MATCH($C$1,[2]quests!$1:$1,0)+1,FALSE)</f>
        <v>アーサー襲来！</v>
      </c>
      <c r="E2" s="82" t="str">
        <f ca="1">VLOOKUP($C2,OFFSET([2]quests!$A$1,0,0,COUNTA([2]quests!$A:$A),MATCH(E$1,[2]quests!$1:$1,0)-MATCH($C$1,[2]quests!$1:$1,0)+1),MATCH(E$1,[2]quests!$1:$1,0)-MATCH($C$1,[2]quests!$1:$1,0)+1,FALSE)</f>
        <v>降臨6</v>
      </c>
      <c r="F2" s="81">
        <v>1</v>
      </c>
      <c r="G2" s="82" t="str">
        <f ca="1">VLOOKUP($C2&amp;"_"&amp;$F2,OFFSET([2]stages!$A$1,0,0,COUNTA([2]stages!$A:$A),MATCH(G$1,[2]stages!$2:$2,0)-MATCH("temp_stage",[2]stages!$2:$2,0)+1),MATCH(G$1,[2]stages!$2:$2,0)-MATCH("temp_stage",[2]stages!$2:$2,0)+1,FALSE)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" s="82" t="str">
        <f ca="1">VLOOKUP($C2&amp;"_"&amp;$F2,OFFSET([2]stages!$A$1,0,0,COUNTA([2]stages!$A:$A),MATCH(H$1,[2]stages!$2:$2,0)-MATCH("temp_stage",[2]stages!$2:$2,0)+1),MATCH(H$1,[2]stages!$2:$2,0)-MATCH("temp_stage",[2]stages!$2:$2,0)+1,FALSE)</f>
        <v>降臨6</v>
      </c>
      <c r="I2" s="83">
        <v>0</v>
      </c>
      <c r="J2" s="109">
        <f t="shared" ref="J2:J39" si="1">ROW()-1</f>
        <v>1</v>
      </c>
      <c r="K2">
        <v>1</v>
      </c>
      <c r="L2" s="81" t="s">
        <v>178</v>
      </c>
      <c r="M2" s="113" t="str">
        <f>VLOOKUP(K2,[7]stage_hints!$A:$C,3,FALSE)</f>
        <v>長くつなげて大ダメージ</v>
      </c>
      <c r="N2" s="114" t="str">
        <f>VLOOKUP(K2,[7]stage_hints!$A:$D,4,FALSE)</f>
        <v>パネルを長くつなげるほど_x000D_大ダメージを与えることができます</v>
      </c>
      <c r="O2" s="107" t="s">
        <v>390</v>
      </c>
    </row>
    <row r="3" spans="1:15">
      <c r="A3" s="112" t="str">
        <f t="shared" si="0"/>
        <v>40006_1_2</v>
      </c>
      <c r="B3" s="108" t="s">
        <v>389</v>
      </c>
      <c r="C3" s="81">
        <f>floors!$C$2</f>
        <v>40006</v>
      </c>
      <c r="D3" s="82" t="str">
        <f ca="1">VLOOKUP($C3,OFFSET([2]quests!$A$1,0,0,COUNTA([2]quests!$A:$A),MATCH(D$1,[2]quests!$1:$1,0)-MATCH($C$1,[2]quests!$1:$1,0)+1),MATCH(D$1,[2]quests!$1:$1,0)-MATCH($C$1,[2]quests!$1:$1,0)+1,FALSE)</f>
        <v>アーサー襲来！</v>
      </c>
      <c r="E3" s="82" t="str">
        <f ca="1">VLOOKUP($C3,OFFSET([2]quests!$A$1,0,0,COUNTA([2]quests!$A:$A),MATCH(E$1,[2]quests!$1:$1,0)-MATCH($C$1,[2]quests!$1:$1,0)+1),MATCH(E$1,[2]quests!$1:$1,0)-MATCH($C$1,[2]quests!$1:$1,0)+1,FALSE)</f>
        <v>降臨6</v>
      </c>
      <c r="F3" s="81">
        <v>1</v>
      </c>
      <c r="G3" s="82" t="str">
        <f ca="1">VLOOKUP($C3&amp;"_"&amp;$F3,OFFSET([2]stages!$A$1,0,0,COUNTA([2]stages!$A:$A),MATCH(G$1,[2]stages!$2:$2,0)-MATCH("temp_stage",[2]stages!$2:$2,0)+1),MATCH(G$1,[2]stages!$2:$2,0)-MATCH("temp_stage",[2]stages!$2:$2,0)+1,FALSE)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" s="82" t="str">
        <f ca="1">VLOOKUP($C3&amp;"_"&amp;$F3,OFFSET([2]stages!$A$1,0,0,COUNTA([2]stages!$A:$A),MATCH(H$1,[2]stages!$2:$2,0)-MATCH("temp_stage",[2]stages!$2:$2,0)+1),MATCH(H$1,[2]stages!$2:$2,0)-MATCH("temp_stage",[2]stages!$2:$2,0)+1,FALSE)</f>
        <v>降臨6</v>
      </c>
      <c r="I3" s="83">
        <v>0</v>
      </c>
      <c r="J3" s="109">
        <f t="shared" si="1"/>
        <v>2</v>
      </c>
      <c r="K3">
        <v>2</v>
      </c>
      <c r="L3" s="81" t="s">
        <v>391</v>
      </c>
      <c r="M3" s="113" t="str">
        <f>VLOOKUP(K3,[7]stage_hints!$A:$C,3,FALSE)</f>
        <v>属性の相性</v>
      </c>
      <c r="N3" s="114" t="str">
        <f>VLOOKUP(K3,[7]stage_hints!$A:$D,4,FALSE)</f>
        <v>赤＞青　青＞黄　黄＞緑　緑＞赤_x000D_敵属性に最適なパーティがオススメです</v>
      </c>
      <c r="O3" s="107" t="s">
        <v>390</v>
      </c>
    </row>
    <row r="4" spans="1:15">
      <c r="A4" s="112" t="str">
        <f t="shared" si="0"/>
        <v>40006_1_3</v>
      </c>
      <c r="B4" s="108" t="s">
        <v>389</v>
      </c>
      <c r="C4" s="81">
        <f>floors!$C$2</f>
        <v>40006</v>
      </c>
      <c r="D4" s="82" t="str">
        <f ca="1">VLOOKUP($C4,OFFSET([2]quests!$A$1,0,0,COUNTA([2]quests!$A:$A),MATCH(D$1,[2]quests!$1:$1,0)-MATCH($C$1,[2]quests!$1:$1,0)+1),MATCH(D$1,[2]quests!$1:$1,0)-MATCH($C$1,[2]quests!$1:$1,0)+1,FALSE)</f>
        <v>アーサー襲来！</v>
      </c>
      <c r="E4" s="82" t="str">
        <f ca="1">VLOOKUP($C4,OFFSET([2]quests!$A$1,0,0,COUNTA([2]quests!$A:$A),MATCH(E$1,[2]quests!$1:$1,0)-MATCH($C$1,[2]quests!$1:$1,0)+1),MATCH(E$1,[2]quests!$1:$1,0)-MATCH($C$1,[2]quests!$1:$1,0)+1,FALSE)</f>
        <v>降臨6</v>
      </c>
      <c r="F4" s="81">
        <v>1</v>
      </c>
      <c r="G4" s="82" t="str">
        <f ca="1">VLOOKUP($C4&amp;"_"&amp;$F4,OFFSET([2]stages!$A$1,0,0,COUNTA([2]stages!$A:$A),MATCH(G$1,[2]stages!$2:$2,0)-MATCH("temp_stage",[2]stages!$2:$2,0)+1),MATCH(G$1,[2]stages!$2:$2,0)-MATCH("temp_stage",[2]stages!$2:$2,0)+1,FALSE)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4" s="82" t="str">
        <f ca="1">VLOOKUP($C4&amp;"_"&amp;$F4,OFFSET([2]stages!$A$1,0,0,COUNTA([2]stages!$A:$A),MATCH(H$1,[2]stages!$2:$2,0)-MATCH("temp_stage",[2]stages!$2:$2,0)+1),MATCH(H$1,[2]stages!$2:$2,0)-MATCH("temp_stage",[2]stages!$2:$2,0)+1,FALSE)</f>
        <v>降臨6</v>
      </c>
      <c r="I4" s="83">
        <v>0</v>
      </c>
      <c r="J4" s="109">
        <f t="shared" si="1"/>
        <v>3</v>
      </c>
      <c r="K4">
        <v>3</v>
      </c>
      <c r="L4" s="81" t="s">
        <v>391</v>
      </c>
      <c r="M4" s="113" t="str">
        <f>VLOOKUP(K4,[7]stage_hints!$A:$C,3,FALSE)</f>
        <v>ターゲット</v>
      </c>
      <c r="N4" s="114" t="str">
        <f>VLOOKUP(K4,[7]stage_hints!$A:$D,4,FALSE)</f>
        <v>敵ユニットをタップすると_x000D_その敵を狙い撃ちできます</v>
      </c>
      <c r="O4" s="107" t="s">
        <v>390</v>
      </c>
    </row>
    <row r="5" spans="1:15">
      <c r="A5" s="112" t="str">
        <f t="shared" si="0"/>
        <v>40006_1_4</v>
      </c>
      <c r="B5" s="108" t="s">
        <v>389</v>
      </c>
      <c r="C5" s="81">
        <f>floors!$C$2</f>
        <v>40006</v>
      </c>
      <c r="D5" s="82" t="str">
        <f ca="1">VLOOKUP($C5,OFFSET([2]quests!$A$1,0,0,COUNTA([2]quests!$A:$A),MATCH(D$1,[2]quests!$1:$1,0)-MATCH($C$1,[2]quests!$1:$1,0)+1),MATCH(D$1,[2]quests!$1:$1,0)-MATCH($C$1,[2]quests!$1:$1,0)+1,FALSE)</f>
        <v>アーサー襲来！</v>
      </c>
      <c r="E5" s="82" t="str">
        <f ca="1">VLOOKUP($C5,OFFSET([2]quests!$A$1,0,0,COUNTA([2]quests!$A:$A),MATCH(E$1,[2]quests!$1:$1,0)-MATCH($C$1,[2]quests!$1:$1,0)+1),MATCH(E$1,[2]quests!$1:$1,0)-MATCH($C$1,[2]quests!$1:$1,0)+1,FALSE)</f>
        <v>降臨6</v>
      </c>
      <c r="F5" s="81">
        <v>1</v>
      </c>
      <c r="G5" s="82" t="str">
        <f ca="1">VLOOKUP($C5&amp;"_"&amp;$F5,OFFSET([2]stages!$A$1,0,0,COUNTA([2]stages!$A:$A),MATCH(G$1,[2]stages!$2:$2,0)-MATCH("temp_stage",[2]stages!$2:$2,0)+1),MATCH(G$1,[2]stages!$2:$2,0)-MATCH("temp_stage",[2]stages!$2:$2,0)+1,FALSE)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5" s="82" t="str">
        <f ca="1">VLOOKUP($C5&amp;"_"&amp;$F5,OFFSET([2]stages!$A$1,0,0,COUNTA([2]stages!$A:$A),MATCH(H$1,[2]stages!$2:$2,0)-MATCH("temp_stage",[2]stages!$2:$2,0)+1),MATCH(H$1,[2]stages!$2:$2,0)-MATCH("temp_stage",[2]stages!$2:$2,0)+1,FALSE)</f>
        <v>降臨6</v>
      </c>
      <c r="I5" s="83">
        <v>0</v>
      </c>
      <c r="J5" s="109">
        <f t="shared" si="1"/>
        <v>4</v>
      </c>
      <c r="K5">
        <v>4</v>
      </c>
      <c r="L5" s="81" t="s">
        <v>391</v>
      </c>
      <c r="M5" s="113" t="str">
        <f>VLOOKUP(K5,[7]stage_hints!$A:$C,3,FALSE)</f>
        <v>ボーナスクエスト</v>
      </c>
      <c r="N5" s="114" t="str">
        <f>VLOOKUP(K5,[7]stage_hints!$A:$D,4,FALSE)</f>
        <v>ノーマルクエストを進めると_x000D_嬉しいボーナスクエストが登場します</v>
      </c>
      <c r="O5" s="107" t="s">
        <v>390</v>
      </c>
    </row>
    <row r="6" spans="1:15">
      <c r="A6" s="112" t="str">
        <f t="shared" si="0"/>
        <v>40006_1_5</v>
      </c>
      <c r="B6" s="108" t="s">
        <v>389</v>
      </c>
      <c r="C6" s="81">
        <f>floors!$C$2</f>
        <v>40006</v>
      </c>
      <c r="D6" s="82" t="str">
        <f ca="1">VLOOKUP($C6,OFFSET([2]quests!$A$1,0,0,COUNTA([2]quests!$A:$A),MATCH(D$1,[2]quests!$1:$1,0)-MATCH($C$1,[2]quests!$1:$1,0)+1),MATCH(D$1,[2]quests!$1:$1,0)-MATCH($C$1,[2]quests!$1:$1,0)+1,FALSE)</f>
        <v>アーサー襲来！</v>
      </c>
      <c r="E6" s="82" t="str">
        <f ca="1">VLOOKUP($C6,OFFSET([2]quests!$A$1,0,0,COUNTA([2]quests!$A:$A),MATCH(E$1,[2]quests!$1:$1,0)-MATCH($C$1,[2]quests!$1:$1,0)+1),MATCH(E$1,[2]quests!$1:$1,0)-MATCH($C$1,[2]quests!$1:$1,0)+1,FALSE)</f>
        <v>降臨6</v>
      </c>
      <c r="F6" s="81">
        <v>1</v>
      </c>
      <c r="G6" s="82" t="str">
        <f ca="1">VLOOKUP($C6&amp;"_"&amp;$F6,OFFSET([2]stages!$A$1,0,0,COUNTA([2]stages!$A:$A),MATCH(G$1,[2]stages!$2:$2,0)-MATCH("temp_stage",[2]stages!$2:$2,0)+1),MATCH(G$1,[2]stages!$2:$2,0)-MATCH("temp_stage",[2]stages!$2:$2,0)+1,FALSE)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6" s="82" t="str">
        <f ca="1">VLOOKUP($C6&amp;"_"&amp;$F6,OFFSET([2]stages!$A$1,0,0,COUNTA([2]stages!$A:$A),MATCH(H$1,[2]stages!$2:$2,0)-MATCH("temp_stage",[2]stages!$2:$2,0)+1),MATCH(H$1,[2]stages!$2:$2,0)-MATCH("temp_stage",[2]stages!$2:$2,0)+1,FALSE)</f>
        <v>降臨6</v>
      </c>
      <c r="I6" s="83">
        <v>0</v>
      </c>
      <c r="J6" s="109">
        <f t="shared" si="1"/>
        <v>5</v>
      </c>
      <c r="K6">
        <v>5</v>
      </c>
      <c r="L6" s="81" t="s">
        <v>391</v>
      </c>
      <c r="M6" s="113" t="str">
        <f>VLOOKUP(K6,[7]stage_hints!$A:$C,3,FALSE)</f>
        <v>ユニット強化でレベルアップ</v>
      </c>
      <c r="N6" s="114" t="str">
        <f>VLOOKUP(K6,[7]stage_hints!$A:$D,4,FALSE)</f>
        <v>「ユニット強化」でレベルアップすると_x000D_勝てない敵にも勝てるようになります</v>
      </c>
      <c r="O6" s="107" t="s">
        <v>390</v>
      </c>
    </row>
    <row r="7" spans="1:15">
      <c r="A7" s="112" t="str">
        <f t="shared" si="0"/>
        <v>40006_1_6</v>
      </c>
      <c r="B7" s="108" t="s">
        <v>389</v>
      </c>
      <c r="C7" s="81">
        <f>floors!$C$2</f>
        <v>40006</v>
      </c>
      <c r="D7" s="82" t="str">
        <f ca="1">VLOOKUP($C7,OFFSET([2]quests!$A$1,0,0,COUNTA([2]quests!$A:$A),MATCH(D$1,[2]quests!$1:$1,0)-MATCH($C$1,[2]quests!$1:$1,0)+1),MATCH(D$1,[2]quests!$1:$1,0)-MATCH($C$1,[2]quests!$1:$1,0)+1,FALSE)</f>
        <v>アーサー襲来！</v>
      </c>
      <c r="E7" s="82" t="str">
        <f ca="1">VLOOKUP($C7,OFFSET([2]quests!$A$1,0,0,COUNTA([2]quests!$A:$A),MATCH(E$1,[2]quests!$1:$1,0)-MATCH($C$1,[2]quests!$1:$1,0)+1),MATCH(E$1,[2]quests!$1:$1,0)-MATCH($C$1,[2]quests!$1:$1,0)+1,FALSE)</f>
        <v>降臨6</v>
      </c>
      <c r="F7" s="81">
        <v>1</v>
      </c>
      <c r="G7" s="82" t="str">
        <f ca="1">VLOOKUP($C7&amp;"_"&amp;$F7,OFFSET([2]stages!$A$1,0,0,COUNTA([2]stages!$A:$A),MATCH(G$1,[2]stages!$2:$2,0)-MATCH("temp_stage",[2]stages!$2:$2,0)+1),MATCH(G$1,[2]stages!$2:$2,0)-MATCH("temp_stage",[2]stages!$2:$2,0)+1,FALSE)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7" s="82" t="str">
        <f ca="1">VLOOKUP($C7&amp;"_"&amp;$F7,OFFSET([2]stages!$A$1,0,0,COUNTA([2]stages!$A:$A),MATCH(H$1,[2]stages!$2:$2,0)-MATCH("temp_stage",[2]stages!$2:$2,0)+1),MATCH(H$1,[2]stages!$2:$2,0)-MATCH("temp_stage",[2]stages!$2:$2,0)+1,FALSE)</f>
        <v>降臨6</v>
      </c>
      <c r="I7" s="83">
        <v>0</v>
      </c>
      <c r="J7" s="109">
        <f t="shared" si="1"/>
        <v>6</v>
      </c>
      <c r="K7">
        <v>6</v>
      </c>
      <c r="L7" s="81" t="s">
        <v>178</v>
      </c>
      <c r="M7" s="113" t="str">
        <f>VLOOKUP(K7,[7]stage_hints!$A:$C,3,FALSE)</f>
        <v>ユニット強化の属性ボーナス</v>
      </c>
      <c r="N7" s="114" t="str">
        <f>VLOOKUP(K7,[7]stage_hints!$A:$D,4,FALSE)</f>
        <v>同属性ユニットを強化素材にすると_x000D_経験値が多くもらえます</v>
      </c>
      <c r="O7" s="107" t="s">
        <v>390</v>
      </c>
    </row>
    <row r="8" spans="1:15">
      <c r="A8" s="112" t="str">
        <f t="shared" si="0"/>
        <v>40006_1_7</v>
      </c>
      <c r="B8" s="108" t="s">
        <v>389</v>
      </c>
      <c r="C8" s="81">
        <f>floors!$C$2</f>
        <v>40006</v>
      </c>
      <c r="D8" s="82" t="str">
        <f ca="1">VLOOKUP($C8,OFFSET([2]quests!$A$1,0,0,COUNTA([2]quests!$A:$A),MATCH(D$1,[2]quests!$1:$1,0)-MATCH($C$1,[2]quests!$1:$1,0)+1),MATCH(D$1,[2]quests!$1:$1,0)-MATCH($C$1,[2]quests!$1:$1,0)+1,FALSE)</f>
        <v>アーサー襲来！</v>
      </c>
      <c r="E8" s="82" t="str">
        <f ca="1">VLOOKUP($C8,OFFSET([2]quests!$A$1,0,0,COUNTA([2]quests!$A:$A),MATCH(E$1,[2]quests!$1:$1,0)-MATCH($C$1,[2]quests!$1:$1,0)+1),MATCH(E$1,[2]quests!$1:$1,0)-MATCH($C$1,[2]quests!$1:$1,0)+1,FALSE)</f>
        <v>降臨6</v>
      </c>
      <c r="F8" s="81">
        <v>1</v>
      </c>
      <c r="G8" s="82" t="str">
        <f ca="1">VLOOKUP($C8&amp;"_"&amp;$F8,OFFSET([2]stages!$A$1,0,0,COUNTA([2]stages!$A:$A),MATCH(G$1,[2]stages!$2:$2,0)-MATCH("temp_stage",[2]stages!$2:$2,0)+1),MATCH(G$1,[2]stages!$2:$2,0)-MATCH("temp_stage",[2]stages!$2:$2,0)+1,FALSE)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8" s="82" t="str">
        <f ca="1">VLOOKUP($C8&amp;"_"&amp;$F8,OFFSET([2]stages!$A$1,0,0,COUNTA([2]stages!$A:$A),MATCH(H$1,[2]stages!$2:$2,0)-MATCH("temp_stage",[2]stages!$2:$2,0)+1),MATCH(H$1,[2]stages!$2:$2,0)-MATCH("temp_stage",[2]stages!$2:$2,0)+1,FALSE)</f>
        <v>降臨6</v>
      </c>
      <c r="I8" s="83">
        <v>0</v>
      </c>
      <c r="J8" s="109">
        <f t="shared" si="1"/>
        <v>7</v>
      </c>
      <c r="K8">
        <v>7</v>
      </c>
      <c r="L8" s="81" t="s">
        <v>392</v>
      </c>
      <c r="M8" s="113" t="str">
        <f>VLOOKUP(K8,[7]stage_hints!$A:$C,3,FALSE)</f>
        <v>メタルダックで経験値を獲得</v>
      </c>
      <c r="N8" s="114" t="str">
        <f>VLOOKUP(K8,[7]stage_hints!$A:$D,4,FALSE)</f>
        <v>「メタルなアヒル」を強化素材にすると_x000D_大量の経験値がもらえます</v>
      </c>
      <c r="O8" s="107" t="s">
        <v>390</v>
      </c>
    </row>
    <row r="9" spans="1:15">
      <c r="A9" s="112" t="str">
        <f t="shared" si="0"/>
        <v>40006_1_8</v>
      </c>
      <c r="B9" s="108" t="s">
        <v>389</v>
      </c>
      <c r="C9" s="81">
        <f>floors!$C$2</f>
        <v>40006</v>
      </c>
      <c r="D9" s="82" t="str">
        <f ca="1">VLOOKUP($C9,OFFSET([2]quests!$A$1,0,0,COUNTA([2]quests!$A:$A),MATCH(D$1,[2]quests!$1:$1,0)-MATCH($C$1,[2]quests!$1:$1,0)+1),MATCH(D$1,[2]quests!$1:$1,0)-MATCH($C$1,[2]quests!$1:$1,0)+1,FALSE)</f>
        <v>アーサー襲来！</v>
      </c>
      <c r="E9" s="82" t="str">
        <f ca="1">VLOOKUP($C9,OFFSET([2]quests!$A$1,0,0,COUNTA([2]quests!$A:$A),MATCH(E$1,[2]quests!$1:$1,0)-MATCH($C$1,[2]quests!$1:$1,0)+1),MATCH(E$1,[2]quests!$1:$1,0)-MATCH($C$1,[2]quests!$1:$1,0)+1,FALSE)</f>
        <v>降臨6</v>
      </c>
      <c r="F9" s="81">
        <v>1</v>
      </c>
      <c r="G9" s="82" t="str">
        <f ca="1">VLOOKUP($C9&amp;"_"&amp;$F9,OFFSET([2]stages!$A$1,0,0,COUNTA([2]stages!$A:$A),MATCH(G$1,[2]stages!$2:$2,0)-MATCH("temp_stage",[2]stages!$2:$2,0)+1),MATCH(G$1,[2]stages!$2:$2,0)-MATCH("temp_stage",[2]stages!$2:$2,0)+1,FALSE)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9" s="82" t="str">
        <f ca="1">VLOOKUP($C9&amp;"_"&amp;$F9,OFFSET([2]stages!$A$1,0,0,COUNTA([2]stages!$A:$A),MATCH(H$1,[2]stages!$2:$2,0)-MATCH("temp_stage",[2]stages!$2:$2,0)+1),MATCH(H$1,[2]stages!$2:$2,0)-MATCH("temp_stage",[2]stages!$2:$2,0)+1,FALSE)</f>
        <v>降臨6</v>
      </c>
      <c r="I9" s="83">
        <v>0</v>
      </c>
      <c r="J9" s="109">
        <f t="shared" si="1"/>
        <v>8</v>
      </c>
      <c r="K9">
        <v>8</v>
      </c>
      <c r="L9" s="81" t="s">
        <v>393</v>
      </c>
      <c r="M9" s="113" t="str">
        <f>VLOOKUP(K9,[7]stage_hints!$A:$C,3,FALSE)</f>
        <v>ゲリラクエストは要チェック</v>
      </c>
      <c r="N9" s="114" t="str">
        <f>VLOOKUP(K9,[7]stage_hints!$A:$D,4,FALSE)</f>
        <v>時間限定の「アヒル捕獲作戦」では_x000D_経験値素材ユニットが多く手に入ります</v>
      </c>
      <c r="O9" s="107" t="s">
        <v>390</v>
      </c>
    </row>
    <row r="10" spans="1:15">
      <c r="A10" s="112" t="str">
        <f t="shared" si="0"/>
        <v>40006_1_9</v>
      </c>
      <c r="B10" s="108" t="s">
        <v>389</v>
      </c>
      <c r="C10" s="81">
        <f>floors!$C$2</f>
        <v>40006</v>
      </c>
      <c r="D10" s="82" t="str">
        <f ca="1">VLOOKUP($C10,OFFSET([2]quests!$A$1,0,0,COUNTA([2]quests!$A:$A),MATCH(D$1,[2]quests!$1:$1,0)-MATCH($C$1,[2]quests!$1:$1,0)+1),MATCH(D$1,[2]quests!$1:$1,0)-MATCH($C$1,[2]quests!$1:$1,0)+1,FALSE)</f>
        <v>アーサー襲来！</v>
      </c>
      <c r="E10" s="82" t="str">
        <f ca="1">VLOOKUP($C10,OFFSET([2]quests!$A$1,0,0,COUNTA([2]quests!$A:$A),MATCH(E$1,[2]quests!$1:$1,0)-MATCH($C$1,[2]quests!$1:$1,0)+1),MATCH(E$1,[2]quests!$1:$1,0)-MATCH($C$1,[2]quests!$1:$1,0)+1,FALSE)</f>
        <v>降臨6</v>
      </c>
      <c r="F10" s="81">
        <v>1</v>
      </c>
      <c r="G10" s="82" t="str">
        <f ca="1">VLOOKUP($C10&amp;"_"&amp;$F10,OFFSET([2]stages!$A$1,0,0,COUNTA([2]stages!$A:$A),MATCH(G$1,[2]stages!$2:$2,0)-MATCH("temp_stage",[2]stages!$2:$2,0)+1),MATCH(G$1,[2]stages!$2:$2,0)-MATCH("temp_stage",[2]stages!$2:$2,0)+1,FALSE)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0" s="82" t="str">
        <f ca="1">VLOOKUP($C10&amp;"_"&amp;$F10,OFFSET([2]stages!$A$1,0,0,COUNTA([2]stages!$A:$A),MATCH(H$1,[2]stages!$2:$2,0)-MATCH("temp_stage",[2]stages!$2:$2,0)+1),MATCH(H$1,[2]stages!$2:$2,0)-MATCH("temp_stage",[2]stages!$2:$2,0)+1,FALSE)</f>
        <v>降臨6</v>
      </c>
      <c r="I10" s="83">
        <v>0</v>
      </c>
      <c r="J10" s="109">
        <f t="shared" si="1"/>
        <v>9</v>
      </c>
      <c r="K10">
        <v>9</v>
      </c>
      <c r="L10" s="81" t="s">
        <v>178</v>
      </c>
      <c r="M10" s="113" t="str">
        <f>VLOOKUP(K10,[7]stage_hints!$A:$C,3,FALSE)</f>
        <v>ゴールドダックでビットを獲得</v>
      </c>
      <c r="N10" s="114" t="str">
        <f>VLOOKUP(K10,[7]stage_hints!$A:$D,4,FALSE)</f>
        <v>「ゴールドなアヒル」を売却すると_x000D_大量のビットがもらえます</v>
      </c>
      <c r="O10" s="107" t="s">
        <v>390</v>
      </c>
    </row>
    <row r="11" spans="1:15">
      <c r="A11" s="112" t="str">
        <f t="shared" si="0"/>
        <v>40006_1_10</v>
      </c>
      <c r="B11" s="108" t="s">
        <v>389</v>
      </c>
      <c r="C11" s="81">
        <f>floors!$C$2</f>
        <v>40006</v>
      </c>
      <c r="D11" s="82" t="str">
        <f ca="1">VLOOKUP($C11,OFFSET([2]quests!$A$1,0,0,COUNTA([2]quests!$A:$A),MATCH(D$1,[2]quests!$1:$1,0)-MATCH($C$1,[2]quests!$1:$1,0)+1),MATCH(D$1,[2]quests!$1:$1,0)-MATCH($C$1,[2]quests!$1:$1,0)+1,FALSE)</f>
        <v>アーサー襲来！</v>
      </c>
      <c r="E11" s="82" t="str">
        <f ca="1">VLOOKUP($C11,OFFSET([2]quests!$A$1,0,0,COUNTA([2]quests!$A:$A),MATCH(E$1,[2]quests!$1:$1,0)-MATCH($C$1,[2]quests!$1:$1,0)+1),MATCH(E$1,[2]quests!$1:$1,0)-MATCH($C$1,[2]quests!$1:$1,0)+1,FALSE)</f>
        <v>降臨6</v>
      </c>
      <c r="F11" s="81">
        <v>1</v>
      </c>
      <c r="G11" s="82" t="str">
        <f ca="1">VLOOKUP($C11&amp;"_"&amp;$F11,OFFSET([2]stages!$A$1,0,0,COUNTA([2]stages!$A:$A),MATCH(G$1,[2]stages!$2:$2,0)-MATCH("temp_stage",[2]stages!$2:$2,0)+1),MATCH(G$1,[2]stages!$2:$2,0)-MATCH("temp_stage",[2]stages!$2:$2,0)+1,FALSE)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1" s="82" t="str">
        <f ca="1">VLOOKUP($C11&amp;"_"&amp;$F11,OFFSET([2]stages!$A$1,0,0,COUNTA([2]stages!$A:$A),MATCH(H$1,[2]stages!$2:$2,0)-MATCH("temp_stage",[2]stages!$2:$2,0)+1),MATCH(H$1,[2]stages!$2:$2,0)-MATCH("temp_stage",[2]stages!$2:$2,0)+1,FALSE)</f>
        <v>降臨6</v>
      </c>
      <c r="I11" s="83">
        <v>0</v>
      </c>
      <c r="J11" s="109">
        <f t="shared" si="1"/>
        <v>10</v>
      </c>
      <c r="K11">
        <v>10</v>
      </c>
      <c r="L11" s="81" t="s">
        <v>178</v>
      </c>
      <c r="M11" s="113" t="str">
        <f>VLOOKUP(K11,[7]stage_hints!$A:$C,3,FALSE)</f>
        <v>土日に大量のビットを獲得</v>
      </c>
      <c r="N11" s="114" t="str">
        <f>VLOOKUP(K11,[7]stage_hints!$A:$D,4,FALSE)</f>
        <v>土日限定の「ゴールドカジノ」では_x000D_売却素材ユニットが多く手に入ります</v>
      </c>
      <c r="O11" s="107" t="s">
        <v>390</v>
      </c>
    </row>
    <row r="12" spans="1:15">
      <c r="A12" s="112" t="str">
        <f t="shared" si="0"/>
        <v>40006_1_11</v>
      </c>
      <c r="B12" s="108" t="s">
        <v>389</v>
      </c>
      <c r="C12" s="81">
        <f>floors!$C$2</f>
        <v>40006</v>
      </c>
      <c r="D12" s="82" t="str">
        <f ca="1">VLOOKUP($C12,OFFSET([2]quests!$A$1,0,0,COUNTA([2]quests!$A:$A),MATCH(D$1,[2]quests!$1:$1,0)-MATCH($C$1,[2]quests!$1:$1,0)+1),MATCH(D$1,[2]quests!$1:$1,0)-MATCH($C$1,[2]quests!$1:$1,0)+1,FALSE)</f>
        <v>アーサー襲来！</v>
      </c>
      <c r="E12" s="82" t="str">
        <f ca="1">VLOOKUP($C12,OFFSET([2]quests!$A$1,0,0,COUNTA([2]quests!$A:$A),MATCH(E$1,[2]quests!$1:$1,0)-MATCH($C$1,[2]quests!$1:$1,0)+1),MATCH(E$1,[2]quests!$1:$1,0)-MATCH($C$1,[2]quests!$1:$1,0)+1,FALSE)</f>
        <v>降臨6</v>
      </c>
      <c r="F12" s="81">
        <v>1</v>
      </c>
      <c r="G12" s="82" t="str">
        <f ca="1">VLOOKUP($C12&amp;"_"&amp;$F12,OFFSET([2]stages!$A$1,0,0,COUNTA([2]stages!$A:$A),MATCH(G$1,[2]stages!$2:$2,0)-MATCH("temp_stage",[2]stages!$2:$2,0)+1),MATCH(G$1,[2]stages!$2:$2,0)-MATCH("temp_stage",[2]stages!$2:$2,0)+1,FALSE)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2" s="82" t="str">
        <f ca="1">VLOOKUP($C12&amp;"_"&amp;$F12,OFFSET([2]stages!$A$1,0,0,COUNTA([2]stages!$A:$A),MATCH(H$1,[2]stages!$2:$2,0)-MATCH("temp_stage",[2]stages!$2:$2,0)+1),MATCH(H$1,[2]stages!$2:$2,0)-MATCH("temp_stage",[2]stages!$2:$2,0)+1,FALSE)</f>
        <v>降臨6</v>
      </c>
      <c r="I12" s="83">
        <v>0</v>
      </c>
      <c r="J12" s="109">
        <f t="shared" si="1"/>
        <v>11</v>
      </c>
      <c r="K12">
        <v>11</v>
      </c>
      <c r="L12" s="81" t="s">
        <v>391</v>
      </c>
      <c r="M12" s="113" t="str">
        <f>VLOOKUP(K12,[7]stage_hints!$A:$C,3,FALSE)</f>
        <v>ランク解放クエスト</v>
      </c>
      <c r="N12" s="114" t="str">
        <f>VLOOKUP(K12,[7]stage_hints!$A:$D,4,FALSE)</f>
        <v>一定ランクに到達すると_x000D_報酬付きのランク開放クエストが現れます</v>
      </c>
      <c r="O12" s="107" t="s">
        <v>390</v>
      </c>
    </row>
    <row r="13" spans="1:15">
      <c r="A13" s="112" t="str">
        <f t="shared" si="0"/>
        <v>40006_1_12</v>
      </c>
      <c r="B13" s="108" t="s">
        <v>389</v>
      </c>
      <c r="C13" s="81">
        <f>floors!$C$2</f>
        <v>40006</v>
      </c>
      <c r="D13" s="82" t="str">
        <f ca="1">VLOOKUP($C13,OFFSET([2]quests!$A$1,0,0,COUNTA([2]quests!$A:$A),MATCH(D$1,[2]quests!$1:$1,0)-MATCH($C$1,[2]quests!$1:$1,0)+1),MATCH(D$1,[2]quests!$1:$1,0)-MATCH($C$1,[2]quests!$1:$1,0)+1,FALSE)</f>
        <v>アーサー襲来！</v>
      </c>
      <c r="E13" s="82" t="str">
        <f ca="1">VLOOKUP($C13,OFFSET([2]quests!$A$1,0,0,COUNTA([2]quests!$A:$A),MATCH(E$1,[2]quests!$1:$1,0)-MATCH($C$1,[2]quests!$1:$1,0)+1),MATCH(E$1,[2]quests!$1:$1,0)-MATCH($C$1,[2]quests!$1:$1,0)+1,FALSE)</f>
        <v>降臨6</v>
      </c>
      <c r="F13" s="81">
        <v>1</v>
      </c>
      <c r="G13" s="82" t="str">
        <f ca="1">VLOOKUP($C13&amp;"_"&amp;$F13,OFFSET([2]stages!$A$1,0,0,COUNTA([2]stages!$A:$A),MATCH(G$1,[2]stages!$2:$2,0)-MATCH("temp_stage",[2]stages!$2:$2,0)+1),MATCH(G$1,[2]stages!$2:$2,0)-MATCH("temp_stage",[2]stages!$2:$2,0)+1,FALSE)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3" s="82" t="str">
        <f ca="1">VLOOKUP($C13&amp;"_"&amp;$F13,OFFSET([2]stages!$A$1,0,0,COUNTA([2]stages!$A:$A),MATCH(H$1,[2]stages!$2:$2,0)-MATCH("temp_stage",[2]stages!$2:$2,0)+1),MATCH(H$1,[2]stages!$2:$2,0)-MATCH("temp_stage",[2]stages!$2:$2,0)+1,FALSE)</f>
        <v>降臨6</v>
      </c>
      <c r="I13" s="83">
        <v>0</v>
      </c>
      <c r="J13" s="109">
        <f t="shared" si="1"/>
        <v>12</v>
      </c>
      <c r="K13">
        <v>12</v>
      </c>
      <c r="L13" s="81" t="s">
        <v>394</v>
      </c>
      <c r="M13" s="113" t="str">
        <f>VLOOKUP(K13,[7]stage_hints!$A:$C,3,FALSE)</f>
        <v>ユニットのお気に入り登録</v>
      </c>
      <c r="N13" s="114" t="str">
        <f>VLOOKUP(K13,[7]stage_hints!$A:$D,4,FALSE)</f>
        <v>大事なユニットを誤って消さないように_x000D_フォルダから「お気に入り登録」しましょう</v>
      </c>
      <c r="O13" s="107" t="s">
        <v>390</v>
      </c>
    </row>
    <row r="14" spans="1:15">
      <c r="A14" s="112" t="str">
        <f t="shared" si="0"/>
        <v>40006_1_13</v>
      </c>
      <c r="B14" s="108" t="s">
        <v>389</v>
      </c>
      <c r="C14" s="81">
        <f>floors!$C$2</f>
        <v>40006</v>
      </c>
      <c r="D14" s="82" t="str">
        <f ca="1">VLOOKUP($C14,OFFSET([2]quests!$A$1,0,0,COUNTA([2]quests!$A:$A),MATCH(D$1,[2]quests!$1:$1,0)-MATCH($C$1,[2]quests!$1:$1,0)+1),MATCH(D$1,[2]quests!$1:$1,0)-MATCH($C$1,[2]quests!$1:$1,0)+1,FALSE)</f>
        <v>アーサー襲来！</v>
      </c>
      <c r="E14" s="82" t="str">
        <f ca="1">VLOOKUP($C14,OFFSET([2]quests!$A$1,0,0,COUNTA([2]quests!$A:$A),MATCH(E$1,[2]quests!$1:$1,0)-MATCH($C$1,[2]quests!$1:$1,0)+1),MATCH(E$1,[2]quests!$1:$1,0)-MATCH($C$1,[2]quests!$1:$1,0)+1,FALSE)</f>
        <v>降臨6</v>
      </c>
      <c r="F14" s="81">
        <v>1</v>
      </c>
      <c r="G14" s="82" t="str">
        <f ca="1">VLOOKUP($C14&amp;"_"&amp;$F14,OFFSET([2]stages!$A$1,0,0,COUNTA([2]stages!$A:$A),MATCH(G$1,[2]stages!$2:$2,0)-MATCH("temp_stage",[2]stages!$2:$2,0)+1),MATCH(G$1,[2]stages!$2:$2,0)-MATCH("temp_stage",[2]stages!$2:$2,0)+1,FALSE)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4" s="82" t="str">
        <f ca="1">VLOOKUP($C14&amp;"_"&amp;$F14,OFFSET([2]stages!$A$1,0,0,COUNTA([2]stages!$A:$A),MATCH(H$1,[2]stages!$2:$2,0)-MATCH("temp_stage",[2]stages!$2:$2,0)+1),MATCH(H$1,[2]stages!$2:$2,0)-MATCH("temp_stage",[2]stages!$2:$2,0)+1,FALSE)</f>
        <v>降臨6</v>
      </c>
      <c r="I14" s="83">
        <v>0</v>
      </c>
      <c r="J14" s="109">
        <f t="shared" si="1"/>
        <v>13</v>
      </c>
      <c r="K14">
        <v>13</v>
      </c>
      <c r="L14" s="81" t="s">
        <v>178</v>
      </c>
      <c r="M14" s="113" t="str">
        <f>VLOOKUP(K14,[7]stage_hints!$A:$C,3,FALSE)</f>
        <v>ユニットの覚醒</v>
      </c>
      <c r="N14" s="114" t="str">
        <f>VLOOKUP(K14,[7]stage_hints!$A:$D,4,FALSE)</f>
        <v>ユニットを覚醒させると_x000D_比べものにならない強さが手に入ります</v>
      </c>
      <c r="O14" s="107" t="s">
        <v>390</v>
      </c>
    </row>
    <row r="15" spans="1:15">
      <c r="A15" s="112" t="str">
        <f t="shared" si="0"/>
        <v>40006_1_14</v>
      </c>
      <c r="B15" s="108" t="s">
        <v>389</v>
      </c>
      <c r="C15" s="81">
        <f>floors!$C$2</f>
        <v>40006</v>
      </c>
      <c r="D15" s="82" t="str">
        <f ca="1">VLOOKUP($C15,OFFSET([2]quests!$A$1,0,0,COUNTA([2]quests!$A:$A),MATCH(D$1,[2]quests!$1:$1,0)-MATCH($C$1,[2]quests!$1:$1,0)+1),MATCH(D$1,[2]quests!$1:$1,0)-MATCH($C$1,[2]quests!$1:$1,0)+1,FALSE)</f>
        <v>アーサー襲来！</v>
      </c>
      <c r="E15" s="82" t="str">
        <f ca="1">VLOOKUP($C15,OFFSET([2]quests!$A$1,0,0,COUNTA([2]quests!$A:$A),MATCH(E$1,[2]quests!$1:$1,0)-MATCH($C$1,[2]quests!$1:$1,0)+1),MATCH(E$1,[2]quests!$1:$1,0)-MATCH($C$1,[2]quests!$1:$1,0)+1,FALSE)</f>
        <v>降臨6</v>
      </c>
      <c r="F15" s="81">
        <v>1</v>
      </c>
      <c r="G15" s="82" t="str">
        <f ca="1">VLOOKUP($C15&amp;"_"&amp;$F15,OFFSET([2]stages!$A$1,0,0,COUNTA([2]stages!$A:$A),MATCH(G$1,[2]stages!$2:$2,0)-MATCH("temp_stage",[2]stages!$2:$2,0)+1),MATCH(G$1,[2]stages!$2:$2,0)-MATCH("temp_stage",[2]stages!$2:$2,0)+1,FALSE)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5" s="82" t="str">
        <f ca="1">VLOOKUP($C15&amp;"_"&amp;$F15,OFFSET([2]stages!$A$1,0,0,COUNTA([2]stages!$A:$A),MATCH(H$1,[2]stages!$2:$2,0)-MATCH("temp_stage",[2]stages!$2:$2,0)+1),MATCH(H$1,[2]stages!$2:$2,0)-MATCH("temp_stage",[2]stages!$2:$2,0)+1,FALSE)</f>
        <v>降臨6</v>
      </c>
      <c r="I15" s="83">
        <v>0</v>
      </c>
      <c r="J15" s="109">
        <f t="shared" si="1"/>
        <v>14</v>
      </c>
      <c r="K15">
        <v>14</v>
      </c>
      <c r="L15" s="81" t="s">
        <v>391</v>
      </c>
      <c r="M15" s="113" t="str">
        <f>VLOOKUP(K15,[7]stage_hints!$A:$C,3,FALSE)</f>
        <v>覚醒するにはレベルを最大に</v>
      </c>
      <c r="N15" s="114" t="str">
        <f>VLOOKUP(K15,[7]stage_hints!$A:$D,4,FALSE)</f>
        <v>覚醒するにはユニットのレベルを_x000D_最大まで上げる必要があります</v>
      </c>
      <c r="O15" s="107" t="s">
        <v>390</v>
      </c>
    </row>
    <row r="16" spans="1:15">
      <c r="A16" s="112" t="str">
        <f t="shared" si="0"/>
        <v>40006_1_15</v>
      </c>
      <c r="B16" s="108" t="s">
        <v>389</v>
      </c>
      <c r="C16" s="81">
        <f>floors!$C$2</f>
        <v>40006</v>
      </c>
      <c r="D16" s="82" t="str">
        <f ca="1">VLOOKUP($C16,OFFSET([2]quests!$A$1,0,0,COUNTA([2]quests!$A:$A),MATCH(D$1,[2]quests!$1:$1,0)-MATCH($C$1,[2]quests!$1:$1,0)+1),MATCH(D$1,[2]quests!$1:$1,0)-MATCH($C$1,[2]quests!$1:$1,0)+1,FALSE)</f>
        <v>アーサー襲来！</v>
      </c>
      <c r="E16" s="82" t="str">
        <f ca="1">VLOOKUP($C16,OFFSET([2]quests!$A$1,0,0,COUNTA([2]quests!$A:$A),MATCH(E$1,[2]quests!$1:$1,0)-MATCH($C$1,[2]quests!$1:$1,0)+1),MATCH(E$1,[2]quests!$1:$1,0)-MATCH($C$1,[2]quests!$1:$1,0)+1,FALSE)</f>
        <v>降臨6</v>
      </c>
      <c r="F16" s="81">
        <v>1</v>
      </c>
      <c r="G16" s="82" t="str">
        <f ca="1">VLOOKUP($C16&amp;"_"&amp;$F16,OFFSET([2]stages!$A$1,0,0,COUNTA([2]stages!$A:$A),MATCH(G$1,[2]stages!$2:$2,0)-MATCH("temp_stage",[2]stages!$2:$2,0)+1),MATCH(G$1,[2]stages!$2:$2,0)-MATCH("temp_stage",[2]stages!$2:$2,0)+1,FALSE)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6" s="82" t="str">
        <f ca="1">VLOOKUP($C16&amp;"_"&amp;$F16,OFFSET([2]stages!$A$1,0,0,COUNTA([2]stages!$A:$A),MATCH(H$1,[2]stages!$2:$2,0)-MATCH("temp_stage",[2]stages!$2:$2,0)+1),MATCH(H$1,[2]stages!$2:$2,0)-MATCH("temp_stage",[2]stages!$2:$2,0)+1,FALSE)</f>
        <v>降臨6</v>
      </c>
      <c r="I16" s="83">
        <v>0</v>
      </c>
      <c r="J16" s="109">
        <f t="shared" si="1"/>
        <v>15</v>
      </c>
      <c r="K16">
        <v>15</v>
      </c>
      <c r="L16" s="81" t="s">
        <v>395</v>
      </c>
      <c r="M16" s="113" t="str">
        <f>VLOOKUP(K16,[7]stage_hints!$A:$C,3,FALSE)</f>
        <v>覚醒素材を獲得</v>
      </c>
      <c r="N16" s="114" t="str">
        <f>VLOOKUP(K16,[7]stage_hints!$A:$D,4,FALSE)</f>
        <v>「曜日クエスト」では_x000D_ユニットの覚醒に必要な素材が手に入ります</v>
      </c>
      <c r="O16" s="107" t="s">
        <v>390</v>
      </c>
    </row>
    <row r="17" spans="1:15">
      <c r="A17" s="112" t="str">
        <f t="shared" si="0"/>
        <v>40006_1_16</v>
      </c>
      <c r="B17" s="108" t="s">
        <v>389</v>
      </c>
      <c r="C17" s="81">
        <f>floors!$C$2</f>
        <v>40006</v>
      </c>
      <c r="D17" s="82" t="str">
        <f ca="1">VLOOKUP($C17,OFFSET([2]quests!$A$1,0,0,COUNTA([2]quests!$A:$A),MATCH(D$1,[2]quests!$1:$1,0)-MATCH($C$1,[2]quests!$1:$1,0)+1),MATCH(D$1,[2]quests!$1:$1,0)-MATCH($C$1,[2]quests!$1:$1,0)+1,FALSE)</f>
        <v>アーサー襲来！</v>
      </c>
      <c r="E17" s="82" t="str">
        <f ca="1">VLOOKUP($C17,OFFSET([2]quests!$A$1,0,0,COUNTA([2]quests!$A:$A),MATCH(E$1,[2]quests!$1:$1,0)-MATCH($C$1,[2]quests!$1:$1,0)+1),MATCH(E$1,[2]quests!$1:$1,0)-MATCH($C$1,[2]quests!$1:$1,0)+1,FALSE)</f>
        <v>降臨6</v>
      </c>
      <c r="F17" s="81">
        <v>1</v>
      </c>
      <c r="G17" s="82" t="str">
        <f ca="1">VLOOKUP($C17&amp;"_"&amp;$F17,OFFSET([2]stages!$A$1,0,0,COUNTA([2]stages!$A:$A),MATCH(G$1,[2]stages!$2:$2,0)-MATCH("temp_stage",[2]stages!$2:$2,0)+1),MATCH(G$1,[2]stages!$2:$2,0)-MATCH("temp_stage",[2]stages!$2:$2,0)+1,FALSE)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7" s="82" t="str">
        <f ca="1">VLOOKUP($C17&amp;"_"&amp;$F17,OFFSET([2]stages!$A$1,0,0,COUNTA([2]stages!$A:$A),MATCH(H$1,[2]stages!$2:$2,0)-MATCH("temp_stage",[2]stages!$2:$2,0)+1),MATCH(H$1,[2]stages!$2:$2,0)-MATCH("temp_stage",[2]stages!$2:$2,0)+1,FALSE)</f>
        <v>降臨6</v>
      </c>
      <c r="I17" s="83">
        <v>0</v>
      </c>
      <c r="J17" s="109">
        <f t="shared" si="1"/>
        <v>16</v>
      </c>
      <c r="K17">
        <v>16</v>
      </c>
      <c r="L17" s="81" t="s">
        <v>178</v>
      </c>
      <c r="M17" s="113" t="str">
        <f>VLOOKUP(K17,[7]stage_hints!$A:$C,3,FALSE)</f>
        <v>マルチプレイのメリット（その1）</v>
      </c>
      <c r="N17" s="114" t="str">
        <f>VLOOKUP(K17,[7]stage_hints!$A:$D,4,FALSE)</f>
        <v>他のプレイヤーとマルチプレイで遊ぶと_x000D_ポリゴンがもらえます（100人まで）</v>
      </c>
      <c r="O17" s="107" t="s">
        <v>390</v>
      </c>
    </row>
    <row r="18" spans="1:15">
      <c r="A18" s="112" t="str">
        <f t="shared" si="0"/>
        <v>40006_1_17</v>
      </c>
      <c r="B18" s="108" t="s">
        <v>389</v>
      </c>
      <c r="C18" s="81">
        <f>floors!$C$2</f>
        <v>40006</v>
      </c>
      <c r="D18" s="82" t="str">
        <f ca="1">VLOOKUP($C18,OFFSET([2]quests!$A$1,0,0,COUNTA([2]quests!$A:$A),MATCH(D$1,[2]quests!$1:$1,0)-MATCH($C$1,[2]quests!$1:$1,0)+1),MATCH(D$1,[2]quests!$1:$1,0)-MATCH($C$1,[2]quests!$1:$1,0)+1,FALSE)</f>
        <v>アーサー襲来！</v>
      </c>
      <c r="E18" s="82" t="str">
        <f ca="1">VLOOKUP($C18,OFFSET([2]quests!$A$1,0,0,COUNTA([2]quests!$A:$A),MATCH(E$1,[2]quests!$1:$1,0)-MATCH($C$1,[2]quests!$1:$1,0)+1),MATCH(E$1,[2]quests!$1:$1,0)-MATCH($C$1,[2]quests!$1:$1,0)+1,FALSE)</f>
        <v>降臨6</v>
      </c>
      <c r="F18" s="81">
        <v>1</v>
      </c>
      <c r="G18" s="82" t="str">
        <f ca="1">VLOOKUP($C18&amp;"_"&amp;$F18,OFFSET([2]stages!$A$1,0,0,COUNTA([2]stages!$A:$A),MATCH(G$1,[2]stages!$2:$2,0)-MATCH("temp_stage",[2]stages!$2:$2,0)+1),MATCH(G$1,[2]stages!$2:$2,0)-MATCH("temp_stage",[2]stages!$2:$2,0)+1,FALSE)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8" s="82" t="str">
        <f ca="1">VLOOKUP($C18&amp;"_"&amp;$F18,OFFSET([2]stages!$A$1,0,0,COUNTA([2]stages!$A:$A),MATCH(H$1,[2]stages!$2:$2,0)-MATCH("temp_stage",[2]stages!$2:$2,0)+1),MATCH(H$1,[2]stages!$2:$2,0)-MATCH("temp_stage",[2]stages!$2:$2,0)+1,FALSE)</f>
        <v>降臨6</v>
      </c>
      <c r="I18" s="83">
        <v>0</v>
      </c>
      <c r="J18" s="109">
        <f t="shared" si="1"/>
        <v>17</v>
      </c>
      <c r="K18">
        <v>17</v>
      </c>
      <c r="L18" s="81" t="s">
        <v>396</v>
      </c>
      <c r="M18" s="113" t="str">
        <f>VLOOKUP(K18,[7]stage_hints!$A:$C,3,FALSE)</f>
        <v>リンクガチャ</v>
      </c>
      <c r="N18" s="114" t="str">
        <f>VLOOKUP(K18,[7]stage_hints!$A:$D,4,FALSE)</f>
        <v>無料のリンクガチャを回して_x000D_経験値素材や売却素材を獲得しましょう</v>
      </c>
      <c r="O18" s="107" t="s">
        <v>390</v>
      </c>
    </row>
    <row r="19" spans="1:15">
      <c r="A19" s="112" t="str">
        <f t="shared" si="0"/>
        <v>40006_1_18</v>
      </c>
      <c r="B19" s="108" t="s">
        <v>389</v>
      </c>
      <c r="C19" s="81">
        <f>floors!$C$2</f>
        <v>40006</v>
      </c>
      <c r="D19" s="82" t="str">
        <f ca="1">VLOOKUP($C19,OFFSET([2]quests!$A$1,0,0,COUNTA([2]quests!$A:$A),MATCH(D$1,[2]quests!$1:$1,0)-MATCH($C$1,[2]quests!$1:$1,0)+1),MATCH(D$1,[2]quests!$1:$1,0)-MATCH($C$1,[2]quests!$1:$1,0)+1,FALSE)</f>
        <v>アーサー襲来！</v>
      </c>
      <c r="E19" s="82" t="str">
        <f ca="1">VLOOKUP($C19,OFFSET([2]quests!$A$1,0,0,COUNTA([2]quests!$A:$A),MATCH(E$1,[2]quests!$1:$1,0)-MATCH($C$1,[2]quests!$1:$1,0)+1),MATCH(E$1,[2]quests!$1:$1,0)-MATCH($C$1,[2]quests!$1:$1,0)+1,FALSE)</f>
        <v>降臨6</v>
      </c>
      <c r="F19" s="81">
        <v>1</v>
      </c>
      <c r="G19" s="82" t="str">
        <f ca="1">VLOOKUP($C19&amp;"_"&amp;$F19,OFFSET([2]stages!$A$1,0,0,COUNTA([2]stages!$A:$A),MATCH(G$1,[2]stages!$2:$2,0)-MATCH("temp_stage",[2]stages!$2:$2,0)+1),MATCH(G$1,[2]stages!$2:$2,0)-MATCH("temp_stage",[2]stages!$2:$2,0)+1,FALSE)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19" s="82" t="str">
        <f ca="1">VLOOKUP($C19&amp;"_"&amp;$F19,OFFSET([2]stages!$A$1,0,0,COUNTA([2]stages!$A:$A),MATCH(H$1,[2]stages!$2:$2,0)-MATCH("temp_stage",[2]stages!$2:$2,0)+1),MATCH(H$1,[2]stages!$2:$2,0)-MATCH("temp_stage",[2]stages!$2:$2,0)+1,FALSE)</f>
        <v>降臨6</v>
      </c>
      <c r="I19" s="83">
        <v>0</v>
      </c>
      <c r="J19" s="109">
        <f t="shared" si="1"/>
        <v>18</v>
      </c>
      <c r="K19">
        <v>18</v>
      </c>
      <c r="L19" s="81" t="s">
        <v>178</v>
      </c>
      <c r="M19" s="113" t="str">
        <f>VLOOKUP(K19,[7]stage_hints!$A:$C,3,FALSE)</f>
        <v>マルチプレイのメリット（その2）</v>
      </c>
      <c r="N19" s="114" t="str">
        <f>VLOOKUP(K19,[7]stage_hints!$A:$D,4,FALSE)</f>
        <v>マルチプレイならリンクが2倍もらえます_x000D_リンクガチャをたくさん回しましょう</v>
      </c>
      <c r="O19" s="107" t="s">
        <v>390</v>
      </c>
    </row>
    <row r="20" spans="1:15">
      <c r="A20" s="112" t="str">
        <f t="shared" si="0"/>
        <v>40006_1_19</v>
      </c>
      <c r="B20" s="108" t="s">
        <v>389</v>
      </c>
      <c r="C20" s="81">
        <f>floors!$C$2</f>
        <v>40006</v>
      </c>
      <c r="D20" s="82" t="str">
        <f ca="1">VLOOKUP($C20,OFFSET([2]quests!$A$1,0,0,COUNTA([2]quests!$A:$A),MATCH(D$1,[2]quests!$1:$1,0)-MATCH($C$1,[2]quests!$1:$1,0)+1),MATCH(D$1,[2]quests!$1:$1,0)-MATCH($C$1,[2]quests!$1:$1,0)+1,FALSE)</f>
        <v>アーサー襲来！</v>
      </c>
      <c r="E20" s="82" t="str">
        <f ca="1">VLOOKUP($C20,OFFSET([2]quests!$A$1,0,0,COUNTA([2]quests!$A:$A),MATCH(E$1,[2]quests!$1:$1,0)-MATCH($C$1,[2]quests!$1:$1,0)+1),MATCH(E$1,[2]quests!$1:$1,0)-MATCH($C$1,[2]quests!$1:$1,0)+1,FALSE)</f>
        <v>降臨6</v>
      </c>
      <c r="F20" s="81">
        <v>1</v>
      </c>
      <c r="G20" s="82" t="str">
        <f ca="1">VLOOKUP($C20&amp;"_"&amp;$F20,OFFSET([2]stages!$A$1,0,0,COUNTA([2]stages!$A:$A),MATCH(G$1,[2]stages!$2:$2,0)-MATCH("temp_stage",[2]stages!$2:$2,0)+1),MATCH(G$1,[2]stages!$2:$2,0)-MATCH("temp_stage",[2]stages!$2:$2,0)+1,FALSE)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0" s="82" t="str">
        <f ca="1">VLOOKUP($C20&amp;"_"&amp;$F20,OFFSET([2]stages!$A$1,0,0,COUNTA([2]stages!$A:$A),MATCH(H$1,[2]stages!$2:$2,0)-MATCH("temp_stage",[2]stages!$2:$2,0)+1),MATCH(H$1,[2]stages!$2:$2,0)-MATCH("temp_stage",[2]stages!$2:$2,0)+1,FALSE)</f>
        <v>降臨6</v>
      </c>
      <c r="I20" s="83">
        <v>0</v>
      </c>
      <c r="J20" s="109">
        <f t="shared" si="1"/>
        <v>19</v>
      </c>
      <c r="K20">
        <v>19</v>
      </c>
      <c r="L20" s="81" t="s">
        <v>178</v>
      </c>
      <c r="M20" s="113" t="str">
        <f>VLOOKUP(K20,[7]stage_hints!$A:$C,3,FALSE)</f>
        <v>ソロ専用チャレンジタワー</v>
      </c>
      <c r="N20" s="114" t="str">
        <f>VLOOKUP(K20,[7]stage_hints!$A:$D,4,FALSE)</f>
        <v>ソロ専用の「チャレンジタワー」では_x000D_各フロアごとにクリア報酬がもらえます</v>
      </c>
      <c r="O20" s="107" t="s">
        <v>390</v>
      </c>
    </row>
    <row r="21" spans="1:15">
      <c r="A21" s="112" t="str">
        <f t="shared" si="0"/>
        <v>40006_1_20</v>
      </c>
      <c r="B21" s="108" t="s">
        <v>389</v>
      </c>
      <c r="C21" s="81">
        <f>floors!$C$2</f>
        <v>40006</v>
      </c>
      <c r="D21" s="82" t="str">
        <f ca="1">VLOOKUP($C21,OFFSET([2]quests!$A$1,0,0,COUNTA([2]quests!$A:$A),MATCH(D$1,[2]quests!$1:$1,0)-MATCH($C$1,[2]quests!$1:$1,0)+1),MATCH(D$1,[2]quests!$1:$1,0)-MATCH($C$1,[2]quests!$1:$1,0)+1,FALSE)</f>
        <v>アーサー襲来！</v>
      </c>
      <c r="E21" s="82" t="str">
        <f ca="1">VLOOKUP($C21,OFFSET([2]quests!$A$1,0,0,COUNTA([2]quests!$A:$A),MATCH(E$1,[2]quests!$1:$1,0)-MATCH($C$1,[2]quests!$1:$1,0)+1),MATCH(E$1,[2]quests!$1:$1,0)-MATCH($C$1,[2]quests!$1:$1,0)+1,FALSE)</f>
        <v>降臨6</v>
      </c>
      <c r="F21" s="81">
        <v>1</v>
      </c>
      <c r="G21" s="82" t="str">
        <f ca="1">VLOOKUP($C21&amp;"_"&amp;$F21,OFFSET([2]stages!$A$1,0,0,COUNTA([2]stages!$A:$A),MATCH(G$1,[2]stages!$2:$2,0)-MATCH("temp_stage",[2]stages!$2:$2,0)+1),MATCH(G$1,[2]stages!$2:$2,0)-MATCH("temp_stage",[2]stages!$2:$2,0)+1,FALSE)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1" s="82" t="str">
        <f ca="1">VLOOKUP($C21&amp;"_"&amp;$F21,OFFSET([2]stages!$A$1,0,0,COUNTA([2]stages!$A:$A),MATCH(H$1,[2]stages!$2:$2,0)-MATCH("temp_stage",[2]stages!$2:$2,0)+1),MATCH(H$1,[2]stages!$2:$2,0)-MATCH("temp_stage",[2]stages!$2:$2,0)+1,FALSE)</f>
        <v>降臨6</v>
      </c>
      <c r="I21" s="83">
        <v>0</v>
      </c>
      <c r="J21" s="109">
        <f t="shared" si="1"/>
        <v>20</v>
      </c>
      <c r="K21">
        <v>20</v>
      </c>
      <c r="L21" s="81" t="s">
        <v>178</v>
      </c>
      <c r="M21" s="113" t="str">
        <f>VLOOKUP(K21,[7]stage_hints!$A:$C,3,FALSE)</f>
        <v>マルチプレイのメリット（その3）</v>
      </c>
      <c r="N21" s="114" t="str">
        <f>VLOOKUP(K21,[7]stage_hints!$A:$D,4,FALSE)</f>
        <v>マルチプレイへの参加はエナジー消費ゼロ_x000D_いつでも好きなだけ遊ぶことができます</v>
      </c>
      <c r="O21" s="107" t="s">
        <v>390</v>
      </c>
    </row>
    <row r="22" spans="1:15">
      <c r="A22" s="112" t="str">
        <f t="shared" si="0"/>
        <v>40006_1_21</v>
      </c>
      <c r="B22" s="108" t="s">
        <v>389</v>
      </c>
      <c r="C22" s="81">
        <f>floors!$C$2</f>
        <v>40006</v>
      </c>
      <c r="D22" s="82" t="str">
        <f ca="1">VLOOKUP($C22,OFFSET([2]quests!$A$1,0,0,COUNTA([2]quests!$A:$A),MATCH(D$1,[2]quests!$1:$1,0)-MATCH($C$1,[2]quests!$1:$1,0)+1),MATCH(D$1,[2]quests!$1:$1,0)-MATCH($C$1,[2]quests!$1:$1,0)+1,FALSE)</f>
        <v>アーサー襲来！</v>
      </c>
      <c r="E22" s="82" t="str">
        <f ca="1">VLOOKUP($C22,OFFSET([2]quests!$A$1,0,0,COUNTA([2]quests!$A:$A),MATCH(E$1,[2]quests!$1:$1,0)-MATCH($C$1,[2]quests!$1:$1,0)+1),MATCH(E$1,[2]quests!$1:$1,0)-MATCH($C$1,[2]quests!$1:$1,0)+1,FALSE)</f>
        <v>降臨6</v>
      </c>
      <c r="F22" s="81">
        <v>1</v>
      </c>
      <c r="G22" s="82" t="str">
        <f ca="1">VLOOKUP($C22&amp;"_"&amp;$F22,OFFSET([2]stages!$A$1,0,0,COUNTA([2]stages!$A:$A),MATCH(G$1,[2]stages!$2:$2,0)-MATCH("temp_stage",[2]stages!$2:$2,0)+1),MATCH(G$1,[2]stages!$2:$2,0)-MATCH("temp_stage",[2]stages!$2:$2,0)+1,FALSE)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2" s="82" t="str">
        <f ca="1">VLOOKUP($C22&amp;"_"&amp;$F22,OFFSET([2]stages!$A$1,0,0,COUNTA([2]stages!$A:$A),MATCH(H$1,[2]stages!$2:$2,0)-MATCH("temp_stage",[2]stages!$2:$2,0)+1),MATCH(H$1,[2]stages!$2:$2,0)-MATCH("temp_stage",[2]stages!$2:$2,0)+1,FALSE)</f>
        <v>降臨6</v>
      </c>
      <c r="I22" s="83">
        <v>0</v>
      </c>
      <c r="J22" s="109">
        <f t="shared" si="1"/>
        <v>21</v>
      </c>
      <c r="K22">
        <v>21</v>
      </c>
      <c r="L22" s="81" t="s">
        <v>178</v>
      </c>
      <c r="M22" s="113" t="str">
        <f>VLOOKUP(K22,[7]stage_hints!$A:$C,3,FALSE)</f>
        <v>スキルを有効に</v>
      </c>
      <c r="N22" s="114" t="str">
        <f>VLOOKUP(K22,[7]stage_hints!$A:$D,4,FALSE)</f>
        <v>ターン経過でユニットのスキルが使えます_x000D_強力スキルでバトルを有利に進めましょう</v>
      </c>
      <c r="O22" s="107" t="s">
        <v>390</v>
      </c>
    </row>
    <row r="23" spans="1:15">
      <c r="A23" s="112" t="str">
        <f t="shared" si="0"/>
        <v>40006_1_22</v>
      </c>
      <c r="B23" s="108" t="s">
        <v>389</v>
      </c>
      <c r="C23" s="81">
        <f>floors!$C$2</f>
        <v>40006</v>
      </c>
      <c r="D23" s="82" t="str">
        <f ca="1">VLOOKUP($C23,OFFSET([2]quests!$A$1,0,0,COUNTA([2]quests!$A:$A),MATCH(D$1,[2]quests!$1:$1,0)-MATCH($C$1,[2]quests!$1:$1,0)+1),MATCH(D$1,[2]quests!$1:$1,0)-MATCH($C$1,[2]quests!$1:$1,0)+1,FALSE)</f>
        <v>アーサー襲来！</v>
      </c>
      <c r="E23" s="82" t="str">
        <f ca="1">VLOOKUP($C23,OFFSET([2]quests!$A$1,0,0,COUNTA([2]quests!$A:$A),MATCH(E$1,[2]quests!$1:$1,0)-MATCH($C$1,[2]quests!$1:$1,0)+1),MATCH(E$1,[2]quests!$1:$1,0)-MATCH($C$1,[2]quests!$1:$1,0)+1,FALSE)</f>
        <v>降臨6</v>
      </c>
      <c r="F23" s="81">
        <v>1</v>
      </c>
      <c r="G23" s="82" t="str">
        <f ca="1">VLOOKUP($C23&amp;"_"&amp;$F23,OFFSET([2]stages!$A$1,0,0,COUNTA([2]stages!$A:$A),MATCH(G$1,[2]stages!$2:$2,0)-MATCH("temp_stage",[2]stages!$2:$2,0)+1),MATCH(G$1,[2]stages!$2:$2,0)-MATCH("temp_stage",[2]stages!$2:$2,0)+1,FALSE)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3" s="82" t="str">
        <f ca="1">VLOOKUP($C23&amp;"_"&amp;$F23,OFFSET([2]stages!$A$1,0,0,COUNTA([2]stages!$A:$A),MATCH(H$1,[2]stages!$2:$2,0)-MATCH("temp_stage",[2]stages!$2:$2,0)+1),MATCH(H$1,[2]stages!$2:$2,0)-MATCH("temp_stage",[2]stages!$2:$2,0)+1,FALSE)</f>
        <v>降臨6</v>
      </c>
      <c r="I23" s="83">
        <v>0</v>
      </c>
      <c r="J23" s="109">
        <f t="shared" si="1"/>
        <v>22</v>
      </c>
      <c r="K23">
        <v>22</v>
      </c>
      <c r="L23" s="81" t="s">
        <v>391</v>
      </c>
      <c r="M23" s="113" t="str">
        <f>VLOOKUP(K23,[7]stage_hints!$A:$C,3,FALSE)</f>
        <v>フィーバーで一発逆転（その1）</v>
      </c>
      <c r="N23" s="114" t="str">
        <f>VLOOKUP(K23,[7]stage_hints!$A:$D,4,FALSE)</f>
        <v>フィーバーは攻撃と回復を兼ね備えます_x000D_ピンチからの一発逆転を狙いましょう</v>
      </c>
      <c r="O23" s="107" t="s">
        <v>390</v>
      </c>
    </row>
    <row r="24" spans="1:15">
      <c r="A24" s="112" t="str">
        <f t="shared" si="0"/>
        <v>40006_1_23</v>
      </c>
      <c r="B24" s="108" t="s">
        <v>389</v>
      </c>
      <c r="C24" s="81">
        <f>floors!$C$2</f>
        <v>40006</v>
      </c>
      <c r="D24" s="82" t="str">
        <f ca="1">VLOOKUP($C24,OFFSET([2]quests!$A$1,0,0,COUNTA([2]quests!$A:$A),MATCH(D$1,[2]quests!$1:$1,0)-MATCH($C$1,[2]quests!$1:$1,0)+1),MATCH(D$1,[2]quests!$1:$1,0)-MATCH($C$1,[2]quests!$1:$1,0)+1,FALSE)</f>
        <v>アーサー襲来！</v>
      </c>
      <c r="E24" s="82" t="str">
        <f ca="1">VLOOKUP($C24,OFFSET([2]quests!$A$1,0,0,COUNTA([2]quests!$A:$A),MATCH(E$1,[2]quests!$1:$1,0)-MATCH($C$1,[2]quests!$1:$1,0)+1),MATCH(E$1,[2]quests!$1:$1,0)-MATCH($C$1,[2]quests!$1:$1,0)+1,FALSE)</f>
        <v>降臨6</v>
      </c>
      <c r="F24" s="81">
        <v>1</v>
      </c>
      <c r="G24" s="82" t="str">
        <f ca="1">VLOOKUP($C24&amp;"_"&amp;$F24,OFFSET([2]stages!$A$1,0,0,COUNTA([2]stages!$A:$A),MATCH(G$1,[2]stages!$2:$2,0)-MATCH("temp_stage",[2]stages!$2:$2,0)+1),MATCH(G$1,[2]stages!$2:$2,0)-MATCH("temp_stage",[2]stages!$2:$2,0)+1,FALSE)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4" s="82" t="str">
        <f ca="1">VLOOKUP($C24&amp;"_"&amp;$F24,OFFSET([2]stages!$A$1,0,0,COUNTA([2]stages!$A:$A),MATCH(H$1,[2]stages!$2:$2,0)-MATCH("temp_stage",[2]stages!$2:$2,0)+1),MATCH(H$1,[2]stages!$2:$2,0)-MATCH("temp_stage",[2]stages!$2:$2,0)+1,FALSE)</f>
        <v>降臨6</v>
      </c>
      <c r="I24" s="83">
        <v>0</v>
      </c>
      <c r="J24" s="109">
        <f t="shared" si="1"/>
        <v>23</v>
      </c>
      <c r="K24">
        <v>23</v>
      </c>
      <c r="L24" s="81" t="s">
        <v>391</v>
      </c>
      <c r="M24" s="113" t="str">
        <f>VLOOKUP(K24,[7]stage_hints!$A:$C,3,FALSE)</f>
        <v>フィーバーで一発逆転（その2）</v>
      </c>
      <c r="N24" s="114" t="str">
        <f>VLOOKUP(K24,[7]stage_hints!$A:$D,4,FALSE)</f>
        <v>フィーバー中は虹色のボムパネルを狙って_x000D_画面上のパネルを一気に破壊しましょう</v>
      </c>
      <c r="O24" s="107" t="s">
        <v>390</v>
      </c>
    </row>
    <row r="25" spans="1:15">
      <c r="A25" s="112" t="str">
        <f t="shared" si="0"/>
        <v>40006_1_24</v>
      </c>
      <c r="B25" s="108" t="s">
        <v>389</v>
      </c>
      <c r="C25" s="81">
        <f>floors!$C$2</f>
        <v>40006</v>
      </c>
      <c r="D25" s="82" t="str">
        <f ca="1">VLOOKUP($C25,OFFSET([2]quests!$A$1,0,0,COUNTA([2]quests!$A:$A),MATCH(D$1,[2]quests!$1:$1,0)-MATCH($C$1,[2]quests!$1:$1,0)+1),MATCH(D$1,[2]quests!$1:$1,0)-MATCH($C$1,[2]quests!$1:$1,0)+1,FALSE)</f>
        <v>アーサー襲来！</v>
      </c>
      <c r="E25" s="82" t="str">
        <f ca="1">VLOOKUP($C25,OFFSET([2]quests!$A$1,0,0,COUNTA([2]quests!$A:$A),MATCH(E$1,[2]quests!$1:$1,0)-MATCH($C$1,[2]quests!$1:$1,0)+1),MATCH(E$1,[2]quests!$1:$1,0)-MATCH($C$1,[2]quests!$1:$1,0)+1,FALSE)</f>
        <v>降臨6</v>
      </c>
      <c r="F25" s="81">
        <v>1</v>
      </c>
      <c r="G25" s="82" t="str">
        <f ca="1">VLOOKUP($C25&amp;"_"&amp;$F25,OFFSET([2]stages!$A$1,0,0,COUNTA([2]stages!$A:$A),MATCH(G$1,[2]stages!$2:$2,0)-MATCH("temp_stage",[2]stages!$2:$2,0)+1),MATCH(G$1,[2]stages!$2:$2,0)-MATCH("temp_stage",[2]stages!$2:$2,0)+1,FALSE)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5" s="82" t="str">
        <f ca="1">VLOOKUP($C25&amp;"_"&amp;$F25,OFFSET([2]stages!$A$1,0,0,COUNTA([2]stages!$A:$A),MATCH(H$1,[2]stages!$2:$2,0)-MATCH("temp_stage",[2]stages!$2:$2,0)+1),MATCH(H$1,[2]stages!$2:$2,0)-MATCH("temp_stage",[2]stages!$2:$2,0)+1,FALSE)</f>
        <v>降臨6</v>
      </c>
      <c r="I25" s="83">
        <v>0</v>
      </c>
      <c r="J25" s="109">
        <f t="shared" si="1"/>
        <v>24</v>
      </c>
      <c r="K25">
        <v>24</v>
      </c>
      <c r="L25" s="81" t="s">
        <v>391</v>
      </c>
      <c r="M25" s="113" t="str">
        <f>VLOOKUP(K25,[7]stage_hints!$A:$C,3,FALSE)</f>
        <v>りんごを使って限界突破</v>
      </c>
      <c r="N25" s="114" t="str">
        <f>VLOOKUP(K25,[7]stage_hints!$A:$D,4,FALSE)</f>
        <v>赤りんご(攻撃力) 青りんご(回復力)_x000D_緑りんご(体力)をユニット強化に使うと_x000D_ステータスが限界突破します（計99個迄）</v>
      </c>
      <c r="O25" s="107" t="s">
        <v>390</v>
      </c>
    </row>
    <row r="26" spans="1:15">
      <c r="A26" s="112" t="str">
        <f t="shared" si="0"/>
        <v>40006_1_25</v>
      </c>
      <c r="B26" s="108" t="s">
        <v>389</v>
      </c>
      <c r="C26" s="81">
        <f>floors!$C$2</f>
        <v>40006</v>
      </c>
      <c r="D26" s="82" t="str">
        <f ca="1">VLOOKUP($C26,OFFSET([2]quests!$A$1,0,0,COUNTA([2]quests!$A:$A),MATCH(D$1,[2]quests!$1:$1,0)-MATCH($C$1,[2]quests!$1:$1,0)+1),MATCH(D$1,[2]quests!$1:$1,0)-MATCH($C$1,[2]quests!$1:$1,0)+1,FALSE)</f>
        <v>アーサー襲来！</v>
      </c>
      <c r="E26" s="82" t="str">
        <f ca="1">VLOOKUP($C26,OFFSET([2]quests!$A$1,0,0,COUNTA([2]quests!$A:$A),MATCH(E$1,[2]quests!$1:$1,0)-MATCH($C$1,[2]quests!$1:$1,0)+1),MATCH(E$1,[2]quests!$1:$1,0)-MATCH($C$1,[2]quests!$1:$1,0)+1,FALSE)</f>
        <v>降臨6</v>
      </c>
      <c r="F26" s="81">
        <v>1</v>
      </c>
      <c r="G26" s="82" t="str">
        <f ca="1">VLOOKUP($C26&amp;"_"&amp;$F26,OFFSET([2]stages!$A$1,0,0,COUNTA([2]stages!$A:$A),MATCH(G$1,[2]stages!$2:$2,0)-MATCH("temp_stage",[2]stages!$2:$2,0)+1),MATCH(G$1,[2]stages!$2:$2,0)-MATCH("temp_stage",[2]stages!$2:$2,0)+1,FALSE)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6" s="82" t="str">
        <f ca="1">VLOOKUP($C26&amp;"_"&amp;$F26,OFFSET([2]stages!$A$1,0,0,COUNTA([2]stages!$A:$A),MATCH(H$1,[2]stages!$2:$2,0)-MATCH("temp_stage",[2]stages!$2:$2,0)+1),MATCH(H$1,[2]stages!$2:$2,0)-MATCH("temp_stage",[2]stages!$2:$2,0)+1,FALSE)</f>
        <v>降臨6</v>
      </c>
      <c r="I26" s="83">
        <v>0</v>
      </c>
      <c r="J26" s="109">
        <f t="shared" si="1"/>
        <v>25</v>
      </c>
      <c r="K26">
        <v>25</v>
      </c>
      <c r="L26" s="81" t="s">
        <v>391</v>
      </c>
      <c r="M26" s="113" t="str">
        <f>VLOOKUP(K26,[7]stage_hints!$A:$C,3,FALSE)</f>
        <v>スキルレベルアップ</v>
      </c>
      <c r="N26" s="114" t="str">
        <f>VLOOKUP(K26,[7]stage_hints!$A:$D,4,FALSE)</f>
        <v>「クリスタルのりんご」を強化に使うと_x000D_スキルレベルを上げることができます</v>
      </c>
      <c r="O26" s="107" t="s">
        <v>390</v>
      </c>
    </row>
    <row r="27" spans="1:15">
      <c r="A27" s="112" t="str">
        <f t="shared" si="0"/>
        <v>40006_1_26</v>
      </c>
      <c r="B27" s="108" t="s">
        <v>389</v>
      </c>
      <c r="C27" s="81">
        <f>floors!$C$2</f>
        <v>40006</v>
      </c>
      <c r="D27" s="82" t="str">
        <f ca="1">VLOOKUP($C27,OFFSET([2]quests!$A$1,0,0,COUNTA([2]quests!$A:$A),MATCH(D$1,[2]quests!$1:$1,0)-MATCH($C$1,[2]quests!$1:$1,0)+1),MATCH(D$1,[2]quests!$1:$1,0)-MATCH($C$1,[2]quests!$1:$1,0)+1,FALSE)</f>
        <v>アーサー襲来！</v>
      </c>
      <c r="E27" s="82" t="str">
        <f ca="1">VLOOKUP($C27,OFFSET([2]quests!$A$1,0,0,COUNTA([2]quests!$A:$A),MATCH(E$1,[2]quests!$1:$1,0)-MATCH($C$1,[2]quests!$1:$1,0)+1),MATCH(E$1,[2]quests!$1:$1,0)-MATCH($C$1,[2]quests!$1:$1,0)+1,FALSE)</f>
        <v>降臨6</v>
      </c>
      <c r="F27" s="81">
        <v>1</v>
      </c>
      <c r="G27" s="82" t="str">
        <f ca="1">VLOOKUP($C27&amp;"_"&amp;$F27,OFFSET([2]stages!$A$1,0,0,COUNTA([2]stages!$A:$A),MATCH(G$1,[2]stages!$2:$2,0)-MATCH("temp_stage",[2]stages!$2:$2,0)+1),MATCH(G$1,[2]stages!$2:$2,0)-MATCH("temp_stage",[2]stages!$2:$2,0)+1,FALSE)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7" s="82" t="str">
        <f ca="1">VLOOKUP($C27&amp;"_"&amp;$F27,OFFSET([2]stages!$A$1,0,0,COUNTA([2]stages!$A:$A),MATCH(H$1,[2]stages!$2:$2,0)-MATCH("temp_stage",[2]stages!$2:$2,0)+1),MATCH(H$1,[2]stages!$2:$2,0)-MATCH("temp_stage",[2]stages!$2:$2,0)+1,FALSE)</f>
        <v>降臨6</v>
      </c>
      <c r="I27" s="83">
        <v>0</v>
      </c>
      <c r="J27" s="109">
        <f t="shared" si="1"/>
        <v>26</v>
      </c>
      <c r="K27">
        <v>26</v>
      </c>
      <c r="L27" s="81" t="s">
        <v>391</v>
      </c>
      <c r="M27" s="113" t="str">
        <f>VLOOKUP(K27,[7]stage_hints!$A:$C,3,FALSE)</f>
        <v>スキルレベルの効果</v>
      </c>
      <c r="N27" s="114" t="str">
        <f>VLOOKUP(K27,[7]stage_hints!$A:$D,4,FALSE)</f>
        <v>スキルレベルが上がると_x000D_短いターンでスキルを使うことができます</v>
      </c>
      <c r="O27" s="107" t="s">
        <v>390</v>
      </c>
    </row>
    <row r="28" spans="1:15">
      <c r="A28" s="112" t="str">
        <f t="shared" si="0"/>
        <v>40006_1_27</v>
      </c>
      <c r="B28" s="108" t="s">
        <v>389</v>
      </c>
      <c r="C28" s="81">
        <f>floors!$C$2</f>
        <v>40006</v>
      </c>
      <c r="D28" s="82" t="str">
        <f ca="1">VLOOKUP($C28,OFFSET([2]quests!$A$1,0,0,COUNTA([2]quests!$A:$A),MATCH(D$1,[2]quests!$1:$1,0)-MATCH($C$1,[2]quests!$1:$1,0)+1),MATCH(D$1,[2]quests!$1:$1,0)-MATCH($C$1,[2]quests!$1:$1,0)+1,FALSE)</f>
        <v>アーサー襲来！</v>
      </c>
      <c r="E28" s="82" t="str">
        <f ca="1">VLOOKUP($C28,OFFSET([2]quests!$A$1,0,0,COUNTA([2]quests!$A:$A),MATCH(E$1,[2]quests!$1:$1,0)-MATCH($C$1,[2]quests!$1:$1,0)+1),MATCH(E$1,[2]quests!$1:$1,0)-MATCH($C$1,[2]quests!$1:$1,0)+1,FALSE)</f>
        <v>降臨6</v>
      </c>
      <c r="F28" s="81">
        <v>1</v>
      </c>
      <c r="G28" s="82" t="str">
        <f ca="1">VLOOKUP($C28&amp;"_"&amp;$F28,OFFSET([2]stages!$A$1,0,0,COUNTA([2]stages!$A:$A),MATCH(G$1,[2]stages!$2:$2,0)-MATCH("temp_stage",[2]stages!$2:$2,0)+1),MATCH(G$1,[2]stages!$2:$2,0)-MATCH("temp_stage",[2]stages!$2:$2,0)+1,FALSE)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8" s="82" t="str">
        <f ca="1">VLOOKUP($C28&amp;"_"&amp;$F28,OFFSET([2]stages!$A$1,0,0,COUNTA([2]stages!$A:$A),MATCH(H$1,[2]stages!$2:$2,0)-MATCH("temp_stage",[2]stages!$2:$2,0)+1),MATCH(H$1,[2]stages!$2:$2,0)-MATCH("temp_stage",[2]stages!$2:$2,0)+1,FALSE)</f>
        <v>降臨6</v>
      </c>
      <c r="I28" s="83">
        <v>0</v>
      </c>
      <c r="J28" s="109">
        <f t="shared" si="1"/>
        <v>27</v>
      </c>
      <c r="K28">
        <v>27</v>
      </c>
      <c r="L28" s="81" t="s">
        <v>391</v>
      </c>
      <c r="M28" s="113" t="str">
        <f>VLOOKUP(K28,[7]stage_hints!$A:$C,3,FALSE)</f>
        <v>ホーム画面からデッキを編成</v>
      </c>
      <c r="N28" s="114" t="str">
        <f>VLOOKUP(K28,[7]stage_hints!$A:$D,4,FALSE)</f>
        <v>ホーム画面でユニットを長押しすると_x000D_すぐにパーティ編成に移動できます</v>
      </c>
      <c r="O28" s="107" t="s">
        <v>390</v>
      </c>
    </row>
    <row r="29" spans="1:15">
      <c r="A29" s="112" t="str">
        <f t="shared" si="0"/>
        <v>40006_1_28</v>
      </c>
      <c r="B29" s="108" t="s">
        <v>389</v>
      </c>
      <c r="C29" s="81">
        <f>floors!$C$2</f>
        <v>40006</v>
      </c>
      <c r="D29" s="82" t="str">
        <f ca="1">VLOOKUP($C29,OFFSET([2]quests!$A$1,0,0,COUNTA([2]quests!$A:$A),MATCH(D$1,[2]quests!$1:$1,0)-MATCH($C$1,[2]quests!$1:$1,0)+1),MATCH(D$1,[2]quests!$1:$1,0)-MATCH($C$1,[2]quests!$1:$1,0)+1,FALSE)</f>
        <v>アーサー襲来！</v>
      </c>
      <c r="E29" s="82" t="str">
        <f ca="1">VLOOKUP($C29,OFFSET([2]quests!$A$1,0,0,COUNTA([2]quests!$A:$A),MATCH(E$1,[2]quests!$1:$1,0)-MATCH($C$1,[2]quests!$1:$1,0)+1),MATCH(E$1,[2]quests!$1:$1,0)-MATCH($C$1,[2]quests!$1:$1,0)+1,FALSE)</f>
        <v>降臨6</v>
      </c>
      <c r="F29" s="81">
        <v>1</v>
      </c>
      <c r="G29" s="82" t="str">
        <f ca="1">VLOOKUP($C29&amp;"_"&amp;$F29,OFFSET([2]stages!$A$1,0,0,COUNTA([2]stages!$A:$A),MATCH(G$1,[2]stages!$2:$2,0)-MATCH("temp_stage",[2]stages!$2:$2,0)+1),MATCH(G$1,[2]stages!$2:$2,0)-MATCH("temp_stage",[2]stages!$2:$2,0)+1,FALSE)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9" s="82" t="str">
        <f ca="1">VLOOKUP($C29&amp;"_"&amp;$F29,OFFSET([2]stages!$A$1,0,0,COUNTA([2]stages!$A:$A),MATCH(H$1,[2]stages!$2:$2,0)-MATCH("temp_stage",[2]stages!$2:$2,0)+1),MATCH(H$1,[2]stages!$2:$2,0)-MATCH("temp_stage",[2]stages!$2:$2,0)+1,FALSE)</f>
        <v>降臨6</v>
      </c>
      <c r="I29" s="83">
        <v>0</v>
      </c>
      <c r="J29" s="109">
        <f t="shared" si="1"/>
        <v>28</v>
      </c>
      <c r="K29">
        <v>28</v>
      </c>
      <c r="L29" s="81" t="s">
        <v>391</v>
      </c>
      <c r="M29" s="113" t="str">
        <f>VLOOKUP(K29,[7]stage_hints!$A:$C,3,FALSE)</f>
        <v>ステータス情報は長押しで</v>
      </c>
      <c r="N29" s="114" t="str">
        <f>VLOOKUP(K29,[7]stage_hints!$A:$D,4,FALSE)</f>
        <v>ユニットのアイコンを長押しすると_x000D_ステータス情報を確認することができます</v>
      </c>
      <c r="O29" s="107" t="s">
        <v>390</v>
      </c>
    </row>
    <row r="30" spans="1:15">
      <c r="A30" s="112" t="str">
        <f t="shared" si="0"/>
        <v>40006_1_29</v>
      </c>
      <c r="B30" s="108" t="s">
        <v>389</v>
      </c>
      <c r="C30" s="81">
        <f>floors!$C$2</f>
        <v>40006</v>
      </c>
      <c r="D30" s="82" t="str">
        <f ca="1">VLOOKUP($C30,OFFSET([2]quests!$A$1,0,0,COUNTA([2]quests!$A:$A),MATCH(D$1,[2]quests!$1:$1,0)-MATCH($C$1,[2]quests!$1:$1,0)+1),MATCH(D$1,[2]quests!$1:$1,0)-MATCH($C$1,[2]quests!$1:$1,0)+1,FALSE)</f>
        <v>アーサー襲来！</v>
      </c>
      <c r="E30" s="82" t="str">
        <f ca="1">VLOOKUP($C30,OFFSET([2]quests!$A$1,0,0,COUNTA([2]quests!$A:$A),MATCH(E$1,[2]quests!$1:$1,0)-MATCH($C$1,[2]quests!$1:$1,0)+1),MATCH(E$1,[2]quests!$1:$1,0)-MATCH($C$1,[2]quests!$1:$1,0)+1,FALSE)</f>
        <v>降臨6</v>
      </c>
      <c r="F30" s="81">
        <v>1</v>
      </c>
      <c r="G30" s="82" t="str">
        <f ca="1">VLOOKUP($C30&amp;"_"&amp;$F30,OFFSET([2]stages!$A$1,0,0,COUNTA([2]stages!$A:$A),MATCH(G$1,[2]stages!$2:$2,0)-MATCH("temp_stage",[2]stages!$2:$2,0)+1),MATCH(G$1,[2]stages!$2:$2,0)-MATCH("temp_stage",[2]stages!$2:$2,0)+1,FALSE)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0" s="82" t="str">
        <f ca="1">VLOOKUP($C30&amp;"_"&amp;$F30,OFFSET([2]stages!$A$1,0,0,COUNTA([2]stages!$A:$A),MATCH(H$1,[2]stages!$2:$2,0)-MATCH("temp_stage",[2]stages!$2:$2,0)+1),MATCH(H$1,[2]stages!$2:$2,0)-MATCH("temp_stage",[2]stages!$2:$2,0)+1,FALSE)</f>
        <v>降臨6</v>
      </c>
      <c r="I30" s="83">
        <v>0</v>
      </c>
      <c r="J30" s="109">
        <f t="shared" si="1"/>
        <v>29</v>
      </c>
      <c r="K30">
        <v>29</v>
      </c>
      <c r="L30" s="81" t="s">
        <v>391</v>
      </c>
      <c r="M30" s="113" t="str">
        <f>VLOOKUP(K30,[7]stage_hints!$A:$C,3,FALSE)</f>
        <v>「バグ」のメリット</v>
      </c>
      <c r="N30" s="114" t="str">
        <f>VLOOKUP(K30,[7]stage_hints!$A:$D,4,FALSE)</f>
        <v>ユニットの「バグ」を増やすと_x000D_報酬をもらえる確率がアップします</v>
      </c>
      <c r="O30" s="107" t="s">
        <v>390</v>
      </c>
    </row>
    <row r="31" spans="1:15">
      <c r="A31" s="112" t="str">
        <f t="shared" si="0"/>
        <v>40006_1_30</v>
      </c>
      <c r="B31" s="108" t="s">
        <v>389</v>
      </c>
      <c r="C31" s="81">
        <f>floors!$C$2</f>
        <v>40006</v>
      </c>
      <c r="D31" s="82" t="str">
        <f ca="1">VLOOKUP($C31,OFFSET([2]quests!$A$1,0,0,COUNTA([2]quests!$A:$A),MATCH(D$1,[2]quests!$1:$1,0)-MATCH($C$1,[2]quests!$1:$1,0)+1),MATCH(D$1,[2]quests!$1:$1,0)-MATCH($C$1,[2]quests!$1:$1,0)+1,FALSE)</f>
        <v>アーサー襲来！</v>
      </c>
      <c r="E31" s="82" t="str">
        <f ca="1">VLOOKUP($C31,OFFSET([2]quests!$A$1,0,0,COUNTA([2]quests!$A:$A),MATCH(E$1,[2]quests!$1:$1,0)-MATCH($C$1,[2]quests!$1:$1,0)+1),MATCH(E$1,[2]quests!$1:$1,0)-MATCH($C$1,[2]quests!$1:$1,0)+1,FALSE)</f>
        <v>降臨6</v>
      </c>
      <c r="F31" s="81">
        <v>1</v>
      </c>
      <c r="G31" s="82" t="str">
        <f ca="1">VLOOKUP($C31&amp;"_"&amp;$F31,OFFSET([2]stages!$A$1,0,0,COUNTA([2]stages!$A:$A),MATCH(G$1,[2]stages!$2:$2,0)-MATCH("temp_stage",[2]stages!$2:$2,0)+1),MATCH(G$1,[2]stages!$2:$2,0)-MATCH("temp_stage",[2]stages!$2:$2,0)+1,FALSE)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1" s="82" t="str">
        <f ca="1">VLOOKUP($C31&amp;"_"&amp;$F31,OFFSET([2]stages!$A$1,0,0,COUNTA([2]stages!$A:$A),MATCH(H$1,[2]stages!$2:$2,0)-MATCH("temp_stage",[2]stages!$2:$2,0)+1),MATCH(H$1,[2]stages!$2:$2,0)-MATCH("temp_stage",[2]stages!$2:$2,0)+1,FALSE)</f>
        <v>降臨6</v>
      </c>
      <c r="I31" s="83">
        <v>0</v>
      </c>
      <c r="J31" s="109">
        <f t="shared" si="1"/>
        <v>30</v>
      </c>
      <c r="K31">
        <v>30</v>
      </c>
      <c r="L31" s="81" t="s">
        <v>391</v>
      </c>
      <c r="M31" s="113" t="str">
        <f>VLOOKUP(K31,[7]stage_hints!$A:$C,3,FALSE)</f>
        <v>「バグ」の増やし方</v>
      </c>
      <c r="N31" s="114" t="str">
        <f>VLOOKUP(K31,[7]stage_hints!$A:$D,4,FALSE)</f>
        <v>同じユニット同士を強化で合成すると_x000D_「バグ」を増やすことができます</v>
      </c>
      <c r="O31" s="107" t="s">
        <v>390</v>
      </c>
    </row>
    <row r="32" spans="1:15">
      <c r="A32" s="112" t="str">
        <f t="shared" si="0"/>
        <v>40006_1_31</v>
      </c>
      <c r="B32" s="108" t="s">
        <v>389</v>
      </c>
      <c r="C32" s="81">
        <f>floors!$C$2</f>
        <v>40006</v>
      </c>
      <c r="D32" s="82" t="str">
        <f ca="1">VLOOKUP($C32,OFFSET([2]quests!$A$1,0,0,COUNTA([2]quests!$A:$A),MATCH(D$1,[2]quests!$1:$1,0)-MATCH($C$1,[2]quests!$1:$1,0)+1),MATCH(D$1,[2]quests!$1:$1,0)-MATCH($C$1,[2]quests!$1:$1,0)+1,FALSE)</f>
        <v>アーサー襲来！</v>
      </c>
      <c r="E32" s="82" t="str">
        <f ca="1">VLOOKUP($C32,OFFSET([2]quests!$A$1,0,0,COUNTA([2]quests!$A:$A),MATCH(E$1,[2]quests!$1:$1,0)-MATCH($C$1,[2]quests!$1:$1,0)+1),MATCH(E$1,[2]quests!$1:$1,0)-MATCH($C$1,[2]quests!$1:$1,0)+1,FALSE)</f>
        <v>降臨6</v>
      </c>
      <c r="F32" s="81">
        <v>1</v>
      </c>
      <c r="G32" s="82" t="str">
        <f ca="1">VLOOKUP($C32&amp;"_"&amp;$F32,OFFSET([2]stages!$A$1,0,0,COUNTA([2]stages!$A:$A),MATCH(G$1,[2]stages!$2:$2,0)-MATCH("temp_stage",[2]stages!$2:$2,0)+1),MATCH(G$1,[2]stages!$2:$2,0)-MATCH("temp_stage",[2]stages!$2:$2,0)+1,FALSE)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2" s="82" t="str">
        <f ca="1">VLOOKUP($C32&amp;"_"&amp;$F32,OFFSET([2]stages!$A$1,0,0,COUNTA([2]stages!$A:$A),MATCH(H$1,[2]stages!$2:$2,0)-MATCH("temp_stage",[2]stages!$2:$2,0)+1),MATCH(H$1,[2]stages!$2:$2,0)-MATCH("temp_stage",[2]stages!$2:$2,0)+1,FALSE)</f>
        <v>降臨6</v>
      </c>
      <c r="I32" s="83">
        <v>0</v>
      </c>
      <c r="J32" s="109">
        <f t="shared" si="1"/>
        <v>31</v>
      </c>
      <c r="K32">
        <v>31</v>
      </c>
      <c r="L32" s="81" t="s">
        <v>391</v>
      </c>
      <c r="M32" s="113" t="str">
        <f>VLOOKUP(K32,[7]stage_hints!$A:$C,3,FALSE)</f>
        <v>イベントはお知らせでチェック</v>
      </c>
      <c r="N32" s="114" t="str">
        <f>VLOOKUP(K32,[7]stage_hints!$A:$D,4,FALSE)</f>
        <v>イベント限定ユニットを取り忘れないように_x000D_お知らせをこまめにチェックしましょう</v>
      </c>
      <c r="O32" s="107" t="s">
        <v>390</v>
      </c>
    </row>
    <row r="33" spans="1:15">
      <c r="A33" s="112" t="str">
        <f t="shared" si="0"/>
        <v>40006_1_32</v>
      </c>
      <c r="B33" s="108" t="s">
        <v>389</v>
      </c>
      <c r="C33" s="81">
        <f>floors!$C$2</f>
        <v>40006</v>
      </c>
      <c r="D33" s="82" t="str">
        <f ca="1">VLOOKUP($C33,OFFSET([2]quests!$A$1,0,0,COUNTA([2]quests!$A:$A),MATCH(D$1,[2]quests!$1:$1,0)-MATCH($C$1,[2]quests!$1:$1,0)+1),MATCH(D$1,[2]quests!$1:$1,0)-MATCH($C$1,[2]quests!$1:$1,0)+1,FALSE)</f>
        <v>アーサー襲来！</v>
      </c>
      <c r="E33" s="82" t="str">
        <f ca="1">VLOOKUP($C33,OFFSET([2]quests!$A$1,0,0,COUNTA([2]quests!$A:$A),MATCH(E$1,[2]quests!$1:$1,0)-MATCH($C$1,[2]quests!$1:$1,0)+1),MATCH(E$1,[2]quests!$1:$1,0)-MATCH($C$1,[2]quests!$1:$1,0)+1,FALSE)</f>
        <v>降臨6</v>
      </c>
      <c r="F33" s="81">
        <v>1</v>
      </c>
      <c r="G33" s="82" t="str">
        <f ca="1">VLOOKUP($C33&amp;"_"&amp;$F33,OFFSET([2]stages!$A$1,0,0,COUNTA([2]stages!$A:$A),MATCH(G$1,[2]stages!$2:$2,0)-MATCH("temp_stage",[2]stages!$2:$2,0)+1),MATCH(G$1,[2]stages!$2:$2,0)-MATCH("temp_stage",[2]stages!$2:$2,0)+1,FALSE)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3" s="82" t="str">
        <f ca="1">VLOOKUP($C33&amp;"_"&amp;$F33,OFFSET([2]stages!$A$1,0,0,COUNTA([2]stages!$A:$A),MATCH(H$1,[2]stages!$2:$2,0)-MATCH("temp_stage",[2]stages!$2:$2,0)+1),MATCH(H$1,[2]stages!$2:$2,0)-MATCH("temp_stage",[2]stages!$2:$2,0)+1,FALSE)</f>
        <v>降臨6</v>
      </c>
      <c r="I33" s="83">
        <v>0</v>
      </c>
      <c r="J33" s="109">
        <f t="shared" si="1"/>
        <v>32</v>
      </c>
      <c r="K33">
        <v>38</v>
      </c>
      <c r="L33" s="81" t="s">
        <v>391</v>
      </c>
      <c r="M33" s="113" t="str">
        <f>VLOOKUP(K33,[7]stage_hints!$A:$C,3,FALSE)</f>
        <v>お邪魔パネルはフィーバーで</v>
      </c>
      <c r="N33" s="114" t="str">
        <f>VLOOKUP(K33,[7]stage_hints!$A:$D,4,FALSE)</f>
        <v>つなげて消せない「お邪魔パネル」は_x000D_フィーバーで下へ落としてしまいましょう</v>
      </c>
      <c r="O33" s="107" t="s">
        <v>390</v>
      </c>
    </row>
    <row r="34" spans="1:15">
      <c r="A34" s="112" t="str">
        <f t="shared" si="0"/>
        <v>40006_1_33</v>
      </c>
      <c r="B34" s="108" t="s">
        <v>389</v>
      </c>
      <c r="C34" s="81">
        <f>floors!$C$2</f>
        <v>40006</v>
      </c>
      <c r="D34" s="82" t="str">
        <f ca="1">VLOOKUP($C34,OFFSET([2]quests!$A$1,0,0,COUNTA([2]quests!$A:$A),MATCH(D$1,[2]quests!$1:$1,0)-MATCH($C$1,[2]quests!$1:$1,0)+1),MATCH(D$1,[2]quests!$1:$1,0)-MATCH($C$1,[2]quests!$1:$1,0)+1,FALSE)</f>
        <v>アーサー襲来！</v>
      </c>
      <c r="E34" s="82" t="str">
        <f ca="1">VLOOKUP($C34,OFFSET([2]quests!$A$1,0,0,COUNTA([2]quests!$A:$A),MATCH(E$1,[2]quests!$1:$1,0)-MATCH($C$1,[2]quests!$1:$1,0)+1),MATCH(E$1,[2]quests!$1:$1,0)-MATCH($C$1,[2]quests!$1:$1,0)+1,FALSE)</f>
        <v>降臨6</v>
      </c>
      <c r="F34" s="81">
        <v>1</v>
      </c>
      <c r="G34" s="82" t="str">
        <f ca="1">VLOOKUP($C34&amp;"_"&amp;$F34,OFFSET([2]stages!$A$1,0,0,COUNTA([2]stages!$A:$A),MATCH(G$1,[2]stages!$2:$2,0)-MATCH("temp_stage",[2]stages!$2:$2,0)+1),MATCH(G$1,[2]stages!$2:$2,0)-MATCH("temp_stage",[2]stages!$2:$2,0)+1,FALSE)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4" s="82" t="str">
        <f ca="1">VLOOKUP($C34&amp;"_"&amp;$F34,OFFSET([2]stages!$A$1,0,0,COUNTA([2]stages!$A:$A),MATCH(H$1,[2]stages!$2:$2,0)-MATCH("temp_stage",[2]stages!$2:$2,0)+1),MATCH(H$1,[2]stages!$2:$2,0)-MATCH("temp_stage",[2]stages!$2:$2,0)+1,FALSE)</f>
        <v>降臨6</v>
      </c>
      <c r="I34" s="83">
        <v>0</v>
      </c>
      <c r="J34" s="109">
        <f t="shared" si="1"/>
        <v>33</v>
      </c>
      <c r="K34">
        <v>32</v>
      </c>
      <c r="L34" s="81" t="s">
        <v>391</v>
      </c>
      <c r="M34" s="113" t="str">
        <f>VLOOKUP(K34,[7]stage_hints!$A:$C,3,FALSE)</f>
        <v>敵の連続攻撃には</v>
      </c>
      <c r="N34" s="114" t="str">
        <f>VLOOKUP(K34,[7]stage_hints!$A:$D,4,FALSE)</f>
        <v>カウンタースキルを持つユニットがいれば_x000D_ダメージ回数分の反撃ができます</v>
      </c>
      <c r="O34" s="107" t="s">
        <v>390</v>
      </c>
    </row>
    <row r="35" spans="1:15">
      <c r="A35" s="112" t="str">
        <f t="shared" si="0"/>
        <v>40006_1_34</v>
      </c>
      <c r="B35" s="108" t="s">
        <v>389</v>
      </c>
      <c r="C35" s="81">
        <f>floors!$C$2</f>
        <v>40006</v>
      </c>
      <c r="D35" s="82" t="str">
        <f ca="1">VLOOKUP($C35,OFFSET([2]quests!$A$1,0,0,COUNTA([2]quests!$A:$A),MATCH(D$1,[2]quests!$1:$1,0)-MATCH($C$1,[2]quests!$1:$1,0)+1),MATCH(D$1,[2]quests!$1:$1,0)-MATCH($C$1,[2]quests!$1:$1,0)+1,FALSE)</f>
        <v>アーサー襲来！</v>
      </c>
      <c r="E35" s="82" t="str">
        <f ca="1">VLOOKUP($C35,OFFSET([2]quests!$A$1,0,0,COUNTA([2]quests!$A:$A),MATCH(E$1,[2]quests!$1:$1,0)-MATCH($C$1,[2]quests!$1:$1,0)+1),MATCH(E$1,[2]quests!$1:$1,0)-MATCH($C$1,[2]quests!$1:$1,0)+1,FALSE)</f>
        <v>降臨6</v>
      </c>
      <c r="F35" s="81">
        <v>1</v>
      </c>
      <c r="G35" s="82" t="str">
        <f ca="1">VLOOKUP($C35&amp;"_"&amp;$F35,OFFSET([2]stages!$A$1,0,0,COUNTA([2]stages!$A:$A),MATCH(G$1,[2]stages!$2:$2,0)-MATCH("temp_stage",[2]stages!$2:$2,0)+1),MATCH(G$1,[2]stages!$2:$2,0)-MATCH("temp_stage",[2]stages!$2:$2,0)+1,FALSE)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5" s="82" t="str">
        <f ca="1">VLOOKUP($C35&amp;"_"&amp;$F35,OFFSET([2]stages!$A$1,0,0,COUNTA([2]stages!$A:$A),MATCH(H$1,[2]stages!$2:$2,0)-MATCH("temp_stage",[2]stages!$2:$2,0)+1),MATCH(H$1,[2]stages!$2:$2,0)-MATCH("temp_stage",[2]stages!$2:$2,0)+1,FALSE)</f>
        <v>降臨6</v>
      </c>
      <c r="I35" s="83">
        <v>0</v>
      </c>
      <c r="J35" s="109">
        <f t="shared" si="1"/>
        <v>34</v>
      </c>
      <c r="K35">
        <v>33</v>
      </c>
      <c r="L35" s="81" t="s">
        <v>391</v>
      </c>
      <c r="M35" s="113" t="str">
        <f>VLOOKUP(K35,[7]stage_hints!$A:$C,3,FALSE)</f>
        <v>敵のカウンター攻撃には</v>
      </c>
      <c r="N35" s="114" t="str">
        <f>VLOOKUP(K35,[7]stage_hints!$A:$D,4,FALSE)</f>
        <v>カウンターブレイクスキルを持っていれば_x000D_敵のカウンターを解除して攻撃ができます</v>
      </c>
      <c r="O35" s="107" t="s">
        <v>390</v>
      </c>
    </row>
    <row r="36" spans="1:15">
      <c r="A36" s="112" t="str">
        <f t="shared" si="0"/>
        <v>40006_1_35</v>
      </c>
      <c r="B36" s="108" t="s">
        <v>389</v>
      </c>
      <c r="C36" s="81">
        <f>floors!$C$2</f>
        <v>40006</v>
      </c>
      <c r="D36" s="82" t="str">
        <f ca="1">VLOOKUP($C36,OFFSET([2]quests!$A$1,0,0,COUNTA([2]quests!$A:$A),MATCH(D$1,[2]quests!$1:$1,0)-MATCH($C$1,[2]quests!$1:$1,0)+1),MATCH(D$1,[2]quests!$1:$1,0)-MATCH($C$1,[2]quests!$1:$1,0)+1,FALSE)</f>
        <v>アーサー襲来！</v>
      </c>
      <c r="E36" s="82" t="str">
        <f ca="1">VLOOKUP($C36,OFFSET([2]quests!$A$1,0,0,COUNTA([2]quests!$A:$A),MATCH(E$1,[2]quests!$1:$1,0)-MATCH($C$1,[2]quests!$1:$1,0)+1),MATCH(E$1,[2]quests!$1:$1,0)-MATCH($C$1,[2]quests!$1:$1,0)+1,FALSE)</f>
        <v>降臨6</v>
      </c>
      <c r="F36" s="81">
        <v>1</v>
      </c>
      <c r="G36" s="82" t="str">
        <f ca="1">VLOOKUP($C36&amp;"_"&amp;$F36,OFFSET([2]stages!$A$1,0,0,COUNTA([2]stages!$A:$A),MATCH(G$1,[2]stages!$2:$2,0)-MATCH("temp_stage",[2]stages!$2:$2,0)+1),MATCH(G$1,[2]stages!$2:$2,0)-MATCH("temp_stage",[2]stages!$2:$2,0)+1,FALSE)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6" s="82" t="str">
        <f ca="1">VLOOKUP($C36&amp;"_"&amp;$F36,OFFSET([2]stages!$A$1,0,0,COUNTA([2]stages!$A:$A),MATCH(H$1,[2]stages!$2:$2,0)-MATCH("temp_stage",[2]stages!$2:$2,0)+1),MATCH(H$1,[2]stages!$2:$2,0)-MATCH("temp_stage",[2]stages!$2:$2,0)+1,FALSE)</f>
        <v>降臨6</v>
      </c>
      <c r="I36" s="83">
        <v>0</v>
      </c>
      <c r="J36" s="109">
        <f t="shared" si="1"/>
        <v>35</v>
      </c>
      <c r="K36">
        <v>34</v>
      </c>
      <c r="L36" s="81" t="s">
        <v>391</v>
      </c>
      <c r="M36" s="113" t="str">
        <f>VLOOKUP(K36,[7]stage_hints!$A:$C,3,FALSE)</f>
        <v>ステータスをスキルで下げられたら</v>
      </c>
      <c r="N36" s="114" t="str">
        <f>VLOOKUP(K36,[7]stage_hints!$A:$D,4,FALSE)</f>
        <v>ステータスダウンのスキルを受けたら_x000D_ステータスアップスキルで上書きしましょう</v>
      </c>
      <c r="O36" s="107" t="s">
        <v>390</v>
      </c>
    </row>
    <row r="37" spans="1:15">
      <c r="A37" s="112" t="str">
        <f t="shared" si="0"/>
        <v>40006_1_36</v>
      </c>
      <c r="B37" s="108" t="s">
        <v>389</v>
      </c>
      <c r="C37" s="81">
        <f>floors!$C$2</f>
        <v>40006</v>
      </c>
      <c r="D37" s="82" t="str">
        <f ca="1">VLOOKUP($C37,OFFSET([2]quests!$A$1,0,0,COUNTA([2]quests!$A:$A),MATCH(D$1,[2]quests!$1:$1,0)-MATCH($C$1,[2]quests!$1:$1,0)+1),MATCH(D$1,[2]quests!$1:$1,0)-MATCH($C$1,[2]quests!$1:$1,0)+1,FALSE)</f>
        <v>アーサー襲来！</v>
      </c>
      <c r="E37" s="82" t="str">
        <f ca="1">VLOOKUP($C37,OFFSET([2]quests!$A$1,0,0,COUNTA([2]quests!$A:$A),MATCH(E$1,[2]quests!$1:$1,0)-MATCH($C$1,[2]quests!$1:$1,0)+1),MATCH(E$1,[2]quests!$1:$1,0)-MATCH($C$1,[2]quests!$1:$1,0)+1,FALSE)</f>
        <v>降臨6</v>
      </c>
      <c r="F37" s="81">
        <v>1</v>
      </c>
      <c r="G37" s="82" t="str">
        <f ca="1">VLOOKUP($C37&amp;"_"&amp;$F37,OFFSET([2]stages!$A$1,0,0,COUNTA([2]stages!$A:$A),MATCH(G$1,[2]stages!$2:$2,0)-MATCH("temp_stage",[2]stages!$2:$2,0)+1),MATCH(G$1,[2]stages!$2:$2,0)-MATCH("temp_stage",[2]stages!$2:$2,0)+1,FALSE)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7" s="82" t="str">
        <f ca="1">VLOOKUP($C37&amp;"_"&amp;$F37,OFFSET([2]stages!$A$1,0,0,COUNTA([2]stages!$A:$A),MATCH(H$1,[2]stages!$2:$2,0)-MATCH("temp_stage",[2]stages!$2:$2,0)+1),MATCH(H$1,[2]stages!$2:$2,0)-MATCH("temp_stage",[2]stages!$2:$2,0)+1,FALSE)</f>
        <v>降臨6</v>
      </c>
      <c r="I37" s="83">
        <v>0</v>
      </c>
      <c r="J37" s="109">
        <f t="shared" si="1"/>
        <v>36</v>
      </c>
      <c r="K37">
        <v>35</v>
      </c>
      <c r="L37" s="81" t="s">
        <v>391</v>
      </c>
      <c r="M37" s="113" t="str">
        <f>VLOOKUP(K37,[7]stage_hints!$A:$C,3,FALSE)</f>
        <v>敵のステータスがスキルで上がったら</v>
      </c>
      <c r="N37" s="114" t="str">
        <f>VLOOKUP(K37,[7]stage_hints!$A:$D,4,FALSE)</f>
        <v>敵のステータスがスキルでアップしたときは_x000D_ステータスダウンスキルで上書きしましょう</v>
      </c>
      <c r="O37" s="107" t="s">
        <v>390</v>
      </c>
    </row>
    <row r="38" spans="1:15">
      <c r="A38" s="112" t="str">
        <f t="shared" si="0"/>
        <v>40006_1_37</v>
      </c>
      <c r="B38" s="108" t="s">
        <v>389</v>
      </c>
      <c r="C38" s="81">
        <f>floors!$C$2</f>
        <v>40006</v>
      </c>
      <c r="D38" s="82" t="str">
        <f ca="1">VLOOKUP($C38,OFFSET([2]quests!$A$1,0,0,COUNTA([2]quests!$A:$A),MATCH(D$1,[2]quests!$1:$1,0)-MATCH($C$1,[2]quests!$1:$1,0)+1),MATCH(D$1,[2]quests!$1:$1,0)-MATCH($C$1,[2]quests!$1:$1,0)+1,FALSE)</f>
        <v>アーサー襲来！</v>
      </c>
      <c r="E38" s="82" t="str">
        <f ca="1">VLOOKUP($C38,OFFSET([2]quests!$A$1,0,0,COUNTA([2]quests!$A:$A),MATCH(E$1,[2]quests!$1:$1,0)-MATCH($C$1,[2]quests!$1:$1,0)+1),MATCH(E$1,[2]quests!$1:$1,0)-MATCH($C$1,[2]quests!$1:$1,0)+1,FALSE)</f>
        <v>降臨6</v>
      </c>
      <c r="F38" s="81">
        <v>1</v>
      </c>
      <c r="G38" s="82" t="str">
        <f ca="1">VLOOKUP($C38&amp;"_"&amp;$F38,OFFSET([2]stages!$A$1,0,0,COUNTA([2]stages!$A:$A),MATCH(G$1,[2]stages!$2:$2,0)-MATCH("temp_stage",[2]stages!$2:$2,0)+1),MATCH(G$1,[2]stages!$2:$2,0)-MATCH("temp_stage",[2]stages!$2:$2,0)+1,FALSE)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8" s="82" t="str">
        <f ca="1">VLOOKUP($C38&amp;"_"&amp;$F38,OFFSET([2]stages!$A$1,0,0,COUNTA([2]stages!$A:$A),MATCH(H$1,[2]stages!$2:$2,0)-MATCH("temp_stage",[2]stages!$2:$2,0)+1),MATCH(H$1,[2]stages!$2:$2,0)-MATCH("temp_stage",[2]stages!$2:$2,0)+1,FALSE)</f>
        <v>降臨6</v>
      </c>
      <c r="I38" s="83">
        <v>0</v>
      </c>
      <c r="J38" s="109">
        <f t="shared" si="1"/>
        <v>37</v>
      </c>
      <c r="K38">
        <v>36</v>
      </c>
      <c r="L38" s="81" t="s">
        <v>391</v>
      </c>
      <c r="M38" s="113" t="str">
        <f>VLOOKUP(K38,[7]stage_hints!$A:$C,3,FALSE)</f>
        <v>チャレンジタワーのボス</v>
      </c>
      <c r="N38" s="114" t="str">
        <f>VLOOKUP(K38,[7]stage_hints!$A:$D,4,FALSE)</f>
        <v>チャレンジタワーでのみ登場するボスは_x000D_一定確率で獲得することができます</v>
      </c>
      <c r="O38" s="107" t="s">
        <v>390</v>
      </c>
    </row>
    <row r="39" spans="1:15">
      <c r="A39" s="112" t="str">
        <f t="shared" si="0"/>
        <v>40006_1_38</v>
      </c>
      <c r="B39" s="108" t="s">
        <v>389</v>
      </c>
      <c r="C39" s="81">
        <f>floors!$C$2</f>
        <v>40006</v>
      </c>
      <c r="D39" s="82" t="str">
        <f ca="1">VLOOKUP($C39,OFFSET([2]quests!$A$1,0,0,COUNTA([2]quests!$A:$A),MATCH(D$1,[2]quests!$1:$1,0)-MATCH($C$1,[2]quests!$1:$1,0)+1),MATCH(D$1,[2]quests!$1:$1,0)-MATCH($C$1,[2]quests!$1:$1,0)+1,FALSE)</f>
        <v>アーサー襲来！</v>
      </c>
      <c r="E39" s="82" t="str">
        <f ca="1">VLOOKUP($C39,OFFSET([2]quests!$A$1,0,0,COUNTA([2]quests!$A:$A),MATCH(E$1,[2]quests!$1:$1,0)-MATCH($C$1,[2]quests!$1:$1,0)+1),MATCH(E$1,[2]quests!$1:$1,0)-MATCH($C$1,[2]quests!$1:$1,0)+1,FALSE)</f>
        <v>降臨6</v>
      </c>
      <c r="F39" s="81">
        <v>1</v>
      </c>
      <c r="G39" s="82" t="str">
        <f ca="1">VLOOKUP($C39&amp;"_"&amp;$F39,OFFSET([2]stages!$A$1,0,0,COUNTA([2]stages!$A:$A),MATCH(G$1,[2]stages!$2:$2,0)-MATCH("temp_stage",[2]stages!$2:$2,0)+1),MATCH(G$1,[2]stages!$2:$2,0)-MATCH("temp_stage",[2]stages!$2:$2,0)+1,FALSE)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9" s="82" t="str">
        <f ca="1">VLOOKUP($C39&amp;"_"&amp;$F39,OFFSET([2]stages!$A$1,0,0,COUNTA([2]stages!$A:$A),MATCH(H$1,[2]stages!$2:$2,0)-MATCH("temp_stage",[2]stages!$2:$2,0)+1),MATCH(H$1,[2]stages!$2:$2,0)-MATCH("temp_stage",[2]stages!$2:$2,0)+1,FALSE)</f>
        <v>降臨6</v>
      </c>
      <c r="I39" s="83">
        <v>0</v>
      </c>
      <c r="J39" s="109">
        <f t="shared" si="1"/>
        <v>38</v>
      </c>
      <c r="K39">
        <v>37</v>
      </c>
      <c r="L39" s="81" t="s">
        <v>178</v>
      </c>
      <c r="M39" s="113" t="str">
        <f>VLOOKUP(K39,[7]stage_hints!$A:$C,3,FALSE)</f>
        <v>限界突破値の引き継ぎ</v>
      </c>
      <c r="N39" s="114" t="str">
        <f>VLOOKUP(K39,[7]stage_hints!$A:$D,4,FALSE)</f>
        <v>同じユニットを強化で合成すると_x000D_限界突破値を引き継げます（覚醒前後も可）</v>
      </c>
      <c r="O39" s="107" t="s">
        <v>390</v>
      </c>
    </row>
  </sheetData>
  <phoneticPr fontId="5"/>
  <dataValidations count="1">
    <dataValidation type="list" allowBlank="1" showInputMessage="1" showErrorMessage="1" sqref="B2:B3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8"/>
  <sheetViews>
    <sheetView showGridLines="0" tabSelected="1" topLeftCell="B1" workbookViewId="0">
      <pane ySplit="1" topLeftCell="A2" activePane="bottomLeft" state="frozen"/>
      <selection pane="bottomLeft" activeCell="I6" sqref="I6"/>
    </sheetView>
  </sheetViews>
  <sheetFormatPr baseColWidth="12" defaultColWidth="13" defaultRowHeight="18" outlineLevelCol="1" x14ac:dyDescent="0"/>
  <cols>
    <col min="2" max="2" width="13" style="84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  <col min="15" max="15" width="9.5" customWidth="1"/>
  </cols>
  <sheetData>
    <row r="1" spans="1:16">
      <c r="A1" s="72" t="s">
        <v>43</v>
      </c>
      <c r="B1" s="73" t="s">
        <v>164</v>
      </c>
      <c r="C1" s="66" t="s">
        <v>134</v>
      </c>
      <c r="D1" s="74" t="s">
        <v>15</v>
      </c>
      <c r="E1" s="74" t="s">
        <v>25</v>
      </c>
      <c r="F1" s="66" t="s">
        <v>135</v>
      </c>
      <c r="G1" s="74" t="s">
        <v>15</v>
      </c>
      <c r="H1" s="74" t="s">
        <v>25</v>
      </c>
      <c r="I1" s="66" t="s">
        <v>16</v>
      </c>
      <c r="J1" s="85" t="s">
        <v>174</v>
      </c>
      <c r="K1" s="75" t="s">
        <v>163</v>
      </c>
      <c r="L1" s="76" t="s">
        <v>110</v>
      </c>
      <c r="M1" s="76" t="s">
        <v>167</v>
      </c>
      <c r="N1" s="77" t="s">
        <v>165</v>
      </c>
      <c r="O1" s="77"/>
      <c r="P1" s="78" t="s">
        <v>176</v>
      </c>
    </row>
    <row r="2" spans="1:16" ht="57">
      <c r="A2" s="79" t="str">
        <f t="shared" ref="A2:A8" si="0">C2&amp;"_"&amp;F2&amp;"_"&amp;J2</f>
        <v>40006_1_1</v>
      </c>
      <c r="B2" s="80" t="s">
        <v>177</v>
      </c>
      <c r="C2" s="81">
        <f>floors!$C$2</f>
        <v>40006</v>
      </c>
      <c r="D2" s="82" t="str">
        <f ca="1">VLOOKUP($C2,OFFSET([2]quests!$A$1,0,0,COUNTA([2]quests!$A:$A),MATCH(D$1,[2]quests!$1:$1,0)-MATCH($C$1,[2]quests!$1:$1,0)+1),MATCH(D$1,[2]quests!$1:$1,0)-MATCH($C$1,[2]quests!$1:$1,0)+1,FALSE)</f>
        <v>アーサー襲来！</v>
      </c>
      <c r="E2" s="82" t="str">
        <f ca="1">VLOOKUP($C2,OFFSET([2]quests!$A$1,0,0,COUNTA([2]quests!$A:$A),MATCH(E$1,[2]quests!$1:$1,0)-MATCH($C$1,[2]quests!$1:$1,0)+1),MATCH(E$1,[2]quests!$1:$1,0)-MATCH($C$1,[2]quests!$1:$1,0)+1,FALSE)</f>
        <v>降臨6</v>
      </c>
      <c r="F2" s="81">
        <v>1</v>
      </c>
      <c r="G2" s="82" t="str">
        <f ca="1">VLOOKUP($C2&amp;"_"&amp;$F2,OFFSET([2]stages!$A$1,0,0,COUNTA([2]stages!$A:$A),MATCH(G$1,[2]stages!$2:$2,0)-MATCH("temp_stage",[2]stages!$2:$2,0)+1),MATCH(G$1,[2]stages!$2:$2,0)-MATCH("temp_stage",[2]stages!$2:$2,0)+1,FALSE)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2" s="82" t="str">
        <f ca="1">VLOOKUP($C2&amp;"_"&amp;$F2,OFFSET([2]stages!$A$1,0,0,COUNTA([2]stages!$A:$A),MATCH(H$1,[2]stages!$2:$2,0)-MATCH("temp_stage",[2]stages!$2:$2,0)+1),MATCH(H$1,[2]stages!$2:$2,0)-MATCH("temp_stage",[2]stages!$2:$2,0)+1,FALSE)</f>
        <v>降臨6</v>
      </c>
      <c r="I2" s="83">
        <v>1</v>
      </c>
      <c r="J2" s="109">
        <v>1</v>
      </c>
      <c r="K2" s="110" t="str">
        <f t="shared" ref="K2:K8" si="1">C2&amp;TEXT(J2,"00")</f>
        <v>4000601</v>
      </c>
      <c r="L2" s="81" t="s">
        <v>111</v>
      </c>
      <c r="M2" s="111" t="s">
        <v>179</v>
      </c>
      <c r="N2" s="115" t="s">
        <v>405</v>
      </c>
      <c r="O2" s="106">
        <f>LEN(N2)</f>
        <v>58</v>
      </c>
      <c r="P2" s="52" t="s">
        <v>180</v>
      </c>
    </row>
    <row r="3" spans="1:16" ht="57">
      <c r="A3" s="79" t="str">
        <f t="shared" si="0"/>
        <v>40006_1_2</v>
      </c>
      <c r="B3" s="80" t="s">
        <v>177</v>
      </c>
      <c r="C3" s="81">
        <f>floors!$C$2</f>
        <v>40006</v>
      </c>
      <c r="D3" s="82" t="str">
        <f ca="1">VLOOKUP($C3,OFFSET([2]quests!$A$1,0,0,COUNTA([2]quests!$A:$A),MATCH(D$1,[2]quests!$1:$1,0)-MATCH($C$1,[2]quests!$1:$1,0)+1),MATCH(D$1,[2]quests!$1:$1,0)-MATCH($C$1,[2]quests!$1:$1,0)+1,FALSE)</f>
        <v>アーサー襲来！</v>
      </c>
      <c r="E3" s="82" t="str">
        <f ca="1">VLOOKUP($C3,OFFSET([2]quests!$A$1,0,0,COUNTA([2]quests!$A:$A),MATCH(E$1,[2]quests!$1:$1,0)-MATCH($C$1,[2]quests!$1:$1,0)+1),MATCH(E$1,[2]quests!$1:$1,0)-MATCH($C$1,[2]quests!$1:$1,0)+1,FALSE)</f>
        <v>降臨6</v>
      </c>
      <c r="F3" s="81">
        <v>1</v>
      </c>
      <c r="G3" s="82" t="str">
        <f ca="1">VLOOKUP($C3&amp;"_"&amp;$F3,OFFSET([2]stages!$A$1,0,0,COUNTA([2]stages!$A:$A),MATCH(G$1,[2]stages!$2:$2,0)-MATCH("temp_stage",[2]stages!$2:$2,0)+1),MATCH(G$1,[2]stages!$2:$2,0)-MATCH("temp_stage",[2]stages!$2:$2,0)+1,FALSE)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3" s="82" t="str">
        <f ca="1">VLOOKUP($C3&amp;"_"&amp;$F3,OFFSET([2]stages!$A$1,0,0,COUNTA([2]stages!$A:$A),MATCH(H$1,[2]stages!$2:$2,0)-MATCH("temp_stage",[2]stages!$2:$2,0)+1),MATCH(H$1,[2]stages!$2:$2,0)-MATCH("temp_stage",[2]stages!$2:$2,0)+1,FALSE)</f>
        <v>降臨6</v>
      </c>
      <c r="I3" s="83">
        <v>2</v>
      </c>
      <c r="J3" s="109">
        <v>2</v>
      </c>
      <c r="K3" s="110" t="str">
        <f t="shared" si="1"/>
        <v>4000602</v>
      </c>
      <c r="L3" s="81" t="s">
        <v>111</v>
      </c>
      <c r="M3" s="111" t="s">
        <v>179</v>
      </c>
      <c r="N3" s="115" t="s">
        <v>406</v>
      </c>
      <c r="O3" s="106">
        <f t="shared" ref="O3:O8" si="2">LEN(N3)</f>
        <v>59</v>
      </c>
      <c r="P3" s="52" t="s">
        <v>180</v>
      </c>
    </row>
    <row r="4" spans="1:16" ht="57">
      <c r="A4" s="79" t="str">
        <f t="shared" si="0"/>
        <v>40006_1_3</v>
      </c>
      <c r="B4" s="80" t="s">
        <v>177</v>
      </c>
      <c r="C4" s="81">
        <f>floors!$C$2</f>
        <v>40006</v>
      </c>
      <c r="D4" s="82" t="str">
        <f ca="1">VLOOKUP($C4,OFFSET([2]quests!$A$1,0,0,COUNTA([2]quests!$A:$A),MATCH(D$1,[2]quests!$1:$1,0)-MATCH($C$1,[2]quests!$1:$1,0)+1),MATCH(D$1,[2]quests!$1:$1,0)-MATCH($C$1,[2]quests!$1:$1,0)+1,FALSE)</f>
        <v>アーサー襲来！</v>
      </c>
      <c r="E4" s="82" t="str">
        <f ca="1">VLOOKUP($C4,OFFSET([2]quests!$A$1,0,0,COUNTA([2]quests!$A:$A),MATCH(E$1,[2]quests!$1:$1,0)-MATCH($C$1,[2]quests!$1:$1,0)+1),MATCH(E$1,[2]quests!$1:$1,0)-MATCH($C$1,[2]quests!$1:$1,0)+1,FALSE)</f>
        <v>降臨6</v>
      </c>
      <c r="F4" s="81">
        <v>1</v>
      </c>
      <c r="G4" s="82" t="str">
        <f ca="1">VLOOKUP($C4&amp;"_"&amp;$F4,OFFSET([2]stages!$A$1,0,0,COUNTA([2]stages!$A:$A),MATCH(G$1,[2]stages!$2:$2,0)-MATCH("temp_stage",[2]stages!$2:$2,0)+1),MATCH(G$1,[2]stages!$2:$2,0)-MATCH("temp_stage",[2]stages!$2:$2,0)+1,FALSE)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4" s="82" t="str">
        <f ca="1">VLOOKUP($C4&amp;"_"&amp;$F4,OFFSET([2]stages!$A$1,0,0,COUNTA([2]stages!$A:$A),MATCH(H$1,[2]stages!$2:$2,0)-MATCH("temp_stage",[2]stages!$2:$2,0)+1),MATCH(H$1,[2]stages!$2:$2,0)-MATCH("temp_stage",[2]stages!$2:$2,0)+1,FALSE)</f>
        <v>降臨6</v>
      </c>
      <c r="I4" s="83">
        <v>2</v>
      </c>
      <c r="J4" s="109">
        <v>3</v>
      </c>
      <c r="K4" s="110" t="str">
        <f t="shared" si="1"/>
        <v>4000603</v>
      </c>
      <c r="L4" s="81" t="s">
        <v>111</v>
      </c>
      <c r="M4" s="111" t="s">
        <v>179</v>
      </c>
      <c r="N4" s="115" t="s">
        <v>407</v>
      </c>
      <c r="O4" s="106">
        <f t="shared" si="2"/>
        <v>57</v>
      </c>
      <c r="P4" s="52" t="s">
        <v>180</v>
      </c>
    </row>
    <row r="5" spans="1:16" ht="57">
      <c r="A5" s="79" t="str">
        <f t="shared" si="0"/>
        <v>40006_1_4</v>
      </c>
      <c r="B5" s="80" t="s">
        <v>177</v>
      </c>
      <c r="C5" s="81">
        <f>floors!$C$2</f>
        <v>40006</v>
      </c>
      <c r="D5" s="82" t="str">
        <f ca="1">VLOOKUP($C5,OFFSET([2]quests!$A$1,0,0,COUNTA([2]quests!$A:$A),MATCH(D$1,[2]quests!$1:$1,0)-MATCH($C$1,[2]quests!$1:$1,0)+1),MATCH(D$1,[2]quests!$1:$1,0)-MATCH($C$1,[2]quests!$1:$1,0)+1,FALSE)</f>
        <v>アーサー襲来！</v>
      </c>
      <c r="E5" s="82" t="str">
        <f ca="1">VLOOKUP($C5,OFFSET([2]quests!$A$1,0,0,COUNTA([2]quests!$A:$A),MATCH(E$1,[2]quests!$1:$1,0)-MATCH($C$1,[2]quests!$1:$1,0)+1),MATCH(E$1,[2]quests!$1:$1,0)-MATCH($C$1,[2]quests!$1:$1,0)+1,FALSE)</f>
        <v>降臨6</v>
      </c>
      <c r="F5" s="81">
        <v>1</v>
      </c>
      <c r="G5" s="82" t="str">
        <f ca="1">VLOOKUP($C5&amp;"_"&amp;$F5,OFFSET([2]stages!$A$1,0,0,COUNTA([2]stages!$A:$A),MATCH(G$1,[2]stages!$2:$2,0)-MATCH("temp_stage",[2]stages!$2:$2,0)+1),MATCH(G$1,[2]stages!$2:$2,0)-MATCH("temp_stage",[2]stages!$2:$2,0)+1,FALSE)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5" s="82" t="str">
        <f ca="1">VLOOKUP($C5&amp;"_"&amp;$F5,OFFSET([2]stages!$A$1,0,0,COUNTA([2]stages!$A:$A),MATCH(H$1,[2]stages!$2:$2,0)-MATCH("temp_stage",[2]stages!$2:$2,0)+1),MATCH(H$1,[2]stages!$2:$2,0)-MATCH("temp_stage",[2]stages!$2:$2,0)+1,FALSE)</f>
        <v>降臨6</v>
      </c>
      <c r="I5" s="83">
        <v>3</v>
      </c>
      <c r="J5" s="109">
        <v>4</v>
      </c>
      <c r="K5" s="110" t="str">
        <f t="shared" si="1"/>
        <v>4000604</v>
      </c>
      <c r="L5" s="81" t="s">
        <v>111</v>
      </c>
      <c r="M5" s="111" t="s">
        <v>179</v>
      </c>
      <c r="N5" s="115" t="s">
        <v>408</v>
      </c>
      <c r="O5" s="106">
        <f t="shared" si="2"/>
        <v>57</v>
      </c>
      <c r="P5" s="52" t="s">
        <v>180</v>
      </c>
    </row>
    <row r="6" spans="1:16" ht="57">
      <c r="A6" s="79" t="str">
        <f t="shared" si="0"/>
        <v>40006_1_5</v>
      </c>
      <c r="B6" s="80" t="s">
        <v>177</v>
      </c>
      <c r="C6" s="81">
        <f>floors!$C$2</f>
        <v>40006</v>
      </c>
      <c r="D6" s="82" t="str">
        <f ca="1">VLOOKUP($C6,OFFSET([2]quests!$A$1,0,0,COUNTA([2]quests!$A:$A),MATCH(D$1,[2]quests!$1:$1,0)-MATCH($C$1,[2]quests!$1:$1,0)+1),MATCH(D$1,[2]quests!$1:$1,0)-MATCH($C$1,[2]quests!$1:$1,0)+1,FALSE)</f>
        <v>アーサー襲来！</v>
      </c>
      <c r="E6" s="82" t="str">
        <f ca="1">VLOOKUP($C6,OFFSET([2]quests!$A$1,0,0,COUNTA([2]quests!$A:$A),MATCH(E$1,[2]quests!$1:$1,0)-MATCH($C$1,[2]quests!$1:$1,0)+1),MATCH(E$1,[2]quests!$1:$1,0)-MATCH($C$1,[2]quests!$1:$1,0)+1,FALSE)</f>
        <v>降臨6</v>
      </c>
      <c r="F6" s="81">
        <v>1</v>
      </c>
      <c r="G6" s="82" t="str">
        <f ca="1">VLOOKUP($C6&amp;"_"&amp;$F6,OFFSET([2]stages!$A$1,0,0,COUNTA([2]stages!$A:$A),MATCH(G$1,[2]stages!$2:$2,0)-MATCH("temp_stage",[2]stages!$2:$2,0)+1),MATCH(G$1,[2]stages!$2:$2,0)-MATCH("temp_stage",[2]stages!$2:$2,0)+1,FALSE)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6" s="82" t="str">
        <f ca="1">VLOOKUP($C6&amp;"_"&amp;$F6,OFFSET([2]stages!$A$1,0,0,COUNTA([2]stages!$A:$A),MATCH(H$1,[2]stages!$2:$2,0)-MATCH("temp_stage",[2]stages!$2:$2,0)+1),MATCH(H$1,[2]stages!$2:$2,0)-MATCH("temp_stage",[2]stages!$2:$2,0)+1,FALSE)</f>
        <v>降臨6</v>
      </c>
      <c r="I6" s="83">
        <v>4</v>
      </c>
      <c r="J6" s="109">
        <v>5</v>
      </c>
      <c r="K6" s="110" t="str">
        <f t="shared" si="1"/>
        <v>4000605</v>
      </c>
      <c r="L6" s="81" t="s">
        <v>111</v>
      </c>
      <c r="M6" s="111" t="s">
        <v>179</v>
      </c>
      <c r="N6" s="115" t="s">
        <v>409</v>
      </c>
      <c r="O6" s="106">
        <f t="shared" si="2"/>
        <v>57</v>
      </c>
      <c r="P6" s="52" t="s">
        <v>180</v>
      </c>
    </row>
    <row r="7" spans="1:16" ht="57">
      <c r="A7" s="79" t="str">
        <f t="shared" si="0"/>
        <v>40006_1_6</v>
      </c>
      <c r="B7" s="80" t="s">
        <v>177</v>
      </c>
      <c r="C7" s="81">
        <f>floors!$C$2</f>
        <v>40006</v>
      </c>
      <c r="D7" s="82" t="str">
        <f ca="1">VLOOKUP($C7,OFFSET([2]quests!$A$1,0,0,COUNTA([2]quests!$A:$A),MATCH(D$1,[2]quests!$1:$1,0)-MATCH($C$1,[2]quests!$1:$1,0)+1),MATCH(D$1,[2]quests!$1:$1,0)-MATCH($C$1,[2]quests!$1:$1,0)+1,FALSE)</f>
        <v>アーサー襲来！</v>
      </c>
      <c r="E7" s="82" t="str">
        <f ca="1">VLOOKUP($C7,OFFSET([2]quests!$A$1,0,0,COUNTA([2]quests!$A:$A),MATCH(E$1,[2]quests!$1:$1,0)-MATCH($C$1,[2]quests!$1:$1,0)+1),MATCH(E$1,[2]quests!$1:$1,0)-MATCH($C$1,[2]quests!$1:$1,0)+1,FALSE)</f>
        <v>降臨6</v>
      </c>
      <c r="F7" s="81">
        <v>1</v>
      </c>
      <c r="G7" s="82" t="str">
        <f ca="1">VLOOKUP($C7&amp;"_"&amp;$F7,OFFSET([2]stages!$A$1,0,0,COUNTA([2]stages!$A:$A),MATCH(G$1,[2]stages!$2:$2,0)-MATCH("temp_stage",[2]stages!$2:$2,0)+1),MATCH(G$1,[2]stages!$2:$2,0)-MATCH("temp_stage",[2]stages!$2:$2,0)+1,FALSE)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7" s="82" t="str">
        <f ca="1">VLOOKUP($C7&amp;"_"&amp;$F7,OFFSET([2]stages!$A$1,0,0,COUNTA([2]stages!$A:$A),MATCH(H$1,[2]stages!$2:$2,0)-MATCH("temp_stage",[2]stages!$2:$2,0)+1),MATCH(H$1,[2]stages!$2:$2,0)-MATCH("temp_stage",[2]stages!$2:$2,0)+1,FALSE)</f>
        <v>降臨6</v>
      </c>
      <c r="I7" s="83">
        <v>4</v>
      </c>
      <c r="J7" s="109">
        <v>6</v>
      </c>
      <c r="K7" s="110" t="str">
        <f t="shared" si="1"/>
        <v>4000606</v>
      </c>
      <c r="L7" s="81" t="s">
        <v>111</v>
      </c>
      <c r="M7" s="111" t="s">
        <v>179</v>
      </c>
      <c r="N7" s="115" t="s">
        <v>410</v>
      </c>
      <c r="O7" s="106">
        <f t="shared" si="2"/>
        <v>51</v>
      </c>
      <c r="P7" s="52" t="s">
        <v>180</v>
      </c>
    </row>
    <row r="8" spans="1:16" ht="57">
      <c r="A8" s="79" t="str">
        <f t="shared" si="0"/>
        <v>40006_1_7</v>
      </c>
      <c r="B8" s="80" t="s">
        <v>177</v>
      </c>
      <c r="C8" s="81">
        <f>floors!$C$2</f>
        <v>40006</v>
      </c>
      <c r="D8" s="82" t="str">
        <f ca="1">VLOOKUP($C8,OFFSET([2]quests!$A$1,0,0,COUNTA([2]quests!$A:$A),MATCH(D$1,[2]quests!$1:$1,0)-MATCH($C$1,[2]quests!$1:$1,0)+1),MATCH(D$1,[2]quests!$1:$1,0)-MATCH($C$1,[2]quests!$1:$1,0)+1,FALSE)</f>
        <v>アーサー襲来！</v>
      </c>
      <c r="E8" s="82" t="str">
        <f ca="1">VLOOKUP($C8,OFFSET([2]quests!$A$1,0,0,COUNTA([2]quests!$A:$A),MATCH(E$1,[2]quests!$1:$1,0)-MATCH($C$1,[2]quests!$1:$1,0)+1),MATCH(E$1,[2]quests!$1:$1,0)-MATCH($C$1,[2]quests!$1:$1,0)+1,FALSE)</f>
        <v>降臨6</v>
      </c>
      <c r="F8" s="81">
        <v>1</v>
      </c>
      <c r="G8" s="82" t="str">
        <f ca="1">VLOOKUP($C8&amp;"_"&amp;$F8,OFFSET([2]stages!$A$1,0,0,COUNTA([2]stages!$A:$A),MATCH(G$1,[2]stages!$2:$2,0)-MATCH("temp_stage",[2]stages!$2:$2,0)+1),MATCH(G$1,[2]stages!$2:$2,0)-MATCH("temp_stage",[2]stages!$2:$2,0)+1,FALSE)</f>
        <v xml:space="preserve">【ウィザード級】アーサー襲来 </v>
      </c>
      <c r="H8" s="82" t="str">
        <f ca="1">VLOOKUP($C8&amp;"_"&amp;$F8,OFFSET([2]stages!$A$1,0,0,COUNTA([2]stages!$A:$A),MATCH(H$1,[2]stages!$2:$2,0)-MATCH("temp_stage",[2]stages!$2:$2,0)+1),MATCH(H$1,[2]stages!$2:$2,0)-MATCH("temp_stage",[2]stages!$2:$2,0)+1,FALSE)</f>
        <v>降臨6</v>
      </c>
      <c r="I8" s="83">
        <v>4</v>
      </c>
      <c r="J8" s="109">
        <v>7</v>
      </c>
      <c r="K8" s="110" t="str">
        <f t="shared" si="1"/>
        <v>4000607</v>
      </c>
      <c r="L8" s="81" t="s">
        <v>111</v>
      </c>
      <c r="M8" s="111" t="s">
        <v>179</v>
      </c>
      <c r="N8" s="115" t="s">
        <v>411</v>
      </c>
      <c r="O8" s="106">
        <f t="shared" si="2"/>
        <v>53</v>
      </c>
      <c r="P8" s="52" t="s">
        <v>180</v>
      </c>
    </row>
  </sheetData>
  <phoneticPr fontId="5"/>
  <dataValidations count="1">
    <dataValidation type="list" allowBlank="1" showInputMessage="1" showErrorMessage="1" sqref="B2:B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加藤 雅大</cp:lastModifiedBy>
  <dcterms:created xsi:type="dcterms:W3CDTF">2015-01-30T13:36:44Z</dcterms:created>
  <dcterms:modified xsi:type="dcterms:W3CDTF">2016-01-12T09:43:06Z</dcterms:modified>
</cp:coreProperties>
</file>