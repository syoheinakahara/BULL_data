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460" windowWidth="27240" windowHeight="1490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8" l="1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9" i="21"/>
  <c r="I9" i="21"/>
  <c r="J9" i="21"/>
  <c r="G9" i="21"/>
  <c r="F9" i="21"/>
  <c r="D9" i="21"/>
  <c r="C9" i="21"/>
  <c r="B8" i="21"/>
  <c r="C8" i="21"/>
  <c r="D8" i="21"/>
  <c r="F8" i="21"/>
  <c r="G8" i="21"/>
  <c r="I8" i="21"/>
  <c r="J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J47" i="11"/>
  <c r="O2" i="9"/>
  <c r="N2" i="9"/>
  <c r="M2" i="9"/>
  <c r="L2" i="9"/>
  <c r="K2" i="9"/>
  <c r="J2" i="9"/>
  <c r="I2" i="9"/>
  <c r="H2" i="9"/>
  <c r="G2" i="9"/>
  <c r="E2" i="9"/>
  <c r="D2" i="9"/>
  <c r="A2" i="9"/>
  <c r="O11" i="9"/>
  <c r="N11" i="9"/>
  <c r="M11" i="9"/>
  <c r="L11" i="9"/>
  <c r="K11" i="9"/>
  <c r="J11" i="9"/>
  <c r="I11" i="9"/>
  <c r="H11" i="9"/>
  <c r="G11" i="9"/>
  <c r="E11" i="9"/>
  <c r="D11" i="9"/>
  <c r="A11" i="9"/>
  <c r="O21" i="9"/>
  <c r="N21" i="9"/>
  <c r="M21" i="9"/>
  <c r="L21" i="9"/>
  <c r="K21" i="9"/>
  <c r="J21" i="9"/>
  <c r="I21" i="9"/>
  <c r="H21" i="9"/>
  <c r="G21" i="9"/>
  <c r="E21" i="9"/>
  <c r="D21" i="9"/>
  <c r="A21" i="9"/>
  <c r="O34" i="9"/>
  <c r="N34" i="9"/>
  <c r="M34" i="9"/>
  <c r="L34" i="9"/>
  <c r="K34" i="9"/>
  <c r="J34" i="9"/>
  <c r="I34" i="9"/>
  <c r="H34" i="9"/>
  <c r="G34" i="9"/>
  <c r="E34" i="9"/>
  <c r="D34" i="9"/>
  <c r="A34" i="9"/>
  <c r="O3" i="9"/>
  <c r="N3" i="9"/>
  <c r="M3" i="9"/>
  <c r="L3" i="9"/>
  <c r="K3" i="9"/>
  <c r="J3" i="9"/>
  <c r="I3" i="9"/>
  <c r="H3" i="9"/>
  <c r="G3" i="9"/>
  <c r="E3" i="9"/>
  <c r="D3" i="9"/>
  <c r="A3" i="9"/>
  <c r="J9" i="11"/>
  <c r="O12" i="9"/>
  <c r="N12" i="9"/>
  <c r="M12" i="9"/>
  <c r="L12" i="9"/>
  <c r="K12" i="9"/>
  <c r="J12" i="9"/>
  <c r="I12" i="9"/>
  <c r="H12" i="9"/>
  <c r="G12" i="9"/>
  <c r="E12" i="9"/>
  <c r="D12" i="9"/>
  <c r="A12" i="9"/>
  <c r="J17" i="11"/>
  <c r="O22" i="9"/>
  <c r="N22" i="9"/>
  <c r="M22" i="9"/>
  <c r="L22" i="9"/>
  <c r="K22" i="9"/>
  <c r="J22" i="9"/>
  <c r="I22" i="9"/>
  <c r="H22" i="9"/>
  <c r="G22" i="9"/>
  <c r="E22" i="9"/>
  <c r="D22" i="9"/>
  <c r="A22" i="9"/>
  <c r="J25" i="11"/>
  <c r="O35" i="9"/>
  <c r="N35" i="9"/>
  <c r="M35" i="9"/>
  <c r="L35" i="9"/>
  <c r="K35" i="9"/>
  <c r="J35" i="9"/>
  <c r="I35" i="9"/>
  <c r="H35" i="9"/>
  <c r="G35" i="9"/>
  <c r="E35" i="9"/>
  <c r="D35" i="9"/>
  <c r="A35" i="9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H36" i="9"/>
  <c r="I36" i="9"/>
  <c r="J36" i="9"/>
  <c r="H37" i="9"/>
  <c r="I37" i="9"/>
  <c r="J37" i="9"/>
  <c r="H38" i="9"/>
  <c r="I38" i="9"/>
  <c r="J38" i="9"/>
  <c r="H39" i="9"/>
  <c r="I39" i="9"/>
  <c r="J39" i="9"/>
  <c r="H40" i="9"/>
  <c r="I40" i="9"/>
  <c r="J40" i="9"/>
  <c r="J33" i="11"/>
  <c r="O44" i="9"/>
  <c r="N44" i="9"/>
  <c r="M44" i="9"/>
  <c r="L44" i="9"/>
  <c r="K44" i="9"/>
  <c r="J44" i="9"/>
  <c r="I44" i="9"/>
  <c r="H44" i="9"/>
  <c r="G44" i="9"/>
  <c r="E44" i="9"/>
  <c r="D44" i="9"/>
  <c r="A44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J44" i="11"/>
  <c r="J45" i="11"/>
  <c r="J46" i="11"/>
  <c r="O25" i="9"/>
  <c r="E25" i="9"/>
  <c r="D25" i="9"/>
  <c r="A25" i="9"/>
  <c r="O24" i="9"/>
  <c r="E24" i="9"/>
  <c r="D24" i="9"/>
  <c r="A24" i="9"/>
  <c r="J18" i="11"/>
  <c r="O26" i="9"/>
  <c r="E26" i="9"/>
  <c r="D26" i="9"/>
  <c r="A26" i="9"/>
  <c r="J21" i="11"/>
  <c r="M20" i="10"/>
  <c r="T20" i="10"/>
  <c r="W20" i="10"/>
  <c r="V20" i="10"/>
  <c r="X20" i="10"/>
  <c r="U20" i="10"/>
  <c r="Y20" i="10"/>
  <c r="M39" i="10"/>
  <c r="N39" i="10"/>
  <c r="Q39" i="10"/>
  <c r="P39" i="10"/>
  <c r="R39" i="10"/>
  <c r="O39" i="10"/>
  <c r="S39" i="10"/>
  <c r="M29" i="10"/>
  <c r="N29" i="10"/>
  <c r="Q29" i="10"/>
  <c r="P29" i="10"/>
  <c r="R29" i="10"/>
  <c r="O29" i="10"/>
  <c r="S29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M38" i="10"/>
  <c r="N38" i="10"/>
  <c r="Q38" i="10"/>
  <c r="P38" i="10"/>
  <c r="R38" i="10"/>
  <c r="O38" i="10"/>
  <c r="S3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G5" i="9"/>
  <c r="H5" i="9"/>
  <c r="I5" i="9"/>
  <c r="J5" i="9"/>
  <c r="K5" i="9"/>
  <c r="L5" i="9"/>
  <c r="M5" i="9"/>
  <c r="N5" i="9"/>
  <c r="J3" i="11"/>
  <c r="O5" i="9"/>
  <c r="G6" i="9"/>
  <c r="H6" i="9"/>
  <c r="I6" i="9"/>
  <c r="J6" i="9"/>
  <c r="K6" i="9"/>
  <c r="L6" i="9"/>
  <c r="M6" i="9"/>
  <c r="N6" i="9"/>
  <c r="J4" i="11"/>
  <c r="O6" i="9"/>
  <c r="G7" i="9"/>
  <c r="H7" i="9"/>
  <c r="I7" i="9"/>
  <c r="J7" i="9"/>
  <c r="K7" i="9"/>
  <c r="L7" i="9"/>
  <c r="M7" i="9"/>
  <c r="N7" i="9"/>
  <c r="J6" i="11"/>
  <c r="J5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7" i="11"/>
  <c r="O9" i="9"/>
  <c r="G10" i="9"/>
  <c r="H10" i="9"/>
  <c r="I10" i="9"/>
  <c r="J10" i="9"/>
  <c r="K10" i="9"/>
  <c r="L10" i="9"/>
  <c r="M10" i="9"/>
  <c r="N10" i="9"/>
  <c r="J10" i="11"/>
  <c r="O10" i="9"/>
  <c r="G13" i="9"/>
  <c r="H13" i="9"/>
  <c r="I13" i="9"/>
  <c r="J13" i="9"/>
  <c r="K13" i="9"/>
  <c r="L13" i="9"/>
  <c r="M13" i="9"/>
  <c r="N13" i="9"/>
  <c r="J11" i="11"/>
  <c r="O13" i="9"/>
  <c r="G14" i="9"/>
  <c r="H14" i="9"/>
  <c r="I14" i="9"/>
  <c r="J14" i="9"/>
  <c r="K14" i="9"/>
  <c r="L14" i="9"/>
  <c r="M14" i="9"/>
  <c r="N14" i="9"/>
  <c r="J12" i="11"/>
  <c r="O14" i="9"/>
  <c r="G15" i="9"/>
  <c r="H15" i="9"/>
  <c r="I15" i="9"/>
  <c r="J15" i="9"/>
  <c r="K15" i="9"/>
  <c r="L15" i="9"/>
  <c r="M15" i="9"/>
  <c r="N15" i="9"/>
  <c r="J13" i="11"/>
  <c r="O15" i="9"/>
  <c r="G16" i="9"/>
  <c r="H16" i="9"/>
  <c r="I16" i="9"/>
  <c r="J16" i="9"/>
  <c r="K16" i="9"/>
  <c r="L16" i="9"/>
  <c r="M16" i="9"/>
  <c r="N16" i="9"/>
  <c r="J14" i="11"/>
  <c r="O16" i="9"/>
  <c r="G17" i="9"/>
  <c r="H17" i="9"/>
  <c r="I17" i="9"/>
  <c r="J17" i="9"/>
  <c r="K17" i="9"/>
  <c r="L17" i="9"/>
  <c r="M17" i="9"/>
  <c r="N17" i="9"/>
  <c r="J15" i="11"/>
  <c r="O17" i="9"/>
  <c r="G18" i="9"/>
  <c r="H18" i="9"/>
  <c r="I18" i="9"/>
  <c r="J18" i="9"/>
  <c r="K18" i="9"/>
  <c r="L18" i="9"/>
  <c r="M18" i="9"/>
  <c r="N18" i="9"/>
  <c r="J16" i="11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3" i="9"/>
  <c r="H23" i="9"/>
  <c r="I23" i="9"/>
  <c r="J23" i="9"/>
  <c r="K23" i="9"/>
  <c r="L23" i="9"/>
  <c r="M23" i="9"/>
  <c r="N23" i="9"/>
  <c r="J19" i="11"/>
  <c r="O23" i="9"/>
  <c r="O27" i="9"/>
  <c r="J22" i="11"/>
  <c r="O28" i="9"/>
  <c r="G29" i="9"/>
  <c r="H29" i="9"/>
  <c r="I29" i="9"/>
  <c r="J29" i="9"/>
  <c r="K29" i="9"/>
  <c r="L29" i="9"/>
  <c r="M29" i="9"/>
  <c r="N29" i="9"/>
  <c r="J23" i="11"/>
  <c r="J20" i="11"/>
  <c r="O29" i="9"/>
  <c r="G30" i="9"/>
  <c r="H30" i="9"/>
  <c r="I30" i="9"/>
  <c r="J30" i="9"/>
  <c r="K30" i="9"/>
  <c r="L30" i="9"/>
  <c r="M30" i="9"/>
  <c r="N30" i="9"/>
  <c r="J24" i="11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J26" i="11"/>
  <c r="O32" i="9"/>
  <c r="G33" i="9"/>
  <c r="H33" i="9"/>
  <c r="I33" i="9"/>
  <c r="J33" i="9"/>
  <c r="K33" i="9"/>
  <c r="L33" i="9"/>
  <c r="M33" i="9"/>
  <c r="N33" i="9"/>
  <c r="J27" i="11"/>
  <c r="O33" i="9"/>
  <c r="G36" i="9"/>
  <c r="K36" i="9"/>
  <c r="L36" i="9"/>
  <c r="M36" i="9"/>
  <c r="N36" i="9"/>
  <c r="J28" i="11"/>
  <c r="O36" i="9"/>
  <c r="G37" i="9"/>
  <c r="K37" i="9"/>
  <c r="L37" i="9"/>
  <c r="M37" i="9"/>
  <c r="N37" i="9"/>
  <c r="J29" i="11"/>
  <c r="O37" i="9"/>
  <c r="G39" i="9"/>
  <c r="K39" i="9"/>
  <c r="L39" i="9"/>
  <c r="M39" i="9"/>
  <c r="N39" i="9"/>
  <c r="J30" i="11"/>
  <c r="O39" i="9"/>
  <c r="G38" i="9"/>
  <c r="K38" i="9"/>
  <c r="L38" i="9"/>
  <c r="M38" i="9"/>
  <c r="N38" i="9"/>
  <c r="J31" i="11"/>
  <c r="O38" i="9"/>
  <c r="G40" i="9"/>
  <c r="K40" i="9"/>
  <c r="L40" i="9"/>
  <c r="M40" i="9"/>
  <c r="N40" i="9"/>
  <c r="J32" i="11"/>
  <c r="O40" i="9"/>
  <c r="G41" i="9"/>
  <c r="H41" i="9"/>
  <c r="I41" i="9"/>
  <c r="J41" i="9"/>
  <c r="K41" i="9"/>
  <c r="L41" i="9"/>
  <c r="M41" i="9"/>
  <c r="N41" i="9"/>
  <c r="O41" i="9"/>
  <c r="G42" i="9"/>
  <c r="H42" i="9"/>
  <c r="I42" i="9"/>
  <c r="J42" i="9"/>
  <c r="K42" i="9"/>
  <c r="L42" i="9"/>
  <c r="M42" i="9"/>
  <c r="N42" i="9"/>
  <c r="J34" i="11"/>
  <c r="O42" i="9"/>
  <c r="G43" i="9"/>
  <c r="H43" i="9"/>
  <c r="I43" i="9"/>
  <c r="J43" i="9"/>
  <c r="K43" i="9"/>
  <c r="L43" i="9"/>
  <c r="M43" i="9"/>
  <c r="N43" i="9"/>
  <c r="J35" i="11"/>
  <c r="O43" i="9"/>
  <c r="J36" i="11"/>
  <c r="G45" i="9"/>
  <c r="H45" i="9"/>
  <c r="I45" i="9"/>
  <c r="J45" i="9"/>
  <c r="K45" i="9"/>
  <c r="L45" i="9"/>
  <c r="M45" i="9"/>
  <c r="N45" i="9"/>
  <c r="J37" i="11"/>
  <c r="O45" i="9"/>
  <c r="G46" i="9"/>
  <c r="H46" i="9"/>
  <c r="I46" i="9"/>
  <c r="J46" i="9"/>
  <c r="K46" i="9"/>
  <c r="L46" i="9"/>
  <c r="M46" i="9"/>
  <c r="N46" i="9"/>
  <c r="J38" i="11"/>
  <c r="O46" i="9"/>
  <c r="G47" i="9"/>
  <c r="H47" i="9"/>
  <c r="I47" i="9"/>
  <c r="J47" i="9"/>
  <c r="K47" i="9"/>
  <c r="L47" i="9"/>
  <c r="M47" i="9"/>
  <c r="N47" i="9"/>
  <c r="J39" i="11"/>
  <c r="O47" i="9"/>
  <c r="G48" i="9"/>
  <c r="H48" i="9"/>
  <c r="I48" i="9"/>
  <c r="J48" i="9"/>
  <c r="K48" i="9"/>
  <c r="L48" i="9"/>
  <c r="M48" i="9"/>
  <c r="N48" i="9"/>
  <c r="J40" i="11"/>
  <c r="O48" i="9"/>
  <c r="G49" i="9"/>
  <c r="H49" i="9"/>
  <c r="I49" i="9"/>
  <c r="J49" i="9"/>
  <c r="K49" i="9"/>
  <c r="L49" i="9"/>
  <c r="M49" i="9"/>
  <c r="N49" i="9"/>
  <c r="J41" i="11"/>
  <c r="O49" i="9"/>
  <c r="G50" i="9"/>
  <c r="H50" i="9"/>
  <c r="I50" i="9"/>
  <c r="J50" i="9"/>
  <c r="K50" i="9"/>
  <c r="L50" i="9"/>
  <c r="M50" i="9"/>
  <c r="N50" i="9"/>
  <c r="J42" i="11"/>
  <c r="O50" i="9"/>
  <c r="G52" i="9"/>
  <c r="H52" i="9"/>
  <c r="I52" i="9"/>
  <c r="J52" i="9"/>
  <c r="K52" i="9"/>
  <c r="L52" i="9"/>
  <c r="M52" i="9"/>
  <c r="N52" i="9"/>
  <c r="J43" i="11"/>
  <c r="O52" i="9"/>
  <c r="G51" i="9"/>
  <c r="H51" i="9"/>
  <c r="I51" i="9"/>
  <c r="J51" i="9"/>
  <c r="K51" i="9"/>
  <c r="L51" i="9"/>
  <c r="M51" i="9"/>
  <c r="N51" i="9"/>
  <c r="O51" i="9"/>
  <c r="G53" i="9"/>
  <c r="H53" i="9"/>
  <c r="I53" i="9"/>
  <c r="J53" i="9"/>
  <c r="K53" i="9"/>
  <c r="L53" i="9"/>
  <c r="M53" i="9"/>
  <c r="N53" i="9"/>
  <c r="O53" i="9"/>
  <c r="G54" i="9"/>
  <c r="H54" i="9"/>
  <c r="I54" i="9"/>
  <c r="J54" i="9"/>
  <c r="K54" i="9"/>
  <c r="L54" i="9"/>
  <c r="M54" i="9"/>
  <c r="N54" i="9"/>
  <c r="O54" i="9"/>
  <c r="A32" i="9"/>
  <c r="D32" i="9"/>
  <c r="E32" i="9"/>
  <c r="A54" i="9"/>
  <c r="D54" i="9"/>
  <c r="E54" i="9"/>
  <c r="A5" i="9"/>
  <c r="D5" i="9"/>
  <c r="E5" i="9"/>
  <c r="A6" i="9"/>
  <c r="D6" i="9"/>
  <c r="E6" i="9"/>
  <c r="A7" i="9"/>
  <c r="D7" i="9"/>
  <c r="E7" i="9"/>
  <c r="A8" i="9"/>
  <c r="D8" i="9"/>
  <c r="E8" i="9"/>
  <c r="A9" i="9"/>
  <c r="D9" i="9"/>
  <c r="E9" i="9"/>
  <c r="A10" i="9"/>
  <c r="D10" i="9"/>
  <c r="E10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3" i="9"/>
  <c r="D23" i="9"/>
  <c r="E23" i="9"/>
  <c r="A27" i="9"/>
  <c r="D27" i="9"/>
  <c r="E27" i="9"/>
  <c r="A28" i="9"/>
  <c r="D28" i="9"/>
  <c r="E28" i="9"/>
  <c r="A29" i="9"/>
  <c r="D29" i="9"/>
  <c r="E29" i="9"/>
  <c r="A30" i="9"/>
  <c r="D30" i="9"/>
  <c r="E30" i="9"/>
  <c r="A31" i="9"/>
  <c r="D31" i="9"/>
  <c r="E31" i="9"/>
  <c r="A33" i="9"/>
  <c r="D33" i="9"/>
  <c r="E33" i="9"/>
  <c r="A36" i="9"/>
  <c r="D36" i="9"/>
  <c r="E36" i="9"/>
  <c r="A37" i="9"/>
  <c r="D37" i="9"/>
  <c r="E37" i="9"/>
  <c r="A39" i="9"/>
  <c r="D39" i="9"/>
  <c r="E39" i="9"/>
  <c r="A38" i="9"/>
  <c r="D38" i="9"/>
  <c r="E38" i="9"/>
  <c r="A40" i="9"/>
  <c r="D40" i="9"/>
  <c r="E40" i="9"/>
  <c r="A41" i="9"/>
  <c r="D41" i="9"/>
  <c r="E41" i="9"/>
  <c r="A42" i="9"/>
  <c r="D42" i="9"/>
  <c r="E42" i="9"/>
  <c r="A43" i="9"/>
  <c r="D43" i="9"/>
  <c r="E43" i="9"/>
  <c r="A45" i="9"/>
  <c r="D45" i="9"/>
  <c r="E45" i="9"/>
  <c r="A46" i="9"/>
  <c r="D46" i="9"/>
  <c r="E46" i="9"/>
  <c r="A47" i="9"/>
  <c r="D47" i="9"/>
  <c r="E47" i="9"/>
  <c r="A48" i="9"/>
  <c r="D48" i="9"/>
  <c r="E48" i="9"/>
  <c r="A49" i="9"/>
  <c r="D49" i="9"/>
  <c r="E49" i="9"/>
  <c r="A50" i="9"/>
  <c r="D50" i="9"/>
  <c r="E50" i="9"/>
  <c r="A52" i="9"/>
  <c r="D52" i="9"/>
  <c r="E52" i="9"/>
  <c r="A51" i="9"/>
  <c r="D51" i="9"/>
  <c r="E51" i="9"/>
  <c r="A53" i="9"/>
  <c r="D53" i="9"/>
  <c r="E53" i="9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D4" i="9"/>
  <c r="E4" i="9"/>
  <c r="G4" i="9"/>
  <c r="H4" i="9"/>
  <c r="I4" i="9"/>
  <c r="J4" i="9"/>
  <c r="K4" i="9"/>
  <c r="L4" i="9"/>
  <c r="M4" i="9"/>
  <c r="N4" i="9"/>
  <c r="J2" i="11"/>
  <c r="O4" i="9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W3" i="7"/>
  <c r="W4" i="7"/>
  <c r="W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A3" i="7"/>
  <c r="D3" i="7"/>
  <c r="E3" i="7"/>
  <c r="F3" i="7"/>
  <c r="H3" i="7"/>
  <c r="I3" i="7"/>
  <c r="J3" i="7"/>
  <c r="N3" i="7"/>
  <c r="O3" i="7"/>
  <c r="P3" i="7"/>
  <c r="Q3" i="7"/>
  <c r="R3" i="7"/>
  <c r="A4" i="7"/>
  <c r="D4" i="7"/>
  <c r="E4" i="7"/>
  <c r="F4" i="7"/>
  <c r="H4" i="7"/>
  <c r="I4" i="7"/>
  <c r="J4" i="7"/>
  <c r="N4" i="7"/>
  <c r="O4" i="7"/>
  <c r="P4" i="7"/>
  <c r="Q4" i="7"/>
  <c r="R4" i="7"/>
  <c r="V2" i="1"/>
  <c r="V3" i="1"/>
  <c r="V4" i="1"/>
  <c r="V5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4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<sst xmlns="http://schemas.openxmlformats.org/spreadsheetml/2006/main" count="891" uniqueCount="365">
  <si>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</si>
  <si>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</si>
  <si>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</si>
  <si>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</si>
  <si>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</si>
  <si>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</si>
  <si>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</si>
  <si>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</si>
  <si>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</si>
  <si>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</si>
  <si>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</si>
  <si>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</si>
  <si>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</si>
  <si>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</si>
  <si>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</si>
  <si>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</si>
  <si>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</si>
  <si>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</si>
  <si>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</si>
  <si>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</si>
  <si>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</si>
  <si>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</si>
  <si>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</si>
  <si>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</si>
  <si>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</si>
  <si>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</si>
  <si>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</si>
  <si>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</si>
  <si>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</si>
  <si>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</si>
  <si>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</si>
  <si>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</si>
  <si>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</si>
  <si>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</si>
  <si>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</si>
  <si>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</si>
  <si>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</si>
  <si>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</si>
  <si>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</si>
  <si>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</si>
  <si>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</si>
  <si>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</si>
  <si>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</si>
  <si>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</si>
  <si>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</si>
  <si>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</si>
  <si>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</si>
  <si>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</si>
  <si>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</si>
  <si>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</si>
  <si>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</si>
  <si>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</si>
  <si>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</si>
  <si>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</si>
  <si>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</si>
  <si>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</si>
  <si>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</si>
  <si>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</si>
  <si>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</si>
  <si>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</si>
  <si>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</si>
  <si>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</si>
  <si>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</si>
  <si>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</si>
  <si>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</si>
  <si>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</si>
  <si>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</si>
  <si>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</si>
  <si>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</si>
  <si>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</si>
  <si>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</si>
  <si>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</si>
  <si>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</si>
  <si>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</si>
  <si>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</si>
  <si>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</si>
  <si>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</si>
  <si>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</si>
  <si>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</si>
  <si>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</si>
  <si>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</si>
  <si>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</si>
  <si>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</si>
  <si>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</si>
  <si>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</si>
  <si>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</si>
  <si>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</si>
  <si>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</si>
  <si>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</si>
  <si>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</si>
  <si>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</si>
  <si>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</si>
  <si>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</si>
  <si>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</si>
  <si>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</si>
  <si>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</si>
  <si>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</si>
  <si>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</si>
  <si>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</si>
  <si>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</si>
  <si>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</si>
  <si>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</si>
  <si>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</si>
  <si>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</si>
  <si>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</si>
  <si>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</si>
  <si>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</si>
  <si>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</si>
  <si>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</si>
  <si>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</si>
  <si>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</si>
  <si>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</si>
  <si>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</si>
  <si>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</si>
  <si>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</si>
  <si>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</si>
  <si>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</si>
  <si>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</si>
  <si>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</si>
  <si>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</si>
  <si>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</si>
  <si>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</si>
  <si>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</si>
  <si>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</si>
  <si>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</si>
  <si>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</si>
  <si>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</si>
  <si>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</si>
  <si>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</si>
  <si>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</si>
  <si>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</si>
  <si>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</si>
  <si>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</si>
  <si>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</si>
  <si>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</si>
  <si>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</si>
  <si>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</si>
  <si>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</si>
  <si>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</si>
  <si>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</si>
  <si>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</si>
  <si>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</si>
  <si>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</si>
  <si>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</si>
  <si>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</si>
  <si>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</si>
  <si>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</si>
  <si>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</si>
  <si>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</si>
  <si>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</si>
  <si>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</si>
  <si>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</si>
  <si>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</si>
  <si>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</si>
  <si>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</si>
  <si>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</si>
  <si>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</si>
  <si>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</si>
  <si>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</si>
  <si>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</si>
  <si>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</si>
  <si>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</si>
  <si>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</si>
  <si>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</si>
  <si>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</si>
  <si>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</si>
  <si>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</si>
  <si>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</si>
  <si>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</si>
  <si>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</si>
  <si>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</si>
  <si>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</si>
  <si>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</si>
  <si>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</si>
  <si>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</si>
  <si>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</si>
  <si>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</si>
  <si>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</si>
  <si>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</si>
  <si>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</si>
  <si>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</si>
  <si>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</si>
  <si>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</si>
  <si>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</si>
  <si>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</si>
  <si>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</si>
  <si>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</si>
  <si>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</si>
  <si>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</si>
  <si>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</si>
  <si>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</si>
  <si>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</si>
  <si>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</si>
  <si>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</si>
  <si>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</si>
  <si>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</si>
  <si>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</si>
  <si>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</si>
  <si>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</si>
  <si>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</si>
  <si>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</si>
  <si>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</si>
  <si>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</si>
  <si>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</si>
  <si>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</si>
  <si>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</si>
  <si>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</si>
  <si>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</si>
  <si>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</si>
  <si>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</si>
  <si>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</si>
  <si>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</si>
  <si>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</si>
  <si>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全体攻撃</t>
    <rPh sb="0" eb="4">
      <t>ゼンタイコウゲキ</t>
    </rPh>
    <phoneticPr fontId="5"/>
  </si>
  <si>
    <t>ハート以外プロテクト</t>
    <rPh sb="3" eb="5">
      <t>イガイ</t>
    </rPh>
    <phoneticPr fontId="5"/>
  </si>
  <si>
    <t>クリティカル</t>
    <phoneticPr fontId="5"/>
  </si>
  <si>
    <t>null</t>
  </si>
  <si>
    <t>[effect:dark, target:unit_all, turn:1, animation:enemy_dark]</t>
    <phoneticPr fontId="5"/>
  </si>
  <si>
    <t>[effect:dis_heart, turn:1, animation:enemy_dis_heart]</t>
    <phoneticPr fontId="5"/>
  </si>
  <si>
    <t>[effect:spread, val:0.3]</t>
    <phoneticPr fontId="5"/>
  </si>
  <si>
    <t>[effect:rush, count:3, val:0.4]</t>
    <phoneticPr fontId="5"/>
  </si>
  <si>
    <t>[effect:rush, count:1, val:1]</t>
    <phoneticPr fontId="5"/>
  </si>
  <si>
    <t>[effect:rush, count:1, val:1]</t>
    <phoneticPr fontId="5"/>
  </si>
  <si>
    <t>[effect:rush, count:1, val:1]</t>
    <phoneticPr fontId="5"/>
  </si>
  <si>
    <t>[effect:change_block, new_block:jammer, target:block_all, count:5, val:0, animation:change_block],[effect:rush, count:1, val:1]</t>
    <phoneticPr fontId="5"/>
  </si>
  <si>
    <t>[effect:change_block, new_block:jammer, target:block_all, count:3, val:0, animation:change_block],[effect:rush, count:1, val:1]</t>
    <phoneticPr fontId="5"/>
  </si>
  <si>
    <t>[effect:dark, target:unit_all, turn:1, animation:enemy_dark]</t>
    <phoneticPr fontId="5"/>
  </si>
  <si>
    <t>[effect:critical, val:1.4]</t>
    <phoneticPr fontId="5"/>
  </si>
  <si>
    <t>[effect:rush, count:1, val:1]</t>
    <phoneticPr fontId="5"/>
  </si>
  <si>
    <t>[effect:spread, val:0.3]</t>
    <phoneticPr fontId="5"/>
  </si>
  <si>
    <t>[effect:degrade_unit, target:unit_all, turn:1, status:attack, val:1, calc:mul],[effect:change_block,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t>
    <phoneticPr fontId="5"/>
  </si>
  <si>
    <t>ja</t>
    <phoneticPr fontId="5"/>
  </si>
  <si>
    <t>[effect:spread, val:0.25]</t>
    <phoneticPr fontId="5"/>
  </si>
  <si>
    <t>[effect:hungup, target:unit_one, turn:1, rate:1, animation:hungup01],[effect:rush, count:1, val:0.8]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</si>
  <si>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</si>
  <si>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</si>
  <si>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</si>
  <si>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</si>
  <si>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[effect:critical, val:1.6]</t>
    <phoneticPr fontId="5"/>
  </si>
  <si>
    <t>[effect:critical, val:1.6]</t>
    <phoneticPr fontId="5"/>
  </si>
  <si>
    <t>[effect:change_block, new_block:time_bomb, target:block_all, count:5, val:0.2, min_time_count:1, max_time_count:1, animation:change_block],[effect:rush, count:1, val:1]</t>
    <phoneticPr fontId="5"/>
  </si>
  <si>
    <t>[effect:rush, count:1, val:1]</t>
    <phoneticPr fontId="5"/>
  </si>
  <si>
    <t>[effect:critical, val:1.3]</t>
    <phoneticPr fontId="5"/>
  </si>
  <si>
    <t xml:space="preserve">[effect:enhance_enemy, target:enemy_all, turn:-1, status:attack, val:0.2, calc:mul, animation:enemy_enhance_attack],[effect:fix_speed, target:myself, turn:2]    </t>
    <phoneticPr fontId="5"/>
  </si>
  <si>
    <t xml:space="preserve">[effect:critical, val:1.3],[effect:fix_speed, target:myself, turn:1]    </t>
    <phoneticPr fontId="5"/>
  </si>
  <si>
    <t>[effect:damage_anti_tribe, target:unit_all, tribe:human, val1:0.2, val2:1.5]</t>
    <phoneticPr fontId="5"/>
  </si>
  <si>
    <t>[effect:change_block, new_block:jammer, target:block_red, count:5, val:0, animation:change_block],[effect:change_block,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t>
    <phoneticPr fontId="5"/>
  </si>
  <si>
    <t>[effect:enemy_counter, target:myself, invoke_condition:unit_all, counter_target:attacker, turn:-1, val:0.1, animation:enemy_counter],[effect:fix_speed, target:myself, turn:1]</t>
    <phoneticPr fontId="5"/>
  </si>
  <si>
    <t xml:space="preserve">[effect:spread, val:0.1],[effect:enhance_enemy, target:enemy_all, turn:-1, status:attack, val:1, calc:add, animation:enemy_enhance_attack],,[effect:fix_speed, target:myself, turn:2]    </t>
    <phoneticPr fontId="5"/>
  </si>
  <si>
    <t xml:space="preserve">[effect:tolerance, target:myself, turn:-1, tolerance_effect:all, count:-1, animation:enemy_tolerance],[effect:fix_speed, target:myself, turn:2]    </t>
    <phoneticPr fontId="5"/>
  </si>
  <si>
    <t>[effect:dis_panel, target:block_red, turn:1],[effect:dis_panel, target:block_yellow, turn:1]</t>
    <phoneticPr fontId="5"/>
  </si>
  <si>
    <t>[effect:dis_panel, target:block_green, turn:1],[effect:dis_panel, target:block_blue, turn:1]</t>
    <phoneticPr fontId="5"/>
  </si>
  <si>
    <t>[effect:damage_anti_tribe, target:unit_all, tribe:human, val1:0.1, val2:0.9]</t>
    <phoneticPr fontId="5"/>
  </si>
  <si>
    <t>[effect:change_block, new_block:time_bomb, target:block_all, count:3, val:0.2, min_time_count:1, max_time_count:1, animation:change_block],[effect:rush, count:1, val:1]</t>
    <phoneticPr fontId="5"/>
  </si>
  <si>
    <t>[effect:critical, val:1.6]</t>
    <phoneticPr fontId="5"/>
  </si>
  <si>
    <t>状態異常無効</t>
    <rPh sb="0" eb="4">
      <t>ジョウタイイジョウ</t>
    </rPh>
    <rPh sb="4" eb="6">
      <t>ムコウ</t>
    </rPh>
    <phoneticPr fontId="5"/>
  </si>
  <si>
    <t>3連続攻撃</t>
    <rPh sb="1" eb="5">
      <t>レンゾクコウゲキ</t>
    </rPh>
    <phoneticPr fontId="5"/>
  </si>
  <si>
    <t>クリティカル！</t>
    <phoneticPr fontId="5"/>
  </si>
  <si>
    <t>攻撃力UP＋先制攻撃</t>
    <rPh sb="0" eb="3">
      <t>コウゲキリョクアッp</t>
    </rPh>
    <rPh sb="6" eb="10">
      <t>センセイコウゲキ</t>
    </rPh>
    <phoneticPr fontId="5"/>
  </si>
  <si>
    <t>久保</t>
    <rPh sb="0" eb="2">
      <t>クボ</t>
    </rPh>
    <phoneticPr fontId="5"/>
  </si>
  <si>
    <t>いざや1ゲージ目</t>
    <rPh sb="7" eb="8">
      <t>メ</t>
    </rPh>
    <phoneticPr fontId="5"/>
  </si>
  <si>
    <t>いざや2ゲージ目</t>
    <rPh sb="7" eb="8">
      <t>メ</t>
    </rPh>
    <phoneticPr fontId="5"/>
  </si>
  <si>
    <t>退屈です。</t>
  </si>
  <si>
    <t>弱小すぎです。</t>
  </si>
  <si>
    <t>危険危険危険危険！</t>
  </si>
  <si>
    <t>あなたの強さを確かめます。</t>
  </si>
  <si>
    <t>・・・否定します。</t>
  </si>
  <si>
    <t>沈黙してください。</t>
  </si>
  <si>
    <t>ヘイ！サーモン一丁！</t>
  </si>
  <si>
    <t>ヘイ！イクラ一丁！</t>
  </si>
  <si>
    <t>ヘイ！コハダ一丁！</t>
  </si>
  <si>
    <t>ヘイ！大トロ一丁！</t>
  </si>
  <si>
    <t>ハラショー！！</t>
  </si>
  <si>
    <t>暴力ヨクナイヨ！</t>
  </si>
  <si>
    <t>サービスしとくヨ</t>
  </si>
  <si>
    <t>もうイッチョいくヨ！</t>
  </si>
  <si>
    <t>お腹空いてるカ？</t>
  </si>
  <si>
    <t>お腹一杯ナッタ？</t>
  </si>
  <si>
    <t>こんなのでやられないよね？</t>
  </si>
  <si>
    <t>要らないからあげるよ</t>
  </si>
  <si>
    <t>うーん、微妙！</t>
  </si>
  <si>
    <t>良くないねぇ実に良くない</t>
  </si>
  <si>
    <t>手加減してあげるよ</t>
  </si>
  <si>
    <t>いいねいいねぇ！</t>
  </si>
  <si>
    <t>痛いかな？痛いよね〜</t>
  </si>
  <si>
    <t>ご苦労様だねぇ</t>
  </si>
  <si>
    <t>まぁ頑張ってよ</t>
  </si>
  <si>
    <t>まったく、やだなぁ</t>
  </si>
  <si>
    <t>はい、パーンッ！！！</t>
  </si>
  <si>
    <t>いいねぇ実にいい！！！</t>
  </si>
  <si>
    <t>ja</t>
    <phoneticPr fontId="5"/>
  </si>
  <si>
    <t>null</t>
    <phoneticPr fontId="5"/>
  </si>
  <si>
    <t>はいっ王手</t>
    <rPh sb="3" eb="5">
      <t>oute</t>
    </rPh>
    <phoneticPr fontId="5"/>
  </si>
  <si>
    <t>クリティカル！</t>
    <phoneticPr fontId="5"/>
  </si>
  <si>
    <t>[effect:panel_freeze, target:block_red,count:1, break_count:1],[effect:panel_freeze, target:block_green,count:1, break_count:1],[effect:panel_freeze, target:block_yellow,count:1, break_count:1],[effect:panel_freeze, target:block_blue,count:1, break_count:1],[effect:rush, count:1, val:1]</t>
    <phoneticPr fontId="5"/>
  </si>
  <si>
    <t>セルティによってロックされたパネルでも
Cパネルを作れば攻撃できます
ロックに惑わされずにパネルを繋げましょう</t>
    <rPh sb="25" eb="26">
      <t>ツク</t>
    </rPh>
    <rPh sb="28" eb="30">
      <t>コウゲキ</t>
    </rPh>
    <rPh sb="39" eb="40">
      <t>マド</t>
    </rPh>
    <rPh sb="49" eb="50">
      <t>ツナ</t>
    </rPh>
    <phoneticPr fontId="5"/>
  </si>
  <si>
    <t>ヴァローナはランダムに攻撃をします
どんな攻撃がきても耐えられるように
回復に気をつけながら戦いましょう</t>
    <rPh sb="11" eb="13">
      <t>コウゲキ</t>
    </rPh>
    <rPh sb="21" eb="23">
      <t>コウゲキ</t>
    </rPh>
    <rPh sb="27" eb="32">
      <t>taerareru</t>
    </rPh>
    <rPh sb="36" eb="38">
      <t>カイフク</t>
    </rPh>
    <rPh sb="39" eb="40">
      <t>キ</t>
    </rPh>
    <rPh sb="46" eb="47">
      <t>タタカ</t>
    </rPh>
    <phoneticPr fontId="5"/>
  </si>
  <si>
    <t>サイモンは2ゲージ目から強くなります
1ゲージ目で態勢を整えましょう</t>
    <rPh sb="9" eb="10">
      <t>メ</t>
    </rPh>
    <rPh sb="12" eb="13">
      <t>ツヨ</t>
    </rPh>
    <rPh sb="23" eb="24">
      <t>メ</t>
    </rPh>
    <rPh sb="25" eb="27">
      <t>タイセイ</t>
    </rPh>
    <rPh sb="28" eb="29">
      <t>トトノ</t>
    </rPh>
    <phoneticPr fontId="5"/>
  </si>
  <si>
    <t>サイモンは2ゲージ目のHPが半分になると
とても強力な溜め攻撃をします
溜めている間に倒しましょう</t>
    <rPh sb="9" eb="10">
      <t>メ</t>
    </rPh>
    <rPh sb="14" eb="16">
      <t>ハンブン</t>
    </rPh>
    <rPh sb="24" eb="26">
      <t>キョウリョク</t>
    </rPh>
    <rPh sb="27" eb="28">
      <t>タ</t>
    </rPh>
    <rPh sb="29" eb="31">
      <t>コウゲキ</t>
    </rPh>
    <rPh sb="36" eb="37">
      <t>タ</t>
    </rPh>
    <rPh sb="41" eb="42">
      <t>アイダ</t>
    </rPh>
    <rPh sb="43" eb="44">
      <t>タオ</t>
    </rPh>
    <phoneticPr fontId="5"/>
  </si>
  <si>
    <t>[effect:panel_freeze, target:block_red,count:1, break_count:1],[effect:panel_freeze, target:block_green,count:1, break_count:1],[effect:panel_freeze, target:block_yellow,count:1, break_count:1],[effect:panel_freeze, target:block_blue,count:1, break_count:1],[effect:rush, count:1, val:1]</t>
    <phoneticPr fontId="5"/>
  </si>
  <si>
    <t>折原臨也は1ゲージ目で先制攻撃をします
余裕を持って突入しましょう</t>
    <rPh sb="0" eb="2">
      <t>オリハラ</t>
    </rPh>
    <rPh sb="2" eb="3">
      <t>リンカイ</t>
    </rPh>
    <rPh sb="3" eb="4">
      <t>ヤ</t>
    </rPh>
    <rPh sb="9" eb="10">
      <t>メ</t>
    </rPh>
    <rPh sb="11" eb="15">
      <t>センセイコウゲキ</t>
    </rPh>
    <rPh sb="20" eb="22">
      <t>ヨユウ</t>
    </rPh>
    <rPh sb="23" eb="24">
      <t>モ</t>
    </rPh>
    <rPh sb="26" eb="28">
      <t>トツニュウ</t>
    </rPh>
    <phoneticPr fontId="5"/>
  </si>
  <si>
    <t>折原臨也は不規則にスキルを使います
どんなスキルにも対応できるように
慎重に戦いましょう</t>
    <rPh sb="0" eb="2">
      <t>オリハラ</t>
    </rPh>
    <rPh sb="2" eb="3">
      <t>リンカイ</t>
    </rPh>
    <rPh sb="3" eb="4">
      <t>ヤ</t>
    </rPh>
    <rPh sb="5" eb="8">
      <t>フキソク</t>
    </rPh>
    <rPh sb="13" eb="14">
      <t>ツカ</t>
    </rPh>
    <rPh sb="26" eb="28">
      <t>タイオウ</t>
    </rPh>
    <rPh sb="35" eb="37">
      <t>シンチョウ</t>
    </rPh>
    <rPh sb="38" eb="39">
      <t>タタカ</t>
    </rPh>
    <phoneticPr fontId="5"/>
  </si>
  <si>
    <t>折原臨也は2ゲージ目のHPが少なくなると
大量のお邪魔パネルと
時限式ダメージパネルを生成します</t>
    <rPh sb="0" eb="2">
      <t>オリハラ</t>
    </rPh>
    <rPh sb="2" eb="3">
      <t>リンカイ</t>
    </rPh>
    <rPh sb="3" eb="4">
      <t>ヤ</t>
    </rPh>
    <rPh sb="9" eb="10">
      <t>メ</t>
    </rPh>
    <rPh sb="14" eb="15">
      <t>スク</t>
    </rPh>
    <rPh sb="21" eb="23">
      <t>タイリョウ</t>
    </rPh>
    <rPh sb="25" eb="27">
      <t>ジャマ</t>
    </rPh>
    <rPh sb="32" eb="35">
      <t>ジゲンシキ</t>
    </rPh>
    <rPh sb="43" eb="45">
      <t>セイセイ</t>
    </rPh>
    <phoneticPr fontId="5"/>
  </si>
  <si>
    <t>折原臨也は3ゲージ目に先制攻撃として
フィーバーゲージをゼロにしてしまいます</t>
    <rPh sb="0" eb="2">
      <t>オリハラ</t>
    </rPh>
    <rPh sb="2" eb="3">
      <t>リンカイ</t>
    </rPh>
    <rPh sb="3" eb="4">
      <t>ヤ</t>
    </rPh>
    <rPh sb="9" eb="10">
      <t>メ</t>
    </rPh>
    <rPh sb="11" eb="15">
      <t>センセイコウゲキ</t>
    </rPh>
    <phoneticPr fontId="5"/>
  </si>
  <si>
    <t>どーぞお好きに回復すれば？</t>
    <rPh sb="4" eb="5">
      <t>ス</t>
    </rPh>
    <rPh sb="7" eb="9">
      <t>カイフク</t>
    </rPh>
    <phoneticPr fontId="5"/>
  </si>
  <si>
    <t>『お前の心臓を縛ってやる。』</t>
    <rPh sb="2" eb="3">
      <t>マエ</t>
    </rPh>
    <rPh sb="4" eb="6">
      <t>シンゾウ</t>
    </rPh>
    <rPh sb="7" eb="8">
      <t>シバ</t>
    </rPh>
    <phoneticPr fontId="5"/>
  </si>
  <si>
    <t>『お前だ。』</t>
    <rPh sb="2" eb="3">
      <t>マエ</t>
    </rPh>
    <phoneticPr fontId="5"/>
  </si>
  <si>
    <t>『私の影に呑まれろ。』</t>
    <rPh sb="1" eb="2">
      <t>ワタシ</t>
    </rPh>
    <rPh sb="3" eb="4">
      <t>カゲ</t>
    </rPh>
    <rPh sb="5" eb="6">
      <t>ノ</t>
    </rPh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</si>
  <si>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</si>
  <si>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</si>
  <si>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</si>
  <si>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</si>
  <si>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unit</t>
    <phoneticPr fontId="5"/>
  </si>
  <si>
    <t>1ターン攻撃力0＋ハートパネル生成</t>
    <rPh sb="4" eb="7">
      <t>コウゲキリョク</t>
    </rPh>
    <rPh sb="15" eb="17">
      <t>セイセイ</t>
    </rPh>
    <phoneticPr fontId="5"/>
  </si>
  <si>
    <t>このバトル中は常にカウンター状態！[効果小]</t>
    <rPh sb="5" eb="6">
      <t>チュウ</t>
    </rPh>
    <rPh sb="7" eb="8">
      <t>ツネ</t>
    </rPh>
    <rPh sb="14" eb="16">
      <t>ジョウタイ</t>
    </rPh>
    <rPh sb="18" eb="20">
      <t>コウカ</t>
    </rPh>
    <rPh sb="20" eb="21">
      <t>syou</t>
    </rPh>
    <phoneticPr fontId="5"/>
  </si>
  <si>
    <t>攻撃力UP＋2ターン後に強力な攻撃！</t>
    <rPh sb="0" eb="3">
      <t>コウゲキリョク</t>
    </rPh>
    <rPh sb="10" eb="11">
      <t>ゴ</t>
    </rPh>
    <rPh sb="12" eb="14">
      <t>キョウリョク</t>
    </rPh>
    <rPh sb="15" eb="17">
      <t>ダイコウゲキ</t>
    </rPh>
    <phoneticPr fontId="5"/>
  </si>
  <si>
    <t>強力な攻撃！</t>
    <rPh sb="0" eb="2">
      <t>キョウリョク</t>
    </rPh>
    <rPh sb="3" eb="5">
      <t>コウゲキ</t>
    </rPh>
    <phoneticPr fontId="5"/>
  </si>
  <si>
    <t>種族ヒューマン以外に大ダメージ！</t>
    <rPh sb="0" eb="2">
      <t>シュゾク</t>
    </rPh>
    <rPh sb="7" eb="9">
      <t>イガイ</t>
    </rPh>
    <rPh sb="10" eb="11">
      <t>ダイ</t>
    </rPh>
    <phoneticPr fontId="5"/>
  </si>
  <si>
    <t>[effect:rush, count:1, val:1]</t>
    <phoneticPr fontId="5"/>
  </si>
  <si>
    <t xml:space="preserve">[effect:damage_anti_tribe, target:unit_all, tribe:human, val1:0.1, val2:0.9],[effect:fix_speed, target:myself, turn:1]    </t>
    <phoneticPr fontId="5"/>
  </si>
  <si>
    <t>ハートパネル以外をプロテクト</t>
    <rPh sb="6" eb="8">
      <t>イガイ</t>
    </rPh>
    <phoneticPr fontId="5"/>
  </si>
  <si>
    <t>クリティカル！</t>
    <phoneticPr fontId="5"/>
  </si>
  <si>
    <t>状態異常無効</t>
    <rPh sb="0" eb="6">
      <t>ジョウタイイジョウムコウ</t>
    </rPh>
    <phoneticPr fontId="5"/>
  </si>
  <si>
    <t>ランダムでお邪魔パネルに変換</t>
    <rPh sb="6" eb="8">
      <t>ジャマ</t>
    </rPh>
    <rPh sb="12" eb="14">
      <t>ヘンカン</t>
    </rPh>
    <phoneticPr fontId="5"/>
  </si>
  <si>
    <t>ランダムで時限式ダメージパネルに変換</t>
    <rPh sb="5" eb="7">
      <t>jigeン</t>
    </rPh>
    <rPh sb="7" eb="8">
      <t>シキ</t>
    </rPh>
    <rPh sb="16" eb="18">
      <t>ヘンカン</t>
    </rPh>
    <phoneticPr fontId="5"/>
  </si>
  <si>
    <t>状態異常無効＋フィーバーゲージ減少！</t>
    <rPh sb="0" eb="6">
      <t>ジョウタイイジョウムコウ</t>
    </rPh>
    <rPh sb="15" eb="17">
      <t>geンンsyou</t>
    </rPh>
    <phoneticPr fontId="5"/>
  </si>
  <si>
    <t>クリティカル！</t>
    <phoneticPr fontId="5"/>
  </si>
  <si>
    <t>お邪魔パネル＆時限式ダメージパネルに
大量変換！</t>
    <rPh sb="1" eb="3">
      <t>ジャマ</t>
    </rPh>
    <rPh sb="7" eb="10">
      <t>ジゲンシキ</t>
    </rPh>
    <rPh sb="19" eb="23">
      <t>タイリョウヘンカン</t>
    </rPh>
    <phoneticPr fontId="5"/>
  </si>
  <si>
    <t>クリティカル！</t>
    <phoneticPr fontId="5"/>
  </si>
  <si>
    <t>サーモンを突き出された！</t>
    <rPh sb="5" eb="6">
      <t>ツ</t>
    </rPh>
    <rPh sb="7" eb="8">
      <t>ダ</t>
    </rPh>
    <phoneticPr fontId="5"/>
  </si>
  <si>
    <t>イクラを突き出された！</t>
    <rPh sb="4" eb="5">
      <t>ツ</t>
    </rPh>
    <rPh sb="6" eb="7">
      <t>ダ</t>
    </rPh>
    <phoneticPr fontId="5"/>
  </si>
  <si>
    <t>コハダを突き出された！</t>
    <rPh sb="4" eb="5">
      <t>ツ</t>
    </rPh>
    <rPh sb="6" eb="7">
      <t>ダ</t>
    </rPh>
    <phoneticPr fontId="5"/>
  </si>
  <si>
    <t>大トロを突き出された！</t>
    <rPh sb="0" eb="1">
      <t>オオ</t>
    </rPh>
    <rPh sb="4" eb="5">
      <t>ツ</t>
    </rPh>
    <rPh sb="6" eb="7">
      <t>ダ</t>
    </rPh>
    <phoneticPr fontId="5"/>
  </si>
  <si>
    <t>困ったなぁ、見逃してよシズちゃん</t>
    <rPh sb="0" eb="1">
      <t>コマ</t>
    </rPh>
    <rPh sb="6" eb="8">
      <t>ミノガ</t>
    </rPh>
    <phoneticPr fontId="5"/>
  </si>
  <si>
    <t>・・・・・・・・・・？</t>
    <phoneticPr fontId="5"/>
  </si>
  <si>
    <t>全員撃破します。</t>
    <rPh sb="0" eb="2">
      <t>ゼンイン</t>
    </rPh>
    <phoneticPr fontId="5"/>
  </si>
  <si>
    <t>あがりを突き出された！</t>
    <rPh sb="4" eb="5">
      <t>ツ</t>
    </rPh>
    <rPh sb="6" eb="7">
      <t>ダ</t>
    </rPh>
    <phoneticPr fontId="5"/>
  </si>
  <si>
    <t>『この赤を縛ってやろう。』</t>
    <rPh sb="3" eb="4">
      <t>アカ</t>
    </rPh>
    <rPh sb="5" eb="6">
      <t>シバ</t>
    </rPh>
    <phoneticPr fontId="5"/>
  </si>
  <si>
    <t>『緑はいらないだろ？』</t>
    <rPh sb="1" eb="2">
      <t>ミドリ</t>
    </rPh>
    <phoneticPr fontId="5"/>
  </si>
  <si>
    <t>『この鎌で全員裂いてやる！』</t>
    <rPh sb="3" eb="4">
      <t>kama</t>
    </rPh>
    <rPh sb="5" eb="7">
      <t>ゼンイン</t>
    </rPh>
    <rPh sb="7" eb="8">
      <t>サ</t>
    </rPh>
    <phoneticPr fontId="5"/>
  </si>
  <si>
    <t>嘲笑している！</t>
    <rPh sb="0" eb="2">
      <t>チョウショウ</t>
    </rPh>
    <phoneticPr fontId="5"/>
  </si>
  <si>
    <t>鼻で笑っている！</t>
    <rPh sb="0" eb="1">
      <t>ハナ</t>
    </rPh>
    <rPh sb="2" eb="3">
      <t>ワラ</t>
    </rPh>
    <phoneticPr fontId="5"/>
  </si>
  <si>
    <t>楽しそうだ</t>
    <rPh sb="0" eb="1">
      <t>タノ</t>
    </rPh>
    <phoneticPr fontId="5"/>
  </si>
  <si>
    <t>・・・・・・・・・・？</t>
    <phoneticPr fontId="5"/>
  </si>
  <si>
    <t>・・・・・・・・・・。</t>
    <phoneticPr fontId="5"/>
  </si>
  <si>
    <t>・・・・・・・・・・。</t>
    <phoneticPr fontId="5"/>
  </si>
  <si>
    <t>・・・・・・・・・・？</t>
    <phoneticPr fontId="5"/>
  </si>
  <si>
    <t>・・・・・・・・・・！</t>
    <phoneticPr fontId="5"/>
  </si>
  <si>
    <t>『静雄、お前なぜ私に向かって来るんだ・・・？』</t>
    <rPh sb="1" eb="3">
      <t>シズオ</t>
    </rPh>
    <rPh sb="5" eb="6">
      <t>マエ</t>
    </rPh>
    <rPh sb="8" eb="9">
      <t>ワタシ</t>
    </rPh>
    <rPh sb="10" eb="11">
      <t>ム</t>
    </rPh>
    <rPh sb="14" eb="15">
      <t>ク</t>
    </rPh>
    <phoneticPr fontId="5"/>
  </si>
  <si>
    <t>先輩、私をもっと強くしてください。</t>
    <rPh sb="0" eb="2">
      <t>センパイ</t>
    </rPh>
    <rPh sb="3" eb="4">
      <t>ワタシ</t>
    </rPh>
    <rPh sb="8" eb="9">
      <t>ツヨ</t>
    </rPh>
    <phoneticPr fontId="5"/>
  </si>
  <si>
    <t>シズオ、カルシウム不足ネ！</t>
    <rPh sb="9" eb="11">
      <t>ブソク</t>
    </rPh>
    <phoneticPr fontId="5"/>
  </si>
  <si>
    <t>シズオ、喧嘩ヨクナイヨ</t>
    <rPh sb="4" eb="6">
      <t>ケンカ</t>
    </rPh>
    <phoneticPr fontId="5"/>
  </si>
  <si>
    <t>アハハハハハハハ！！！</t>
    <phoneticPr fontId="5"/>
  </si>
  <si>
    <t>君に罪をなすりつけた事、
まだ怒ってるのかな？</t>
    <phoneticPr fontId="5"/>
  </si>
  <si>
    <t>まったく…単細胞の癖に
どうしてあんなに鋭いんだろうねぇ</t>
    <phoneticPr fontId="5"/>
  </si>
  <si>
    <t>これだから俺はｼｽﾞちゃんのこと、大嫌いなんだよ</t>
    <phoneticPr fontId="5"/>
  </si>
  <si>
    <t>『静雄、お前なぜ私に向かって来るんだ・・・？』</t>
    <phoneticPr fontId="5"/>
  </si>
  <si>
    <t>先輩、私をもっと強くしてください。</t>
    <phoneticPr fontId="5"/>
  </si>
  <si>
    <t>困ったなぁ、見逃してよシズちゃん</t>
    <phoneticPr fontId="5"/>
  </si>
  <si>
    <t>相変わらず、馬鹿力だねぇ〜、シズちゃん</t>
    <rPh sb="0" eb="2">
      <t>アイカワラズ</t>
    </rPh>
    <rPh sb="6" eb="8">
      <t>バカ</t>
    </rPh>
    <phoneticPr fontId="5"/>
  </si>
  <si>
    <t>[effect:dark, target:unit_all, turn:1, animation:enemy_dark],[effect:enemy_message, val1:2, val2:2]</t>
    <phoneticPr fontId="5"/>
  </si>
  <si>
    <t>[effect:tolerance, target:myself, turn:-1, tolerance_effect:all, count:-1, animation:enemy_tolerance],[effect:fix_speed, target:myself, turn:2],[effect:enemy_message, val1:2, val2:2]</t>
    <phoneticPr fontId="5"/>
  </si>
  <si>
    <t>[effect:tolerance, target:myself, turn:-1, tolerance_effect:all, count:-1, animation:enemy_tolerance],[effect:degrade_fever, val:1000, animation:fevergauge_down],[effect:freq_turn, target:myself, turn:-1, val:1, animation:enemy_freq_turn],[effect:enemy_message, val1:2, val2:2]</t>
    <phoneticPr fontId="5"/>
  </si>
  <si>
    <t>[effect:enemy_message, val1:2, val2:2, dead_type:suicide]</t>
    <phoneticPr fontId="5"/>
  </si>
  <si>
    <t>skip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</si>
</sst>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94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9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31" borderId="7" xfId="0" applyFont="1" applyFill="1" applyBorder="1" applyAlignment="1">
      <alignment vertical="center"/>
    </xf>
    <xf numFmtId="0" fontId="11" fillId="31" borderId="10" xfId="0" applyFont="1" applyFill="1" applyBorder="1" applyAlignment="1">
      <alignment vertical="center"/>
    </xf>
    <xf numFmtId="0" fontId="11" fillId="31" borderId="12" xfId="0" applyFont="1" applyFill="1" applyBorder="1" applyAlignment="1">
      <alignment vertical="center"/>
    </xf>
    <xf numFmtId="0" fontId="11" fillId="31" borderId="23" xfId="0" applyFont="1" applyFill="1" applyBorder="1" applyAlignment="1">
      <alignment vertical="center"/>
    </xf>
    <xf numFmtId="0" fontId="11" fillId="13" borderId="7" xfId="0" applyFont="1" applyFill="1" applyBorder="1" applyAlignment="1">
      <alignment vertical="center"/>
    </xf>
    <xf numFmtId="0" fontId="16" fillId="3" borderId="8" xfId="0" applyFont="1" applyFill="1" applyBorder="1" applyAlignment="1">
      <alignment horizontal="left" vertical="center"/>
    </xf>
    <xf numFmtId="0" fontId="16" fillId="3" borderId="10" xfId="0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16" fillId="3" borderId="25" xfId="0" applyFont="1" applyFill="1" applyBorder="1" applyAlignment="1">
      <alignment vertical="center"/>
    </xf>
    <xf numFmtId="0" fontId="16" fillId="3" borderId="26" xfId="0" applyFont="1" applyFill="1" applyBorder="1" applyAlignment="1">
      <alignment vertical="center"/>
    </xf>
    <xf numFmtId="0" fontId="11" fillId="0" borderId="27" xfId="0" applyFont="1" applyBorder="1" applyAlignment="1">
      <alignment vertical="center"/>
    </xf>
    <xf numFmtId="0" fontId="16" fillId="3" borderId="28" xfId="0" applyFont="1" applyFill="1" applyBorder="1" applyAlignment="1">
      <alignment vertical="center"/>
    </xf>
    <xf numFmtId="0" fontId="11" fillId="0" borderId="29" xfId="0" applyFont="1" applyBorder="1" applyAlignment="1">
      <alignment vertical="center"/>
    </xf>
    <xf numFmtId="0" fontId="16" fillId="3" borderId="30" xfId="0" applyFont="1" applyFill="1" applyBorder="1" applyAlignment="1">
      <alignment vertical="center"/>
    </xf>
    <xf numFmtId="0" fontId="16" fillId="3" borderId="31" xfId="0" applyFont="1" applyFill="1" applyBorder="1" applyAlignment="1">
      <alignment vertical="center"/>
    </xf>
    <xf numFmtId="14" fontId="16" fillId="0" borderId="7" xfId="0" applyNumberFormat="1" applyFont="1" applyFill="1" applyBorder="1" applyAlignment="1">
      <alignment vertical="center"/>
    </xf>
    <xf numFmtId="0" fontId="11" fillId="0" borderId="32" xfId="0" applyFont="1" applyBorder="1" applyAlignment="1">
      <alignment vertical="center"/>
    </xf>
    <xf numFmtId="0" fontId="16" fillId="3" borderId="3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vertical="center"/>
    </xf>
    <xf numFmtId="0" fontId="14" fillId="7" borderId="33" xfId="0" applyFont="1" applyFill="1" applyBorder="1" applyAlignment="1">
      <alignment vertical="center"/>
    </xf>
    <xf numFmtId="0" fontId="11" fillId="0" borderId="34" xfId="0" applyFont="1" applyBorder="1" applyAlignment="1">
      <alignment vertical="center"/>
    </xf>
    <xf numFmtId="0" fontId="16" fillId="3" borderId="34" xfId="0" applyFont="1" applyFill="1" applyBorder="1" applyAlignment="1">
      <alignment horizontal="left" vertical="center"/>
    </xf>
    <xf numFmtId="0" fontId="11" fillId="0" borderId="35" xfId="0" applyFont="1" applyBorder="1" applyAlignment="1">
      <alignment vertical="center"/>
    </xf>
    <xf numFmtId="0" fontId="16" fillId="3" borderId="35" xfId="0" applyFont="1" applyFill="1" applyBorder="1" applyAlignment="1">
      <alignment vertical="center"/>
    </xf>
    <xf numFmtId="0" fontId="16" fillId="3" borderId="34" xfId="0" applyFont="1" applyFill="1" applyBorder="1" applyAlignment="1">
      <alignment vertical="center"/>
    </xf>
    <xf numFmtId="0" fontId="16" fillId="0" borderId="34" xfId="0" applyFont="1" applyFill="1" applyBorder="1" applyAlignment="1">
      <alignment vertical="center"/>
    </xf>
    <xf numFmtId="14" fontId="16" fillId="0" borderId="34" xfId="0" applyNumberFormat="1" applyFont="1" applyFill="1" applyBorder="1" applyAlignment="1">
      <alignment vertical="center"/>
    </xf>
    <xf numFmtId="0" fontId="16" fillId="0" borderId="33" xfId="0" applyFont="1" applyBorder="1" applyAlignment="1">
      <alignment vertical="center"/>
    </xf>
    <xf numFmtId="0" fontId="16" fillId="3" borderId="36" xfId="0" applyFont="1" applyFill="1" applyBorder="1" applyAlignment="1">
      <alignment horizontal="left" vertical="center"/>
    </xf>
    <xf numFmtId="0" fontId="11" fillId="0" borderId="37" xfId="0" applyFont="1" applyBorder="1" applyAlignment="1">
      <alignment vertical="center"/>
    </xf>
    <xf numFmtId="0" fontId="16" fillId="3" borderId="38" xfId="0" applyFont="1" applyFill="1" applyBorder="1" applyAlignment="1">
      <alignment vertical="center"/>
    </xf>
    <xf numFmtId="0" fontId="16" fillId="3" borderId="39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27" fillId="33" borderId="7" xfId="0" applyFont="1" applyFill="1" applyBorder="1"/>
    <xf numFmtId="0" fontId="27" fillId="14" borderId="7" xfId="0" applyFont="1" applyFill="1" applyBorder="1"/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 wrapText="1"/>
    </xf>
  </cellXfs>
  <cellStyles count="94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11222</v>
          </cell>
        </row>
        <row r="79">
          <cell r="A79">
            <v>11223</v>
          </cell>
        </row>
        <row r="80">
          <cell r="A80">
            <v>11224</v>
          </cell>
        </row>
        <row r="81">
          <cell r="A81">
            <v>12001</v>
          </cell>
        </row>
        <row r="82">
          <cell r="A82">
            <v>12002</v>
          </cell>
        </row>
        <row r="83">
          <cell r="A83">
            <v>12003</v>
          </cell>
        </row>
        <row r="84">
          <cell r="A84">
            <v>12004</v>
          </cell>
        </row>
        <row r="85">
          <cell r="A85">
            <v>13001</v>
          </cell>
        </row>
        <row r="86">
          <cell r="A86">
            <v>14001</v>
          </cell>
        </row>
        <row r="87">
          <cell r="A87">
            <v>14002</v>
          </cell>
        </row>
        <row r="88">
          <cell r="A88">
            <v>14003</v>
          </cell>
        </row>
        <row r="89">
          <cell r="A89">
            <v>14004</v>
          </cell>
        </row>
        <row r="90">
          <cell r="A90">
            <v>14005</v>
          </cell>
        </row>
        <row r="91">
          <cell r="A91">
            <v>14006</v>
          </cell>
        </row>
        <row r="92">
          <cell r="A92">
            <v>15027</v>
          </cell>
        </row>
        <row r="93">
          <cell r="A93">
            <v>15028</v>
          </cell>
        </row>
        <row r="94">
          <cell r="A94">
            <v>15029</v>
          </cell>
        </row>
        <row r="95">
          <cell r="A95">
            <v>15030</v>
          </cell>
        </row>
        <row r="96">
          <cell r="A96">
            <v>15031</v>
          </cell>
        </row>
        <row r="97">
          <cell r="A97">
            <v>20001</v>
          </cell>
        </row>
        <row r="98">
          <cell r="A98">
            <v>20002</v>
          </cell>
        </row>
        <row r="99">
          <cell r="A99">
            <v>20003</v>
          </cell>
        </row>
        <row r="100">
          <cell r="A100">
            <v>20004</v>
          </cell>
        </row>
        <row r="101">
          <cell r="A101">
            <v>20005</v>
          </cell>
        </row>
        <row r="102">
          <cell r="A102">
            <v>20006</v>
          </cell>
        </row>
        <row r="103">
          <cell r="A103">
            <v>20007</v>
          </cell>
        </row>
        <row r="104">
          <cell r="A104">
            <v>20008</v>
          </cell>
        </row>
        <row r="105">
          <cell r="A105">
            <v>20009</v>
          </cell>
        </row>
        <row r="106">
          <cell r="A106">
            <v>20010</v>
          </cell>
        </row>
        <row r="107">
          <cell r="A107">
            <v>20011</v>
          </cell>
        </row>
        <row r="108">
          <cell r="A108">
            <v>20012</v>
          </cell>
        </row>
        <row r="109">
          <cell r="A109">
            <v>20013</v>
          </cell>
        </row>
        <row r="110">
          <cell r="A110">
            <v>20014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39001</v>
          </cell>
        </row>
        <row r="146">
          <cell r="A146">
            <v>39002</v>
          </cell>
        </row>
        <row r="147">
          <cell r="A147">
            <v>39003</v>
          </cell>
        </row>
        <row r="148">
          <cell r="A148">
            <v>40001</v>
          </cell>
        </row>
        <row r="149">
          <cell r="A149">
            <v>40002</v>
          </cell>
        </row>
        <row r="150">
          <cell r="A150">
            <v>40003</v>
          </cell>
        </row>
        <row r="151">
          <cell r="A151">
            <v>40004</v>
          </cell>
        </row>
        <row r="152">
          <cell r="A152">
            <v>40005</v>
          </cell>
        </row>
        <row r="153">
          <cell r="A153">
            <v>40006</v>
          </cell>
        </row>
        <row r="154">
          <cell r="A154">
            <v>40007</v>
          </cell>
        </row>
        <row r="155">
          <cell r="A155">
            <v>40008</v>
          </cell>
        </row>
        <row r="156">
          <cell r="A156">
            <v>40009</v>
          </cell>
        </row>
        <row r="157">
          <cell r="A157">
            <v>40010</v>
          </cell>
        </row>
        <row r="158">
          <cell r="A158">
            <v>40011</v>
          </cell>
        </row>
        <row r="159">
          <cell r="A159">
            <v>40012</v>
          </cell>
        </row>
        <row r="160">
          <cell r="A160">
            <v>40013</v>
          </cell>
        </row>
        <row r="161">
          <cell r="A161">
            <v>40014</v>
          </cell>
        </row>
        <row r="162">
          <cell r="A162">
            <v>40015</v>
          </cell>
        </row>
        <row r="163">
          <cell r="A163">
            <v>40016</v>
          </cell>
        </row>
        <row r="164">
          <cell r="A164">
            <v>40017</v>
          </cell>
        </row>
        <row r="165">
          <cell r="A165">
            <v>41001</v>
          </cell>
        </row>
        <row r="166">
          <cell r="A166">
            <v>41002</v>
          </cell>
        </row>
        <row r="167">
          <cell r="A167">
            <v>49001</v>
          </cell>
        </row>
        <row r="168">
          <cell r="A168">
            <v>49002</v>
          </cell>
        </row>
        <row r="169">
          <cell r="A169">
            <v>49003</v>
          </cell>
        </row>
        <row r="170">
          <cell r="A170">
            <v>50001</v>
          </cell>
        </row>
        <row r="171">
          <cell r="A171">
            <v>50002</v>
          </cell>
        </row>
        <row r="172">
          <cell r="A172">
            <v>50003</v>
          </cell>
        </row>
        <row r="173">
          <cell r="A173">
            <v>60001</v>
          </cell>
        </row>
        <row r="174">
          <cell r="A174">
            <v>60002</v>
          </cell>
        </row>
        <row r="175">
          <cell r="A175">
            <v>60003</v>
          </cell>
        </row>
        <row r="176">
          <cell r="A176">
            <v>60004</v>
          </cell>
        </row>
        <row r="177">
          <cell r="A177">
            <v>60005</v>
          </cell>
        </row>
        <row r="178">
          <cell r="A178">
            <v>60006</v>
          </cell>
        </row>
        <row r="179">
          <cell r="A179">
            <v>65535</v>
          </cell>
        </row>
        <row r="180">
          <cell r="A180">
            <v>60021</v>
          </cell>
        </row>
        <row r="181">
          <cell r="A181">
            <v>60022</v>
          </cell>
        </row>
        <row r="182">
          <cell r="A182">
            <v>60023</v>
          </cell>
        </row>
        <row r="183">
          <cell r="A183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11002_1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1</v>
          </cell>
          <cell r="G200" t="str">
            <v>ja</v>
          </cell>
          <cell r="H200" t="str">
            <v xml:space="preserve">【初級】火のチェシャ猫 </v>
          </cell>
          <cell r="I200" t="str">
            <v>初級</v>
          </cell>
          <cell r="J200">
            <v>101</v>
          </cell>
          <cell r="K200">
            <v>8</v>
          </cell>
          <cell r="L200">
            <v>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11002_2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2</v>
          </cell>
          <cell r="G201" t="str">
            <v>ja</v>
          </cell>
          <cell r="H201" t="str">
            <v xml:space="preserve">【中級】火のウサギ </v>
          </cell>
          <cell r="I201" t="str">
            <v>中級</v>
          </cell>
          <cell r="J201">
            <v>102</v>
          </cell>
          <cell r="K201">
            <v>15</v>
          </cell>
          <cell r="L201">
            <v>525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11002_3</v>
          </cell>
          <cell r="B202">
            <v>0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3</v>
          </cell>
          <cell r="G202" t="str">
            <v>ja</v>
          </cell>
          <cell r="H202" t="str">
            <v xml:space="preserve">【上級】火のイモムシ </v>
          </cell>
          <cell r="I202" t="str">
            <v>上級</v>
          </cell>
          <cell r="J202">
            <v>103</v>
          </cell>
          <cell r="K202">
            <v>20</v>
          </cell>
          <cell r="L202">
            <v>860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11002_4</v>
          </cell>
          <cell r="B203">
            <v>3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4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11003_1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1</v>
          </cell>
          <cell r="G204" t="str">
            <v>ja</v>
          </cell>
          <cell r="H204" t="str">
            <v>【初級】水のチェシャ猫</v>
          </cell>
          <cell r="I204" t="str">
            <v>初級</v>
          </cell>
          <cell r="J204">
            <v>109</v>
          </cell>
          <cell r="K204">
            <v>8</v>
          </cell>
          <cell r="L204">
            <v>240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11003_2</v>
          </cell>
          <cell r="B205">
            <v>3</v>
          </cell>
          <cell r="C205">
            <v>11003</v>
          </cell>
          <cell r="D205" t="str">
            <v>【水曜限定】 青の素材</v>
          </cell>
          <cell r="E205" t="str">
            <v>水曜クエスト</v>
          </cell>
          <cell r="F205">
            <v>2</v>
          </cell>
          <cell r="G205" t="str">
            <v>ja</v>
          </cell>
          <cell r="H205" t="str">
            <v xml:space="preserve">【中級】水のウサギ </v>
          </cell>
          <cell r="I205" t="str">
            <v>中級</v>
          </cell>
          <cell r="J205">
            <v>110</v>
          </cell>
          <cell r="K205">
            <v>15</v>
          </cell>
          <cell r="L205">
            <v>525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103</v>
          </cell>
          <cell r="AD205">
            <v>6</v>
          </cell>
          <cell r="AE205" t="str">
            <v>everyone</v>
          </cell>
        </row>
        <row r="206">
          <cell r="A206" t="str">
            <v>11003_3</v>
          </cell>
          <cell r="B206">
            <v>0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3</v>
          </cell>
          <cell r="G206" t="str">
            <v>ja</v>
          </cell>
          <cell r="H206" t="str">
            <v>【上級】水のイモムシ</v>
          </cell>
          <cell r="I206" t="str">
            <v>上級</v>
          </cell>
          <cell r="J206">
            <v>111</v>
          </cell>
          <cell r="K206">
            <v>20</v>
          </cell>
          <cell r="L206">
            <v>860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11003_4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4</v>
          </cell>
          <cell r="G207" t="str">
            <v>ja</v>
          </cell>
          <cell r="H207" t="str">
            <v>【上級】水のイモムシ</v>
          </cell>
          <cell r="I207" t="str">
            <v>上級</v>
          </cell>
          <cell r="J207">
            <v>111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11004_1</v>
          </cell>
          <cell r="B208">
            <v>3</v>
          </cell>
          <cell r="C208">
            <v>11004</v>
          </cell>
          <cell r="D208" t="str">
            <v>【木曜限定】 緑の素材</v>
          </cell>
          <cell r="E208" t="str">
            <v>木曜クエスト</v>
          </cell>
          <cell r="F208">
            <v>1</v>
          </cell>
          <cell r="G208" t="str">
            <v>ja</v>
          </cell>
          <cell r="H208" t="str">
            <v xml:space="preserve">【初級】樹のチェシャ猫 </v>
          </cell>
          <cell r="I208" t="str">
            <v>初級</v>
          </cell>
          <cell r="J208">
            <v>105</v>
          </cell>
          <cell r="K208">
            <v>8</v>
          </cell>
          <cell r="L208">
            <v>240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104</v>
          </cell>
          <cell r="AD208">
            <v>6</v>
          </cell>
          <cell r="AE208" t="str">
            <v>everyone</v>
          </cell>
        </row>
        <row r="209">
          <cell r="A209" t="str">
            <v>11004_2</v>
          </cell>
          <cell r="B209">
            <v>3</v>
          </cell>
          <cell r="C209">
            <v>11004</v>
          </cell>
          <cell r="D209" t="str">
            <v>【木曜限定】 緑の素材</v>
          </cell>
          <cell r="E209" t="str">
            <v>木曜クエスト</v>
          </cell>
          <cell r="F209">
            <v>2</v>
          </cell>
          <cell r="G209" t="str">
            <v>ja</v>
          </cell>
          <cell r="H209" t="str">
            <v>【中級】樹のウサギ</v>
          </cell>
          <cell r="I209" t="str">
            <v>中級</v>
          </cell>
          <cell r="J209">
            <v>106</v>
          </cell>
          <cell r="K209">
            <v>15</v>
          </cell>
          <cell r="L209">
            <v>525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11004_3</v>
          </cell>
          <cell r="B210">
            <v>0</v>
          </cell>
          <cell r="C210">
            <v>11004</v>
          </cell>
          <cell r="D210" t="str">
            <v>【木曜限定】 緑の素材</v>
          </cell>
          <cell r="E210" t="str">
            <v>木曜クエスト</v>
          </cell>
          <cell r="F210">
            <v>3</v>
          </cell>
          <cell r="G210" t="str">
            <v>ja</v>
          </cell>
          <cell r="H210" t="str">
            <v xml:space="preserve">【上級】樹のイモムシ </v>
          </cell>
          <cell r="I210" t="str">
            <v>上級</v>
          </cell>
          <cell r="J210">
            <v>107</v>
          </cell>
          <cell r="K210">
            <v>20</v>
          </cell>
          <cell r="L210">
            <v>860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104</v>
          </cell>
          <cell r="AD210">
            <v>6</v>
          </cell>
          <cell r="AE210" t="str">
            <v>everyone</v>
          </cell>
        </row>
        <row r="211">
          <cell r="A211" t="str">
            <v>11004_4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4</v>
          </cell>
          <cell r="G211" t="str">
            <v>ja</v>
          </cell>
          <cell r="H211" t="str">
            <v xml:space="preserve">【上級】樹のイモムシ </v>
          </cell>
          <cell r="I211" t="str">
            <v>上級</v>
          </cell>
          <cell r="J211">
            <v>107</v>
          </cell>
          <cell r="K211">
            <v>20</v>
          </cell>
          <cell r="L211">
            <v>860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11005_1</v>
          </cell>
          <cell r="B212">
            <v>3</v>
          </cell>
          <cell r="C212">
            <v>11005</v>
          </cell>
          <cell r="D212" t="str">
            <v>【金曜限定】 帽子屋を追え！</v>
          </cell>
          <cell r="E212" t="str">
            <v>金曜クエスト</v>
          </cell>
          <cell r="F212">
            <v>1</v>
          </cell>
          <cell r="G212" t="str">
            <v>ja</v>
          </cell>
          <cell r="H212" t="str">
            <v xml:space="preserve">【超級】火の帽子屋 </v>
          </cell>
          <cell r="I212" t="str">
            <v>赤R5</v>
          </cell>
          <cell r="J212">
            <v>104</v>
          </cell>
          <cell r="K212">
            <v>30</v>
          </cell>
          <cell r="L212">
            <v>1400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102</v>
          </cell>
          <cell r="AD212">
            <v>6</v>
          </cell>
          <cell r="AE212" t="str">
            <v>everyone</v>
          </cell>
        </row>
        <row r="213">
          <cell r="A213" t="str">
            <v>11005_2</v>
          </cell>
          <cell r="B213">
            <v>3</v>
          </cell>
          <cell r="C213">
            <v>11005</v>
          </cell>
          <cell r="D213" t="str">
            <v>【金曜限定】 帽子屋を追え！</v>
          </cell>
          <cell r="E213" t="str">
            <v>金曜クエスト</v>
          </cell>
          <cell r="F213">
            <v>2</v>
          </cell>
          <cell r="G213" t="str">
            <v>ja</v>
          </cell>
          <cell r="H213" t="str">
            <v xml:space="preserve">【超級】樹の帽子屋 </v>
          </cell>
          <cell r="I213" t="str">
            <v>緑R5</v>
          </cell>
          <cell r="J213">
            <v>108</v>
          </cell>
          <cell r="K213">
            <v>30</v>
          </cell>
          <cell r="L213">
            <v>1400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11005_3</v>
          </cell>
          <cell r="B214">
            <v>3</v>
          </cell>
          <cell r="C214">
            <v>11005</v>
          </cell>
          <cell r="D214" t="str">
            <v>【金曜限定】 帽子屋を追え！</v>
          </cell>
          <cell r="E214" t="str">
            <v>金曜クエスト</v>
          </cell>
          <cell r="F214">
            <v>3</v>
          </cell>
          <cell r="G214" t="str">
            <v>ja</v>
          </cell>
          <cell r="H214" t="str">
            <v xml:space="preserve">【超級】水の帽子屋 </v>
          </cell>
          <cell r="I214" t="str">
            <v>青R5</v>
          </cell>
          <cell r="J214">
            <v>112</v>
          </cell>
          <cell r="K214">
            <v>30</v>
          </cell>
          <cell r="L214">
            <v>1400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103</v>
          </cell>
          <cell r="AD214">
            <v>6</v>
          </cell>
          <cell r="AE214" t="str">
            <v>everyone</v>
          </cell>
        </row>
        <row r="215">
          <cell r="A215" t="str">
            <v>11005_4</v>
          </cell>
          <cell r="B215">
            <v>3</v>
          </cell>
          <cell r="C215">
            <v>11005</v>
          </cell>
          <cell r="D215" t="str">
            <v>【金曜限定】 帽子屋を追え！</v>
          </cell>
          <cell r="E215" t="str">
            <v>金曜クエスト</v>
          </cell>
          <cell r="F215">
            <v>4</v>
          </cell>
          <cell r="G215" t="str">
            <v>ja</v>
          </cell>
          <cell r="H215" t="str">
            <v>【超級】雷の帽子屋</v>
          </cell>
          <cell r="I215" t="str">
            <v>黄R5</v>
          </cell>
          <cell r="J215">
            <v>116</v>
          </cell>
          <cell r="K215">
            <v>30</v>
          </cell>
          <cell r="L215">
            <v>1400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everyone</v>
          </cell>
        </row>
        <row r="216">
          <cell r="A216" t="str">
            <v>11006_1</v>
          </cell>
          <cell r="B216">
            <v>3</v>
          </cell>
          <cell r="C216">
            <v>11006</v>
          </cell>
          <cell r="D216" t="str">
            <v>【土日限定】 ゴールドカジノ</v>
          </cell>
          <cell r="E216" t="str">
            <v>土日クエスト</v>
          </cell>
          <cell r="F216">
            <v>1</v>
          </cell>
          <cell r="G216" t="str">
            <v>ja</v>
          </cell>
          <cell r="H216" t="str">
            <v>【初級】ゴールドカジノ</v>
          </cell>
          <cell r="I216" t="str">
            <v>初級</v>
          </cell>
          <cell r="J216">
            <v>117</v>
          </cell>
          <cell r="K216">
            <v>8</v>
          </cell>
          <cell r="L216">
            <v>140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105</v>
          </cell>
          <cell r="AD216">
            <v>6</v>
          </cell>
          <cell r="AE216" t="str">
            <v>everyone</v>
          </cell>
        </row>
        <row r="217">
          <cell r="A217" t="str">
            <v>11006_2</v>
          </cell>
          <cell r="B217">
            <v>3</v>
          </cell>
          <cell r="C217">
            <v>11006</v>
          </cell>
          <cell r="D217" t="str">
            <v>【土日限定】 ゴールドカジノ</v>
          </cell>
          <cell r="E217" t="str">
            <v>土日クエスト</v>
          </cell>
          <cell r="F217">
            <v>2</v>
          </cell>
          <cell r="G217" t="str">
            <v>ja</v>
          </cell>
          <cell r="H217" t="str">
            <v xml:space="preserve">【中級】ゴールドカジノ </v>
          </cell>
          <cell r="I217" t="str">
            <v>中級</v>
          </cell>
          <cell r="J217">
            <v>118</v>
          </cell>
          <cell r="K217">
            <v>15</v>
          </cell>
          <cell r="L217">
            <v>350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105</v>
          </cell>
          <cell r="AD217">
            <v>6</v>
          </cell>
          <cell r="AE217" t="str">
            <v>everyone</v>
          </cell>
        </row>
        <row r="218">
          <cell r="A218" t="str">
            <v>11006_3</v>
          </cell>
          <cell r="B218">
            <v>3</v>
          </cell>
          <cell r="C218">
            <v>11006</v>
          </cell>
          <cell r="D218" t="str">
            <v>【土日限定】 ゴールドカジノ</v>
          </cell>
          <cell r="E218" t="str">
            <v>土日クエスト</v>
          </cell>
          <cell r="F218">
            <v>3</v>
          </cell>
          <cell r="G218" t="str">
            <v>ja</v>
          </cell>
          <cell r="H218" t="str">
            <v xml:space="preserve">【上級】ゴールドカジノ </v>
          </cell>
          <cell r="I218" t="str">
            <v>上級</v>
          </cell>
          <cell r="J218">
            <v>119</v>
          </cell>
          <cell r="K218">
            <v>20</v>
          </cell>
          <cell r="L218">
            <v>860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105</v>
          </cell>
          <cell r="AD218">
            <v>6</v>
          </cell>
          <cell r="AE218" t="str">
            <v>everyone</v>
          </cell>
        </row>
        <row r="219">
          <cell r="A219" t="str">
            <v>11101_1</v>
          </cell>
          <cell r="B219">
            <v>3</v>
          </cell>
          <cell r="C219">
            <v>11101</v>
          </cell>
          <cell r="D219" t="str">
            <v>【マルチ専用】 黄の素材</v>
          </cell>
          <cell r="E219" t="str">
            <v>月曜クエスト</v>
          </cell>
          <cell r="F219">
            <v>1</v>
          </cell>
          <cell r="G219" t="str">
            <v>ja</v>
          </cell>
          <cell r="H219" t="str">
            <v>【初級】雷のチェシャ猫</v>
          </cell>
          <cell r="I219" t="str">
            <v>初級</v>
          </cell>
          <cell r="J219">
            <v>113</v>
          </cell>
          <cell r="K219">
            <v>8</v>
          </cell>
          <cell r="L219">
            <v>240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multionly</v>
          </cell>
        </row>
        <row r="220">
          <cell r="A220" t="str">
            <v>11101_2</v>
          </cell>
          <cell r="B220">
            <v>3</v>
          </cell>
          <cell r="C220">
            <v>11101</v>
          </cell>
          <cell r="D220" t="str">
            <v>【マルチ専用】 黄の素材</v>
          </cell>
          <cell r="E220" t="str">
            <v>月曜クエスト</v>
          </cell>
          <cell r="F220">
            <v>2</v>
          </cell>
          <cell r="G220" t="str">
            <v>ja</v>
          </cell>
          <cell r="H220" t="str">
            <v xml:space="preserve">【中級】雷のウサギ </v>
          </cell>
          <cell r="I220" t="str">
            <v>中級</v>
          </cell>
          <cell r="J220">
            <v>114</v>
          </cell>
          <cell r="K220">
            <v>15</v>
          </cell>
          <cell r="L220">
            <v>525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101</v>
          </cell>
          <cell r="AD220">
            <v>6</v>
          </cell>
          <cell r="AE220" t="str">
            <v>multionly</v>
          </cell>
        </row>
        <row r="221">
          <cell r="A221" t="str">
            <v>11101_3</v>
          </cell>
          <cell r="B221">
            <v>0</v>
          </cell>
          <cell r="C221">
            <v>11101</v>
          </cell>
          <cell r="D221" t="str">
            <v>【マルチ専用】 黄の素材</v>
          </cell>
          <cell r="E221" t="str">
            <v>月曜クエスト</v>
          </cell>
          <cell r="F221">
            <v>3</v>
          </cell>
          <cell r="G221" t="str">
            <v>ja</v>
          </cell>
          <cell r="H221" t="str">
            <v>【上級】雷のイモムシ</v>
          </cell>
          <cell r="I221" t="str">
            <v>上級</v>
          </cell>
          <cell r="J221">
            <v>115</v>
          </cell>
          <cell r="K221">
            <v>20</v>
          </cell>
          <cell r="L221">
            <v>860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101</v>
          </cell>
          <cell r="AD221">
            <v>6</v>
          </cell>
          <cell r="AE221" t="str">
            <v>multionly</v>
          </cell>
        </row>
        <row r="222">
          <cell r="A222" t="str">
            <v>11101_4</v>
          </cell>
          <cell r="B222">
            <v>3</v>
          </cell>
          <cell r="C222">
            <v>11101</v>
          </cell>
          <cell r="D222" t="str">
            <v>【マルチ専用】 黄の素材</v>
          </cell>
          <cell r="E222" t="str">
            <v>月曜クエスト</v>
          </cell>
          <cell r="F222">
            <v>4</v>
          </cell>
          <cell r="G222" t="str">
            <v>ja</v>
          </cell>
          <cell r="H222" t="str">
            <v>【上級】雷のイモムシ</v>
          </cell>
          <cell r="I222" t="str">
            <v>上級</v>
          </cell>
          <cell r="J222">
            <v>115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101</v>
          </cell>
          <cell r="AD222">
            <v>6</v>
          </cell>
          <cell r="AE222" t="str">
            <v>multionly</v>
          </cell>
        </row>
        <row r="223">
          <cell r="A223" t="str">
            <v>11102_1</v>
          </cell>
          <cell r="B223">
            <v>3</v>
          </cell>
          <cell r="C223">
            <v>11102</v>
          </cell>
          <cell r="D223" t="str">
            <v>【マルチ専用】 赤の素材</v>
          </cell>
          <cell r="E223" t="str">
            <v>火曜クエスト</v>
          </cell>
          <cell r="F223">
            <v>1</v>
          </cell>
          <cell r="G223" t="str">
            <v>ja</v>
          </cell>
          <cell r="H223" t="str">
            <v xml:space="preserve">【初級】火のチェシャ猫 </v>
          </cell>
          <cell r="I223" t="str">
            <v>初級</v>
          </cell>
          <cell r="J223">
            <v>101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102</v>
          </cell>
          <cell r="AD223">
            <v>6</v>
          </cell>
          <cell r="AE223" t="str">
            <v>multionly</v>
          </cell>
        </row>
        <row r="224">
          <cell r="A224" t="str">
            <v>11102_2</v>
          </cell>
          <cell r="B224">
            <v>3</v>
          </cell>
          <cell r="C224">
            <v>11102</v>
          </cell>
          <cell r="D224" t="str">
            <v>【マルチ専用】 赤の素材</v>
          </cell>
          <cell r="E224" t="str">
            <v>火曜クエスト</v>
          </cell>
          <cell r="F224">
            <v>2</v>
          </cell>
          <cell r="G224" t="str">
            <v>ja</v>
          </cell>
          <cell r="H224" t="str">
            <v xml:space="preserve">【中級】火のウサギ </v>
          </cell>
          <cell r="I224" t="str">
            <v>中級</v>
          </cell>
          <cell r="J224">
            <v>102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102</v>
          </cell>
          <cell r="AD224">
            <v>6</v>
          </cell>
          <cell r="AE224" t="str">
            <v>multionly</v>
          </cell>
        </row>
        <row r="225">
          <cell r="A225" t="str">
            <v>11102_3</v>
          </cell>
          <cell r="B225">
            <v>0</v>
          </cell>
          <cell r="C225">
            <v>11102</v>
          </cell>
          <cell r="D225" t="str">
            <v>【マルチ専用】 赤の素材</v>
          </cell>
          <cell r="E225" t="str">
            <v>火曜クエスト</v>
          </cell>
          <cell r="F225">
            <v>3</v>
          </cell>
          <cell r="G225" t="str">
            <v>ja</v>
          </cell>
          <cell r="H225" t="str">
            <v xml:space="preserve">【上級】火のイモムシ </v>
          </cell>
          <cell r="I225" t="str">
            <v>上級</v>
          </cell>
          <cell r="J225">
            <v>103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multionly</v>
          </cell>
        </row>
        <row r="226">
          <cell r="A226" t="str">
            <v>11102_4</v>
          </cell>
          <cell r="B226">
            <v>3</v>
          </cell>
          <cell r="C226">
            <v>11102</v>
          </cell>
          <cell r="D226" t="str">
            <v>【マルチ専用】 赤の素材</v>
          </cell>
          <cell r="E226" t="str">
            <v>火曜クエスト</v>
          </cell>
          <cell r="F226">
            <v>4</v>
          </cell>
          <cell r="G226" t="str">
            <v>ja</v>
          </cell>
          <cell r="H226" t="str">
            <v xml:space="preserve">【上級】火のイモムシ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102</v>
          </cell>
          <cell r="AD226">
            <v>6</v>
          </cell>
          <cell r="AE226" t="str">
            <v>multionly</v>
          </cell>
        </row>
        <row r="227">
          <cell r="A227" t="str">
            <v>11103_1</v>
          </cell>
          <cell r="B227">
            <v>3</v>
          </cell>
          <cell r="C227">
            <v>11103</v>
          </cell>
          <cell r="D227" t="str">
            <v>【マルチ専用】 青の素材</v>
          </cell>
          <cell r="E227" t="str">
            <v>水曜クエスト</v>
          </cell>
          <cell r="F227">
            <v>1</v>
          </cell>
          <cell r="G227" t="str">
            <v>ja</v>
          </cell>
          <cell r="H227" t="str">
            <v>【初級】水のチェシャ猫</v>
          </cell>
          <cell r="I227" t="str">
            <v>初級</v>
          </cell>
          <cell r="J227">
            <v>109</v>
          </cell>
          <cell r="K227">
            <v>8</v>
          </cell>
          <cell r="L227">
            <v>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103</v>
          </cell>
          <cell r="AD227">
            <v>6</v>
          </cell>
          <cell r="AE227" t="str">
            <v>multionly</v>
          </cell>
        </row>
        <row r="228">
          <cell r="A228" t="str">
            <v>11103_2</v>
          </cell>
          <cell r="B228">
            <v>3</v>
          </cell>
          <cell r="C228">
            <v>11103</v>
          </cell>
          <cell r="D228" t="str">
            <v>【マルチ専用】 青の素材</v>
          </cell>
          <cell r="E228" t="str">
            <v>水曜クエスト</v>
          </cell>
          <cell r="F228">
            <v>2</v>
          </cell>
          <cell r="G228" t="str">
            <v>ja</v>
          </cell>
          <cell r="H228" t="str">
            <v xml:space="preserve">【中級】水のウサギ </v>
          </cell>
          <cell r="I228" t="str">
            <v>中級</v>
          </cell>
          <cell r="J228">
            <v>110</v>
          </cell>
          <cell r="K228">
            <v>15</v>
          </cell>
          <cell r="L228">
            <v>525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103</v>
          </cell>
          <cell r="AD228">
            <v>6</v>
          </cell>
          <cell r="AE228" t="str">
            <v>multionly</v>
          </cell>
        </row>
        <row r="229">
          <cell r="A229" t="str">
            <v>11103_3</v>
          </cell>
          <cell r="B229">
            <v>0</v>
          </cell>
          <cell r="C229">
            <v>11103</v>
          </cell>
          <cell r="D229" t="str">
            <v>【マルチ専用】 青の素材</v>
          </cell>
          <cell r="E229" t="str">
            <v>水曜クエスト</v>
          </cell>
          <cell r="F229">
            <v>3</v>
          </cell>
          <cell r="G229" t="str">
            <v>ja</v>
          </cell>
          <cell r="H229" t="str">
            <v xml:space="preserve">【上級】水のイモムシ </v>
          </cell>
          <cell r="I229" t="str">
            <v>上級</v>
          </cell>
          <cell r="J229">
            <v>111</v>
          </cell>
          <cell r="K229">
            <v>20</v>
          </cell>
          <cell r="L229">
            <v>860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11103_4</v>
          </cell>
          <cell r="B230">
            <v>3</v>
          </cell>
          <cell r="C230">
            <v>11103</v>
          </cell>
          <cell r="D230" t="str">
            <v>【マルチ専用】 青の素材</v>
          </cell>
          <cell r="E230" t="str">
            <v>水曜クエスト</v>
          </cell>
          <cell r="F230">
            <v>4</v>
          </cell>
          <cell r="G230" t="str">
            <v>ja</v>
          </cell>
          <cell r="H230" t="str">
            <v xml:space="preserve">【上級】水のイモムシ </v>
          </cell>
          <cell r="I230" t="str">
            <v>上級</v>
          </cell>
          <cell r="J230">
            <v>111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103</v>
          </cell>
          <cell r="AD230">
            <v>6</v>
          </cell>
          <cell r="AE230" t="str">
            <v>multionly</v>
          </cell>
        </row>
        <row r="231">
          <cell r="A231" t="str">
            <v>11104_1</v>
          </cell>
          <cell r="B231">
            <v>3</v>
          </cell>
          <cell r="C231">
            <v>11104</v>
          </cell>
          <cell r="D231" t="str">
            <v>【マルチ専用】 緑の素材</v>
          </cell>
          <cell r="E231" t="str">
            <v>木曜クエスト</v>
          </cell>
          <cell r="F231">
            <v>1</v>
          </cell>
          <cell r="G231" t="str">
            <v>ja</v>
          </cell>
          <cell r="H231" t="str">
            <v xml:space="preserve">【初級】樹のチェシャ猫 </v>
          </cell>
          <cell r="I231" t="str">
            <v>初級</v>
          </cell>
          <cell r="J231">
            <v>105</v>
          </cell>
          <cell r="K231">
            <v>8</v>
          </cell>
          <cell r="L231">
            <v>240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104</v>
          </cell>
          <cell r="AD231">
            <v>6</v>
          </cell>
          <cell r="AE231" t="str">
            <v>multionly</v>
          </cell>
        </row>
        <row r="232">
          <cell r="A232" t="str">
            <v>11104_2</v>
          </cell>
          <cell r="B232">
            <v>3</v>
          </cell>
          <cell r="C232">
            <v>11104</v>
          </cell>
          <cell r="D232" t="str">
            <v>【マルチ専用】 緑の素材</v>
          </cell>
          <cell r="E232" t="str">
            <v>木曜クエスト</v>
          </cell>
          <cell r="F232">
            <v>2</v>
          </cell>
          <cell r="G232" t="str">
            <v>ja</v>
          </cell>
          <cell r="H232" t="str">
            <v xml:space="preserve">【中級】樹のウサギ </v>
          </cell>
          <cell r="I232" t="str">
            <v>中級</v>
          </cell>
          <cell r="J232">
            <v>106</v>
          </cell>
          <cell r="K232">
            <v>15</v>
          </cell>
          <cell r="L232">
            <v>525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104</v>
          </cell>
          <cell r="AD232">
            <v>6</v>
          </cell>
          <cell r="AE232" t="str">
            <v>multionly</v>
          </cell>
        </row>
        <row r="233">
          <cell r="A233" t="str">
            <v>11104_3</v>
          </cell>
          <cell r="B233">
            <v>0</v>
          </cell>
          <cell r="C233">
            <v>11104</v>
          </cell>
          <cell r="D233" t="str">
            <v>【マルチ専用】 緑の素材</v>
          </cell>
          <cell r="E233" t="str">
            <v>木曜クエスト</v>
          </cell>
          <cell r="F233">
            <v>3</v>
          </cell>
          <cell r="G233" t="str">
            <v>ja</v>
          </cell>
          <cell r="H233" t="str">
            <v>【上級】樹のイモムシ</v>
          </cell>
          <cell r="I233" t="str">
            <v>上級</v>
          </cell>
          <cell r="J233">
            <v>107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104</v>
          </cell>
          <cell r="AD233">
            <v>6</v>
          </cell>
          <cell r="AE233" t="str">
            <v>multionly</v>
          </cell>
        </row>
        <row r="234">
          <cell r="A234" t="str">
            <v>11104_4</v>
          </cell>
          <cell r="B234">
            <v>3</v>
          </cell>
          <cell r="C234">
            <v>11104</v>
          </cell>
          <cell r="D234" t="str">
            <v>【マルチ専用】 緑の素材</v>
          </cell>
          <cell r="E234" t="str">
            <v>木曜クエスト</v>
          </cell>
          <cell r="F234">
            <v>4</v>
          </cell>
          <cell r="G234" t="str">
            <v>ja</v>
          </cell>
          <cell r="H234" t="str">
            <v>【上級】樹のイモムシ</v>
          </cell>
          <cell r="I234" t="str">
            <v>上級</v>
          </cell>
          <cell r="J234">
            <v>107</v>
          </cell>
          <cell r="K234">
            <v>20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104</v>
          </cell>
          <cell r="AD234">
            <v>6</v>
          </cell>
          <cell r="AE234" t="str">
            <v>multionly</v>
          </cell>
        </row>
        <row r="235">
          <cell r="A235" t="str">
            <v>11105_1</v>
          </cell>
          <cell r="B235">
            <v>3</v>
          </cell>
          <cell r="C235">
            <v>11105</v>
          </cell>
          <cell r="D235" t="str">
            <v>【マルチ専用】 帽子屋を追え！</v>
          </cell>
          <cell r="E235" t="str">
            <v>金曜クエスト</v>
          </cell>
          <cell r="F235">
            <v>1</v>
          </cell>
          <cell r="G235" t="str">
            <v>ja</v>
          </cell>
          <cell r="H235" t="str">
            <v xml:space="preserve">【超級】火の帽子屋 </v>
          </cell>
          <cell r="I235" t="str">
            <v>赤R5</v>
          </cell>
          <cell r="J235">
            <v>104</v>
          </cell>
          <cell r="K235">
            <v>30</v>
          </cell>
          <cell r="L235">
            <v>1400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102</v>
          </cell>
          <cell r="AD235">
            <v>6</v>
          </cell>
          <cell r="AE235" t="str">
            <v>multionly</v>
          </cell>
        </row>
        <row r="236">
          <cell r="A236" t="str">
            <v>11105_2</v>
          </cell>
          <cell r="B236">
            <v>3</v>
          </cell>
          <cell r="C236">
            <v>11105</v>
          </cell>
          <cell r="D236" t="str">
            <v>【マルチ専用】 帽子屋を追え！</v>
          </cell>
          <cell r="E236" t="str">
            <v>金曜クエスト</v>
          </cell>
          <cell r="F236">
            <v>2</v>
          </cell>
          <cell r="G236" t="str">
            <v>ja</v>
          </cell>
          <cell r="H236" t="str">
            <v>【超級】樹の帽子屋</v>
          </cell>
          <cell r="I236" t="str">
            <v>緑R5</v>
          </cell>
          <cell r="J236">
            <v>108</v>
          </cell>
          <cell r="K236">
            <v>30</v>
          </cell>
          <cell r="L236">
            <v>1400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104</v>
          </cell>
          <cell r="AD236">
            <v>6</v>
          </cell>
          <cell r="AE236" t="str">
            <v>multionly</v>
          </cell>
        </row>
        <row r="237">
          <cell r="A237" t="str">
            <v>11105_3</v>
          </cell>
          <cell r="B237">
            <v>3</v>
          </cell>
          <cell r="C237">
            <v>11105</v>
          </cell>
          <cell r="D237" t="str">
            <v>【マルチ専用】 帽子屋を追え！</v>
          </cell>
          <cell r="E237" t="str">
            <v>金曜クエスト</v>
          </cell>
          <cell r="F237">
            <v>3</v>
          </cell>
          <cell r="G237" t="str">
            <v>ja</v>
          </cell>
          <cell r="H237" t="str">
            <v xml:space="preserve">【超級】水の帽子屋 </v>
          </cell>
          <cell r="I237" t="str">
            <v>青R5</v>
          </cell>
          <cell r="J237">
            <v>112</v>
          </cell>
          <cell r="K237">
            <v>30</v>
          </cell>
          <cell r="L237">
            <v>1400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multionly</v>
          </cell>
        </row>
        <row r="238">
          <cell r="A238" t="str">
            <v>11105_4</v>
          </cell>
          <cell r="B238">
            <v>3</v>
          </cell>
          <cell r="C238">
            <v>11105</v>
          </cell>
          <cell r="D238" t="str">
            <v>【マルチ専用】 帽子屋を追え！</v>
          </cell>
          <cell r="E238" t="str">
            <v>金曜クエスト</v>
          </cell>
          <cell r="F238">
            <v>4</v>
          </cell>
          <cell r="G238" t="str">
            <v>ja</v>
          </cell>
          <cell r="H238" t="str">
            <v xml:space="preserve">【超級】雷の帽子屋 </v>
          </cell>
          <cell r="I238" t="str">
            <v>黄R5</v>
          </cell>
          <cell r="J238">
            <v>116</v>
          </cell>
          <cell r="K238">
            <v>30</v>
          </cell>
          <cell r="L238">
            <v>1400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multionly</v>
          </cell>
        </row>
        <row r="239">
          <cell r="A239" t="str">
            <v>11106_1</v>
          </cell>
          <cell r="B239">
            <v>0</v>
          </cell>
          <cell r="C239">
            <v>11106</v>
          </cell>
          <cell r="D239" t="str">
            <v>【キャンペーン限定】 ゴールドカジノ</v>
          </cell>
          <cell r="E239" t="str">
            <v>土日クエスト1</v>
          </cell>
          <cell r="F239">
            <v>1</v>
          </cell>
          <cell r="G239" t="str">
            <v>ja</v>
          </cell>
          <cell r="H239" t="str">
            <v xml:space="preserve">【初級】ゴールドカジノ </v>
          </cell>
          <cell r="I239" t="str">
            <v>初級</v>
          </cell>
          <cell r="J239">
            <v>117</v>
          </cell>
          <cell r="K239">
            <v>8</v>
          </cell>
          <cell r="L239">
            <v>140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105</v>
          </cell>
          <cell r="AD239">
            <v>6</v>
          </cell>
          <cell r="AE239" t="str">
            <v>everyone</v>
          </cell>
        </row>
        <row r="240">
          <cell r="A240" t="str">
            <v>11106_2</v>
          </cell>
          <cell r="B240">
            <v>0</v>
          </cell>
          <cell r="C240">
            <v>11106</v>
          </cell>
          <cell r="D240" t="str">
            <v>【キャンペーン限定】 ゴールドカジノ</v>
          </cell>
          <cell r="E240" t="str">
            <v>土日クエスト1</v>
          </cell>
          <cell r="F240">
            <v>2</v>
          </cell>
          <cell r="G240" t="str">
            <v>ja</v>
          </cell>
          <cell r="H240" t="str">
            <v xml:space="preserve">【中級】ゴールドカジノ </v>
          </cell>
          <cell r="I240" t="str">
            <v>中級</v>
          </cell>
          <cell r="J240">
            <v>118</v>
          </cell>
          <cell r="K240">
            <v>15</v>
          </cell>
          <cell r="L240">
            <v>350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105</v>
          </cell>
          <cell r="AD240">
            <v>6</v>
          </cell>
          <cell r="AE240" t="str">
            <v>everyone</v>
          </cell>
        </row>
        <row r="241">
          <cell r="A241" t="str">
            <v>11106_3</v>
          </cell>
          <cell r="B241">
            <v>0</v>
          </cell>
          <cell r="C241">
            <v>11106</v>
          </cell>
          <cell r="D241" t="str">
            <v>【キャンペーン限定】 ゴールドカジノ</v>
          </cell>
          <cell r="E241" t="str">
            <v>土日クエスト1</v>
          </cell>
          <cell r="F241">
            <v>3</v>
          </cell>
          <cell r="G241" t="str">
            <v>ja</v>
          </cell>
          <cell r="H241" t="str">
            <v xml:space="preserve">【上級】ゴールドカジノ </v>
          </cell>
          <cell r="I241" t="str">
            <v>上級</v>
          </cell>
          <cell r="J241">
            <v>119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105</v>
          </cell>
          <cell r="AD241">
            <v>6</v>
          </cell>
          <cell r="AE241" t="str">
            <v>everyone</v>
          </cell>
        </row>
        <row r="242">
          <cell r="A242" t="str">
            <v>11206_1</v>
          </cell>
          <cell r="B242">
            <v>0</v>
          </cell>
          <cell r="C242">
            <v>11206</v>
          </cell>
          <cell r="D242" t="str">
            <v>【キャンペーン限定】 ゴールドカジノ</v>
          </cell>
          <cell r="E242" t="str">
            <v>土日クエスト2</v>
          </cell>
          <cell r="F242">
            <v>1</v>
          </cell>
          <cell r="G242" t="str">
            <v>ja</v>
          </cell>
          <cell r="H242" t="str">
            <v>【初級】ゴールドカジノ</v>
          </cell>
          <cell r="I242" t="str">
            <v>初級</v>
          </cell>
          <cell r="J242">
            <v>117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105</v>
          </cell>
          <cell r="AD242">
            <v>6</v>
          </cell>
          <cell r="AE242" t="str">
            <v>everyone</v>
          </cell>
        </row>
        <row r="243">
          <cell r="A243" t="str">
            <v>11206_2</v>
          </cell>
          <cell r="B243">
            <v>0</v>
          </cell>
          <cell r="C243">
            <v>11206</v>
          </cell>
          <cell r="D243" t="str">
            <v>【キャンペーン限定】 ゴールドカジノ</v>
          </cell>
          <cell r="E243" t="str">
            <v>土日クエスト2</v>
          </cell>
          <cell r="F243">
            <v>2</v>
          </cell>
          <cell r="G243" t="str">
            <v>ja</v>
          </cell>
          <cell r="H243" t="str">
            <v xml:space="preserve">【中級】ゴールドカジノ </v>
          </cell>
          <cell r="I243" t="str">
            <v>中級</v>
          </cell>
          <cell r="J243">
            <v>118</v>
          </cell>
          <cell r="K243">
            <v>15</v>
          </cell>
          <cell r="L243">
            <v>350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11206_3</v>
          </cell>
          <cell r="B244">
            <v>0</v>
          </cell>
          <cell r="C244">
            <v>11206</v>
          </cell>
          <cell r="D244" t="str">
            <v>【キャンペーン限定】 ゴールドカジノ</v>
          </cell>
          <cell r="E244" t="str">
            <v>土日クエスト2</v>
          </cell>
          <cell r="F244">
            <v>3</v>
          </cell>
          <cell r="G244" t="str">
            <v>ja</v>
          </cell>
          <cell r="H244" t="str">
            <v xml:space="preserve">【上級】ゴールドカジノ </v>
          </cell>
          <cell r="I244" t="str">
            <v>上級</v>
          </cell>
          <cell r="J244">
            <v>119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105</v>
          </cell>
          <cell r="AD244">
            <v>6</v>
          </cell>
          <cell r="AE244" t="str">
            <v>everyone</v>
          </cell>
        </row>
        <row r="245">
          <cell r="A245" t="str">
            <v>11016_1</v>
          </cell>
          <cell r="B245">
            <v>3</v>
          </cell>
          <cell r="C245">
            <v>11016</v>
          </cell>
          <cell r="D245" t="str">
            <v>【マルチ専用1/2】 ゴールドカジノ</v>
          </cell>
          <cell r="E245" t="str">
            <v>土日クエスト1</v>
          </cell>
          <cell r="F245">
            <v>1</v>
          </cell>
          <cell r="G245" t="str">
            <v>ja</v>
          </cell>
          <cell r="H245" t="str">
            <v xml:space="preserve">【上級】ゴールドカジノ </v>
          </cell>
          <cell r="I245" t="str">
            <v>上級</v>
          </cell>
          <cell r="J245">
            <v>119</v>
          </cell>
          <cell r="K245">
            <v>10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105</v>
          </cell>
          <cell r="AD245">
            <v>6</v>
          </cell>
          <cell r="AE245" t="str">
            <v>multionly</v>
          </cell>
        </row>
        <row r="246">
          <cell r="A246" t="str">
            <v>11207_1</v>
          </cell>
          <cell r="B246">
            <v>3</v>
          </cell>
          <cell r="C246">
            <v>11207</v>
          </cell>
          <cell r="D246" t="str">
            <v>果実達の大宴会</v>
          </cell>
          <cell r="E246">
            <v>0</v>
          </cell>
          <cell r="F246">
            <v>1</v>
          </cell>
          <cell r="G246" t="str">
            <v>ja</v>
          </cell>
          <cell r="H246" t="str">
            <v>【上級】果実達の大宴会</v>
          </cell>
          <cell r="I246" t="str">
            <v>ボーナス</v>
          </cell>
          <cell r="J246" t="str">
            <v>NULL</v>
          </cell>
          <cell r="K246">
            <v>20</v>
          </cell>
          <cell r="L246">
            <v>525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21</v>
          </cell>
          <cell r="AD246">
            <v>6</v>
          </cell>
          <cell r="AE246" t="str">
            <v>singleonly</v>
          </cell>
        </row>
        <row r="247">
          <cell r="A247" t="str">
            <v>11207_2</v>
          </cell>
          <cell r="B247">
            <v>3</v>
          </cell>
          <cell r="C247">
            <v>11207</v>
          </cell>
          <cell r="D247" t="str">
            <v>果実達の大宴会</v>
          </cell>
          <cell r="E247">
            <v>0</v>
          </cell>
          <cell r="F247">
            <v>2</v>
          </cell>
          <cell r="G247" t="str">
            <v>ja</v>
          </cell>
          <cell r="H247" t="str">
            <v>【超級】果実達の大宴会</v>
          </cell>
          <cell r="I247" t="str">
            <v>ボーナス</v>
          </cell>
          <cell r="J247">
            <v>125</v>
          </cell>
          <cell r="K247">
            <v>40</v>
          </cell>
          <cell r="L247">
            <v>860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21</v>
          </cell>
          <cell r="AD247">
            <v>6</v>
          </cell>
          <cell r="AE247" t="str">
            <v>singleonly</v>
          </cell>
        </row>
        <row r="248">
          <cell r="A248" t="str">
            <v>11208_1</v>
          </cell>
          <cell r="B248">
            <v>0</v>
          </cell>
          <cell r="C248">
            <v>11208</v>
          </cell>
          <cell r="D248" t="str">
            <v>果実達の大宴会</v>
          </cell>
          <cell r="E248">
            <v>0</v>
          </cell>
          <cell r="F248">
            <v>1</v>
          </cell>
          <cell r="G248" t="str">
            <v>ja</v>
          </cell>
          <cell r="H248" t="str">
            <v>【上級】果実達の大宴会</v>
          </cell>
          <cell r="I248" t="str">
            <v>ボーナス</v>
          </cell>
          <cell r="J248" t="str">
            <v>NULL</v>
          </cell>
          <cell r="K248">
            <v>20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21</v>
          </cell>
          <cell r="AD248">
            <v>6</v>
          </cell>
          <cell r="AE248" t="str">
            <v>singleonly</v>
          </cell>
        </row>
        <row r="249">
          <cell r="A249" t="str">
            <v>11208_2</v>
          </cell>
          <cell r="B249">
            <v>0</v>
          </cell>
          <cell r="C249">
            <v>11208</v>
          </cell>
          <cell r="D249" t="str">
            <v>果実達の大宴会</v>
          </cell>
          <cell r="E249">
            <v>0</v>
          </cell>
          <cell r="F249">
            <v>2</v>
          </cell>
          <cell r="G249" t="str">
            <v>ja</v>
          </cell>
          <cell r="H249" t="str">
            <v>【超級】果実達の大宴会</v>
          </cell>
          <cell r="I249" t="str">
            <v>ボーナス</v>
          </cell>
          <cell r="J249">
            <v>125</v>
          </cell>
          <cell r="K249">
            <v>40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21</v>
          </cell>
          <cell r="AD249">
            <v>6</v>
          </cell>
          <cell r="AE249" t="str">
            <v>singleonly</v>
          </cell>
        </row>
        <row r="250">
          <cell r="A250" t="str">
            <v>11209_1</v>
          </cell>
          <cell r="B250">
            <v>3</v>
          </cell>
          <cell r="C250">
            <v>11209</v>
          </cell>
          <cell r="D250" t="str">
            <v>スタートダッシュキャンペーンクエスト</v>
          </cell>
          <cell r="E250" t="str">
            <v>スタートダッシュキャンペーンクエスト</v>
          </cell>
          <cell r="F250">
            <v>1</v>
          </cell>
          <cell r="G250" t="str">
            <v>ja</v>
          </cell>
          <cell r="H250" t="str">
            <v>【初級】メタルダックを捕獲せよ！</v>
          </cell>
          <cell r="I250" t="str">
            <v>経験値ゲリラ</v>
          </cell>
          <cell r="J250">
            <v>334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201</v>
          </cell>
          <cell r="AD250">
            <v>6</v>
          </cell>
          <cell r="AE250" t="str">
            <v>everyone</v>
          </cell>
        </row>
        <row r="251">
          <cell r="A251" t="str">
            <v>11209_2</v>
          </cell>
          <cell r="B251">
            <v>3</v>
          </cell>
          <cell r="C251">
            <v>11209</v>
          </cell>
          <cell r="D251" t="str">
            <v>スタートダッシュキャンペーンクエスト</v>
          </cell>
          <cell r="E251" t="str">
            <v>スタートダッシュキャンペーンクエスト</v>
          </cell>
          <cell r="F251">
            <v>2</v>
          </cell>
          <cell r="G251" t="str">
            <v>ja</v>
          </cell>
          <cell r="H251" t="str">
            <v xml:space="preserve">【初級】ゴールドカジノ </v>
          </cell>
          <cell r="I251" t="str">
            <v>初級</v>
          </cell>
          <cell r="J251">
            <v>117</v>
          </cell>
          <cell r="K251">
            <v>8</v>
          </cell>
          <cell r="L251">
            <v>140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11210_1</v>
          </cell>
          <cell r="B252">
            <v>0</v>
          </cell>
          <cell r="C252">
            <v>11210</v>
          </cell>
          <cell r="D252" t="str">
            <v>100万DL記念★育成ブースト！</v>
          </cell>
          <cell r="E252" t="str">
            <v>ゲリラ【超級】</v>
          </cell>
          <cell r="F252">
            <v>1</v>
          </cell>
          <cell r="G252" t="str">
            <v>ja</v>
          </cell>
          <cell r="H252" t="str">
            <v>【超級】雷のジェントルを追え！</v>
          </cell>
          <cell r="I252" t="str">
            <v>超級ゲリラ</v>
          </cell>
          <cell r="J252">
            <v>347</v>
          </cell>
          <cell r="K252">
            <v>40</v>
          </cell>
          <cell r="L252">
            <v>500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12</v>
          </cell>
          <cell r="AD252">
            <v>6</v>
          </cell>
          <cell r="AE252" t="str">
            <v>singleonly</v>
          </cell>
        </row>
        <row r="253">
          <cell r="A253" t="str">
            <v>11210_2</v>
          </cell>
          <cell r="B253">
            <v>0</v>
          </cell>
          <cell r="C253">
            <v>11210</v>
          </cell>
          <cell r="D253" t="str">
            <v>100万DL記念★育成ブースト！</v>
          </cell>
          <cell r="E253" t="str">
            <v>ゲリラ【超級】</v>
          </cell>
          <cell r="F253">
            <v>2</v>
          </cell>
          <cell r="G253" t="str">
            <v>ja</v>
          </cell>
          <cell r="H253" t="str">
            <v>【超級】水のジェントルを追え！</v>
          </cell>
          <cell r="I253" t="str">
            <v>超級ゲリラ</v>
          </cell>
          <cell r="J253">
            <v>343</v>
          </cell>
          <cell r="K253">
            <v>40</v>
          </cell>
          <cell r="L253">
            <v>500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5</v>
          </cell>
          <cell r="AD253">
            <v>6</v>
          </cell>
          <cell r="AE253" t="str">
            <v>singleonly</v>
          </cell>
        </row>
        <row r="254">
          <cell r="A254" t="str">
            <v>11210_3</v>
          </cell>
          <cell r="B254">
            <v>0</v>
          </cell>
          <cell r="C254">
            <v>11210</v>
          </cell>
          <cell r="D254" t="str">
            <v>100万DL記念★育成ブースト！</v>
          </cell>
          <cell r="E254" t="str">
            <v>ゲリラ【超級】</v>
          </cell>
          <cell r="F254">
            <v>3</v>
          </cell>
          <cell r="G254" t="str">
            <v>ja</v>
          </cell>
          <cell r="H254" t="str">
            <v>【超級】森のジェントルを追え！</v>
          </cell>
          <cell r="I254" t="str">
            <v>超級ゲリラ</v>
          </cell>
          <cell r="J254">
            <v>339</v>
          </cell>
          <cell r="K254">
            <v>40</v>
          </cell>
          <cell r="L254">
            <v>500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7</v>
          </cell>
          <cell r="AD254">
            <v>6</v>
          </cell>
          <cell r="AE254" t="str">
            <v>singleonly</v>
          </cell>
        </row>
        <row r="255">
          <cell r="A255" t="str">
            <v>11210_4</v>
          </cell>
          <cell r="B255">
            <v>0</v>
          </cell>
          <cell r="C255">
            <v>11210</v>
          </cell>
          <cell r="D255" t="str">
            <v>100万DL記念★育成ブースト！</v>
          </cell>
          <cell r="E255" t="str">
            <v>ゲリラ【超級】</v>
          </cell>
          <cell r="F255">
            <v>4</v>
          </cell>
          <cell r="G255" t="str">
            <v>ja</v>
          </cell>
          <cell r="H255" t="str">
            <v>【超級】炎のジェントルを追え！</v>
          </cell>
          <cell r="I255" t="str">
            <v>超級ゲリラ</v>
          </cell>
          <cell r="J255">
            <v>335</v>
          </cell>
          <cell r="K255">
            <v>40</v>
          </cell>
          <cell r="L255">
            <v>500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</v>
          </cell>
          <cell r="AD255">
            <v>6</v>
          </cell>
          <cell r="AE255" t="str">
            <v>singleonly</v>
          </cell>
        </row>
        <row r="256">
          <cell r="A256" t="str">
            <v>11211_1</v>
          </cell>
          <cell r="B256">
            <v>0</v>
          </cell>
          <cell r="C256">
            <v>11211</v>
          </cell>
          <cell r="D256" t="str">
            <v>※欠番</v>
          </cell>
          <cell r="E256" t="str">
            <v>【超級】ゲリラ※欠番</v>
          </cell>
          <cell r="F256">
            <v>1</v>
          </cell>
          <cell r="G256" t="str">
            <v>ja</v>
          </cell>
          <cell r="H256" t="str">
            <v>【超級】雷のジェントルを追え！</v>
          </cell>
          <cell r="I256" t="str">
            <v>超級ゲリラ ※一時利用</v>
          </cell>
          <cell r="J256">
            <v>347</v>
          </cell>
          <cell r="K256">
            <v>40</v>
          </cell>
          <cell r="L256">
            <v>500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12</v>
          </cell>
          <cell r="AD256">
            <v>6</v>
          </cell>
          <cell r="AE256" t="str">
            <v>singleonly</v>
          </cell>
        </row>
        <row r="257">
          <cell r="A257" t="str">
            <v>11211_2</v>
          </cell>
          <cell r="B257">
            <v>0</v>
          </cell>
          <cell r="C257">
            <v>11211</v>
          </cell>
          <cell r="D257" t="str">
            <v>※欠番</v>
          </cell>
          <cell r="E257" t="str">
            <v>【超級】ゲリラ※欠番</v>
          </cell>
          <cell r="F257">
            <v>2</v>
          </cell>
          <cell r="G257" t="str">
            <v>ja</v>
          </cell>
          <cell r="H257" t="str">
            <v>【超級】水のジェントルを追え！</v>
          </cell>
          <cell r="I257" t="str">
            <v>超級ゲリラ ※一時利用</v>
          </cell>
          <cell r="J257">
            <v>343</v>
          </cell>
          <cell r="K257">
            <v>40</v>
          </cell>
          <cell r="L257">
            <v>500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5</v>
          </cell>
          <cell r="AD257">
            <v>6</v>
          </cell>
          <cell r="AE257" t="str">
            <v>singleonly</v>
          </cell>
        </row>
        <row r="258">
          <cell r="A258" t="str">
            <v>11211_3</v>
          </cell>
          <cell r="B258">
            <v>0</v>
          </cell>
          <cell r="C258">
            <v>11211</v>
          </cell>
          <cell r="D258" t="str">
            <v>※欠番</v>
          </cell>
          <cell r="E258" t="str">
            <v>【超級】ゲリラ※欠番</v>
          </cell>
          <cell r="F258">
            <v>3</v>
          </cell>
          <cell r="G258" t="str">
            <v>ja</v>
          </cell>
          <cell r="H258" t="str">
            <v>【超級】森のジェントルを追え！</v>
          </cell>
          <cell r="I258" t="str">
            <v>超級ゲリラ ※一時利用</v>
          </cell>
          <cell r="J258">
            <v>339</v>
          </cell>
          <cell r="K258">
            <v>40</v>
          </cell>
          <cell r="L258">
            <v>500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7</v>
          </cell>
          <cell r="AD258">
            <v>6</v>
          </cell>
          <cell r="AE258" t="str">
            <v>singleonly</v>
          </cell>
        </row>
        <row r="259">
          <cell r="A259" t="str">
            <v>11211_4</v>
          </cell>
          <cell r="B259">
            <v>0</v>
          </cell>
          <cell r="C259">
            <v>11211</v>
          </cell>
          <cell r="D259" t="str">
            <v>※欠番</v>
          </cell>
          <cell r="E259" t="str">
            <v>【超級】ゲリラ※欠番</v>
          </cell>
          <cell r="F259">
            <v>4</v>
          </cell>
          <cell r="G259" t="str">
            <v>ja</v>
          </cell>
          <cell r="H259" t="str">
            <v>【超級】炎のジェントルを追え！</v>
          </cell>
          <cell r="I259" t="str">
            <v>超級ゲリラ ※一時利用</v>
          </cell>
          <cell r="J259">
            <v>335</v>
          </cell>
          <cell r="K259">
            <v>40</v>
          </cell>
          <cell r="L259">
            <v>500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</v>
          </cell>
          <cell r="AD259">
            <v>6</v>
          </cell>
          <cell r="AE259" t="str">
            <v>singleonly</v>
          </cell>
        </row>
        <row r="260">
          <cell r="A260" t="str">
            <v>11212_1</v>
          </cell>
          <cell r="B260">
            <v>0</v>
          </cell>
          <cell r="C260">
            <v>11212</v>
          </cell>
          <cell r="D260" t="str">
            <v>100万DL記念★特別クエスト</v>
          </cell>
          <cell r="E260" t="str">
            <v>100万DL記念★特別クエスト</v>
          </cell>
          <cell r="F260">
            <v>1</v>
          </cell>
          <cell r="G260" t="str">
            <v>ja</v>
          </cell>
          <cell r="H260" t="str">
            <v>ミリオンダックより愛をこめて</v>
          </cell>
          <cell r="I260" t="str">
            <v>100万DL記念限定クエスト</v>
          </cell>
          <cell r="J260">
            <v>97</v>
          </cell>
          <cell r="K260">
            <v>1</v>
          </cell>
          <cell r="L260">
            <v>100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11213_1</v>
          </cell>
          <cell r="B261">
            <v>0</v>
          </cell>
          <cell r="C261">
            <v>11213</v>
          </cell>
          <cell r="D261" t="str">
            <v>クエスト名</v>
          </cell>
          <cell r="E261" t="str">
            <v>【超級】カジノ</v>
          </cell>
          <cell r="F261">
            <v>1</v>
          </cell>
          <cell r="G261" t="str">
            <v>ja</v>
          </cell>
          <cell r="H261" t="str">
            <v xml:space="preserve">【超級】ゴールドカジノ </v>
          </cell>
          <cell r="I261" t="str">
            <v>超級カジノ</v>
          </cell>
          <cell r="J261">
            <v>119</v>
          </cell>
          <cell r="K261">
            <v>30</v>
          </cell>
          <cell r="L261">
            <v>777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11214_1</v>
          </cell>
          <cell r="B262">
            <v>0</v>
          </cell>
          <cell r="C262">
            <v>11214</v>
          </cell>
          <cell r="D262" t="str">
            <v>プロメテウスの恋</v>
          </cell>
          <cell r="E262" t="str">
            <v>2015年クリスマスクエスト</v>
          </cell>
          <cell r="F262">
            <v>1</v>
          </cell>
          <cell r="G262" t="str">
            <v>ja</v>
          </cell>
          <cell r="H262" t="str">
            <v>【ストーリー前編】勢いまかせ</v>
          </cell>
          <cell r="I262" t="str">
            <v>2015年クリスマスクエスト</v>
          </cell>
          <cell r="J262">
            <v>202</v>
          </cell>
          <cell r="K262">
            <v>1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character</v>
          </cell>
          <cell r="T262" t="str">
            <v>520,521,522,523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11214_2</v>
          </cell>
          <cell r="B263">
            <v>0</v>
          </cell>
          <cell r="C263">
            <v>11214</v>
          </cell>
          <cell r="D263" t="str">
            <v>プロメテウスの恋</v>
          </cell>
          <cell r="E263" t="str">
            <v>2015年クリスマスクエスト</v>
          </cell>
          <cell r="F263">
            <v>2</v>
          </cell>
          <cell r="G263" t="str">
            <v>ja</v>
          </cell>
          <cell r="H263" t="str">
            <v>【ストーリー中編】恋の奥義</v>
          </cell>
          <cell r="I263" t="str">
            <v>2015年クリスマスクエスト</v>
          </cell>
          <cell r="J263">
            <v>202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>
            <v>11214</v>
          </cell>
          <cell r="V263">
            <v>1</v>
          </cell>
          <cell r="W263" t="str">
            <v>【ストーリー前編】勢いまかせ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singleonly</v>
          </cell>
        </row>
        <row r="264">
          <cell r="A264" t="str">
            <v>11214_3</v>
          </cell>
          <cell r="B264">
            <v>0</v>
          </cell>
          <cell r="C264">
            <v>11214</v>
          </cell>
          <cell r="D264" t="str">
            <v>プロメテウスの恋</v>
          </cell>
          <cell r="E264" t="str">
            <v>2015年クリスマスクエスト</v>
          </cell>
          <cell r="F264">
            <v>3</v>
          </cell>
          <cell r="G264" t="str">
            <v>ja</v>
          </cell>
          <cell r="H264" t="str">
            <v>【ストーリー後編】フィーバーの力</v>
          </cell>
          <cell r="I264" t="str">
            <v>2015年クリスマスクエスト</v>
          </cell>
          <cell r="J264">
            <v>202</v>
          </cell>
          <cell r="K264">
            <v>1</v>
          </cell>
          <cell r="L264">
            <v>2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character</v>
          </cell>
          <cell r="T264" t="str">
            <v>520,521,522,523</v>
          </cell>
          <cell r="U264">
            <v>11214</v>
          </cell>
          <cell r="V264">
            <v>1</v>
          </cell>
          <cell r="W264" t="str">
            <v>【ストーリー前編】勢いまかせ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singleonly</v>
          </cell>
        </row>
        <row r="265">
          <cell r="A265" t="str">
            <v>11215_1</v>
          </cell>
          <cell r="B265">
            <v>0</v>
          </cell>
          <cell r="C265">
            <v>11215</v>
          </cell>
          <cell r="D265" t="str">
            <v>【マルチ】サンタダックを捕獲せよ！</v>
          </cell>
          <cell r="E265" t="str">
            <v>2015年クリスマスゲリラクエスト</v>
          </cell>
          <cell r="F265">
            <v>1</v>
          </cell>
          <cell r="G265" t="str">
            <v>ja</v>
          </cell>
          <cell r="H265" t="str">
            <v>【上級】サンタダックを捕獲せよ！</v>
          </cell>
          <cell r="I265" t="str">
            <v>2015年クリスマスゲリラクエスト</v>
          </cell>
          <cell r="J265">
            <v>520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multionly</v>
          </cell>
        </row>
        <row r="266">
          <cell r="A266" t="str">
            <v>11216_1</v>
          </cell>
          <cell r="B266">
            <v>0</v>
          </cell>
          <cell r="C266">
            <v>11216</v>
          </cell>
          <cell r="D266" t="str">
            <v>年越し★特別クエスト</v>
          </cell>
          <cell r="E266" t="str">
            <v>2015年年越しクエスト</v>
          </cell>
          <cell r="F266">
            <v>1</v>
          </cell>
          <cell r="G266" t="str">
            <v>ja</v>
          </cell>
          <cell r="H266" t="str">
            <v>【上級】年を越える宴（ハートなし）</v>
          </cell>
          <cell r="I266" t="str">
            <v>2015年年忘れクエスト</v>
          </cell>
          <cell r="J266">
            <v>377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901</v>
          </cell>
          <cell r="AD266">
            <v>6</v>
          </cell>
          <cell r="AE266" t="str">
            <v>multionly</v>
          </cell>
        </row>
        <row r="267">
          <cell r="A267" t="str">
            <v>11217_1</v>
          </cell>
          <cell r="B267">
            <v>0</v>
          </cell>
          <cell r="C267">
            <v>11217</v>
          </cell>
          <cell r="D267" t="str">
            <v>年明け★特別クエスト</v>
          </cell>
          <cell r="E267" t="str">
            <v>2016年あけおめクエスト</v>
          </cell>
          <cell r="F267">
            <v>1</v>
          </cell>
          <cell r="G267" t="str">
            <v>ja</v>
          </cell>
          <cell r="H267" t="str">
            <v>あけおめダックのお年玉</v>
          </cell>
          <cell r="I267" t="str">
            <v>2016年あけおめクエスト</v>
          </cell>
          <cell r="J267">
            <v>524</v>
          </cell>
          <cell r="K267">
            <v>1</v>
          </cell>
          <cell r="L267">
            <v>2016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polygon</v>
          </cell>
          <cell r="T267">
            <v>1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once</v>
          </cell>
          <cell r="AC267">
            <v>2</v>
          </cell>
          <cell r="AD267">
            <v>6</v>
          </cell>
          <cell r="AE267" t="str">
            <v>singleonly</v>
          </cell>
        </row>
        <row r="268">
          <cell r="A268" t="str">
            <v>11218_1</v>
          </cell>
          <cell r="B268">
            <v>3</v>
          </cell>
          <cell r="C268">
            <v>11218</v>
          </cell>
          <cell r="D268" t="str">
            <v>バレンタイン★特別クエスト</v>
          </cell>
          <cell r="E268" t="str">
            <v>2016年バレンタインクエスト</v>
          </cell>
          <cell r="F268">
            <v>1</v>
          </cell>
          <cell r="G268" t="str">
            <v>ja</v>
          </cell>
          <cell r="H268" t="str">
            <v>【ストーリー】バレンタイン狂想曲</v>
          </cell>
          <cell r="I268" t="str">
            <v>ストーリー</v>
          </cell>
          <cell r="J268">
            <v>572</v>
          </cell>
          <cell r="K268">
            <v>1</v>
          </cell>
          <cell r="L268">
            <v>214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polygon</v>
          </cell>
          <cell r="T268">
            <v>1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11219_1</v>
          </cell>
          <cell r="B269">
            <v>3</v>
          </cell>
          <cell r="C269">
            <v>11219</v>
          </cell>
          <cell r="D269" t="str">
            <v>200万DL記念★特別クエスト</v>
          </cell>
          <cell r="E269" t="str">
            <v>200万DL記念★特別クエスト</v>
          </cell>
          <cell r="F269">
            <v>1</v>
          </cell>
          <cell r="G269" t="str">
            <v>ja</v>
          </cell>
          <cell r="H269" t="str">
            <v>ミリオンダックより愛を込めて 2</v>
          </cell>
          <cell r="I269" t="str">
            <v>200万DL記念限定クエスト</v>
          </cell>
          <cell r="J269">
            <v>97</v>
          </cell>
          <cell r="K269">
            <v>1</v>
          </cell>
          <cell r="L269">
            <v>200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polygon</v>
          </cell>
          <cell r="T269">
            <v>1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</v>
          </cell>
          <cell r="AD269">
            <v>6</v>
          </cell>
          <cell r="AE269" t="str">
            <v>singleonly</v>
          </cell>
        </row>
        <row r="270">
          <cell r="A270" t="str">
            <v>11220_1</v>
          </cell>
          <cell r="B270">
            <v>3</v>
          </cell>
          <cell r="C270">
            <v>11220</v>
          </cell>
          <cell r="D270" t="str">
            <v>ホワイトデー★特別クエスト</v>
          </cell>
          <cell r="E270" t="str">
            <v>2016年ホワイトデークエスト</v>
          </cell>
          <cell r="F270">
            <v>1</v>
          </cell>
          <cell r="G270" t="str">
            <v>ja</v>
          </cell>
          <cell r="H270" t="str">
            <v>【ストーリー】ホワイトデー独騒曲</v>
          </cell>
          <cell r="I270" t="str">
            <v>2016年ホワイトデークエスト</v>
          </cell>
          <cell r="J270">
            <v>350</v>
          </cell>
          <cell r="K270">
            <v>1</v>
          </cell>
          <cell r="L270">
            <v>314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polygon</v>
          </cell>
          <cell r="T270">
            <v>1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once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11221_1</v>
          </cell>
          <cell r="B271">
            <v>3</v>
          </cell>
          <cell r="C271">
            <v>11221</v>
          </cell>
          <cell r="D271" t="str">
            <v>新生活★応援クエスト</v>
          </cell>
          <cell r="E271" t="str">
            <v>2016年卒業クエスト</v>
          </cell>
          <cell r="F271">
            <v>1</v>
          </cell>
          <cell r="G271" t="str">
            <v>ja</v>
          </cell>
          <cell r="H271" t="str">
            <v>【ストーリー】桜舞い散る樹の下で</v>
          </cell>
          <cell r="I271" t="str">
            <v>2016年卒業クエスト</v>
          </cell>
          <cell r="J271">
            <v>794</v>
          </cell>
          <cell r="K271">
            <v>1</v>
          </cell>
          <cell r="L271">
            <v>331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polygon</v>
          </cell>
          <cell r="T271">
            <v>1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once</v>
          </cell>
          <cell r="AC271">
            <v>926</v>
          </cell>
          <cell r="AD271">
            <v>6</v>
          </cell>
          <cell r="AE271" t="str">
            <v>singleonly</v>
          </cell>
        </row>
        <row r="272">
          <cell r="A272" t="str">
            <v>11222_1</v>
          </cell>
          <cell r="B272">
            <v>1</v>
          </cell>
          <cell r="C272">
            <v>11222</v>
          </cell>
          <cell r="D272" t="str">
            <v>ドードー</v>
          </cell>
          <cell r="E272" t="str">
            <v>曜日ダンジョン超絶級</v>
          </cell>
          <cell r="F272">
            <v>1</v>
          </cell>
          <cell r="G272" t="str">
            <v>ja</v>
          </cell>
          <cell r="H272" t="str">
            <v>【超絶級】ドードー</v>
          </cell>
          <cell r="I272" t="str">
            <v>2016年卒業クエスト</v>
          </cell>
          <cell r="J272">
            <v>794</v>
          </cell>
          <cell r="K272">
            <v>1</v>
          </cell>
          <cell r="L272">
            <v>331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polygon</v>
          </cell>
          <cell r="T272">
            <v>1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926</v>
          </cell>
          <cell r="AD272">
            <v>6</v>
          </cell>
          <cell r="AE272" t="str">
            <v>everyone</v>
          </cell>
        </row>
        <row r="273">
          <cell r="A273" t="str">
            <v>11223_1</v>
          </cell>
          <cell r="B273">
            <v>1</v>
          </cell>
          <cell r="C273">
            <v>11223</v>
          </cell>
          <cell r="D273" t="str">
            <v>グリフォン</v>
          </cell>
          <cell r="E273" t="str">
            <v>曜日ダンジョン超絶級</v>
          </cell>
          <cell r="F273">
            <v>1</v>
          </cell>
          <cell r="G273" t="str">
            <v>ja</v>
          </cell>
          <cell r="H273" t="str">
            <v>【超絶級】グリフォン</v>
          </cell>
          <cell r="I273" t="str">
            <v>2016年卒業クエスト</v>
          </cell>
          <cell r="J273">
            <v>794</v>
          </cell>
          <cell r="K273">
            <v>1</v>
          </cell>
          <cell r="L273">
            <v>331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polygon</v>
          </cell>
          <cell r="T273">
            <v>1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926</v>
          </cell>
          <cell r="AD273">
            <v>6</v>
          </cell>
          <cell r="AE273" t="str">
            <v>everyone</v>
          </cell>
        </row>
        <row r="274">
          <cell r="A274" t="str">
            <v>11224_1</v>
          </cell>
          <cell r="B274">
            <v>1</v>
          </cell>
          <cell r="C274">
            <v>11224</v>
          </cell>
          <cell r="D274" t="str">
            <v>記念★特別クエスト</v>
          </cell>
          <cell r="E274" t="str">
            <v>記念★特別クエスト</v>
          </cell>
          <cell r="F274">
            <v>1</v>
          </cell>
          <cell r="G274" t="str">
            <v>ja</v>
          </cell>
          <cell r="H274" t="str">
            <v>【超ウサード級】Usagi-kun襲来！</v>
          </cell>
          <cell r="I274" t="str">
            <v>記念クエスト</v>
          </cell>
          <cell r="J274">
            <v>202</v>
          </cell>
          <cell r="K274">
            <v>1</v>
          </cell>
          <cell r="L274">
            <v>331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polygon</v>
          </cell>
          <cell r="T274">
            <v>1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</v>
          </cell>
          <cell r="AD274">
            <v>6</v>
          </cell>
          <cell r="AE274" t="str">
            <v>singleonly</v>
          </cell>
        </row>
        <row r="275">
          <cell r="A275" t="str">
            <v>12001_1</v>
          </cell>
          <cell r="B275">
            <v>3</v>
          </cell>
          <cell r="C275">
            <v>12001</v>
          </cell>
          <cell r="D275" t="str">
            <v>【緊急！！】 アヒル捕獲作戦</v>
          </cell>
          <cell r="E275" t="str">
            <v>ゲリラクエスト</v>
          </cell>
          <cell r="F275">
            <v>1</v>
          </cell>
          <cell r="G275" t="str">
            <v>ja</v>
          </cell>
          <cell r="H275" t="str">
            <v xml:space="preserve">【初級】メタルダックを捕獲せよ！ </v>
          </cell>
          <cell r="I275" t="str">
            <v>経験値ゲリラ</v>
          </cell>
          <cell r="J275">
            <v>334</v>
          </cell>
          <cell r="K275">
            <v>8</v>
          </cell>
          <cell r="L275">
            <v>140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none</v>
          </cell>
          <cell r="T275">
            <v>0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201</v>
          </cell>
          <cell r="AD275">
            <v>6</v>
          </cell>
          <cell r="AE275" t="str">
            <v>everyone</v>
          </cell>
        </row>
        <row r="276">
          <cell r="A276" t="str">
            <v>12001_2</v>
          </cell>
          <cell r="B276">
            <v>3</v>
          </cell>
          <cell r="C276">
            <v>12001</v>
          </cell>
          <cell r="D276" t="str">
            <v>【緊急！！】 アヒル捕獲作戦</v>
          </cell>
          <cell r="E276" t="str">
            <v>ゲリラクエスト</v>
          </cell>
          <cell r="F276">
            <v>2</v>
          </cell>
          <cell r="G276" t="str">
            <v>ja</v>
          </cell>
          <cell r="H276" t="str">
            <v xml:space="preserve">【上級】メタルダックを捕獲せよ！ </v>
          </cell>
          <cell r="I276" t="str">
            <v>経験値ゲリラ</v>
          </cell>
          <cell r="J276">
            <v>334</v>
          </cell>
          <cell r="K276">
            <v>20</v>
          </cell>
          <cell r="L276">
            <v>350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201</v>
          </cell>
          <cell r="AD276">
            <v>6</v>
          </cell>
          <cell r="AE276" t="str">
            <v>everyone</v>
          </cell>
        </row>
        <row r="277">
          <cell r="A277" t="str">
            <v>12001_3</v>
          </cell>
          <cell r="B277">
            <v>0</v>
          </cell>
          <cell r="C277">
            <v>12001</v>
          </cell>
          <cell r="D277" t="str">
            <v>【緊急！！】 アヒル捕獲作戦</v>
          </cell>
          <cell r="E277" t="str">
            <v>ゲリラクエスト</v>
          </cell>
          <cell r="F277">
            <v>3</v>
          </cell>
          <cell r="G277" t="str">
            <v>ja</v>
          </cell>
          <cell r="H277" t="str">
            <v>★100DL記念 マルチ専用★_x000D_【上級】メタルダックを捕獲せよ！</v>
          </cell>
          <cell r="I277" t="str">
            <v>経験値ゲリラ</v>
          </cell>
          <cell r="J277">
            <v>334</v>
          </cell>
          <cell r="K277">
            <v>10</v>
          </cell>
          <cell r="L277">
            <v>350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none</v>
          </cell>
          <cell r="T277">
            <v>0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201</v>
          </cell>
          <cell r="AD277">
            <v>6</v>
          </cell>
          <cell r="AE277" t="str">
            <v>multionly</v>
          </cell>
        </row>
        <row r="278">
          <cell r="A278" t="str">
            <v>12002_3</v>
          </cell>
          <cell r="B278">
            <v>0</v>
          </cell>
          <cell r="C278">
            <v>12002</v>
          </cell>
          <cell r="D278" t="str">
            <v>【マルチ専用1/2】 アヒル捕獲作戦</v>
          </cell>
          <cell r="E278" t="str">
            <v>ゲリラクエスト</v>
          </cell>
          <cell r="F278">
            <v>3</v>
          </cell>
          <cell r="G278" t="str">
            <v>ja</v>
          </cell>
          <cell r="H278" t="str">
            <v xml:space="preserve">【初級】メタルダックを捕獲せよ！ </v>
          </cell>
          <cell r="I278" t="str">
            <v>経験値ゲリラ</v>
          </cell>
          <cell r="J278">
            <v>334</v>
          </cell>
          <cell r="K278">
            <v>8</v>
          </cell>
          <cell r="L278">
            <v>140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201</v>
          </cell>
          <cell r="AD278">
            <v>6</v>
          </cell>
          <cell r="AE278" t="str">
            <v>everyone</v>
          </cell>
        </row>
        <row r="279">
          <cell r="A279" t="str">
            <v>12002_2</v>
          </cell>
          <cell r="B279">
            <v>0</v>
          </cell>
          <cell r="C279">
            <v>12002</v>
          </cell>
          <cell r="D279" t="str">
            <v>【マルチ専用1/2】 アヒル捕獲作戦</v>
          </cell>
          <cell r="E279" t="str">
            <v>ゲリラクエスト</v>
          </cell>
          <cell r="F279">
            <v>2</v>
          </cell>
          <cell r="G279" t="str">
            <v>ja</v>
          </cell>
          <cell r="H279" t="str">
            <v xml:space="preserve">【上級】メタルダックを捕獲せよ！ </v>
          </cell>
          <cell r="I279" t="str">
            <v>経験値ゲリラ</v>
          </cell>
          <cell r="J279">
            <v>334</v>
          </cell>
          <cell r="K279">
            <v>20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201</v>
          </cell>
          <cell r="AD279">
            <v>6</v>
          </cell>
          <cell r="AE279" t="str">
            <v>everyone</v>
          </cell>
        </row>
        <row r="280">
          <cell r="A280" t="str">
            <v>12002_1</v>
          </cell>
          <cell r="B280">
            <v>3</v>
          </cell>
          <cell r="C280">
            <v>12002</v>
          </cell>
          <cell r="D280" t="str">
            <v>【マルチ専用1/2】 アヒル捕獲作戦</v>
          </cell>
          <cell r="E280" t="str">
            <v>ゲリラクエスト</v>
          </cell>
          <cell r="F280">
            <v>1</v>
          </cell>
          <cell r="G280" t="str">
            <v>ja</v>
          </cell>
          <cell r="H280" t="str">
            <v>【上級】メタルダックを捕獲せよ！</v>
          </cell>
          <cell r="I280" t="str">
            <v>経験値ゲリラ</v>
          </cell>
          <cell r="J280">
            <v>334</v>
          </cell>
          <cell r="K280">
            <v>10</v>
          </cell>
          <cell r="L280">
            <v>350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none</v>
          </cell>
          <cell r="T280">
            <v>0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201</v>
          </cell>
          <cell r="AD280">
            <v>6</v>
          </cell>
          <cell r="AE280" t="str">
            <v>multionly</v>
          </cell>
        </row>
        <row r="281">
          <cell r="A281" t="str">
            <v>12003_1</v>
          </cell>
          <cell r="B281">
            <v>3</v>
          </cell>
          <cell r="C281">
            <v>12003</v>
          </cell>
          <cell r="D281" t="str">
            <v>【超緊急！！】メタルジェントルを追え</v>
          </cell>
          <cell r="E281" t="str">
            <v>ゲリラ【超級】</v>
          </cell>
          <cell r="F281">
            <v>1</v>
          </cell>
          <cell r="G281" t="str">
            <v>ja</v>
          </cell>
          <cell r="H281" t="str">
            <v>【超級】雷のジェントルを追え！</v>
          </cell>
          <cell r="I281" t="str">
            <v>超級ゲリラ</v>
          </cell>
          <cell r="J281">
            <v>347</v>
          </cell>
          <cell r="K281">
            <v>40</v>
          </cell>
          <cell r="L281">
            <v>500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12</v>
          </cell>
          <cell r="AD281">
            <v>6</v>
          </cell>
          <cell r="AE281" t="str">
            <v>singleonly</v>
          </cell>
        </row>
        <row r="282">
          <cell r="A282" t="str">
            <v>12003_2</v>
          </cell>
          <cell r="B282">
            <v>3</v>
          </cell>
          <cell r="C282">
            <v>12003</v>
          </cell>
          <cell r="D282" t="str">
            <v>【超緊急！！】メタルジェントルを追え</v>
          </cell>
          <cell r="E282" t="str">
            <v>ゲリラ【超級】</v>
          </cell>
          <cell r="F282">
            <v>2</v>
          </cell>
          <cell r="G282" t="str">
            <v>ja</v>
          </cell>
          <cell r="H282" t="str">
            <v>【超級】水のジェントルを追え！</v>
          </cell>
          <cell r="I282" t="str">
            <v>超級ゲリラ</v>
          </cell>
          <cell r="J282">
            <v>343</v>
          </cell>
          <cell r="K282">
            <v>40</v>
          </cell>
          <cell r="L282">
            <v>500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5</v>
          </cell>
          <cell r="AD282">
            <v>6</v>
          </cell>
          <cell r="AE282" t="str">
            <v>singleonly</v>
          </cell>
        </row>
        <row r="283">
          <cell r="A283" t="str">
            <v>12003_3</v>
          </cell>
          <cell r="B283">
            <v>3</v>
          </cell>
          <cell r="C283">
            <v>12003</v>
          </cell>
          <cell r="D283" t="str">
            <v>【超緊急！！】メタルジェントルを追え</v>
          </cell>
          <cell r="E283" t="str">
            <v>ゲリラ【超級】</v>
          </cell>
          <cell r="F283">
            <v>3</v>
          </cell>
          <cell r="G283" t="str">
            <v>ja</v>
          </cell>
          <cell r="H283" t="str">
            <v>【超級】森のジェントルを追え！</v>
          </cell>
          <cell r="I283" t="str">
            <v>超級ゲリラ</v>
          </cell>
          <cell r="J283">
            <v>339</v>
          </cell>
          <cell r="K283">
            <v>40</v>
          </cell>
          <cell r="L283">
            <v>500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none</v>
          </cell>
          <cell r="T283">
            <v>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7</v>
          </cell>
          <cell r="AD283">
            <v>6</v>
          </cell>
          <cell r="AE283" t="str">
            <v>singleonly</v>
          </cell>
        </row>
        <row r="284">
          <cell r="A284" t="str">
            <v>12003_4</v>
          </cell>
          <cell r="B284">
            <v>3</v>
          </cell>
          <cell r="C284">
            <v>12003</v>
          </cell>
          <cell r="D284" t="str">
            <v>【超緊急！！】メタルジェントルを追え</v>
          </cell>
          <cell r="E284" t="str">
            <v>ゲリラ【超級】</v>
          </cell>
          <cell r="F284">
            <v>4</v>
          </cell>
          <cell r="G284" t="str">
            <v>ja</v>
          </cell>
          <cell r="H284" t="str">
            <v>【超級】炎のジェントルを追え！</v>
          </cell>
          <cell r="I284" t="str">
            <v>超級ゲリラ</v>
          </cell>
          <cell r="J284">
            <v>335</v>
          </cell>
          <cell r="K284">
            <v>40</v>
          </cell>
          <cell r="L284">
            <v>500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none</v>
          </cell>
          <cell r="T284">
            <v>0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10</v>
          </cell>
          <cell r="AD284">
            <v>6</v>
          </cell>
          <cell r="AE284" t="str">
            <v>singleonly</v>
          </cell>
        </row>
        <row r="285">
          <cell r="A285" t="str">
            <v>12004_1</v>
          </cell>
          <cell r="B285">
            <v>3</v>
          </cell>
          <cell r="C285">
            <v>12004</v>
          </cell>
          <cell r="D285" t="str">
            <v>メタルフロッグをもとめて</v>
          </cell>
          <cell r="E285" t="str">
            <v>イベントクエスト</v>
          </cell>
          <cell r="F285">
            <v>1</v>
          </cell>
          <cell r="G285" t="str">
            <v>ja</v>
          </cell>
          <cell r="H285" t="str">
            <v>【上級】メタルフロッグをもとめて</v>
          </cell>
          <cell r="I285" t="str">
            <v>経験値イベント</v>
          </cell>
          <cell r="J285">
            <v>351</v>
          </cell>
          <cell r="K285">
            <v>20</v>
          </cell>
          <cell r="L285">
            <v>100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none</v>
          </cell>
          <cell r="T285">
            <v>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23</v>
          </cell>
          <cell r="AD285">
            <v>6</v>
          </cell>
          <cell r="AE285" t="str">
            <v>everyone</v>
          </cell>
        </row>
        <row r="286">
          <cell r="A286" t="str">
            <v>13001_1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</v>
          </cell>
          <cell r="G286" t="str">
            <v>ja</v>
          </cell>
          <cell r="H286" t="str">
            <v>チャレンジタワー 1F</v>
          </cell>
          <cell r="I286" t="str">
            <v>試練の塔</v>
          </cell>
          <cell r="J286">
            <v>345</v>
          </cell>
          <cell r="K286">
            <v>3</v>
          </cell>
          <cell r="L286">
            <v>120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345,345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13001_2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2</v>
          </cell>
          <cell r="G287" t="str">
            <v>ja</v>
          </cell>
          <cell r="H287" t="str">
            <v>チャレンジタワー 2F</v>
          </cell>
          <cell r="I287" t="str">
            <v>試練の塔</v>
          </cell>
          <cell r="J287">
            <v>333</v>
          </cell>
          <cell r="K287">
            <v>4</v>
          </cell>
          <cell r="L287">
            <v>176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333,333</v>
          </cell>
          <cell r="U287">
            <v>13001</v>
          </cell>
          <cell r="V287">
            <v>1</v>
          </cell>
          <cell r="W287" t="str">
            <v>チャレンジタワー 1F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13001_3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3</v>
          </cell>
          <cell r="G288" t="str">
            <v>ja</v>
          </cell>
          <cell r="H288" t="str">
            <v>チャレンジタワー 3F</v>
          </cell>
          <cell r="I288" t="str">
            <v>試練の塔</v>
          </cell>
          <cell r="J288">
            <v>337</v>
          </cell>
          <cell r="K288">
            <v>5</v>
          </cell>
          <cell r="L288">
            <v>242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337,337</v>
          </cell>
          <cell r="U288">
            <v>13001</v>
          </cell>
          <cell r="V288">
            <v>2</v>
          </cell>
          <cell r="W288" t="str">
            <v>チャレンジタワー 2F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13001_4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4</v>
          </cell>
          <cell r="G289" t="str">
            <v>ja</v>
          </cell>
          <cell r="H289" t="str">
            <v>チャレンジタワー 4F</v>
          </cell>
          <cell r="I289" t="str">
            <v>試練の塔</v>
          </cell>
          <cell r="J289">
            <v>341</v>
          </cell>
          <cell r="K289">
            <v>7</v>
          </cell>
          <cell r="L289">
            <v>508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341,341</v>
          </cell>
          <cell r="U289">
            <v>13001</v>
          </cell>
          <cell r="V289">
            <v>3</v>
          </cell>
          <cell r="W289" t="str">
            <v>チャレンジタワー 3F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13001_5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5</v>
          </cell>
          <cell r="G290" t="str">
            <v>ja</v>
          </cell>
          <cell r="H290" t="str">
            <v>チャレンジタワー 5F</v>
          </cell>
          <cell r="I290" t="str">
            <v>試練の塔</v>
          </cell>
          <cell r="J290">
            <v>333</v>
          </cell>
          <cell r="K290">
            <v>7</v>
          </cell>
          <cell r="L290">
            <v>280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333,337,341,345</v>
          </cell>
          <cell r="U290">
            <v>13001</v>
          </cell>
          <cell r="V290">
            <v>4</v>
          </cell>
          <cell r="W290" t="str">
            <v>チャレンジタワー 4F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13001_6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6</v>
          </cell>
          <cell r="G291" t="str">
            <v>ja</v>
          </cell>
          <cell r="H291" t="str">
            <v>チャレンジタワー 6F</v>
          </cell>
          <cell r="I291" t="str">
            <v>試練の塔</v>
          </cell>
          <cell r="J291">
            <v>346</v>
          </cell>
          <cell r="K291">
            <v>8</v>
          </cell>
          <cell r="L291">
            <v>474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346,345</v>
          </cell>
          <cell r="U291">
            <v>13001</v>
          </cell>
          <cell r="V291">
            <v>5</v>
          </cell>
          <cell r="W291" t="str">
            <v>チャレンジタワー 5F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13001_7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7</v>
          </cell>
          <cell r="G292" t="str">
            <v>ja</v>
          </cell>
          <cell r="H292" t="str">
            <v>チャレンジタワー 7F</v>
          </cell>
          <cell r="I292" t="str">
            <v>試練の塔</v>
          </cell>
          <cell r="J292">
            <v>342</v>
          </cell>
          <cell r="K292">
            <v>8</v>
          </cell>
          <cell r="L292">
            <v>486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342,341</v>
          </cell>
          <cell r="U292">
            <v>13001</v>
          </cell>
          <cell r="V292">
            <v>6</v>
          </cell>
          <cell r="W292" t="str">
            <v>チャレンジタワー 6F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13001_8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8</v>
          </cell>
          <cell r="G293" t="str">
            <v>ja</v>
          </cell>
          <cell r="H293" t="str">
            <v>チャレンジタワー 8F</v>
          </cell>
          <cell r="I293" t="str">
            <v>試練の塔</v>
          </cell>
          <cell r="J293">
            <v>334</v>
          </cell>
          <cell r="K293">
            <v>10</v>
          </cell>
          <cell r="L293">
            <v>1006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334,333</v>
          </cell>
          <cell r="U293">
            <v>13001</v>
          </cell>
          <cell r="V293">
            <v>7</v>
          </cell>
          <cell r="W293" t="str">
            <v>チャレンジタワー 7F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13001_9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9</v>
          </cell>
          <cell r="G294" t="str">
            <v>ja</v>
          </cell>
          <cell r="H294" t="str">
            <v>チャレンジタワー 9F</v>
          </cell>
          <cell r="I294" t="str">
            <v>試練の塔</v>
          </cell>
          <cell r="J294">
            <v>338</v>
          </cell>
          <cell r="K294">
            <v>10</v>
          </cell>
          <cell r="L294">
            <v>702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337,337,338</v>
          </cell>
          <cell r="U294">
            <v>13001</v>
          </cell>
          <cell r="V294">
            <v>8</v>
          </cell>
          <cell r="W294" t="str">
            <v>チャレンジタワー 8F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13001_10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10</v>
          </cell>
          <cell r="G295" t="str">
            <v>ja</v>
          </cell>
          <cell r="H295" t="str">
            <v>チャレンジタワー 10F</v>
          </cell>
          <cell r="I295" t="str">
            <v>試練の塔</v>
          </cell>
          <cell r="J295">
            <v>346</v>
          </cell>
          <cell r="K295">
            <v>11</v>
          </cell>
          <cell r="L295">
            <v>788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346,333,337,341</v>
          </cell>
          <cell r="U295">
            <v>13001</v>
          </cell>
          <cell r="V295">
            <v>9</v>
          </cell>
          <cell r="W295" t="str">
            <v>チャレンジタワー 9F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13001_11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11</v>
          </cell>
          <cell r="G296" t="str">
            <v>ja</v>
          </cell>
          <cell r="H296" t="str">
            <v>チャレンジタワー 11F</v>
          </cell>
          <cell r="I296" t="str">
            <v>試練の塔</v>
          </cell>
          <cell r="J296">
            <v>346</v>
          </cell>
          <cell r="K296">
            <v>12</v>
          </cell>
          <cell r="L296">
            <v>936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346,346</v>
          </cell>
          <cell r="U296">
            <v>13001</v>
          </cell>
          <cell r="V296">
            <v>10</v>
          </cell>
          <cell r="W296" t="str">
            <v>チャレンジタワー 10F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13001_12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12</v>
          </cell>
          <cell r="G297" t="str">
            <v>ja</v>
          </cell>
          <cell r="H297" t="str">
            <v>チャレンジタワー 12F</v>
          </cell>
          <cell r="I297" t="str">
            <v>試練の塔</v>
          </cell>
          <cell r="J297">
            <v>342</v>
          </cell>
          <cell r="K297">
            <v>13</v>
          </cell>
          <cell r="L297">
            <v>1601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342,342</v>
          </cell>
          <cell r="U297">
            <v>13001</v>
          </cell>
          <cell r="V297">
            <v>11</v>
          </cell>
          <cell r="W297" t="str">
            <v>チャレンジタワー 11F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13001_13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13</v>
          </cell>
          <cell r="G298" t="str">
            <v>ja</v>
          </cell>
          <cell r="H298" t="str">
            <v>チャレンジタワー 13F</v>
          </cell>
          <cell r="I298" t="str">
            <v>試練の塔</v>
          </cell>
          <cell r="J298">
            <v>338</v>
          </cell>
          <cell r="K298">
            <v>14</v>
          </cell>
          <cell r="L298">
            <v>945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338,338</v>
          </cell>
          <cell r="U298">
            <v>13001</v>
          </cell>
          <cell r="V298">
            <v>12</v>
          </cell>
          <cell r="W298" t="str">
            <v>チャレンジタワー 12F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13001_14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14</v>
          </cell>
          <cell r="G299" t="str">
            <v>ja</v>
          </cell>
          <cell r="H299" t="str">
            <v>チャレンジタワー 14F</v>
          </cell>
          <cell r="I299" t="str">
            <v>試練の塔</v>
          </cell>
          <cell r="J299">
            <v>334</v>
          </cell>
          <cell r="K299">
            <v>14</v>
          </cell>
          <cell r="L299">
            <v>1188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334,334</v>
          </cell>
          <cell r="U299">
            <v>13001</v>
          </cell>
          <cell r="V299">
            <v>13</v>
          </cell>
          <cell r="W299" t="str">
            <v>チャレンジタワー 13F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13001_15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15</v>
          </cell>
          <cell r="G300" t="str">
            <v>ja</v>
          </cell>
          <cell r="H300" t="str">
            <v>チャレンジタワー 15F</v>
          </cell>
          <cell r="I300" t="str">
            <v>試練の塔</v>
          </cell>
          <cell r="J300">
            <v>316</v>
          </cell>
          <cell r="K300">
            <v>14</v>
          </cell>
          <cell r="L300">
            <v>1008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316</v>
          </cell>
          <cell r="U300">
            <v>13001</v>
          </cell>
          <cell r="V300">
            <v>14</v>
          </cell>
          <cell r="W300" t="str">
            <v>チャレンジタワー 14F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13001_16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16</v>
          </cell>
          <cell r="G301" t="str">
            <v>ja</v>
          </cell>
          <cell r="H301" t="str">
            <v>チャレンジタワー 16F</v>
          </cell>
          <cell r="I301" t="str">
            <v>試練の塔</v>
          </cell>
          <cell r="J301">
            <v>338</v>
          </cell>
          <cell r="K301">
            <v>16</v>
          </cell>
          <cell r="L301">
            <v>2573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338,338,337</v>
          </cell>
          <cell r="U301">
            <v>13001</v>
          </cell>
          <cell r="V301">
            <v>15</v>
          </cell>
          <cell r="W301" t="str">
            <v>チャレンジタワー 15F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13001_17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17</v>
          </cell>
          <cell r="G302" t="str">
            <v>ja</v>
          </cell>
          <cell r="H302" t="str">
            <v>チャレンジタワー 17F</v>
          </cell>
          <cell r="I302" t="str">
            <v>試練の塔</v>
          </cell>
          <cell r="J302">
            <v>346</v>
          </cell>
          <cell r="K302">
            <v>16</v>
          </cell>
          <cell r="L302">
            <v>1568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346,346,345</v>
          </cell>
          <cell r="U302">
            <v>13001</v>
          </cell>
          <cell r="V302">
            <v>16</v>
          </cell>
          <cell r="W302" t="str">
            <v>チャレンジタワー 16F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13001_18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18</v>
          </cell>
          <cell r="G303" t="str">
            <v>ja</v>
          </cell>
          <cell r="H303" t="str">
            <v>チャレンジタワー 18F</v>
          </cell>
          <cell r="I303" t="str">
            <v>試練の塔</v>
          </cell>
          <cell r="J303">
            <v>334</v>
          </cell>
          <cell r="K303">
            <v>17</v>
          </cell>
          <cell r="L303">
            <v>1821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334,334,333</v>
          </cell>
          <cell r="U303">
            <v>13001</v>
          </cell>
          <cell r="V303">
            <v>17</v>
          </cell>
          <cell r="W303" t="str">
            <v>チャレンジタワー 17F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13001_19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19</v>
          </cell>
          <cell r="G304" t="str">
            <v>ja</v>
          </cell>
          <cell r="H304" t="str">
            <v>チャレンジタワー 19F</v>
          </cell>
          <cell r="I304" t="str">
            <v>試練の塔</v>
          </cell>
          <cell r="J304">
            <v>342</v>
          </cell>
          <cell r="K304">
            <v>18</v>
          </cell>
          <cell r="L304">
            <v>2108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342,342,341</v>
          </cell>
          <cell r="U304">
            <v>13001</v>
          </cell>
          <cell r="V304">
            <v>18</v>
          </cell>
          <cell r="W304" t="str">
            <v>チャレンジタワー 18F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13001_20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20</v>
          </cell>
          <cell r="G305" t="str">
            <v>ja</v>
          </cell>
          <cell r="H305" t="str">
            <v>チャレンジタワー 20F</v>
          </cell>
          <cell r="I305" t="str">
            <v>試練の塔</v>
          </cell>
          <cell r="J305">
            <v>318</v>
          </cell>
          <cell r="K305">
            <v>18</v>
          </cell>
          <cell r="L305">
            <v>1620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318</v>
          </cell>
          <cell r="U305">
            <v>13001</v>
          </cell>
          <cell r="V305">
            <v>19</v>
          </cell>
          <cell r="W305" t="str">
            <v>チャレンジタワー 19F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13001_21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21</v>
          </cell>
          <cell r="G306" t="str">
            <v>ja</v>
          </cell>
          <cell r="H306" t="str">
            <v>チャレンジタワー 21F</v>
          </cell>
          <cell r="I306" t="str">
            <v>試練の塔</v>
          </cell>
          <cell r="J306" t="str">
            <v>335</v>
          </cell>
          <cell r="K306">
            <v>18</v>
          </cell>
          <cell r="L306">
            <v>1620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334,335,335</v>
          </cell>
          <cell r="U306">
            <v>13001</v>
          </cell>
          <cell r="V306">
            <v>20</v>
          </cell>
          <cell r="W306" t="str">
            <v>チャレンジタワー 20F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13001_22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22</v>
          </cell>
          <cell r="G307" t="str">
            <v>ja</v>
          </cell>
          <cell r="H307" t="str">
            <v>チャレンジタワー 22F</v>
          </cell>
          <cell r="I307" t="str">
            <v>試練の塔</v>
          </cell>
          <cell r="J307" t="str">
            <v>339</v>
          </cell>
          <cell r="K307">
            <v>18</v>
          </cell>
          <cell r="L307">
            <v>1620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338,339,339</v>
          </cell>
          <cell r="U307">
            <v>13001</v>
          </cell>
          <cell r="V307">
            <v>21</v>
          </cell>
          <cell r="W307" t="str">
            <v>チャレンジタワー 21F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13001_23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23</v>
          </cell>
          <cell r="G308" t="str">
            <v>ja</v>
          </cell>
          <cell r="H308" t="str">
            <v>チャレンジタワー 23F</v>
          </cell>
          <cell r="I308" t="str">
            <v>試練の塔</v>
          </cell>
          <cell r="J308" t="str">
            <v>347</v>
          </cell>
          <cell r="K308">
            <v>20</v>
          </cell>
          <cell r="L308">
            <v>1821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346,347,347</v>
          </cell>
          <cell r="U308">
            <v>13001</v>
          </cell>
          <cell r="V308">
            <v>22</v>
          </cell>
          <cell r="W308" t="str">
            <v>チャレンジタワー 22F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13001_24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24</v>
          </cell>
          <cell r="G309" t="str">
            <v>ja</v>
          </cell>
          <cell r="H309" t="str">
            <v>チャレンジタワー 24F</v>
          </cell>
          <cell r="I309" t="str">
            <v>試練の塔</v>
          </cell>
          <cell r="J309" t="str">
            <v>343</v>
          </cell>
          <cell r="K309">
            <v>20</v>
          </cell>
          <cell r="L309">
            <v>2871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342,343,343</v>
          </cell>
          <cell r="U309">
            <v>13001</v>
          </cell>
          <cell r="V309">
            <v>23</v>
          </cell>
          <cell r="W309" t="str">
            <v>チャレンジタワー 23F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13001_25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25</v>
          </cell>
          <cell r="G310" t="str">
            <v>ja</v>
          </cell>
          <cell r="H310" t="str">
            <v>チャレンジタワー 25F</v>
          </cell>
          <cell r="I310" t="str">
            <v>試練の塔</v>
          </cell>
          <cell r="J310" t="str">
            <v>368</v>
          </cell>
          <cell r="K310">
            <v>22</v>
          </cell>
          <cell r="L310">
            <v>3740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368</v>
          </cell>
          <cell r="U310">
            <v>13001</v>
          </cell>
          <cell r="V310">
            <v>24</v>
          </cell>
          <cell r="W310" t="str">
            <v>チャレンジタワー 24F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14001_1</v>
          </cell>
          <cell r="B311">
            <v>3</v>
          </cell>
          <cell r="C311">
            <v>14001</v>
          </cell>
          <cell r="D311" t="str">
            <v>【ロック】経験値/ソロ</v>
          </cell>
          <cell r="E311" t="str">
            <v>【ロック】経験値/ソロ</v>
          </cell>
          <cell r="F311">
            <v>1</v>
          </cell>
          <cell r="G311" t="str">
            <v>ja</v>
          </cell>
          <cell r="H311" t="str">
            <v>【超級】雷ファミリー（ハートなし）</v>
          </cell>
          <cell r="I311" t="str">
            <v>【ロッククエスト】経験値</v>
          </cell>
          <cell r="J311">
            <v>347</v>
          </cell>
          <cell r="K311">
            <v>1</v>
          </cell>
          <cell r="L311">
            <v>500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12</v>
          </cell>
          <cell r="AD311">
            <v>6</v>
          </cell>
          <cell r="AE311" t="str">
            <v>singleonly</v>
          </cell>
        </row>
        <row r="312">
          <cell r="A312" t="str">
            <v>14001_2</v>
          </cell>
          <cell r="B312">
            <v>3</v>
          </cell>
          <cell r="C312">
            <v>14001</v>
          </cell>
          <cell r="D312" t="str">
            <v>【ロック】経験値/ソロ</v>
          </cell>
          <cell r="E312" t="str">
            <v>【ロック】経験値/ソロ</v>
          </cell>
          <cell r="F312">
            <v>2</v>
          </cell>
          <cell r="G312" t="str">
            <v>ja</v>
          </cell>
          <cell r="H312" t="str">
            <v>【超級】水ファミリー（ハートなし）</v>
          </cell>
          <cell r="I312" t="str">
            <v>【ロッククエスト】経験値</v>
          </cell>
          <cell r="J312">
            <v>343</v>
          </cell>
          <cell r="K312">
            <v>1</v>
          </cell>
          <cell r="L312">
            <v>500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5</v>
          </cell>
          <cell r="AD312">
            <v>6</v>
          </cell>
          <cell r="AE312" t="str">
            <v>singleonly</v>
          </cell>
        </row>
        <row r="313">
          <cell r="A313" t="str">
            <v>14001_3</v>
          </cell>
          <cell r="B313">
            <v>3</v>
          </cell>
          <cell r="C313">
            <v>14001</v>
          </cell>
          <cell r="D313" t="str">
            <v>【ロック】経験値/ソロ</v>
          </cell>
          <cell r="E313" t="str">
            <v>【ロック】経験値/ソロ</v>
          </cell>
          <cell r="F313">
            <v>3</v>
          </cell>
          <cell r="G313" t="str">
            <v>ja</v>
          </cell>
          <cell r="H313" t="str">
            <v>【超級】森ファミリー（ハートなし）</v>
          </cell>
          <cell r="I313" t="str">
            <v>【ロッククエスト】経験値</v>
          </cell>
          <cell r="J313">
            <v>339</v>
          </cell>
          <cell r="K313">
            <v>1</v>
          </cell>
          <cell r="L313">
            <v>500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7</v>
          </cell>
          <cell r="AD313">
            <v>6</v>
          </cell>
          <cell r="AE313" t="str">
            <v>singleonly</v>
          </cell>
        </row>
        <row r="314">
          <cell r="A314" t="str">
            <v>14001_4</v>
          </cell>
          <cell r="B314">
            <v>3</v>
          </cell>
          <cell r="C314">
            <v>14001</v>
          </cell>
          <cell r="D314" t="str">
            <v>【ロック】経験値/ソロ</v>
          </cell>
          <cell r="E314" t="str">
            <v>【ロック】経験値/ソロ</v>
          </cell>
          <cell r="F314">
            <v>4</v>
          </cell>
          <cell r="G314" t="str">
            <v>ja</v>
          </cell>
          <cell r="H314" t="str">
            <v>【超級】炎ファミリー（ハートなし）</v>
          </cell>
          <cell r="I314" t="str">
            <v>【ロッククエスト】経験値</v>
          </cell>
          <cell r="J314">
            <v>335</v>
          </cell>
          <cell r="K314">
            <v>1</v>
          </cell>
          <cell r="L314">
            <v>500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10</v>
          </cell>
          <cell r="AD314">
            <v>6</v>
          </cell>
          <cell r="AE314" t="str">
            <v>singleonly</v>
          </cell>
        </row>
        <row r="315">
          <cell r="A315" t="str">
            <v>14002_1</v>
          </cell>
          <cell r="B315">
            <v>3</v>
          </cell>
          <cell r="C315">
            <v>14002</v>
          </cell>
          <cell r="D315" t="str">
            <v>【ロック】ビット/ソロ</v>
          </cell>
          <cell r="E315" t="str">
            <v>【ロック】ビット/ソロ</v>
          </cell>
          <cell r="F315">
            <v>1</v>
          </cell>
          <cell r="G315" t="str">
            <v>ja</v>
          </cell>
          <cell r="H315" t="str">
            <v>【超級】ハイローラー（ハートなし）</v>
          </cell>
          <cell r="I315" t="str">
            <v>【ロッククエスト】ビット</v>
          </cell>
          <cell r="J315">
            <v>119</v>
          </cell>
          <cell r="K315">
            <v>1</v>
          </cell>
          <cell r="L315">
            <v>777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0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105</v>
          </cell>
          <cell r="AD315">
            <v>6</v>
          </cell>
          <cell r="AE315" t="str">
            <v>singleonly</v>
          </cell>
        </row>
        <row r="316">
          <cell r="A316" t="str">
            <v>14003_1</v>
          </cell>
          <cell r="B316">
            <v>3</v>
          </cell>
          <cell r="C316">
            <v>14003</v>
          </cell>
          <cell r="D316" t="str">
            <v>【ロック】限界突破/ソロ</v>
          </cell>
          <cell r="E316" t="str">
            <v>【ロック】限界突破/ソロ</v>
          </cell>
          <cell r="F316">
            <v>1</v>
          </cell>
          <cell r="G316" t="str">
            <v>ja</v>
          </cell>
          <cell r="H316" t="str">
            <v>【超級】果実の楽園（ハートなし）</v>
          </cell>
          <cell r="I316" t="str">
            <v>【ロッククエスト】限界突破</v>
          </cell>
          <cell r="J316">
            <v>125</v>
          </cell>
          <cell r="K316">
            <v>1</v>
          </cell>
          <cell r="L316">
            <v>860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0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7</v>
          </cell>
          <cell r="AD316">
            <v>6</v>
          </cell>
          <cell r="AE316" t="str">
            <v>singleonly</v>
          </cell>
        </row>
        <row r="317">
          <cell r="A317" t="str">
            <v>14004_1</v>
          </cell>
          <cell r="B317">
            <v>1</v>
          </cell>
          <cell r="C317">
            <v>14004</v>
          </cell>
          <cell r="D317" t="str">
            <v>【ロック】経験値/LINEマルチ</v>
          </cell>
          <cell r="E317" t="str">
            <v>【ロック】経験値/LINEマルチ</v>
          </cell>
          <cell r="F317">
            <v>1</v>
          </cell>
          <cell r="G317" t="str">
            <v>ja</v>
          </cell>
          <cell r="H317" t="str">
            <v>【超級】雷ファミリー（ハートなし）</v>
          </cell>
          <cell r="I317" t="str">
            <v>【ロッククエスト】経験値</v>
          </cell>
          <cell r="J317">
            <v>347</v>
          </cell>
          <cell r="K317">
            <v>1</v>
          </cell>
          <cell r="L317">
            <v>500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12</v>
          </cell>
          <cell r="AD317">
            <v>6</v>
          </cell>
          <cell r="AE317" t="str">
            <v>lineonly</v>
          </cell>
        </row>
        <row r="318">
          <cell r="A318" t="str">
            <v>14004_2</v>
          </cell>
          <cell r="B318">
            <v>1</v>
          </cell>
          <cell r="C318">
            <v>14004</v>
          </cell>
          <cell r="D318" t="str">
            <v>【ロック】経験値/LINEマルチ</v>
          </cell>
          <cell r="E318" t="str">
            <v>【ロック】経験値/LINEマルチ</v>
          </cell>
          <cell r="F318">
            <v>2</v>
          </cell>
          <cell r="G318" t="str">
            <v>ja</v>
          </cell>
          <cell r="H318" t="str">
            <v>【超級】水ファミリー（ハートなし）</v>
          </cell>
          <cell r="I318" t="str">
            <v>【ロッククエスト】経験値</v>
          </cell>
          <cell r="J318">
            <v>343</v>
          </cell>
          <cell r="K318">
            <v>1</v>
          </cell>
          <cell r="L318">
            <v>500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5</v>
          </cell>
          <cell r="AD318">
            <v>6</v>
          </cell>
          <cell r="AE318" t="str">
            <v>lineonly</v>
          </cell>
        </row>
        <row r="319">
          <cell r="A319" t="str">
            <v>14004_3</v>
          </cell>
          <cell r="B319">
            <v>1</v>
          </cell>
          <cell r="C319">
            <v>14004</v>
          </cell>
          <cell r="D319" t="str">
            <v>【ロック】経験値/LINEマルチ</v>
          </cell>
          <cell r="E319" t="str">
            <v>【ロック】経験値/LINEマルチ</v>
          </cell>
          <cell r="F319">
            <v>3</v>
          </cell>
          <cell r="G319" t="str">
            <v>ja</v>
          </cell>
          <cell r="H319" t="str">
            <v>【超級】森ファミリー（ハートなし）</v>
          </cell>
          <cell r="I319" t="str">
            <v>【ロッククエスト】経験値</v>
          </cell>
          <cell r="J319">
            <v>339</v>
          </cell>
          <cell r="K319">
            <v>1</v>
          </cell>
          <cell r="L319">
            <v>500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7</v>
          </cell>
          <cell r="AD319">
            <v>6</v>
          </cell>
          <cell r="AE319" t="str">
            <v>lineonly</v>
          </cell>
        </row>
        <row r="320">
          <cell r="A320" t="str">
            <v>14004_4</v>
          </cell>
          <cell r="B320">
            <v>1</v>
          </cell>
          <cell r="C320">
            <v>14004</v>
          </cell>
          <cell r="D320" t="str">
            <v>【ロック】経験値/LINEマルチ</v>
          </cell>
          <cell r="E320" t="str">
            <v>【ロック】経験値/LINEマルチ</v>
          </cell>
          <cell r="F320">
            <v>4</v>
          </cell>
          <cell r="G320" t="str">
            <v>ja</v>
          </cell>
          <cell r="H320" t="str">
            <v>【超級】炎ファミリー（ハートなし）</v>
          </cell>
          <cell r="I320" t="str">
            <v>【ロッククエスト】経験値</v>
          </cell>
          <cell r="J320">
            <v>335</v>
          </cell>
          <cell r="K320">
            <v>1</v>
          </cell>
          <cell r="L320">
            <v>500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10</v>
          </cell>
          <cell r="AD320">
            <v>6</v>
          </cell>
          <cell r="AE320" t="str">
            <v>lineonly</v>
          </cell>
        </row>
        <row r="321">
          <cell r="A321" t="str">
            <v>14005_1</v>
          </cell>
          <cell r="B321">
            <v>1</v>
          </cell>
          <cell r="C321">
            <v>14005</v>
          </cell>
          <cell r="D321" t="str">
            <v>【ロック】ビット/LINEマルチ</v>
          </cell>
          <cell r="E321" t="str">
            <v>【ロック】ビット/LINEマルチ</v>
          </cell>
          <cell r="F321">
            <v>1</v>
          </cell>
          <cell r="G321" t="str">
            <v>ja</v>
          </cell>
          <cell r="H321" t="str">
            <v>【超級】ハイローラー（ハートなし）</v>
          </cell>
          <cell r="I321" t="str">
            <v>【ロッククエスト】ビット</v>
          </cell>
          <cell r="J321">
            <v>119</v>
          </cell>
          <cell r="K321">
            <v>1</v>
          </cell>
          <cell r="L321">
            <v>777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105</v>
          </cell>
          <cell r="AD321">
            <v>6</v>
          </cell>
          <cell r="AE321" t="str">
            <v>lineonly</v>
          </cell>
        </row>
        <row r="322">
          <cell r="A322" t="str">
            <v>14006_1</v>
          </cell>
          <cell r="B322">
            <v>1</v>
          </cell>
          <cell r="C322">
            <v>14006</v>
          </cell>
          <cell r="D322" t="str">
            <v>【ロック】限界突破/LINEマルチ</v>
          </cell>
          <cell r="E322" t="str">
            <v>【ロック】限界突破/LINEマルチ</v>
          </cell>
          <cell r="F322">
            <v>1</v>
          </cell>
          <cell r="G322" t="str">
            <v>ja</v>
          </cell>
          <cell r="H322" t="str">
            <v>【超級】果実の楽園（ハートなし）</v>
          </cell>
          <cell r="I322" t="str">
            <v>【ロッククエスト】限界突破</v>
          </cell>
          <cell r="J322">
            <v>125</v>
          </cell>
          <cell r="K322">
            <v>1</v>
          </cell>
          <cell r="L322">
            <v>860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7</v>
          </cell>
          <cell r="AD322">
            <v>6</v>
          </cell>
          <cell r="AE322" t="str">
            <v>lineonly</v>
          </cell>
        </row>
        <row r="323">
          <cell r="A323" t="str">
            <v>15027_1</v>
          </cell>
          <cell r="B323">
            <v>3</v>
          </cell>
          <cell r="C323">
            <v>15027</v>
          </cell>
          <cell r="D323" t="str">
            <v>27. 雷雨の登山道</v>
          </cell>
          <cell r="E323" t="str">
            <v>黄青DL6</v>
          </cell>
          <cell r="F323">
            <v>1</v>
          </cell>
          <cell r="G323" t="str">
            <v>ja</v>
          </cell>
          <cell r="H323" t="str">
            <v>27-1. 登山道入口</v>
          </cell>
          <cell r="I323" t="str">
            <v>27--1</v>
          </cell>
          <cell r="J323" t="str">
            <v>NULL</v>
          </cell>
          <cell r="K323">
            <v>18</v>
          </cell>
          <cell r="L323">
            <v>2080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>
            <v>26</v>
          </cell>
          <cell r="V323">
            <v>6</v>
          </cell>
          <cell r="W323" t="str">
            <v>26-6．【1回のみ】ボーナスステージ</v>
          </cell>
          <cell r="X323">
            <v>0</v>
          </cell>
          <cell r="Y323">
            <v>1</v>
          </cell>
          <cell r="Z323">
            <v>0</v>
          </cell>
          <cell r="AA323">
            <v>1</v>
          </cell>
          <cell r="AB323" t="str">
            <v>anytime</v>
          </cell>
          <cell r="AC323">
            <v>27</v>
          </cell>
          <cell r="AD323">
            <v>6</v>
          </cell>
          <cell r="AE323" t="str">
            <v>everyone</v>
          </cell>
        </row>
        <row r="324">
          <cell r="A324" t="str">
            <v>15027_2</v>
          </cell>
          <cell r="B324">
            <v>3</v>
          </cell>
          <cell r="C324">
            <v>15027</v>
          </cell>
          <cell r="D324" t="str">
            <v>27. 雷雨の登山道</v>
          </cell>
          <cell r="E324" t="str">
            <v>黄青DL6</v>
          </cell>
          <cell r="F324">
            <v>2</v>
          </cell>
          <cell r="G324" t="str">
            <v>ja</v>
          </cell>
          <cell r="H324" t="str">
            <v>27-2. 霊峰の守護者</v>
          </cell>
          <cell r="I324" t="str">
            <v>27--2</v>
          </cell>
          <cell r="J324" t="str">
            <v>NULL</v>
          </cell>
          <cell r="K324">
            <v>19</v>
          </cell>
          <cell r="L324">
            <v>2300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>
            <v>15027</v>
          </cell>
          <cell r="V324">
            <v>1</v>
          </cell>
          <cell r="W324" t="str">
            <v>27-1. 登山道入口</v>
          </cell>
          <cell r="X324">
            <v>0</v>
          </cell>
          <cell r="Y324">
            <v>1</v>
          </cell>
          <cell r="Z324">
            <v>0</v>
          </cell>
          <cell r="AA324">
            <v>1</v>
          </cell>
          <cell r="AB324" t="str">
            <v>anytime</v>
          </cell>
          <cell r="AC324">
            <v>27</v>
          </cell>
          <cell r="AD324">
            <v>6</v>
          </cell>
          <cell r="AE324" t="str">
            <v>everyone</v>
          </cell>
        </row>
        <row r="325">
          <cell r="A325" t="str">
            <v>15027_3</v>
          </cell>
          <cell r="B325">
            <v>3</v>
          </cell>
          <cell r="C325">
            <v>15027</v>
          </cell>
          <cell r="D325" t="str">
            <v>27. 雷雨の登山道</v>
          </cell>
          <cell r="E325" t="str">
            <v>黄青DL6</v>
          </cell>
          <cell r="F325">
            <v>3</v>
          </cell>
          <cell r="G325" t="str">
            <v>ja</v>
          </cell>
          <cell r="H325" t="str">
            <v>27-3. 山岳の王者</v>
          </cell>
          <cell r="I325" t="str">
            <v>27--3</v>
          </cell>
          <cell r="J325" t="str">
            <v>NULL</v>
          </cell>
          <cell r="K325">
            <v>22</v>
          </cell>
          <cell r="L325">
            <v>2920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>
            <v>15027</v>
          </cell>
          <cell r="V325">
            <v>2</v>
          </cell>
          <cell r="W325" t="str">
            <v>27-2. 霊峰の守護者</v>
          </cell>
          <cell r="X325">
            <v>0</v>
          </cell>
          <cell r="Y325">
            <v>1</v>
          </cell>
          <cell r="Z325">
            <v>0</v>
          </cell>
          <cell r="AA325">
            <v>1</v>
          </cell>
          <cell r="AB325" t="str">
            <v>anytime</v>
          </cell>
          <cell r="AC325">
            <v>27</v>
          </cell>
          <cell r="AD325">
            <v>6</v>
          </cell>
          <cell r="AE325" t="str">
            <v>everyone</v>
          </cell>
        </row>
        <row r="326">
          <cell r="A326" t="str">
            <v>15027_4</v>
          </cell>
          <cell r="B326">
            <v>3</v>
          </cell>
          <cell r="C326">
            <v>15027</v>
          </cell>
          <cell r="D326" t="str">
            <v>27. 雷雨の登山道</v>
          </cell>
          <cell r="E326" t="str">
            <v>黄青DL6</v>
          </cell>
          <cell r="F326">
            <v>4</v>
          </cell>
          <cell r="G326" t="str">
            <v>ja</v>
          </cell>
          <cell r="H326" t="str">
            <v>27-4. 【1回のみ】ボーナスステージ</v>
          </cell>
          <cell r="I326" t="str">
            <v>27--4</v>
          </cell>
          <cell r="J326">
            <v>343</v>
          </cell>
          <cell r="K326">
            <v>1</v>
          </cell>
          <cell r="L326">
            <v>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>
            <v>15027</v>
          </cell>
          <cell r="V326">
            <v>3</v>
          </cell>
          <cell r="W326" t="str">
            <v>27-3. 山岳の王者</v>
          </cell>
          <cell r="X326">
            <v>0</v>
          </cell>
          <cell r="Y326">
            <v>1</v>
          </cell>
          <cell r="Z326">
            <v>0</v>
          </cell>
          <cell r="AA326">
            <v>1</v>
          </cell>
          <cell r="AB326" t="str">
            <v>once</v>
          </cell>
          <cell r="AC326">
            <v>27</v>
          </cell>
          <cell r="AD326">
            <v>6</v>
          </cell>
          <cell r="AE326" t="str">
            <v>singleonly</v>
          </cell>
        </row>
        <row r="327">
          <cell r="A327" t="str">
            <v>15028_1</v>
          </cell>
          <cell r="B327">
            <v>3</v>
          </cell>
          <cell r="C327">
            <v>15028</v>
          </cell>
          <cell r="D327" t="str">
            <v>28. 暴風と灼熱の罪浄</v>
          </cell>
          <cell r="E327" t="str">
            <v>赤緑DL6</v>
          </cell>
          <cell r="F327">
            <v>1</v>
          </cell>
          <cell r="G327" t="str">
            <v>ja</v>
          </cell>
          <cell r="H327" t="str">
            <v>28-1. 轟翼のかまど</v>
          </cell>
          <cell r="I327" t="str">
            <v>28--1</v>
          </cell>
          <cell r="J327" t="str">
            <v>NULL</v>
          </cell>
          <cell r="K327">
            <v>18</v>
          </cell>
          <cell r="L327">
            <v>2150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>
            <v>15027</v>
          </cell>
          <cell r="V327">
            <v>4</v>
          </cell>
          <cell r="W327" t="str">
            <v>27-4. 【1回のみ】ボーナスステージ</v>
          </cell>
          <cell r="X327">
            <v>1</v>
          </cell>
          <cell r="Y327">
            <v>0</v>
          </cell>
          <cell r="Z327">
            <v>1</v>
          </cell>
          <cell r="AA327">
            <v>0</v>
          </cell>
          <cell r="AB327" t="str">
            <v>anytime</v>
          </cell>
          <cell r="AC327">
            <v>28</v>
          </cell>
          <cell r="AD327">
            <v>6</v>
          </cell>
          <cell r="AE327" t="str">
            <v>everyone</v>
          </cell>
        </row>
        <row r="328">
          <cell r="A328" t="str">
            <v>15028_2</v>
          </cell>
          <cell r="B328">
            <v>3</v>
          </cell>
          <cell r="C328">
            <v>15028</v>
          </cell>
          <cell r="D328" t="str">
            <v>28. 暴風と灼熱の罪浄</v>
          </cell>
          <cell r="E328" t="str">
            <v>赤緑DL6</v>
          </cell>
          <cell r="F328">
            <v>2</v>
          </cell>
          <cell r="G328" t="str">
            <v>ja</v>
          </cell>
          <cell r="H328" t="str">
            <v>28-2. 空の寝殿</v>
          </cell>
          <cell r="I328" t="str">
            <v>28--2</v>
          </cell>
          <cell r="J328" t="str">
            <v>NULL</v>
          </cell>
          <cell r="K328">
            <v>19</v>
          </cell>
          <cell r="L328">
            <v>2500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>
            <v>15028</v>
          </cell>
          <cell r="V328">
            <v>1</v>
          </cell>
          <cell r="W328" t="str">
            <v>28-1. 轟翼のかまど</v>
          </cell>
          <cell r="X328">
            <v>1</v>
          </cell>
          <cell r="Y328">
            <v>0</v>
          </cell>
          <cell r="Z328">
            <v>1</v>
          </cell>
          <cell r="AA328">
            <v>0</v>
          </cell>
          <cell r="AB328" t="str">
            <v>anytime</v>
          </cell>
          <cell r="AC328">
            <v>28</v>
          </cell>
          <cell r="AD328">
            <v>6</v>
          </cell>
          <cell r="AE328" t="str">
            <v>everyone</v>
          </cell>
        </row>
        <row r="329">
          <cell r="A329" t="str">
            <v>15028_3</v>
          </cell>
          <cell r="B329">
            <v>3</v>
          </cell>
          <cell r="C329">
            <v>15028</v>
          </cell>
          <cell r="D329" t="str">
            <v>28. 暴風と灼熱の罪浄</v>
          </cell>
          <cell r="E329" t="str">
            <v>赤緑DL6</v>
          </cell>
          <cell r="F329">
            <v>3</v>
          </cell>
          <cell r="G329" t="str">
            <v>ja</v>
          </cell>
          <cell r="H329" t="str">
            <v>28-3. 縛風の洞窟</v>
          </cell>
          <cell r="I329" t="str">
            <v>28--3</v>
          </cell>
          <cell r="J329" t="str">
            <v>NULL</v>
          </cell>
          <cell r="K329">
            <v>22</v>
          </cell>
          <cell r="L329">
            <v>3100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>
            <v>15028</v>
          </cell>
          <cell r="V329">
            <v>2</v>
          </cell>
          <cell r="W329" t="str">
            <v>28-2. 空の寝殿</v>
          </cell>
          <cell r="X329">
            <v>1</v>
          </cell>
          <cell r="Y329">
            <v>0</v>
          </cell>
          <cell r="Z329">
            <v>1</v>
          </cell>
          <cell r="AA329">
            <v>0</v>
          </cell>
          <cell r="AB329" t="str">
            <v>anytime</v>
          </cell>
          <cell r="AC329">
            <v>28</v>
          </cell>
          <cell r="AD329">
            <v>6</v>
          </cell>
          <cell r="AE329" t="str">
            <v>everyone</v>
          </cell>
        </row>
        <row r="330">
          <cell r="A330" t="str">
            <v>15028_4</v>
          </cell>
          <cell r="B330">
            <v>3</v>
          </cell>
          <cell r="C330">
            <v>15028</v>
          </cell>
          <cell r="D330" t="str">
            <v>28. 暴風と灼熱の罪浄</v>
          </cell>
          <cell r="E330" t="str">
            <v>赤緑DL6</v>
          </cell>
          <cell r="F330">
            <v>4</v>
          </cell>
          <cell r="G330" t="str">
            <v>ja</v>
          </cell>
          <cell r="H330" t="str">
            <v>28-4. 【1回のみ】ボーナスステージ</v>
          </cell>
          <cell r="I330" t="str">
            <v>28--4</v>
          </cell>
          <cell r="J330">
            <v>339</v>
          </cell>
          <cell r="K330">
            <v>1</v>
          </cell>
          <cell r="L330">
            <v>1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>
            <v>15028</v>
          </cell>
          <cell r="V330">
            <v>3</v>
          </cell>
          <cell r="W330" t="str">
            <v>28-3. 縛風の洞窟</v>
          </cell>
          <cell r="X330">
            <v>1</v>
          </cell>
          <cell r="Y330">
            <v>0</v>
          </cell>
          <cell r="Z330">
            <v>1</v>
          </cell>
          <cell r="AA330">
            <v>0</v>
          </cell>
          <cell r="AB330" t="str">
            <v>once</v>
          </cell>
          <cell r="AC330">
            <v>28</v>
          </cell>
          <cell r="AD330">
            <v>6</v>
          </cell>
          <cell r="AE330" t="str">
            <v>singleonly</v>
          </cell>
        </row>
        <row r="331">
          <cell r="A331" t="str">
            <v>15029_1</v>
          </cell>
          <cell r="B331">
            <v>1</v>
          </cell>
          <cell r="C331">
            <v>15029</v>
          </cell>
          <cell r="D331">
            <v>29</v>
          </cell>
          <cell r="E331" t="str">
            <v>緑黄DL6</v>
          </cell>
          <cell r="F331">
            <v>1</v>
          </cell>
          <cell r="G331" t="str">
            <v>ja</v>
          </cell>
          <cell r="H331" t="str">
            <v>29--1</v>
          </cell>
          <cell r="I331" t="str">
            <v>29--1</v>
          </cell>
          <cell r="J331" t="str">
            <v>NULL</v>
          </cell>
          <cell r="K331">
            <v>18</v>
          </cell>
          <cell r="L331">
            <v>2340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1</v>
          </cell>
          <cell r="AA331">
            <v>1</v>
          </cell>
          <cell r="AB331" t="str">
            <v>anytime</v>
          </cell>
          <cell r="AC331">
            <v>29</v>
          </cell>
          <cell r="AD331">
            <v>6</v>
          </cell>
          <cell r="AE331" t="str">
            <v>everyone</v>
          </cell>
        </row>
        <row r="332">
          <cell r="A332" t="str">
            <v>15029_2</v>
          </cell>
          <cell r="B332">
            <v>1</v>
          </cell>
          <cell r="C332">
            <v>15029</v>
          </cell>
          <cell r="D332">
            <v>29</v>
          </cell>
          <cell r="E332" t="str">
            <v>緑黄DL6</v>
          </cell>
          <cell r="F332">
            <v>2</v>
          </cell>
          <cell r="G332" t="str">
            <v>ja</v>
          </cell>
          <cell r="H332" t="str">
            <v>29--2</v>
          </cell>
          <cell r="I332" t="str">
            <v>29--2</v>
          </cell>
          <cell r="J332" t="str">
            <v>NULL</v>
          </cell>
          <cell r="K332">
            <v>19</v>
          </cell>
          <cell r="L332">
            <v>2670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1</v>
          </cell>
          <cell r="AA332">
            <v>1</v>
          </cell>
          <cell r="AB332" t="str">
            <v>anytime</v>
          </cell>
          <cell r="AC332">
            <v>29</v>
          </cell>
          <cell r="AD332">
            <v>6</v>
          </cell>
          <cell r="AE332" t="str">
            <v>everyone</v>
          </cell>
        </row>
        <row r="333">
          <cell r="A333" t="str">
            <v>15029_3</v>
          </cell>
          <cell r="B333">
            <v>1</v>
          </cell>
          <cell r="C333">
            <v>15029</v>
          </cell>
          <cell r="D333">
            <v>29</v>
          </cell>
          <cell r="E333" t="str">
            <v>緑黄DL6</v>
          </cell>
          <cell r="F333">
            <v>3</v>
          </cell>
          <cell r="G333" t="str">
            <v>ja</v>
          </cell>
          <cell r="H333" t="str">
            <v>29--3</v>
          </cell>
          <cell r="I333" t="str">
            <v>29--3</v>
          </cell>
          <cell r="J333" t="str">
            <v>NULL</v>
          </cell>
          <cell r="K333">
            <v>22</v>
          </cell>
          <cell r="L333">
            <v>3320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1</v>
          </cell>
          <cell r="AA333">
            <v>1</v>
          </cell>
          <cell r="AB333" t="str">
            <v>anytime</v>
          </cell>
          <cell r="AC333">
            <v>29</v>
          </cell>
          <cell r="AD333">
            <v>6</v>
          </cell>
          <cell r="AE333" t="str">
            <v>everyone</v>
          </cell>
        </row>
        <row r="334">
          <cell r="A334" t="str">
            <v>15029_4</v>
          </cell>
          <cell r="B334">
            <v>1</v>
          </cell>
          <cell r="C334">
            <v>15029</v>
          </cell>
          <cell r="D334">
            <v>29</v>
          </cell>
          <cell r="E334" t="str">
            <v>緑黄DL6</v>
          </cell>
          <cell r="F334">
            <v>4</v>
          </cell>
          <cell r="G334" t="str">
            <v>ja</v>
          </cell>
          <cell r="H334" t="str">
            <v>29--4</v>
          </cell>
          <cell r="I334" t="str">
            <v>29--4</v>
          </cell>
          <cell r="J334">
            <v>125</v>
          </cell>
          <cell r="K334">
            <v>1</v>
          </cell>
          <cell r="L334">
            <v>1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1</v>
          </cell>
          <cell r="AA334">
            <v>1</v>
          </cell>
          <cell r="AB334" t="str">
            <v>once</v>
          </cell>
          <cell r="AC334">
            <v>29</v>
          </cell>
          <cell r="AD334">
            <v>6</v>
          </cell>
          <cell r="AE334" t="str">
            <v>singleonly</v>
          </cell>
        </row>
        <row r="335">
          <cell r="A335" t="str">
            <v>15030_1</v>
          </cell>
          <cell r="B335">
            <v>1</v>
          </cell>
          <cell r="C335">
            <v>15030</v>
          </cell>
          <cell r="D335">
            <v>30</v>
          </cell>
          <cell r="E335" t="str">
            <v>赤青DL6</v>
          </cell>
          <cell r="F335">
            <v>1</v>
          </cell>
          <cell r="G335" t="str">
            <v>ja</v>
          </cell>
          <cell r="H335" t="str">
            <v>30--1</v>
          </cell>
          <cell r="I335" t="str">
            <v>30--1</v>
          </cell>
          <cell r="J335" t="str">
            <v>NULL</v>
          </cell>
          <cell r="K335">
            <v>18</v>
          </cell>
          <cell r="L335">
            <v>2480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1</v>
          </cell>
          <cell r="Y335">
            <v>1</v>
          </cell>
          <cell r="Z335">
            <v>0</v>
          </cell>
          <cell r="AA335">
            <v>0</v>
          </cell>
          <cell r="AB335" t="str">
            <v>anytime</v>
          </cell>
          <cell r="AC335">
            <v>30</v>
          </cell>
          <cell r="AD335">
            <v>6</v>
          </cell>
          <cell r="AE335" t="str">
            <v>everyone</v>
          </cell>
        </row>
        <row r="336">
          <cell r="A336" t="str">
            <v>15030_2</v>
          </cell>
          <cell r="B336">
            <v>1</v>
          </cell>
          <cell r="C336">
            <v>15030</v>
          </cell>
          <cell r="D336">
            <v>30</v>
          </cell>
          <cell r="E336" t="str">
            <v>赤青DL6</v>
          </cell>
          <cell r="F336">
            <v>2</v>
          </cell>
          <cell r="G336" t="str">
            <v>ja</v>
          </cell>
          <cell r="H336" t="str">
            <v>30--2</v>
          </cell>
          <cell r="I336" t="str">
            <v>30--2</v>
          </cell>
          <cell r="J336" t="str">
            <v>NULL</v>
          </cell>
          <cell r="K336">
            <v>19</v>
          </cell>
          <cell r="L336">
            <v>2800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1</v>
          </cell>
          <cell r="Y336">
            <v>1</v>
          </cell>
          <cell r="Z336">
            <v>0</v>
          </cell>
          <cell r="AA336">
            <v>0</v>
          </cell>
          <cell r="AB336" t="str">
            <v>anytime</v>
          </cell>
          <cell r="AC336">
            <v>30</v>
          </cell>
          <cell r="AD336">
            <v>6</v>
          </cell>
          <cell r="AE336" t="str">
            <v>everyone</v>
          </cell>
        </row>
        <row r="337">
          <cell r="A337" t="str">
            <v>15030_3</v>
          </cell>
          <cell r="B337">
            <v>1</v>
          </cell>
          <cell r="C337">
            <v>15030</v>
          </cell>
          <cell r="D337">
            <v>30</v>
          </cell>
          <cell r="E337" t="str">
            <v>赤青DL6</v>
          </cell>
          <cell r="F337">
            <v>3</v>
          </cell>
          <cell r="G337" t="str">
            <v>ja</v>
          </cell>
          <cell r="H337" t="str">
            <v>30--3</v>
          </cell>
          <cell r="I337" t="str">
            <v>30--3</v>
          </cell>
          <cell r="J337" t="str">
            <v>NULL</v>
          </cell>
          <cell r="K337">
            <v>22</v>
          </cell>
          <cell r="L337">
            <v>3540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1</v>
          </cell>
          <cell r="Y337">
            <v>1</v>
          </cell>
          <cell r="Z337">
            <v>0</v>
          </cell>
          <cell r="AA337">
            <v>0</v>
          </cell>
          <cell r="AB337" t="str">
            <v>anytime</v>
          </cell>
          <cell r="AC337">
            <v>30</v>
          </cell>
          <cell r="AD337">
            <v>6</v>
          </cell>
          <cell r="AE337" t="str">
            <v>everyone</v>
          </cell>
        </row>
        <row r="338">
          <cell r="A338" t="str">
            <v>15030_4</v>
          </cell>
          <cell r="B338">
            <v>1</v>
          </cell>
          <cell r="C338">
            <v>15030</v>
          </cell>
          <cell r="D338">
            <v>30</v>
          </cell>
          <cell r="E338" t="str">
            <v>赤青DL6</v>
          </cell>
          <cell r="F338">
            <v>4</v>
          </cell>
          <cell r="G338" t="str">
            <v>ja</v>
          </cell>
          <cell r="H338" t="str">
            <v>30--4</v>
          </cell>
          <cell r="I338" t="str">
            <v>30--4</v>
          </cell>
          <cell r="J338">
            <v>125</v>
          </cell>
          <cell r="K338">
            <v>1</v>
          </cell>
          <cell r="L338">
            <v>1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1</v>
          </cell>
          <cell r="Y338">
            <v>1</v>
          </cell>
          <cell r="Z338">
            <v>0</v>
          </cell>
          <cell r="AA338">
            <v>0</v>
          </cell>
          <cell r="AB338" t="str">
            <v>once</v>
          </cell>
          <cell r="AC338">
            <v>30</v>
          </cell>
          <cell r="AD338">
            <v>6</v>
          </cell>
          <cell r="AE338" t="str">
            <v>singleonly</v>
          </cell>
        </row>
        <row r="339">
          <cell r="A339" t="str">
            <v>15031_1</v>
          </cell>
          <cell r="B339">
            <v>1</v>
          </cell>
          <cell r="C339">
            <v>15031</v>
          </cell>
          <cell r="D339">
            <v>31</v>
          </cell>
          <cell r="E339" t="str">
            <v>混色DL6</v>
          </cell>
          <cell r="F339">
            <v>1</v>
          </cell>
          <cell r="G339" t="str">
            <v>ja</v>
          </cell>
          <cell r="H339" t="str">
            <v>31--1</v>
          </cell>
          <cell r="I339" t="str">
            <v>31--1</v>
          </cell>
          <cell r="J339" t="str">
            <v>NULL</v>
          </cell>
          <cell r="K339">
            <v>19</v>
          </cell>
          <cell r="L339">
            <v>2800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1</v>
          </cell>
          <cell r="Y339">
            <v>1</v>
          </cell>
          <cell r="Z339">
            <v>1</v>
          </cell>
          <cell r="AA339">
            <v>1</v>
          </cell>
          <cell r="AB339" t="str">
            <v>anytime</v>
          </cell>
          <cell r="AC339">
            <v>31</v>
          </cell>
          <cell r="AD339">
            <v>6</v>
          </cell>
          <cell r="AE339" t="str">
            <v>everyone</v>
          </cell>
        </row>
        <row r="340">
          <cell r="A340" t="str">
            <v>15031_2</v>
          </cell>
          <cell r="B340">
            <v>1</v>
          </cell>
          <cell r="C340">
            <v>15031</v>
          </cell>
          <cell r="D340">
            <v>31</v>
          </cell>
          <cell r="E340" t="str">
            <v>混色DL6</v>
          </cell>
          <cell r="F340">
            <v>2</v>
          </cell>
          <cell r="G340" t="str">
            <v>ja</v>
          </cell>
          <cell r="H340" t="str">
            <v>31--2</v>
          </cell>
          <cell r="I340" t="str">
            <v>31--2</v>
          </cell>
          <cell r="J340" t="str">
            <v>NULL</v>
          </cell>
          <cell r="K340">
            <v>21</v>
          </cell>
          <cell r="L340">
            <v>3200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1</v>
          </cell>
          <cell r="Y340">
            <v>1</v>
          </cell>
          <cell r="Z340">
            <v>1</v>
          </cell>
          <cell r="AA340">
            <v>1</v>
          </cell>
          <cell r="AB340" t="str">
            <v>anytime</v>
          </cell>
          <cell r="AC340">
            <v>31</v>
          </cell>
          <cell r="AD340">
            <v>6</v>
          </cell>
          <cell r="AE340" t="str">
            <v>everyone</v>
          </cell>
        </row>
        <row r="341">
          <cell r="A341" t="str">
            <v>15031_3</v>
          </cell>
          <cell r="B341">
            <v>1</v>
          </cell>
          <cell r="C341">
            <v>15031</v>
          </cell>
          <cell r="D341">
            <v>31</v>
          </cell>
          <cell r="E341" t="str">
            <v>混色DL6</v>
          </cell>
          <cell r="F341">
            <v>3</v>
          </cell>
          <cell r="G341" t="str">
            <v>ja</v>
          </cell>
          <cell r="H341" t="str">
            <v>31--3</v>
          </cell>
          <cell r="I341" t="str">
            <v>31--3</v>
          </cell>
          <cell r="J341" t="str">
            <v>NULL</v>
          </cell>
          <cell r="K341">
            <v>24</v>
          </cell>
          <cell r="L341">
            <v>4680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1</v>
          </cell>
          <cell r="Y341">
            <v>1</v>
          </cell>
          <cell r="Z341">
            <v>1</v>
          </cell>
          <cell r="AA341">
            <v>1</v>
          </cell>
          <cell r="AB341" t="str">
            <v>anytime</v>
          </cell>
          <cell r="AC341">
            <v>31</v>
          </cell>
          <cell r="AD341">
            <v>6</v>
          </cell>
          <cell r="AE341" t="str">
            <v>everyone</v>
          </cell>
        </row>
        <row r="342">
          <cell r="A342" t="str">
            <v>15031_4</v>
          </cell>
          <cell r="B342">
            <v>1</v>
          </cell>
          <cell r="C342">
            <v>15031</v>
          </cell>
          <cell r="D342">
            <v>31</v>
          </cell>
          <cell r="E342" t="str">
            <v>混色DL6</v>
          </cell>
          <cell r="F342">
            <v>4</v>
          </cell>
          <cell r="G342" t="str">
            <v>ja</v>
          </cell>
          <cell r="H342" t="str">
            <v>31--4</v>
          </cell>
          <cell r="I342" t="str">
            <v>31--4</v>
          </cell>
          <cell r="J342">
            <v>125</v>
          </cell>
          <cell r="K342">
            <v>1</v>
          </cell>
          <cell r="L342">
            <v>1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1</v>
          </cell>
          <cell r="Y342">
            <v>1</v>
          </cell>
          <cell r="Z342">
            <v>1</v>
          </cell>
          <cell r="AA342">
            <v>1</v>
          </cell>
          <cell r="AB342" t="str">
            <v>once</v>
          </cell>
          <cell r="AC342">
            <v>31</v>
          </cell>
          <cell r="AD342">
            <v>6</v>
          </cell>
          <cell r="AE342" t="str">
            <v>singleonly</v>
          </cell>
        </row>
        <row r="343">
          <cell r="A343" t="str">
            <v>20001_1</v>
          </cell>
          <cell r="B343">
            <v>3</v>
          </cell>
          <cell r="C343">
            <v>20001</v>
          </cell>
          <cell r="D343" t="str">
            <v>紅き執行者</v>
          </cell>
          <cell r="E343" t="str">
            <v>ドロップイベント1-1</v>
          </cell>
          <cell r="F343">
            <v>1</v>
          </cell>
          <cell r="G343" t="str">
            <v>ja</v>
          </cell>
          <cell r="H343" t="str">
            <v xml:space="preserve">【初級】紅き執行者 </v>
          </cell>
          <cell r="I343" t="str">
            <v>初級</v>
          </cell>
          <cell r="J343">
            <v>262</v>
          </cell>
          <cell r="K343">
            <v>8</v>
          </cell>
          <cell r="L343">
            <v>384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14</v>
          </cell>
          <cell r="AD343">
            <v>6</v>
          </cell>
          <cell r="AE343" t="str">
            <v>everyone</v>
          </cell>
        </row>
        <row r="344">
          <cell r="A344" t="str">
            <v>20001_2</v>
          </cell>
          <cell r="B344">
            <v>3</v>
          </cell>
          <cell r="C344">
            <v>20001</v>
          </cell>
          <cell r="D344" t="str">
            <v>紅き執行者</v>
          </cell>
          <cell r="E344" t="str">
            <v>ドロップイベント1-1</v>
          </cell>
          <cell r="F344">
            <v>2</v>
          </cell>
          <cell r="G344" t="str">
            <v>ja</v>
          </cell>
          <cell r="H344" t="str">
            <v>【中級】紅き執行者</v>
          </cell>
          <cell r="I344" t="str">
            <v>中級</v>
          </cell>
          <cell r="J344">
            <v>262</v>
          </cell>
          <cell r="K344">
            <v>15</v>
          </cell>
          <cell r="L344">
            <v>1200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14</v>
          </cell>
          <cell r="AD344">
            <v>6</v>
          </cell>
          <cell r="AE344" t="str">
            <v>everyone</v>
          </cell>
        </row>
        <row r="345">
          <cell r="A345" t="str">
            <v>20001_3</v>
          </cell>
          <cell r="B345">
            <v>3</v>
          </cell>
          <cell r="C345">
            <v>20001</v>
          </cell>
          <cell r="D345" t="str">
            <v>紅き執行者</v>
          </cell>
          <cell r="E345" t="str">
            <v>ドロップイベント1-1</v>
          </cell>
          <cell r="F345">
            <v>3</v>
          </cell>
          <cell r="G345" t="str">
            <v>ja</v>
          </cell>
          <cell r="H345" t="str">
            <v xml:space="preserve">【上級】紅き執行者 </v>
          </cell>
          <cell r="I345" t="str">
            <v>上級</v>
          </cell>
          <cell r="J345">
            <v>263</v>
          </cell>
          <cell r="K345">
            <v>20</v>
          </cell>
          <cell r="L345">
            <v>2000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polygon</v>
          </cell>
          <cell r="T345">
            <v>1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14</v>
          </cell>
          <cell r="AD345">
            <v>6</v>
          </cell>
          <cell r="AE345" t="str">
            <v>everyone</v>
          </cell>
        </row>
        <row r="346">
          <cell r="A346" t="str">
            <v>20002_1</v>
          </cell>
          <cell r="B346">
            <v>3</v>
          </cell>
          <cell r="C346">
            <v>20002</v>
          </cell>
          <cell r="D346" t="str">
            <v>孤高の一角獣</v>
          </cell>
          <cell r="E346" t="str">
            <v>ドロップイベント1-2</v>
          </cell>
          <cell r="F346">
            <v>1</v>
          </cell>
          <cell r="G346" t="str">
            <v>ja</v>
          </cell>
          <cell r="H346" t="str">
            <v>【初級】孤高の一角獣(ハートなし)</v>
          </cell>
          <cell r="I346" t="str">
            <v>初級</v>
          </cell>
          <cell r="J346">
            <v>264</v>
          </cell>
          <cell r="K346">
            <v>8</v>
          </cell>
          <cell r="L346">
            <v>384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0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19</v>
          </cell>
          <cell r="AD346">
            <v>6</v>
          </cell>
          <cell r="AE346" t="str">
            <v>everyone</v>
          </cell>
        </row>
        <row r="347">
          <cell r="A347" t="str">
            <v>20002_2</v>
          </cell>
          <cell r="B347">
            <v>3</v>
          </cell>
          <cell r="C347">
            <v>20002</v>
          </cell>
          <cell r="D347" t="str">
            <v>孤高の一角獣</v>
          </cell>
          <cell r="E347" t="str">
            <v>ドロップイベント1-2</v>
          </cell>
          <cell r="F347">
            <v>2</v>
          </cell>
          <cell r="G347" t="str">
            <v>ja</v>
          </cell>
          <cell r="H347" t="str">
            <v>【中級】孤高の一角獣(ハートなし)</v>
          </cell>
          <cell r="I347" t="str">
            <v>中級</v>
          </cell>
          <cell r="J347">
            <v>264</v>
          </cell>
          <cell r="K347">
            <v>15</v>
          </cell>
          <cell r="L347">
            <v>1200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0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19</v>
          </cell>
          <cell r="AD347">
            <v>6</v>
          </cell>
          <cell r="AE347" t="str">
            <v>everyone</v>
          </cell>
        </row>
        <row r="348">
          <cell r="A348" t="str">
            <v>20002_3</v>
          </cell>
          <cell r="B348">
            <v>3</v>
          </cell>
          <cell r="C348">
            <v>20002</v>
          </cell>
          <cell r="D348" t="str">
            <v>孤高の一角獣</v>
          </cell>
          <cell r="E348" t="str">
            <v>ドロップイベント1-2</v>
          </cell>
          <cell r="F348">
            <v>3</v>
          </cell>
          <cell r="G348" t="str">
            <v>ja</v>
          </cell>
          <cell r="H348" t="str">
            <v>【上級】孤高の一角獣(ハートなし)</v>
          </cell>
          <cell r="I348" t="str">
            <v>上級</v>
          </cell>
          <cell r="J348">
            <v>265</v>
          </cell>
          <cell r="K348">
            <v>20</v>
          </cell>
          <cell r="L348">
            <v>2000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0</v>
          </cell>
          <cell r="R348">
            <v>3</v>
          </cell>
          <cell r="S348" t="str">
            <v>polygon</v>
          </cell>
          <cell r="T348">
            <v>1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19</v>
          </cell>
          <cell r="AD348">
            <v>6</v>
          </cell>
          <cell r="AE348" t="str">
            <v>everyone</v>
          </cell>
        </row>
        <row r="349">
          <cell r="A349" t="str">
            <v>20003_1</v>
          </cell>
          <cell r="B349">
            <v>3</v>
          </cell>
          <cell r="C349">
            <v>20003</v>
          </cell>
          <cell r="D349" t="str">
            <v>忍び寄る短剣</v>
          </cell>
          <cell r="E349" t="str">
            <v>ドロップイベント1-3</v>
          </cell>
          <cell r="F349">
            <v>1</v>
          </cell>
          <cell r="G349" t="str">
            <v>ja</v>
          </cell>
          <cell r="H349" t="str">
            <v xml:space="preserve">【初級】忍び寄る短剣 </v>
          </cell>
          <cell r="I349" t="str">
            <v>初級</v>
          </cell>
          <cell r="J349">
            <v>266</v>
          </cell>
          <cell r="K349">
            <v>8</v>
          </cell>
          <cell r="L349">
            <v>384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11</v>
          </cell>
          <cell r="AD349">
            <v>6</v>
          </cell>
          <cell r="AE349" t="str">
            <v>everyone</v>
          </cell>
        </row>
        <row r="350">
          <cell r="A350" t="str">
            <v>20003_2</v>
          </cell>
          <cell r="B350">
            <v>3</v>
          </cell>
          <cell r="C350">
            <v>20003</v>
          </cell>
          <cell r="D350" t="str">
            <v>忍び寄る短剣</v>
          </cell>
          <cell r="E350" t="str">
            <v>ドロップイベント1-3</v>
          </cell>
          <cell r="F350">
            <v>2</v>
          </cell>
          <cell r="G350" t="str">
            <v>ja</v>
          </cell>
          <cell r="H350" t="str">
            <v xml:space="preserve">【中級】忍び寄る短剣 </v>
          </cell>
          <cell r="I350" t="str">
            <v>中級</v>
          </cell>
          <cell r="J350">
            <v>266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11</v>
          </cell>
          <cell r="AD350">
            <v>6</v>
          </cell>
          <cell r="AE350" t="str">
            <v>everyone</v>
          </cell>
        </row>
        <row r="351">
          <cell r="A351" t="str">
            <v>20003_3</v>
          </cell>
          <cell r="B351">
            <v>3</v>
          </cell>
          <cell r="C351">
            <v>20003</v>
          </cell>
          <cell r="D351" t="str">
            <v>忍び寄る短剣</v>
          </cell>
          <cell r="E351" t="str">
            <v>ドロップイベント1-3</v>
          </cell>
          <cell r="F351">
            <v>3</v>
          </cell>
          <cell r="G351" t="str">
            <v>ja</v>
          </cell>
          <cell r="H351" t="str">
            <v xml:space="preserve">【上級】忍び寄る短剣 </v>
          </cell>
          <cell r="I351" t="str">
            <v>上級</v>
          </cell>
          <cell r="J351">
            <v>267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11</v>
          </cell>
          <cell r="AD351">
            <v>6</v>
          </cell>
          <cell r="AE351" t="str">
            <v>everyone</v>
          </cell>
        </row>
        <row r="352">
          <cell r="A352" t="str">
            <v>20004_1</v>
          </cell>
          <cell r="B352">
            <v>3</v>
          </cell>
          <cell r="C352">
            <v>20004</v>
          </cell>
          <cell r="D352" t="str">
            <v>雷雲からの刺客</v>
          </cell>
          <cell r="E352" t="str">
            <v>ドロップイベント1-4</v>
          </cell>
          <cell r="F352">
            <v>1</v>
          </cell>
          <cell r="G352" t="str">
            <v>ja</v>
          </cell>
          <cell r="H352" t="str">
            <v>【初級】雷雲からの刺客(ハートなし)</v>
          </cell>
          <cell r="I352" t="str">
            <v>初級</v>
          </cell>
          <cell r="J352">
            <v>268</v>
          </cell>
          <cell r="K352">
            <v>8</v>
          </cell>
          <cell r="L352">
            <v>384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0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4</v>
          </cell>
          <cell r="AD352">
            <v>6</v>
          </cell>
          <cell r="AE352" t="str">
            <v>everyone</v>
          </cell>
        </row>
        <row r="353">
          <cell r="A353" t="str">
            <v>20004_2</v>
          </cell>
          <cell r="B353">
            <v>3</v>
          </cell>
          <cell r="C353">
            <v>20004</v>
          </cell>
          <cell r="D353" t="str">
            <v>雷雲からの刺客</v>
          </cell>
          <cell r="E353" t="str">
            <v>ドロップイベント1-4</v>
          </cell>
          <cell r="F353">
            <v>2</v>
          </cell>
          <cell r="G353" t="str">
            <v>ja</v>
          </cell>
          <cell r="H353" t="str">
            <v>【中級】雷雲からの刺客(ハートなし)</v>
          </cell>
          <cell r="I353" t="str">
            <v>中級</v>
          </cell>
          <cell r="J353">
            <v>268</v>
          </cell>
          <cell r="K353">
            <v>15</v>
          </cell>
          <cell r="L353">
            <v>1200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0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4</v>
          </cell>
          <cell r="AD353">
            <v>6</v>
          </cell>
          <cell r="AE353" t="str">
            <v>everyone</v>
          </cell>
        </row>
        <row r="354">
          <cell r="A354" t="str">
            <v>20004_3</v>
          </cell>
          <cell r="B354">
            <v>3</v>
          </cell>
          <cell r="C354">
            <v>20004</v>
          </cell>
          <cell r="D354" t="str">
            <v>雷雲からの刺客</v>
          </cell>
          <cell r="E354" t="str">
            <v>ドロップイベント1-4</v>
          </cell>
          <cell r="F354">
            <v>3</v>
          </cell>
          <cell r="G354" t="str">
            <v>ja</v>
          </cell>
          <cell r="H354" t="str">
            <v>【上級】雷雲からの刺客(ハートなし)</v>
          </cell>
          <cell r="I354" t="str">
            <v>上級</v>
          </cell>
          <cell r="J354">
            <v>269</v>
          </cell>
          <cell r="K354">
            <v>20</v>
          </cell>
          <cell r="L354">
            <v>2000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0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4</v>
          </cell>
          <cell r="AD354">
            <v>6</v>
          </cell>
          <cell r="AE354" t="str">
            <v>everyone</v>
          </cell>
        </row>
        <row r="355">
          <cell r="A355" t="str">
            <v>20005_1</v>
          </cell>
          <cell r="B355">
            <v>3</v>
          </cell>
          <cell r="C355">
            <v>20005</v>
          </cell>
          <cell r="D355" t="str">
            <v>ザ・キャノン</v>
          </cell>
          <cell r="E355" t="str">
            <v>ドロップイベント2-2</v>
          </cell>
          <cell r="F355">
            <v>1</v>
          </cell>
          <cell r="G355" t="str">
            <v>ja</v>
          </cell>
          <cell r="H355" t="str">
            <v>【初級】ザ・キャノン(4タップ）</v>
          </cell>
          <cell r="I355" t="str">
            <v>初級</v>
          </cell>
          <cell r="J355">
            <v>286</v>
          </cell>
          <cell r="K355">
            <v>8</v>
          </cell>
          <cell r="L355">
            <v>384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4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14</v>
          </cell>
          <cell r="AD355">
            <v>6</v>
          </cell>
          <cell r="AE355" t="str">
            <v>everyone</v>
          </cell>
        </row>
        <row r="356">
          <cell r="A356" t="str">
            <v>20005_2</v>
          </cell>
          <cell r="B356">
            <v>3</v>
          </cell>
          <cell r="C356">
            <v>20005</v>
          </cell>
          <cell r="D356" t="str">
            <v>ザ・キャノン</v>
          </cell>
          <cell r="E356" t="str">
            <v>ドロップイベント2-2</v>
          </cell>
          <cell r="F356">
            <v>2</v>
          </cell>
          <cell r="G356" t="str">
            <v>ja</v>
          </cell>
          <cell r="H356" t="str">
            <v>【中級】ザ・キャノン(4タップ)</v>
          </cell>
          <cell r="I356" t="str">
            <v>中級</v>
          </cell>
          <cell r="J356">
            <v>286</v>
          </cell>
          <cell r="K356">
            <v>15</v>
          </cell>
          <cell r="L356">
            <v>1200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4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14</v>
          </cell>
          <cell r="AD356">
            <v>6</v>
          </cell>
          <cell r="AE356" t="str">
            <v>everyone</v>
          </cell>
        </row>
        <row r="357">
          <cell r="A357" t="str">
            <v>20005_3</v>
          </cell>
          <cell r="B357">
            <v>3</v>
          </cell>
          <cell r="C357">
            <v>20005</v>
          </cell>
          <cell r="D357" t="str">
            <v>ザ・キャノン</v>
          </cell>
          <cell r="E357" t="str">
            <v>ドロップイベント2-2</v>
          </cell>
          <cell r="F357">
            <v>3</v>
          </cell>
          <cell r="G357" t="str">
            <v>ja</v>
          </cell>
          <cell r="H357" t="str">
            <v>【上級】ザ・キャノン(4タップ)</v>
          </cell>
          <cell r="I357" t="str">
            <v>上級</v>
          </cell>
          <cell r="J357">
            <v>287</v>
          </cell>
          <cell r="K357">
            <v>20</v>
          </cell>
          <cell r="L357">
            <v>2000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4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14</v>
          </cell>
          <cell r="AD357">
            <v>6</v>
          </cell>
          <cell r="AE357" t="str">
            <v>everyone</v>
          </cell>
        </row>
        <row r="358">
          <cell r="A358" t="str">
            <v>20006_1</v>
          </cell>
          <cell r="B358">
            <v>3</v>
          </cell>
          <cell r="C358">
            <v>20006</v>
          </cell>
          <cell r="D358" t="str">
            <v>スチール・プレデター</v>
          </cell>
          <cell r="E358" t="str">
            <v>ドロップイベント2-3</v>
          </cell>
          <cell r="F358">
            <v>1</v>
          </cell>
          <cell r="G358" t="str">
            <v>ja</v>
          </cell>
          <cell r="H358" t="str">
            <v>【初級】スチール・プレデター</v>
          </cell>
          <cell r="I358" t="str">
            <v>初級</v>
          </cell>
          <cell r="J358">
            <v>280</v>
          </cell>
          <cell r="K358">
            <v>8</v>
          </cell>
          <cell r="L358">
            <v>384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2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19</v>
          </cell>
          <cell r="AD358">
            <v>6</v>
          </cell>
          <cell r="AE358" t="str">
            <v>everyone</v>
          </cell>
        </row>
        <row r="359">
          <cell r="A359" t="str">
            <v>20006_2</v>
          </cell>
          <cell r="B359">
            <v>3</v>
          </cell>
          <cell r="C359">
            <v>20006</v>
          </cell>
          <cell r="D359" t="str">
            <v>スチール・プレデター</v>
          </cell>
          <cell r="E359" t="str">
            <v>ドロップイベント2-3</v>
          </cell>
          <cell r="F359">
            <v>2</v>
          </cell>
          <cell r="G359" t="str">
            <v>ja</v>
          </cell>
          <cell r="H359" t="str">
            <v>【中級】スチール・プレデター</v>
          </cell>
          <cell r="I359" t="str">
            <v>中級</v>
          </cell>
          <cell r="J359">
            <v>280</v>
          </cell>
          <cell r="K359">
            <v>15</v>
          </cell>
          <cell r="L359">
            <v>1200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2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19</v>
          </cell>
          <cell r="AD359">
            <v>6</v>
          </cell>
          <cell r="AE359" t="str">
            <v>everyone</v>
          </cell>
        </row>
        <row r="360">
          <cell r="A360" t="str">
            <v>20006_3</v>
          </cell>
          <cell r="B360">
            <v>3</v>
          </cell>
          <cell r="C360">
            <v>20006</v>
          </cell>
          <cell r="D360" t="str">
            <v>スチール・プレデター</v>
          </cell>
          <cell r="E360" t="str">
            <v>ドロップイベント2-3</v>
          </cell>
          <cell r="F360">
            <v>3</v>
          </cell>
          <cell r="G360" t="str">
            <v>ja</v>
          </cell>
          <cell r="H360" t="str">
            <v>【上級】スチール・プレデター</v>
          </cell>
          <cell r="I360" t="str">
            <v>上級</v>
          </cell>
          <cell r="J360">
            <v>281</v>
          </cell>
          <cell r="K360">
            <v>20</v>
          </cell>
          <cell r="L360">
            <v>2000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2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19</v>
          </cell>
          <cell r="AD360">
            <v>6</v>
          </cell>
          <cell r="AE360" t="str">
            <v>everyone</v>
          </cell>
        </row>
        <row r="361">
          <cell r="A361" t="str">
            <v>20007_1</v>
          </cell>
          <cell r="B361">
            <v>3</v>
          </cell>
          <cell r="C361">
            <v>20007</v>
          </cell>
          <cell r="D361" t="str">
            <v>女王陛下の処刑龍</v>
          </cell>
          <cell r="E361" t="str">
            <v>ドロップイベント2-1</v>
          </cell>
          <cell r="F361">
            <v>1</v>
          </cell>
          <cell r="G361" t="str">
            <v>ja</v>
          </cell>
          <cell r="H361" t="str">
            <v>【初級】女王陛下の処刑龍(4タップ)</v>
          </cell>
          <cell r="I361" t="str">
            <v>初級</v>
          </cell>
          <cell r="J361">
            <v>282</v>
          </cell>
          <cell r="K361">
            <v>8</v>
          </cell>
          <cell r="L361">
            <v>384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4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17</v>
          </cell>
          <cell r="AD361">
            <v>6</v>
          </cell>
          <cell r="AE361" t="str">
            <v>everyone</v>
          </cell>
        </row>
        <row r="362">
          <cell r="A362" t="str">
            <v>20007_2</v>
          </cell>
          <cell r="B362">
            <v>3</v>
          </cell>
          <cell r="C362">
            <v>20007</v>
          </cell>
          <cell r="D362" t="str">
            <v>女王陛下の処刑龍</v>
          </cell>
          <cell r="E362" t="str">
            <v>ドロップイベント2-1</v>
          </cell>
          <cell r="F362">
            <v>2</v>
          </cell>
          <cell r="G362" t="str">
            <v>ja</v>
          </cell>
          <cell r="H362" t="str">
            <v>【中級】女王陛下の処刑龍(4タップ)</v>
          </cell>
          <cell r="I362" t="str">
            <v>中級</v>
          </cell>
          <cell r="J362">
            <v>282</v>
          </cell>
          <cell r="K362">
            <v>15</v>
          </cell>
          <cell r="L362">
            <v>1200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4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17</v>
          </cell>
          <cell r="AD362">
            <v>6</v>
          </cell>
          <cell r="AE362" t="str">
            <v>everyone</v>
          </cell>
        </row>
        <row r="363">
          <cell r="A363" t="str">
            <v>20007_3</v>
          </cell>
          <cell r="B363">
            <v>3</v>
          </cell>
          <cell r="C363">
            <v>20007</v>
          </cell>
          <cell r="D363" t="str">
            <v>女王陛下の処刑龍</v>
          </cell>
          <cell r="E363" t="str">
            <v>ドロップイベント2-1</v>
          </cell>
          <cell r="F363">
            <v>3</v>
          </cell>
          <cell r="G363" t="str">
            <v>ja</v>
          </cell>
          <cell r="H363" t="str">
            <v>【上級】女王陛下の処刑龍(4タップ)</v>
          </cell>
          <cell r="I363" t="str">
            <v>上級</v>
          </cell>
          <cell r="J363">
            <v>283</v>
          </cell>
          <cell r="K363">
            <v>20</v>
          </cell>
          <cell r="L363">
            <v>2000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4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17</v>
          </cell>
          <cell r="AD363">
            <v>6</v>
          </cell>
          <cell r="AE363" t="str">
            <v>everyone</v>
          </cell>
        </row>
        <row r="364">
          <cell r="A364" t="str">
            <v>20008_1</v>
          </cell>
          <cell r="B364">
            <v>3</v>
          </cell>
          <cell r="C364">
            <v>20008</v>
          </cell>
          <cell r="D364" t="str">
            <v>天翔ける金轟機龍</v>
          </cell>
          <cell r="E364" t="str">
            <v>ドロップイベント2-4</v>
          </cell>
          <cell r="F364">
            <v>1</v>
          </cell>
          <cell r="G364" t="str">
            <v>ja</v>
          </cell>
          <cell r="H364" t="str">
            <v>【初級】天翔ける金轟機龍</v>
          </cell>
          <cell r="I364" t="str">
            <v>初級</v>
          </cell>
          <cell r="J364">
            <v>284</v>
          </cell>
          <cell r="K364">
            <v>8</v>
          </cell>
          <cell r="L364">
            <v>384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8</v>
          </cell>
          <cell r="AD364">
            <v>6</v>
          </cell>
          <cell r="AE364" t="str">
            <v>everyone</v>
          </cell>
        </row>
        <row r="365">
          <cell r="A365" t="str">
            <v>20008_2</v>
          </cell>
          <cell r="B365">
            <v>3</v>
          </cell>
          <cell r="C365">
            <v>20008</v>
          </cell>
          <cell r="D365" t="str">
            <v>天翔ける金轟機龍</v>
          </cell>
          <cell r="E365" t="str">
            <v>ドロップイベント2-4</v>
          </cell>
          <cell r="F365">
            <v>2</v>
          </cell>
          <cell r="G365" t="str">
            <v>ja</v>
          </cell>
          <cell r="H365" t="str">
            <v>【中級】天翔ける金轟機龍</v>
          </cell>
          <cell r="I365" t="str">
            <v>中級</v>
          </cell>
          <cell r="J365">
            <v>284</v>
          </cell>
          <cell r="K365">
            <v>15</v>
          </cell>
          <cell r="L365">
            <v>1200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8</v>
          </cell>
          <cell r="AD365">
            <v>6</v>
          </cell>
          <cell r="AE365" t="str">
            <v>everyone</v>
          </cell>
        </row>
        <row r="366">
          <cell r="A366" t="str">
            <v>20008_3</v>
          </cell>
          <cell r="B366">
            <v>3</v>
          </cell>
          <cell r="C366">
            <v>20008</v>
          </cell>
          <cell r="D366" t="str">
            <v>天翔ける金轟機龍</v>
          </cell>
          <cell r="E366" t="str">
            <v>ドロップイベント2-4</v>
          </cell>
          <cell r="F366">
            <v>3</v>
          </cell>
          <cell r="G366" t="str">
            <v>ja</v>
          </cell>
          <cell r="H366" t="str">
            <v>【上級】天翔ける金轟機龍</v>
          </cell>
          <cell r="I366" t="str">
            <v>上級</v>
          </cell>
          <cell r="J366">
            <v>285</v>
          </cell>
          <cell r="K366">
            <v>20</v>
          </cell>
          <cell r="L366">
            <v>2000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8</v>
          </cell>
          <cell r="AD366">
            <v>6</v>
          </cell>
          <cell r="AE366" t="str">
            <v>everyone</v>
          </cell>
        </row>
        <row r="367">
          <cell r="A367" t="str">
            <v>20009_1</v>
          </cell>
          <cell r="B367">
            <v>0</v>
          </cell>
          <cell r="C367">
            <v>20009</v>
          </cell>
          <cell r="D367" t="str">
            <v>迫り来る窒息</v>
          </cell>
          <cell r="E367" t="str">
            <v>ドロップイベント3</v>
          </cell>
          <cell r="F367">
            <v>1</v>
          </cell>
          <cell r="G367" t="str">
            <v>ja</v>
          </cell>
          <cell r="H367" t="str">
            <v>【初級】迫り来る窒息</v>
          </cell>
          <cell r="I367" t="str">
            <v>初級</v>
          </cell>
          <cell r="J367" t="str">
            <v>NULL</v>
          </cell>
          <cell r="K367">
            <v>8</v>
          </cell>
          <cell r="L367">
            <v>384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25</v>
          </cell>
          <cell r="AD367">
            <v>5</v>
          </cell>
          <cell r="AE367" t="str">
            <v>everyone</v>
          </cell>
        </row>
        <row r="368">
          <cell r="A368" t="str">
            <v>20009_2</v>
          </cell>
          <cell r="B368">
            <v>3</v>
          </cell>
          <cell r="C368">
            <v>20009</v>
          </cell>
          <cell r="D368" t="str">
            <v>迫り来る窒息</v>
          </cell>
          <cell r="E368" t="str">
            <v>ドロップイベント3</v>
          </cell>
          <cell r="F368">
            <v>2</v>
          </cell>
          <cell r="G368" t="str">
            <v>ja</v>
          </cell>
          <cell r="H368" t="str">
            <v>【中級】迫り来る窒息</v>
          </cell>
          <cell r="I368" t="str">
            <v>中級</v>
          </cell>
          <cell r="J368">
            <v>302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25</v>
          </cell>
          <cell r="AD368">
            <v>5</v>
          </cell>
          <cell r="AE368" t="str">
            <v>everyone</v>
          </cell>
        </row>
        <row r="369">
          <cell r="A369" t="str">
            <v>20009_3</v>
          </cell>
          <cell r="B369">
            <v>3</v>
          </cell>
          <cell r="C369">
            <v>20009</v>
          </cell>
          <cell r="D369" t="str">
            <v>迫り来る窒息</v>
          </cell>
          <cell r="E369" t="str">
            <v>ドロップイベント3</v>
          </cell>
          <cell r="F369">
            <v>3</v>
          </cell>
          <cell r="G369" t="str">
            <v>ja</v>
          </cell>
          <cell r="H369" t="str">
            <v>【上級】迫り来る窒息</v>
          </cell>
          <cell r="I369" t="str">
            <v>上級</v>
          </cell>
          <cell r="J369">
            <v>303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25</v>
          </cell>
          <cell r="AD369">
            <v>5</v>
          </cell>
          <cell r="AE369" t="str">
            <v>everyone</v>
          </cell>
        </row>
        <row r="370">
          <cell r="A370" t="str">
            <v>20010_1</v>
          </cell>
          <cell r="B370">
            <v>3</v>
          </cell>
          <cell r="C370">
            <v>20010</v>
          </cell>
          <cell r="D370" t="str">
            <v>悪夢の一目惚れ</v>
          </cell>
          <cell r="E370" t="str">
            <v>ドロップイベント3</v>
          </cell>
          <cell r="F370">
            <v>1</v>
          </cell>
          <cell r="G370" t="str">
            <v>ja</v>
          </cell>
          <cell r="H370" t="str">
            <v>【初級】悪夢の一目惚れ</v>
          </cell>
          <cell r="I370" t="str">
            <v>初級</v>
          </cell>
          <cell r="J370">
            <v>304</v>
          </cell>
          <cell r="K370">
            <v>8</v>
          </cell>
          <cell r="L370">
            <v>384</v>
          </cell>
          <cell r="M370">
            <v>1</v>
          </cell>
          <cell r="N370">
            <v>1</v>
          </cell>
          <cell r="O370">
            <v>0</v>
          </cell>
          <cell r="P370">
            <v>1</v>
          </cell>
          <cell r="Q370">
            <v>1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2601</v>
          </cell>
          <cell r="AD370">
            <v>6</v>
          </cell>
          <cell r="AE370" t="str">
            <v>everyone</v>
          </cell>
        </row>
        <row r="371">
          <cell r="A371" t="str">
            <v>20010_2</v>
          </cell>
          <cell r="B371">
            <v>3</v>
          </cell>
          <cell r="C371">
            <v>20010</v>
          </cell>
          <cell r="D371" t="str">
            <v>悪夢の一目惚れ</v>
          </cell>
          <cell r="E371" t="str">
            <v>ドロップイベント3</v>
          </cell>
          <cell r="F371">
            <v>2</v>
          </cell>
          <cell r="G371" t="str">
            <v>ja</v>
          </cell>
          <cell r="H371" t="str">
            <v>【中級】悪夢の一目惚れ</v>
          </cell>
          <cell r="I371" t="str">
            <v>中級</v>
          </cell>
          <cell r="J371">
            <v>304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0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2601</v>
          </cell>
          <cell r="AD371">
            <v>6</v>
          </cell>
          <cell r="AE371" t="str">
            <v>everyone</v>
          </cell>
        </row>
        <row r="372">
          <cell r="A372" t="str">
            <v>20010_3</v>
          </cell>
          <cell r="B372">
            <v>3</v>
          </cell>
          <cell r="C372">
            <v>20010</v>
          </cell>
          <cell r="D372" t="str">
            <v>悪夢の一目惚れ</v>
          </cell>
          <cell r="E372" t="str">
            <v>ドロップイベント3</v>
          </cell>
          <cell r="F372">
            <v>3</v>
          </cell>
          <cell r="G372" t="str">
            <v>ja</v>
          </cell>
          <cell r="H372" t="str">
            <v>【上級】悪夢の一目惚れ</v>
          </cell>
          <cell r="I372" t="str">
            <v>上級</v>
          </cell>
          <cell r="J372">
            <v>305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0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2601</v>
          </cell>
          <cell r="AD372">
            <v>6</v>
          </cell>
          <cell r="AE372" t="str">
            <v>everyone</v>
          </cell>
        </row>
        <row r="373">
          <cell r="A373" t="str">
            <v>20011_1</v>
          </cell>
          <cell r="B373">
            <v>3</v>
          </cell>
          <cell r="C373">
            <v>20011</v>
          </cell>
          <cell r="D373" t="str">
            <v>すべてが灰になる</v>
          </cell>
          <cell r="E373" t="str">
            <v>ドロップイベント3</v>
          </cell>
          <cell r="F373">
            <v>1</v>
          </cell>
          <cell r="G373" t="str">
            <v>ja</v>
          </cell>
          <cell r="H373" t="str">
            <v>【初級】すべてが灰になる</v>
          </cell>
          <cell r="I373" t="str">
            <v>初級</v>
          </cell>
          <cell r="J373">
            <v>298</v>
          </cell>
          <cell r="K373">
            <v>8</v>
          </cell>
          <cell r="L373">
            <v>384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10</v>
          </cell>
          <cell r="AD373">
            <v>5</v>
          </cell>
          <cell r="AE373" t="str">
            <v>everyone</v>
          </cell>
        </row>
        <row r="374">
          <cell r="A374" t="str">
            <v>20011_2</v>
          </cell>
          <cell r="B374">
            <v>3</v>
          </cell>
          <cell r="C374">
            <v>20011</v>
          </cell>
          <cell r="D374" t="str">
            <v>すべてが灰になる</v>
          </cell>
          <cell r="E374" t="str">
            <v>ドロップイベント3</v>
          </cell>
          <cell r="F374">
            <v>2</v>
          </cell>
          <cell r="G374" t="str">
            <v>ja</v>
          </cell>
          <cell r="H374" t="str">
            <v>【中級】すべてが灰になる</v>
          </cell>
          <cell r="I374" t="str">
            <v>中級</v>
          </cell>
          <cell r="J374">
            <v>298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10</v>
          </cell>
          <cell r="AD374">
            <v>5</v>
          </cell>
          <cell r="AE374" t="str">
            <v>everyone</v>
          </cell>
        </row>
        <row r="375">
          <cell r="A375" t="str">
            <v>20011_3</v>
          </cell>
          <cell r="B375">
            <v>3</v>
          </cell>
          <cell r="C375">
            <v>20011</v>
          </cell>
          <cell r="D375" t="str">
            <v>すべてが灰になる</v>
          </cell>
          <cell r="E375" t="str">
            <v>ドロップイベント3</v>
          </cell>
          <cell r="F375">
            <v>3</v>
          </cell>
          <cell r="G375" t="str">
            <v>ja</v>
          </cell>
          <cell r="H375" t="str">
            <v>【上級】すべてが灰になる</v>
          </cell>
          <cell r="I375" t="str">
            <v>上級</v>
          </cell>
          <cell r="J375">
            <v>299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10</v>
          </cell>
          <cell r="AD375">
            <v>5</v>
          </cell>
          <cell r="AE375" t="str">
            <v>everyone</v>
          </cell>
        </row>
        <row r="376">
          <cell r="A376" t="str">
            <v>20012_1</v>
          </cell>
          <cell r="B376">
            <v>3</v>
          </cell>
          <cell r="C376">
            <v>20012</v>
          </cell>
          <cell r="D376" t="str">
            <v>罪と劇薬</v>
          </cell>
          <cell r="E376" t="str">
            <v>ドロップイベント3</v>
          </cell>
          <cell r="F376">
            <v>1</v>
          </cell>
          <cell r="G376" t="str">
            <v>ja</v>
          </cell>
          <cell r="H376" t="str">
            <v>【初級】罪と劇薬</v>
          </cell>
          <cell r="I376" t="str">
            <v>初級</v>
          </cell>
          <cell r="J376">
            <v>300</v>
          </cell>
          <cell r="K376">
            <v>8</v>
          </cell>
          <cell r="L376">
            <v>384</v>
          </cell>
          <cell r="M376">
            <v>0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19</v>
          </cell>
          <cell r="AD376">
            <v>6</v>
          </cell>
          <cell r="AE376" t="str">
            <v>everyone</v>
          </cell>
        </row>
        <row r="377">
          <cell r="A377" t="str">
            <v>20012_2</v>
          </cell>
          <cell r="B377">
            <v>3</v>
          </cell>
          <cell r="C377">
            <v>20012</v>
          </cell>
          <cell r="D377" t="str">
            <v>罪と劇薬</v>
          </cell>
          <cell r="E377" t="str">
            <v>ドロップイベント3</v>
          </cell>
          <cell r="F377">
            <v>2</v>
          </cell>
          <cell r="G377" t="str">
            <v>ja</v>
          </cell>
          <cell r="H377" t="str">
            <v>【中級】罪と劇薬</v>
          </cell>
          <cell r="I377" t="str">
            <v>中級</v>
          </cell>
          <cell r="J377">
            <v>300</v>
          </cell>
          <cell r="K377">
            <v>15</v>
          </cell>
          <cell r="L377">
            <v>1200</v>
          </cell>
          <cell r="M377">
            <v>0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19</v>
          </cell>
          <cell r="AD377">
            <v>6</v>
          </cell>
          <cell r="AE377" t="str">
            <v>everyone</v>
          </cell>
        </row>
        <row r="378">
          <cell r="A378" t="str">
            <v>20012_3</v>
          </cell>
          <cell r="B378">
            <v>3</v>
          </cell>
          <cell r="C378">
            <v>20012</v>
          </cell>
          <cell r="D378" t="str">
            <v>罪と劇薬</v>
          </cell>
          <cell r="E378" t="str">
            <v>ドロップイベント3</v>
          </cell>
          <cell r="F378">
            <v>3</v>
          </cell>
          <cell r="G378" t="str">
            <v>ja</v>
          </cell>
          <cell r="H378" t="str">
            <v>【上級】罪と劇薬</v>
          </cell>
          <cell r="I378" t="str">
            <v>上級</v>
          </cell>
          <cell r="J378">
            <v>301</v>
          </cell>
          <cell r="K378">
            <v>20</v>
          </cell>
          <cell r="L378">
            <v>2000</v>
          </cell>
          <cell r="M378">
            <v>0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19</v>
          </cell>
          <cell r="AD378">
            <v>6</v>
          </cell>
          <cell r="AE378" t="str">
            <v>everyone</v>
          </cell>
        </row>
        <row r="379">
          <cell r="A379" t="str">
            <v>20013_1</v>
          </cell>
          <cell r="B379">
            <v>3</v>
          </cell>
          <cell r="C379">
            <v>20013</v>
          </cell>
          <cell r="D379" t="str">
            <v>天の時、地の利、人の和</v>
          </cell>
          <cell r="E379" t="str">
            <v>ドロップイベント4</v>
          </cell>
          <cell r="F379">
            <v>1</v>
          </cell>
          <cell r="G379" t="str">
            <v>ja</v>
          </cell>
          <cell r="H379" t="str">
            <v>【初級】天の時、地の利、人の和</v>
          </cell>
          <cell r="I379" t="str">
            <v>初級</v>
          </cell>
          <cell r="J379">
            <v>720</v>
          </cell>
          <cell r="K379">
            <v>8</v>
          </cell>
          <cell r="L379">
            <v>384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10</v>
          </cell>
          <cell r="AD379">
            <v>6</v>
          </cell>
          <cell r="AE379" t="str">
            <v>everyone</v>
          </cell>
        </row>
        <row r="380">
          <cell r="A380" t="str">
            <v>20013_2</v>
          </cell>
          <cell r="B380">
            <v>3</v>
          </cell>
          <cell r="C380">
            <v>20013</v>
          </cell>
          <cell r="D380" t="str">
            <v>天の時、地の利、人の和</v>
          </cell>
          <cell r="E380" t="str">
            <v>ドロップイベント4</v>
          </cell>
          <cell r="F380">
            <v>2</v>
          </cell>
          <cell r="G380" t="str">
            <v>ja</v>
          </cell>
          <cell r="H380" t="str">
            <v>【中級】天の時、地の利、人の和</v>
          </cell>
          <cell r="I380" t="str">
            <v>中級</v>
          </cell>
          <cell r="J380">
            <v>720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10</v>
          </cell>
          <cell r="AD380">
            <v>6</v>
          </cell>
          <cell r="AE380" t="str">
            <v>everyone</v>
          </cell>
        </row>
        <row r="381">
          <cell r="A381" t="str">
            <v>20013_3</v>
          </cell>
          <cell r="B381">
            <v>3</v>
          </cell>
          <cell r="C381">
            <v>20013</v>
          </cell>
          <cell r="D381" t="str">
            <v>天の時、地の利、人の和</v>
          </cell>
          <cell r="E381" t="str">
            <v>ドロップイベント4</v>
          </cell>
          <cell r="F381">
            <v>3</v>
          </cell>
          <cell r="G381" t="str">
            <v>ja</v>
          </cell>
          <cell r="H381" t="str">
            <v>【上級】天の時、地の利、人の和</v>
          </cell>
          <cell r="I381" t="str">
            <v>上級</v>
          </cell>
          <cell r="J381">
            <v>721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10</v>
          </cell>
          <cell r="AD381">
            <v>6</v>
          </cell>
          <cell r="AE381" t="str">
            <v>everyone</v>
          </cell>
        </row>
        <row r="382">
          <cell r="A382" t="str">
            <v>20014_1</v>
          </cell>
          <cell r="B382">
            <v>1</v>
          </cell>
          <cell r="C382">
            <v>20014</v>
          </cell>
          <cell r="D382" t="str">
            <v>上級　セイレーン</v>
          </cell>
          <cell r="E382" t="str">
            <v>天使と悪魔編1</v>
          </cell>
          <cell r="F382">
            <v>1</v>
          </cell>
          <cell r="G382" t="str">
            <v>ja</v>
          </cell>
          <cell r="H382" t="str">
            <v>【初級】セイレーン</v>
          </cell>
          <cell r="I382" t="str">
            <v>初級</v>
          </cell>
          <cell r="J382">
            <v>1</v>
          </cell>
          <cell r="K382">
            <v>8</v>
          </cell>
          <cell r="L382">
            <v>384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10</v>
          </cell>
          <cell r="AD382">
            <v>6</v>
          </cell>
          <cell r="AE382" t="str">
            <v>everyone</v>
          </cell>
        </row>
        <row r="383">
          <cell r="A383" t="str">
            <v>20014_2</v>
          </cell>
          <cell r="B383">
            <v>1</v>
          </cell>
          <cell r="C383">
            <v>20014</v>
          </cell>
          <cell r="D383" t="str">
            <v>上級　セイレーン</v>
          </cell>
          <cell r="E383" t="str">
            <v>天使と悪魔編1</v>
          </cell>
          <cell r="F383">
            <v>2</v>
          </cell>
          <cell r="G383" t="str">
            <v>ja</v>
          </cell>
          <cell r="H383" t="str">
            <v>【中級】セイレーン</v>
          </cell>
          <cell r="I383" t="str">
            <v>中級</v>
          </cell>
          <cell r="J383">
            <v>1</v>
          </cell>
          <cell r="K383">
            <v>15</v>
          </cell>
          <cell r="L383">
            <v>1200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10</v>
          </cell>
          <cell r="AD383">
            <v>6</v>
          </cell>
          <cell r="AE383" t="str">
            <v>everyone</v>
          </cell>
        </row>
        <row r="384">
          <cell r="A384" t="str">
            <v>20014_3</v>
          </cell>
          <cell r="B384">
            <v>1</v>
          </cell>
          <cell r="C384">
            <v>20014</v>
          </cell>
          <cell r="D384" t="str">
            <v>上級　セイレーン</v>
          </cell>
          <cell r="E384" t="str">
            <v>天使と悪魔編1</v>
          </cell>
          <cell r="F384">
            <v>3</v>
          </cell>
          <cell r="G384" t="str">
            <v>ja</v>
          </cell>
          <cell r="H384" t="str">
            <v>【上級】セイレーン</v>
          </cell>
          <cell r="I384" t="str">
            <v>上級</v>
          </cell>
          <cell r="J384">
            <v>1</v>
          </cell>
          <cell r="K384">
            <v>20</v>
          </cell>
          <cell r="L384">
            <v>2000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10</v>
          </cell>
          <cell r="AD384">
            <v>6</v>
          </cell>
          <cell r="AE384" t="str">
            <v>everyone</v>
          </cell>
        </row>
        <row r="385">
          <cell r="A385" t="str">
            <v>30001_1</v>
          </cell>
          <cell r="B385">
            <v>3</v>
          </cell>
          <cell r="C385">
            <v>30001</v>
          </cell>
          <cell r="D385" t="str">
            <v>ハンター・オブ・ハンター</v>
          </cell>
          <cell r="E385" t="str">
            <v>ドロップイベント1-1（マルチ専用）</v>
          </cell>
          <cell r="F385">
            <v>1</v>
          </cell>
          <cell r="G385" t="str">
            <v>ja</v>
          </cell>
          <cell r="H385" t="str">
            <v xml:space="preserve">【中級】ハンター・オブ・ハンター </v>
          </cell>
          <cell r="I385" t="str">
            <v>中級</v>
          </cell>
          <cell r="J385">
            <v>270</v>
          </cell>
          <cell r="K385">
            <v>15</v>
          </cell>
          <cell r="L385">
            <v>1200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7</v>
          </cell>
          <cell r="AD385">
            <v>6</v>
          </cell>
          <cell r="AE385" t="str">
            <v>everyone</v>
          </cell>
        </row>
        <row r="386">
          <cell r="A386" t="str">
            <v>30001_2</v>
          </cell>
          <cell r="B386">
            <v>3</v>
          </cell>
          <cell r="C386">
            <v>30001</v>
          </cell>
          <cell r="D386" t="str">
            <v>ハンター・オブ・ハンター</v>
          </cell>
          <cell r="E386" t="str">
            <v>ドロップイベント1-1（マルチ専用）</v>
          </cell>
          <cell r="F386">
            <v>2</v>
          </cell>
          <cell r="G386" t="str">
            <v>ja</v>
          </cell>
          <cell r="H386" t="str">
            <v xml:space="preserve">【上級】ハンター・オブ・ハンター </v>
          </cell>
          <cell r="I386" t="str">
            <v>上級</v>
          </cell>
          <cell r="J386">
            <v>270</v>
          </cell>
          <cell r="K386">
            <v>20</v>
          </cell>
          <cell r="L386">
            <v>2000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7</v>
          </cell>
          <cell r="AD386">
            <v>6</v>
          </cell>
          <cell r="AE386" t="str">
            <v>everyone</v>
          </cell>
        </row>
        <row r="387">
          <cell r="A387" t="str">
            <v>30001_3</v>
          </cell>
          <cell r="B387">
            <v>3</v>
          </cell>
          <cell r="C387">
            <v>30001</v>
          </cell>
          <cell r="D387" t="str">
            <v>ハンター・オブ・ハンター</v>
          </cell>
          <cell r="E387" t="str">
            <v>ドロップイベント1-1（マルチ専用）</v>
          </cell>
          <cell r="F387">
            <v>3</v>
          </cell>
          <cell r="G387" t="str">
            <v>ja</v>
          </cell>
          <cell r="H387" t="str">
            <v xml:space="preserve">【超級】ハンター・オブ・ハンター </v>
          </cell>
          <cell r="I387" t="str">
            <v>超級</v>
          </cell>
          <cell r="J387">
            <v>271</v>
          </cell>
          <cell r="K387">
            <v>30</v>
          </cell>
          <cell r="L387">
            <v>3300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7</v>
          </cell>
          <cell r="AD387">
            <v>6</v>
          </cell>
          <cell r="AE387" t="str">
            <v>everyone</v>
          </cell>
        </row>
        <row r="388">
          <cell r="A388" t="str">
            <v>30002_1</v>
          </cell>
          <cell r="B388">
            <v>3</v>
          </cell>
          <cell r="C388">
            <v>30002</v>
          </cell>
          <cell r="D388" t="str">
            <v>トリックスター</v>
          </cell>
          <cell r="E388" t="str">
            <v>ドロップイベント1-2（マルチ専用）</v>
          </cell>
          <cell r="F388">
            <v>1</v>
          </cell>
          <cell r="G388" t="str">
            <v>ja</v>
          </cell>
          <cell r="H388" t="str">
            <v xml:space="preserve">【中級】トリックスター </v>
          </cell>
          <cell r="I388" t="str">
            <v>中級</v>
          </cell>
          <cell r="J388">
            <v>272</v>
          </cell>
          <cell r="K388">
            <v>15</v>
          </cell>
          <cell r="L388">
            <v>1200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17</v>
          </cell>
          <cell r="AD388">
            <v>6</v>
          </cell>
          <cell r="AE388" t="str">
            <v>everyone</v>
          </cell>
        </row>
        <row r="389">
          <cell r="A389" t="str">
            <v>30002_2</v>
          </cell>
          <cell r="B389">
            <v>3</v>
          </cell>
          <cell r="C389">
            <v>30002</v>
          </cell>
          <cell r="D389" t="str">
            <v>トリックスター</v>
          </cell>
          <cell r="E389" t="str">
            <v>ドロップイベント1-2（マルチ専用）</v>
          </cell>
          <cell r="F389">
            <v>2</v>
          </cell>
          <cell r="G389" t="str">
            <v>ja</v>
          </cell>
          <cell r="H389" t="str">
            <v xml:space="preserve">【上級】トリックスター </v>
          </cell>
          <cell r="I389" t="str">
            <v>上級</v>
          </cell>
          <cell r="J389">
            <v>272</v>
          </cell>
          <cell r="K389">
            <v>20</v>
          </cell>
          <cell r="L389">
            <v>2000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17</v>
          </cell>
          <cell r="AD389">
            <v>6</v>
          </cell>
          <cell r="AE389" t="str">
            <v>everyone</v>
          </cell>
        </row>
        <row r="390">
          <cell r="A390" t="str">
            <v>30002_3</v>
          </cell>
          <cell r="B390">
            <v>3</v>
          </cell>
          <cell r="C390">
            <v>30002</v>
          </cell>
          <cell r="D390" t="str">
            <v>トリックスター</v>
          </cell>
          <cell r="E390" t="str">
            <v>ドロップイベント1-2（マルチ専用）</v>
          </cell>
          <cell r="F390">
            <v>3</v>
          </cell>
          <cell r="G390" t="str">
            <v>ja</v>
          </cell>
          <cell r="H390" t="str">
            <v xml:space="preserve">【超級】トリックスター </v>
          </cell>
          <cell r="I390" t="str">
            <v>超級</v>
          </cell>
          <cell r="J390">
            <v>273</v>
          </cell>
          <cell r="K390">
            <v>30</v>
          </cell>
          <cell r="L390">
            <v>3300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polygon</v>
          </cell>
          <cell r="T390">
            <v>1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17</v>
          </cell>
          <cell r="AD390">
            <v>6</v>
          </cell>
          <cell r="AE390" t="str">
            <v>everyone</v>
          </cell>
        </row>
        <row r="391">
          <cell r="A391" t="str">
            <v>30003_1</v>
          </cell>
          <cell r="B391">
            <v>3</v>
          </cell>
          <cell r="C391">
            <v>30003</v>
          </cell>
          <cell r="D391" t="str">
            <v>打ち下ろされる砕棒</v>
          </cell>
          <cell r="E391" t="str">
            <v>ドロップイベント1-3（マルチ専用）</v>
          </cell>
          <cell r="F391">
            <v>1</v>
          </cell>
          <cell r="G391" t="str">
            <v>ja</v>
          </cell>
          <cell r="H391" t="str">
            <v xml:space="preserve">【中級】打ち下ろされる砕棒 </v>
          </cell>
          <cell r="I391" t="str">
            <v>中級</v>
          </cell>
          <cell r="J391">
            <v>274</v>
          </cell>
          <cell r="K391">
            <v>15</v>
          </cell>
          <cell r="L391">
            <v>1200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20</v>
          </cell>
          <cell r="AD391">
            <v>6</v>
          </cell>
          <cell r="AE391" t="str">
            <v>everyone</v>
          </cell>
        </row>
        <row r="392">
          <cell r="A392" t="str">
            <v>30003_2</v>
          </cell>
          <cell r="B392">
            <v>3</v>
          </cell>
          <cell r="C392">
            <v>30003</v>
          </cell>
          <cell r="D392" t="str">
            <v>打ち下ろされる砕棒</v>
          </cell>
          <cell r="E392" t="str">
            <v>ドロップイベント1-3（マルチ専用）</v>
          </cell>
          <cell r="F392">
            <v>2</v>
          </cell>
          <cell r="G392" t="str">
            <v>ja</v>
          </cell>
          <cell r="H392" t="str">
            <v>【上級】打ち下ろされる砕棒</v>
          </cell>
          <cell r="I392" t="str">
            <v>上級</v>
          </cell>
          <cell r="J392">
            <v>274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20</v>
          </cell>
          <cell r="AD392">
            <v>6</v>
          </cell>
          <cell r="AE392" t="str">
            <v>everyone</v>
          </cell>
        </row>
        <row r="393">
          <cell r="A393" t="str">
            <v>30003_3</v>
          </cell>
          <cell r="B393">
            <v>3</v>
          </cell>
          <cell r="C393">
            <v>30003</v>
          </cell>
          <cell r="D393" t="str">
            <v>打ち下ろされる砕棒</v>
          </cell>
          <cell r="E393" t="str">
            <v>ドロップイベント1-3（マルチ専用）</v>
          </cell>
          <cell r="F393">
            <v>3</v>
          </cell>
          <cell r="G393" t="str">
            <v>ja</v>
          </cell>
          <cell r="H393" t="str">
            <v xml:space="preserve">【超級】打ち下ろされる砕棒 </v>
          </cell>
          <cell r="I393" t="str">
            <v>超級</v>
          </cell>
          <cell r="J393">
            <v>275</v>
          </cell>
          <cell r="K393">
            <v>30</v>
          </cell>
          <cell r="L393">
            <v>3300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20</v>
          </cell>
          <cell r="AD393">
            <v>6</v>
          </cell>
          <cell r="AE393" t="str">
            <v>everyone</v>
          </cell>
        </row>
        <row r="394">
          <cell r="A394" t="str">
            <v>30004_1</v>
          </cell>
          <cell r="B394">
            <v>3</v>
          </cell>
          <cell r="C394">
            <v>30004</v>
          </cell>
          <cell r="D394" t="str">
            <v>危険な仲裁者</v>
          </cell>
          <cell r="E394" t="str">
            <v>ドロップイベント1-4（マルチ専用）</v>
          </cell>
          <cell r="F394">
            <v>1</v>
          </cell>
          <cell r="G394" t="str">
            <v>ja</v>
          </cell>
          <cell r="H394" t="str">
            <v xml:space="preserve">【中級】危険な仲裁者 </v>
          </cell>
          <cell r="I394" t="str">
            <v>中級</v>
          </cell>
          <cell r="J394">
            <v>276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14</v>
          </cell>
          <cell r="AD394">
            <v>6</v>
          </cell>
          <cell r="AE394" t="str">
            <v>everyone</v>
          </cell>
        </row>
        <row r="395">
          <cell r="A395" t="str">
            <v>30004_2</v>
          </cell>
          <cell r="B395">
            <v>3</v>
          </cell>
          <cell r="C395">
            <v>30004</v>
          </cell>
          <cell r="D395" t="str">
            <v>危険な仲裁者</v>
          </cell>
          <cell r="E395" t="str">
            <v>ドロップイベント1-4（マルチ専用）</v>
          </cell>
          <cell r="F395">
            <v>2</v>
          </cell>
          <cell r="G395" t="str">
            <v>ja</v>
          </cell>
          <cell r="H395" t="str">
            <v xml:space="preserve">【上級】危険な仲裁者 </v>
          </cell>
          <cell r="I395" t="str">
            <v>上級</v>
          </cell>
          <cell r="J395">
            <v>276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14</v>
          </cell>
          <cell r="AD395">
            <v>6</v>
          </cell>
          <cell r="AE395" t="str">
            <v>everyone</v>
          </cell>
        </row>
        <row r="396">
          <cell r="A396" t="str">
            <v>30004_3</v>
          </cell>
          <cell r="B396">
            <v>3</v>
          </cell>
          <cell r="C396">
            <v>30004</v>
          </cell>
          <cell r="D396" t="str">
            <v>危険な仲裁者</v>
          </cell>
          <cell r="E396" t="str">
            <v>ドロップイベント1-4（マルチ専用）</v>
          </cell>
          <cell r="F396">
            <v>3</v>
          </cell>
          <cell r="G396" t="str">
            <v>ja</v>
          </cell>
          <cell r="H396" t="str">
            <v xml:space="preserve">【超級】危険な仲裁者 </v>
          </cell>
          <cell r="I396" t="str">
            <v>超級</v>
          </cell>
          <cell r="J396">
            <v>277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14</v>
          </cell>
          <cell r="AD396">
            <v>6</v>
          </cell>
          <cell r="AE396" t="str">
            <v>everyone</v>
          </cell>
        </row>
        <row r="397">
          <cell r="A397" t="str">
            <v>30005_1</v>
          </cell>
          <cell r="B397">
            <v>3</v>
          </cell>
          <cell r="C397">
            <v>30005</v>
          </cell>
          <cell r="D397" t="str">
            <v>ニンゲンにしてあげる☆</v>
          </cell>
          <cell r="E397" t="str">
            <v>ドロップイベント2-1（マルチ専用）</v>
          </cell>
          <cell r="F397">
            <v>1</v>
          </cell>
          <cell r="G397" t="str">
            <v>ja</v>
          </cell>
          <cell r="H397" t="str">
            <v xml:space="preserve">【中級】ニンゲンにしてあげる </v>
          </cell>
          <cell r="I397" t="str">
            <v>中級</v>
          </cell>
          <cell r="J397">
            <v>290</v>
          </cell>
          <cell r="K397">
            <v>15</v>
          </cell>
          <cell r="L397">
            <v>1200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11</v>
          </cell>
          <cell r="AD397">
            <v>6</v>
          </cell>
          <cell r="AE397" t="str">
            <v>everyone</v>
          </cell>
        </row>
        <row r="398">
          <cell r="A398" t="str">
            <v>30005_2</v>
          </cell>
          <cell r="B398">
            <v>3</v>
          </cell>
          <cell r="C398">
            <v>30005</v>
          </cell>
          <cell r="D398" t="str">
            <v>ニンゲンにしてあげる☆</v>
          </cell>
          <cell r="E398" t="str">
            <v>ドロップイベント2-1（マルチ専用）</v>
          </cell>
          <cell r="F398">
            <v>2</v>
          </cell>
          <cell r="G398" t="str">
            <v>ja</v>
          </cell>
          <cell r="H398" t="str">
            <v xml:space="preserve">【上級】ニンゲンにしてあげる </v>
          </cell>
          <cell r="I398" t="str">
            <v>上級</v>
          </cell>
          <cell r="J398">
            <v>290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11</v>
          </cell>
          <cell r="AD398">
            <v>6</v>
          </cell>
          <cell r="AE398" t="str">
            <v>everyone</v>
          </cell>
        </row>
        <row r="399">
          <cell r="A399" t="str">
            <v>30005_3</v>
          </cell>
          <cell r="B399">
            <v>3</v>
          </cell>
          <cell r="C399">
            <v>30005</v>
          </cell>
          <cell r="D399" t="str">
            <v>ニンゲンにしてあげる☆</v>
          </cell>
          <cell r="E399" t="str">
            <v>ドロップイベント2-1（マルチ専用）</v>
          </cell>
          <cell r="F399">
            <v>3</v>
          </cell>
          <cell r="G399" t="str">
            <v>ja</v>
          </cell>
          <cell r="H399" t="str">
            <v>【超級】ニンゲンにしてあげる</v>
          </cell>
          <cell r="I399" t="str">
            <v>超級</v>
          </cell>
          <cell r="J399">
            <v>291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polygon</v>
          </cell>
          <cell r="T399">
            <v>1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11</v>
          </cell>
          <cell r="AD399">
            <v>6</v>
          </cell>
          <cell r="AE399" t="str">
            <v>everyone</v>
          </cell>
        </row>
        <row r="400">
          <cell r="A400" t="str">
            <v>30006_1</v>
          </cell>
          <cell r="B400">
            <v>3</v>
          </cell>
          <cell r="C400">
            <v>30006</v>
          </cell>
          <cell r="D400" t="str">
            <v>それはお前を食べるためさ</v>
          </cell>
          <cell r="E400" t="str">
            <v>ドロップイベント2-3（マルチ専用）</v>
          </cell>
          <cell r="F400">
            <v>1</v>
          </cell>
          <cell r="G400" t="str">
            <v>ja</v>
          </cell>
          <cell r="H400" t="str">
            <v>【中級】それはお前を食べるためさ</v>
          </cell>
          <cell r="I400" t="str">
            <v>中級</v>
          </cell>
          <cell r="J400">
            <v>294</v>
          </cell>
          <cell r="K400">
            <v>15</v>
          </cell>
          <cell r="L400">
            <v>1200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7</v>
          </cell>
          <cell r="AD400">
            <v>6</v>
          </cell>
          <cell r="AE400" t="str">
            <v>everyone</v>
          </cell>
        </row>
        <row r="401">
          <cell r="A401" t="str">
            <v>30006_2</v>
          </cell>
          <cell r="B401">
            <v>3</v>
          </cell>
          <cell r="C401">
            <v>30006</v>
          </cell>
          <cell r="D401" t="str">
            <v>それはお前を食べるためさ</v>
          </cell>
          <cell r="E401" t="str">
            <v>ドロップイベント2-3（マルチ専用）</v>
          </cell>
          <cell r="F401">
            <v>2</v>
          </cell>
          <cell r="G401" t="str">
            <v>ja</v>
          </cell>
          <cell r="H401" t="str">
            <v>【上級】それはお前を食べるためさ</v>
          </cell>
          <cell r="I401" t="str">
            <v>上級</v>
          </cell>
          <cell r="J401">
            <v>294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7</v>
          </cell>
          <cell r="AD401">
            <v>6</v>
          </cell>
          <cell r="AE401" t="str">
            <v>everyone</v>
          </cell>
        </row>
        <row r="402">
          <cell r="A402" t="str">
            <v>30006_3</v>
          </cell>
          <cell r="B402">
            <v>3</v>
          </cell>
          <cell r="C402">
            <v>30006</v>
          </cell>
          <cell r="D402" t="str">
            <v>それはお前を食べるためさ</v>
          </cell>
          <cell r="E402" t="str">
            <v>ドロップイベント2-3（マルチ専用）</v>
          </cell>
          <cell r="F402">
            <v>3</v>
          </cell>
          <cell r="G402" t="str">
            <v>ja</v>
          </cell>
          <cell r="H402" t="str">
            <v>【超級】それはお前を食べるためさ</v>
          </cell>
          <cell r="I402" t="str">
            <v>超級</v>
          </cell>
          <cell r="J402">
            <v>295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7</v>
          </cell>
          <cell r="AD402">
            <v>6</v>
          </cell>
          <cell r="AE402" t="str">
            <v>everyone</v>
          </cell>
        </row>
        <row r="403">
          <cell r="A403" t="str">
            <v>30007_1</v>
          </cell>
          <cell r="B403">
            <v>3</v>
          </cell>
          <cell r="C403">
            <v>30007</v>
          </cell>
          <cell r="D403" t="str">
            <v>ガラスの靴は私のもの</v>
          </cell>
          <cell r="E403" t="str">
            <v>ドロップイベント2-2（マルチ専用）</v>
          </cell>
          <cell r="F403">
            <v>1</v>
          </cell>
          <cell r="G403" t="str">
            <v>ja</v>
          </cell>
          <cell r="H403" t="str">
            <v xml:space="preserve">【中級】ガラスの靴は私のもの </v>
          </cell>
          <cell r="I403" t="str">
            <v>中級</v>
          </cell>
          <cell r="J403">
            <v>292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</v>
          </cell>
          <cell r="AD403">
            <v>6</v>
          </cell>
          <cell r="AE403" t="str">
            <v>everyone</v>
          </cell>
        </row>
        <row r="404">
          <cell r="A404" t="str">
            <v>30007_2</v>
          </cell>
          <cell r="B404">
            <v>3</v>
          </cell>
          <cell r="C404">
            <v>30007</v>
          </cell>
          <cell r="D404" t="str">
            <v>ガラスの靴は私のもの</v>
          </cell>
          <cell r="E404" t="str">
            <v>ドロップイベント2-2（マルチ専用）</v>
          </cell>
          <cell r="F404">
            <v>2</v>
          </cell>
          <cell r="G404" t="str">
            <v>ja</v>
          </cell>
          <cell r="H404" t="str">
            <v>【上級】ガラスの靴は私のもの</v>
          </cell>
          <cell r="I404" t="str">
            <v>上級</v>
          </cell>
          <cell r="J404">
            <v>292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</v>
          </cell>
          <cell r="AD404">
            <v>6</v>
          </cell>
          <cell r="AE404" t="str">
            <v>everyone</v>
          </cell>
        </row>
        <row r="405">
          <cell r="A405" t="str">
            <v>30007_3</v>
          </cell>
          <cell r="B405">
            <v>3</v>
          </cell>
          <cell r="C405">
            <v>30007</v>
          </cell>
          <cell r="D405" t="str">
            <v>ガラスの靴は私のもの</v>
          </cell>
          <cell r="E405" t="str">
            <v>ドロップイベント2-2（マルチ専用）</v>
          </cell>
          <cell r="F405">
            <v>3</v>
          </cell>
          <cell r="G405" t="str">
            <v>ja</v>
          </cell>
          <cell r="H405" t="str">
            <v xml:space="preserve">【超級】ガラスの靴は私のもの </v>
          </cell>
          <cell r="I405" t="str">
            <v>超級</v>
          </cell>
          <cell r="J405">
            <v>293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</v>
          </cell>
          <cell r="AD405">
            <v>6</v>
          </cell>
          <cell r="AE405" t="str">
            <v>everyone</v>
          </cell>
        </row>
        <row r="406">
          <cell r="A406" t="str">
            <v>30008_1</v>
          </cell>
          <cell r="B406">
            <v>3</v>
          </cell>
          <cell r="C406">
            <v>30008</v>
          </cell>
          <cell r="D406" t="str">
            <v>わたしの嫁を返してもらおう</v>
          </cell>
          <cell r="E406" t="str">
            <v>ドロップイベント2-4（マルチ専用）</v>
          </cell>
          <cell r="F406">
            <v>1</v>
          </cell>
          <cell r="G406" t="str">
            <v>ja</v>
          </cell>
          <cell r="H406" t="str">
            <v>【中級】わたしの嫁を返してもらおう</v>
          </cell>
          <cell r="I406" t="str">
            <v>中級</v>
          </cell>
          <cell r="J406">
            <v>288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22</v>
          </cell>
          <cell r="AD406">
            <v>6</v>
          </cell>
          <cell r="AE406" t="str">
            <v>everyone</v>
          </cell>
        </row>
        <row r="407">
          <cell r="A407" t="str">
            <v>30008_2</v>
          </cell>
          <cell r="B407">
            <v>3</v>
          </cell>
          <cell r="C407">
            <v>30008</v>
          </cell>
          <cell r="D407" t="str">
            <v>わたしの嫁を返してもらおう</v>
          </cell>
          <cell r="E407" t="str">
            <v>ドロップイベント2-4（マルチ専用）</v>
          </cell>
          <cell r="F407">
            <v>2</v>
          </cell>
          <cell r="G407" t="str">
            <v>ja</v>
          </cell>
          <cell r="H407" t="str">
            <v>【上級】わたしの嫁を返してもらおう</v>
          </cell>
          <cell r="I407" t="str">
            <v>上級</v>
          </cell>
          <cell r="J407">
            <v>288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22</v>
          </cell>
          <cell r="AD407">
            <v>6</v>
          </cell>
          <cell r="AE407" t="str">
            <v>everyone</v>
          </cell>
        </row>
        <row r="408">
          <cell r="A408" t="str">
            <v>30008_3</v>
          </cell>
          <cell r="B408">
            <v>3</v>
          </cell>
          <cell r="C408">
            <v>30008</v>
          </cell>
          <cell r="D408" t="str">
            <v>わたしの嫁を返してもらおう</v>
          </cell>
          <cell r="E408" t="str">
            <v>ドロップイベント2-4（マルチ専用）</v>
          </cell>
          <cell r="F408">
            <v>3</v>
          </cell>
          <cell r="G408" t="str">
            <v>ja</v>
          </cell>
          <cell r="H408" t="str">
            <v>【超級】わたしの嫁を返してもらおう</v>
          </cell>
          <cell r="I408" t="str">
            <v>超級</v>
          </cell>
          <cell r="J408">
            <v>289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22</v>
          </cell>
          <cell r="AD408">
            <v>6</v>
          </cell>
          <cell r="AE408" t="str">
            <v>everyone</v>
          </cell>
        </row>
        <row r="409">
          <cell r="A409" t="str">
            <v>30009_3</v>
          </cell>
          <cell r="B409">
            <v>0</v>
          </cell>
          <cell r="C409">
            <v>30009</v>
          </cell>
          <cell r="D409" t="str">
            <v>復活の捕食者</v>
          </cell>
          <cell r="E409" t="str">
            <v>ドロップイベント3（マルチ専用）</v>
          </cell>
          <cell r="F409">
            <v>3</v>
          </cell>
          <cell r="G409" t="str">
            <v>ja</v>
          </cell>
          <cell r="H409" t="str">
            <v>【上級】復活の捕食者</v>
          </cell>
          <cell r="I409" t="str">
            <v>上級</v>
          </cell>
          <cell r="J409">
            <v>312</v>
          </cell>
          <cell r="K409">
            <v>20</v>
          </cell>
          <cell r="L409">
            <v>2000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2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8</v>
          </cell>
          <cell r="AD409">
            <v>6</v>
          </cell>
          <cell r="AE409" t="str">
            <v>everyone</v>
          </cell>
        </row>
        <row r="410">
          <cell r="A410" t="str">
            <v>30009_1</v>
          </cell>
          <cell r="B410">
            <v>3</v>
          </cell>
          <cell r="C410">
            <v>30009</v>
          </cell>
          <cell r="D410" t="str">
            <v>復活の捕食者</v>
          </cell>
          <cell r="E410" t="str">
            <v>ドロップイベント3（マルチ専用）</v>
          </cell>
          <cell r="F410">
            <v>1</v>
          </cell>
          <cell r="G410" t="str">
            <v>ja</v>
          </cell>
          <cell r="H410" t="str">
            <v>【超級】復活の捕食者</v>
          </cell>
          <cell r="I410" t="str">
            <v>超級</v>
          </cell>
          <cell r="J410">
            <v>312</v>
          </cell>
          <cell r="K410">
            <v>30</v>
          </cell>
          <cell r="L410">
            <v>3300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2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8</v>
          </cell>
          <cell r="AD410">
            <v>6</v>
          </cell>
          <cell r="AE410" t="str">
            <v>everyone</v>
          </cell>
        </row>
        <row r="411">
          <cell r="A411" t="str">
            <v>30009_2</v>
          </cell>
          <cell r="B411">
            <v>3</v>
          </cell>
          <cell r="C411">
            <v>30009</v>
          </cell>
          <cell r="D411" t="str">
            <v>復活の捕食者</v>
          </cell>
          <cell r="E411" t="str">
            <v>ドロップイベント3（マルチ専用）</v>
          </cell>
          <cell r="F411">
            <v>2</v>
          </cell>
          <cell r="G411" t="str">
            <v>ja</v>
          </cell>
          <cell r="H411" t="str">
            <v>【超絶級】復活の捕食者</v>
          </cell>
          <cell r="I411" t="str">
            <v>超絶級</v>
          </cell>
          <cell r="J411">
            <v>312</v>
          </cell>
          <cell r="K411">
            <v>35</v>
          </cell>
          <cell r="L411">
            <v>4200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2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8</v>
          </cell>
          <cell r="AD411">
            <v>6</v>
          </cell>
          <cell r="AE411" t="str">
            <v>everyone</v>
          </cell>
        </row>
        <row r="412">
          <cell r="A412" t="str">
            <v>30010_1</v>
          </cell>
          <cell r="B412">
            <v>3</v>
          </cell>
          <cell r="C412">
            <v>30010</v>
          </cell>
          <cell r="D412" t="str">
            <v>最大最凶</v>
          </cell>
          <cell r="E412" t="str">
            <v>ドロップイベント3（マルチ専用）</v>
          </cell>
          <cell r="F412">
            <v>1</v>
          </cell>
          <cell r="G412" t="str">
            <v>ja</v>
          </cell>
          <cell r="H412" t="str">
            <v>【上級】最大最凶</v>
          </cell>
          <cell r="I412" t="str">
            <v>上級</v>
          </cell>
          <cell r="J412">
            <v>306</v>
          </cell>
          <cell r="K412">
            <v>20</v>
          </cell>
          <cell r="L412">
            <v>2000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2</v>
          </cell>
          <cell r="AD412">
            <v>7</v>
          </cell>
          <cell r="AE412" t="str">
            <v>everyone</v>
          </cell>
        </row>
        <row r="413">
          <cell r="A413" t="str">
            <v>30010_2</v>
          </cell>
          <cell r="B413">
            <v>3</v>
          </cell>
          <cell r="C413">
            <v>30010</v>
          </cell>
          <cell r="D413" t="str">
            <v>最大最凶</v>
          </cell>
          <cell r="E413" t="str">
            <v>ドロップイベント3（マルチ専用）</v>
          </cell>
          <cell r="F413">
            <v>2</v>
          </cell>
          <cell r="G413" t="str">
            <v>ja</v>
          </cell>
          <cell r="H413" t="str">
            <v>【超級】最大最凶</v>
          </cell>
          <cell r="I413" t="str">
            <v>超級</v>
          </cell>
          <cell r="J413">
            <v>306</v>
          </cell>
          <cell r="K413">
            <v>30</v>
          </cell>
          <cell r="L413">
            <v>3300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2</v>
          </cell>
          <cell r="AD413">
            <v>7</v>
          </cell>
          <cell r="AE413" t="str">
            <v>everyone</v>
          </cell>
        </row>
        <row r="414">
          <cell r="A414" t="str">
            <v>30010_3</v>
          </cell>
          <cell r="B414">
            <v>3</v>
          </cell>
          <cell r="C414">
            <v>30010</v>
          </cell>
          <cell r="D414" t="str">
            <v>最大最凶</v>
          </cell>
          <cell r="E414" t="str">
            <v>ドロップイベント3（マルチ専用）</v>
          </cell>
          <cell r="F414">
            <v>3</v>
          </cell>
          <cell r="G414" t="str">
            <v>ja</v>
          </cell>
          <cell r="H414" t="str">
            <v>【超絶級】最大最凶</v>
          </cell>
          <cell r="I414" t="str">
            <v>超絶級</v>
          </cell>
          <cell r="J414">
            <v>306</v>
          </cell>
          <cell r="K414">
            <v>35</v>
          </cell>
          <cell r="L414">
            <v>4200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2</v>
          </cell>
          <cell r="AD414">
            <v>7</v>
          </cell>
          <cell r="AE414" t="str">
            <v>everyone</v>
          </cell>
        </row>
        <row r="415">
          <cell r="A415" t="str">
            <v>30011_1</v>
          </cell>
          <cell r="B415">
            <v>3</v>
          </cell>
          <cell r="C415">
            <v>30011</v>
          </cell>
          <cell r="D415" t="str">
            <v>気怠い巨読者</v>
          </cell>
          <cell r="E415" t="str">
            <v>ドロップイベント3（マルチ専用）</v>
          </cell>
          <cell r="F415">
            <v>1</v>
          </cell>
          <cell r="G415" t="str">
            <v>ja</v>
          </cell>
          <cell r="H415" t="str">
            <v>【上級】気怠い巨読者</v>
          </cell>
          <cell r="I415" t="str">
            <v>上級</v>
          </cell>
          <cell r="J415">
            <v>308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2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19</v>
          </cell>
          <cell r="AD415">
            <v>6</v>
          </cell>
          <cell r="AE415" t="str">
            <v>everyone</v>
          </cell>
        </row>
        <row r="416">
          <cell r="A416" t="str">
            <v>30011_2</v>
          </cell>
          <cell r="B416">
            <v>3</v>
          </cell>
          <cell r="C416">
            <v>30011</v>
          </cell>
          <cell r="D416" t="str">
            <v>気怠い巨読者</v>
          </cell>
          <cell r="E416" t="str">
            <v>ドロップイベント3（マルチ専用）</v>
          </cell>
          <cell r="F416">
            <v>2</v>
          </cell>
          <cell r="G416" t="str">
            <v>ja</v>
          </cell>
          <cell r="H416" t="str">
            <v>【超級】気怠い巨読者</v>
          </cell>
          <cell r="I416" t="str">
            <v>超級</v>
          </cell>
          <cell r="J416">
            <v>308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2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19</v>
          </cell>
          <cell r="AD416">
            <v>6</v>
          </cell>
          <cell r="AE416" t="str">
            <v>everyone</v>
          </cell>
        </row>
        <row r="417">
          <cell r="A417" t="str">
            <v>30011_3</v>
          </cell>
          <cell r="B417">
            <v>3</v>
          </cell>
          <cell r="C417">
            <v>30011</v>
          </cell>
          <cell r="D417" t="str">
            <v>気怠い巨読者</v>
          </cell>
          <cell r="E417" t="str">
            <v>ドロップイベント3（マルチ専用）</v>
          </cell>
          <cell r="F417">
            <v>3</v>
          </cell>
          <cell r="G417" t="str">
            <v>ja</v>
          </cell>
          <cell r="H417" t="str">
            <v>【超絶級】気怠い巨読者</v>
          </cell>
          <cell r="I417" t="str">
            <v>超絶級</v>
          </cell>
          <cell r="J417">
            <v>309</v>
          </cell>
          <cell r="K417">
            <v>35</v>
          </cell>
          <cell r="L417">
            <v>4200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2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19</v>
          </cell>
          <cell r="AD417">
            <v>6</v>
          </cell>
          <cell r="AE417" t="str">
            <v>everyone</v>
          </cell>
        </row>
        <row r="418">
          <cell r="A418" t="str">
            <v>30012_1</v>
          </cell>
          <cell r="B418">
            <v>3</v>
          </cell>
          <cell r="C418">
            <v>30012</v>
          </cell>
          <cell r="D418" t="str">
            <v>底なしの胃袋</v>
          </cell>
          <cell r="E418" t="str">
            <v>ドロップイベント3（マルチ専用）</v>
          </cell>
          <cell r="F418">
            <v>1</v>
          </cell>
          <cell r="G418" t="str">
            <v>ja</v>
          </cell>
          <cell r="H418" t="str">
            <v>【上級】底なしの胃袋</v>
          </cell>
          <cell r="I418" t="str">
            <v>上級</v>
          </cell>
          <cell r="J418">
            <v>310</v>
          </cell>
          <cell r="K418">
            <v>20</v>
          </cell>
          <cell r="L418">
            <v>2000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0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5</v>
          </cell>
          <cell r="AD418">
            <v>6</v>
          </cell>
          <cell r="AE418" t="str">
            <v>everyone</v>
          </cell>
        </row>
        <row r="419">
          <cell r="A419" t="str">
            <v>30012_2</v>
          </cell>
          <cell r="B419">
            <v>3</v>
          </cell>
          <cell r="C419">
            <v>30012</v>
          </cell>
          <cell r="D419" t="str">
            <v>底なしの胃袋</v>
          </cell>
          <cell r="E419" t="str">
            <v>ドロップイベント3（マルチ専用）</v>
          </cell>
          <cell r="F419">
            <v>2</v>
          </cell>
          <cell r="G419" t="str">
            <v>ja</v>
          </cell>
          <cell r="H419" t="str">
            <v>【超級】底なしの胃袋</v>
          </cell>
          <cell r="I419" t="str">
            <v>超級</v>
          </cell>
          <cell r="J419">
            <v>310</v>
          </cell>
          <cell r="K419">
            <v>30</v>
          </cell>
          <cell r="L419">
            <v>3300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5</v>
          </cell>
          <cell r="AD419">
            <v>6</v>
          </cell>
          <cell r="AE419" t="str">
            <v>everyone</v>
          </cell>
        </row>
        <row r="420">
          <cell r="A420" t="str">
            <v>30012_3</v>
          </cell>
          <cell r="B420">
            <v>3</v>
          </cell>
          <cell r="C420">
            <v>30012</v>
          </cell>
          <cell r="D420" t="str">
            <v>底なしの胃袋</v>
          </cell>
          <cell r="E420" t="str">
            <v>ドロップイベント3（マルチ専用）</v>
          </cell>
          <cell r="F420">
            <v>3</v>
          </cell>
          <cell r="G420" t="str">
            <v>ja</v>
          </cell>
          <cell r="H420" t="str">
            <v>【超絶級】底なしの胃袋</v>
          </cell>
          <cell r="I420" t="str">
            <v>超絶級</v>
          </cell>
          <cell r="J420">
            <v>310</v>
          </cell>
          <cell r="K420">
            <v>35</v>
          </cell>
          <cell r="L420">
            <v>4200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everyone</v>
          </cell>
        </row>
        <row r="421">
          <cell r="A421" t="str">
            <v>30013_1</v>
          </cell>
          <cell r="B421">
            <v>3</v>
          </cell>
          <cell r="C421">
            <v>30013</v>
          </cell>
          <cell r="D421" t="str">
            <v>決戦・竜宮城</v>
          </cell>
          <cell r="E421" t="str">
            <v>ドロップイベント4（マルチ専用）</v>
          </cell>
          <cell r="F421">
            <v>1</v>
          </cell>
          <cell r="G421" t="str">
            <v>ja</v>
          </cell>
          <cell r="H421" t="str">
            <v>【超級】決戦・竜宮城</v>
          </cell>
          <cell r="I421" t="str">
            <v>超級</v>
          </cell>
          <cell r="J421">
            <v>418</v>
          </cell>
          <cell r="K421">
            <v>30</v>
          </cell>
          <cell r="L421">
            <v>3300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17</v>
          </cell>
          <cell r="AD421">
            <v>6</v>
          </cell>
          <cell r="AE421" t="str">
            <v>everyone</v>
          </cell>
        </row>
        <row r="422">
          <cell r="A422" t="str">
            <v>30013_2</v>
          </cell>
          <cell r="B422">
            <v>3</v>
          </cell>
          <cell r="C422">
            <v>30013</v>
          </cell>
          <cell r="D422" t="str">
            <v>決戦・竜宮城</v>
          </cell>
          <cell r="E422" t="str">
            <v>ドロップイベント4（マルチ専用）</v>
          </cell>
          <cell r="F422">
            <v>2</v>
          </cell>
          <cell r="G422" t="str">
            <v>ja</v>
          </cell>
          <cell r="H422" t="str">
            <v>【超絶級】決戦・竜宮城</v>
          </cell>
          <cell r="I422" t="str">
            <v>超絶級</v>
          </cell>
          <cell r="J422">
            <v>419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17</v>
          </cell>
          <cell r="AD422">
            <v>6</v>
          </cell>
          <cell r="AE422" t="str">
            <v>everyone</v>
          </cell>
        </row>
        <row r="423">
          <cell r="A423" t="str">
            <v>30014_1</v>
          </cell>
          <cell r="B423">
            <v>3</v>
          </cell>
          <cell r="C423">
            <v>30014</v>
          </cell>
          <cell r="D423" t="str">
            <v>親指を突き立てろ！</v>
          </cell>
          <cell r="E423" t="str">
            <v>ドロップイベント4（マルチ専用）</v>
          </cell>
          <cell r="F423">
            <v>1</v>
          </cell>
          <cell r="G423" t="str">
            <v>ja</v>
          </cell>
          <cell r="H423" t="str">
            <v>【超級】親指を突き立てろ！</v>
          </cell>
          <cell r="I423" t="str">
            <v>超級</v>
          </cell>
          <cell r="J423">
            <v>420</v>
          </cell>
          <cell r="K423">
            <v>30</v>
          </cell>
          <cell r="L423">
            <v>3300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23</v>
          </cell>
          <cell r="AD423">
            <v>5</v>
          </cell>
          <cell r="AE423" t="str">
            <v>everyone</v>
          </cell>
        </row>
        <row r="424">
          <cell r="A424" t="str">
            <v>30014_2</v>
          </cell>
          <cell r="B424">
            <v>3</v>
          </cell>
          <cell r="C424">
            <v>30014</v>
          </cell>
          <cell r="D424" t="str">
            <v>親指を突き立てろ！</v>
          </cell>
          <cell r="E424" t="str">
            <v>ドロップイベント4（マルチ専用）</v>
          </cell>
          <cell r="F424">
            <v>2</v>
          </cell>
          <cell r="G424" t="str">
            <v>ja</v>
          </cell>
          <cell r="H424" t="str">
            <v>【超絶級】親指を突き立てろ！</v>
          </cell>
          <cell r="I424" t="str">
            <v>超絶級</v>
          </cell>
          <cell r="J424">
            <v>421</v>
          </cell>
          <cell r="K424">
            <v>35</v>
          </cell>
          <cell r="L424">
            <v>4200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polygon</v>
          </cell>
          <cell r="T424">
            <v>1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23</v>
          </cell>
          <cell r="AD424">
            <v>5</v>
          </cell>
          <cell r="AE424" t="str">
            <v>everyone</v>
          </cell>
        </row>
        <row r="425">
          <cell r="A425" t="str">
            <v>30015_1</v>
          </cell>
          <cell r="B425">
            <v>3</v>
          </cell>
          <cell r="C425">
            <v>30015</v>
          </cell>
          <cell r="D425" t="str">
            <v>兄妹の大冒険</v>
          </cell>
          <cell r="E425" t="str">
            <v>ドロップイベント4（マルチ専用）</v>
          </cell>
          <cell r="F425">
            <v>1</v>
          </cell>
          <cell r="G425" t="str">
            <v>ja</v>
          </cell>
          <cell r="H425" t="str">
            <v>【超級】兄妹の大冒険</v>
          </cell>
          <cell r="I425" t="str">
            <v>超級</v>
          </cell>
          <cell r="J425">
            <v>422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16</v>
          </cell>
          <cell r="AD425">
            <v>6</v>
          </cell>
          <cell r="AE425" t="str">
            <v>everyone</v>
          </cell>
        </row>
        <row r="426">
          <cell r="A426" t="str">
            <v>30015_2</v>
          </cell>
          <cell r="B426">
            <v>3</v>
          </cell>
          <cell r="C426">
            <v>30015</v>
          </cell>
          <cell r="D426" t="str">
            <v>兄妹の大冒険</v>
          </cell>
          <cell r="E426" t="str">
            <v>ドロップイベント4（マルチ専用）</v>
          </cell>
          <cell r="F426">
            <v>2</v>
          </cell>
          <cell r="G426" t="str">
            <v>ja</v>
          </cell>
          <cell r="H426" t="str">
            <v>【超絶級】兄妹の大冒険</v>
          </cell>
          <cell r="I426" t="str">
            <v>超絶級</v>
          </cell>
          <cell r="J426">
            <v>423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polygon</v>
          </cell>
          <cell r="T426">
            <v>1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16</v>
          </cell>
          <cell r="AD426">
            <v>6</v>
          </cell>
          <cell r="AE426" t="str">
            <v>everyone</v>
          </cell>
        </row>
        <row r="427">
          <cell r="A427" t="str">
            <v>30016_1</v>
          </cell>
          <cell r="B427">
            <v>3</v>
          </cell>
          <cell r="C427">
            <v>30016</v>
          </cell>
          <cell r="D427" t="str">
            <v>私がワニの天敵よ？</v>
          </cell>
          <cell r="E427" t="str">
            <v>ドロップイベント4（マルチ専用）</v>
          </cell>
          <cell r="F427">
            <v>1</v>
          </cell>
          <cell r="G427" t="str">
            <v>ja</v>
          </cell>
          <cell r="H427" t="str">
            <v>【超級】私がワニの天敵よ？</v>
          </cell>
          <cell r="I427" t="str">
            <v>超級</v>
          </cell>
          <cell r="J427">
            <v>424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4</v>
          </cell>
          <cell r="AD427">
            <v>6</v>
          </cell>
          <cell r="AE427" t="str">
            <v>everyone</v>
          </cell>
        </row>
        <row r="428">
          <cell r="A428" t="str">
            <v>30016_2</v>
          </cell>
          <cell r="B428">
            <v>3</v>
          </cell>
          <cell r="C428">
            <v>30016</v>
          </cell>
          <cell r="D428" t="str">
            <v>私がワニの天敵よ？</v>
          </cell>
          <cell r="E428" t="str">
            <v>ドロップイベント4（マルチ専用）</v>
          </cell>
          <cell r="F428">
            <v>2</v>
          </cell>
          <cell r="G428" t="str">
            <v>ja</v>
          </cell>
          <cell r="H428" t="str">
            <v>【超絶級】私がワニの天敵よ？</v>
          </cell>
          <cell r="I428" t="str">
            <v>超絶級</v>
          </cell>
          <cell r="J428">
            <v>425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polygon</v>
          </cell>
          <cell r="T428">
            <v>1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4</v>
          </cell>
          <cell r="AD428">
            <v>6</v>
          </cell>
          <cell r="AE428" t="str">
            <v>everyone</v>
          </cell>
        </row>
        <row r="429">
          <cell r="A429" t="str">
            <v>30017_1</v>
          </cell>
          <cell r="B429">
            <v>3</v>
          </cell>
          <cell r="C429">
            <v>30017</v>
          </cell>
          <cell r="D429" t="str">
            <v>狩人の挽歌</v>
          </cell>
          <cell r="E429" t="str">
            <v>ドロップイベント5（マルチ専用）</v>
          </cell>
          <cell r="F429">
            <v>1</v>
          </cell>
          <cell r="G429" t="str">
            <v>ja</v>
          </cell>
          <cell r="H429" t="str">
            <v>【超級】狩人の挽歌</v>
          </cell>
          <cell r="I429" t="str">
            <v>超級</v>
          </cell>
          <cell r="J429">
            <v>452</v>
          </cell>
          <cell r="K429">
            <v>30</v>
          </cell>
          <cell r="L429">
            <v>3300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</v>
          </cell>
          <cell r="AD429">
            <v>6</v>
          </cell>
          <cell r="AE429" t="str">
            <v>multionly</v>
          </cell>
        </row>
        <row r="430">
          <cell r="A430" t="str">
            <v>30017_2</v>
          </cell>
          <cell r="B430">
            <v>3</v>
          </cell>
          <cell r="C430">
            <v>30017</v>
          </cell>
          <cell r="D430" t="str">
            <v>狩人の挽歌</v>
          </cell>
          <cell r="E430" t="str">
            <v>ドロップイベント5（マルチ専用）</v>
          </cell>
          <cell r="F430">
            <v>2</v>
          </cell>
          <cell r="G430" t="str">
            <v>ja</v>
          </cell>
          <cell r="H430" t="str">
            <v>【超絶級】狩人の挽歌</v>
          </cell>
          <cell r="I430" t="str">
            <v>超絶級</v>
          </cell>
          <cell r="J430">
            <v>453</v>
          </cell>
          <cell r="K430">
            <v>35</v>
          </cell>
          <cell r="L430">
            <v>4200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20</v>
          </cell>
          <cell r="AD430">
            <v>6</v>
          </cell>
          <cell r="AE430" t="str">
            <v>multionly</v>
          </cell>
        </row>
        <row r="431">
          <cell r="A431" t="str">
            <v>30018_1</v>
          </cell>
          <cell r="B431">
            <v>3</v>
          </cell>
          <cell r="C431">
            <v>30018</v>
          </cell>
          <cell r="D431" t="str">
            <v>バックストリートファイト</v>
          </cell>
          <cell r="E431" t="str">
            <v>ドロップイベント5（マルチ専用）</v>
          </cell>
          <cell r="F431">
            <v>1</v>
          </cell>
          <cell r="G431" t="str">
            <v>ja</v>
          </cell>
          <cell r="H431" t="str">
            <v>【超級】バックストリートファイト</v>
          </cell>
          <cell r="I431" t="str">
            <v>超級</v>
          </cell>
          <cell r="J431">
            <v>454</v>
          </cell>
          <cell r="K431">
            <v>30</v>
          </cell>
          <cell r="L431">
            <v>3300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14</v>
          </cell>
          <cell r="AD431">
            <v>6</v>
          </cell>
          <cell r="AE431" t="str">
            <v>everyone</v>
          </cell>
        </row>
        <row r="432">
          <cell r="A432" t="str">
            <v>30018_2</v>
          </cell>
          <cell r="B432">
            <v>3</v>
          </cell>
          <cell r="C432">
            <v>30018</v>
          </cell>
          <cell r="D432" t="str">
            <v>バックストリートファイト</v>
          </cell>
          <cell r="E432" t="str">
            <v>ドロップイベント5（マルチ専用）</v>
          </cell>
          <cell r="F432">
            <v>2</v>
          </cell>
          <cell r="G432" t="str">
            <v>ja</v>
          </cell>
          <cell r="H432" t="str">
            <v>【超絶級】バックストリートファイト</v>
          </cell>
          <cell r="I432" t="str">
            <v>超絶級</v>
          </cell>
          <cell r="J432">
            <v>455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polygon</v>
          </cell>
          <cell r="T432">
            <v>1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14</v>
          </cell>
          <cell r="AD432">
            <v>6</v>
          </cell>
          <cell r="AE432" t="str">
            <v>everyone</v>
          </cell>
        </row>
        <row r="433">
          <cell r="A433" t="str">
            <v>30019_1</v>
          </cell>
          <cell r="B433">
            <v>3</v>
          </cell>
          <cell r="C433">
            <v>30019</v>
          </cell>
          <cell r="D433" t="str">
            <v>狙撃は終わらない</v>
          </cell>
          <cell r="E433" t="str">
            <v>ドロップイベント5（マルチ専用）</v>
          </cell>
          <cell r="F433">
            <v>1</v>
          </cell>
          <cell r="G433" t="str">
            <v>ja</v>
          </cell>
          <cell r="H433" t="str">
            <v>【超級】狙撃は終わらない</v>
          </cell>
          <cell r="I433" t="str">
            <v>超級</v>
          </cell>
          <cell r="J433">
            <v>456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24</v>
          </cell>
          <cell r="AD433">
            <v>6</v>
          </cell>
          <cell r="AE433" t="str">
            <v>multionly</v>
          </cell>
        </row>
        <row r="434">
          <cell r="A434" t="str">
            <v>30019_2</v>
          </cell>
          <cell r="B434">
            <v>3</v>
          </cell>
          <cell r="C434">
            <v>30019</v>
          </cell>
          <cell r="D434" t="str">
            <v>狙撃は終わらない</v>
          </cell>
          <cell r="E434" t="str">
            <v>ドロップイベント5（マルチ専用）</v>
          </cell>
          <cell r="F434">
            <v>2</v>
          </cell>
          <cell r="G434" t="str">
            <v>ja</v>
          </cell>
          <cell r="H434" t="str">
            <v>【超絶級】狙撃は終わらない</v>
          </cell>
          <cell r="I434" t="str">
            <v>超絶級</v>
          </cell>
          <cell r="J434">
            <v>457</v>
          </cell>
          <cell r="K434">
            <v>35</v>
          </cell>
          <cell r="L434">
            <v>4200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polygon</v>
          </cell>
          <cell r="T434">
            <v>1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24</v>
          </cell>
          <cell r="AD434">
            <v>6</v>
          </cell>
          <cell r="AE434" t="str">
            <v>multionly</v>
          </cell>
        </row>
        <row r="435">
          <cell r="A435" t="str">
            <v>30020_1</v>
          </cell>
          <cell r="B435">
            <v>3</v>
          </cell>
          <cell r="C435">
            <v>30020</v>
          </cell>
          <cell r="D435" t="str">
            <v>若造よ、身の程を知れ</v>
          </cell>
          <cell r="E435" t="str">
            <v>ドロップイベント5（マルチ専用）</v>
          </cell>
          <cell r="F435">
            <v>1</v>
          </cell>
          <cell r="G435" t="str">
            <v>ja</v>
          </cell>
          <cell r="H435" t="str">
            <v>【超級】若造よ、身の程を知れ</v>
          </cell>
          <cell r="I435" t="str">
            <v>超級</v>
          </cell>
          <cell r="J435">
            <v>458</v>
          </cell>
          <cell r="K435">
            <v>30</v>
          </cell>
          <cell r="L435">
            <v>3300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13</v>
          </cell>
          <cell r="AD435">
            <v>6</v>
          </cell>
          <cell r="AE435" t="str">
            <v>everyone</v>
          </cell>
        </row>
        <row r="436">
          <cell r="A436" t="str">
            <v>30020_2</v>
          </cell>
          <cell r="B436">
            <v>3</v>
          </cell>
          <cell r="C436">
            <v>30020</v>
          </cell>
          <cell r="D436" t="str">
            <v>若造よ、身の程を知れ</v>
          </cell>
          <cell r="E436" t="str">
            <v>ドロップイベント5（マルチ専用）</v>
          </cell>
          <cell r="F436">
            <v>2</v>
          </cell>
          <cell r="G436" t="str">
            <v>ja</v>
          </cell>
          <cell r="H436" t="str">
            <v>【超絶級】若造よ、身の程を知れ</v>
          </cell>
          <cell r="I436" t="str">
            <v>超絶級</v>
          </cell>
          <cell r="J436">
            <v>459</v>
          </cell>
          <cell r="K436">
            <v>35</v>
          </cell>
          <cell r="L436">
            <v>4200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13</v>
          </cell>
          <cell r="AD436">
            <v>6</v>
          </cell>
          <cell r="AE436" t="str">
            <v>everyone</v>
          </cell>
        </row>
        <row r="437">
          <cell r="A437" t="str">
            <v>30021_1</v>
          </cell>
          <cell r="B437">
            <v>3</v>
          </cell>
          <cell r="C437">
            <v>30021</v>
          </cell>
          <cell r="D437" t="str">
            <v>野獣死すべしっ！</v>
          </cell>
          <cell r="E437" t="str">
            <v>ドロップイベント6（マルチ専用）</v>
          </cell>
          <cell r="F437">
            <v>1</v>
          </cell>
          <cell r="G437" t="str">
            <v>ja</v>
          </cell>
          <cell r="H437" t="str">
            <v>【中級】野獣死すべしっ！</v>
          </cell>
          <cell r="I437" t="str">
            <v>中級</v>
          </cell>
          <cell r="J437">
            <v>502</v>
          </cell>
          <cell r="K437">
            <v>15</v>
          </cell>
          <cell r="L437">
            <v>1200</v>
          </cell>
          <cell r="M437">
            <v>1</v>
          </cell>
          <cell r="N437">
            <v>1</v>
          </cell>
          <cell r="O437">
            <v>0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14</v>
          </cell>
          <cell r="AD437">
            <v>6</v>
          </cell>
          <cell r="AE437" t="str">
            <v>everyone</v>
          </cell>
        </row>
        <row r="438">
          <cell r="A438" t="str">
            <v>30021_2</v>
          </cell>
          <cell r="B438">
            <v>3</v>
          </cell>
          <cell r="C438">
            <v>30021</v>
          </cell>
          <cell r="D438" t="str">
            <v>野獣死すべしっ！</v>
          </cell>
          <cell r="E438" t="str">
            <v>ドロップイベント6（マルチ専用）</v>
          </cell>
          <cell r="F438">
            <v>2</v>
          </cell>
          <cell r="G438" t="str">
            <v>ja</v>
          </cell>
          <cell r="H438" t="str">
            <v>【上級】野獣死すべしっ！</v>
          </cell>
          <cell r="I438" t="str">
            <v>上級</v>
          </cell>
          <cell r="J438">
            <v>502</v>
          </cell>
          <cell r="K438">
            <v>20</v>
          </cell>
          <cell r="L438">
            <v>2000</v>
          </cell>
          <cell r="M438">
            <v>1</v>
          </cell>
          <cell r="N438">
            <v>1</v>
          </cell>
          <cell r="O438">
            <v>0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14</v>
          </cell>
          <cell r="AD438">
            <v>6</v>
          </cell>
          <cell r="AE438" t="str">
            <v>everyone</v>
          </cell>
        </row>
        <row r="439">
          <cell r="A439" t="str">
            <v>30021_3</v>
          </cell>
          <cell r="B439">
            <v>3</v>
          </cell>
          <cell r="C439">
            <v>30021</v>
          </cell>
          <cell r="D439" t="str">
            <v>野獣死すべしっ！</v>
          </cell>
          <cell r="E439" t="str">
            <v>ドロップイベント6（マルチ専用）</v>
          </cell>
          <cell r="F439">
            <v>3</v>
          </cell>
          <cell r="G439" t="str">
            <v>ja</v>
          </cell>
          <cell r="H439" t="str">
            <v>【超級】野獣死すべしっ！</v>
          </cell>
          <cell r="I439" t="str">
            <v>超級</v>
          </cell>
          <cell r="J439">
            <v>503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0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14</v>
          </cell>
          <cell r="AD439">
            <v>6</v>
          </cell>
          <cell r="AE439" t="str">
            <v>everyone</v>
          </cell>
        </row>
        <row r="440">
          <cell r="A440" t="str">
            <v>30022_1</v>
          </cell>
          <cell r="B440">
            <v>3</v>
          </cell>
          <cell r="C440">
            <v>30022</v>
          </cell>
          <cell r="D440" t="str">
            <v>凶鼠ネコを咬む</v>
          </cell>
          <cell r="E440" t="str">
            <v>ドロップイベント6（マルチ専用）</v>
          </cell>
          <cell r="F440">
            <v>1</v>
          </cell>
          <cell r="G440" t="str">
            <v>ja</v>
          </cell>
          <cell r="H440" t="str">
            <v>【超級】凶鼠ネコを咬む</v>
          </cell>
          <cell r="I440" t="str">
            <v>超級</v>
          </cell>
          <cell r="J440">
            <v>504</v>
          </cell>
          <cell r="K440">
            <v>30</v>
          </cell>
          <cell r="L440">
            <v>3300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6</v>
          </cell>
          <cell r="AD440">
            <v>6</v>
          </cell>
          <cell r="AE440" t="str">
            <v>everyone</v>
          </cell>
        </row>
        <row r="441">
          <cell r="A441" t="str">
            <v>30022_2</v>
          </cell>
          <cell r="B441">
            <v>3</v>
          </cell>
          <cell r="C441">
            <v>30022</v>
          </cell>
          <cell r="D441" t="str">
            <v>凶鼠ネコを咬む</v>
          </cell>
          <cell r="E441" t="str">
            <v>ドロップイベント6（マルチ専用）</v>
          </cell>
          <cell r="F441">
            <v>2</v>
          </cell>
          <cell r="G441" t="str">
            <v>ja</v>
          </cell>
          <cell r="H441" t="str">
            <v>【超絶級】凶鼠ネコを咬む</v>
          </cell>
          <cell r="I441" t="str">
            <v>超絶級</v>
          </cell>
          <cell r="J441">
            <v>505</v>
          </cell>
          <cell r="K441">
            <v>35</v>
          </cell>
          <cell r="L441">
            <v>4200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polygon</v>
          </cell>
          <cell r="T441">
            <v>1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6</v>
          </cell>
          <cell r="AD441">
            <v>6</v>
          </cell>
          <cell r="AE441" t="str">
            <v>everyone</v>
          </cell>
        </row>
        <row r="442">
          <cell r="A442" t="str">
            <v>30023_1</v>
          </cell>
          <cell r="B442">
            <v>3</v>
          </cell>
          <cell r="C442">
            <v>30023</v>
          </cell>
          <cell r="D442" t="str">
            <v>隔離からのエスケイプ</v>
          </cell>
          <cell r="E442" t="str">
            <v>ドロップイベント6（マルチ専用）</v>
          </cell>
          <cell r="F442">
            <v>1</v>
          </cell>
          <cell r="G442" t="str">
            <v>ja</v>
          </cell>
          <cell r="H442" t="str">
            <v>【中級】隔離からのエスケイプ</v>
          </cell>
          <cell r="I442" t="str">
            <v>中級</v>
          </cell>
          <cell r="J442">
            <v>506</v>
          </cell>
          <cell r="K442">
            <v>15</v>
          </cell>
          <cell r="L442">
            <v>1200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25</v>
          </cell>
          <cell r="AD442">
            <v>6</v>
          </cell>
          <cell r="AE442" t="str">
            <v>everyone</v>
          </cell>
        </row>
        <row r="443">
          <cell r="A443" t="str">
            <v>30023_2</v>
          </cell>
          <cell r="B443">
            <v>3</v>
          </cell>
          <cell r="C443">
            <v>30023</v>
          </cell>
          <cell r="D443" t="str">
            <v>隔離からのエスケイプ</v>
          </cell>
          <cell r="E443" t="str">
            <v>ドロップイベント6（マルチ専用）</v>
          </cell>
          <cell r="F443">
            <v>2</v>
          </cell>
          <cell r="G443" t="str">
            <v>ja</v>
          </cell>
          <cell r="H443" t="str">
            <v>【上級】隔離からのエスケイプ</v>
          </cell>
          <cell r="I443" t="str">
            <v>上級</v>
          </cell>
          <cell r="J443">
            <v>506</v>
          </cell>
          <cell r="K443">
            <v>20</v>
          </cell>
          <cell r="L443">
            <v>2000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25</v>
          </cell>
          <cell r="AD443">
            <v>6</v>
          </cell>
          <cell r="AE443" t="str">
            <v>everyone</v>
          </cell>
        </row>
        <row r="444">
          <cell r="A444" t="str">
            <v>30023_3</v>
          </cell>
          <cell r="B444">
            <v>3</v>
          </cell>
          <cell r="C444">
            <v>30023</v>
          </cell>
          <cell r="D444" t="str">
            <v>隔離からのエスケイプ</v>
          </cell>
          <cell r="E444" t="str">
            <v>ドロップイベント6（マルチ専用）</v>
          </cell>
          <cell r="F444">
            <v>3</v>
          </cell>
          <cell r="G444" t="str">
            <v>ja</v>
          </cell>
          <cell r="H444" t="str">
            <v>【超級】隔離からのエスケイプ</v>
          </cell>
          <cell r="I444" t="str">
            <v>超級</v>
          </cell>
          <cell r="J444">
            <v>507</v>
          </cell>
          <cell r="K444">
            <v>30</v>
          </cell>
          <cell r="L444">
            <v>3300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polygon</v>
          </cell>
          <cell r="T444">
            <v>1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25</v>
          </cell>
          <cell r="AD444">
            <v>6</v>
          </cell>
          <cell r="AE444" t="str">
            <v>everyone</v>
          </cell>
        </row>
        <row r="445">
          <cell r="A445" t="str">
            <v>30024_1</v>
          </cell>
          <cell r="B445">
            <v>3</v>
          </cell>
          <cell r="C445">
            <v>30024</v>
          </cell>
          <cell r="D445" t="str">
            <v>雷鎚の選定</v>
          </cell>
          <cell r="E445" t="str">
            <v>ドロップイベント7（マルチ専用）</v>
          </cell>
          <cell r="F445">
            <v>1</v>
          </cell>
          <cell r="G445" t="str">
            <v>ja</v>
          </cell>
          <cell r="H445" t="str">
            <v>【中級】雷鎚の選定</v>
          </cell>
          <cell r="I445" t="str">
            <v>中級</v>
          </cell>
          <cell r="J445">
            <v>583</v>
          </cell>
          <cell r="K445">
            <v>15</v>
          </cell>
          <cell r="L445">
            <v>1200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20</v>
          </cell>
          <cell r="AD445">
            <v>6</v>
          </cell>
          <cell r="AE445" t="str">
            <v>multionly</v>
          </cell>
        </row>
        <row r="446">
          <cell r="A446" t="str">
            <v>30024_2</v>
          </cell>
          <cell r="B446">
            <v>3</v>
          </cell>
          <cell r="C446">
            <v>30024</v>
          </cell>
          <cell r="D446" t="str">
            <v>雷鎚の選定</v>
          </cell>
          <cell r="E446" t="str">
            <v>ドロップイベント7（マルチ専用）</v>
          </cell>
          <cell r="F446">
            <v>2</v>
          </cell>
          <cell r="G446" t="str">
            <v>ja</v>
          </cell>
          <cell r="H446" t="str">
            <v>【上級】雷鎚の選定</v>
          </cell>
          <cell r="I446" t="str">
            <v>上級</v>
          </cell>
          <cell r="J446">
            <v>583</v>
          </cell>
          <cell r="K446">
            <v>20</v>
          </cell>
          <cell r="L446">
            <v>2000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20</v>
          </cell>
          <cell r="AD446">
            <v>6</v>
          </cell>
          <cell r="AE446" t="str">
            <v>multionly</v>
          </cell>
        </row>
        <row r="447">
          <cell r="A447" t="str">
            <v>30024_3</v>
          </cell>
          <cell r="B447">
            <v>3</v>
          </cell>
          <cell r="C447">
            <v>30024</v>
          </cell>
          <cell r="D447" t="str">
            <v>雷鎚の選定</v>
          </cell>
          <cell r="E447" t="str">
            <v>ドロップイベント7（マルチ専用）</v>
          </cell>
          <cell r="F447">
            <v>3</v>
          </cell>
          <cell r="G447" t="str">
            <v>ja</v>
          </cell>
          <cell r="H447" t="str">
            <v>【超級】雷鎚の選定</v>
          </cell>
          <cell r="I447" t="str">
            <v>超級</v>
          </cell>
          <cell r="J447">
            <v>584</v>
          </cell>
          <cell r="K447">
            <v>30</v>
          </cell>
          <cell r="L447">
            <v>3300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20</v>
          </cell>
          <cell r="AD447">
            <v>6</v>
          </cell>
          <cell r="AE447" t="str">
            <v>multionly</v>
          </cell>
        </row>
        <row r="448">
          <cell r="A448" t="str">
            <v>30025_1</v>
          </cell>
          <cell r="B448">
            <v>3</v>
          </cell>
          <cell r="C448">
            <v>30025</v>
          </cell>
          <cell r="D448" t="str">
            <v>真実の探求者</v>
          </cell>
          <cell r="E448" t="str">
            <v>ドロップイベント7（マルチ専用）</v>
          </cell>
          <cell r="F448">
            <v>1</v>
          </cell>
          <cell r="G448" t="str">
            <v>ja</v>
          </cell>
          <cell r="H448" t="str">
            <v>【中級】真実の探求者</v>
          </cell>
          <cell r="I448" t="str">
            <v>中級</v>
          </cell>
          <cell r="J448">
            <v>579</v>
          </cell>
          <cell r="K448">
            <v>15</v>
          </cell>
          <cell r="L448">
            <v>1200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7</v>
          </cell>
          <cell r="AD448">
            <v>6</v>
          </cell>
          <cell r="AE448" t="str">
            <v>everyone</v>
          </cell>
        </row>
        <row r="449">
          <cell r="A449" t="str">
            <v>30025_2</v>
          </cell>
          <cell r="B449">
            <v>3</v>
          </cell>
          <cell r="C449">
            <v>30025</v>
          </cell>
          <cell r="D449" t="str">
            <v>真実の探求者</v>
          </cell>
          <cell r="E449" t="str">
            <v>ドロップイベント7（マルチ専用）</v>
          </cell>
          <cell r="F449">
            <v>2</v>
          </cell>
          <cell r="G449" t="str">
            <v>ja</v>
          </cell>
          <cell r="H449" t="str">
            <v>【上級】真実の探求者</v>
          </cell>
          <cell r="I449" t="str">
            <v>上級</v>
          </cell>
          <cell r="J449">
            <v>579</v>
          </cell>
          <cell r="K449">
            <v>20</v>
          </cell>
          <cell r="L449">
            <v>2000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7</v>
          </cell>
          <cell r="AD449">
            <v>6</v>
          </cell>
          <cell r="AE449" t="str">
            <v>everyone</v>
          </cell>
        </row>
        <row r="450">
          <cell r="A450" t="str">
            <v>30025_3</v>
          </cell>
          <cell r="B450">
            <v>3</v>
          </cell>
          <cell r="C450">
            <v>30025</v>
          </cell>
          <cell r="D450" t="str">
            <v>真実の探求者</v>
          </cell>
          <cell r="E450" t="str">
            <v>ドロップイベント7（マルチ専用）</v>
          </cell>
          <cell r="F450">
            <v>3</v>
          </cell>
          <cell r="G450" t="str">
            <v>ja</v>
          </cell>
          <cell r="H450" t="str">
            <v>【超級】真実の探求者</v>
          </cell>
          <cell r="I450" t="str">
            <v>超級</v>
          </cell>
          <cell r="J450">
            <v>580</v>
          </cell>
          <cell r="K450">
            <v>30</v>
          </cell>
          <cell r="L450">
            <v>3300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polygon</v>
          </cell>
          <cell r="T450">
            <v>1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7</v>
          </cell>
          <cell r="AD450">
            <v>6</v>
          </cell>
          <cell r="AE450" t="str">
            <v>everyone</v>
          </cell>
        </row>
        <row r="451">
          <cell r="A451" t="str">
            <v>30026_1</v>
          </cell>
          <cell r="B451">
            <v>3</v>
          </cell>
          <cell r="C451">
            <v>30026</v>
          </cell>
          <cell r="D451" t="str">
            <v>道を阻む妖精夫婦</v>
          </cell>
          <cell r="E451" t="str">
            <v>ドロップイベント7（マルチ専用）</v>
          </cell>
          <cell r="F451">
            <v>1</v>
          </cell>
          <cell r="G451" t="str">
            <v>ja</v>
          </cell>
          <cell r="H451" t="str">
            <v>【中級】道を阻む妖精夫婦</v>
          </cell>
          <cell r="I451" t="str">
            <v>中級</v>
          </cell>
          <cell r="J451">
            <v>577</v>
          </cell>
          <cell r="K451">
            <v>15</v>
          </cell>
          <cell r="L451">
            <v>1200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21</v>
          </cell>
          <cell r="AD451">
            <v>6</v>
          </cell>
          <cell r="AE451" t="str">
            <v>everyone</v>
          </cell>
        </row>
        <row r="452">
          <cell r="A452" t="str">
            <v>30026_2</v>
          </cell>
          <cell r="B452">
            <v>3</v>
          </cell>
          <cell r="C452">
            <v>30026</v>
          </cell>
          <cell r="D452" t="str">
            <v>道を阻む妖精夫婦</v>
          </cell>
          <cell r="E452" t="str">
            <v>ドロップイベント7（マルチ専用）</v>
          </cell>
          <cell r="F452">
            <v>2</v>
          </cell>
          <cell r="G452" t="str">
            <v>ja</v>
          </cell>
          <cell r="H452" t="str">
            <v>【上級】道を阻む妖精夫婦</v>
          </cell>
          <cell r="I452" t="str">
            <v>上級</v>
          </cell>
          <cell r="J452">
            <v>577</v>
          </cell>
          <cell r="K452">
            <v>20</v>
          </cell>
          <cell r="L452">
            <v>2000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21</v>
          </cell>
          <cell r="AD452">
            <v>6</v>
          </cell>
          <cell r="AE452" t="str">
            <v>everyone</v>
          </cell>
        </row>
        <row r="453">
          <cell r="A453" t="str">
            <v>30026_3</v>
          </cell>
          <cell r="B453">
            <v>3</v>
          </cell>
          <cell r="C453">
            <v>30026</v>
          </cell>
          <cell r="D453" t="str">
            <v>道を阻む妖精夫婦</v>
          </cell>
          <cell r="E453" t="str">
            <v>ドロップイベント7（マルチ専用）</v>
          </cell>
          <cell r="F453">
            <v>3</v>
          </cell>
          <cell r="G453" t="str">
            <v>ja</v>
          </cell>
          <cell r="H453" t="str">
            <v>【超級】道を阻む妖精夫婦</v>
          </cell>
          <cell r="I453" t="str">
            <v>超級</v>
          </cell>
          <cell r="J453">
            <v>578</v>
          </cell>
          <cell r="K453">
            <v>30</v>
          </cell>
          <cell r="L453">
            <v>3300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polygon</v>
          </cell>
          <cell r="T453">
            <v>1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21</v>
          </cell>
          <cell r="AD453">
            <v>6</v>
          </cell>
          <cell r="AE453" t="str">
            <v>everyone</v>
          </cell>
        </row>
        <row r="454">
          <cell r="A454" t="str">
            <v>30027_1</v>
          </cell>
          <cell r="B454">
            <v>3</v>
          </cell>
          <cell r="C454">
            <v>30027</v>
          </cell>
          <cell r="D454" t="str">
            <v>凍りつくまで愛してあげる</v>
          </cell>
          <cell r="E454" t="str">
            <v>ドロップイベント7（マルチ専用）</v>
          </cell>
          <cell r="F454">
            <v>1</v>
          </cell>
          <cell r="G454" t="str">
            <v>ja</v>
          </cell>
          <cell r="H454" t="str">
            <v>【中級】凍りつくまで愛してあげる</v>
          </cell>
          <cell r="I454" t="str">
            <v>中級</v>
          </cell>
          <cell r="J454">
            <v>646</v>
          </cell>
          <cell r="K454">
            <v>15</v>
          </cell>
          <cell r="L454">
            <v>1200</v>
          </cell>
          <cell r="M454">
            <v>0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9</v>
          </cell>
          <cell r="AD454">
            <v>6</v>
          </cell>
          <cell r="AE454" t="str">
            <v>everyone</v>
          </cell>
        </row>
        <row r="455">
          <cell r="A455" t="str">
            <v>30027_2</v>
          </cell>
          <cell r="B455">
            <v>3</v>
          </cell>
          <cell r="C455">
            <v>30027</v>
          </cell>
          <cell r="D455" t="str">
            <v>凍りつくまで愛してあげる</v>
          </cell>
          <cell r="E455" t="str">
            <v>ドロップイベント7（マルチ専用）</v>
          </cell>
          <cell r="F455">
            <v>2</v>
          </cell>
          <cell r="G455" t="str">
            <v>ja</v>
          </cell>
          <cell r="H455" t="str">
            <v>【上級】凍りつくまで愛してあげる</v>
          </cell>
          <cell r="I455" t="str">
            <v>上級</v>
          </cell>
          <cell r="J455">
            <v>646</v>
          </cell>
          <cell r="K455">
            <v>20</v>
          </cell>
          <cell r="L455">
            <v>2000</v>
          </cell>
          <cell r="M455">
            <v>0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9</v>
          </cell>
          <cell r="AD455">
            <v>6</v>
          </cell>
          <cell r="AE455" t="str">
            <v>everyone</v>
          </cell>
        </row>
        <row r="456">
          <cell r="A456" t="str">
            <v>30027_3</v>
          </cell>
          <cell r="B456">
            <v>3</v>
          </cell>
          <cell r="C456">
            <v>30027</v>
          </cell>
          <cell r="D456" t="str">
            <v>凍りつくまで愛してあげる</v>
          </cell>
          <cell r="E456" t="str">
            <v>ドロップイベント7（マルチ専用）</v>
          </cell>
          <cell r="F456">
            <v>3</v>
          </cell>
          <cell r="G456" t="str">
            <v>ja</v>
          </cell>
          <cell r="H456" t="str">
            <v>【超級】凍りつくまで愛してあげる</v>
          </cell>
          <cell r="I456" t="str">
            <v>超級</v>
          </cell>
          <cell r="J456">
            <v>647</v>
          </cell>
          <cell r="K456">
            <v>30</v>
          </cell>
          <cell r="L456">
            <v>3300</v>
          </cell>
          <cell r="M456">
            <v>0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polygon</v>
          </cell>
          <cell r="T456">
            <v>1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9</v>
          </cell>
          <cell r="AD456">
            <v>6</v>
          </cell>
          <cell r="AE456" t="str">
            <v>everyone</v>
          </cell>
        </row>
        <row r="457">
          <cell r="A457" t="str">
            <v>30028_1</v>
          </cell>
          <cell r="B457">
            <v>3</v>
          </cell>
          <cell r="C457">
            <v>30028</v>
          </cell>
          <cell r="D457" t="str">
            <v>最悪の刺客</v>
          </cell>
          <cell r="E457" t="str">
            <v>ドロップイベント8（マルチ専用）</v>
          </cell>
          <cell r="F457">
            <v>1</v>
          </cell>
          <cell r="G457" t="str">
            <v>ja</v>
          </cell>
          <cell r="H457" t="str">
            <v>【中級】最悪の刺客</v>
          </cell>
          <cell r="I457" t="str">
            <v>中級</v>
          </cell>
          <cell r="J457">
            <v>650</v>
          </cell>
          <cell r="K457">
            <v>15</v>
          </cell>
          <cell r="L457">
            <v>1200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2601</v>
          </cell>
          <cell r="AD457">
            <v>6</v>
          </cell>
          <cell r="AE457" t="str">
            <v>everyone</v>
          </cell>
        </row>
        <row r="458">
          <cell r="A458" t="str">
            <v>30028_2</v>
          </cell>
          <cell r="B458">
            <v>3</v>
          </cell>
          <cell r="C458">
            <v>30028</v>
          </cell>
          <cell r="D458" t="str">
            <v>最悪の刺客</v>
          </cell>
          <cell r="E458" t="str">
            <v>ドロップイベント8（マルチ専用）</v>
          </cell>
          <cell r="F458">
            <v>2</v>
          </cell>
          <cell r="G458" t="str">
            <v>ja</v>
          </cell>
          <cell r="H458" t="str">
            <v>【上級】最悪の刺客</v>
          </cell>
          <cell r="I458" t="str">
            <v>上級</v>
          </cell>
          <cell r="J458">
            <v>650</v>
          </cell>
          <cell r="K458">
            <v>20</v>
          </cell>
          <cell r="L458">
            <v>2000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2601</v>
          </cell>
          <cell r="AD458">
            <v>6</v>
          </cell>
          <cell r="AE458" t="str">
            <v>everyone</v>
          </cell>
        </row>
        <row r="459">
          <cell r="A459" t="str">
            <v>30028_3</v>
          </cell>
          <cell r="B459">
            <v>3</v>
          </cell>
          <cell r="C459">
            <v>30028</v>
          </cell>
          <cell r="D459" t="str">
            <v>最悪の刺客</v>
          </cell>
          <cell r="E459" t="str">
            <v>ドロップイベント8（マルチ専用）</v>
          </cell>
          <cell r="F459">
            <v>3</v>
          </cell>
          <cell r="G459" t="str">
            <v>ja</v>
          </cell>
          <cell r="H459" t="str">
            <v>【超級】最悪の刺客</v>
          </cell>
          <cell r="I459" t="str">
            <v>超級</v>
          </cell>
          <cell r="J459">
            <v>651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2601</v>
          </cell>
          <cell r="AD459">
            <v>6</v>
          </cell>
          <cell r="AE459" t="str">
            <v>everyone</v>
          </cell>
        </row>
        <row r="460">
          <cell r="A460" t="str">
            <v>30029_1</v>
          </cell>
          <cell r="B460">
            <v>3</v>
          </cell>
          <cell r="C460">
            <v>30029</v>
          </cell>
          <cell r="D460" t="str">
            <v>全ては主のために</v>
          </cell>
          <cell r="E460" t="str">
            <v>ドロップイベント8（マルチ専用）</v>
          </cell>
          <cell r="F460">
            <v>1</v>
          </cell>
          <cell r="G460" t="str">
            <v>ja</v>
          </cell>
          <cell r="H460" t="str">
            <v>【中級】全ては主のために</v>
          </cell>
          <cell r="I460" t="str">
            <v>中級</v>
          </cell>
          <cell r="J460">
            <v>648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5</v>
          </cell>
          <cell r="AD460">
            <v>6</v>
          </cell>
          <cell r="AE460" t="str">
            <v>everyone</v>
          </cell>
        </row>
        <row r="461">
          <cell r="A461" t="str">
            <v>30029_2</v>
          </cell>
          <cell r="B461">
            <v>3</v>
          </cell>
          <cell r="C461">
            <v>30029</v>
          </cell>
          <cell r="D461" t="str">
            <v>全ては主のために</v>
          </cell>
          <cell r="E461" t="str">
            <v>ドロップイベント8（マルチ専用）</v>
          </cell>
          <cell r="F461">
            <v>2</v>
          </cell>
          <cell r="G461" t="str">
            <v>ja</v>
          </cell>
          <cell r="H461" t="str">
            <v>【上級】全ては主のために</v>
          </cell>
          <cell r="I461" t="str">
            <v>上級</v>
          </cell>
          <cell r="J461">
            <v>648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5</v>
          </cell>
          <cell r="AD461">
            <v>6</v>
          </cell>
          <cell r="AE461" t="str">
            <v>everyone</v>
          </cell>
        </row>
        <row r="462">
          <cell r="A462" t="str">
            <v>30029_3</v>
          </cell>
          <cell r="B462">
            <v>3</v>
          </cell>
          <cell r="C462">
            <v>30029</v>
          </cell>
          <cell r="D462" t="str">
            <v>全ては主のために</v>
          </cell>
          <cell r="E462" t="str">
            <v>ドロップイベント8（マルチ専用）</v>
          </cell>
          <cell r="F462">
            <v>3</v>
          </cell>
          <cell r="G462" t="str">
            <v>ja</v>
          </cell>
          <cell r="H462" t="str">
            <v>【超級】全ては主のために</v>
          </cell>
          <cell r="I462" t="str">
            <v>超級</v>
          </cell>
          <cell r="J462">
            <v>648</v>
          </cell>
          <cell r="K462">
            <v>30</v>
          </cell>
          <cell r="L462">
            <v>3300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polygon</v>
          </cell>
          <cell r="T462">
            <v>1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5</v>
          </cell>
          <cell r="AD462">
            <v>6</v>
          </cell>
          <cell r="AE462" t="str">
            <v>everyone</v>
          </cell>
        </row>
        <row r="463">
          <cell r="A463" t="str">
            <v>30030_1</v>
          </cell>
          <cell r="B463">
            <v>3</v>
          </cell>
          <cell r="C463">
            <v>30030</v>
          </cell>
          <cell r="D463" t="str">
            <v>ここは誰の箱庭じゃ？</v>
          </cell>
          <cell r="E463" t="str">
            <v>ドロップイベント9（マルチ専用）</v>
          </cell>
          <cell r="F463">
            <v>1</v>
          </cell>
          <cell r="G463" t="str">
            <v>ja</v>
          </cell>
          <cell r="H463" t="str">
            <v>【中級】ここは誰の箱庭じゃ？</v>
          </cell>
          <cell r="I463" t="str">
            <v>中級</v>
          </cell>
          <cell r="J463">
            <v>652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8</v>
          </cell>
          <cell r="AD463">
            <v>6</v>
          </cell>
          <cell r="AE463" t="str">
            <v>everyone</v>
          </cell>
        </row>
        <row r="464">
          <cell r="A464" t="str">
            <v>30030_2</v>
          </cell>
          <cell r="B464">
            <v>3</v>
          </cell>
          <cell r="C464">
            <v>30030</v>
          </cell>
          <cell r="D464" t="str">
            <v>ここは誰の箱庭じゃ？</v>
          </cell>
          <cell r="E464" t="str">
            <v>ドロップイベント9（マルチ専用）</v>
          </cell>
          <cell r="F464">
            <v>2</v>
          </cell>
          <cell r="G464" t="str">
            <v>ja</v>
          </cell>
          <cell r="H464" t="str">
            <v>【上級】ここは誰の箱庭じゃ？</v>
          </cell>
          <cell r="I464" t="str">
            <v>上級</v>
          </cell>
          <cell r="J464">
            <v>653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8</v>
          </cell>
          <cell r="AD464">
            <v>6</v>
          </cell>
          <cell r="AE464" t="str">
            <v>everyone</v>
          </cell>
        </row>
        <row r="465">
          <cell r="A465" t="str">
            <v>30030_3</v>
          </cell>
          <cell r="B465">
            <v>3</v>
          </cell>
          <cell r="C465">
            <v>30030</v>
          </cell>
          <cell r="D465" t="str">
            <v>ここは誰の箱庭じゃ？</v>
          </cell>
          <cell r="E465" t="str">
            <v>ドロップイベント9（マルチ専用）</v>
          </cell>
          <cell r="F465">
            <v>3</v>
          </cell>
          <cell r="G465" t="str">
            <v>ja</v>
          </cell>
          <cell r="H465" t="str">
            <v>【超級】ここは誰の箱庭じゃ？</v>
          </cell>
          <cell r="I465" t="str">
            <v>超級</v>
          </cell>
          <cell r="J465">
            <v>653</v>
          </cell>
          <cell r="K465">
            <v>30</v>
          </cell>
          <cell r="L465">
            <v>3300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8</v>
          </cell>
          <cell r="AD465">
            <v>6</v>
          </cell>
          <cell r="AE465" t="str">
            <v>everyone</v>
          </cell>
        </row>
        <row r="466">
          <cell r="A466" t="str">
            <v>30031_1</v>
          </cell>
          <cell r="B466">
            <v>3</v>
          </cell>
          <cell r="C466">
            <v>30031</v>
          </cell>
          <cell r="D466" t="str">
            <v>力への羨望</v>
          </cell>
          <cell r="E466" t="str">
            <v>ドロップイベント10（マルチ専用）</v>
          </cell>
          <cell r="F466">
            <v>1</v>
          </cell>
          <cell r="G466" t="str">
            <v>ja</v>
          </cell>
          <cell r="H466" t="str">
            <v>【中級】力への羨望</v>
          </cell>
          <cell r="I466" t="str">
            <v>中級</v>
          </cell>
          <cell r="J466">
            <v>764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20</v>
          </cell>
          <cell r="AD466">
            <v>6</v>
          </cell>
          <cell r="AE466" t="str">
            <v>everyone</v>
          </cell>
        </row>
        <row r="467">
          <cell r="A467" t="str">
            <v>30031_2</v>
          </cell>
          <cell r="B467">
            <v>3</v>
          </cell>
          <cell r="C467">
            <v>30031</v>
          </cell>
          <cell r="D467" t="str">
            <v>力への羨望</v>
          </cell>
          <cell r="E467" t="str">
            <v>ドロップイベント10（マルチ専用）</v>
          </cell>
          <cell r="F467">
            <v>2</v>
          </cell>
          <cell r="G467" t="str">
            <v>ja</v>
          </cell>
          <cell r="H467" t="str">
            <v>【上級】力への羨望</v>
          </cell>
          <cell r="I467" t="str">
            <v>上級</v>
          </cell>
          <cell r="J467">
            <v>764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20</v>
          </cell>
          <cell r="AD467">
            <v>6</v>
          </cell>
          <cell r="AE467" t="str">
            <v>everyone</v>
          </cell>
        </row>
        <row r="468">
          <cell r="A468" t="str">
            <v>30031_3</v>
          </cell>
          <cell r="B468">
            <v>3</v>
          </cell>
          <cell r="C468">
            <v>30031</v>
          </cell>
          <cell r="D468" t="str">
            <v>力への羨望</v>
          </cell>
          <cell r="E468" t="str">
            <v>ドロップイベント10（マルチ専用）</v>
          </cell>
          <cell r="F468">
            <v>3</v>
          </cell>
          <cell r="G468" t="str">
            <v>ja</v>
          </cell>
          <cell r="H468" t="str">
            <v>【超級】力への羨望</v>
          </cell>
          <cell r="I468" t="str">
            <v>超級</v>
          </cell>
          <cell r="J468">
            <v>765</v>
          </cell>
          <cell r="K468">
            <v>30</v>
          </cell>
          <cell r="L468">
            <v>3300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polygon</v>
          </cell>
          <cell r="T468">
            <v>1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20</v>
          </cell>
          <cell r="AD468">
            <v>6</v>
          </cell>
          <cell r="AE468" t="str">
            <v>everyone</v>
          </cell>
        </row>
        <row r="469">
          <cell r="A469" t="str">
            <v>30032_1</v>
          </cell>
          <cell r="B469">
            <v>3</v>
          </cell>
          <cell r="C469">
            <v>30032</v>
          </cell>
          <cell r="D469" t="str">
            <v>赤き竜の制裁</v>
          </cell>
          <cell r="E469" t="str">
            <v>円卓2（マルチ専用）</v>
          </cell>
          <cell r="F469">
            <v>1</v>
          </cell>
          <cell r="G469" t="str">
            <v>ja</v>
          </cell>
          <cell r="H469" t="str">
            <v>【中級】赤き竜の制裁</v>
          </cell>
          <cell r="I469" t="str">
            <v>中級</v>
          </cell>
          <cell r="J469">
            <v>767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14</v>
          </cell>
          <cell r="AD469">
            <v>6</v>
          </cell>
          <cell r="AE469" t="str">
            <v>everyone</v>
          </cell>
        </row>
        <row r="470">
          <cell r="A470" t="str">
            <v>30032_2</v>
          </cell>
          <cell r="B470">
            <v>3</v>
          </cell>
          <cell r="C470">
            <v>30032</v>
          </cell>
          <cell r="D470" t="str">
            <v>赤き竜の制裁</v>
          </cell>
          <cell r="E470" t="str">
            <v>円卓2（マルチ専用）</v>
          </cell>
          <cell r="F470">
            <v>2</v>
          </cell>
          <cell r="G470" t="str">
            <v>ja</v>
          </cell>
          <cell r="H470" t="str">
            <v>【上級】赤き竜の制裁</v>
          </cell>
          <cell r="I470" t="str">
            <v>上級</v>
          </cell>
          <cell r="J470">
            <v>767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14</v>
          </cell>
          <cell r="AD470">
            <v>6</v>
          </cell>
          <cell r="AE470" t="str">
            <v>everyone</v>
          </cell>
        </row>
        <row r="471">
          <cell r="A471" t="str">
            <v>30032_3</v>
          </cell>
          <cell r="B471">
            <v>3</v>
          </cell>
          <cell r="C471">
            <v>30032</v>
          </cell>
          <cell r="D471" t="str">
            <v>赤き竜の制裁</v>
          </cell>
          <cell r="E471" t="str">
            <v>円卓2（マルチ専用）</v>
          </cell>
          <cell r="F471">
            <v>3</v>
          </cell>
          <cell r="G471" t="str">
            <v>ja</v>
          </cell>
          <cell r="H471" t="str">
            <v>【超級】赤き竜の制裁</v>
          </cell>
          <cell r="I471" t="str">
            <v>超級</v>
          </cell>
          <cell r="J471">
            <v>767</v>
          </cell>
          <cell r="K471">
            <v>30</v>
          </cell>
          <cell r="L471">
            <v>3300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polygon</v>
          </cell>
          <cell r="T471">
            <v>1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30033_1</v>
          </cell>
          <cell r="B472">
            <v>3</v>
          </cell>
          <cell r="C472">
            <v>30033</v>
          </cell>
          <cell r="D472" t="str">
            <v>御館様の懐刀</v>
          </cell>
          <cell r="E472" t="str">
            <v>戦国１</v>
          </cell>
          <cell r="F472">
            <v>1</v>
          </cell>
          <cell r="G472" t="str">
            <v>ja</v>
          </cell>
          <cell r="H472" t="str">
            <v>【中級】御館様の懐刀</v>
          </cell>
          <cell r="I472" t="str">
            <v>中級</v>
          </cell>
          <cell r="J472">
            <v>722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2</v>
          </cell>
          <cell r="AD472">
            <v>6</v>
          </cell>
          <cell r="AE472" t="str">
            <v>everyone</v>
          </cell>
        </row>
        <row r="473">
          <cell r="A473" t="str">
            <v>30033_2</v>
          </cell>
          <cell r="B473">
            <v>3</v>
          </cell>
          <cell r="C473">
            <v>30033</v>
          </cell>
          <cell r="D473" t="str">
            <v>御館様の懐刀</v>
          </cell>
          <cell r="E473" t="str">
            <v>戦国１</v>
          </cell>
          <cell r="F473">
            <v>2</v>
          </cell>
          <cell r="G473" t="str">
            <v>ja</v>
          </cell>
          <cell r="H473" t="str">
            <v>【上級】御館様の懐刀</v>
          </cell>
          <cell r="I473" t="str">
            <v>上級</v>
          </cell>
          <cell r="J473">
            <v>722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2</v>
          </cell>
          <cell r="AD473">
            <v>6</v>
          </cell>
          <cell r="AE473" t="str">
            <v>everyone</v>
          </cell>
        </row>
        <row r="474">
          <cell r="A474" t="str">
            <v>30033_3</v>
          </cell>
          <cell r="B474">
            <v>3</v>
          </cell>
          <cell r="C474">
            <v>30033</v>
          </cell>
          <cell r="D474" t="str">
            <v>御館様の懐刀</v>
          </cell>
          <cell r="E474" t="str">
            <v>戦国１</v>
          </cell>
          <cell r="F474">
            <v>3</v>
          </cell>
          <cell r="G474" t="str">
            <v>ja</v>
          </cell>
          <cell r="H474" t="str">
            <v>【超級】御館様の懐刀</v>
          </cell>
          <cell r="I474" t="str">
            <v>超級</v>
          </cell>
          <cell r="J474">
            <v>723</v>
          </cell>
          <cell r="K474">
            <v>30</v>
          </cell>
          <cell r="L474">
            <v>3300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polygon</v>
          </cell>
          <cell r="T474">
            <v>1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2</v>
          </cell>
          <cell r="AD474">
            <v>6</v>
          </cell>
          <cell r="AE474" t="str">
            <v>everyone</v>
          </cell>
        </row>
        <row r="475">
          <cell r="A475" t="str">
            <v>30034_1</v>
          </cell>
          <cell r="B475">
            <v>1</v>
          </cell>
          <cell r="C475">
            <v>30034</v>
          </cell>
          <cell r="D475" t="str">
            <v>超級　フェニックス</v>
          </cell>
          <cell r="E475" t="str">
            <v>天使と悪魔</v>
          </cell>
          <cell r="F475">
            <v>1</v>
          </cell>
          <cell r="G475" t="str">
            <v>ja</v>
          </cell>
          <cell r="H475" t="str">
            <v>【中級】フェニックス</v>
          </cell>
          <cell r="I475" t="str">
            <v>中級</v>
          </cell>
          <cell r="J475">
            <v>1</v>
          </cell>
          <cell r="K475">
            <v>8</v>
          </cell>
          <cell r="L475">
            <v>384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10</v>
          </cell>
          <cell r="AD475">
            <v>6</v>
          </cell>
          <cell r="AE475" t="str">
            <v>everyone</v>
          </cell>
        </row>
        <row r="476">
          <cell r="A476" t="str">
            <v>30034_2</v>
          </cell>
          <cell r="B476">
            <v>1</v>
          </cell>
          <cell r="C476">
            <v>30034</v>
          </cell>
          <cell r="D476" t="str">
            <v>超級　フェニックス</v>
          </cell>
          <cell r="E476" t="str">
            <v>天使と悪魔</v>
          </cell>
          <cell r="F476">
            <v>2</v>
          </cell>
          <cell r="G476" t="str">
            <v>ja</v>
          </cell>
          <cell r="H476" t="str">
            <v>【上級】フェニックス</v>
          </cell>
          <cell r="I476" t="str">
            <v>上級</v>
          </cell>
          <cell r="J476">
            <v>1</v>
          </cell>
          <cell r="K476">
            <v>15</v>
          </cell>
          <cell r="L476">
            <v>1200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10</v>
          </cell>
          <cell r="AD476">
            <v>6</v>
          </cell>
          <cell r="AE476" t="str">
            <v>everyone</v>
          </cell>
        </row>
        <row r="477">
          <cell r="A477" t="str">
            <v>30034_3</v>
          </cell>
          <cell r="B477">
            <v>1</v>
          </cell>
          <cell r="C477">
            <v>30034</v>
          </cell>
          <cell r="D477" t="str">
            <v>超級　フェニックス</v>
          </cell>
          <cell r="E477" t="str">
            <v>天使と悪魔</v>
          </cell>
          <cell r="F477">
            <v>3</v>
          </cell>
          <cell r="G477" t="str">
            <v>ja</v>
          </cell>
          <cell r="H477" t="str">
            <v>【超級】フェニックス</v>
          </cell>
          <cell r="I477" t="str">
            <v>超級</v>
          </cell>
          <cell r="J477">
            <v>1</v>
          </cell>
          <cell r="K477">
            <v>20</v>
          </cell>
          <cell r="L477">
            <v>2000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polygon</v>
          </cell>
          <cell r="T477">
            <v>1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10</v>
          </cell>
          <cell r="AD477">
            <v>6</v>
          </cell>
          <cell r="AE477" t="str">
            <v>everyone</v>
          </cell>
        </row>
        <row r="478">
          <cell r="A478" t="str">
            <v>39001_1</v>
          </cell>
          <cell r="B478">
            <v>3</v>
          </cell>
          <cell r="C478">
            <v>39001</v>
          </cell>
          <cell r="D478" t="str">
            <v>雪の歌姫</v>
          </cell>
          <cell r="E478" t="str">
            <v>コラボクエスト</v>
          </cell>
          <cell r="F478">
            <v>1</v>
          </cell>
          <cell r="G478" t="str">
            <v>ja</v>
          </cell>
          <cell r="H478" t="str">
            <v>【初級】雪の歌姫</v>
          </cell>
          <cell r="I478" t="str">
            <v>初級</v>
          </cell>
          <cell r="J478">
            <v>525</v>
          </cell>
          <cell r="K478">
            <v>8</v>
          </cell>
          <cell r="L478">
            <v>384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909</v>
          </cell>
          <cell r="AD478">
            <v>6</v>
          </cell>
          <cell r="AE478" t="str">
            <v>everyone</v>
          </cell>
        </row>
        <row r="479">
          <cell r="A479" t="str">
            <v>39001_2</v>
          </cell>
          <cell r="B479">
            <v>3</v>
          </cell>
          <cell r="C479">
            <v>39001</v>
          </cell>
          <cell r="D479" t="str">
            <v>雪の歌姫</v>
          </cell>
          <cell r="E479" t="str">
            <v>コラボクエスト</v>
          </cell>
          <cell r="F479">
            <v>2</v>
          </cell>
          <cell r="G479" t="str">
            <v>ja</v>
          </cell>
          <cell r="H479" t="str">
            <v>【中級】雪の歌姫</v>
          </cell>
          <cell r="I479" t="str">
            <v>中級</v>
          </cell>
          <cell r="J479">
            <v>525</v>
          </cell>
          <cell r="K479">
            <v>15</v>
          </cell>
          <cell r="L479">
            <v>1200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909</v>
          </cell>
          <cell r="AD479">
            <v>6</v>
          </cell>
          <cell r="AE479" t="str">
            <v>everyone</v>
          </cell>
        </row>
        <row r="480">
          <cell r="A480" t="str">
            <v>39001_3</v>
          </cell>
          <cell r="B480">
            <v>3</v>
          </cell>
          <cell r="C480">
            <v>39001</v>
          </cell>
          <cell r="D480" t="str">
            <v>雪の歌姫</v>
          </cell>
          <cell r="E480" t="str">
            <v>コラボクエスト</v>
          </cell>
          <cell r="F480">
            <v>3</v>
          </cell>
          <cell r="G480" t="str">
            <v>ja</v>
          </cell>
          <cell r="H480" t="str">
            <v>【上級】雪の歌姫</v>
          </cell>
          <cell r="I480" t="str">
            <v>上級</v>
          </cell>
          <cell r="J480">
            <v>525</v>
          </cell>
          <cell r="K480">
            <v>20</v>
          </cell>
          <cell r="L480">
            <v>2000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909</v>
          </cell>
          <cell r="AD480">
            <v>6</v>
          </cell>
          <cell r="AE480" t="str">
            <v>everyone</v>
          </cell>
        </row>
        <row r="481">
          <cell r="A481" t="str">
            <v>39001_4</v>
          </cell>
          <cell r="B481">
            <v>3</v>
          </cell>
          <cell r="C481">
            <v>39001</v>
          </cell>
          <cell r="D481" t="str">
            <v>雪の歌姫</v>
          </cell>
          <cell r="E481" t="str">
            <v>コラボクエスト</v>
          </cell>
          <cell r="F481">
            <v>4</v>
          </cell>
          <cell r="G481" t="str">
            <v>ja</v>
          </cell>
          <cell r="H481" t="str">
            <v>【超級】雪の歌姫</v>
          </cell>
          <cell r="I481" t="str">
            <v>超級</v>
          </cell>
          <cell r="J481">
            <v>526</v>
          </cell>
          <cell r="K481">
            <v>30</v>
          </cell>
          <cell r="L481">
            <v>3300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909</v>
          </cell>
          <cell r="AD481">
            <v>6</v>
          </cell>
          <cell r="AE481" t="str">
            <v>everyone</v>
          </cell>
        </row>
        <row r="482">
          <cell r="A482" t="str">
            <v>39001_5</v>
          </cell>
          <cell r="B482">
            <v>3</v>
          </cell>
          <cell r="C482">
            <v>39001</v>
          </cell>
          <cell r="D482" t="str">
            <v>雪の歌姫</v>
          </cell>
          <cell r="E482" t="str">
            <v>コラボクエスト</v>
          </cell>
          <cell r="F482">
            <v>5</v>
          </cell>
          <cell r="G482" t="str">
            <v>ja</v>
          </cell>
          <cell r="H482" t="str">
            <v>【超絶級】雪の歌姫</v>
          </cell>
          <cell r="I482" t="str">
            <v>超絶級</v>
          </cell>
          <cell r="J482">
            <v>526</v>
          </cell>
          <cell r="K482">
            <v>35</v>
          </cell>
          <cell r="L482">
            <v>4200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909</v>
          </cell>
          <cell r="AD482">
            <v>6</v>
          </cell>
          <cell r="AE482" t="str">
            <v>everyone</v>
          </cell>
        </row>
        <row r="483">
          <cell r="A483" t="str">
            <v>39002_1</v>
          </cell>
          <cell r="B483">
            <v>1</v>
          </cell>
          <cell r="C483">
            <v>39002</v>
          </cell>
          <cell r="D483" t="str">
            <v>Y</v>
          </cell>
          <cell r="E483" t="str">
            <v>コラボクエスト</v>
          </cell>
          <cell r="F483">
            <v>1</v>
          </cell>
          <cell r="G483" t="str">
            <v>ja</v>
          </cell>
          <cell r="H483" t="str">
            <v>【初級】デ黄編</v>
          </cell>
          <cell r="I483" t="str">
            <v>初級</v>
          </cell>
          <cell r="J483">
            <v>1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12</v>
          </cell>
          <cell r="AD483">
            <v>6</v>
          </cell>
          <cell r="AE483" t="str">
            <v>everyone</v>
          </cell>
        </row>
        <row r="484">
          <cell r="A484" t="str">
            <v>39002_2</v>
          </cell>
          <cell r="B484">
            <v>1</v>
          </cell>
          <cell r="C484">
            <v>39002</v>
          </cell>
          <cell r="D484" t="str">
            <v>Y</v>
          </cell>
          <cell r="E484" t="str">
            <v>コラボクエスト</v>
          </cell>
          <cell r="F484">
            <v>2</v>
          </cell>
          <cell r="G484" t="str">
            <v>ja</v>
          </cell>
          <cell r="H484" t="str">
            <v>【中級】デ黄編</v>
          </cell>
          <cell r="I484" t="str">
            <v>中級</v>
          </cell>
          <cell r="J484">
            <v>1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12</v>
          </cell>
          <cell r="AD484">
            <v>6</v>
          </cell>
          <cell r="AE484" t="str">
            <v>everyone</v>
          </cell>
        </row>
        <row r="485">
          <cell r="A485" t="str">
            <v>39002_3</v>
          </cell>
          <cell r="B485">
            <v>1</v>
          </cell>
          <cell r="C485">
            <v>39002</v>
          </cell>
          <cell r="D485" t="str">
            <v>Y</v>
          </cell>
          <cell r="E485" t="str">
            <v>コラボクエスト</v>
          </cell>
          <cell r="F485">
            <v>3</v>
          </cell>
          <cell r="G485" t="str">
            <v>ja</v>
          </cell>
          <cell r="H485" t="str">
            <v>【上級】デ黄編</v>
          </cell>
          <cell r="I485" t="str">
            <v>上級</v>
          </cell>
          <cell r="J485">
            <v>1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12</v>
          </cell>
          <cell r="AD485">
            <v>6</v>
          </cell>
          <cell r="AE485" t="str">
            <v>everyone</v>
          </cell>
        </row>
        <row r="486">
          <cell r="A486" t="str">
            <v>39002_4</v>
          </cell>
          <cell r="B486">
            <v>1</v>
          </cell>
          <cell r="C486">
            <v>39002</v>
          </cell>
          <cell r="D486" t="str">
            <v>Y</v>
          </cell>
          <cell r="E486" t="str">
            <v>コラボクエスト</v>
          </cell>
          <cell r="F486">
            <v>4</v>
          </cell>
          <cell r="G486" t="str">
            <v>ja</v>
          </cell>
          <cell r="H486" t="str">
            <v>【超級】デ黄編</v>
          </cell>
          <cell r="I486" t="str">
            <v>超級</v>
          </cell>
          <cell r="J486">
            <v>1</v>
          </cell>
          <cell r="K486">
            <v>30</v>
          </cell>
          <cell r="L486">
            <v>3300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12</v>
          </cell>
          <cell r="AD486">
            <v>6</v>
          </cell>
          <cell r="AE486" t="str">
            <v>everyone</v>
          </cell>
        </row>
        <row r="487">
          <cell r="A487" t="str">
            <v>39003_1</v>
          </cell>
          <cell r="B487">
            <v>1</v>
          </cell>
          <cell r="C487">
            <v>39003</v>
          </cell>
          <cell r="D487" t="str">
            <v>B</v>
          </cell>
          <cell r="E487" t="str">
            <v>コラボクエスト</v>
          </cell>
          <cell r="F487">
            <v>1</v>
          </cell>
          <cell r="G487" t="str">
            <v>ja</v>
          </cell>
          <cell r="H487" t="str">
            <v>【初級】デ青編</v>
          </cell>
          <cell r="I487" t="str">
            <v>初級</v>
          </cell>
          <cell r="J487">
            <v>1</v>
          </cell>
          <cell r="K487">
            <v>8</v>
          </cell>
          <cell r="L487">
            <v>384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14</v>
          </cell>
          <cell r="AD487">
            <v>6</v>
          </cell>
          <cell r="AE487" t="str">
            <v>everyone</v>
          </cell>
        </row>
        <row r="488">
          <cell r="A488" t="str">
            <v>39003_2</v>
          </cell>
          <cell r="B488">
            <v>1</v>
          </cell>
          <cell r="C488">
            <v>39003</v>
          </cell>
          <cell r="D488" t="str">
            <v>B</v>
          </cell>
          <cell r="E488" t="str">
            <v>コラボクエスト</v>
          </cell>
          <cell r="F488">
            <v>2</v>
          </cell>
          <cell r="G488" t="str">
            <v>ja</v>
          </cell>
          <cell r="H488" t="str">
            <v>【中級】デ青編</v>
          </cell>
          <cell r="I488" t="str">
            <v>中級</v>
          </cell>
          <cell r="J488">
            <v>1</v>
          </cell>
          <cell r="K488">
            <v>15</v>
          </cell>
          <cell r="L488">
            <v>1200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14</v>
          </cell>
          <cell r="AD488">
            <v>6</v>
          </cell>
          <cell r="AE488" t="str">
            <v>everyone</v>
          </cell>
        </row>
        <row r="489">
          <cell r="A489" t="str">
            <v>39003_3</v>
          </cell>
          <cell r="B489">
            <v>1</v>
          </cell>
          <cell r="C489">
            <v>39003</v>
          </cell>
          <cell r="D489" t="str">
            <v>B</v>
          </cell>
          <cell r="E489" t="str">
            <v>コラボクエスト</v>
          </cell>
          <cell r="F489">
            <v>3</v>
          </cell>
          <cell r="G489" t="str">
            <v>ja</v>
          </cell>
          <cell r="H489" t="str">
            <v>【上級】デ青編</v>
          </cell>
          <cell r="I489" t="str">
            <v>上級</v>
          </cell>
          <cell r="J489">
            <v>1</v>
          </cell>
          <cell r="K489">
            <v>20</v>
          </cell>
          <cell r="L489">
            <v>2000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14</v>
          </cell>
          <cell r="AD489">
            <v>6</v>
          </cell>
          <cell r="AE489" t="str">
            <v>everyone</v>
          </cell>
        </row>
        <row r="490">
          <cell r="A490" t="str">
            <v>39003_4</v>
          </cell>
          <cell r="B490">
            <v>1</v>
          </cell>
          <cell r="C490">
            <v>39003</v>
          </cell>
          <cell r="D490" t="str">
            <v>B</v>
          </cell>
          <cell r="E490" t="str">
            <v>コラボクエスト</v>
          </cell>
          <cell r="F490">
            <v>4</v>
          </cell>
          <cell r="G490" t="str">
            <v>ja</v>
          </cell>
          <cell r="H490" t="str">
            <v>【超級】デ青編</v>
          </cell>
          <cell r="I490" t="str">
            <v>超級</v>
          </cell>
          <cell r="J490">
            <v>1</v>
          </cell>
          <cell r="K490">
            <v>30</v>
          </cell>
          <cell r="L490">
            <v>3300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14</v>
          </cell>
          <cell r="AD490">
            <v>6</v>
          </cell>
          <cell r="AE490" t="str">
            <v>everyone</v>
          </cell>
        </row>
        <row r="491">
          <cell r="A491" t="str">
            <v>40001_1</v>
          </cell>
          <cell r="B491">
            <v>3</v>
          </cell>
          <cell r="C491">
            <v>40001</v>
          </cell>
          <cell r="D491" t="str">
            <v>アマテラス襲来！</v>
          </cell>
          <cell r="E491" t="str">
            <v>降臨1</v>
          </cell>
          <cell r="F491">
            <v>1</v>
          </cell>
          <cell r="G491" t="str">
            <v>ja</v>
          </cell>
          <cell r="H491" t="str">
            <v xml:space="preserve">【ウィザード級】アマテラス襲来 </v>
          </cell>
          <cell r="I491" t="str">
            <v>地獄級</v>
          </cell>
          <cell r="J491">
            <v>278</v>
          </cell>
          <cell r="K491">
            <v>35</v>
          </cell>
          <cell r="L491">
            <v>4200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901</v>
          </cell>
          <cell r="AD491">
            <v>6</v>
          </cell>
          <cell r="AE491" t="str">
            <v>everyone</v>
          </cell>
        </row>
        <row r="492">
          <cell r="A492" t="str">
            <v>40002_1</v>
          </cell>
          <cell r="B492">
            <v>3</v>
          </cell>
          <cell r="C492">
            <v>40002</v>
          </cell>
          <cell r="D492" t="str">
            <v>アザゼル襲来！</v>
          </cell>
          <cell r="E492" t="str">
            <v>降臨2</v>
          </cell>
          <cell r="F492">
            <v>1</v>
          </cell>
          <cell r="G492" t="str">
            <v>ja</v>
          </cell>
          <cell r="H492" t="str">
            <v xml:space="preserve">【超級】アザゼル襲来 </v>
          </cell>
          <cell r="I492" t="str">
            <v>超級</v>
          </cell>
          <cell r="J492">
            <v>296</v>
          </cell>
          <cell r="K492">
            <v>25</v>
          </cell>
          <cell r="L492">
            <v>2000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902</v>
          </cell>
          <cell r="AD492">
            <v>6</v>
          </cell>
          <cell r="AE492" t="str">
            <v>everyone</v>
          </cell>
        </row>
        <row r="493">
          <cell r="A493" t="str">
            <v>40002_2</v>
          </cell>
          <cell r="B493">
            <v>3</v>
          </cell>
          <cell r="C493">
            <v>40002</v>
          </cell>
          <cell r="D493" t="str">
            <v>アザゼル襲来！</v>
          </cell>
          <cell r="E493" t="str">
            <v>降臨2</v>
          </cell>
          <cell r="F493">
            <v>2</v>
          </cell>
          <cell r="G493" t="str">
            <v>ja</v>
          </cell>
          <cell r="H493" t="str">
            <v>【超絶級】アザゼル襲来</v>
          </cell>
          <cell r="I493" t="str">
            <v>超絶級</v>
          </cell>
          <cell r="J493">
            <v>297</v>
          </cell>
          <cell r="K493">
            <v>30</v>
          </cell>
          <cell r="L493">
            <v>3300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902</v>
          </cell>
          <cell r="AD493">
            <v>6</v>
          </cell>
          <cell r="AE493" t="str">
            <v>everyone</v>
          </cell>
        </row>
        <row r="494">
          <cell r="A494" t="str">
            <v>40002_3</v>
          </cell>
          <cell r="B494">
            <v>3</v>
          </cell>
          <cell r="C494">
            <v>40002</v>
          </cell>
          <cell r="D494" t="str">
            <v>アザゼル襲来！</v>
          </cell>
          <cell r="E494" t="str">
            <v>降臨2</v>
          </cell>
          <cell r="F494">
            <v>3</v>
          </cell>
          <cell r="G494" t="str">
            <v>ja</v>
          </cell>
          <cell r="H494" t="str">
            <v xml:space="preserve">【ウィザード級】アザゼル襲来 </v>
          </cell>
          <cell r="I494" t="str">
            <v>地獄級</v>
          </cell>
          <cell r="J494">
            <v>297</v>
          </cell>
          <cell r="K494">
            <v>35</v>
          </cell>
          <cell r="L494">
            <v>4200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character</v>
          </cell>
          <cell r="T494">
            <v>296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902</v>
          </cell>
          <cell r="AD494">
            <v>6</v>
          </cell>
          <cell r="AE494" t="str">
            <v>everyone</v>
          </cell>
        </row>
        <row r="495">
          <cell r="A495" t="str">
            <v>40003_1</v>
          </cell>
          <cell r="B495">
            <v>3</v>
          </cell>
          <cell r="C495">
            <v>40003</v>
          </cell>
          <cell r="D495" t="str">
            <v>ジャンヌ襲来！</v>
          </cell>
          <cell r="E495" t="str">
            <v>降臨3</v>
          </cell>
          <cell r="F495">
            <v>1</v>
          </cell>
          <cell r="G495" t="str">
            <v>ja</v>
          </cell>
          <cell r="H495" t="str">
            <v xml:space="preserve">【ウィザード級】ジャンヌ襲来 </v>
          </cell>
          <cell r="I495" t="str">
            <v>地獄級</v>
          </cell>
          <cell r="J495">
            <v>315</v>
          </cell>
          <cell r="K495">
            <v>35</v>
          </cell>
          <cell r="L495">
            <v>4200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character</v>
          </cell>
          <cell r="T495">
            <v>314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903</v>
          </cell>
          <cell r="AD495">
            <v>6</v>
          </cell>
          <cell r="AE495" t="str">
            <v>everyone</v>
          </cell>
        </row>
        <row r="496">
          <cell r="A496" t="str">
            <v>40004_1</v>
          </cell>
          <cell r="B496">
            <v>3</v>
          </cell>
          <cell r="C496">
            <v>40004</v>
          </cell>
          <cell r="D496" t="str">
            <v>宮本武蔵襲来！</v>
          </cell>
          <cell r="E496" t="str">
            <v>降臨4</v>
          </cell>
          <cell r="F496">
            <v>1</v>
          </cell>
          <cell r="G496" t="str">
            <v>ja</v>
          </cell>
          <cell r="H496" t="str">
            <v xml:space="preserve">【ウィザード級】宮本武蔵襲来 </v>
          </cell>
          <cell r="I496" t="str">
            <v>地獄級</v>
          </cell>
          <cell r="J496">
            <v>427</v>
          </cell>
          <cell r="K496">
            <v>35</v>
          </cell>
          <cell r="L496">
            <v>4200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character</v>
          </cell>
          <cell r="T496">
            <v>426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904</v>
          </cell>
          <cell r="AD496">
            <v>6</v>
          </cell>
          <cell r="AE496" t="str">
            <v>everyone</v>
          </cell>
        </row>
        <row r="497">
          <cell r="A497" t="str">
            <v>40005_1</v>
          </cell>
          <cell r="B497">
            <v>3</v>
          </cell>
          <cell r="C497">
            <v>40005</v>
          </cell>
          <cell r="D497" t="str">
            <v>オズ襲来！</v>
          </cell>
          <cell r="E497" t="str">
            <v>降臨5</v>
          </cell>
          <cell r="F497">
            <v>1</v>
          </cell>
          <cell r="G497" t="str">
            <v>ja</v>
          </cell>
          <cell r="H497" t="str">
            <v xml:space="preserve">【ウィザード級】オズ襲来 </v>
          </cell>
          <cell r="I497" t="str">
            <v>地獄級</v>
          </cell>
          <cell r="J497">
            <v>461</v>
          </cell>
          <cell r="K497">
            <v>35</v>
          </cell>
          <cell r="L497">
            <v>4200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character</v>
          </cell>
          <cell r="T497">
            <v>460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906</v>
          </cell>
          <cell r="AD497">
            <v>6</v>
          </cell>
          <cell r="AE497" t="str">
            <v>everyone</v>
          </cell>
        </row>
        <row r="498">
          <cell r="A498" t="str">
            <v>40006_1</v>
          </cell>
          <cell r="B498">
            <v>3</v>
          </cell>
          <cell r="C498">
            <v>40006</v>
          </cell>
          <cell r="D498" t="str">
            <v>アーサー襲来！</v>
          </cell>
          <cell r="E498" t="str">
            <v>降臨6</v>
          </cell>
          <cell r="F498">
            <v>1</v>
          </cell>
          <cell r="G498" t="str">
            <v>ja</v>
          </cell>
          <cell r="H498" t="str">
            <v xml:space="preserve">【ウィザード級】アーサー襲来 </v>
          </cell>
          <cell r="I498" t="str">
            <v>地獄級</v>
          </cell>
          <cell r="J498">
            <v>473</v>
          </cell>
          <cell r="K498">
            <v>35</v>
          </cell>
          <cell r="L498">
            <v>4200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character</v>
          </cell>
          <cell r="T498">
            <v>472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907</v>
          </cell>
          <cell r="AD498">
            <v>6</v>
          </cell>
          <cell r="AE498" t="str">
            <v>everyone</v>
          </cell>
        </row>
        <row r="499">
          <cell r="A499" t="str">
            <v>40007_1</v>
          </cell>
          <cell r="B499">
            <v>3</v>
          </cell>
          <cell r="C499">
            <v>40007</v>
          </cell>
          <cell r="D499" t="str">
            <v>グリム襲来！</v>
          </cell>
          <cell r="E499" t="str">
            <v>降臨7</v>
          </cell>
          <cell r="F499">
            <v>1</v>
          </cell>
          <cell r="G499" t="str">
            <v>ja</v>
          </cell>
          <cell r="H499" t="str">
            <v xml:space="preserve">【ウィザード級】グリム襲来 </v>
          </cell>
          <cell r="I499" t="str">
            <v>地獄級</v>
          </cell>
          <cell r="J499">
            <v>491</v>
          </cell>
          <cell r="K499">
            <v>35</v>
          </cell>
          <cell r="L499">
            <v>4200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character</v>
          </cell>
          <cell r="T499">
            <v>490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908</v>
          </cell>
          <cell r="AD499">
            <v>6</v>
          </cell>
          <cell r="AE499" t="str">
            <v>everyone</v>
          </cell>
        </row>
        <row r="500">
          <cell r="A500" t="str">
            <v>40008_1</v>
          </cell>
          <cell r="B500">
            <v>3</v>
          </cell>
          <cell r="C500">
            <v>40008</v>
          </cell>
          <cell r="D500" t="str">
            <v>Gスター襲来！</v>
          </cell>
          <cell r="E500" t="str">
            <v>降臨8</v>
          </cell>
          <cell r="F500">
            <v>1</v>
          </cell>
          <cell r="G500" t="str">
            <v>ja</v>
          </cell>
          <cell r="H500" t="str">
            <v xml:space="preserve">【ウィザード級】Gスター襲来 </v>
          </cell>
          <cell r="I500" t="str">
            <v>地獄級</v>
          </cell>
          <cell r="J500">
            <v>509</v>
          </cell>
          <cell r="K500">
            <v>35</v>
          </cell>
          <cell r="L500">
            <v>4200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character</v>
          </cell>
          <cell r="T500">
            <v>508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2601</v>
          </cell>
          <cell r="AD500">
            <v>6</v>
          </cell>
          <cell r="AE500" t="str">
            <v>everyone</v>
          </cell>
        </row>
        <row r="501">
          <cell r="A501" t="str">
            <v>40009_1</v>
          </cell>
          <cell r="B501">
            <v>3</v>
          </cell>
          <cell r="C501">
            <v>40009</v>
          </cell>
          <cell r="D501" t="str">
            <v>フギンとムニン襲来！</v>
          </cell>
          <cell r="E501" t="str">
            <v>降臨9</v>
          </cell>
          <cell r="F501">
            <v>1</v>
          </cell>
          <cell r="G501" t="str">
            <v>ja</v>
          </cell>
          <cell r="H501" t="str">
            <v xml:space="preserve">【ウィザード級】フギンとムニン襲来 </v>
          </cell>
          <cell r="I501" t="str">
            <v>地獄級</v>
          </cell>
          <cell r="J501">
            <v>582</v>
          </cell>
          <cell r="K501">
            <v>35</v>
          </cell>
          <cell r="L501">
            <v>4200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character</v>
          </cell>
          <cell r="T501">
            <v>581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25</v>
          </cell>
          <cell r="AD501">
            <v>6</v>
          </cell>
          <cell r="AE501" t="str">
            <v>everyone</v>
          </cell>
        </row>
        <row r="502">
          <cell r="A502" t="str">
            <v>40010_1</v>
          </cell>
          <cell r="B502">
            <v>3</v>
          </cell>
          <cell r="C502">
            <v>40010</v>
          </cell>
          <cell r="D502" t="str">
            <v>フレイ襲来！</v>
          </cell>
          <cell r="E502" t="str">
            <v>降臨10</v>
          </cell>
          <cell r="F502">
            <v>1</v>
          </cell>
          <cell r="G502" t="str">
            <v>ja</v>
          </cell>
          <cell r="H502" t="str">
            <v xml:space="preserve">【ウィザード級】フレイ襲来 </v>
          </cell>
          <cell r="I502" t="str">
            <v>地獄級</v>
          </cell>
          <cell r="J502">
            <v>575</v>
          </cell>
          <cell r="K502">
            <v>35</v>
          </cell>
          <cell r="L502">
            <v>4200</v>
          </cell>
          <cell r="M502">
            <v>1</v>
          </cell>
          <cell r="N502">
            <v>1</v>
          </cell>
          <cell r="O502">
            <v>1</v>
          </cell>
          <cell r="P502">
            <v>0</v>
          </cell>
          <cell r="Q502">
            <v>1</v>
          </cell>
          <cell r="R502">
            <v>3</v>
          </cell>
          <cell r="S502" t="str">
            <v>character</v>
          </cell>
          <cell r="T502">
            <v>575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912</v>
          </cell>
          <cell r="AD502">
            <v>6</v>
          </cell>
          <cell r="AE502" t="str">
            <v>everyone</v>
          </cell>
        </row>
        <row r="503">
          <cell r="A503" t="str">
            <v>40011_1</v>
          </cell>
          <cell r="B503">
            <v>3</v>
          </cell>
          <cell r="C503">
            <v>40011</v>
          </cell>
          <cell r="D503" t="str">
            <v>ヨミ襲来！</v>
          </cell>
          <cell r="E503" t="str">
            <v>降臨11</v>
          </cell>
          <cell r="F503">
            <v>1</v>
          </cell>
          <cell r="G503" t="str">
            <v>ja</v>
          </cell>
          <cell r="H503" t="str">
            <v xml:space="preserve">【ウィザード級】ヨミ襲来 </v>
          </cell>
          <cell r="I503" t="str">
            <v>地獄級</v>
          </cell>
          <cell r="J503">
            <v>655</v>
          </cell>
          <cell r="K503">
            <v>35</v>
          </cell>
          <cell r="L503">
            <v>4200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character</v>
          </cell>
          <cell r="T503">
            <v>654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913</v>
          </cell>
          <cell r="AD503">
            <v>6</v>
          </cell>
          <cell r="AE503" t="str">
            <v>everyone</v>
          </cell>
        </row>
        <row r="504">
          <cell r="A504" t="str">
            <v>40012_1</v>
          </cell>
          <cell r="B504">
            <v>3</v>
          </cell>
          <cell r="C504">
            <v>40012</v>
          </cell>
          <cell r="D504" t="str">
            <v>ショウキ襲来！</v>
          </cell>
          <cell r="E504" t="str">
            <v>降臨12</v>
          </cell>
          <cell r="F504">
            <v>1</v>
          </cell>
          <cell r="G504" t="str">
            <v>ja</v>
          </cell>
          <cell r="H504" t="str">
            <v xml:space="preserve">【ウィザード級】ショウキ襲来 </v>
          </cell>
          <cell r="I504" t="str">
            <v>地獄級</v>
          </cell>
          <cell r="J504">
            <v>645</v>
          </cell>
          <cell r="K504">
            <v>35</v>
          </cell>
          <cell r="L504">
            <v>4200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character</v>
          </cell>
          <cell r="T504">
            <v>644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915</v>
          </cell>
          <cell r="AD504">
            <v>6</v>
          </cell>
          <cell r="AE504" t="str">
            <v>everyone</v>
          </cell>
        </row>
        <row r="505">
          <cell r="A505" t="str">
            <v>40013_1</v>
          </cell>
          <cell r="B505">
            <v>3</v>
          </cell>
          <cell r="C505">
            <v>40013</v>
          </cell>
          <cell r="D505" t="str">
            <v>カーマ襲来！</v>
          </cell>
          <cell r="E505" t="str">
            <v>降臨13</v>
          </cell>
          <cell r="F505">
            <v>1</v>
          </cell>
          <cell r="G505" t="str">
            <v>ja</v>
          </cell>
          <cell r="H505" t="str">
            <v xml:space="preserve">【ウィザード級】カーマ襲来 </v>
          </cell>
          <cell r="I505" t="str">
            <v>地獄級</v>
          </cell>
          <cell r="J505">
            <v>643</v>
          </cell>
          <cell r="K505">
            <v>35</v>
          </cell>
          <cell r="L505">
            <v>4200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0</v>
          </cell>
          <cell r="R505">
            <v>3</v>
          </cell>
          <cell r="S505" t="str">
            <v>character</v>
          </cell>
          <cell r="T505">
            <v>642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916</v>
          </cell>
          <cell r="AD505">
            <v>6</v>
          </cell>
          <cell r="AE505" t="str">
            <v>everyone</v>
          </cell>
        </row>
        <row r="506">
          <cell r="A506" t="str">
            <v>40014_1</v>
          </cell>
          <cell r="B506">
            <v>3</v>
          </cell>
          <cell r="C506">
            <v>40014</v>
          </cell>
          <cell r="D506" t="str">
            <v>シヴァ襲来！</v>
          </cell>
          <cell r="E506" t="str">
            <v>降臨14</v>
          </cell>
          <cell r="F506">
            <v>1</v>
          </cell>
          <cell r="G506" t="str">
            <v>ja</v>
          </cell>
          <cell r="H506" t="str">
            <v xml:space="preserve">【ウィザード級】シヴァ襲来 </v>
          </cell>
          <cell r="I506" t="str">
            <v>地獄級</v>
          </cell>
          <cell r="J506">
            <v>657</v>
          </cell>
          <cell r="K506">
            <v>35</v>
          </cell>
          <cell r="L506">
            <v>4200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character</v>
          </cell>
          <cell r="T506">
            <v>656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916</v>
          </cell>
          <cell r="AD506">
            <v>6</v>
          </cell>
          <cell r="AE506" t="str">
            <v>everyone</v>
          </cell>
        </row>
        <row r="507">
          <cell r="A507" t="str">
            <v>40015_1</v>
          </cell>
          <cell r="B507">
            <v>3</v>
          </cell>
          <cell r="C507">
            <v>40015</v>
          </cell>
          <cell r="D507" t="str">
            <v>ガレス襲来！</v>
          </cell>
          <cell r="E507" t="str">
            <v>降臨15</v>
          </cell>
          <cell r="F507">
            <v>1</v>
          </cell>
          <cell r="G507" t="str">
            <v>ja</v>
          </cell>
          <cell r="H507" t="str">
            <v xml:space="preserve">【ウィザード級】ガレス襲来 </v>
          </cell>
          <cell r="I507" t="str">
            <v>地獄級</v>
          </cell>
          <cell r="J507">
            <v>769</v>
          </cell>
          <cell r="K507">
            <v>35</v>
          </cell>
          <cell r="L507">
            <v>4200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character</v>
          </cell>
          <cell r="T507">
            <v>768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907</v>
          </cell>
          <cell r="AD507">
            <v>6</v>
          </cell>
          <cell r="AE507" t="str">
            <v>everyone</v>
          </cell>
        </row>
        <row r="508">
          <cell r="A508" t="str">
            <v>40016_1</v>
          </cell>
          <cell r="B508">
            <v>3</v>
          </cell>
          <cell r="C508">
            <v>40016</v>
          </cell>
          <cell r="D508" t="str">
            <v>武田信玄襲来！</v>
          </cell>
          <cell r="E508" t="str">
            <v>降臨16</v>
          </cell>
          <cell r="F508">
            <v>1</v>
          </cell>
          <cell r="G508" t="str">
            <v>ja</v>
          </cell>
          <cell r="H508" t="str">
            <v xml:space="preserve">【ウィザード級】武田信玄襲来 </v>
          </cell>
          <cell r="I508" t="str">
            <v>地獄級</v>
          </cell>
          <cell r="J508">
            <v>725</v>
          </cell>
          <cell r="K508">
            <v>35</v>
          </cell>
          <cell r="L508">
            <v>4200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polygon</v>
          </cell>
          <cell r="T508">
            <v>1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919</v>
          </cell>
          <cell r="AD508">
            <v>6</v>
          </cell>
          <cell r="AE508" t="str">
            <v>everyone</v>
          </cell>
        </row>
        <row r="509">
          <cell r="A509" t="str">
            <v>40016_2</v>
          </cell>
          <cell r="B509">
            <v>3</v>
          </cell>
          <cell r="C509">
            <v>40016</v>
          </cell>
          <cell r="D509" t="str">
            <v>武田信玄襲来！</v>
          </cell>
          <cell r="E509" t="str">
            <v>降臨16</v>
          </cell>
          <cell r="F509">
            <v>2</v>
          </cell>
          <cell r="G509" t="str">
            <v>ja</v>
          </cell>
          <cell r="H509" t="str">
            <v xml:space="preserve">【ノーコンテニュー】武田信玄襲来 </v>
          </cell>
          <cell r="I509" t="str">
            <v>地獄級</v>
          </cell>
          <cell r="J509">
            <v>725</v>
          </cell>
          <cell r="K509">
            <v>35</v>
          </cell>
          <cell r="L509">
            <v>4200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919</v>
          </cell>
          <cell r="AD509">
            <v>6</v>
          </cell>
          <cell r="AE509" t="str">
            <v>everyone</v>
          </cell>
        </row>
        <row r="510">
          <cell r="A510" t="str">
            <v>40017_1</v>
          </cell>
          <cell r="B510">
            <v>1</v>
          </cell>
          <cell r="C510">
            <v>40017</v>
          </cell>
          <cell r="D510" t="str">
            <v>ベルゼブブ襲来！</v>
          </cell>
          <cell r="E510" t="str">
            <v>降臨17</v>
          </cell>
          <cell r="F510">
            <v>1</v>
          </cell>
          <cell r="G510" t="str">
            <v>ja</v>
          </cell>
          <cell r="H510" t="str">
            <v xml:space="preserve">【超絶級】ベルゼブブ襲来 </v>
          </cell>
          <cell r="I510" t="str">
            <v>地獄級</v>
          </cell>
          <cell r="J510">
            <v>1</v>
          </cell>
          <cell r="K510">
            <v>35</v>
          </cell>
          <cell r="L510">
            <v>4200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polygon</v>
          </cell>
          <cell r="T510">
            <v>1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919</v>
          </cell>
          <cell r="AD510">
            <v>6</v>
          </cell>
          <cell r="AE510" t="str">
            <v>everyone</v>
          </cell>
        </row>
        <row r="511">
          <cell r="A511" t="str">
            <v>40017_2</v>
          </cell>
          <cell r="B511">
            <v>1</v>
          </cell>
          <cell r="C511">
            <v>40017</v>
          </cell>
          <cell r="D511" t="str">
            <v>ベルゼブブ襲来！</v>
          </cell>
          <cell r="E511" t="str">
            <v>降臨17</v>
          </cell>
          <cell r="F511">
            <v>2</v>
          </cell>
          <cell r="G511" t="str">
            <v>ja</v>
          </cell>
          <cell r="H511" t="str">
            <v>【ウィザード級】ベルゼブブ襲来</v>
          </cell>
          <cell r="I511" t="str">
            <v>地獄級</v>
          </cell>
          <cell r="J511">
            <v>1</v>
          </cell>
          <cell r="K511">
            <v>35</v>
          </cell>
          <cell r="L511">
            <v>4200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polygon</v>
          </cell>
          <cell r="T511">
            <v>1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919</v>
          </cell>
          <cell r="AD511">
            <v>6</v>
          </cell>
          <cell r="AE511" t="str">
            <v>everyone</v>
          </cell>
        </row>
        <row r="512">
          <cell r="A512" t="str">
            <v>40017_3</v>
          </cell>
          <cell r="B512">
            <v>1</v>
          </cell>
          <cell r="C512">
            <v>40017</v>
          </cell>
          <cell r="D512" t="str">
            <v>ベルゼブブ襲来！</v>
          </cell>
          <cell r="E512" t="str">
            <v>降臨17</v>
          </cell>
          <cell r="F512">
            <v>3</v>
          </cell>
          <cell r="G512" t="str">
            <v>ja</v>
          </cell>
          <cell r="H512" t="str">
            <v>【ノーコンテニュー】ベルゼブブ襲来</v>
          </cell>
          <cell r="I512" t="str">
            <v>地獄級</v>
          </cell>
          <cell r="J512">
            <v>1</v>
          </cell>
          <cell r="K512">
            <v>35</v>
          </cell>
          <cell r="L512">
            <v>4200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919</v>
          </cell>
          <cell r="AD512">
            <v>6</v>
          </cell>
          <cell r="AE512" t="str">
            <v>everyone</v>
          </cell>
        </row>
        <row r="513">
          <cell r="A513" t="str">
            <v>41001_1</v>
          </cell>
          <cell r="B513">
            <v>1</v>
          </cell>
          <cell r="C513">
            <v>41001</v>
          </cell>
          <cell r="D513" t="str">
            <v>アマテラス襲来！</v>
          </cell>
          <cell r="E513" t="str">
            <v>降臨1</v>
          </cell>
          <cell r="F513">
            <v>1</v>
          </cell>
          <cell r="G513" t="str">
            <v>ja</v>
          </cell>
          <cell r="H513" t="str">
            <v>【超絶級】アマテラス襲来【V2】</v>
          </cell>
          <cell r="I513" t="str">
            <v>超絶級</v>
          </cell>
          <cell r="J513">
            <v>278</v>
          </cell>
          <cell r="K513">
            <v>30</v>
          </cell>
          <cell r="L513">
            <v>3300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901</v>
          </cell>
          <cell r="AD513">
            <v>6</v>
          </cell>
          <cell r="AE513" t="str">
            <v>everyone</v>
          </cell>
        </row>
        <row r="514">
          <cell r="A514" t="str">
            <v>41001_2</v>
          </cell>
          <cell r="B514">
            <v>1</v>
          </cell>
          <cell r="C514">
            <v>41001</v>
          </cell>
          <cell r="D514" t="str">
            <v>アマテラス襲来！</v>
          </cell>
          <cell r="E514" t="str">
            <v>降臨1</v>
          </cell>
          <cell r="F514">
            <v>2</v>
          </cell>
          <cell r="G514" t="str">
            <v>ja</v>
          </cell>
          <cell r="H514" t="str">
            <v>【ウィザード級】アマテラス襲来【V2】</v>
          </cell>
          <cell r="I514" t="str">
            <v>地獄級</v>
          </cell>
          <cell r="J514">
            <v>278</v>
          </cell>
          <cell r="K514">
            <v>35</v>
          </cell>
          <cell r="L514">
            <v>4200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901</v>
          </cell>
          <cell r="AD514">
            <v>6</v>
          </cell>
          <cell r="AE514" t="str">
            <v>everyone</v>
          </cell>
        </row>
        <row r="515">
          <cell r="A515" t="str">
            <v>41001_3</v>
          </cell>
          <cell r="B515">
            <v>1</v>
          </cell>
          <cell r="C515">
            <v>41001</v>
          </cell>
          <cell r="D515" t="str">
            <v>アマテラス襲来！</v>
          </cell>
          <cell r="E515" t="str">
            <v>降臨1</v>
          </cell>
          <cell r="F515">
            <v>3</v>
          </cell>
          <cell r="G515" t="str">
            <v>ja</v>
          </cell>
          <cell r="H515" t="str">
            <v>【ウィザードチャレンジ】アマテラス襲来【V2】</v>
          </cell>
          <cell r="I515" t="str">
            <v>地獄級</v>
          </cell>
          <cell r="J515">
            <v>278</v>
          </cell>
          <cell r="K515">
            <v>35</v>
          </cell>
          <cell r="L515">
            <v>4200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901</v>
          </cell>
          <cell r="AD515">
            <v>6</v>
          </cell>
          <cell r="AE515" t="str">
            <v>everyone</v>
          </cell>
        </row>
        <row r="516">
          <cell r="A516" t="str">
            <v>41002_1</v>
          </cell>
          <cell r="B516">
            <v>1</v>
          </cell>
          <cell r="C516">
            <v>41002</v>
          </cell>
          <cell r="D516" t="str">
            <v>アザゼル襲来！</v>
          </cell>
          <cell r="E516" t="str">
            <v>降臨1</v>
          </cell>
          <cell r="F516">
            <v>1</v>
          </cell>
          <cell r="G516" t="str">
            <v>ja</v>
          </cell>
          <cell r="H516" t="str">
            <v>【超絶級】アザゼル襲来【V2】</v>
          </cell>
          <cell r="I516" t="str">
            <v>超絶級</v>
          </cell>
          <cell r="J516">
            <v>296</v>
          </cell>
          <cell r="K516">
            <v>30</v>
          </cell>
          <cell r="L516">
            <v>3300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901</v>
          </cell>
          <cell r="AD516">
            <v>6</v>
          </cell>
          <cell r="AE516" t="str">
            <v>everyone</v>
          </cell>
        </row>
        <row r="517">
          <cell r="A517" t="str">
            <v>41002_2</v>
          </cell>
          <cell r="B517">
            <v>1</v>
          </cell>
          <cell r="C517">
            <v>41002</v>
          </cell>
          <cell r="D517" t="str">
            <v>アザゼル襲来！</v>
          </cell>
          <cell r="E517" t="str">
            <v>降臨1</v>
          </cell>
          <cell r="F517">
            <v>2</v>
          </cell>
          <cell r="G517" t="str">
            <v>ja</v>
          </cell>
          <cell r="H517" t="str">
            <v>【ウィザード級】アザゼル襲来【V2】</v>
          </cell>
          <cell r="I517" t="str">
            <v>地獄級</v>
          </cell>
          <cell r="J517">
            <v>296</v>
          </cell>
          <cell r="K517">
            <v>35</v>
          </cell>
          <cell r="L517">
            <v>4200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901</v>
          </cell>
          <cell r="AD517">
            <v>6</v>
          </cell>
          <cell r="AE517" t="str">
            <v>everyone</v>
          </cell>
        </row>
        <row r="518">
          <cell r="A518" t="str">
            <v>41002_3</v>
          </cell>
          <cell r="B518">
            <v>1</v>
          </cell>
          <cell r="C518">
            <v>41002</v>
          </cell>
          <cell r="D518" t="str">
            <v>アザゼル襲来！</v>
          </cell>
          <cell r="E518" t="str">
            <v>降臨1</v>
          </cell>
          <cell r="F518">
            <v>3</v>
          </cell>
          <cell r="G518" t="str">
            <v>ja</v>
          </cell>
          <cell r="H518" t="str">
            <v>【ウィザードチャレンジ】アザゼル襲来【V2】</v>
          </cell>
          <cell r="I518" t="str">
            <v>地獄級</v>
          </cell>
          <cell r="J518">
            <v>296</v>
          </cell>
          <cell r="K518">
            <v>35</v>
          </cell>
          <cell r="L518">
            <v>4200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901</v>
          </cell>
          <cell r="AD518">
            <v>6</v>
          </cell>
          <cell r="AE518" t="str">
            <v>everyone</v>
          </cell>
        </row>
        <row r="519">
          <cell r="A519" t="str">
            <v>49001_1</v>
          </cell>
          <cell r="B519">
            <v>3</v>
          </cell>
          <cell r="C519">
            <v>49001</v>
          </cell>
          <cell r="D519" t="str">
            <v>熱唱！初音ミクV3</v>
          </cell>
          <cell r="E519" t="str">
            <v>コラボ降臨1</v>
          </cell>
          <cell r="F519">
            <v>1</v>
          </cell>
          <cell r="G519" t="str">
            <v>ja</v>
          </cell>
          <cell r="H519" t="str">
            <v>【ウィザード級】熱唱！初音ミクV3</v>
          </cell>
          <cell r="I519" t="str">
            <v>地獄級</v>
          </cell>
          <cell r="J519">
            <v>528</v>
          </cell>
          <cell r="K519">
            <v>35</v>
          </cell>
          <cell r="L519">
            <v>4200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polygon</v>
          </cell>
          <cell r="T519">
            <v>1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910</v>
          </cell>
          <cell r="AD519">
            <v>6</v>
          </cell>
          <cell r="AE519" t="str">
            <v>everyone</v>
          </cell>
        </row>
        <row r="520">
          <cell r="A520" t="str">
            <v>49002_1</v>
          </cell>
          <cell r="B520">
            <v>1</v>
          </cell>
          <cell r="C520">
            <v>49002</v>
          </cell>
          <cell r="D520" t="str">
            <v>K襲来</v>
          </cell>
          <cell r="E520" t="str">
            <v>コラボ降臨2</v>
          </cell>
          <cell r="F520">
            <v>1</v>
          </cell>
          <cell r="G520" t="str">
            <v>ja</v>
          </cell>
          <cell r="H520" t="str">
            <v>【ウィザード級】デsono</v>
          </cell>
          <cell r="I520" t="str">
            <v>地獄級</v>
          </cell>
          <cell r="J520">
            <v>1</v>
          </cell>
          <cell r="K520">
            <v>35</v>
          </cell>
          <cell r="L520">
            <v>4200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917</v>
          </cell>
          <cell r="AD520">
            <v>6</v>
          </cell>
          <cell r="AE520" t="str">
            <v>everyone</v>
          </cell>
        </row>
        <row r="521">
          <cell r="A521" t="str">
            <v>49003_1</v>
          </cell>
          <cell r="B521">
            <v>1</v>
          </cell>
          <cell r="C521">
            <v>49003</v>
          </cell>
          <cell r="D521" t="str">
            <v>H襲来</v>
          </cell>
          <cell r="E521" t="str">
            <v>コラボ降臨3</v>
          </cell>
          <cell r="F521">
            <v>1</v>
          </cell>
          <cell r="G521" t="str">
            <v>ja</v>
          </cell>
          <cell r="H521" t="str">
            <v>【ウィザード級】デiza</v>
          </cell>
          <cell r="I521" t="str">
            <v>地獄級</v>
          </cell>
          <cell r="J521">
            <v>701</v>
          </cell>
          <cell r="K521">
            <v>35</v>
          </cell>
          <cell r="L521">
            <v>4200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character</v>
          </cell>
          <cell r="T521">
            <v>700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918</v>
          </cell>
          <cell r="AD521">
            <v>6</v>
          </cell>
          <cell r="AE521" t="str">
            <v>everyone</v>
          </cell>
        </row>
        <row r="522">
          <cell r="A522" t="str">
            <v>50001_1</v>
          </cell>
          <cell r="B522">
            <v>3</v>
          </cell>
          <cell r="C522">
            <v>50001</v>
          </cell>
          <cell r="D522" t="str">
            <v>麒麟襲来！</v>
          </cell>
          <cell r="E522" t="str">
            <v>超降臨1</v>
          </cell>
          <cell r="F522">
            <v>1</v>
          </cell>
          <cell r="G522" t="str">
            <v>ja</v>
          </cell>
          <cell r="H522" t="str">
            <v xml:space="preserve">【超ウィザード級】麒麟襲来 </v>
          </cell>
          <cell r="I522" t="str">
            <v>超地獄級</v>
          </cell>
          <cell r="J522">
            <v>328</v>
          </cell>
          <cell r="K522">
            <v>40</v>
          </cell>
          <cell r="L522">
            <v>5200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character</v>
          </cell>
          <cell r="T522">
            <v>432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905</v>
          </cell>
          <cell r="AD522">
            <v>6</v>
          </cell>
          <cell r="AE522" t="str">
            <v>everyone</v>
          </cell>
        </row>
        <row r="523">
          <cell r="A523" t="str">
            <v>50002_1</v>
          </cell>
          <cell r="B523">
            <v>3</v>
          </cell>
          <cell r="C523">
            <v>50002</v>
          </cell>
          <cell r="D523" t="str">
            <v>オーディン襲来！</v>
          </cell>
          <cell r="E523" t="str">
            <v>超降臨2</v>
          </cell>
          <cell r="F523">
            <v>1</v>
          </cell>
          <cell r="G523" t="str">
            <v>ja</v>
          </cell>
          <cell r="H523" t="str">
            <v xml:space="preserve">【超ウィザード級】オーディン襲来 </v>
          </cell>
          <cell r="I523" t="str">
            <v>超地獄級</v>
          </cell>
          <cell r="J523">
            <v>451</v>
          </cell>
          <cell r="K523">
            <v>40</v>
          </cell>
          <cell r="L523">
            <v>5200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character</v>
          </cell>
          <cell r="T523">
            <v>573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911</v>
          </cell>
          <cell r="AD523">
            <v>6</v>
          </cell>
          <cell r="AE523" t="str">
            <v>everyone</v>
          </cell>
        </row>
        <row r="524">
          <cell r="A524" t="str">
            <v>50003_1</v>
          </cell>
          <cell r="B524">
            <v>1</v>
          </cell>
          <cell r="C524">
            <v>50003</v>
          </cell>
          <cell r="D524" t="str">
            <v>織田信長襲来！</v>
          </cell>
          <cell r="E524" t="str">
            <v>超降臨3</v>
          </cell>
          <cell r="F524">
            <v>1</v>
          </cell>
          <cell r="G524" t="str">
            <v>ja</v>
          </cell>
          <cell r="H524" t="str">
            <v xml:space="preserve">【超ウィザード級】織田信長襲来 </v>
          </cell>
          <cell r="I524" t="str">
            <v>超地獄級</v>
          </cell>
          <cell r="J524">
            <v>1</v>
          </cell>
          <cell r="K524">
            <v>40</v>
          </cell>
          <cell r="L524">
            <v>5200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character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911</v>
          </cell>
          <cell r="AD524">
            <v>6</v>
          </cell>
          <cell r="AE524" t="str">
            <v>everyone</v>
          </cell>
        </row>
        <row r="525">
          <cell r="A525" t="str">
            <v>60001_1</v>
          </cell>
          <cell r="B525">
            <v>1</v>
          </cell>
          <cell r="C525">
            <v>60001</v>
          </cell>
          <cell r="D525" t="str">
            <v>ヘンペルチャレンジ</v>
          </cell>
          <cell r="E525" t="str">
            <v>ランキング1</v>
          </cell>
          <cell r="F525">
            <v>1</v>
          </cell>
          <cell r="G525" t="str">
            <v>ja</v>
          </cell>
          <cell r="H525" t="str">
            <v>[ウィザード] 第一回</v>
          </cell>
          <cell r="I525" t="str">
            <v>ランキング</v>
          </cell>
          <cell r="J525">
            <v>488</v>
          </cell>
          <cell r="K525">
            <v>5</v>
          </cell>
          <cell r="L525">
            <v>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none</v>
          </cell>
          <cell r="T525">
            <v>0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911</v>
          </cell>
          <cell r="AD525">
            <v>6</v>
          </cell>
          <cell r="AE525" t="str">
            <v>singleonly</v>
          </cell>
        </row>
        <row r="526">
          <cell r="A526" t="str">
            <v>60002_1</v>
          </cell>
          <cell r="B526">
            <v>1</v>
          </cell>
          <cell r="C526">
            <v>60002</v>
          </cell>
          <cell r="D526" t="str">
            <v>ヘンペルチャレンジ</v>
          </cell>
          <cell r="E526" t="str">
            <v>ランキング1</v>
          </cell>
          <cell r="F526">
            <v>1</v>
          </cell>
          <cell r="G526" t="str">
            <v>ja</v>
          </cell>
          <cell r="H526" t="str">
            <v>[超級] 第2回　※Wizと難易度は同じ</v>
          </cell>
          <cell r="I526" t="str">
            <v>ランキング</v>
          </cell>
          <cell r="J526">
            <v>488</v>
          </cell>
          <cell r="K526">
            <v>5</v>
          </cell>
          <cell r="L526">
            <v>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911</v>
          </cell>
          <cell r="AD526">
            <v>6</v>
          </cell>
          <cell r="AE526" t="str">
            <v>singleonly</v>
          </cell>
        </row>
        <row r="527">
          <cell r="A527" t="str">
            <v>60002_2</v>
          </cell>
          <cell r="B527">
            <v>1</v>
          </cell>
          <cell r="C527">
            <v>60002</v>
          </cell>
          <cell r="D527" t="str">
            <v>ヘンペルチャレンジ</v>
          </cell>
          <cell r="E527" t="str">
            <v>ランキング1</v>
          </cell>
          <cell r="F527">
            <v>2</v>
          </cell>
          <cell r="G527" t="str">
            <v>ja</v>
          </cell>
          <cell r="H527" t="str">
            <v>[ウィザード] 第2回　※Wizと難易度は同じ</v>
          </cell>
          <cell r="I527" t="str">
            <v>ランキング</v>
          </cell>
          <cell r="J527">
            <v>488</v>
          </cell>
          <cell r="K527">
            <v>5</v>
          </cell>
          <cell r="L527">
            <v>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911</v>
          </cell>
          <cell r="AD527">
            <v>6</v>
          </cell>
          <cell r="AE527" t="str">
            <v>singleonly</v>
          </cell>
        </row>
        <row r="528">
          <cell r="A528" t="str">
            <v>60003_1</v>
          </cell>
          <cell r="B528">
            <v>1</v>
          </cell>
          <cell r="C528">
            <v>60003</v>
          </cell>
          <cell r="D528" t="str">
            <v>ヘンペルチャレンジ</v>
          </cell>
          <cell r="E528" t="str">
            <v>ランキング1</v>
          </cell>
          <cell r="F528">
            <v>1</v>
          </cell>
          <cell r="G528" t="str">
            <v>ja</v>
          </cell>
          <cell r="H528" t="str">
            <v>[中級] 第3回　</v>
          </cell>
          <cell r="I528" t="str">
            <v>ランキング</v>
          </cell>
          <cell r="J528">
            <v>488</v>
          </cell>
          <cell r="K528">
            <v>5</v>
          </cell>
          <cell r="L528">
            <v>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none</v>
          </cell>
          <cell r="T528">
            <v>0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911</v>
          </cell>
          <cell r="AD528">
            <v>6</v>
          </cell>
          <cell r="AE528" t="str">
            <v>singleonly</v>
          </cell>
        </row>
        <row r="529">
          <cell r="A529" t="str">
            <v>60003_2</v>
          </cell>
          <cell r="B529">
            <v>1</v>
          </cell>
          <cell r="C529">
            <v>60003</v>
          </cell>
          <cell r="D529" t="str">
            <v>ヘンペルチャレンジ</v>
          </cell>
          <cell r="E529" t="str">
            <v>ランキング1</v>
          </cell>
          <cell r="F529">
            <v>2</v>
          </cell>
          <cell r="G529" t="str">
            <v>ja</v>
          </cell>
          <cell r="H529" t="str">
            <v>[超級] 第3回　</v>
          </cell>
          <cell r="I529" t="str">
            <v>ランキング</v>
          </cell>
          <cell r="J529">
            <v>488</v>
          </cell>
          <cell r="K529">
            <v>5</v>
          </cell>
          <cell r="L529">
            <v>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>
            <v>60003</v>
          </cell>
          <cell r="V529">
            <v>1</v>
          </cell>
          <cell r="W529" t="str">
            <v>[中級] 第3回　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911</v>
          </cell>
          <cell r="AD529">
            <v>6</v>
          </cell>
          <cell r="AE529" t="str">
            <v>singleonly</v>
          </cell>
        </row>
        <row r="530">
          <cell r="A530" t="str">
            <v>60003_3</v>
          </cell>
          <cell r="B530">
            <v>1</v>
          </cell>
          <cell r="C530">
            <v>60003</v>
          </cell>
          <cell r="D530" t="str">
            <v>ヘンペルチャレンジ</v>
          </cell>
          <cell r="E530" t="str">
            <v>ランキング1</v>
          </cell>
          <cell r="F530">
            <v>3</v>
          </cell>
          <cell r="G530" t="str">
            <v>ja</v>
          </cell>
          <cell r="H530" t="str">
            <v>[ウィザード] 第3回　</v>
          </cell>
          <cell r="I530" t="str">
            <v>ランキング</v>
          </cell>
          <cell r="J530">
            <v>488</v>
          </cell>
          <cell r="K530">
            <v>5</v>
          </cell>
          <cell r="L530">
            <v>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>
            <v>60003</v>
          </cell>
          <cell r="V530">
            <v>2</v>
          </cell>
          <cell r="W530" t="str">
            <v>[超級] 第3回　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911</v>
          </cell>
          <cell r="AD530">
            <v>6</v>
          </cell>
          <cell r="AE530" t="str">
            <v>singleonly</v>
          </cell>
        </row>
        <row r="531">
          <cell r="A531" t="str">
            <v>60004_1</v>
          </cell>
          <cell r="B531">
            <v>1</v>
          </cell>
          <cell r="C531">
            <v>60004</v>
          </cell>
          <cell r="D531" t="str">
            <v>ヘンペルチャレンジ</v>
          </cell>
          <cell r="E531" t="str">
            <v>ランキング1</v>
          </cell>
          <cell r="F531">
            <v>1</v>
          </cell>
          <cell r="G531" t="str">
            <v>ja</v>
          </cell>
          <cell r="H531" t="str">
            <v>[ウィザード] 第4回　</v>
          </cell>
          <cell r="I531" t="str">
            <v>ランキング</v>
          </cell>
          <cell r="J531">
            <v>488</v>
          </cell>
          <cell r="K531">
            <v>5</v>
          </cell>
          <cell r="L531">
            <v>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none</v>
          </cell>
          <cell r="T531">
            <v>0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911</v>
          </cell>
          <cell r="AD531">
            <v>6</v>
          </cell>
          <cell r="AE531" t="str">
            <v>singleonly</v>
          </cell>
        </row>
        <row r="532">
          <cell r="A532" t="str">
            <v>60005_1</v>
          </cell>
          <cell r="B532">
            <v>1</v>
          </cell>
          <cell r="C532">
            <v>60005</v>
          </cell>
          <cell r="D532" t="str">
            <v>オイラーチャレンジ</v>
          </cell>
          <cell r="E532" t="str">
            <v>ランキング1</v>
          </cell>
          <cell r="F532">
            <v>1</v>
          </cell>
          <cell r="G532" t="str">
            <v>ja</v>
          </cell>
          <cell r="H532" t="str">
            <v>[ウィザード] 第5回　</v>
          </cell>
          <cell r="I532" t="str">
            <v>ランキング</v>
          </cell>
          <cell r="J532">
            <v>379</v>
          </cell>
          <cell r="K532">
            <v>5</v>
          </cell>
          <cell r="L532">
            <v>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923</v>
          </cell>
          <cell r="AD532">
            <v>6</v>
          </cell>
          <cell r="AE532" t="str">
            <v>singleonly</v>
          </cell>
        </row>
        <row r="533">
          <cell r="A533" t="str">
            <v>60006_1</v>
          </cell>
          <cell r="B533">
            <v>1</v>
          </cell>
          <cell r="C533">
            <v>60006</v>
          </cell>
          <cell r="D533" t="str">
            <v>オイラーチャレンジ</v>
          </cell>
          <cell r="E533" t="str">
            <v>ランキング1（本番実装用）</v>
          </cell>
          <cell r="F533">
            <v>1</v>
          </cell>
          <cell r="G533" t="str">
            <v>ja</v>
          </cell>
          <cell r="H533" t="str">
            <v>【中級】オイラーチャレンジ</v>
          </cell>
          <cell r="I533" t="str">
            <v>中級</v>
          </cell>
          <cell r="J533">
            <v>378</v>
          </cell>
          <cell r="K533">
            <v>15</v>
          </cell>
          <cell r="L533">
            <v>1200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923</v>
          </cell>
          <cell r="AD533">
            <v>6</v>
          </cell>
          <cell r="AE533" t="str">
            <v>singleonly</v>
          </cell>
        </row>
        <row r="534">
          <cell r="A534" t="str">
            <v>60006_2</v>
          </cell>
          <cell r="B534">
            <v>1</v>
          </cell>
          <cell r="C534">
            <v>60006</v>
          </cell>
          <cell r="D534" t="str">
            <v>オイラーチャレンジ</v>
          </cell>
          <cell r="E534" t="str">
            <v>ランキング1（本番実装用）</v>
          </cell>
          <cell r="F534">
            <v>2</v>
          </cell>
          <cell r="G534" t="str">
            <v>ja</v>
          </cell>
          <cell r="H534" t="str">
            <v>【超級】オイラーチャレンジ</v>
          </cell>
          <cell r="I534" t="str">
            <v>超級</v>
          </cell>
          <cell r="J534">
            <v>378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none</v>
          </cell>
          <cell r="T534">
            <v>0</v>
          </cell>
          <cell r="U534">
            <v>60006</v>
          </cell>
          <cell r="V534">
            <v>1</v>
          </cell>
          <cell r="W534" t="str">
            <v>【中級】オイラーチャレンジ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923</v>
          </cell>
          <cell r="AD534">
            <v>6</v>
          </cell>
          <cell r="AE534" t="str">
            <v>singleonly</v>
          </cell>
        </row>
        <row r="535">
          <cell r="A535" t="str">
            <v>60006_3</v>
          </cell>
          <cell r="B535">
            <v>1</v>
          </cell>
          <cell r="C535">
            <v>60006</v>
          </cell>
          <cell r="D535" t="str">
            <v>オイラーチャレンジ</v>
          </cell>
          <cell r="E535" t="str">
            <v>ランキング1（本番実装用）</v>
          </cell>
          <cell r="F535">
            <v>3</v>
          </cell>
          <cell r="G535" t="str">
            <v>ja</v>
          </cell>
          <cell r="H535" t="str">
            <v>【ウィザード級】オイラーチャレンジ</v>
          </cell>
          <cell r="I535" t="str">
            <v>ウィザード級</v>
          </cell>
          <cell r="J535">
            <v>379</v>
          </cell>
          <cell r="K535">
            <v>35</v>
          </cell>
          <cell r="L535">
            <v>4200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>
            <v>60006</v>
          </cell>
          <cell r="V535">
            <v>2</v>
          </cell>
          <cell r="W535" t="str">
            <v>【超級】オイラーチャレンジ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923</v>
          </cell>
          <cell r="AD535">
            <v>6</v>
          </cell>
          <cell r="AE535" t="str">
            <v>singleonly</v>
          </cell>
        </row>
        <row r="536">
          <cell r="A536" t="str">
            <v>65535_1</v>
          </cell>
          <cell r="B536">
            <v>1</v>
          </cell>
          <cell r="C536">
            <v>65535</v>
          </cell>
          <cell r="D536" t="str">
            <v>検証クエスト</v>
          </cell>
          <cell r="E536" t="str">
            <v>検証</v>
          </cell>
          <cell r="F536">
            <v>1</v>
          </cell>
          <cell r="G536" t="str">
            <v>ja</v>
          </cell>
          <cell r="H536" t="str">
            <v>テンプレート</v>
          </cell>
          <cell r="I536" t="str">
            <v>検証</v>
          </cell>
          <cell r="J536" t="str">
            <v>NULL</v>
          </cell>
          <cell r="K536">
            <v>1</v>
          </cell>
          <cell r="L536">
            <v>1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903</v>
          </cell>
          <cell r="AD536">
            <v>6</v>
          </cell>
          <cell r="AE536" t="str">
            <v>everyone</v>
          </cell>
        </row>
        <row r="537">
          <cell r="A537" t="str">
            <v>65535_2</v>
          </cell>
          <cell r="B537">
            <v>1</v>
          </cell>
          <cell r="C537">
            <v>65535</v>
          </cell>
          <cell r="D537" t="str">
            <v>検証クエスト</v>
          </cell>
          <cell r="E537" t="str">
            <v>検証</v>
          </cell>
          <cell r="F537">
            <v>2</v>
          </cell>
          <cell r="G537" t="str">
            <v>ja</v>
          </cell>
          <cell r="H537" t="str">
            <v>ランクアップクエスト</v>
          </cell>
          <cell r="I537" t="str">
            <v>検証</v>
          </cell>
          <cell r="J537" t="str">
            <v>NULL</v>
          </cell>
          <cell r="K537">
            <v>1</v>
          </cell>
          <cell r="L537">
            <v>65535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none</v>
          </cell>
          <cell r="T537">
            <v>0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903</v>
          </cell>
          <cell r="AD537">
            <v>6</v>
          </cell>
          <cell r="AE537" t="str">
            <v>everyone</v>
          </cell>
        </row>
        <row r="538">
          <cell r="A538" t="str">
            <v>65535_3</v>
          </cell>
          <cell r="B538">
            <v>1</v>
          </cell>
          <cell r="C538">
            <v>65535</v>
          </cell>
          <cell r="D538" t="str">
            <v>検証クエスト</v>
          </cell>
          <cell r="E538" t="str">
            <v>検証</v>
          </cell>
          <cell r="F538">
            <v>3</v>
          </cell>
          <cell r="G538" t="str">
            <v>ja</v>
          </cell>
          <cell r="H538" t="str">
            <v>サンドボックス</v>
          </cell>
          <cell r="I538" t="str">
            <v>検証</v>
          </cell>
          <cell r="J538" t="str">
            <v>NULL</v>
          </cell>
          <cell r="K538">
            <v>1</v>
          </cell>
          <cell r="L538">
            <v>1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105</v>
          </cell>
          <cell r="AD538">
            <v>6</v>
          </cell>
          <cell r="AE538" t="str">
            <v>everyone</v>
          </cell>
        </row>
        <row r="539">
          <cell r="A539" t="str">
            <v>60021_3</v>
          </cell>
          <cell r="B539">
            <v>1</v>
          </cell>
          <cell r="C539">
            <v>60021</v>
          </cell>
          <cell r="D539" t="str">
            <v>【月曜限定】 黄の素材verハンプ検証</v>
          </cell>
          <cell r="E539" t="str">
            <v>検証</v>
          </cell>
          <cell r="F539">
            <v>3</v>
          </cell>
          <cell r="G539" t="str">
            <v>ja</v>
          </cell>
          <cell r="H539" t="str">
            <v>【上級】ハンプティ検証</v>
          </cell>
          <cell r="I539" t="str">
            <v>上級</v>
          </cell>
          <cell r="J539">
            <v>84</v>
          </cell>
          <cell r="K539">
            <v>20</v>
          </cell>
          <cell r="L539">
            <v>860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101</v>
          </cell>
          <cell r="AD539">
            <v>6</v>
          </cell>
          <cell r="AE539" t="str">
            <v>everyone</v>
          </cell>
        </row>
        <row r="540">
          <cell r="A540" t="str">
            <v>60022_3</v>
          </cell>
          <cell r="B540">
            <v>1</v>
          </cell>
          <cell r="C540">
            <v>60022</v>
          </cell>
          <cell r="D540" t="str">
            <v>【火曜限定】 赤の素材verハンプ検証</v>
          </cell>
          <cell r="E540" t="str">
            <v>検証</v>
          </cell>
          <cell r="F540">
            <v>3</v>
          </cell>
          <cell r="G540" t="str">
            <v>ja</v>
          </cell>
          <cell r="H540" t="str">
            <v>【上級】ハンプティ検証</v>
          </cell>
          <cell r="I540" t="str">
            <v>上級</v>
          </cell>
          <cell r="J540">
            <v>84</v>
          </cell>
          <cell r="K540">
            <v>20</v>
          </cell>
          <cell r="L540">
            <v>860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none</v>
          </cell>
          <cell r="T540">
            <v>0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101</v>
          </cell>
          <cell r="AD540">
            <v>6</v>
          </cell>
          <cell r="AE540" t="str">
            <v>everyone</v>
          </cell>
        </row>
        <row r="541">
          <cell r="A541" t="str">
            <v>60023_3</v>
          </cell>
          <cell r="B541">
            <v>1</v>
          </cell>
          <cell r="C541">
            <v>60023</v>
          </cell>
          <cell r="D541" t="str">
            <v>【水曜限定】 青の素材verハンプ検証</v>
          </cell>
          <cell r="E541" t="str">
            <v>検証</v>
          </cell>
          <cell r="F541">
            <v>3</v>
          </cell>
          <cell r="G541" t="str">
            <v>ja</v>
          </cell>
          <cell r="H541" t="str">
            <v>【上級】ハンプティ検証</v>
          </cell>
          <cell r="I541" t="str">
            <v>上級</v>
          </cell>
          <cell r="J541">
            <v>84</v>
          </cell>
          <cell r="K541">
            <v>20</v>
          </cell>
          <cell r="L541">
            <v>860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101</v>
          </cell>
          <cell r="AD541">
            <v>6</v>
          </cell>
          <cell r="AE541" t="str">
            <v>everyone</v>
          </cell>
        </row>
        <row r="542">
          <cell r="A542" t="str">
            <v>60024_3</v>
          </cell>
          <cell r="B542">
            <v>1</v>
          </cell>
          <cell r="C542">
            <v>60024</v>
          </cell>
          <cell r="D542" t="str">
            <v>【木曜限定】 緑の素材verハンプ検証</v>
          </cell>
          <cell r="E542" t="str">
            <v>検証</v>
          </cell>
          <cell r="F542">
            <v>3</v>
          </cell>
          <cell r="G542" t="str">
            <v>ja</v>
          </cell>
          <cell r="H542" t="str">
            <v>【上級】ハンプティ検証</v>
          </cell>
          <cell r="I542" t="str">
            <v>上級</v>
          </cell>
          <cell r="J542">
            <v>84</v>
          </cell>
          <cell r="K542">
            <v>20</v>
          </cell>
          <cell r="L542">
            <v>860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101</v>
          </cell>
          <cell r="AD542">
            <v>6</v>
          </cell>
          <cell r="AE542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1040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tabSelected="1"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364</v>
      </c>
      <c r="B2" s="56" t="s">
        <v>105</v>
      </c>
      <c r="C2" s="95">
        <v>49003</v>
      </c>
      <c r="D2" s="56" t="s">
        <v>106</v>
      </c>
      <c r="E2" s="55" t="str">
        <f>B2&amp;C2&amp;D2</f>
        <v>floors_49003.tmp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364</v>
      </c>
      <c r="B3" s="56" t="s">
        <v>108</v>
      </c>
      <c r="C3" s="95">
        <v>49003</v>
      </c>
      <c r="D3" s="56" t="s">
        <v>106</v>
      </c>
      <c r="E3" s="55" t="str">
        <f>B3&amp;C3&amp;D3</f>
        <v>enemy_habitats_49003.tmp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60" t="s">
        <v>364</v>
      </c>
      <c r="B4" s="56" t="s">
        <v>110</v>
      </c>
      <c r="C4" s="95">
        <v>49003</v>
      </c>
      <c r="D4" s="56" t="s">
        <v>106</v>
      </c>
      <c r="E4" s="55" t="str">
        <f>B4&amp;C4&amp;D4</f>
        <v>enemy_habitat_S_49003.tmp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364</v>
      </c>
      <c r="B5" s="56" t="s">
        <v>112</v>
      </c>
      <c r="C5" s="95">
        <v>49003</v>
      </c>
      <c r="D5" s="56" t="s">
        <v>106</v>
      </c>
      <c r="E5" s="55" t="str">
        <f>B5&amp;C5&amp;D5</f>
        <v>enemy_skill_sets_49003.tmp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364</v>
      </c>
      <c r="B6" s="56" t="s">
        <v>114</v>
      </c>
      <c r="C6" s="95">
        <v>49003</v>
      </c>
      <c r="D6" s="56" t="s">
        <v>115</v>
      </c>
      <c r="E6" s="55" t="str">
        <f t="shared" ref="E6:E10" si="0">B6&amp;C6&amp;D6</f>
        <v>enemy_skills_tmp_49003.tmp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364</v>
      </c>
      <c r="B7" s="56" t="s">
        <v>116</v>
      </c>
      <c r="C7" s="95">
        <v>49003</v>
      </c>
      <c r="D7" s="56" t="s">
        <v>106</v>
      </c>
      <c r="E7" s="55" t="str">
        <f>B7&amp;C7&amp;D7</f>
        <v>enemy_skills_i18n_49003.tmp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364</v>
      </c>
      <c r="B8" s="56" t="s">
        <v>118</v>
      </c>
      <c r="C8" s="95">
        <v>49003</v>
      </c>
      <c r="D8" s="56" t="s">
        <v>119</v>
      </c>
      <c r="E8" s="55" t="str">
        <f t="shared" si="0"/>
        <v>enemy_skill_triggers_49003.tmp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364</v>
      </c>
      <c r="B9" s="65" t="s">
        <v>176</v>
      </c>
      <c r="C9" s="95">
        <v>49003</v>
      </c>
      <c r="D9" s="65" t="s">
        <v>170</v>
      </c>
      <c r="E9" s="66" t="str">
        <f t="shared" si="0"/>
        <v>stage_bug_bonuses_49003.tmp</v>
      </c>
      <c r="F9" s="65" t="s">
        <v>171</v>
      </c>
      <c r="G9" s="62" t="s">
        <v>149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</row>
    <row r="10" spans="1:30" s="73" customFormat="1" x14ac:dyDescent="0.15">
      <c r="A10" s="60" t="s">
        <v>212</v>
      </c>
      <c r="B10" s="65" t="s">
        <v>200</v>
      </c>
      <c r="C10" s="95">
        <v>49003</v>
      </c>
      <c r="D10" s="65" t="s">
        <v>179</v>
      </c>
      <c r="E10" s="66" t="str">
        <f t="shared" si="0"/>
        <v>stage_hints_data_c_49003.tmp</v>
      </c>
      <c r="F10" s="65" t="s">
        <v>208</v>
      </c>
      <c r="G10" s="70" t="s">
        <v>180</v>
      </c>
      <c r="H10" s="70" t="s">
        <v>172</v>
      </c>
      <c r="I10" s="71" t="s">
        <v>181</v>
      </c>
      <c r="J10" s="64" t="s">
        <v>182</v>
      </c>
      <c r="K10" s="72" t="s">
        <v>183</v>
      </c>
    </row>
    <row r="11" spans="1:30" s="73" customFormat="1" x14ac:dyDescent="0.15">
      <c r="A11" s="60" t="s">
        <v>212</v>
      </c>
      <c r="B11" s="65" t="s">
        <v>201</v>
      </c>
      <c r="C11" s="95">
        <v>49003</v>
      </c>
      <c r="D11" s="65" t="s">
        <v>170</v>
      </c>
      <c r="E11" s="66" t="str">
        <f t="shared" ref="E11:E12" si="1">B11&amp;C11&amp;D11</f>
        <v>stage_hints_data_f_49003.tmp</v>
      </c>
      <c r="F11" s="65" t="s">
        <v>210</v>
      </c>
      <c r="G11" s="70" t="s">
        <v>180</v>
      </c>
      <c r="H11" s="70" t="s">
        <v>172</v>
      </c>
      <c r="I11" s="71" t="s">
        <v>181</v>
      </c>
      <c r="J11" s="64" t="s">
        <v>182</v>
      </c>
      <c r="K11" s="72" t="s">
        <v>183</v>
      </c>
    </row>
    <row r="12" spans="1:30" s="73" customFormat="1" x14ac:dyDescent="0.15">
      <c r="A12" s="60" t="s">
        <v>212</v>
      </c>
      <c r="B12" s="65" t="s">
        <v>202</v>
      </c>
      <c r="C12" s="95">
        <v>49003</v>
      </c>
      <c r="D12" s="65" t="s">
        <v>170</v>
      </c>
      <c r="E12" s="66" t="str">
        <f t="shared" si="1"/>
        <v>stage_hints_i18n_49003.tmp</v>
      </c>
      <c r="F12" s="65" t="s">
        <v>211</v>
      </c>
      <c r="G12" s="71" t="s">
        <v>203</v>
      </c>
      <c r="H12" s="93" t="s">
        <v>204</v>
      </c>
      <c r="I12" s="70" t="s">
        <v>205</v>
      </c>
      <c r="J12" s="94" t="s">
        <v>206</v>
      </c>
      <c r="K12" s="72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C5" sqref="C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49003_1-1</v>
      </c>
      <c r="B2" s="16" t="str">
        <f>IF(COUNTIF(enemy_habitats!$H:$H,A2),"OK","NG")</f>
        <v>OK</v>
      </c>
      <c r="C2" s="96">
        <v>49003</v>
      </c>
      <c r="D2" s="11" t="str">
        <f ca="1">VLOOKUP($C2,OFFSET([2]quests!$A$1,0,0,COUNTA([2]quests!$A:$A),MATCH(D$1,[2]quests!$1:$1,0)-MATCH($C$1,[2]quests!$1:$1,0)+1),MATCH(D$1,[2]quests!$1:$1,0)-MATCH($C$1,[2]quests!$1:$1,0)+1,FALSE)</f>
        <v>H襲来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コラボ降臨3</v>
      </c>
      <c r="F2" s="21">
        <v>1</v>
      </c>
      <c r="G2" s="22" t="str">
        <f>C2&amp;"_"&amp;F2</f>
        <v>49003_1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【ウィザード級】デiza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49003_1-2</v>
      </c>
      <c r="B3" s="16" t="str">
        <f>IF(COUNTIF(enemy_habitats!$H:$H,A3),"OK","NG")</f>
        <v>OK</v>
      </c>
      <c r="C3" s="96">
        <v>49003</v>
      </c>
      <c r="D3" s="11" t="str">
        <f ca="1">VLOOKUP($C3,OFFSET([2]quests!$A$1,0,0,COUNTA([2]quests!$A:$A),MATCH(D$1,[2]quests!$1:$1,0)-MATCH($C$1,[2]quests!$1:$1,0)+1),MATCH(D$1,[2]quests!$1:$1,0)-MATCH($C$1,[2]quests!$1:$1,0)+1,FALSE)</f>
        <v>H襲来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コラボ降臨3</v>
      </c>
      <c r="F3" s="21">
        <v>1</v>
      </c>
      <c r="G3" s="22" t="str">
        <f t="shared" ref="G3:G5" si="1">C3&amp;"_"&amp;F3</f>
        <v>49003_1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【ウィザード級】デiza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49003_1-3</v>
      </c>
      <c r="B4" s="16" t="str">
        <f>IF(COUNTIF(enemy_habitats!$H:$H,A4),"OK","NG")</f>
        <v>OK</v>
      </c>
      <c r="C4" s="96">
        <v>49003</v>
      </c>
      <c r="D4" s="11" t="str">
        <f ca="1">VLOOKUP($C4,OFFSET([2]quests!$A$1,0,0,COUNTA([2]quests!$A:$A),MATCH(D$1,[2]quests!$1:$1,0)-MATCH($C$1,[2]quests!$1:$1,0)+1),MATCH(D$1,[2]quests!$1:$1,0)-MATCH($C$1,[2]quests!$1:$1,0)+1,FALSE)</f>
        <v>H襲来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コラボ降臨3</v>
      </c>
      <c r="F4" s="21">
        <v>1</v>
      </c>
      <c r="G4" s="22" t="str">
        <f t="shared" si="1"/>
        <v>49003_1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【ウィザード級】デiza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49003_1-4</v>
      </c>
      <c r="B5" s="16" t="str">
        <f>IF(COUNTIF(enemy_habitats!$H:$H,A5),"OK","NG")</f>
        <v>OK</v>
      </c>
      <c r="C5" s="96">
        <v>49003</v>
      </c>
      <c r="D5" s="11" t="str">
        <f ca="1">VLOOKUP($C5,OFFSET([2]quests!$A$1,0,0,COUNTA([2]quests!$A:$A),MATCH(D$1,[2]quests!$1:$1,0)-MATCH($C$1,[2]quests!$1:$1,0)+1),MATCH(D$1,[2]quests!$1:$1,0)-MATCH($C$1,[2]quests!$1:$1,0)+1,FALSE)</f>
        <v>H襲来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コラボ降臨3</v>
      </c>
      <c r="F5" s="21">
        <v>1</v>
      </c>
      <c r="G5" s="22" t="str">
        <f t="shared" si="1"/>
        <v>49003_1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【ウィザード級】デiza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5"/>
  <sheetViews>
    <sheetView showGridLines="0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B2" sqref="B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178</v>
      </c>
    </row>
    <row r="2" spans="1:40" ht="21" customHeight="1" x14ac:dyDescent="0.15">
      <c r="A2" s="16" t="str">
        <f>B2&amp;"_"&amp;C2&amp;"-"&amp;G2&amp;"/"&amp;L2&amp;"&lt;lv"&amp;R2&amp;"&gt;s"&amp;AA2</f>
        <v>49003_1-1/697&lt;lv75&gt;s1</v>
      </c>
      <c r="B2" s="96">
        <v>49003</v>
      </c>
      <c r="C2" s="21">
        <v>1</v>
      </c>
      <c r="D2" s="2" t="str">
        <f>B2&amp;"_"&amp;C2</f>
        <v>49003_1</v>
      </c>
      <c r="E2" s="4" t="str">
        <f ca="1">VLOOKUP($B2,OFFSET([2]quests!$A$1,0,0,COUNTA([2]quests!$A:$A),MATCH(E$1,[2]quests!$1:$1,0)-MATCH($B$1,[2]quests!$1:$1,0)+1),MATCH(E$1,[2]quests!$1:$1,0)-MATCH($B$1,[2]quests!$1:$1,0)+1,FALSE)</f>
        <v>H襲来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【ウィザード級】デiza</v>
      </c>
      <c r="G2" s="21">
        <v>1</v>
      </c>
      <c r="H2" s="15" t="str">
        <f>B2&amp;"_"&amp;C2&amp;"-"&amp;G2</f>
        <v>49003_1-1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697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黒影の首なしライダー　セルティ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75</v>
      </c>
      <c r="S2" s="24">
        <v>1</v>
      </c>
      <c r="T2" s="24">
        <v>0.6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『静雄、お前なぜ私に向かって来るんだ・・・？』</v>
      </c>
      <c r="W2" s="96">
        <v>49003001</v>
      </c>
      <c r="X2" s="6">
        <v>1</v>
      </c>
      <c r="Y2" s="6">
        <v>100</v>
      </c>
      <c r="Z2" s="6">
        <v>1</v>
      </c>
      <c r="AA2" s="17">
        <v>1</v>
      </c>
      <c r="AB2" s="23">
        <f>L2</f>
        <v>697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黒影の首なしライダー　セルティ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3">
        <f ca="1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 x14ac:dyDescent="0.15">
      <c r="A3" s="16" t="str">
        <f>B3&amp;"_"&amp;C3&amp;"-"&amp;G3&amp;"/"&amp;L3&amp;"&lt;lv"&amp;R3&amp;"&gt;s"&amp;AA3</f>
        <v>49003_1-2/718&lt;lv75&gt;s2</v>
      </c>
      <c r="B3" s="96">
        <v>49003</v>
      </c>
      <c r="C3" s="21">
        <v>1</v>
      </c>
      <c r="D3" s="2" t="str">
        <f>B3&amp;"_"&amp;C3</f>
        <v>49003_1</v>
      </c>
      <c r="E3" s="4" t="str">
        <f ca="1">VLOOKUP($B3,OFFSET([2]quests!$A$1,0,0,COUNTA([2]quests!$A:$A),MATCH(E$1,[2]quests!$1:$1,0)-MATCH($B$1,[2]quests!$1:$1,0)+1),MATCH(E$1,[2]quests!$1:$1,0)-MATCH($B$1,[2]quests!$1:$1,0)+1,FALSE)</f>
        <v>H襲来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【ウィザード級】デiza</v>
      </c>
      <c r="G3" s="21">
        <v>2</v>
      </c>
      <c r="H3" s="15" t="str">
        <f>B3&amp;"_"&amp;C3&amp;"-"&amp;G3</f>
        <v>49003_1-2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20">
        <v>718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ヴァローナ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75</v>
      </c>
      <c r="S3" s="24">
        <v>1.6</v>
      </c>
      <c r="T3" s="24">
        <v>0.7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3" s="96">
        <v>49003002</v>
      </c>
      <c r="X3" s="6">
        <v>1</v>
      </c>
      <c r="Y3" s="6">
        <v>100</v>
      </c>
      <c r="Z3" s="6">
        <v>1</v>
      </c>
      <c r="AA3" s="17">
        <v>2</v>
      </c>
      <c r="AB3" s="23">
        <f>L3</f>
        <v>718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ヴァローナ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3">
        <f ca="1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 x14ac:dyDescent="0.15">
      <c r="A4" s="16" t="str">
        <f>B4&amp;"_"&amp;C4&amp;"-"&amp;G4&amp;"/"&amp;L4&amp;"&lt;lv"&amp;R4&amp;"&gt;s"&amp;AA4</f>
        <v>49003_1-3/702&lt;lv75&gt;s2</v>
      </c>
      <c r="B4" s="96">
        <v>49003</v>
      </c>
      <c r="C4" s="21">
        <v>1</v>
      </c>
      <c r="D4" s="2" t="str">
        <f>B4&amp;"_"&amp;C4</f>
        <v>49003_1</v>
      </c>
      <c r="E4" s="4" t="str">
        <f ca="1">VLOOKUP($B4,OFFSET([2]quests!$A$1,0,0,COUNTA([2]quests!$A:$A),MATCH(E$1,[2]quests!$1:$1,0)-MATCH($B$1,[2]quests!$1:$1,0)+1),MATCH(E$1,[2]quests!$1:$1,0)-MATCH($B$1,[2]quests!$1:$1,0)+1,FALSE)</f>
        <v>H襲来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【ウィザード級】デiza</v>
      </c>
      <c r="G4" s="21">
        <v>3</v>
      </c>
      <c r="H4" s="15" t="str">
        <f>B4&amp;"_"&amp;C4&amp;"-"&amp;G4</f>
        <v>49003_1-3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20">
        <v>702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サイモン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75</v>
      </c>
      <c r="S4" s="24">
        <v>1.6</v>
      </c>
      <c r="T4" s="24">
        <v>0.6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1ターン攻撃力0＋ハートパネル生成</v>
      </c>
      <c r="W4" s="96">
        <v>49003004</v>
      </c>
      <c r="X4" s="6">
        <v>1</v>
      </c>
      <c r="Y4" s="6">
        <v>100</v>
      </c>
      <c r="Z4" s="6">
        <v>1</v>
      </c>
      <c r="AA4" s="17">
        <v>2</v>
      </c>
      <c r="AB4" s="23">
        <f>L4</f>
        <v>702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サイモン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3">
        <f ca="1">AD4</f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 x14ac:dyDescent="0.15">
      <c r="A5" s="16" t="str">
        <f>B5&amp;"_"&amp;C5&amp;"-"&amp;G5&amp;"/"&amp;L5&amp;"&lt;lv"&amp;R5&amp;"&gt;s"&amp;AA5</f>
        <v>49003_1-4/700&lt;lv75&gt;s1</v>
      </c>
      <c r="B5" s="96">
        <v>49003</v>
      </c>
      <c r="C5" s="21">
        <v>1</v>
      </c>
      <c r="D5" s="2" t="str">
        <f>B5&amp;"_"&amp;C5</f>
        <v>49003_1</v>
      </c>
      <c r="E5" s="4" t="str">
        <f ca="1">VLOOKUP($B5,OFFSET([2]quests!$A$1,0,0,COUNTA([2]quests!$A:$A),MATCH(E$1,[2]quests!$1:$1,0)-MATCH($B$1,[2]quests!$1:$1,0)+1),MATCH(E$1,[2]quests!$1:$1,0)-MATCH($B$1,[2]quests!$1:$1,0)+1,FALSE)</f>
        <v>H襲来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【ウィザード級】デiza</v>
      </c>
      <c r="G5" s="21">
        <v>4</v>
      </c>
      <c r="H5" s="15" t="str">
        <f>B5&amp;"_"&amp;C5&amp;"-"&amp;G5</f>
        <v>49003_1-4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20">
        <v>700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折原臨也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75</v>
      </c>
      <c r="S5" s="24">
        <v>1.6</v>
      </c>
      <c r="T5" s="24">
        <v>0.6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種族ヒューマン以外に大ダメージ！</v>
      </c>
      <c r="W5" s="96">
        <v>49003006</v>
      </c>
      <c r="X5" s="6">
        <v>1</v>
      </c>
      <c r="Y5" s="6">
        <v>100</v>
      </c>
      <c r="Z5" s="6">
        <v>1</v>
      </c>
      <c r="AA5" s="17">
        <v>1</v>
      </c>
      <c r="AB5" s="23">
        <f>L5</f>
        <v>700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折原臨也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" s="7">
        <v>1</v>
      </c>
      <c r="AG5" s="23">
        <f ca="1">AD5</f>
        <v>5</v>
      </c>
      <c r="AH5" s="8">
        <v>30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16" sqref="Q1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128</v>
      </c>
      <c r="X1" s="28" t="s">
        <v>127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49003_1-2/719&lt;lv75&gt;sq1st2</v>
      </c>
      <c r="B2" s="96">
        <v>49003</v>
      </c>
      <c r="C2" s="21">
        <v>1</v>
      </c>
      <c r="D2" s="2" t="str">
        <f>B2&amp;"_"&amp;C2</f>
        <v>49003_1</v>
      </c>
      <c r="E2" s="4" t="str">
        <f ca="1">VLOOKUP($B2,OFFSET([2]quests!$A$1,0,0,COUNTA([2]quests!$A:$A),MATCH(E$1,[2]quests!$1:$1,0)-MATCH($B$1,[2]quests!$1:$1,0)+1),MATCH(E$1,[2]quests!$1:$1,0)-MATCH($B$1,[2]quests!$1:$1,0)+1,FALSE)</f>
        <v>H襲来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【ウィザード級】デiza</v>
      </c>
      <c r="G2" s="21">
        <v>2</v>
      </c>
      <c r="H2" s="15" t="str">
        <f>B2&amp;"_"&amp;C2&amp;"-"&amp;G2</f>
        <v>49003_1-2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719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聡明な戦狂女　ヴァローナ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75</v>
      </c>
      <c r="T2" s="24">
        <v>1.2</v>
      </c>
      <c r="U2" s="24">
        <v>0.7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6">
        <v>49003003</v>
      </c>
      <c r="Y2" s="68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49003_1-3/703&lt;lv75&gt;sq2st2</v>
      </c>
      <c r="B3" s="96">
        <v>49003</v>
      </c>
      <c r="C3" s="21">
        <v>1</v>
      </c>
      <c r="D3" s="2" t="str">
        <f t="shared" ref="D3:D4" si="1">B3&amp;"_"&amp;C3</f>
        <v>49003_1</v>
      </c>
      <c r="E3" s="4" t="str">
        <f ca="1">VLOOKUP($B3,OFFSET([2]quests!$A$1,0,0,COUNTA([2]quests!$A:$A),MATCH(E$1,[2]quests!$1:$1,0)-MATCH($B$1,[2]quests!$1:$1,0)+1),MATCH(E$1,[2]quests!$1:$1,0)-MATCH($B$1,[2]quests!$1:$1,0)+1,FALSE)</f>
        <v>H襲来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【ウィザード級】デiza</v>
      </c>
      <c r="G3" s="21">
        <v>3</v>
      </c>
      <c r="H3" s="15" t="str">
        <f t="shared" ref="H3:H4" si="2">B3&amp;"_"&amp;C3&amp;"-"&amp;G3</f>
        <v>49003_1-3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703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豪腕静穏な寿司屋　サイモン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75</v>
      </c>
      <c r="T3" s="24">
        <v>1.6</v>
      </c>
      <c r="U3" s="24">
        <v>0.7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96">
        <v>49003005</v>
      </c>
      <c r="Y3" s="68">
        <v>1</v>
      </c>
    </row>
    <row r="4" spans="1:25" ht="21" customHeight="1" x14ac:dyDescent="0.15">
      <c r="A4" s="16" t="str">
        <f t="shared" si="0"/>
        <v>49003_1-4/701&lt;lv75&gt;sq3st2</v>
      </c>
      <c r="B4" s="96">
        <v>49003</v>
      </c>
      <c r="C4" s="21">
        <v>1</v>
      </c>
      <c r="D4" s="2" t="str">
        <f t="shared" si="1"/>
        <v>49003_1</v>
      </c>
      <c r="E4" s="4" t="str">
        <f ca="1">VLOOKUP($B4,OFFSET([2]quests!$A$1,0,0,COUNTA([2]quests!$A:$A),MATCH(E$1,[2]quests!$1:$1,0)-MATCH($B$1,[2]quests!$1:$1,0)+1),MATCH(E$1,[2]quests!$1:$1,0)-MATCH($B$1,[2]quests!$1:$1,0)+1,FALSE)</f>
        <v>H襲来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【ウィザード級】デiza</v>
      </c>
      <c r="G4" s="21">
        <v>4</v>
      </c>
      <c r="H4" s="15" t="str">
        <f t="shared" si="2"/>
        <v>49003_1-4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20">
        <v>701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謀略の情報屋 折原臨也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75</v>
      </c>
      <c r="T4" s="24">
        <v>2.4</v>
      </c>
      <c r="U4" s="24">
        <v>0.6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96">
        <v>49003007</v>
      </c>
      <c r="Y4" s="68">
        <v>2</v>
      </c>
    </row>
    <row r="5" spans="1:25" ht="21" customHeight="1" x14ac:dyDescent="0.15">
      <c r="A5" s="16" t="str">
        <f t="shared" ref="A5" si="3">B5&amp;"_"&amp;C5&amp;"-"&amp;G5&amp;"/"&amp;M5&amp;"&lt;lv"&amp;S5&amp;"&gt;sq"&amp;K5&amp;"st"&amp;L5</f>
        <v>49003_1-4/701&lt;lv75&gt;sq3st3</v>
      </c>
      <c r="B5" s="96">
        <v>49003</v>
      </c>
      <c r="C5" s="21">
        <v>1</v>
      </c>
      <c r="D5" s="2" t="str">
        <f t="shared" ref="D5" si="4">B5&amp;"_"&amp;C5</f>
        <v>49003_1</v>
      </c>
      <c r="E5" s="4" t="str">
        <f ca="1">VLOOKUP($B5,OFFSET([2]quests!$A$1,0,0,COUNTA([2]quests!$A:$A),MATCH(E$1,[2]quests!$1:$1,0)-MATCH($B$1,[2]quests!$1:$1,0)+1),MATCH(E$1,[2]quests!$1:$1,0)-MATCH($B$1,[2]quests!$1:$1,0)+1,FALSE)</f>
        <v>H襲来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【ウィザード級】デiza</v>
      </c>
      <c r="G5" s="21">
        <v>4</v>
      </c>
      <c r="H5" s="15" t="str">
        <f t="shared" ref="H5" si="5">B5&amp;"_"&amp;C5&amp;"-"&amp;G5</f>
        <v>49003_1-4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3</v>
      </c>
      <c r="M5" s="20">
        <v>701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謀略の情報屋 折原臨也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75</v>
      </c>
      <c r="T5" s="24">
        <v>2.2000000000000002</v>
      </c>
      <c r="U5" s="24">
        <v>0.6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96">
        <v>49003008</v>
      </c>
      <c r="Y5" s="68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4"/>
  <sheetViews>
    <sheetView showGridLines="0" workbookViewId="0">
      <pane xSplit="5" ySplit="1" topLeftCell="F22" activePane="bottomRight" state="frozen"/>
      <selection pane="topRight"/>
      <selection pane="bottomLeft"/>
      <selection pane="bottomRight" activeCell="F39" sqref="F39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10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49003001_49003050</v>
      </c>
      <c r="B2" s="96">
        <v>49003001</v>
      </c>
      <c r="C2" s="96">
        <v>49003050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2" s="96">
        <v>49003050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 t="s">
        <v>259</v>
      </c>
      <c r="Q2" s="114">
        <v>42454</v>
      </c>
      <c r="R2" s="46"/>
    </row>
    <row r="3" spans="1:18" ht="21" customHeight="1" x14ac:dyDescent="0.15">
      <c r="A3" s="38" t="str">
        <f t="shared" ref="A3" si="1">B3&amp;"_"&amp;C3</f>
        <v>49003001_49003050</v>
      </c>
      <c r="B3" s="96">
        <v>49003001</v>
      </c>
      <c r="C3" s="96">
        <v>49003050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3" s="96">
        <v>49003051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104</v>
      </c>
      <c r="P3" s="46" t="s">
        <v>259</v>
      </c>
      <c r="Q3" s="114">
        <v>42454</v>
      </c>
      <c r="R3" s="46"/>
    </row>
    <row r="4" spans="1:18" ht="21" customHeight="1" x14ac:dyDescent="0.15">
      <c r="A4" s="38" t="str">
        <f t="shared" ref="A4" si="2">B4&amp;"_"&amp;C4</f>
        <v>49003001_49003001</v>
      </c>
      <c r="B4" s="96">
        <v>49003001</v>
      </c>
      <c r="C4" s="96">
        <v>49003001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4" s="96">
        <v>49003001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 t="s">
        <v>259</v>
      </c>
      <c r="Q4" s="114">
        <v>42454</v>
      </c>
      <c r="R4" s="46"/>
    </row>
    <row r="5" spans="1:18" ht="21" customHeight="1" x14ac:dyDescent="0.15">
      <c r="A5" s="38" t="str">
        <f t="shared" ref="A5:A53" si="3">B5&amp;"_"&amp;C5</f>
        <v>49003001_49003002</v>
      </c>
      <c r="B5" s="96">
        <v>49003001</v>
      </c>
      <c r="C5" s="96">
        <v>49003002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『お前の心臓を縛ってやる。』</v>
      </c>
      <c r="F5" s="96">
        <v>49003002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 t="s">
        <v>259</v>
      </c>
      <c r="Q5" s="114">
        <v>42454</v>
      </c>
      <c r="R5" s="46"/>
    </row>
    <row r="6" spans="1:18" ht="21" customHeight="1" x14ac:dyDescent="0.15">
      <c r="A6" s="38" t="str">
        <f t="shared" si="3"/>
        <v>49003001_49003003</v>
      </c>
      <c r="B6" s="96">
        <v>49003001</v>
      </c>
      <c r="C6" s="96">
        <v>49003003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『この赤を縛ってやろう。』</v>
      </c>
      <c r="F6" s="96">
        <v>49003003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 t="s">
        <v>259</v>
      </c>
      <c r="Q6" s="114">
        <v>42454</v>
      </c>
      <c r="R6" s="46"/>
    </row>
    <row r="7" spans="1:18" ht="21" customHeight="1" x14ac:dyDescent="0.15">
      <c r="A7" s="38" t="str">
        <f t="shared" si="3"/>
        <v>49003001_49003005</v>
      </c>
      <c r="B7" s="96">
        <v>49003001</v>
      </c>
      <c r="C7" s="96">
        <v>49003005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『緑はいらないだろ？』</v>
      </c>
      <c r="F7" s="96">
        <v>49003005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 t="s">
        <v>259</v>
      </c>
      <c r="Q7" s="114">
        <v>42454</v>
      </c>
      <c r="R7" s="46"/>
    </row>
    <row r="8" spans="1:18" ht="21" customHeight="1" x14ac:dyDescent="0.15">
      <c r="A8" s="38" t="str">
        <f t="shared" si="3"/>
        <v>49003001_49003007</v>
      </c>
      <c r="B8" s="96">
        <v>49003001</v>
      </c>
      <c r="C8" s="96">
        <v>49003007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『この鎌で全員裂いてやる！』</v>
      </c>
      <c r="F8" s="96">
        <v>49003007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 t="s">
        <v>259</v>
      </c>
      <c r="Q8" s="114">
        <v>42454</v>
      </c>
      <c r="R8" s="46"/>
    </row>
    <row r="9" spans="1:18" ht="21" customHeight="1" x14ac:dyDescent="0.15">
      <c r="A9" s="38" t="str">
        <f t="shared" si="3"/>
        <v>49003001_49003008</v>
      </c>
      <c r="B9" s="96">
        <v>49003001</v>
      </c>
      <c r="C9" s="96">
        <v>49003008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『お前だ。』</v>
      </c>
      <c r="F9" s="96">
        <v>49003008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6" t="s">
        <v>259</v>
      </c>
      <c r="Q9" s="114">
        <v>42454</v>
      </c>
      <c r="R9" s="46"/>
    </row>
    <row r="10" spans="1:18" s="128" customFormat="1" ht="21" customHeight="1" thickBot="1" x14ac:dyDescent="0.2">
      <c r="A10" s="120" t="str">
        <f t="shared" si="3"/>
        <v>49003001_49003009</v>
      </c>
      <c r="B10" s="121">
        <v>49003001</v>
      </c>
      <c r="C10" s="121">
        <v>49003009</v>
      </c>
      <c r="D10" s="12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10" s="12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『私の影に呑まれろ。』</v>
      </c>
      <c r="F10" s="121">
        <v>49003009</v>
      </c>
      <c r="G10" s="12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25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0" s="12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12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2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2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25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12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2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126" t="s">
        <v>259</v>
      </c>
      <c r="Q10" s="127">
        <v>42454</v>
      </c>
      <c r="R10" s="126"/>
    </row>
    <row r="11" spans="1:18" ht="21" customHeight="1" thickTop="1" x14ac:dyDescent="0.15">
      <c r="A11" s="38" t="str">
        <f t="shared" si="3"/>
        <v>49003002_49003051</v>
      </c>
      <c r="B11" s="104">
        <v>49003002</v>
      </c>
      <c r="C11" s="104">
        <v>49003051</v>
      </c>
      <c r="D11" s="117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先輩、私をもっと強くしてください。</v>
      </c>
      <c r="E11" s="117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1" s="96">
        <v>49003050</v>
      </c>
      <c r="G11" s="11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11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11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0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0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05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10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05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11" s="10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18" t="s">
        <v>259</v>
      </c>
      <c r="Q11" s="119">
        <v>42454</v>
      </c>
      <c r="R11" s="118"/>
    </row>
    <row r="12" spans="1:18" ht="21" customHeight="1" x14ac:dyDescent="0.15">
      <c r="A12" s="38" t="str">
        <f t="shared" ref="A12" si="4">B12&amp;"_"&amp;C12</f>
        <v>49003002_49003051</v>
      </c>
      <c r="B12" s="104">
        <v>49003002</v>
      </c>
      <c r="C12" s="104">
        <v>49003051</v>
      </c>
      <c r="D12" s="117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先輩、私をもっと強くしてください。</v>
      </c>
      <c r="E12" s="117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2" s="96">
        <v>49003051</v>
      </c>
      <c r="G12" s="11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11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11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0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0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0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0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05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12" s="10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104</v>
      </c>
      <c r="P12" s="118" t="s">
        <v>259</v>
      </c>
      <c r="Q12" s="119">
        <v>42454</v>
      </c>
      <c r="R12" s="118"/>
    </row>
    <row r="13" spans="1:18" ht="21" customHeight="1" thickBot="1" x14ac:dyDescent="0.2">
      <c r="A13" s="38" t="str">
        <f t="shared" si="3"/>
        <v>49003002_49003010</v>
      </c>
      <c r="B13" s="104">
        <v>49003002</v>
      </c>
      <c r="C13" s="104">
        <v>49003010</v>
      </c>
      <c r="D13" s="117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先輩、私をもっと強くしてください。</v>
      </c>
      <c r="E13" s="117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3" s="115">
        <v>49003010</v>
      </c>
      <c r="G13" s="11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11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11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0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0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0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05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0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0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8" t="s">
        <v>259</v>
      </c>
      <c r="Q13" s="119">
        <v>42454</v>
      </c>
      <c r="R13" s="118"/>
    </row>
    <row r="14" spans="1:18" ht="21" customHeight="1" x14ac:dyDescent="0.15">
      <c r="A14" s="38" t="str">
        <f t="shared" si="3"/>
        <v>49003002_49003011</v>
      </c>
      <c r="B14" s="96">
        <v>49003002</v>
      </c>
      <c r="C14" s="96">
        <v>49003011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退屈です。</v>
      </c>
      <c r="E14" s="10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14" s="106">
        <v>49003011</v>
      </c>
      <c r="G14" s="10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0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4" s="10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4" s="103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4" s="46" t="s">
        <v>259</v>
      </c>
      <c r="Q14" s="114">
        <v>42454</v>
      </c>
      <c r="R14" s="46"/>
    </row>
    <row r="15" spans="1:18" ht="21" customHeight="1" x14ac:dyDescent="0.15">
      <c r="A15" s="38" t="str">
        <f t="shared" si="3"/>
        <v>49003002_49003012</v>
      </c>
      <c r="B15" s="96">
        <v>49003002</v>
      </c>
      <c r="C15" s="96">
        <v>49003012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全員撃破します。</v>
      </c>
      <c r="E15" s="10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5" s="109">
        <v>49003012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110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103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6" t="s">
        <v>259</v>
      </c>
      <c r="Q15" s="114">
        <v>42454</v>
      </c>
      <c r="R15" s="46"/>
    </row>
    <row r="16" spans="1:18" s="128" customFormat="1" ht="21" customHeight="1" thickBot="1" x14ac:dyDescent="0.2">
      <c r="A16" s="120" t="str">
        <f t="shared" si="3"/>
        <v>49003002_49003013</v>
      </c>
      <c r="B16" s="121">
        <v>49003002</v>
      </c>
      <c r="C16" s="121">
        <v>49003013</v>
      </c>
      <c r="D16" s="12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弱小すぎです。</v>
      </c>
      <c r="E16" s="129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130">
        <v>49003013</v>
      </c>
      <c r="G16" s="12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12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6" s="131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132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12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125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12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12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12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126" t="s">
        <v>259</v>
      </c>
      <c r="Q16" s="127">
        <v>42454</v>
      </c>
      <c r="R16" s="126"/>
    </row>
    <row r="17" spans="1:18" ht="21" customHeight="1" thickTop="1" thickBot="1" x14ac:dyDescent="0.2">
      <c r="A17" s="38" t="str">
        <f t="shared" si="3"/>
        <v>49003003_49003014</v>
      </c>
      <c r="B17" s="104">
        <v>49003003</v>
      </c>
      <c r="C17" s="104">
        <v>49003014</v>
      </c>
      <c r="D17" s="117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危険危険危険危険！</v>
      </c>
      <c r="E17" s="117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攻撃力UP＋先制攻撃</v>
      </c>
      <c r="F17" s="115">
        <v>49003014</v>
      </c>
      <c r="G17" s="11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11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11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0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0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0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10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10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0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18" t="s">
        <v>259</v>
      </c>
      <c r="Q17" s="119">
        <v>42454</v>
      </c>
      <c r="R17" s="118"/>
    </row>
    <row r="18" spans="1:18" ht="21" customHeight="1" x14ac:dyDescent="0.15">
      <c r="A18" s="38" t="str">
        <f t="shared" si="3"/>
        <v>49003003_49003015</v>
      </c>
      <c r="B18" s="96">
        <v>49003003</v>
      </c>
      <c r="C18" s="96">
        <v>49003015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あなたの強さを確かめます。</v>
      </c>
      <c r="E18" s="10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18" s="106">
        <v>49003015</v>
      </c>
      <c r="G18" s="10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0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10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8" s="103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8" s="46" t="s">
        <v>259</v>
      </c>
      <c r="Q18" s="114">
        <v>42454</v>
      </c>
      <c r="R18" s="46"/>
    </row>
    <row r="19" spans="1:18" ht="21" customHeight="1" x14ac:dyDescent="0.15">
      <c r="A19" s="38" t="str">
        <f t="shared" si="3"/>
        <v>49003003_49003016</v>
      </c>
      <c r="B19" s="96">
        <v>49003003</v>
      </c>
      <c r="C19" s="96">
        <v>49003016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・・・否定します。</v>
      </c>
      <c r="E19" s="10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109">
        <v>49003016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" s="110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103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6" t="s">
        <v>259</v>
      </c>
      <c r="Q19" s="114">
        <v>42454</v>
      </c>
      <c r="R19" s="46"/>
    </row>
    <row r="20" spans="1:18" s="128" customFormat="1" ht="21" customHeight="1" thickBot="1" x14ac:dyDescent="0.2">
      <c r="A20" s="120" t="str">
        <f t="shared" si="3"/>
        <v>49003003_49003017</v>
      </c>
      <c r="B20" s="121">
        <v>49003003</v>
      </c>
      <c r="C20" s="121">
        <v>49003017</v>
      </c>
      <c r="D20" s="12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沈黙してください。</v>
      </c>
      <c r="E20" s="129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0" s="130">
        <v>49003017</v>
      </c>
      <c r="G20" s="12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12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0" s="13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32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2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25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12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2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2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26" t="s">
        <v>259</v>
      </c>
      <c r="Q20" s="127">
        <v>42454</v>
      </c>
      <c r="R20" s="126"/>
    </row>
    <row r="21" spans="1:18" ht="21" customHeight="1" thickTop="1" x14ac:dyDescent="0.15">
      <c r="A21" s="38" t="str">
        <f t="shared" si="3"/>
        <v>49003004_49003052</v>
      </c>
      <c r="B21" s="104">
        <v>49003004</v>
      </c>
      <c r="C21" s="104">
        <v>49003052</v>
      </c>
      <c r="D21" s="117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シズオ、カルシウム不足ネ！</v>
      </c>
      <c r="E21" s="117" t="str">
        <f ca="1">VLOOKUP($C21,OFFSET(enemy_skills!$A$1,0,0,COUNTA(enemy_skills!$A:$A),MATCH(E$1,enemy_skills!$1:$1,0)-MATCH("enemy_skill_id",enemy_skills!$1:$1,0)+1),MATCH(E$1,enemy_skills!$1:$1,0)-MATCH("enemy_skill_id",enemy_skills!$1:$1,0)+1,FALSE)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21" s="96">
        <v>49003050</v>
      </c>
      <c r="G21" s="11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11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11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0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10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0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0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105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21" s="10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18" t="s">
        <v>259</v>
      </c>
      <c r="Q21" s="119">
        <v>42454</v>
      </c>
      <c r="R21" s="118"/>
    </row>
    <row r="22" spans="1:18" ht="21" customHeight="1" x14ac:dyDescent="0.15">
      <c r="A22" s="38" t="str">
        <f t="shared" ref="A22" si="5">B22&amp;"_"&amp;C22</f>
        <v>49003004_49003052</v>
      </c>
      <c r="B22" s="104">
        <v>49003004</v>
      </c>
      <c r="C22" s="104">
        <v>49003052</v>
      </c>
      <c r="D22" s="117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シズオ、カルシウム不足ネ！</v>
      </c>
      <c r="E22" s="117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22" s="96">
        <v>49003051</v>
      </c>
      <c r="G22" s="11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11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11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0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10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0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0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105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22" s="10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104</v>
      </c>
      <c r="P22" s="118" t="s">
        <v>259</v>
      </c>
      <c r="Q22" s="119">
        <v>42454</v>
      </c>
      <c r="R22" s="118"/>
    </row>
    <row r="23" spans="1:18" ht="21" customHeight="1" thickBot="1" x14ac:dyDescent="0.2">
      <c r="A23" s="38" t="str">
        <f t="shared" si="3"/>
        <v>49003004_49003018</v>
      </c>
      <c r="B23" s="104">
        <v>49003004</v>
      </c>
      <c r="C23" s="104">
        <v>49003018</v>
      </c>
      <c r="D23" s="117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シズオ、喧嘩ヨクナイヨ</v>
      </c>
      <c r="E23" s="117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23" s="115">
        <v>49003018</v>
      </c>
      <c r="G23" s="11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11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11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0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0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0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10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0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0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18" t="s">
        <v>259</v>
      </c>
      <c r="Q23" s="119">
        <v>42454</v>
      </c>
      <c r="R23" s="118"/>
    </row>
    <row r="24" spans="1:18" ht="21" customHeight="1" x14ac:dyDescent="0.15">
      <c r="A24" s="38" t="str">
        <f t="shared" si="3"/>
        <v>49003004_49003047</v>
      </c>
      <c r="B24" s="96">
        <v>49003004</v>
      </c>
      <c r="C24" s="96">
        <v>49003047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ヘイ！サーモン一丁！</v>
      </c>
      <c r="E24" s="10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サーモンを突き出された！</v>
      </c>
      <c r="F24" s="106">
        <v>49003047</v>
      </c>
      <c r="G24" s="10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0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10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4" s="103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4" s="46" t="s">
        <v>259</v>
      </c>
      <c r="Q24" s="114">
        <v>42454</v>
      </c>
      <c r="R24" s="46"/>
    </row>
    <row r="25" spans="1:18" ht="21" customHeight="1" x14ac:dyDescent="0.15">
      <c r="A25" s="38" t="str">
        <f t="shared" ref="A25" si="6">B25&amp;"_"&amp;C25</f>
        <v>49003004_49003048</v>
      </c>
      <c r="B25" s="96">
        <v>49003004</v>
      </c>
      <c r="C25" s="96">
        <v>49003048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ヘイ！イクラ一丁！</v>
      </c>
      <c r="E25" s="10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イクラを突き出された！</v>
      </c>
      <c r="F25" s="109">
        <v>49003048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" s="110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5" s="103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5" s="46" t="s">
        <v>259</v>
      </c>
      <c r="Q25" s="114">
        <v>42454</v>
      </c>
      <c r="R25" s="46"/>
    </row>
    <row r="26" spans="1:18" ht="21" customHeight="1" x14ac:dyDescent="0.15">
      <c r="A26" s="38" t="str">
        <f t="shared" ref="A26" si="7">B26&amp;"_"&amp;C26</f>
        <v>49003004_49003049</v>
      </c>
      <c r="B26" s="96">
        <v>49003004</v>
      </c>
      <c r="C26" s="96">
        <v>49003049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ヘイ！コハダ一丁！</v>
      </c>
      <c r="E26" s="10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コハダを突き出された！</v>
      </c>
      <c r="F26" s="109">
        <v>49003049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" s="110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103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6" t="s">
        <v>259</v>
      </c>
      <c r="Q26" s="114">
        <v>42454</v>
      </c>
      <c r="R26" s="46"/>
    </row>
    <row r="27" spans="1:18" ht="21" customHeight="1" thickBot="1" x14ac:dyDescent="0.2">
      <c r="A27" s="38" t="str">
        <f t="shared" si="3"/>
        <v>49003004_49003020</v>
      </c>
      <c r="B27" s="96">
        <v>49003004</v>
      </c>
      <c r="C27" s="96">
        <v>49003020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ヘイ！大トロ一丁！</v>
      </c>
      <c r="E27" s="10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大トロを突き出された！</v>
      </c>
      <c r="F27" s="111">
        <v>49003020</v>
      </c>
      <c r="G27" s="112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112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" s="113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03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 t="s">
        <v>259</v>
      </c>
      <c r="Q27" s="114">
        <v>42454</v>
      </c>
      <c r="R27" s="46"/>
    </row>
    <row r="28" spans="1:18" s="128" customFormat="1" ht="21" customHeight="1" thickBot="1" x14ac:dyDescent="0.2">
      <c r="A28" s="120" t="str">
        <f t="shared" si="3"/>
        <v>49003004_49003021</v>
      </c>
      <c r="B28" s="121">
        <v>49003004</v>
      </c>
      <c r="C28" s="121">
        <v>49003021</v>
      </c>
      <c r="D28" s="12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ハラショー！！</v>
      </c>
      <c r="E28" s="12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" s="123">
        <v>49003021</v>
      </c>
      <c r="G28" s="12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124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8" s="12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8" s="12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2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25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8" s="125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12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2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8" s="126" t="s">
        <v>259</v>
      </c>
      <c r="Q28" s="127">
        <v>42454</v>
      </c>
      <c r="R28" s="126"/>
    </row>
    <row r="29" spans="1:18" ht="21" customHeight="1" thickTop="1" thickBot="1" x14ac:dyDescent="0.2">
      <c r="A29" s="38" t="str">
        <f t="shared" si="3"/>
        <v>49003005_49003022</v>
      </c>
      <c r="B29" s="104">
        <v>49003005</v>
      </c>
      <c r="C29" s="104">
        <v>49003022</v>
      </c>
      <c r="D29" s="117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暴力ヨクナイヨ！</v>
      </c>
      <c r="E29" s="117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このバトル中は常にカウンター状態！[効果小]</v>
      </c>
      <c r="F29" s="115">
        <v>49003022</v>
      </c>
      <c r="G29" s="11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11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11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10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0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0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105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10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0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118" t="s">
        <v>259</v>
      </c>
      <c r="Q29" s="119">
        <v>42454</v>
      </c>
      <c r="R29" s="118"/>
    </row>
    <row r="30" spans="1:18" ht="21" customHeight="1" x14ac:dyDescent="0.15">
      <c r="A30" s="38" t="str">
        <f t="shared" si="3"/>
        <v>49003005_49003023</v>
      </c>
      <c r="B30" s="96">
        <v>49003005</v>
      </c>
      <c r="C30" s="96">
        <v>49003023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サービスしとくヨ</v>
      </c>
      <c r="E30" s="10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0" s="106">
        <v>49003023</v>
      </c>
      <c r="G30" s="10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0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10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103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6" t="s">
        <v>259</v>
      </c>
      <c r="Q30" s="114">
        <v>42454</v>
      </c>
      <c r="R30" s="46"/>
    </row>
    <row r="31" spans="1:18" ht="21" customHeight="1" thickBot="1" x14ac:dyDescent="0.2">
      <c r="A31" s="38" t="str">
        <f t="shared" si="3"/>
        <v>49003005_49003024</v>
      </c>
      <c r="B31" s="96">
        <v>49003005</v>
      </c>
      <c r="C31" s="96">
        <v>49003024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もうイッチョいくヨ！</v>
      </c>
      <c r="E31" s="10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あがりを突き出された！</v>
      </c>
      <c r="F31" s="111">
        <v>49003024</v>
      </c>
      <c r="G31" s="112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12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1" s="113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03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 t="s">
        <v>259</v>
      </c>
      <c r="Q31" s="114">
        <v>42454</v>
      </c>
      <c r="R31" s="46"/>
    </row>
    <row r="32" spans="1:18" ht="21" customHeight="1" x14ac:dyDescent="0.15">
      <c r="A32" s="38" t="str">
        <f t="shared" si="3"/>
        <v>49003005_49003025</v>
      </c>
      <c r="B32" s="96">
        <v>49003005</v>
      </c>
      <c r="C32" s="96">
        <v>49003025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お腹空いてるカ？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攻撃力UP＋2ターン後に強力な攻撃！</v>
      </c>
      <c r="F32" s="104">
        <v>49003025</v>
      </c>
      <c r="G32" s="10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05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2" s="10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 t="s">
        <v>259</v>
      </c>
      <c r="Q32" s="114">
        <v>42454</v>
      </c>
      <c r="R32" s="46"/>
    </row>
    <row r="33" spans="1:18" s="128" customFormat="1" ht="21" customHeight="1" thickBot="1" x14ac:dyDescent="0.2">
      <c r="A33" s="120" t="str">
        <f t="shared" si="3"/>
        <v>49003005_49003026</v>
      </c>
      <c r="B33" s="121">
        <v>49003005</v>
      </c>
      <c r="C33" s="121">
        <v>49003026</v>
      </c>
      <c r="D33" s="12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お腹一杯ナッタ？</v>
      </c>
      <c r="E33" s="12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33" s="121">
        <v>49003026</v>
      </c>
      <c r="G33" s="12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125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3" s="12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125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12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125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12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12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12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26" t="s">
        <v>259</v>
      </c>
      <c r="Q33" s="127">
        <v>42454</v>
      </c>
      <c r="R33" s="126"/>
    </row>
    <row r="34" spans="1:18" ht="21" customHeight="1" thickTop="1" x14ac:dyDescent="0.15">
      <c r="A34" s="38" t="str">
        <f t="shared" si="3"/>
        <v>49003006_49003053</v>
      </c>
      <c r="B34" s="104">
        <v>49003006</v>
      </c>
      <c r="C34" s="104">
        <v>49003053</v>
      </c>
      <c r="D34" s="117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34" s="117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34" s="96">
        <v>49003050</v>
      </c>
      <c r="G34" s="11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11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11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10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10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105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10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105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34" s="10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118" t="s">
        <v>259</v>
      </c>
      <c r="Q34" s="119">
        <v>42454</v>
      </c>
      <c r="R34" s="118" t="s">
        <v>260</v>
      </c>
    </row>
    <row r="35" spans="1:18" ht="21" customHeight="1" x14ac:dyDescent="0.15">
      <c r="A35" s="38" t="str">
        <f t="shared" ref="A35" si="8">B35&amp;"_"&amp;C35</f>
        <v>49003006_49003053</v>
      </c>
      <c r="B35" s="104">
        <v>49003006</v>
      </c>
      <c r="C35" s="104">
        <v>49003053</v>
      </c>
      <c r="D35" s="117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35" s="117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35" s="96">
        <v>49003051</v>
      </c>
      <c r="G35" s="11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11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11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105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10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05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105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105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35" s="105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104</v>
      </c>
      <c r="P35" s="118" t="s">
        <v>259</v>
      </c>
      <c r="Q35" s="119">
        <v>42454</v>
      </c>
      <c r="R35" s="118" t="s">
        <v>260</v>
      </c>
    </row>
    <row r="36" spans="1:18" ht="21" customHeight="1" thickBot="1" x14ac:dyDescent="0.2">
      <c r="A36" s="38" t="str">
        <f t="shared" si="3"/>
        <v>49003006_49003028</v>
      </c>
      <c r="B36" s="104">
        <v>49003006</v>
      </c>
      <c r="C36" s="104">
        <v>49003028</v>
      </c>
      <c r="D36" s="117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36" s="117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36" s="115">
        <v>49003028</v>
      </c>
      <c r="G36" s="11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11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11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105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0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05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10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0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0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18" t="s">
        <v>259</v>
      </c>
      <c r="Q36" s="119">
        <v>42454</v>
      </c>
      <c r="R36" s="118" t="s">
        <v>260</v>
      </c>
    </row>
    <row r="37" spans="1:18" ht="21" customHeight="1" x14ac:dyDescent="0.15">
      <c r="A37" s="38" t="str">
        <f t="shared" si="3"/>
        <v>49003006_49003029</v>
      </c>
      <c r="B37" s="96">
        <v>49003006</v>
      </c>
      <c r="C37" s="96">
        <v>49003029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こんなのでやられないよね？</v>
      </c>
      <c r="E37" s="10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楽しそうだ</v>
      </c>
      <c r="F37" s="106">
        <v>49003029</v>
      </c>
      <c r="G37" s="10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10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7" s="10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03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 t="s">
        <v>259</v>
      </c>
      <c r="Q37" s="114">
        <v>42454</v>
      </c>
      <c r="R37" s="118" t="s">
        <v>260</v>
      </c>
    </row>
    <row r="38" spans="1:18" ht="21" customHeight="1" x14ac:dyDescent="0.15">
      <c r="A38" s="38" t="str">
        <f t="shared" si="3"/>
        <v>49003006_49003031</v>
      </c>
      <c r="B38" s="96">
        <v>49003006</v>
      </c>
      <c r="C38" s="96">
        <v>49003031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どーぞお好きに回復すれば？</v>
      </c>
      <c r="E38" s="10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ハートパネル以外をプロテクト</v>
      </c>
      <c r="F38" s="109">
        <v>49003030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8" s="110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" s="103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" s="46" t="s">
        <v>259</v>
      </c>
      <c r="Q38" s="114">
        <v>42454</v>
      </c>
      <c r="R38" s="118" t="s">
        <v>260</v>
      </c>
    </row>
    <row r="39" spans="1:18" ht="21" customHeight="1" x14ac:dyDescent="0.15">
      <c r="A39" s="38" t="str">
        <f>B39&amp;"_"&amp;C39</f>
        <v>49003006_49003030</v>
      </c>
      <c r="B39" s="96">
        <v>49003006</v>
      </c>
      <c r="C39" s="96">
        <v>49003030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要らないからあげるよ</v>
      </c>
      <c r="E39" s="10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39" s="109">
        <v>49003031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9" s="110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9" s="103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9" s="46" t="s">
        <v>259</v>
      </c>
      <c r="Q39" s="114">
        <v>42454</v>
      </c>
      <c r="R39" s="118" t="s">
        <v>260</v>
      </c>
    </row>
    <row r="40" spans="1:18" s="128" customFormat="1" ht="21" customHeight="1" thickBot="1" x14ac:dyDescent="0.2">
      <c r="A40" s="120" t="str">
        <f t="shared" si="3"/>
        <v>49003006_49003032</v>
      </c>
      <c r="B40" s="121">
        <v>49003006</v>
      </c>
      <c r="C40" s="121">
        <v>49003032</v>
      </c>
      <c r="D40" s="12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アハハハハハハハ！！！</v>
      </c>
      <c r="E40" s="129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0" s="130">
        <v>49003032</v>
      </c>
      <c r="G40" s="125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125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131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0" s="132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25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25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125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25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125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0" s="126" t="s">
        <v>259</v>
      </c>
      <c r="Q40" s="127">
        <v>42454</v>
      </c>
      <c r="R40" s="126" t="s">
        <v>260</v>
      </c>
    </row>
    <row r="41" spans="1:18" ht="21" customHeight="1" thickTop="1" thickBot="1" x14ac:dyDescent="0.2">
      <c r="A41" s="38" t="str">
        <f t="shared" si="3"/>
        <v>49003007_49003033</v>
      </c>
      <c r="B41" s="104">
        <v>49003007</v>
      </c>
      <c r="C41" s="104">
        <v>49003033</v>
      </c>
      <c r="D41" s="117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相変わらず、馬鹿力だねぇ〜、シズちゃん</v>
      </c>
      <c r="E41" s="117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1" s="115">
        <v>49003033</v>
      </c>
      <c r="G41" s="11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11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11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105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10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0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10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105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10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118" t="s">
        <v>259</v>
      </c>
      <c r="Q41" s="119">
        <v>42454</v>
      </c>
      <c r="R41" s="118" t="s">
        <v>261</v>
      </c>
    </row>
    <row r="42" spans="1:18" ht="21" customHeight="1" x14ac:dyDescent="0.15">
      <c r="A42" s="38" t="str">
        <f t="shared" si="3"/>
        <v>49003007_49003034</v>
      </c>
      <c r="B42" s="96">
        <v>49003007</v>
      </c>
      <c r="C42" s="96">
        <v>49003034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うーん、微妙！</v>
      </c>
      <c r="E42" s="10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鼻で笑っている！</v>
      </c>
      <c r="F42" s="106">
        <v>49003034</v>
      </c>
      <c r="G42" s="10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0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2" s="10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03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 t="s">
        <v>259</v>
      </c>
      <c r="Q42" s="114">
        <v>42454</v>
      </c>
      <c r="R42" s="46"/>
    </row>
    <row r="43" spans="1:18" ht="21" customHeight="1" x14ac:dyDescent="0.15">
      <c r="A43" s="38" t="str">
        <f>B43&amp;"_"&amp;C43</f>
        <v>49003007_49003035</v>
      </c>
      <c r="B43" s="96">
        <v>49003007</v>
      </c>
      <c r="C43" s="96">
        <v>49003035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良くないねぇ実に良くない</v>
      </c>
      <c r="E43" s="10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ランダムでお邪魔パネルに変換</v>
      </c>
      <c r="F43" s="109">
        <v>49003035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110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103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6" t="s">
        <v>259</v>
      </c>
      <c r="Q43" s="114">
        <v>42454</v>
      </c>
      <c r="R43" s="46"/>
    </row>
    <row r="44" spans="1:18" ht="21" customHeight="1" x14ac:dyDescent="0.15">
      <c r="A44" s="38" t="str">
        <f t="shared" ref="A44" si="9">B44&amp;"_"&amp;C44</f>
        <v>49003007_49003036</v>
      </c>
      <c r="B44" s="96">
        <v>49003007</v>
      </c>
      <c r="C44" s="96">
        <v>49003036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手加減してあげるよ</v>
      </c>
      <c r="E44" s="10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ハート以外プロテクト</v>
      </c>
      <c r="F44" s="109">
        <v>49003036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110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4" s="103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4" s="46" t="s">
        <v>259</v>
      </c>
      <c r="Q44" s="114">
        <v>42454</v>
      </c>
      <c r="R44" s="46"/>
    </row>
    <row r="45" spans="1:18" ht="21" customHeight="1" thickBot="1" x14ac:dyDescent="0.2">
      <c r="A45" s="38" t="str">
        <f t="shared" si="3"/>
        <v>49003007_49003037</v>
      </c>
      <c r="B45" s="96">
        <v>49003007</v>
      </c>
      <c r="C45" s="96">
        <v>49003037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いいねいいねぇ！</v>
      </c>
      <c r="E45" s="10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45" s="111">
        <v>49003037</v>
      </c>
      <c r="G45" s="112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112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5" s="113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5" s="103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5" s="46" t="s">
        <v>259</v>
      </c>
      <c r="Q45" s="114">
        <v>42454</v>
      </c>
      <c r="R45" s="46"/>
    </row>
    <row r="46" spans="1:18" s="128" customFormat="1" ht="21" customHeight="1" thickBot="1" x14ac:dyDescent="0.2">
      <c r="A46" s="120" t="str">
        <f t="shared" si="3"/>
        <v>49003007_49003038</v>
      </c>
      <c r="B46" s="121">
        <v>49003007</v>
      </c>
      <c r="C46" s="121">
        <v>49003038</v>
      </c>
      <c r="D46" s="12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はいっ王手</v>
      </c>
      <c r="E46" s="12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お邪魔パネル＆時限式ダメージパネルに_x000D_大量変換！</v>
      </c>
      <c r="F46" s="123">
        <v>49003038</v>
      </c>
      <c r="G46" s="12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24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6" s="12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25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6" s="125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25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25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125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25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26" t="s">
        <v>259</v>
      </c>
      <c r="Q46" s="127">
        <v>42454</v>
      </c>
      <c r="R46" s="126"/>
    </row>
    <row r="47" spans="1:18" ht="21" customHeight="1" thickTop="1" thickBot="1" x14ac:dyDescent="0.2">
      <c r="A47" s="38" t="str">
        <f t="shared" si="3"/>
        <v>49003008_49003039</v>
      </c>
      <c r="B47" s="104">
        <v>49003008</v>
      </c>
      <c r="C47" s="104">
        <v>49003039</v>
      </c>
      <c r="D47" s="117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君に罪をなすりつけた事、_x000D_まだ怒ってるのかな？</v>
      </c>
      <c r="E47" s="117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状態異常無効＋フィーバーゲージ減少！</v>
      </c>
      <c r="F47" s="115">
        <v>49003039</v>
      </c>
      <c r="G47" s="11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11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11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05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05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05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05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05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05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18" t="s">
        <v>259</v>
      </c>
      <c r="Q47" s="119">
        <v>42454</v>
      </c>
      <c r="R47" s="118"/>
    </row>
    <row r="48" spans="1:18" ht="21" customHeight="1" x14ac:dyDescent="0.15">
      <c r="A48" s="38" t="str">
        <f t="shared" si="3"/>
        <v>49003008_49003040</v>
      </c>
      <c r="B48" s="96">
        <v>49003008</v>
      </c>
      <c r="C48" s="96">
        <v>49003040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痛いかな？痛いよね〜</v>
      </c>
      <c r="E48" s="10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嘲笑している！</v>
      </c>
      <c r="F48" s="106">
        <v>49003040</v>
      </c>
      <c r="G48" s="10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10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8" s="10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03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 t="s">
        <v>259</v>
      </c>
      <c r="Q48" s="114">
        <v>42454</v>
      </c>
      <c r="R48" s="46"/>
    </row>
    <row r="49" spans="1:18" ht="21" customHeight="1" x14ac:dyDescent="0.15">
      <c r="A49" s="38" t="str">
        <f t="shared" si="3"/>
        <v>49003008_49003041</v>
      </c>
      <c r="B49" s="96">
        <v>49003008</v>
      </c>
      <c r="C49" s="96">
        <v>49003041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ご苦労様だねぇ</v>
      </c>
      <c r="E49" s="10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ランダムでお邪魔パネルに変換</v>
      </c>
      <c r="F49" s="109">
        <v>49003041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9" s="110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9" s="103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9" s="46" t="s">
        <v>259</v>
      </c>
      <c r="Q49" s="114">
        <v>42454</v>
      </c>
      <c r="R49" s="46"/>
    </row>
    <row r="50" spans="1:18" ht="21" customHeight="1" x14ac:dyDescent="0.15">
      <c r="A50" s="38" t="str">
        <f t="shared" si="3"/>
        <v>49003008_49003042</v>
      </c>
      <c r="B50" s="96">
        <v>49003008</v>
      </c>
      <c r="C50" s="96">
        <v>49003042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まぁ頑張ってよ</v>
      </c>
      <c r="E50" s="10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50" s="109">
        <v>49003042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0" s="110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0" s="103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0" s="46" t="s">
        <v>259</v>
      </c>
      <c r="Q50" s="114">
        <v>42454</v>
      </c>
      <c r="R50" s="46"/>
    </row>
    <row r="51" spans="1:18" ht="21" customHeight="1" x14ac:dyDescent="0.15">
      <c r="A51" s="38" t="str">
        <f t="shared" si="3"/>
        <v>49003008_49003044</v>
      </c>
      <c r="B51" s="96">
        <v>49003008</v>
      </c>
      <c r="C51" s="96">
        <v>49003044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はい、パーンッ！！！</v>
      </c>
      <c r="E51" s="10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1" s="109">
        <v>49003043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1" s="110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1" s="103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1" s="46" t="s">
        <v>259</v>
      </c>
      <c r="Q51" s="114">
        <v>42454</v>
      </c>
      <c r="R51" s="46"/>
    </row>
    <row r="52" spans="1:18" ht="21" customHeight="1" thickBot="1" x14ac:dyDescent="0.2">
      <c r="A52" s="38" t="str">
        <f>B52&amp;"_"&amp;C52</f>
        <v>49003008_49003043</v>
      </c>
      <c r="B52" s="96">
        <v>49003008</v>
      </c>
      <c r="C52" s="96">
        <v>49003043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まったく、やだなぁ</v>
      </c>
      <c r="E52" s="10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ハートパネル以外をプロテクト</v>
      </c>
      <c r="F52" s="111">
        <v>49003044</v>
      </c>
      <c r="G52" s="112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112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113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2" s="103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2" s="46" t="s">
        <v>259</v>
      </c>
      <c r="Q52" s="114">
        <v>42454</v>
      </c>
      <c r="R52" s="46"/>
    </row>
    <row r="53" spans="1:18" ht="21" customHeight="1" x14ac:dyDescent="0.15">
      <c r="A53" s="38" t="str">
        <f t="shared" si="3"/>
        <v>49003008_49003045</v>
      </c>
      <c r="B53" s="96">
        <v>49003008</v>
      </c>
      <c r="C53" s="96">
        <v>49003045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いいねぇ実にいい！！！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53" s="104">
        <v>49003045</v>
      </c>
      <c r="G53" s="105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05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3" s="105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 t="s">
        <v>259</v>
      </c>
      <c r="Q53" s="114">
        <v>42454</v>
      </c>
      <c r="R53" s="46"/>
    </row>
    <row r="54" spans="1:18" ht="21" customHeight="1" x14ac:dyDescent="0.15">
      <c r="A54" s="38" t="str">
        <f t="shared" ref="A54" si="10">B54&amp;"_"&amp;C54</f>
        <v>49003008_49003046</v>
      </c>
      <c r="B54" s="96">
        <v>49003008</v>
      </c>
      <c r="C54" s="96">
        <v>49003046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まったく…単細胞の癖に_x000D_どうしてあんなに鋭いんだろうねぇ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これだから俺はｼｽﾞちゃんのこと、大嫌いなんだよ</v>
      </c>
      <c r="F54" s="96">
        <v>49003046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 t="s">
        <v>259</v>
      </c>
      <c r="Q54" s="114">
        <v>42454</v>
      </c>
      <c r="R54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0"/>
  <sheetViews>
    <sheetView showGridLines="0" zoomScale="125" zoomScaleNormal="125" zoomScalePageLayoutView="125" workbookViewId="0">
      <pane ySplit="1" topLeftCell="A31" activePane="bottomLeft" state="frozenSplit"/>
      <selection pane="bottomLeft" activeCell="D40" sqref="D40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125</v>
      </c>
      <c r="E1" s="39" t="s">
        <v>82</v>
      </c>
      <c r="F1" s="39" t="s">
        <v>83</v>
      </c>
      <c r="G1" s="40" t="s">
        <v>131</v>
      </c>
      <c r="H1" s="40" t="s">
        <v>137</v>
      </c>
      <c r="I1" s="40" t="s">
        <v>139</v>
      </c>
      <c r="J1" s="40" t="s">
        <v>138</v>
      </c>
      <c r="K1" s="40" t="s">
        <v>140</v>
      </c>
      <c r="L1" s="40" t="s">
        <v>132</v>
      </c>
      <c r="M1" s="40" t="s">
        <v>130</v>
      </c>
      <c r="N1" s="40" t="s">
        <v>133</v>
      </c>
      <c r="O1" s="40" t="s">
        <v>141</v>
      </c>
      <c r="P1" s="40" t="s">
        <v>142</v>
      </c>
      <c r="Q1" s="40" t="s">
        <v>143</v>
      </c>
      <c r="R1" s="40" t="s">
        <v>144</v>
      </c>
      <c r="S1" s="40" t="s">
        <v>134</v>
      </c>
      <c r="T1" s="40" t="s">
        <v>135</v>
      </c>
      <c r="U1" s="40" t="s">
        <v>145</v>
      </c>
      <c r="V1" s="40" t="s">
        <v>146</v>
      </c>
      <c r="W1" s="40" t="s">
        <v>147</v>
      </c>
      <c r="X1" s="40" t="s">
        <v>148</v>
      </c>
      <c r="Y1" s="40" t="s">
        <v>136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96">
        <v>49003001</v>
      </c>
      <c r="B2" s="46" t="s">
        <v>360</v>
      </c>
      <c r="C2" s="49">
        <v>1</v>
      </c>
      <c r="D2" s="49" t="s">
        <v>126</v>
      </c>
      <c r="E2" s="50" t="s">
        <v>343</v>
      </c>
      <c r="F2" s="50" t="s">
        <v>356</v>
      </c>
      <c r="G2" s="61" t="str">
        <f>IFERROR(LEFT(B2,FIND("],",B2)),B2)</f>
        <v>[effect:dark, target:unit_all, turn:1, animation:enemy_dark]</v>
      </c>
      <c r="H2" s="61">
        <f>FIND("effect:",G2)+7</f>
        <v>9</v>
      </c>
      <c r="I2" s="61">
        <f>IFERROR(FIND(",",G2),LEN(G2))</f>
        <v>13</v>
      </c>
      <c r="J2" s="61">
        <f>FIND("target:",G2)+7</f>
        <v>22</v>
      </c>
      <c r="K2" s="61">
        <f>FIND(",",G2,I2+1)</f>
        <v>30</v>
      </c>
      <c r="L2" s="61" t="str">
        <f>IFERROR(VLOOKUP(MID(G2,J2,K2-J2),[6]skilldef!$C:$D,2,FALSE),"-") &amp; " / " &amp; IFERROR(VLOOKUP(MID(G2,H2,I2-H2),[6]skilldef!$A:$B,2,FALSE),"-")</f>
        <v>味方全体に / 暗黒</v>
      </c>
      <c r="M2" s="61" t="str">
        <f>IFERROR(RIGHT(B2,LEN(B2)-FIND("],",B2)-1),"none")</f>
        <v>[effect:enemy_message, val1:2, val2:2]</v>
      </c>
      <c r="N2" s="47" t="str">
        <f>IFERROR(LEFT(M2,FIND("],",M2)+S10),M2)</f>
        <v>[effect:enemy_message, val1:2, val2:2]</v>
      </c>
      <c r="O2" s="61">
        <f>FIND("effect:",N2)+7</f>
        <v>9</v>
      </c>
      <c r="P2" s="61">
        <f>IFERROR(FIND(",",N2),LEN(N2))</f>
        <v>22</v>
      </c>
      <c r="Q2" s="61" t="e">
        <f>FIND("target:",N2)+7</f>
        <v>#VALUE!</v>
      </c>
      <c r="R2" s="61">
        <f>FIND(",",N2,P2+1)</f>
        <v>30</v>
      </c>
      <c r="S2" s="61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96">
        <v>49003002</v>
      </c>
      <c r="B3" s="46" t="s">
        <v>218</v>
      </c>
      <c r="C3" s="49">
        <v>1</v>
      </c>
      <c r="D3" s="49" t="s">
        <v>126</v>
      </c>
      <c r="E3" s="50" t="s">
        <v>344</v>
      </c>
      <c r="F3" s="50" t="s">
        <v>305</v>
      </c>
      <c r="G3" s="61" t="str">
        <f t="shared" ref="G3:G4" si="0">IFERROR(LEFT(B3,FIND("],",B3)),B3)</f>
        <v>[effect:dis_heart, turn:1, animation:enemy_dis_heart]</v>
      </c>
      <c r="H3" s="61">
        <f t="shared" ref="H3:H8" si="1">FIND("effect:",G3)+7</f>
        <v>9</v>
      </c>
      <c r="I3" s="61">
        <f t="shared" ref="I3:I4" si="2">IFERROR(FIND(",",G3),LEN(G3))</f>
        <v>18</v>
      </c>
      <c r="J3" s="61" t="e">
        <f t="shared" ref="J3:J4" si="3">FIND("target:",G3)+7</f>
        <v>#VALUE!</v>
      </c>
      <c r="K3" s="61">
        <f t="shared" ref="K3:K4" si="4">FIND(",",G3,I3+1)</f>
        <v>26</v>
      </c>
      <c r="L3" s="61" t="str">
        <f>IFERROR(VLOOKUP(MID(G3,J3,K3-J3),[6]skilldef!$C:$D,2,FALSE),"-") &amp; " / " &amp; IFERROR(VLOOKUP(MID(G3,H3,I3-H3),[6]skilldef!$A:$B,2,FALSE),"-")</f>
        <v>- / ディスハート</v>
      </c>
      <c r="M3" s="61" t="str">
        <f t="shared" ref="M3:M4" si="5">IFERROR(RIGHT(B3,LEN(B3)-FIND("],",B3)-1),"none")</f>
        <v>none</v>
      </c>
      <c r="N3" s="47" t="str">
        <f>IFERROR(LEFT(M3,FIND("],",M3)+S11),M3)</f>
        <v>none</v>
      </c>
      <c r="O3" s="61" t="e">
        <f t="shared" ref="O3:O8" si="6">FIND("effect:",N3)+7</f>
        <v>#VALUE!</v>
      </c>
      <c r="P3" s="61">
        <f t="shared" ref="P3:P4" si="7">IFERROR(FIND(",",N3),LEN(N3))</f>
        <v>4</v>
      </c>
      <c r="Q3" s="61" t="e">
        <f t="shared" ref="Q3:Q4" si="8">FIND("target:",N3)+7</f>
        <v>#VALUE!</v>
      </c>
      <c r="R3" s="61" t="e">
        <f t="shared" ref="R3:R4" si="9">FIND(",",N3,P3+1)</f>
        <v>#VALUE!</v>
      </c>
      <c r="S3" s="61" t="str">
        <f>IFERROR(VLOOKUP(MID(N3,Q3,R3-Q3),[6]skilldef!$C:$D,2,FALSE),"-") &amp; " / " &amp; IFERROR(VLOOKUP(MID(N3,O3,P3-O3),[6]skilldef!$A:$B,2,FALSE),"-")</f>
        <v>- / -</v>
      </c>
      <c r="T3" s="47" t="str">
        <f t="shared" ref="T3:T4" si="10">IFERROR(RIGHT(M3,LEN(M3)-FIND("],",M3)-1),"none")</f>
        <v>none</v>
      </c>
      <c r="U3" s="61" t="e">
        <f t="shared" ref="U3:U8" si="11">FIND("effect:",T3)+7</f>
        <v>#VALUE!</v>
      </c>
      <c r="V3" s="61">
        <f t="shared" ref="V3:V4" si="12">IFERROR(FIND(",",T3),LEN(T3))</f>
        <v>4</v>
      </c>
      <c r="W3" s="61" t="e">
        <f t="shared" ref="W3:W4" si="13">FIND("target:",T3)+7</f>
        <v>#VALUE!</v>
      </c>
      <c r="X3" s="61" t="e">
        <f t="shared" ref="X3:X4" si="14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96">
        <v>49003003</v>
      </c>
      <c r="B4" s="46" t="s">
        <v>250</v>
      </c>
      <c r="C4" s="49">
        <v>1</v>
      </c>
      <c r="D4" s="49" t="s">
        <v>126</v>
      </c>
      <c r="E4" s="50" t="s">
        <v>345</v>
      </c>
      <c r="F4" s="138" t="s">
        <v>337</v>
      </c>
      <c r="G4" s="61" t="str">
        <f t="shared" si="0"/>
        <v>[effect:dis_panel, target:block_red, turn:1]</v>
      </c>
      <c r="H4" s="61">
        <f t="shared" si="1"/>
        <v>9</v>
      </c>
      <c r="I4" s="61">
        <f t="shared" si="2"/>
        <v>18</v>
      </c>
      <c r="J4" s="61">
        <f t="shared" si="3"/>
        <v>27</v>
      </c>
      <c r="K4" s="61">
        <f t="shared" si="4"/>
        <v>36</v>
      </c>
      <c r="L4" s="61" t="str">
        <f>IFERROR(VLOOKUP(MID(G4,J4,K4-J4),[6]skilldef!$C:$D,2,FALSE),"-") &amp; " / " &amp; IFERROR(VLOOKUP(MID(G4,H4,I4-H4),[6]skilldef!$A:$B,2,FALSE),"-")</f>
        <v>赤パネルを / ディスパネル</v>
      </c>
      <c r="M4" s="61" t="str">
        <f t="shared" si="5"/>
        <v>[effect:dis_panel, target:block_yellow, turn:1]</v>
      </c>
      <c r="N4" s="47" t="str">
        <f>IFERROR(LEFT(M4,FIND("],",M4)+S12),M4)</f>
        <v>[effect:dis_panel, target:block_yellow, turn:1]</v>
      </c>
      <c r="O4" s="61">
        <f t="shared" si="6"/>
        <v>9</v>
      </c>
      <c r="P4" s="61">
        <f t="shared" si="7"/>
        <v>18</v>
      </c>
      <c r="Q4" s="61">
        <f t="shared" si="8"/>
        <v>27</v>
      </c>
      <c r="R4" s="61">
        <f t="shared" si="9"/>
        <v>39</v>
      </c>
      <c r="S4" s="61" t="str">
        <f>IFERROR(VLOOKUP(MID(N4,Q4,R4-Q4),[6]skilldef!$C:$D,2,FALSE),"-") &amp; " / " &amp; IFERROR(VLOOKUP(MID(N4,O4,P4-O4),[6]skilldef!$A:$B,2,FALSE),"-")</f>
        <v>黄色パネルを / ディスパネル</v>
      </c>
      <c r="T4" s="47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 x14ac:dyDescent="0.15">
      <c r="A5" s="96">
        <v>49003005</v>
      </c>
      <c r="B5" s="46" t="s">
        <v>251</v>
      </c>
      <c r="C5" s="49">
        <v>1</v>
      </c>
      <c r="D5" s="49" t="s">
        <v>126</v>
      </c>
      <c r="E5" s="50" t="s">
        <v>346</v>
      </c>
      <c r="F5" s="138" t="s">
        <v>338</v>
      </c>
      <c r="G5" s="61" t="str">
        <f t="shared" ref="G5" si="15">IFERROR(LEFT(B5,FIND("],",B5)),B5)</f>
        <v>[effect:dis_panel, target:block_green, turn:1]</v>
      </c>
      <c r="H5" s="61">
        <f t="shared" si="1"/>
        <v>9</v>
      </c>
      <c r="I5" s="61">
        <f t="shared" ref="I5" si="16">IFERROR(FIND(",",G5),LEN(G5))</f>
        <v>18</v>
      </c>
      <c r="J5" s="61">
        <f t="shared" ref="J5" si="17">FIND("target:",G5)+7</f>
        <v>27</v>
      </c>
      <c r="K5" s="61">
        <f t="shared" ref="K5" si="18">FIND(",",G5,I5+1)</f>
        <v>38</v>
      </c>
      <c r="L5" s="61" t="str">
        <f>IFERROR(VLOOKUP(MID(G5,J5,K5-J5),[6]skilldef!$C:$D,2,FALSE),"-") &amp; " / " &amp; IFERROR(VLOOKUP(MID(G5,H5,I5-H5),[6]skilldef!$A:$B,2,FALSE),"-")</f>
        <v>緑パネルを / ディスパネル</v>
      </c>
      <c r="M5" s="61" t="str">
        <f t="shared" ref="M5" si="19">IFERROR(RIGHT(B5,LEN(B5)-FIND("],",B5)-1),"none")</f>
        <v>[effect:dis_panel, target:block_blue, turn:1]</v>
      </c>
      <c r="N5" s="47" t="str">
        <f>IFERROR(LEFT(M5,FIND("],",M5)+S14),M5)</f>
        <v>[effect:dis_panel, target:block_blue, turn:1]</v>
      </c>
      <c r="O5" s="61">
        <f t="shared" si="6"/>
        <v>9</v>
      </c>
      <c r="P5" s="61">
        <f t="shared" ref="P5" si="20">IFERROR(FIND(",",N5),LEN(N5))</f>
        <v>18</v>
      </c>
      <c r="Q5" s="61">
        <f t="shared" ref="Q5" si="21">FIND("target:",N5)+7</f>
        <v>27</v>
      </c>
      <c r="R5" s="61">
        <f t="shared" ref="R5" si="22">FIND(",",N5,P5+1)</f>
        <v>37</v>
      </c>
      <c r="S5" s="61" t="str">
        <f>IFERROR(VLOOKUP(MID(N5,Q5,R5-Q5),[6]skilldef!$C:$D,2,FALSE),"-") &amp; " / " &amp; IFERROR(VLOOKUP(MID(N5,O5,P5-O5),[6]skilldef!$A:$B,2,FALSE),"-")</f>
        <v>青パネルを / ディスパネル</v>
      </c>
      <c r="T5" s="47" t="str">
        <f t="shared" ref="T5" si="23">IFERROR(RIGHT(M5,LEN(M5)-FIND("],",M5)-1),"none")</f>
        <v>none</v>
      </c>
      <c r="U5" s="61" t="e">
        <f t="shared" si="11"/>
        <v>#VALUE!</v>
      </c>
      <c r="V5" s="61">
        <f t="shared" ref="V5" si="24">IFERROR(FIND(",",T5),LEN(T5))</f>
        <v>4</v>
      </c>
      <c r="W5" s="61" t="e">
        <f t="shared" ref="W5" si="25">FIND("target:",T5)+7</f>
        <v>#VALUE!</v>
      </c>
      <c r="X5" s="61" t="e">
        <f t="shared" ref="X5" si="26">FIND(",",T5,V5+1)</f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 x14ac:dyDescent="0.15">
      <c r="A6" s="96">
        <v>49003007</v>
      </c>
      <c r="B6" s="46" t="s">
        <v>232</v>
      </c>
      <c r="C6" s="49">
        <v>1</v>
      </c>
      <c r="D6" s="49" t="s">
        <v>126</v>
      </c>
      <c r="E6" s="50" t="s">
        <v>347</v>
      </c>
      <c r="F6" s="138" t="s">
        <v>339</v>
      </c>
      <c r="G6" s="61" t="str">
        <f t="shared" ref="G6:G7" si="27">IFERROR(LEFT(B6,FIND("],",B6)),B6)</f>
        <v>[effect:spread, val:0.25]</v>
      </c>
      <c r="H6" s="61">
        <f t="shared" si="1"/>
        <v>9</v>
      </c>
      <c r="I6" s="61">
        <f t="shared" ref="I6:I7" si="28">IFERROR(FIND(",",G6),LEN(G6))</f>
        <v>15</v>
      </c>
      <c r="J6" s="61" t="e">
        <f t="shared" ref="J6:J7" si="29">FIND("target:",G6)+7</f>
        <v>#VALUE!</v>
      </c>
      <c r="K6" s="61" t="e">
        <f t="shared" ref="K6:K7" si="30">FIND(",",G6,I6+1)</f>
        <v>#VALUE!</v>
      </c>
      <c r="L6" s="61" t="str">
        <f>IFERROR(VLOOKUP(MID(G6,J6,K6-J6),[6]skilldef!$C:$D,2,FALSE),"-") &amp; " / " &amp; IFERROR(VLOOKUP(MID(G6,H6,I6-H6),[6]skilldef!$A:$B,2,FALSE),"-")</f>
        <v>- / 全体攻撃</v>
      </c>
      <c r="M6" s="61" t="str">
        <f t="shared" ref="M6:M7" si="31">IFERROR(RIGHT(B6,LEN(B6)-FIND("],",B6)-1),"none")</f>
        <v>none</v>
      </c>
      <c r="N6" s="47" t="str">
        <f t="shared" ref="N6:N7" si="32">IFERROR(LEFT(M6,FIND("],",M6)+S16),M6)</f>
        <v>none</v>
      </c>
      <c r="O6" s="61" t="e">
        <f t="shared" si="6"/>
        <v>#VALUE!</v>
      </c>
      <c r="P6" s="61">
        <f t="shared" ref="P6:P7" si="33">IFERROR(FIND(",",N6),LEN(N6))</f>
        <v>4</v>
      </c>
      <c r="Q6" s="61" t="e">
        <f t="shared" ref="Q6:Q7" si="34">FIND("target:",N6)+7</f>
        <v>#VALUE!</v>
      </c>
      <c r="R6" s="61" t="e">
        <f t="shared" ref="R6:R7" si="35">FIND(",",N6,P6+1)</f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7" t="str">
        <f t="shared" ref="T6:T7" si="36">IFERROR(RIGHT(M6,LEN(M6)-FIND("],",M6)-1),"none")</f>
        <v>none</v>
      </c>
      <c r="U6" s="61" t="e">
        <f t="shared" si="11"/>
        <v>#VALUE!</v>
      </c>
      <c r="V6" s="61">
        <f t="shared" ref="V6:V7" si="37">IFERROR(FIND(",",T6),LEN(T6))</f>
        <v>4</v>
      </c>
      <c r="W6" s="61" t="e">
        <f t="shared" ref="W6:W7" si="38">FIND("target:",T6)+7</f>
        <v>#VALUE!</v>
      </c>
      <c r="X6" s="61" t="e">
        <f t="shared" ref="X6:X7" si="39">FIND(",",T6,V6+1)</f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 x14ac:dyDescent="0.15">
      <c r="A7" s="96">
        <v>49003008</v>
      </c>
      <c r="B7" s="46" t="s">
        <v>233</v>
      </c>
      <c r="C7" s="49">
        <v>1</v>
      </c>
      <c r="D7" s="49" t="s">
        <v>126</v>
      </c>
      <c r="E7" s="50" t="s">
        <v>345</v>
      </c>
      <c r="F7" s="50" t="s">
        <v>306</v>
      </c>
      <c r="G7" s="61" t="str">
        <f t="shared" si="27"/>
        <v>[effect:hungup, target:unit_one, turn:1, rate:1, animation:hungup01]</v>
      </c>
      <c r="H7" s="61">
        <f t="shared" si="1"/>
        <v>9</v>
      </c>
      <c r="I7" s="61">
        <f t="shared" si="28"/>
        <v>15</v>
      </c>
      <c r="J7" s="61">
        <f t="shared" si="29"/>
        <v>24</v>
      </c>
      <c r="K7" s="61">
        <f t="shared" si="30"/>
        <v>32</v>
      </c>
      <c r="L7" s="61" t="str">
        <f>IFERROR(VLOOKUP(MID(G7,J7,K7-J7),[6]skilldef!$C:$D,2,FALSE),"-") &amp; " / " &amp; IFERROR(VLOOKUP(MID(G7,H7,I7-H7),[6]skilldef!$A:$B,2,FALSE),"-")</f>
        <v>味方単体に / ハングアップ</v>
      </c>
      <c r="M7" s="61" t="str">
        <f t="shared" si="31"/>
        <v>[effect:rush, count:1, val:0.8]</v>
      </c>
      <c r="N7" s="47" t="str">
        <f t="shared" si="32"/>
        <v>[effect:rush, count:1, val:0.8]</v>
      </c>
      <c r="O7" s="61">
        <f t="shared" si="6"/>
        <v>9</v>
      </c>
      <c r="P7" s="61">
        <f t="shared" si="33"/>
        <v>13</v>
      </c>
      <c r="Q7" s="61" t="e">
        <f t="shared" si="34"/>
        <v>#VALUE!</v>
      </c>
      <c r="R7" s="61">
        <f t="shared" si="35"/>
        <v>22</v>
      </c>
      <c r="S7" s="61" t="str">
        <f>IFERROR(VLOOKUP(MID(N7,Q7,R7-Q7),[6]skilldef!$C:$D,2,FALSE),"-") &amp; " / " &amp; IFERROR(VLOOKUP(MID(N7,O7,P7-O7),[6]skilldef!$A:$B,2,FALSE),"-")</f>
        <v>- / 連続攻撃</v>
      </c>
      <c r="T7" s="47" t="str">
        <f t="shared" si="36"/>
        <v>none</v>
      </c>
      <c r="U7" s="61" t="e">
        <f t="shared" si="11"/>
        <v>#VALUE!</v>
      </c>
      <c r="V7" s="61">
        <f t="shared" si="37"/>
        <v>4</v>
      </c>
      <c r="W7" s="61" t="e">
        <f t="shared" si="38"/>
        <v>#VALUE!</v>
      </c>
      <c r="X7" s="61" t="e">
        <f t="shared" si="39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 x14ac:dyDescent="0.15">
      <c r="A8" s="96">
        <v>49003009</v>
      </c>
      <c r="B8" s="46" t="s">
        <v>226</v>
      </c>
      <c r="C8" s="49">
        <v>1</v>
      </c>
      <c r="D8" s="49" t="s">
        <v>126</v>
      </c>
      <c r="E8" s="50" t="s">
        <v>344</v>
      </c>
      <c r="F8" s="50" t="s">
        <v>307</v>
      </c>
      <c r="G8" s="61" t="str">
        <f t="shared" ref="G8" si="40">IFERROR(LEFT(B8,FIND("],",B8)),B8)</f>
        <v>[effect:dark, target:unit_all, turn:1, animation:enemy_dark]</v>
      </c>
      <c r="H8" s="61">
        <f t="shared" si="1"/>
        <v>9</v>
      </c>
      <c r="I8" s="61">
        <f t="shared" ref="I8" si="41">IFERROR(FIND(",",G8),LEN(G8))</f>
        <v>13</v>
      </c>
      <c r="J8" s="61">
        <f t="shared" ref="J8" si="42">FIND("target:",G8)+7</f>
        <v>22</v>
      </c>
      <c r="K8" s="61">
        <f t="shared" ref="K8" si="43">FIND(",",G8,I8+1)</f>
        <v>30</v>
      </c>
      <c r="L8" s="61" t="str">
        <f>IFERROR(VLOOKUP(MID(G8,J8,K8-J8),[6]skilldef!$C:$D,2,FALSE),"-") &amp; " / " &amp; IFERROR(VLOOKUP(MID(G8,H8,I8-H8),[6]skilldef!$A:$B,2,FALSE),"-")</f>
        <v>味方全体に / 暗黒</v>
      </c>
      <c r="M8" s="61" t="str">
        <f t="shared" ref="M8" si="44">IFERROR(RIGHT(B8,LEN(B8)-FIND("],",B8)-1),"none")</f>
        <v>none</v>
      </c>
      <c r="N8" s="47" t="str">
        <f>IFERROR(LEFT(M8,FIND("],",M8)+#REF!),M8)</f>
        <v>none</v>
      </c>
      <c r="O8" s="61" t="e">
        <f t="shared" si="6"/>
        <v>#VALUE!</v>
      </c>
      <c r="P8" s="61">
        <f t="shared" ref="P8" si="45">IFERROR(FIND(",",N8),LEN(N8))</f>
        <v>4</v>
      </c>
      <c r="Q8" s="61" t="e">
        <f t="shared" ref="Q8" si="46">FIND("target:",N8)+7</f>
        <v>#VALUE!</v>
      </c>
      <c r="R8" s="61" t="e">
        <f t="shared" ref="R8" si="47">FIND(",",N8,P8+1)</f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7" t="str">
        <f t="shared" ref="T8" si="48">IFERROR(RIGHT(M8,LEN(M8)-FIND("],",M8)-1),"none")</f>
        <v>none</v>
      </c>
      <c r="U8" s="61" t="e">
        <f t="shared" si="11"/>
        <v>#VALUE!</v>
      </c>
      <c r="V8" s="61">
        <f t="shared" ref="V8" si="49">IFERROR(FIND(",",T8),LEN(T8))</f>
        <v>4</v>
      </c>
      <c r="W8" s="61" t="e">
        <f t="shared" ref="W8" si="50">FIND("target:",T8)+7</f>
        <v>#VALUE!</v>
      </c>
      <c r="X8" s="61" t="e">
        <f t="shared" ref="X8" si="51">FIND(",",T8,V8+1)</f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</row>
    <row r="9" spans="1:28" ht="21" customHeight="1" x14ac:dyDescent="0.15">
      <c r="A9" s="96">
        <v>49003010</v>
      </c>
      <c r="B9" s="46" t="s">
        <v>249</v>
      </c>
      <c r="C9" s="49">
        <v>1</v>
      </c>
      <c r="D9" s="49" t="s">
        <v>126</v>
      </c>
      <c r="E9" s="50" t="s">
        <v>357</v>
      </c>
      <c r="F9" s="50" t="s">
        <v>255</v>
      </c>
      <c r="G9" s="61" t="str">
        <f t="shared" ref="G9:G16" si="52">IFERROR(LEFT(B9,FIND("],",B9)),B9)</f>
        <v>[effect:tolerance, target:myself, turn:-1, tolerance_effect:all, count:-1, animation:enemy_tolerance]</v>
      </c>
      <c r="H9" s="61">
        <f t="shared" ref="H9:H16" si="53">FIND("effect:",G9)+7</f>
        <v>9</v>
      </c>
      <c r="I9" s="61">
        <f t="shared" ref="I9:I16" si="54">IFERROR(FIND(",",G9),LEN(G9))</f>
        <v>18</v>
      </c>
      <c r="J9" s="61">
        <f t="shared" ref="J9:J16" si="55">FIND("target:",G9)+7</f>
        <v>27</v>
      </c>
      <c r="K9" s="61">
        <f t="shared" ref="K9:K16" si="56">FIND(",",G9,I9+1)</f>
        <v>33</v>
      </c>
      <c r="L9" s="61" t="str">
        <f>IFERROR(VLOOKUP(MID(G9,J9,K9-J9),[6]skilldef!$C:$D,2,FALSE),"-") &amp; " / " &amp; IFERROR(VLOOKUP(MID(G9,H9,I9-H9),[6]skilldef!$A:$B,2,FALSE),"-")</f>
        <v>自分自身に / 状態異常耐性</v>
      </c>
      <c r="M9" s="61" t="str">
        <f t="shared" ref="M9:M16" si="57">IFERROR(RIGHT(B9,LEN(B9)-FIND("],",B9)-1),"none")</f>
        <v xml:space="preserve">[effect:fix_speed, target:myself, turn:2]    </v>
      </c>
      <c r="N9" s="47" t="str">
        <f t="shared" ref="N9:N15" si="58">IFERROR(LEFT(M9,FIND("],",M9)+S21),M9)</f>
        <v xml:space="preserve">[effect:fix_speed, target:myself, turn:2]    </v>
      </c>
      <c r="O9" s="61">
        <f t="shared" ref="O9:O16" si="59">FIND("effect:",N9)+7</f>
        <v>9</v>
      </c>
      <c r="P9" s="61">
        <f t="shared" ref="P9:P16" si="60">IFERROR(FIND(",",N9),LEN(N9))</f>
        <v>18</v>
      </c>
      <c r="Q9" s="61">
        <f t="shared" ref="Q9:Q16" si="61">FIND("target:",N9)+7</f>
        <v>27</v>
      </c>
      <c r="R9" s="61">
        <f t="shared" ref="R9:R16" si="62">FIND(",",N9,P9+1)</f>
        <v>33</v>
      </c>
      <c r="S9" s="61" t="str">
        <f>IFERROR(VLOOKUP(MID(N9,Q9,R9-Q9),[6]skilldef!$C:$D,2,FALSE),"-") &amp; " / " &amp; IFERROR(VLOOKUP(MID(N9,O9,P9-O9),[6]skilldef!$A:$B,2,FALSE),"-")</f>
        <v>自分自身に / 行動値設定</v>
      </c>
      <c r="T9" s="47" t="str">
        <f t="shared" ref="T9:T16" si="63">IFERROR(RIGHT(M9,LEN(M9)-FIND("],",M9)-1),"none")</f>
        <v>none</v>
      </c>
      <c r="U9" s="61" t="e">
        <f t="shared" ref="U9:U16" si="64">FIND("effect:",T9)+7</f>
        <v>#VALUE!</v>
      </c>
      <c r="V9" s="61">
        <f t="shared" ref="V9:V16" si="65">IFERROR(FIND(",",T9),LEN(T9))</f>
        <v>4</v>
      </c>
      <c r="W9" s="61" t="e">
        <f t="shared" ref="W9:W16" si="66">FIND("target:",T9)+7</f>
        <v>#VALUE!</v>
      </c>
      <c r="X9" s="61" t="e">
        <f t="shared" ref="X9:X16" si="67">FIND(",",T9,V9+1)</f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</row>
    <row r="10" spans="1:28" ht="21" customHeight="1" x14ac:dyDescent="0.15">
      <c r="A10" s="96">
        <v>49003011</v>
      </c>
      <c r="B10" s="46" t="s">
        <v>220</v>
      </c>
      <c r="C10" s="49">
        <v>1</v>
      </c>
      <c r="D10" s="49" t="s">
        <v>126</v>
      </c>
      <c r="E10" s="50" t="s">
        <v>262</v>
      </c>
      <c r="F10" s="50" t="s">
        <v>256</v>
      </c>
      <c r="G10" s="61" t="str">
        <f t="shared" si="52"/>
        <v>[effect:rush, count:3, val:0.4]</v>
      </c>
      <c r="H10" s="61">
        <f t="shared" si="53"/>
        <v>9</v>
      </c>
      <c r="I10" s="61">
        <f t="shared" si="54"/>
        <v>13</v>
      </c>
      <c r="J10" s="61" t="e">
        <f t="shared" si="55"/>
        <v>#VALUE!</v>
      </c>
      <c r="K10" s="61">
        <f t="shared" si="56"/>
        <v>22</v>
      </c>
      <c r="L10" s="61" t="str">
        <f>IFERROR(VLOOKUP(MID(G10,J10,K10-J10),[6]skilldef!$C:$D,2,FALSE),"-") &amp; " / " &amp; IFERROR(VLOOKUP(MID(G10,H10,I10-H10),[6]skilldef!$A:$B,2,FALSE),"-")</f>
        <v>- / 連続攻撃</v>
      </c>
      <c r="M10" s="61" t="str">
        <f t="shared" si="57"/>
        <v>none</v>
      </c>
      <c r="N10" s="47" t="str">
        <f t="shared" si="58"/>
        <v>none</v>
      </c>
      <c r="O10" s="61" t="e">
        <f t="shared" si="59"/>
        <v>#VALUE!</v>
      </c>
      <c r="P10" s="61">
        <f t="shared" si="60"/>
        <v>4</v>
      </c>
      <c r="Q10" s="61" t="e">
        <f t="shared" si="61"/>
        <v>#VALUE!</v>
      </c>
      <c r="R10" s="61" t="e">
        <f t="shared" si="62"/>
        <v>#VALUE!</v>
      </c>
      <c r="S10" s="61" t="str">
        <f>IFERROR(VLOOKUP(MID(N10,Q10,R10-Q10),[6]skilldef!$C:$D,2,FALSE),"-") &amp; " / " &amp; IFERROR(VLOOKUP(MID(N10,O10,P10-O10),[6]skilldef!$A:$B,2,FALSE),"-")</f>
        <v>- / -</v>
      </c>
      <c r="T10" s="47" t="str">
        <f t="shared" si="63"/>
        <v>none</v>
      </c>
      <c r="U10" s="61" t="e">
        <f t="shared" si="64"/>
        <v>#VALUE!</v>
      </c>
      <c r="V10" s="61">
        <f t="shared" si="65"/>
        <v>4</v>
      </c>
      <c r="W10" s="61" t="e">
        <f t="shared" si="66"/>
        <v>#VALUE!</v>
      </c>
      <c r="X10" s="61" t="e">
        <f t="shared" si="67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 x14ac:dyDescent="0.15">
      <c r="A11" s="96">
        <v>49003012</v>
      </c>
      <c r="B11" s="46" t="s">
        <v>219</v>
      </c>
      <c r="C11" s="49">
        <v>1</v>
      </c>
      <c r="D11" s="49" t="s">
        <v>126</v>
      </c>
      <c r="E11" s="137" t="s">
        <v>335</v>
      </c>
      <c r="F11" s="50" t="s">
        <v>213</v>
      </c>
      <c r="G11" s="61" t="str">
        <f t="shared" si="52"/>
        <v>[effect:spread, val:0.3]</v>
      </c>
      <c r="H11" s="61">
        <f t="shared" si="53"/>
        <v>9</v>
      </c>
      <c r="I11" s="61">
        <f t="shared" si="54"/>
        <v>15</v>
      </c>
      <c r="J11" s="61" t="e">
        <f t="shared" si="55"/>
        <v>#VALUE!</v>
      </c>
      <c r="K11" s="61" t="e">
        <f t="shared" si="56"/>
        <v>#VALUE!</v>
      </c>
      <c r="L11" s="61" t="str">
        <f>IFERROR(VLOOKUP(MID(G11,J11,K11-J11),[6]skilldef!$C:$D,2,FALSE),"-") &amp; " / " &amp; IFERROR(VLOOKUP(MID(G11,H11,I11-H11),[6]skilldef!$A:$B,2,FALSE),"-")</f>
        <v>- / 全体攻撃</v>
      </c>
      <c r="M11" s="61" t="str">
        <f t="shared" si="57"/>
        <v>none</v>
      </c>
      <c r="N11" s="47" t="str">
        <f t="shared" si="58"/>
        <v>none</v>
      </c>
      <c r="O11" s="61" t="e">
        <f t="shared" si="59"/>
        <v>#VALUE!</v>
      </c>
      <c r="P11" s="61">
        <f t="shared" si="60"/>
        <v>4</v>
      </c>
      <c r="Q11" s="61" t="e">
        <f t="shared" si="61"/>
        <v>#VALUE!</v>
      </c>
      <c r="R11" s="61" t="e">
        <f t="shared" si="62"/>
        <v>#VALUE!</v>
      </c>
      <c r="S11" s="61" t="str">
        <f>IFERROR(VLOOKUP(MID(N11,Q11,R11-Q11),[6]skilldef!$C:$D,2,FALSE),"-") &amp; " / " &amp; IFERROR(VLOOKUP(MID(N11,O11,P11-O11),[6]skilldef!$A:$B,2,FALSE),"-")</f>
        <v>- / -</v>
      </c>
      <c r="T11" s="47" t="str">
        <f t="shared" si="63"/>
        <v>none</v>
      </c>
      <c r="U11" s="61" t="e">
        <f t="shared" si="64"/>
        <v>#VALUE!</v>
      </c>
      <c r="V11" s="61">
        <f t="shared" si="65"/>
        <v>4</v>
      </c>
      <c r="W11" s="61" t="e">
        <f t="shared" si="66"/>
        <v>#VALUE!</v>
      </c>
      <c r="X11" s="61" t="e">
        <f t="shared" si="67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 x14ac:dyDescent="0.15">
      <c r="A12" s="96">
        <v>49003013</v>
      </c>
      <c r="B12" s="46" t="s">
        <v>242</v>
      </c>
      <c r="C12" s="49">
        <v>1</v>
      </c>
      <c r="D12" s="49" t="s">
        <v>126</v>
      </c>
      <c r="E12" s="50" t="s">
        <v>263</v>
      </c>
      <c r="F12" s="50" t="s">
        <v>257</v>
      </c>
      <c r="G12" s="61" t="str">
        <f t="shared" si="52"/>
        <v>[effect:critical, val:1.3]</v>
      </c>
      <c r="H12" s="61">
        <f t="shared" si="53"/>
        <v>9</v>
      </c>
      <c r="I12" s="61">
        <f t="shared" si="54"/>
        <v>17</v>
      </c>
      <c r="J12" s="61" t="e">
        <f t="shared" si="55"/>
        <v>#VALUE!</v>
      </c>
      <c r="K12" s="61" t="e">
        <f t="shared" si="56"/>
        <v>#VALUE!</v>
      </c>
      <c r="L12" s="61" t="str">
        <f>IFERROR(VLOOKUP(MID(G12,J12,K12-J12),[6]skilldef!$C:$D,2,FALSE),"-") &amp; " / " &amp; IFERROR(VLOOKUP(MID(G12,H12,I12-H12),[6]skilldef!$A:$B,2,FALSE),"-")</f>
        <v>- / 大攻撃</v>
      </c>
      <c r="M12" s="61" t="str">
        <f t="shared" si="57"/>
        <v>none</v>
      </c>
      <c r="N12" s="47" t="str">
        <f t="shared" si="58"/>
        <v>none</v>
      </c>
      <c r="O12" s="61" t="e">
        <f t="shared" si="59"/>
        <v>#VALUE!</v>
      </c>
      <c r="P12" s="61">
        <f t="shared" si="60"/>
        <v>4</v>
      </c>
      <c r="Q12" s="61" t="e">
        <f t="shared" si="61"/>
        <v>#VALUE!</v>
      </c>
      <c r="R12" s="61" t="e">
        <f t="shared" si="62"/>
        <v>#VALUE!</v>
      </c>
      <c r="S12" s="61" t="str">
        <f>IFERROR(VLOOKUP(MID(N12,Q12,R12-Q12),[6]skilldef!$C:$D,2,FALSE),"-") &amp; " / " &amp; IFERROR(VLOOKUP(MID(N12,O12,P12-O12),[6]skilldef!$A:$B,2,FALSE),"-")</f>
        <v>- / -</v>
      </c>
      <c r="T12" s="47" t="str">
        <f t="shared" si="63"/>
        <v>none</v>
      </c>
      <c r="U12" s="61" t="e">
        <f t="shared" si="64"/>
        <v>#VALUE!</v>
      </c>
      <c r="V12" s="61">
        <f t="shared" si="65"/>
        <v>4</v>
      </c>
      <c r="W12" s="61" t="e">
        <f t="shared" si="66"/>
        <v>#VALUE!</v>
      </c>
      <c r="X12" s="61" t="e">
        <f t="shared" si="67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 x14ac:dyDescent="0.15">
      <c r="A13" s="96">
        <v>49003014</v>
      </c>
      <c r="B13" s="46" t="s">
        <v>248</v>
      </c>
      <c r="C13" s="49">
        <v>1</v>
      </c>
      <c r="D13" s="49" t="s">
        <v>126</v>
      </c>
      <c r="E13" s="50" t="s">
        <v>264</v>
      </c>
      <c r="F13" s="50" t="s">
        <v>258</v>
      </c>
      <c r="G13" s="61" t="str">
        <f t="shared" si="52"/>
        <v>[effect:spread, val:0.1]</v>
      </c>
      <c r="H13" s="61">
        <f t="shared" si="53"/>
        <v>9</v>
      </c>
      <c r="I13" s="61">
        <f t="shared" si="54"/>
        <v>15</v>
      </c>
      <c r="J13" s="61" t="e">
        <f t="shared" si="55"/>
        <v>#VALUE!</v>
      </c>
      <c r="K13" s="61" t="e">
        <f t="shared" si="56"/>
        <v>#VALUE!</v>
      </c>
      <c r="L13" s="61" t="str">
        <f>IFERROR(VLOOKUP(MID(G13,J13,K13-J13),[6]skilldef!$C:$D,2,FALSE),"-") &amp; " / " &amp; IFERROR(VLOOKUP(MID(G13,H13,I13-H13),[6]skilldef!$A:$B,2,FALSE),"-")</f>
        <v>- / 全体攻撃</v>
      </c>
      <c r="M13" s="61" t="str">
        <f t="shared" si="57"/>
        <v xml:space="preserve">[effect:enhance_enemy, target:enemy_all, turn:-1, status:attack, val:1, calc:add, animation:enemy_enhance_attack],,[effect:fix_speed, target:myself, turn:2]    </v>
      </c>
      <c r="N13" s="47" t="str">
        <f t="shared" si="58"/>
        <v xml:space="preserve">[effect:enhance_enemy, target:enemy_all, turn:-1, status:attack, val:1, calc:add, animation:enemy_enhance_attack],,[effect:fix_speed, target:myself, turn:2]    </v>
      </c>
      <c r="O13" s="61">
        <f t="shared" si="59"/>
        <v>9</v>
      </c>
      <c r="P13" s="61">
        <f t="shared" si="60"/>
        <v>22</v>
      </c>
      <c r="Q13" s="61">
        <f t="shared" si="61"/>
        <v>31</v>
      </c>
      <c r="R13" s="61">
        <f t="shared" si="62"/>
        <v>40</v>
      </c>
      <c r="S13" s="61" t="str">
        <f>IFERROR(VLOOKUP(MID(N13,Q13,R13-Q13),[6]skilldef!$C:$D,2,FALSE),"-") &amp; " / " &amp; IFERROR(VLOOKUP(MID(N13,O13,P13-O13),[6]skilldef!$A:$B,2,FALSE),"-")</f>
        <v>敵全体に / ステータス強化</v>
      </c>
      <c r="T13" s="47" t="str">
        <f t="shared" si="63"/>
        <v xml:space="preserve">,[effect:fix_speed, target:myself, turn:2]    </v>
      </c>
      <c r="U13" s="61">
        <f t="shared" si="64"/>
        <v>10</v>
      </c>
      <c r="V13" s="61">
        <f t="shared" si="65"/>
        <v>1</v>
      </c>
      <c r="W13" s="61">
        <f t="shared" si="66"/>
        <v>28</v>
      </c>
      <c r="X13" s="61">
        <f t="shared" si="67"/>
        <v>19</v>
      </c>
      <c r="Y13" s="61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 x14ac:dyDescent="0.15">
      <c r="A14" s="96">
        <v>49003015</v>
      </c>
      <c r="B14" s="46" t="s">
        <v>220</v>
      </c>
      <c r="C14" s="49">
        <v>1</v>
      </c>
      <c r="D14" s="49" t="s">
        <v>126</v>
      </c>
      <c r="E14" s="50" t="s">
        <v>265</v>
      </c>
      <c r="F14" s="50" t="s">
        <v>256</v>
      </c>
      <c r="G14" s="61" t="str">
        <f t="shared" si="52"/>
        <v>[effect:rush, count:3, val:0.4]</v>
      </c>
      <c r="H14" s="61">
        <f t="shared" si="53"/>
        <v>9</v>
      </c>
      <c r="I14" s="61">
        <f t="shared" si="54"/>
        <v>13</v>
      </c>
      <c r="J14" s="61" t="e">
        <f t="shared" si="55"/>
        <v>#VALUE!</v>
      </c>
      <c r="K14" s="61">
        <f t="shared" si="56"/>
        <v>22</v>
      </c>
      <c r="L14" s="61" t="str">
        <f>IFERROR(VLOOKUP(MID(G14,J14,K14-J14),[6]skilldef!$C:$D,2,FALSE),"-") &amp; " / " &amp; IFERROR(VLOOKUP(MID(G14,H14,I14-H14),[6]skilldef!$A:$B,2,FALSE),"-")</f>
        <v>- / 連続攻撃</v>
      </c>
      <c r="M14" s="61" t="str">
        <f t="shared" si="57"/>
        <v>none</v>
      </c>
      <c r="N14" s="47" t="str">
        <f t="shared" si="58"/>
        <v>none</v>
      </c>
      <c r="O14" s="61" t="e">
        <f t="shared" si="59"/>
        <v>#VALUE!</v>
      </c>
      <c r="P14" s="61">
        <f t="shared" si="60"/>
        <v>4</v>
      </c>
      <c r="Q14" s="61" t="e">
        <f t="shared" si="61"/>
        <v>#VALUE!</v>
      </c>
      <c r="R14" s="61" t="e">
        <f t="shared" si="62"/>
        <v>#VALUE!</v>
      </c>
      <c r="S14" s="61" t="str">
        <f>IFERROR(VLOOKUP(MID(N14,Q14,R14-Q14),[6]skilldef!$C:$D,2,FALSE),"-") &amp; " / " &amp; IFERROR(VLOOKUP(MID(N14,O14,P14-O14),[6]skilldef!$A:$B,2,FALSE),"-")</f>
        <v>- / -</v>
      </c>
      <c r="T14" s="47" t="str">
        <f t="shared" si="63"/>
        <v>none</v>
      </c>
      <c r="U14" s="61" t="e">
        <f t="shared" si="64"/>
        <v>#VALUE!</v>
      </c>
      <c r="V14" s="61">
        <f t="shared" si="65"/>
        <v>4</v>
      </c>
      <c r="W14" s="61" t="e">
        <f t="shared" si="66"/>
        <v>#VALUE!</v>
      </c>
      <c r="X14" s="61" t="e">
        <f t="shared" si="67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 x14ac:dyDescent="0.15">
      <c r="A15" s="96">
        <v>49003016</v>
      </c>
      <c r="B15" s="46" t="s">
        <v>219</v>
      </c>
      <c r="C15" s="49">
        <v>1</v>
      </c>
      <c r="D15" s="49" t="s">
        <v>126</v>
      </c>
      <c r="E15" s="50" t="s">
        <v>266</v>
      </c>
      <c r="F15" s="50" t="s">
        <v>213</v>
      </c>
      <c r="G15" s="61" t="str">
        <f t="shared" si="52"/>
        <v>[effect:spread, val:0.3]</v>
      </c>
      <c r="H15" s="61">
        <f t="shared" si="53"/>
        <v>9</v>
      </c>
      <c r="I15" s="61">
        <f t="shared" si="54"/>
        <v>15</v>
      </c>
      <c r="J15" s="61" t="e">
        <f t="shared" si="55"/>
        <v>#VALUE!</v>
      </c>
      <c r="K15" s="61" t="e">
        <f t="shared" si="56"/>
        <v>#VALUE!</v>
      </c>
      <c r="L15" s="61" t="str">
        <f>IFERROR(VLOOKUP(MID(G15,J15,K15-J15),[6]skilldef!$C:$D,2,FALSE),"-") &amp; " / " &amp; IFERROR(VLOOKUP(MID(G15,H15,I15-H15),[6]skilldef!$A:$B,2,FALSE),"-")</f>
        <v>- / 全体攻撃</v>
      </c>
      <c r="M15" s="61" t="str">
        <f t="shared" si="57"/>
        <v>none</v>
      </c>
      <c r="N15" s="47" t="str">
        <f t="shared" si="58"/>
        <v>none</v>
      </c>
      <c r="O15" s="61" t="e">
        <f t="shared" si="59"/>
        <v>#VALUE!</v>
      </c>
      <c r="P15" s="61">
        <f t="shared" si="60"/>
        <v>4</v>
      </c>
      <c r="Q15" s="61" t="e">
        <f t="shared" si="61"/>
        <v>#VALUE!</v>
      </c>
      <c r="R15" s="61" t="e">
        <f t="shared" si="62"/>
        <v>#VALUE!</v>
      </c>
      <c r="S15" s="61" t="str">
        <f>IFERROR(VLOOKUP(MID(N15,Q15,R15-Q15),[6]skilldef!$C:$D,2,FALSE),"-") &amp; " / " &amp; IFERROR(VLOOKUP(MID(N15,O15,P15-O15),[6]skilldef!$A:$B,2,FALSE),"-")</f>
        <v>- / -</v>
      </c>
      <c r="T15" s="47" t="str">
        <f t="shared" si="63"/>
        <v>none</v>
      </c>
      <c r="U15" s="61" t="e">
        <f t="shared" si="64"/>
        <v>#VALUE!</v>
      </c>
      <c r="V15" s="61">
        <f t="shared" si="65"/>
        <v>4</v>
      </c>
      <c r="W15" s="61" t="e">
        <f t="shared" si="66"/>
        <v>#VALUE!</v>
      </c>
      <c r="X15" s="61" t="e">
        <f t="shared" si="67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 x14ac:dyDescent="0.15">
      <c r="A16" s="96">
        <v>49003017</v>
      </c>
      <c r="B16" s="46" t="s">
        <v>242</v>
      </c>
      <c r="C16" s="49">
        <v>1</v>
      </c>
      <c r="D16" s="49" t="s">
        <v>126</v>
      </c>
      <c r="E16" s="50" t="s">
        <v>267</v>
      </c>
      <c r="F16" s="50" t="s">
        <v>328</v>
      </c>
      <c r="G16" s="61" t="str">
        <f t="shared" si="52"/>
        <v>[effect:critical, val:1.3]</v>
      </c>
      <c r="H16" s="61">
        <f t="shared" si="53"/>
        <v>9</v>
      </c>
      <c r="I16" s="61">
        <f t="shared" si="54"/>
        <v>17</v>
      </c>
      <c r="J16" s="61" t="e">
        <f t="shared" si="55"/>
        <v>#VALUE!</v>
      </c>
      <c r="K16" s="61" t="e">
        <f t="shared" si="56"/>
        <v>#VALUE!</v>
      </c>
      <c r="L16" s="61" t="str">
        <f>IFERROR(VLOOKUP(MID(G16,J16,K16-J16),[6]skilldef!$C:$D,2,FALSE),"-") &amp; " / " &amp; IFERROR(VLOOKUP(MID(G16,H16,I16-H16),[6]skilldef!$A:$B,2,FALSE),"-")</f>
        <v>- / 大攻撃</v>
      </c>
      <c r="M16" s="61" t="str">
        <f t="shared" si="57"/>
        <v>none</v>
      </c>
      <c r="N16" s="47" t="str">
        <f>IFERROR(LEFT(M16,FIND("],",M16)+#REF!),M16)</f>
        <v>none</v>
      </c>
      <c r="O16" s="61" t="e">
        <f t="shared" si="59"/>
        <v>#VALUE!</v>
      </c>
      <c r="P16" s="61">
        <f t="shared" si="60"/>
        <v>4</v>
      </c>
      <c r="Q16" s="61" t="e">
        <f t="shared" si="61"/>
        <v>#VALUE!</v>
      </c>
      <c r="R16" s="61" t="e">
        <f t="shared" si="62"/>
        <v>#VALUE!</v>
      </c>
      <c r="S16" s="61" t="str">
        <f>IFERROR(VLOOKUP(MID(N16,Q16,R16-Q16),[6]skilldef!$C:$D,2,FALSE),"-") &amp; " / " &amp; IFERROR(VLOOKUP(MID(N16,O16,P16-O16),[6]skilldef!$A:$B,2,FALSE),"-")</f>
        <v>- / -</v>
      </c>
      <c r="T16" s="47" t="str">
        <f t="shared" si="63"/>
        <v>none</v>
      </c>
      <c r="U16" s="61" t="e">
        <f t="shared" si="64"/>
        <v>#VALUE!</v>
      </c>
      <c r="V16" s="61">
        <f t="shared" si="65"/>
        <v>4</v>
      </c>
      <c r="W16" s="61" t="e">
        <f t="shared" si="66"/>
        <v>#VALUE!</v>
      </c>
      <c r="X16" s="61" t="e">
        <f t="shared" si="67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 x14ac:dyDescent="0.15">
      <c r="A17" s="96">
        <v>49003018</v>
      </c>
      <c r="B17" s="46" t="s">
        <v>230</v>
      </c>
      <c r="C17" s="49">
        <v>1</v>
      </c>
      <c r="D17" s="49" t="s">
        <v>126</v>
      </c>
      <c r="E17" s="50" t="s">
        <v>351</v>
      </c>
      <c r="F17" s="50" t="s">
        <v>313</v>
      </c>
      <c r="G17" s="61" t="str">
        <f t="shared" ref="G17:G22" si="68">IFERROR(LEFT(B17,FIND("],",B17)),B17)</f>
        <v>[effect:degrade_unit, target:unit_all, turn:1, status:attack, val:1, calc:mul]</v>
      </c>
      <c r="H17" s="61">
        <f t="shared" ref="H17:H22" si="69">FIND("effect:",G17)+7</f>
        <v>9</v>
      </c>
      <c r="I17" s="61">
        <f t="shared" ref="I17:I22" si="70">IFERROR(FIND(",",G17),LEN(G17))</f>
        <v>21</v>
      </c>
      <c r="J17" s="61">
        <f t="shared" ref="J17:J22" si="71">FIND("target:",G17)+7</f>
        <v>30</v>
      </c>
      <c r="K17" s="61">
        <f t="shared" ref="K17:K22" si="72">FIND(",",G17,I17+1)</f>
        <v>38</v>
      </c>
      <c r="L17" s="61" t="str">
        <f>IFERROR(VLOOKUP(MID(G17,J17,K17-J17),[6]skilldef!$C:$D,2,FALSE),"-") &amp; " / " &amp; IFERROR(VLOOKUP(MID(G17,H17,I17-H17),[6]skilldef!$A:$B,2,FALSE),"-")</f>
        <v>味方全体に / ステータスDOWN</v>
      </c>
      <c r="M17" s="61" t="str">
        <f t="shared" ref="M17:M22" si="73">IFERROR(RIGHT(B17,LEN(B17)-FIND("],",B17)-1),"none")</f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17" s="47" t="str">
        <f>IFERROR(LEFT(M17,FIND("],",M17)+S28),M17)</f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17" s="61">
        <f t="shared" ref="O17:O22" si="74">FIND("effect:",N17)+7</f>
        <v>9</v>
      </c>
      <c r="P17" s="61">
        <f t="shared" ref="P17:P22" si="75">IFERROR(FIND(",",N17),LEN(N17))</f>
        <v>21</v>
      </c>
      <c r="Q17" s="61">
        <f t="shared" ref="Q17:Q22" si="76">FIND("target:",N17)+7</f>
        <v>53</v>
      </c>
      <c r="R17" s="61">
        <f t="shared" ref="R17:R22" si="77">FIND(",",N17,P17+1)</f>
        <v>44</v>
      </c>
      <c r="S17" s="61" t="str">
        <f>IFERROR(VLOOKUP(MID(N17,Q17,R17-Q17),[6]skilldef!$C:$D,2,FALSE),"-") &amp; " / " &amp; IFERROR(VLOOKUP(MID(N17,O17,P17-O17),[6]skilldef!$A:$B,2,FALSE),"-")</f>
        <v>- / ブロック変換</v>
      </c>
      <c r="T17" s="47" t="str">
        <f t="shared" ref="T17:T22" si="78">IFERROR(RIGHT(M17,LEN(M17)-FIND("],",M17)-1),"none")</f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17" s="61">
        <f t="shared" ref="U17:U22" si="79">FIND("effect:",T17)+7</f>
        <v>9</v>
      </c>
      <c r="V17" s="61">
        <f t="shared" ref="V17:V22" si="80">IFERROR(FIND(",",T17),LEN(T17))</f>
        <v>21</v>
      </c>
      <c r="W17" s="61">
        <f t="shared" ref="W17:W22" si="81">FIND("target:",T17)+7</f>
        <v>53</v>
      </c>
      <c r="X17" s="61">
        <f t="shared" ref="X17:X22" si="82">FIND(",",T17,V17+1)</f>
        <v>44</v>
      </c>
      <c r="Y17" s="61" t="str">
        <f>IFERROR(VLOOKUP(MID(T17,W17,X17-W17),[6]skilldef!$C:$D,2,FALSE),"-") &amp; " / " &amp; IFERROR(VLOOKUP(MID(T17,U17,V17-U17),[6]skilldef!$A:$B,2,FALSE),"-")</f>
        <v>- / ブロック変換</v>
      </c>
      <c r="Z17" s="49"/>
      <c r="AA17" s="51"/>
      <c r="AB17" s="49"/>
    </row>
    <row r="18" spans="1:28" ht="21" customHeight="1" x14ac:dyDescent="0.15">
      <c r="A18" s="101">
        <v>49003047</v>
      </c>
      <c r="B18" s="46" t="s">
        <v>221</v>
      </c>
      <c r="C18" s="49">
        <v>1</v>
      </c>
      <c r="D18" s="49" t="s">
        <v>126</v>
      </c>
      <c r="E18" s="50" t="s">
        <v>268</v>
      </c>
      <c r="F18" s="133" t="s">
        <v>329</v>
      </c>
      <c r="G18" s="61" t="str">
        <f t="shared" si="68"/>
        <v>[effect:rush, count:1, val:1]</v>
      </c>
      <c r="H18" s="61">
        <f t="shared" si="69"/>
        <v>9</v>
      </c>
      <c r="I18" s="61">
        <f t="shared" si="70"/>
        <v>13</v>
      </c>
      <c r="J18" s="61" t="e">
        <f t="shared" si="71"/>
        <v>#VALUE!</v>
      </c>
      <c r="K18" s="61">
        <f t="shared" si="72"/>
        <v>22</v>
      </c>
      <c r="L18" s="61" t="str">
        <f>IFERROR(VLOOKUP(MID(G18,J18,K18-J18),[6]skilldef!$C:$D,2,FALSE),"-") &amp; " / " &amp; IFERROR(VLOOKUP(MID(G18,H18,I18-H18),[6]skilldef!$A:$B,2,FALSE),"-")</f>
        <v>- / 連続攻撃</v>
      </c>
      <c r="M18" s="61" t="str">
        <f t="shared" si="73"/>
        <v>none</v>
      </c>
      <c r="N18" s="47" t="str">
        <f>IFERROR(LEFT(M18,FIND("],",M18)+S28),M18)</f>
        <v>none</v>
      </c>
      <c r="O18" s="61" t="e">
        <f t="shared" si="74"/>
        <v>#VALUE!</v>
      </c>
      <c r="P18" s="61">
        <f t="shared" si="75"/>
        <v>4</v>
      </c>
      <c r="Q18" s="61" t="e">
        <f t="shared" si="76"/>
        <v>#VALUE!</v>
      </c>
      <c r="R18" s="61" t="e">
        <f t="shared" si="77"/>
        <v>#VALUE!</v>
      </c>
      <c r="S18" s="61" t="str">
        <f>IFERROR(VLOOKUP(MID(N18,Q18,R18-Q18),[6]skilldef!$C:$D,2,FALSE),"-") &amp; " / " &amp; IFERROR(VLOOKUP(MID(N18,O18,P18-O18),[6]skilldef!$A:$B,2,FALSE),"-")</f>
        <v>- / -</v>
      </c>
      <c r="T18" s="47" t="str">
        <f t="shared" si="78"/>
        <v>none</v>
      </c>
      <c r="U18" s="61" t="e">
        <f t="shared" si="79"/>
        <v>#VALUE!</v>
      </c>
      <c r="V18" s="61">
        <f t="shared" si="80"/>
        <v>4</v>
      </c>
      <c r="W18" s="61" t="e">
        <f t="shared" si="81"/>
        <v>#VALUE!</v>
      </c>
      <c r="X18" s="61" t="e">
        <f t="shared" si="82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 x14ac:dyDescent="0.15">
      <c r="A19" s="101">
        <v>49003048</v>
      </c>
      <c r="B19" s="46" t="s">
        <v>241</v>
      </c>
      <c r="C19" s="49">
        <v>1</v>
      </c>
      <c r="D19" s="49" t="s">
        <v>126</v>
      </c>
      <c r="E19" s="50" t="s">
        <v>269</v>
      </c>
      <c r="F19" s="133" t="s">
        <v>330</v>
      </c>
      <c r="G19" s="61" t="str">
        <f t="shared" ref="G19:G20" si="83">IFERROR(LEFT(B19,FIND("],",B19)),B19)</f>
        <v>[effect:rush, count:1, val:1]</v>
      </c>
      <c r="H19" s="61">
        <f t="shared" ref="H19:H20" si="84">FIND("effect:",G19)+7</f>
        <v>9</v>
      </c>
      <c r="I19" s="61">
        <f t="shared" ref="I19:I20" si="85">IFERROR(FIND(",",G19),LEN(G19))</f>
        <v>13</v>
      </c>
      <c r="J19" s="61" t="e">
        <f t="shared" ref="J19:J20" si="86">FIND("target:",G19)+7</f>
        <v>#VALUE!</v>
      </c>
      <c r="K19" s="61">
        <f t="shared" ref="K19:K20" si="87">FIND(",",G19,I19+1)</f>
        <v>22</v>
      </c>
      <c r="L19" s="61" t="str">
        <f>IFERROR(VLOOKUP(MID(G19,J19,K19-J19),[6]skilldef!$C:$D,2,FALSE),"-") &amp; " / " &amp; IFERROR(VLOOKUP(MID(G19,H19,I19-H19),[6]skilldef!$A:$B,2,FALSE),"-")</f>
        <v>- / 連続攻撃</v>
      </c>
      <c r="M19" s="61" t="str">
        <f t="shared" ref="M19:M20" si="88">IFERROR(RIGHT(B19,LEN(B19)-FIND("],",B19)-1),"none")</f>
        <v>none</v>
      </c>
      <c r="N19" s="47" t="str">
        <f>IFERROR(LEFT(M19,FIND("],",M19)+S29),M19)</f>
        <v>none</v>
      </c>
      <c r="O19" s="61" t="e">
        <f t="shared" ref="O19:O20" si="89">FIND("effect:",N19)+7</f>
        <v>#VALUE!</v>
      </c>
      <c r="P19" s="61">
        <f t="shared" ref="P19:P20" si="90">IFERROR(FIND(",",N19),LEN(N19))</f>
        <v>4</v>
      </c>
      <c r="Q19" s="61" t="e">
        <f t="shared" ref="Q19:Q20" si="91">FIND("target:",N19)+7</f>
        <v>#VALUE!</v>
      </c>
      <c r="R19" s="61" t="e">
        <f t="shared" ref="R19:R20" si="92">FIND(",",N19,P19+1)</f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7" t="str">
        <f t="shared" ref="T19:T20" si="93">IFERROR(RIGHT(M19,LEN(M19)-FIND("],",M19)-1),"none")</f>
        <v>none</v>
      </c>
      <c r="U19" s="61" t="e">
        <f t="shared" ref="U19:U20" si="94">FIND("effect:",T19)+7</f>
        <v>#VALUE!</v>
      </c>
      <c r="V19" s="61">
        <f t="shared" ref="V19:V20" si="95">IFERROR(FIND(",",T19),LEN(T19))</f>
        <v>4</v>
      </c>
      <c r="W19" s="61" t="e">
        <f t="shared" ref="W19:W20" si="96">FIND("target:",T19)+7</f>
        <v>#VALUE!</v>
      </c>
      <c r="X19" s="61" t="e">
        <f t="shared" ref="X19:X20" si="97">FIND(",",T19,V19+1)</f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 x14ac:dyDescent="0.15">
      <c r="A20" s="101">
        <v>49003049</v>
      </c>
      <c r="B20" s="46" t="s">
        <v>241</v>
      </c>
      <c r="C20" s="49">
        <v>1</v>
      </c>
      <c r="D20" s="49" t="s">
        <v>126</v>
      </c>
      <c r="E20" s="50" t="s">
        <v>270</v>
      </c>
      <c r="F20" s="133" t="s">
        <v>331</v>
      </c>
      <c r="G20" s="61" t="str">
        <f t="shared" si="83"/>
        <v>[effect:rush, count:1, val:1]</v>
      </c>
      <c r="H20" s="61">
        <f t="shared" si="84"/>
        <v>9</v>
      </c>
      <c r="I20" s="61">
        <f t="shared" si="85"/>
        <v>13</v>
      </c>
      <c r="J20" s="61" t="e">
        <f t="shared" si="86"/>
        <v>#VALUE!</v>
      </c>
      <c r="K20" s="61">
        <f t="shared" si="87"/>
        <v>22</v>
      </c>
      <c r="L20" s="61" t="str">
        <f>IFERROR(VLOOKUP(MID(G20,J20,K20-J20),[6]skilldef!$C:$D,2,FALSE),"-") &amp; " / " &amp; IFERROR(VLOOKUP(MID(G20,H20,I20-H20),[6]skilldef!$A:$B,2,FALSE),"-")</f>
        <v>- / 連続攻撃</v>
      </c>
      <c r="M20" s="61" t="str">
        <f t="shared" si="88"/>
        <v>none</v>
      </c>
      <c r="N20" s="47" t="str">
        <f t="shared" ref="N20:N27" si="98">IFERROR(LEFT(M20,FIND("],",M20)+S29),M20)</f>
        <v>none</v>
      </c>
      <c r="O20" s="61" t="e">
        <f t="shared" si="89"/>
        <v>#VALUE!</v>
      </c>
      <c r="P20" s="61">
        <f t="shared" si="90"/>
        <v>4</v>
      </c>
      <c r="Q20" s="61" t="e">
        <f t="shared" si="91"/>
        <v>#VALUE!</v>
      </c>
      <c r="R20" s="61" t="e">
        <f t="shared" si="92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7" t="str">
        <f t="shared" si="93"/>
        <v>none</v>
      </c>
      <c r="U20" s="61" t="e">
        <f t="shared" si="94"/>
        <v>#VALUE!</v>
      </c>
      <c r="V20" s="61">
        <f t="shared" si="95"/>
        <v>4</v>
      </c>
      <c r="W20" s="61" t="e">
        <f t="shared" si="96"/>
        <v>#VALUE!</v>
      </c>
      <c r="X20" s="61" t="e">
        <f t="shared" si="97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</row>
    <row r="21" spans="1:28" ht="21" customHeight="1" x14ac:dyDescent="0.15">
      <c r="A21" s="96">
        <v>49003020</v>
      </c>
      <c r="B21" s="46" t="s">
        <v>221</v>
      </c>
      <c r="C21" s="49">
        <v>1</v>
      </c>
      <c r="D21" s="49" t="s">
        <v>126</v>
      </c>
      <c r="E21" s="50" t="s">
        <v>271</v>
      </c>
      <c r="F21" s="133" t="s">
        <v>332</v>
      </c>
      <c r="G21" s="61" t="str">
        <f t="shared" si="68"/>
        <v>[effect:rush, count:1, val:1]</v>
      </c>
      <c r="H21" s="61">
        <f t="shared" si="69"/>
        <v>9</v>
      </c>
      <c r="I21" s="61">
        <f t="shared" si="70"/>
        <v>13</v>
      </c>
      <c r="J21" s="61" t="e">
        <f t="shared" si="71"/>
        <v>#VALUE!</v>
      </c>
      <c r="K21" s="61">
        <f t="shared" si="72"/>
        <v>22</v>
      </c>
      <c r="L21" s="61" t="str">
        <f>IFERROR(VLOOKUP(MID(G21,J21,K21-J21),[6]skilldef!$C:$D,2,FALSE),"-") &amp; " / " &amp; IFERROR(VLOOKUP(MID(G21,H21,I21-H21),[6]skilldef!$A:$B,2,FALSE),"-")</f>
        <v>- / 連続攻撃</v>
      </c>
      <c r="M21" s="61" t="str">
        <f t="shared" si="73"/>
        <v>none</v>
      </c>
      <c r="N21" s="47" t="str">
        <f t="shared" si="98"/>
        <v>none</v>
      </c>
      <c r="O21" s="61" t="e">
        <f t="shared" si="74"/>
        <v>#VALUE!</v>
      </c>
      <c r="P21" s="61">
        <f t="shared" si="75"/>
        <v>4</v>
      </c>
      <c r="Q21" s="61" t="e">
        <f t="shared" si="76"/>
        <v>#VALUE!</v>
      </c>
      <c r="R21" s="61" t="e">
        <f t="shared" si="77"/>
        <v>#VALUE!</v>
      </c>
      <c r="S21" s="61" t="str">
        <f>IFERROR(VLOOKUP(MID(N21,Q21,R21-Q21),[6]skilldef!$C:$D,2,FALSE),"-") &amp; " / " &amp; IFERROR(VLOOKUP(MID(N21,O21,P21-O21),[6]skilldef!$A:$B,2,FALSE),"-")</f>
        <v>- / -</v>
      </c>
      <c r="T21" s="47" t="str">
        <f t="shared" si="78"/>
        <v>none</v>
      </c>
      <c r="U21" s="61" t="e">
        <f t="shared" si="79"/>
        <v>#VALUE!</v>
      </c>
      <c r="V21" s="61">
        <f t="shared" si="80"/>
        <v>4</v>
      </c>
      <c r="W21" s="61" t="e">
        <f t="shared" si="81"/>
        <v>#VALUE!</v>
      </c>
      <c r="X21" s="61" t="e">
        <f t="shared" si="82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 x14ac:dyDescent="0.15">
      <c r="A22" s="96">
        <v>49003021</v>
      </c>
      <c r="B22" s="46" t="s">
        <v>227</v>
      </c>
      <c r="C22" s="49">
        <v>1</v>
      </c>
      <c r="D22" s="49" t="s">
        <v>231</v>
      </c>
      <c r="E22" s="50" t="s">
        <v>272</v>
      </c>
      <c r="F22" s="50" t="s">
        <v>293</v>
      </c>
      <c r="G22" s="61" t="str">
        <f t="shared" si="68"/>
        <v>[effect:critical, val:1.4]</v>
      </c>
      <c r="H22" s="61">
        <f t="shared" si="69"/>
        <v>9</v>
      </c>
      <c r="I22" s="61">
        <f t="shared" si="70"/>
        <v>17</v>
      </c>
      <c r="J22" s="61" t="e">
        <f t="shared" si="71"/>
        <v>#VALUE!</v>
      </c>
      <c r="K22" s="61" t="e">
        <f t="shared" si="72"/>
        <v>#VALUE!</v>
      </c>
      <c r="L22" s="61" t="str">
        <f>IFERROR(VLOOKUP(MID(G22,J22,K22-J22),[6]skilldef!$C:$D,2,FALSE),"-") &amp; " / " &amp; IFERROR(VLOOKUP(MID(G22,H22,I22-H22),[6]skilldef!$A:$B,2,FALSE),"-")</f>
        <v>- / 大攻撃</v>
      </c>
      <c r="M22" s="61" t="str">
        <f t="shared" si="73"/>
        <v>none</v>
      </c>
      <c r="N22" s="47" t="str">
        <f t="shared" si="98"/>
        <v>none</v>
      </c>
      <c r="O22" s="61" t="e">
        <f t="shared" si="74"/>
        <v>#VALUE!</v>
      </c>
      <c r="P22" s="61">
        <f t="shared" si="75"/>
        <v>4</v>
      </c>
      <c r="Q22" s="61" t="e">
        <f t="shared" si="76"/>
        <v>#VALUE!</v>
      </c>
      <c r="R22" s="61" t="e">
        <f t="shared" si="77"/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7" t="str">
        <f t="shared" si="78"/>
        <v>none</v>
      </c>
      <c r="U22" s="61" t="e">
        <f t="shared" si="79"/>
        <v>#VALUE!</v>
      </c>
      <c r="V22" s="61">
        <f t="shared" si="80"/>
        <v>4</v>
      </c>
      <c r="W22" s="61" t="e">
        <f t="shared" si="81"/>
        <v>#VALUE!</v>
      </c>
      <c r="X22" s="61" t="e">
        <f t="shared" si="82"/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 x14ac:dyDescent="0.15">
      <c r="A23" s="96">
        <v>49003022</v>
      </c>
      <c r="B23" s="46" t="s">
        <v>247</v>
      </c>
      <c r="C23" s="49">
        <v>1</v>
      </c>
      <c r="D23" s="49" t="s">
        <v>126</v>
      </c>
      <c r="E23" s="50" t="s">
        <v>273</v>
      </c>
      <c r="F23" s="50" t="s">
        <v>314</v>
      </c>
      <c r="G23" s="61" t="str">
        <f t="shared" ref="G23:G27" si="99">IFERROR(LEFT(B23,FIND("],",B23)),B23)</f>
        <v>[effect:enemy_counter, target:myself, invoke_condition:unit_all, counter_target:attacker, turn:-1, val:0.1, animation:enemy_counter]</v>
      </c>
      <c r="H23" s="61">
        <f t="shared" ref="H23:H27" si="100">FIND("effect:",G23)+7</f>
        <v>9</v>
      </c>
      <c r="I23" s="61">
        <f t="shared" ref="I23:I27" si="101">IFERROR(FIND(",",G23),LEN(G23))</f>
        <v>22</v>
      </c>
      <c r="J23" s="61">
        <f t="shared" ref="J23:J27" si="102">FIND("target:",G23)+7</f>
        <v>31</v>
      </c>
      <c r="K23" s="61">
        <f t="shared" ref="K23:K27" si="103">FIND(",",G23,I23+1)</f>
        <v>37</v>
      </c>
      <c r="L23" s="61" t="str">
        <f>IFERROR(VLOOKUP(MID(G23,J23,K23-J23),[6]skilldef!$C:$D,2,FALSE),"-") &amp; " / " &amp; IFERROR(VLOOKUP(MID(G23,H23,I23-H23),[6]skilldef!$A:$B,2,FALSE),"-")</f>
        <v>自分自身に / カウンター</v>
      </c>
      <c r="M23" s="61" t="str">
        <f t="shared" ref="M23:M27" si="104">IFERROR(RIGHT(B23,LEN(B23)-FIND("],",B23)-1),"none")</f>
        <v>[effect:fix_speed, target:myself, turn:1]</v>
      </c>
      <c r="N23" s="47" t="str">
        <f t="shared" si="98"/>
        <v>[effect:fix_speed, target:myself, turn:1]</v>
      </c>
      <c r="O23" s="61">
        <f t="shared" ref="O23:O27" si="105">FIND("effect:",N23)+7</f>
        <v>9</v>
      </c>
      <c r="P23" s="61">
        <f t="shared" ref="P23:P27" si="106">IFERROR(FIND(",",N23),LEN(N23))</f>
        <v>18</v>
      </c>
      <c r="Q23" s="61">
        <f t="shared" ref="Q23:Q27" si="107">FIND("target:",N23)+7</f>
        <v>27</v>
      </c>
      <c r="R23" s="61">
        <f t="shared" ref="R23:R27" si="108">FIND(",",N23,P23+1)</f>
        <v>33</v>
      </c>
      <c r="S23" s="61" t="str">
        <f>IFERROR(VLOOKUP(MID(N23,Q23,R23-Q23),[6]skilldef!$C:$D,2,FALSE),"-") &amp; " / " &amp; IFERROR(VLOOKUP(MID(N23,O23,P23-O23),[6]skilldef!$A:$B,2,FALSE),"-")</f>
        <v>自分自身に / 行動値設定</v>
      </c>
      <c r="T23" s="47" t="str">
        <f t="shared" ref="T23:T27" si="109">IFERROR(RIGHT(M23,LEN(M23)-FIND("],",M23)-1),"none")</f>
        <v>none</v>
      </c>
      <c r="U23" s="61" t="e">
        <f t="shared" ref="U23:U27" si="110">FIND("effect:",T23)+7</f>
        <v>#VALUE!</v>
      </c>
      <c r="V23" s="61">
        <f t="shared" ref="V23:V27" si="111">IFERROR(FIND(",",T23),LEN(T23))</f>
        <v>4</v>
      </c>
      <c r="W23" s="61" t="e">
        <f t="shared" ref="W23:W27" si="112">FIND("target:",T23)+7</f>
        <v>#VALUE!</v>
      </c>
      <c r="X23" s="61" t="e">
        <f t="shared" ref="X23:X27" si="113">FIND(",",T23,V23+1)</f>
        <v>#VALUE!</v>
      </c>
      <c r="Y23" s="61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</row>
    <row r="24" spans="1:28" ht="21" customHeight="1" x14ac:dyDescent="0.15">
      <c r="A24" s="96">
        <v>49003023</v>
      </c>
      <c r="B24" s="46" t="s">
        <v>229</v>
      </c>
      <c r="C24" s="49">
        <v>1</v>
      </c>
      <c r="D24" s="49" t="s">
        <v>126</v>
      </c>
      <c r="E24" s="50" t="s">
        <v>274</v>
      </c>
      <c r="F24" s="50" t="s">
        <v>213</v>
      </c>
      <c r="G24" s="61" t="str">
        <f t="shared" si="99"/>
        <v>[effect:spread, val:0.3]</v>
      </c>
      <c r="H24" s="61">
        <f t="shared" si="100"/>
        <v>9</v>
      </c>
      <c r="I24" s="61">
        <f t="shared" si="101"/>
        <v>15</v>
      </c>
      <c r="J24" s="61" t="e">
        <f t="shared" si="102"/>
        <v>#VALUE!</v>
      </c>
      <c r="K24" s="61" t="e">
        <f t="shared" si="103"/>
        <v>#VALUE!</v>
      </c>
      <c r="L24" s="61" t="str">
        <f>IFERROR(VLOOKUP(MID(G24,J24,K24-J24),[6]skilldef!$C:$D,2,FALSE),"-") &amp; " / " &amp; IFERROR(VLOOKUP(MID(G24,H24,I24-H24),[6]skilldef!$A:$B,2,FALSE),"-")</f>
        <v>- / 全体攻撃</v>
      </c>
      <c r="M24" s="61" t="str">
        <f t="shared" si="104"/>
        <v>none</v>
      </c>
      <c r="N24" s="47" t="str">
        <f t="shared" si="98"/>
        <v>none</v>
      </c>
      <c r="O24" s="61" t="e">
        <f t="shared" si="105"/>
        <v>#VALUE!</v>
      </c>
      <c r="P24" s="61">
        <f t="shared" si="106"/>
        <v>4</v>
      </c>
      <c r="Q24" s="61" t="e">
        <f t="shared" si="107"/>
        <v>#VALUE!</v>
      </c>
      <c r="R24" s="61" t="e">
        <f t="shared" si="108"/>
        <v>#VALUE!</v>
      </c>
      <c r="S24" s="61" t="str">
        <f>IFERROR(VLOOKUP(MID(N24,Q24,R24-Q24),[6]skilldef!$C:$D,2,FALSE),"-") &amp; " / " &amp; IFERROR(VLOOKUP(MID(N24,O24,P24-O24),[6]skilldef!$A:$B,2,FALSE),"-")</f>
        <v>- / -</v>
      </c>
      <c r="T24" s="47" t="str">
        <f t="shared" si="109"/>
        <v>none</v>
      </c>
      <c r="U24" s="61" t="e">
        <f t="shared" si="110"/>
        <v>#VALUE!</v>
      </c>
      <c r="V24" s="61">
        <f t="shared" si="111"/>
        <v>4</v>
      </c>
      <c r="W24" s="61" t="e">
        <f t="shared" si="112"/>
        <v>#VALUE!</v>
      </c>
      <c r="X24" s="61" t="e">
        <f t="shared" si="113"/>
        <v>#VALUE!</v>
      </c>
      <c r="Y24" s="61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</row>
    <row r="25" spans="1:28" ht="21" customHeight="1" x14ac:dyDescent="0.15">
      <c r="A25" s="96">
        <v>49003024</v>
      </c>
      <c r="B25" s="46" t="s">
        <v>228</v>
      </c>
      <c r="C25" s="49">
        <v>1</v>
      </c>
      <c r="D25" s="49" t="s">
        <v>126</v>
      </c>
      <c r="E25" s="50" t="s">
        <v>275</v>
      </c>
      <c r="F25" s="133" t="s">
        <v>336</v>
      </c>
      <c r="G25" s="61" t="str">
        <f t="shared" si="99"/>
        <v>[effect:rush, count:1, val:1]</v>
      </c>
      <c r="H25" s="61">
        <f t="shared" si="100"/>
        <v>9</v>
      </c>
      <c r="I25" s="61">
        <f t="shared" si="101"/>
        <v>13</v>
      </c>
      <c r="J25" s="61" t="e">
        <f t="shared" si="102"/>
        <v>#VALUE!</v>
      </c>
      <c r="K25" s="61">
        <f t="shared" si="103"/>
        <v>22</v>
      </c>
      <c r="L25" s="61" t="str">
        <f>IFERROR(VLOOKUP(MID(G25,J25,K25-J25),[6]skilldef!$C:$D,2,FALSE),"-") &amp; " / " &amp; IFERROR(VLOOKUP(MID(G25,H25,I25-H25),[6]skilldef!$A:$B,2,FALSE),"-")</f>
        <v>- / 連続攻撃</v>
      </c>
      <c r="M25" s="61" t="str">
        <f t="shared" si="104"/>
        <v>none</v>
      </c>
      <c r="N25" s="47" t="str">
        <f t="shared" si="98"/>
        <v>none</v>
      </c>
      <c r="O25" s="61" t="e">
        <f t="shared" si="105"/>
        <v>#VALUE!</v>
      </c>
      <c r="P25" s="61">
        <f t="shared" si="106"/>
        <v>4</v>
      </c>
      <c r="Q25" s="61" t="e">
        <f t="shared" si="107"/>
        <v>#VALUE!</v>
      </c>
      <c r="R25" s="61" t="e">
        <f t="shared" si="108"/>
        <v>#VALUE!</v>
      </c>
      <c r="S25" s="61" t="str">
        <f>IFERROR(VLOOKUP(MID(N25,Q25,R25-Q25),[6]skilldef!$C:$D,2,FALSE),"-") &amp; " / " &amp; IFERROR(VLOOKUP(MID(N25,O25,P25-O25),[6]skilldef!$A:$B,2,FALSE),"-")</f>
        <v>- / -</v>
      </c>
      <c r="T25" s="47" t="str">
        <f t="shared" si="109"/>
        <v>none</v>
      </c>
      <c r="U25" s="61" t="e">
        <f t="shared" si="110"/>
        <v>#VALUE!</v>
      </c>
      <c r="V25" s="61">
        <f t="shared" si="111"/>
        <v>4</v>
      </c>
      <c r="W25" s="61" t="e">
        <f t="shared" si="112"/>
        <v>#VALUE!</v>
      </c>
      <c r="X25" s="61" t="e">
        <f t="shared" si="113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 x14ac:dyDescent="0.15">
      <c r="A26" s="96">
        <v>49003025</v>
      </c>
      <c r="B26" s="46" t="s">
        <v>243</v>
      </c>
      <c r="C26" s="49">
        <v>1</v>
      </c>
      <c r="D26" s="49" t="s">
        <v>126</v>
      </c>
      <c r="E26" s="50" t="s">
        <v>276</v>
      </c>
      <c r="F26" s="50" t="s">
        <v>315</v>
      </c>
      <c r="G26" s="61" t="str">
        <f t="shared" si="99"/>
        <v>[effect:enhance_enemy, target:enemy_all, turn:-1, status:attack, val:0.2, calc:mul, animation:enemy_enhance_attack]</v>
      </c>
      <c r="H26" s="61">
        <f t="shared" si="100"/>
        <v>9</v>
      </c>
      <c r="I26" s="61">
        <f t="shared" si="101"/>
        <v>22</v>
      </c>
      <c r="J26" s="61">
        <f t="shared" si="102"/>
        <v>31</v>
      </c>
      <c r="K26" s="61">
        <f t="shared" si="103"/>
        <v>40</v>
      </c>
      <c r="L26" s="61" t="str">
        <f>IFERROR(VLOOKUP(MID(G26,J26,K26-J26),[6]skilldef!$C:$D,2,FALSE),"-") &amp; " / " &amp; IFERROR(VLOOKUP(MID(G26,H26,I26-H26),[6]skilldef!$A:$B,2,FALSE),"-")</f>
        <v>敵全体に / ステータス強化</v>
      </c>
      <c r="M26" s="61" t="str">
        <f t="shared" si="104"/>
        <v xml:space="preserve">[effect:fix_speed, target:myself, turn:2]    </v>
      </c>
      <c r="N26" s="47" t="str">
        <f t="shared" si="98"/>
        <v xml:space="preserve">[effect:fix_speed, target:myself, turn:2]    </v>
      </c>
      <c r="O26" s="61">
        <f t="shared" si="105"/>
        <v>9</v>
      </c>
      <c r="P26" s="61">
        <f t="shared" si="106"/>
        <v>18</v>
      </c>
      <c r="Q26" s="61">
        <f t="shared" si="107"/>
        <v>27</v>
      </c>
      <c r="R26" s="61">
        <f t="shared" si="108"/>
        <v>33</v>
      </c>
      <c r="S26" s="61" t="str">
        <f>IFERROR(VLOOKUP(MID(N26,Q26,R26-Q26),[6]skilldef!$C:$D,2,FALSE),"-") &amp; " / " &amp; IFERROR(VLOOKUP(MID(N26,O26,P26-O26),[6]skilldef!$A:$B,2,FALSE),"-")</f>
        <v>自分自身に / 行動値設定</v>
      </c>
      <c r="T26" s="47" t="str">
        <f t="shared" si="109"/>
        <v>none</v>
      </c>
      <c r="U26" s="61" t="e">
        <f t="shared" si="110"/>
        <v>#VALUE!</v>
      </c>
      <c r="V26" s="61">
        <f t="shared" si="111"/>
        <v>4</v>
      </c>
      <c r="W26" s="61" t="e">
        <f t="shared" si="112"/>
        <v>#VALUE!</v>
      </c>
      <c r="X26" s="61" t="e">
        <f t="shared" si="113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 x14ac:dyDescent="0.15">
      <c r="A27" s="96">
        <v>49003026</v>
      </c>
      <c r="B27" s="46" t="s">
        <v>244</v>
      </c>
      <c r="C27" s="49">
        <v>1</v>
      </c>
      <c r="D27" s="49" t="s">
        <v>126</v>
      </c>
      <c r="E27" s="50" t="s">
        <v>277</v>
      </c>
      <c r="F27" s="50" t="s">
        <v>316</v>
      </c>
      <c r="G27" s="61" t="str">
        <f t="shared" si="99"/>
        <v>[effect:critical, val:1.3]</v>
      </c>
      <c r="H27" s="61">
        <f t="shared" si="100"/>
        <v>9</v>
      </c>
      <c r="I27" s="61">
        <f t="shared" si="101"/>
        <v>17</v>
      </c>
      <c r="J27" s="61" t="e">
        <f t="shared" si="102"/>
        <v>#VALUE!</v>
      </c>
      <c r="K27" s="61" t="e">
        <f t="shared" si="103"/>
        <v>#VALUE!</v>
      </c>
      <c r="L27" s="61" t="str">
        <f>IFERROR(VLOOKUP(MID(G27,J27,K27-J27),[6]skilldef!$C:$D,2,FALSE),"-") &amp; " / " &amp; IFERROR(VLOOKUP(MID(G27,H27,I27-H27),[6]skilldef!$A:$B,2,FALSE),"-")</f>
        <v>- / 大攻撃</v>
      </c>
      <c r="M27" s="61" t="str">
        <f t="shared" si="104"/>
        <v xml:space="preserve">[effect:fix_speed, target:myself, turn:1]    </v>
      </c>
      <c r="N27" s="47" t="str">
        <f t="shared" si="98"/>
        <v xml:space="preserve">[effect:fix_speed, target:myself, turn:1]    </v>
      </c>
      <c r="O27" s="61">
        <f t="shared" si="105"/>
        <v>9</v>
      </c>
      <c r="P27" s="61">
        <f t="shared" si="106"/>
        <v>18</v>
      </c>
      <c r="Q27" s="61">
        <f t="shared" si="107"/>
        <v>27</v>
      </c>
      <c r="R27" s="61">
        <f t="shared" si="108"/>
        <v>33</v>
      </c>
      <c r="S27" s="61" t="str">
        <f>IFERROR(VLOOKUP(MID(N27,Q27,R27-Q27),[6]skilldef!$C:$D,2,FALSE),"-") &amp; " / " &amp; IFERROR(VLOOKUP(MID(N27,O27,P27-O27),[6]skilldef!$A:$B,2,FALSE),"-")</f>
        <v>自分自身に / 行動値設定</v>
      </c>
      <c r="T27" s="47" t="str">
        <f t="shared" si="109"/>
        <v>none</v>
      </c>
      <c r="U27" s="61" t="e">
        <f t="shared" si="110"/>
        <v>#VALUE!</v>
      </c>
      <c r="V27" s="61">
        <f t="shared" si="111"/>
        <v>4</v>
      </c>
      <c r="W27" s="61" t="e">
        <f t="shared" si="112"/>
        <v>#VALUE!</v>
      </c>
      <c r="X27" s="61" t="e">
        <f t="shared" si="113"/>
        <v>#VALUE!</v>
      </c>
      <c r="Y27" s="61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 x14ac:dyDescent="0.15">
      <c r="A28" s="96">
        <v>49003028</v>
      </c>
      <c r="B28" s="46" t="s">
        <v>319</v>
      </c>
      <c r="C28" s="49">
        <v>1</v>
      </c>
      <c r="D28" s="49" t="s">
        <v>126</v>
      </c>
      <c r="E28" s="50" t="s">
        <v>358</v>
      </c>
      <c r="F28" s="50" t="s">
        <v>317</v>
      </c>
      <c r="G28" s="61" t="str">
        <f t="shared" ref="G28:G32" si="114">IFERROR(LEFT(B28,FIND("],",B28)),B28)</f>
        <v>[effect:damage_anti_tribe, target:unit_all, tribe:human, val1:0.1, val2:0.9]</v>
      </c>
      <c r="H28" s="61">
        <f t="shared" ref="H28:H32" si="115">FIND("effect:",G28)+7</f>
        <v>9</v>
      </c>
      <c r="I28" s="61">
        <f t="shared" ref="I28:I32" si="116">IFERROR(FIND(",",G28),LEN(G28))</f>
        <v>26</v>
      </c>
      <c r="J28" s="61">
        <f t="shared" ref="J28:J32" si="117">FIND("target:",G28)+7</f>
        <v>35</v>
      </c>
      <c r="K28" s="61">
        <f t="shared" ref="K28:K32" si="118">FIND(",",G28,I28+1)</f>
        <v>43</v>
      </c>
      <c r="L28" s="61" t="str">
        <f>IFERROR(VLOOKUP(MID(G28,J28,K28-J28),[6]skilldef!$C:$D,2,FALSE),"-") &amp; " / " &amp; IFERROR(VLOOKUP(MID(G28,H28,I28-H28),[6]skilldef!$A:$B,2,FALSE),"-")</f>
        <v>味方全体に / 種族キラー</v>
      </c>
      <c r="M28" s="61" t="str">
        <f t="shared" ref="M28:M32" si="119">IFERROR(RIGHT(B28,LEN(B28)-FIND("],",B28)-1),"none")</f>
        <v xml:space="preserve">[effect:fix_speed, target:myself, turn:1]    </v>
      </c>
      <c r="N28" s="47" t="str">
        <f t="shared" ref="N28:N32" si="120">IFERROR(LEFT(M28,FIND("],",M28)+S38),M28)</f>
        <v xml:space="preserve">[effect:fix_speed, target:myself, turn:1]    </v>
      </c>
      <c r="O28" s="61">
        <f t="shared" ref="O28:O32" si="121">FIND("effect:",N28)+7</f>
        <v>9</v>
      </c>
      <c r="P28" s="61">
        <f t="shared" ref="P28:P32" si="122">IFERROR(FIND(",",N28),LEN(N28))</f>
        <v>18</v>
      </c>
      <c r="Q28" s="61">
        <f t="shared" ref="Q28:Q32" si="123">FIND("target:",N28)+7</f>
        <v>27</v>
      </c>
      <c r="R28" s="61">
        <f t="shared" ref="R28:R32" si="124">FIND(",",N28,P28+1)</f>
        <v>33</v>
      </c>
      <c r="S28" s="61" t="str">
        <f>IFERROR(VLOOKUP(MID(N28,Q28,R28-Q28),[6]skilldef!$C:$D,2,FALSE),"-") &amp; " / " &amp; IFERROR(VLOOKUP(MID(N28,O28,P28-O28),[6]skilldef!$A:$B,2,FALSE),"-")</f>
        <v>自分自身に / 行動値設定</v>
      </c>
      <c r="T28" s="47" t="str">
        <f t="shared" ref="T28:T32" si="125">IFERROR(RIGHT(M28,LEN(M28)-FIND("],",M28)-1),"none")</f>
        <v>none</v>
      </c>
      <c r="U28" s="61" t="e">
        <f t="shared" ref="U28:U32" si="126">FIND("effect:",T28)+7</f>
        <v>#VALUE!</v>
      </c>
      <c r="V28" s="61">
        <f t="shared" ref="V28:V32" si="127">IFERROR(FIND(",",T28),LEN(T28))</f>
        <v>4</v>
      </c>
      <c r="W28" s="61" t="e">
        <f t="shared" ref="W28:W32" si="128">FIND("target:",T28)+7</f>
        <v>#VALUE!</v>
      </c>
      <c r="X28" s="61" t="e">
        <f t="shared" ref="X28:X32" si="129">FIND(",",T28,V28+1)</f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 x14ac:dyDescent="0.15">
      <c r="A29" s="96">
        <v>49003029</v>
      </c>
      <c r="B29" s="46" t="s">
        <v>318</v>
      </c>
      <c r="C29" s="49">
        <v>1</v>
      </c>
      <c r="D29" s="49" t="s">
        <v>126</v>
      </c>
      <c r="E29" s="50" t="s">
        <v>278</v>
      </c>
      <c r="F29" s="137" t="s">
        <v>342</v>
      </c>
      <c r="G29" s="61" t="str">
        <f t="shared" si="114"/>
        <v>[effect:rush, count:1, val:1]</v>
      </c>
      <c r="H29" s="61">
        <f t="shared" si="115"/>
        <v>9</v>
      </c>
      <c r="I29" s="61">
        <f t="shared" si="116"/>
        <v>13</v>
      </c>
      <c r="J29" s="61" t="e">
        <f t="shared" si="117"/>
        <v>#VALUE!</v>
      </c>
      <c r="K29" s="61">
        <f t="shared" si="118"/>
        <v>22</v>
      </c>
      <c r="L29" s="61" t="str">
        <f>IFERROR(VLOOKUP(MID(G29,J29,K29-J29),[6]skilldef!$C:$D,2,FALSE),"-") &amp; " / " &amp; IFERROR(VLOOKUP(MID(G29,H29,I29-H29),[6]skilldef!$A:$B,2,FALSE),"-")</f>
        <v>- / 連続攻撃</v>
      </c>
      <c r="M29" s="61" t="str">
        <f t="shared" si="119"/>
        <v>none</v>
      </c>
      <c r="N29" s="47" t="str">
        <f t="shared" si="120"/>
        <v>none</v>
      </c>
      <c r="O29" s="61" t="e">
        <f t="shared" si="121"/>
        <v>#VALUE!</v>
      </c>
      <c r="P29" s="61">
        <f t="shared" si="122"/>
        <v>4</v>
      </c>
      <c r="Q29" s="61" t="e">
        <f t="shared" si="123"/>
        <v>#VALUE!</v>
      </c>
      <c r="R29" s="61" t="e">
        <f t="shared" si="124"/>
        <v>#VALUE!</v>
      </c>
      <c r="S29" s="61" t="str">
        <f>IFERROR(VLOOKUP(MID(N29,Q29,R29-Q29),[6]skilldef!$C:$D,2,FALSE),"-") &amp; " / " &amp; IFERROR(VLOOKUP(MID(N29,O29,P29-O29),[6]skilldef!$A:$B,2,FALSE),"-")</f>
        <v>- / -</v>
      </c>
      <c r="T29" s="47" t="str">
        <f t="shared" si="125"/>
        <v>none</v>
      </c>
      <c r="U29" s="61" t="e">
        <f t="shared" si="126"/>
        <v>#VALUE!</v>
      </c>
      <c r="V29" s="61">
        <f t="shared" si="127"/>
        <v>4</v>
      </c>
      <c r="W29" s="61" t="e">
        <f t="shared" si="128"/>
        <v>#VALUE!</v>
      </c>
      <c r="X29" s="61" t="e">
        <f t="shared" si="129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 x14ac:dyDescent="0.15">
      <c r="A30" s="96">
        <v>49003030</v>
      </c>
      <c r="B30" s="46" t="s">
        <v>253</v>
      </c>
      <c r="C30" s="49">
        <v>1</v>
      </c>
      <c r="D30" s="49" t="s">
        <v>126</v>
      </c>
      <c r="E30" s="50" t="s">
        <v>279</v>
      </c>
      <c r="F30" s="50" t="s">
        <v>324</v>
      </c>
      <c r="G30" s="61" t="str">
        <f t="shared" si="114"/>
        <v>[effect:change_block, new_block:time_bomb, target:block_all, count:3, val:0.2, min_time_count:1, max_time_count:1, animation:change_block]</v>
      </c>
      <c r="H30" s="61">
        <f t="shared" si="115"/>
        <v>9</v>
      </c>
      <c r="I30" s="61">
        <f t="shared" si="116"/>
        <v>21</v>
      </c>
      <c r="J30" s="61">
        <f t="shared" si="117"/>
        <v>51</v>
      </c>
      <c r="K30" s="61">
        <f t="shared" si="118"/>
        <v>42</v>
      </c>
      <c r="L30" s="61" t="str">
        <f>IFERROR(VLOOKUP(MID(G30,J30,K30-J30),[6]skilldef!$C:$D,2,FALSE),"-") &amp; " / " &amp; IFERROR(VLOOKUP(MID(G30,H30,I30-H30),[6]skilldef!$A:$B,2,FALSE),"-")</f>
        <v>- / ブロック変換</v>
      </c>
      <c r="M30" s="61" t="str">
        <f t="shared" si="119"/>
        <v>[effect:rush, count:1, val:1]</v>
      </c>
      <c r="N30" s="47" t="str">
        <f t="shared" si="120"/>
        <v>[effect:rush, count:1, val:1]</v>
      </c>
      <c r="O30" s="61">
        <f t="shared" si="121"/>
        <v>9</v>
      </c>
      <c r="P30" s="61">
        <f t="shared" si="122"/>
        <v>13</v>
      </c>
      <c r="Q30" s="61" t="e">
        <f t="shared" si="123"/>
        <v>#VALUE!</v>
      </c>
      <c r="R30" s="61">
        <f t="shared" si="124"/>
        <v>22</v>
      </c>
      <c r="S30" s="61" t="str">
        <f>IFERROR(VLOOKUP(MID(N30,Q30,R30-Q30),[6]skilldef!$C:$D,2,FALSE),"-") &amp; " / " &amp; IFERROR(VLOOKUP(MID(N30,O30,P30-O30),[6]skilldef!$A:$B,2,FALSE),"-")</f>
        <v>- / 連続攻撃</v>
      </c>
      <c r="T30" s="47" t="str">
        <f t="shared" si="125"/>
        <v>none</v>
      </c>
      <c r="U30" s="61" t="e">
        <f t="shared" si="126"/>
        <v>#VALUE!</v>
      </c>
      <c r="V30" s="61">
        <f t="shared" si="127"/>
        <v>4</v>
      </c>
      <c r="W30" s="61" t="e">
        <f t="shared" si="128"/>
        <v>#VALUE!</v>
      </c>
      <c r="X30" s="61" t="e">
        <f t="shared" si="129"/>
        <v>#VALUE!</v>
      </c>
      <c r="Y30" s="61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 x14ac:dyDescent="0.15">
      <c r="A31" s="96">
        <v>49003031</v>
      </c>
      <c r="B31" s="46" t="s">
        <v>294</v>
      </c>
      <c r="C31" s="49">
        <v>1</v>
      </c>
      <c r="D31" s="49" t="s">
        <v>126</v>
      </c>
      <c r="E31" s="50" t="s">
        <v>304</v>
      </c>
      <c r="F31" s="50" t="s">
        <v>320</v>
      </c>
      <c r="G31" s="61" t="str">
        <f t="shared" si="114"/>
        <v>[effect:panel_freeze, target:block_red,count:1, break_count:1]</v>
      </c>
      <c r="H31" s="61">
        <f t="shared" si="115"/>
        <v>9</v>
      </c>
      <c r="I31" s="61">
        <f t="shared" si="116"/>
        <v>21</v>
      </c>
      <c r="J31" s="61">
        <f t="shared" si="117"/>
        <v>30</v>
      </c>
      <c r="K31" s="61">
        <f t="shared" si="118"/>
        <v>39</v>
      </c>
      <c r="L31" s="61" t="str">
        <f>IFERROR(VLOOKUP(MID(G31,J31,K31-J31),[6]skilldef!$C:$D,2,FALSE),"-") &amp; " / " &amp; IFERROR(VLOOKUP(MID(G31,H31,I31-H31),[6]skilldef!$A:$B,2,FALSE),"-")</f>
        <v>赤パネルを / -</v>
      </c>
      <c r="M31" s="61" t="str">
        <f t="shared" si="119"/>
        <v>[effect:panel_freeze, target:block_green,count:1, break_count:1],[effect:panel_freeze, target:block_yellow,count:1, break_count:1],[effect:panel_freeze, target:block_blue,count:1, break_count:1],[effect:rush, count:1, val:1]</v>
      </c>
      <c r="N31" s="47" t="str">
        <f t="shared" si="120"/>
        <v>[effect:panel_freeze, target:block_green,count:1, break_count:1],[effect:panel_freeze, target:block_yellow,count:1, break_count:1],[effect:panel_freeze, target:block_blue,count:1, break_count:1],[effect:rush, count:1, val:1]</v>
      </c>
      <c r="O31" s="61">
        <f t="shared" si="121"/>
        <v>9</v>
      </c>
      <c r="P31" s="61">
        <f t="shared" si="122"/>
        <v>21</v>
      </c>
      <c r="Q31" s="61">
        <f t="shared" si="123"/>
        <v>30</v>
      </c>
      <c r="R31" s="61">
        <f t="shared" si="124"/>
        <v>41</v>
      </c>
      <c r="S31" s="61" t="str">
        <f>IFERROR(VLOOKUP(MID(N31,Q31,R31-Q31),[6]skilldef!$C:$D,2,FALSE),"-") &amp; " / " &amp; IFERROR(VLOOKUP(MID(N31,O31,P31-O31),[6]skilldef!$A:$B,2,FALSE),"-")</f>
        <v>緑パネルを / -</v>
      </c>
      <c r="T31" s="47" t="str">
        <f t="shared" si="125"/>
        <v>[effect:panel_freeze, target:block_yellow,count:1, break_count:1],[effect:panel_freeze, target:block_blue,count:1, break_count:1],[effect:rush, count:1, val:1]</v>
      </c>
      <c r="U31" s="61">
        <f t="shared" si="126"/>
        <v>9</v>
      </c>
      <c r="V31" s="61">
        <f t="shared" si="127"/>
        <v>21</v>
      </c>
      <c r="W31" s="61">
        <f t="shared" si="128"/>
        <v>30</v>
      </c>
      <c r="X31" s="61">
        <f t="shared" si="129"/>
        <v>42</v>
      </c>
      <c r="Y31" s="61" t="str">
        <f>IFERROR(VLOOKUP(MID(T31,W31,X31-W31),[6]skilldef!$C:$D,2,FALSE),"-") &amp; " / " &amp; IFERROR(VLOOKUP(MID(T31,U31,V31-U31),[6]skilldef!$A:$B,2,FALSE),"-")</f>
        <v>黄色パネルを / -</v>
      </c>
      <c r="Z31" s="49"/>
      <c r="AA31" s="51"/>
      <c r="AB31" s="49"/>
    </row>
    <row r="32" spans="1:28" ht="21" customHeight="1" x14ac:dyDescent="0.15">
      <c r="A32" s="96">
        <v>49003032</v>
      </c>
      <c r="B32" s="96" t="s">
        <v>238</v>
      </c>
      <c r="C32" s="49">
        <v>1</v>
      </c>
      <c r="D32" s="49" t="s">
        <v>126</v>
      </c>
      <c r="E32" s="50" t="s">
        <v>352</v>
      </c>
      <c r="F32" s="50" t="s">
        <v>321</v>
      </c>
      <c r="G32" s="61" t="str">
        <f t="shared" si="114"/>
        <v>[effect:critical, val:1.6]</v>
      </c>
      <c r="H32" s="61">
        <f t="shared" si="115"/>
        <v>9</v>
      </c>
      <c r="I32" s="61">
        <f t="shared" si="116"/>
        <v>17</v>
      </c>
      <c r="J32" s="61" t="e">
        <f t="shared" si="117"/>
        <v>#VALUE!</v>
      </c>
      <c r="K32" s="61" t="e">
        <f t="shared" si="118"/>
        <v>#VALUE!</v>
      </c>
      <c r="L32" s="61" t="str">
        <f>IFERROR(VLOOKUP(MID(G32,J32,K32-J32),[6]skilldef!$C:$D,2,FALSE),"-") &amp; " / " &amp; IFERROR(VLOOKUP(MID(G32,H32,I32-H32),[6]skilldef!$A:$B,2,FALSE),"-")</f>
        <v>- / 大攻撃</v>
      </c>
      <c r="M32" s="61" t="str">
        <f t="shared" si="119"/>
        <v>none</v>
      </c>
      <c r="N32" s="47" t="str">
        <f t="shared" si="120"/>
        <v>none</v>
      </c>
      <c r="O32" s="61" t="e">
        <f t="shared" si="121"/>
        <v>#VALUE!</v>
      </c>
      <c r="P32" s="61">
        <f t="shared" si="122"/>
        <v>4</v>
      </c>
      <c r="Q32" s="61" t="e">
        <f t="shared" si="123"/>
        <v>#VALUE!</v>
      </c>
      <c r="R32" s="61" t="e">
        <f t="shared" si="124"/>
        <v>#VALUE!</v>
      </c>
      <c r="S32" s="61" t="str">
        <f>IFERROR(VLOOKUP(MID(N32,Q32,R32-Q32),[6]skilldef!$C:$D,2,FALSE),"-") &amp; " / " &amp; IFERROR(VLOOKUP(MID(N32,O32,P32-O32),[6]skilldef!$A:$B,2,FALSE),"-")</f>
        <v>- / -</v>
      </c>
      <c r="T32" s="47" t="str">
        <f t="shared" si="125"/>
        <v>none</v>
      </c>
      <c r="U32" s="61" t="e">
        <f t="shared" si="126"/>
        <v>#VALUE!</v>
      </c>
      <c r="V32" s="61">
        <f t="shared" si="127"/>
        <v>4</v>
      </c>
      <c r="W32" s="61" t="e">
        <f t="shared" si="128"/>
        <v>#VALUE!</v>
      </c>
      <c r="X32" s="61" t="e">
        <f t="shared" si="129"/>
        <v>#VALUE!</v>
      </c>
      <c r="Y32" s="61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 x14ac:dyDescent="0.15">
      <c r="A33" s="96">
        <v>49003033</v>
      </c>
      <c r="B33" s="46" t="s">
        <v>361</v>
      </c>
      <c r="C33" s="49">
        <v>1</v>
      </c>
      <c r="D33" s="49" t="s">
        <v>126</v>
      </c>
      <c r="E33" s="50" t="s">
        <v>359</v>
      </c>
      <c r="F33" s="50" t="s">
        <v>322</v>
      </c>
      <c r="G33" s="61" t="str">
        <f t="shared" ref="G33:G36" si="130">IFERROR(LEFT(B33,FIND("],",B33)),B33)</f>
        <v>[effect:tolerance, target:myself, turn:-1, tolerance_effect:all, count:-1, animation:enemy_tolerance]</v>
      </c>
      <c r="H33" s="61">
        <f t="shared" ref="H33:H36" si="131">FIND("effect:",G33)+7</f>
        <v>9</v>
      </c>
      <c r="I33" s="61">
        <f t="shared" ref="I33:I36" si="132">IFERROR(FIND(",",G33),LEN(G33))</f>
        <v>18</v>
      </c>
      <c r="J33" s="61">
        <f t="shared" ref="J33:J36" si="133">FIND("target:",G33)+7</f>
        <v>27</v>
      </c>
      <c r="K33" s="61">
        <f t="shared" ref="K33:K36" si="134">FIND(",",G33,I33+1)</f>
        <v>33</v>
      </c>
      <c r="L33" s="61" t="str">
        <f>IFERROR(VLOOKUP(MID(G33,J33,K33-J33),[6]skilldef!$C:$D,2,FALSE),"-") &amp; " / " &amp; IFERROR(VLOOKUP(MID(G33,H33,I33-H33),[6]skilldef!$A:$B,2,FALSE),"-")</f>
        <v>自分自身に / 状態異常耐性</v>
      </c>
      <c r="M33" s="61" t="str">
        <f t="shared" ref="M33:M36" si="135">IFERROR(RIGHT(B33,LEN(B33)-FIND("],",B33)-1),"none")</f>
        <v>[effect:fix_speed, target:myself, turn:2],[effect:enemy_message, val1:2, val2:2]</v>
      </c>
      <c r="N33" s="47" t="str">
        <f t="shared" ref="N33:N36" si="136">IFERROR(LEFT(M33,FIND("],",M33)+S43),M33)</f>
        <v>[effect:fix_speed, target:myself, turn:2],[effect:enemy_message, val1:2, val2:2]</v>
      </c>
      <c r="O33" s="61">
        <f t="shared" ref="O33:O36" si="137">FIND("effect:",N33)+7</f>
        <v>9</v>
      </c>
      <c r="P33" s="61">
        <f t="shared" ref="P33:P36" si="138">IFERROR(FIND(",",N33),LEN(N33))</f>
        <v>18</v>
      </c>
      <c r="Q33" s="61">
        <f t="shared" ref="Q33:Q36" si="139">FIND("target:",N33)+7</f>
        <v>27</v>
      </c>
      <c r="R33" s="61">
        <f t="shared" ref="R33:R36" si="140">FIND(",",N33,P33+1)</f>
        <v>33</v>
      </c>
      <c r="S33" s="61" t="str">
        <f>IFERROR(VLOOKUP(MID(N33,Q33,R33-Q33),[6]skilldef!$C:$D,2,FALSE),"-") &amp; " / " &amp; IFERROR(VLOOKUP(MID(N33,O33,P33-O33),[6]skilldef!$A:$B,2,FALSE),"-")</f>
        <v>自分自身に / 行動値設定</v>
      </c>
      <c r="T33" s="47" t="str">
        <f t="shared" ref="T33:T36" si="141">IFERROR(RIGHT(M33,LEN(M33)-FIND("],",M33)-1),"none")</f>
        <v>[effect:enemy_message, val1:2, val2:2]</v>
      </c>
      <c r="U33" s="61">
        <f t="shared" ref="U33:U36" si="142">FIND("effect:",T33)+7</f>
        <v>9</v>
      </c>
      <c r="V33" s="61">
        <f t="shared" ref="V33:V36" si="143">IFERROR(FIND(",",T33),LEN(T33))</f>
        <v>22</v>
      </c>
      <c r="W33" s="61" t="e">
        <f t="shared" ref="W33:W36" si="144">FIND("target:",T33)+7</f>
        <v>#VALUE!</v>
      </c>
      <c r="X33" s="61">
        <f t="shared" ref="X33:X36" si="145">FIND(",",T33,V33+1)</f>
        <v>30</v>
      </c>
      <c r="Y33" s="61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 x14ac:dyDescent="0.15">
      <c r="A34" s="96">
        <v>49003034</v>
      </c>
      <c r="B34" s="46" t="s">
        <v>223</v>
      </c>
      <c r="C34" s="49">
        <v>1</v>
      </c>
      <c r="D34" s="49" t="s">
        <v>126</v>
      </c>
      <c r="E34" s="50" t="s">
        <v>280</v>
      </c>
      <c r="F34" s="137" t="s">
        <v>341</v>
      </c>
      <c r="G34" s="61" t="str">
        <f t="shared" si="130"/>
        <v>[effect:rush, count:1, val:1]</v>
      </c>
      <c r="H34" s="61">
        <f t="shared" si="131"/>
        <v>9</v>
      </c>
      <c r="I34" s="61">
        <f t="shared" si="132"/>
        <v>13</v>
      </c>
      <c r="J34" s="61" t="e">
        <f t="shared" si="133"/>
        <v>#VALUE!</v>
      </c>
      <c r="K34" s="61">
        <f t="shared" si="134"/>
        <v>22</v>
      </c>
      <c r="L34" s="61" t="str">
        <f>IFERROR(VLOOKUP(MID(G34,J34,K34-J34),[6]skilldef!$C:$D,2,FALSE),"-") &amp; " / " &amp; IFERROR(VLOOKUP(MID(G34,H34,I34-H34),[6]skilldef!$A:$B,2,FALSE),"-")</f>
        <v>- / 連続攻撃</v>
      </c>
      <c r="M34" s="61" t="str">
        <f t="shared" si="135"/>
        <v>none</v>
      </c>
      <c r="N34" s="47" t="str">
        <f t="shared" si="136"/>
        <v>none</v>
      </c>
      <c r="O34" s="61" t="e">
        <f t="shared" si="137"/>
        <v>#VALUE!</v>
      </c>
      <c r="P34" s="61">
        <f t="shared" si="138"/>
        <v>4</v>
      </c>
      <c r="Q34" s="61" t="e">
        <f t="shared" si="139"/>
        <v>#VALUE!</v>
      </c>
      <c r="R34" s="61" t="e">
        <f t="shared" si="140"/>
        <v>#VALUE!</v>
      </c>
      <c r="S34" s="61" t="str">
        <f>IFERROR(VLOOKUP(MID(N34,Q34,R34-Q34),[6]skilldef!$C:$D,2,FALSE),"-") &amp; " / " &amp; IFERROR(VLOOKUP(MID(N34,O34,P34-O34),[6]skilldef!$A:$B,2,FALSE),"-")</f>
        <v>- / -</v>
      </c>
      <c r="T34" s="47" t="str">
        <f t="shared" si="141"/>
        <v>none</v>
      </c>
      <c r="U34" s="61" t="e">
        <f t="shared" si="142"/>
        <v>#VALUE!</v>
      </c>
      <c r="V34" s="61">
        <f t="shared" si="143"/>
        <v>4</v>
      </c>
      <c r="W34" s="61" t="e">
        <f t="shared" si="144"/>
        <v>#VALUE!</v>
      </c>
      <c r="X34" s="61" t="e">
        <f t="shared" si="145"/>
        <v>#VALUE!</v>
      </c>
      <c r="Y34" s="61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 x14ac:dyDescent="0.15">
      <c r="A35" s="96">
        <v>49003035</v>
      </c>
      <c r="B35" s="46" t="s">
        <v>225</v>
      </c>
      <c r="C35" s="49">
        <v>1</v>
      </c>
      <c r="D35" s="49" t="s">
        <v>126</v>
      </c>
      <c r="E35" s="50" t="s">
        <v>281</v>
      </c>
      <c r="F35" s="50" t="s">
        <v>323</v>
      </c>
      <c r="G35" s="61" t="str">
        <f t="shared" si="130"/>
        <v>[effect:change_block, new_block:jammer, target:block_all, count:3, val:0, animation:change_block]</v>
      </c>
      <c r="H35" s="61">
        <f t="shared" si="131"/>
        <v>9</v>
      </c>
      <c r="I35" s="61">
        <f t="shared" si="132"/>
        <v>21</v>
      </c>
      <c r="J35" s="61">
        <f t="shared" si="133"/>
        <v>48</v>
      </c>
      <c r="K35" s="61">
        <f t="shared" si="134"/>
        <v>39</v>
      </c>
      <c r="L35" s="61" t="str">
        <f>IFERROR(VLOOKUP(MID(G35,J35,K35-J35),[6]skilldef!$C:$D,2,FALSE),"-") &amp; " / " &amp; IFERROR(VLOOKUP(MID(G35,H35,I35-H35),[6]skilldef!$A:$B,2,FALSE),"-")</f>
        <v>- / ブロック変換</v>
      </c>
      <c r="M35" s="61" t="str">
        <f t="shared" si="135"/>
        <v>[effect:rush, count:1, val:1]</v>
      </c>
      <c r="N35" s="47" t="str">
        <f t="shared" si="136"/>
        <v>[effect:rush, count:1, val:1]</v>
      </c>
      <c r="O35" s="61">
        <f t="shared" si="137"/>
        <v>9</v>
      </c>
      <c r="P35" s="61">
        <f t="shared" si="138"/>
        <v>13</v>
      </c>
      <c r="Q35" s="61" t="e">
        <f t="shared" si="139"/>
        <v>#VALUE!</v>
      </c>
      <c r="R35" s="61">
        <f t="shared" si="140"/>
        <v>22</v>
      </c>
      <c r="S35" s="61" t="str">
        <f>IFERROR(VLOOKUP(MID(N35,Q35,R35-Q35),[6]skilldef!$C:$D,2,FALSE),"-") &amp; " / " &amp; IFERROR(VLOOKUP(MID(N35,O35,P35-O35),[6]skilldef!$A:$B,2,FALSE),"-")</f>
        <v>- / 連続攻撃</v>
      </c>
      <c r="T35" s="47" t="str">
        <f t="shared" si="141"/>
        <v>none</v>
      </c>
      <c r="U35" s="61" t="e">
        <f t="shared" si="142"/>
        <v>#VALUE!</v>
      </c>
      <c r="V35" s="61">
        <f t="shared" si="143"/>
        <v>4</v>
      </c>
      <c r="W35" s="61" t="e">
        <f t="shared" si="144"/>
        <v>#VALUE!</v>
      </c>
      <c r="X35" s="61" t="e">
        <f t="shared" si="145"/>
        <v>#VALUE!</v>
      </c>
      <c r="Y35" s="61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</row>
    <row r="36" spans="1:28" ht="21" customHeight="1" x14ac:dyDescent="0.15">
      <c r="A36" s="96">
        <v>49003036</v>
      </c>
      <c r="B36" s="46" t="s">
        <v>294</v>
      </c>
      <c r="C36" s="49">
        <v>1</v>
      </c>
      <c r="D36" s="49" t="s">
        <v>126</v>
      </c>
      <c r="E36" s="50" t="s">
        <v>282</v>
      </c>
      <c r="F36" s="50" t="s">
        <v>214</v>
      </c>
      <c r="G36" s="61" t="str">
        <f t="shared" si="130"/>
        <v>[effect:panel_freeze, target:block_red,count:1, break_count:1]</v>
      </c>
      <c r="H36" s="61">
        <f t="shared" si="131"/>
        <v>9</v>
      </c>
      <c r="I36" s="61">
        <f t="shared" si="132"/>
        <v>21</v>
      </c>
      <c r="J36" s="61">
        <f t="shared" si="133"/>
        <v>30</v>
      </c>
      <c r="K36" s="61">
        <f t="shared" si="134"/>
        <v>39</v>
      </c>
      <c r="L36" s="61" t="str">
        <f>IFERROR(VLOOKUP(MID(G36,J36,K36-J36),[6]skilldef!$C:$D,2,FALSE),"-") &amp; " / " &amp; IFERROR(VLOOKUP(MID(G36,H36,I36-H36),[6]skilldef!$A:$B,2,FALSE),"-")</f>
        <v>赤パネルを / -</v>
      </c>
      <c r="M36" s="61" t="str">
        <f t="shared" si="135"/>
        <v>[effect:panel_freeze, target:block_green,count:1, break_count:1],[effect:panel_freeze, target:block_yellow,count:1, break_count:1],[effect:panel_freeze, target:block_blue,count:1, break_count:1],[effect:rush, count:1, val:1]</v>
      </c>
      <c r="N36" s="47" t="str">
        <f t="shared" si="136"/>
        <v>[effect:panel_freeze, target:block_green,count:1, break_count:1],[effect:panel_freeze, target:block_yellow,count:1, break_count:1],[effect:panel_freeze, target:block_blue,count:1, break_count:1],[effect:rush, count:1, val:1]</v>
      </c>
      <c r="O36" s="61">
        <f t="shared" si="137"/>
        <v>9</v>
      </c>
      <c r="P36" s="61">
        <f t="shared" si="138"/>
        <v>21</v>
      </c>
      <c r="Q36" s="61">
        <f t="shared" si="139"/>
        <v>30</v>
      </c>
      <c r="R36" s="61">
        <f t="shared" si="140"/>
        <v>41</v>
      </c>
      <c r="S36" s="61" t="str">
        <f>IFERROR(VLOOKUP(MID(N36,Q36,R36-Q36),[6]skilldef!$C:$D,2,FALSE),"-") &amp; " / " &amp; IFERROR(VLOOKUP(MID(N36,O36,P36-O36),[6]skilldef!$A:$B,2,FALSE),"-")</f>
        <v>緑パネルを / -</v>
      </c>
      <c r="T36" s="47" t="str">
        <f t="shared" si="141"/>
        <v>[effect:panel_freeze, target:block_yellow,count:1, break_count:1],[effect:panel_freeze, target:block_blue,count:1, break_count:1],[effect:rush, count:1, val:1]</v>
      </c>
      <c r="U36" s="61">
        <f t="shared" si="142"/>
        <v>9</v>
      </c>
      <c r="V36" s="61">
        <f t="shared" si="143"/>
        <v>21</v>
      </c>
      <c r="W36" s="61">
        <f t="shared" si="144"/>
        <v>30</v>
      </c>
      <c r="X36" s="61">
        <f t="shared" si="145"/>
        <v>42</v>
      </c>
      <c r="Y36" s="61" t="str">
        <f>IFERROR(VLOOKUP(MID(T36,W36,X36-W36),[6]skilldef!$C:$D,2,FALSE),"-") &amp; " / " &amp; IFERROR(VLOOKUP(MID(T36,U36,V36-U36),[6]skilldef!$A:$B,2,FALSE),"-")</f>
        <v>黄色パネルを / -</v>
      </c>
      <c r="Z36" s="49"/>
      <c r="AA36" s="51"/>
      <c r="AB36" s="49"/>
    </row>
    <row r="37" spans="1:28" ht="21" customHeight="1" x14ac:dyDescent="0.15">
      <c r="A37" s="96">
        <v>49003037</v>
      </c>
      <c r="B37" s="46" t="s">
        <v>239</v>
      </c>
      <c r="C37" s="49">
        <v>1</v>
      </c>
      <c r="D37" s="49" t="s">
        <v>126</v>
      </c>
      <c r="E37" s="50" t="s">
        <v>283</v>
      </c>
      <c r="F37" s="50" t="s">
        <v>215</v>
      </c>
      <c r="G37" s="61" t="str">
        <f t="shared" ref="G37:G44" si="146">IFERROR(LEFT(B37,FIND("],",B37)),B37)</f>
        <v>[effect:critical, val:1.6]</v>
      </c>
      <c r="H37" s="61">
        <f t="shared" ref="H37:H44" si="147">FIND("effect:",G37)+7</f>
        <v>9</v>
      </c>
      <c r="I37" s="61">
        <f t="shared" ref="I37:I44" si="148">IFERROR(FIND(",",G37),LEN(G37))</f>
        <v>17</v>
      </c>
      <c r="J37" s="61" t="e">
        <f t="shared" ref="J37:J44" si="149">FIND("target:",G37)+7</f>
        <v>#VALUE!</v>
      </c>
      <c r="K37" s="61" t="e">
        <f t="shared" ref="K37:K44" si="150">FIND(",",G37,I37+1)</f>
        <v>#VALUE!</v>
      </c>
      <c r="L37" s="61" t="str">
        <f>IFERROR(VLOOKUP(MID(G37,J37,K37-J37),[6]skilldef!$C:$D,2,FALSE),"-") &amp; " / " &amp; IFERROR(VLOOKUP(MID(G37,H37,I37-H37),[6]skilldef!$A:$B,2,FALSE),"-")</f>
        <v>- / 大攻撃</v>
      </c>
      <c r="M37" s="61" t="str">
        <f t="shared" ref="M37:M44" si="151">IFERROR(RIGHT(B37,LEN(B37)-FIND("],",B37)-1),"none")</f>
        <v>none</v>
      </c>
      <c r="N37" s="47" t="str">
        <f t="shared" ref="N37:N44" si="152">IFERROR(LEFT(M37,FIND("],",M37)+S47),M37)</f>
        <v>none</v>
      </c>
      <c r="O37" s="61" t="e">
        <f t="shared" ref="O37:O44" si="153">FIND("effect:",N37)+7</f>
        <v>#VALUE!</v>
      </c>
      <c r="P37" s="61">
        <f t="shared" ref="P37:P44" si="154">IFERROR(FIND(",",N37),LEN(N37))</f>
        <v>4</v>
      </c>
      <c r="Q37" s="61" t="e">
        <f t="shared" ref="Q37:Q44" si="155">FIND("target:",N37)+7</f>
        <v>#VALUE!</v>
      </c>
      <c r="R37" s="61" t="e">
        <f t="shared" ref="R37:R44" si="156">FIND(",",N37,P37+1)</f>
        <v>#VALUE!</v>
      </c>
      <c r="S37" s="61" t="str">
        <f>IFERROR(VLOOKUP(MID(N37,Q37,R37-Q37),[6]skilldef!$C:$D,2,FALSE),"-") &amp; " / " &amp; IFERROR(VLOOKUP(MID(N37,O37,P37-O37),[6]skilldef!$A:$B,2,FALSE),"-")</f>
        <v>- / -</v>
      </c>
      <c r="T37" s="47" t="str">
        <f t="shared" ref="T37:T44" si="157">IFERROR(RIGHT(M37,LEN(M37)-FIND("],",M37)-1),"none")</f>
        <v>none</v>
      </c>
      <c r="U37" s="61" t="e">
        <f t="shared" ref="U37:U44" si="158">FIND("effect:",T37)+7</f>
        <v>#VALUE!</v>
      </c>
      <c r="V37" s="61">
        <f t="shared" ref="V37:V44" si="159">IFERROR(FIND(",",T37),LEN(T37))</f>
        <v>4</v>
      </c>
      <c r="W37" s="61" t="e">
        <f t="shared" ref="W37:W44" si="160">FIND("target:",T37)+7</f>
        <v>#VALUE!</v>
      </c>
      <c r="X37" s="61" t="e">
        <f t="shared" ref="X37:X44" si="161">FIND(",",T37,V37+1)</f>
        <v>#VALUE!</v>
      </c>
      <c r="Y37" s="61" t="str">
        <f>IFERROR(VLOOKUP(MID(T37,W37,X37-W37),[6]skilldef!$C:$D,2,FALSE),"-") &amp; " / " &amp; IFERROR(VLOOKUP(MID(T37,U37,V37-U37),[6]skilldef!$A:$B,2,FALSE),"-")</f>
        <v>- / -</v>
      </c>
      <c r="Z37" s="49"/>
      <c r="AA37" s="51"/>
      <c r="AB37" s="49"/>
    </row>
    <row r="38" spans="1:28" ht="21" customHeight="1" x14ac:dyDescent="0.15">
      <c r="A38" s="96">
        <v>49003038</v>
      </c>
      <c r="B38" s="46" t="s">
        <v>246</v>
      </c>
      <c r="C38" s="49">
        <v>1</v>
      </c>
      <c r="D38" s="49" t="s">
        <v>126</v>
      </c>
      <c r="E38" s="50" t="s">
        <v>292</v>
      </c>
      <c r="F38" s="50" t="s">
        <v>327</v>
      </c>
      <c r="G38" s="61" t="str">
        <f t="shared" si="146"/>
        <v>[effect:change_block, new_block:jammer, target:block_red, count:5, val:0, animation:change_block]</v>
      </c>
      <c r="H38" s="61">
        <f t="shared" si="147"/>
        <v>9</v>
      </c>
      <c r="I38" s="61">
        <f t="shared" si="148"/>
        <v>21</v>
      </c>
      <c r="J38" s="61">
        <f t="shared" si="149"/>
        <v>48</v>
      </c>
      <c r="K38" s="61">
        <f t="shared" si="150"/>
        <v>39</v>
      </c>
      <c r="L38" s="61" t="str">
        <f>IFERROR(VLOOKUP(MID(G38,J38,K38-J38),[6]skilldef!$C:$D,2,FALSE),"-") &amp; " / " &amp; IFERROR(VLOOKUP(MID(G38,H38,I38-H38),[6]skilldef!$A:$B,2,FALSE),"-")</f>
        <v>- / ブロック変換</v>
      </c>
      <c r="M38" s="61" t="str">
        <f t="shared" si="151"/>
        <v>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v>
      </c>
      <c r="N38" s="47" t="str">
        <f t="shared" si="152"/>
        <v>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v>
      </c>
      <c r="O38" s="61">
        <f t="shared" si="153"/>
        <v>9</v>
      </c>
      <c r="P38" s="61">
        <f t="shared" si="154"/>
        <v>21</v>
      </c>
      <c r="Q38" s="61">
        <f t="shared" si="155"/>
        <v>48</v>
      </c>
      <c r="R38" s="61">
        <f t="shared" si="156"/>
        <v>39</v>
      </c>
      <c r="S38" s="61" t="str">
        <f>IFERROR(VLOOKUP(MID(N38,Q38,R38-Q38),[6]skilldef!$C:$D,2,FALSE),"-") &amp; " / " &amp; IFERROR(VLOOKUP(MID(N38,O38,P38-O38),[6]skilldef!$A:$B,2,FALSE),"-")</f>
        <v>- / ブロック変換</v>
      </c>
      <c r="T38" s="47" t="str">
        <f t="shared" si="157"/>
        <v>[effect:change_block, new_block:time_bomb, target:block_green, count:5, val:0.2, animation:change_block],[effect:change_block, new_block:time_bomb, target:block_blue, count:5, val:0.2, animation:change_block]</v>
      </c>
      <c r="U38" s="61">
        <f t="shared" si="158"/>
        <v>9</v>
      </c>
      <c r="V38" s="61">
        <f t="shared" si="159"/>
        <v>21</v>
      </c>
      <c r="W38" s="61">
        <f t="shared" si="160"/>
        <v>51</v>
      </c>
      <c r="X38" s="61">
        <f t="shared" si="161"/>
        <v>42</v>
      </c>
      <c r="Y38" s="61" t="str">
        <f>IFERROR(VLOOKUP(MID(T38,W38,X38-W38),[6]skilldef!$C:$D,2,FALSE),"-") &amp; " / " &amp; IFERROR(VLOOKUP(MID(T38,U38,V38-U38),[6]skilldef!$A:$B,2,FALSE),"-")</f>
        <v>- / ブロック変換</v>
      </c>
      <c r="Z38" s="49"/>
      <c r="AA38" s="51"/>
      <c r="AB38" s="49"/>
    </row>
    <row r="39" spans="1:28" ht="21" customHeight="1" x14ac:dyDescent="0.15">
      <c r="A39" s="96">
        <v>49003039</v>
      </c>
      <c r="B39" s="46" t="s">
        <v>362</v>
      </c>
      <c r="C39" s="49">
        <v>1</v>
      </c>
      <c r="D39" s="49" t="s">
        <v>126</v>
      </c>
      <c r="E39" s="50" t="s">
        <v>353</v>
      </c>
      <c r="F39" s="50" t="s">
        <v>325</v>
      </c>
      <c r="G39" s="61" t="str">
        <f t="shared" si="146"/>
        <v>[effect:tolerance, target:myself, turn:-1, tolerance_effect:all, count:-1, animation:enemy_tolerance]</v>
      </c>
      <c r="H39" s="61">
        <f t="shared" si="147"/>
        <v>9</v>
      </c>
      <c r="I39" s="61">
        <f t="shared" si="148"/>
        <v>18</v>
      </c>
      <c r="J39" s="61">
        <f t="shared" si="149"/>
        <v>27</v>
      </c>
      <c r="K39" s="61">
        <f t="shared" si="150"/>
        <v>33</v>
      </c>
      <c r="L39" s="61" t="str">
        <f>IFERROR(VLOOKUP(MID(G39,J39,K39-J39),[6]skilldef!$C:$D,2,FALSE),"-") &amp; " / " &amp; IFERROR(VLOOKUP(MID(G39,H39,I39-H39),[6]skilldef!$A:$B,2,FALSE),"-")</f>
        <v>自分自身に / 状態異常耐性</v>
      </c>
      <c r="M39" s="61" t="str">
        <f t="shared" si="151"/>
        <v>[effect:degrade_fever, val:1000, animation:fevergauge_down],[effect:freq_turn, target:myself, turn:-1, val:1, animation:enemy_freq_turn],[effect:enemy_message, val1:2, val2:2]</v>
      </c>
      <c r="N39" s="47" t="str">
        <f t="shared" si="152"/>
        <v>[effect:degrade_fever, val:1000, animation:fevergauge_down],[effect:freq_turn, target:myself, turn:-1, val:1, animation:enemy_freq_turn],[effect:enemy_message, val1:2, val2:2]</v>
      </c>
      <c r="O39" s="61">
        <f t="shared" si="153"/>
        <v>9</v>
      </c>
      <c r="P39" s="61">
        <f t="shared" si="154"/>
        <v>22</v>
      </c>
      <c r="Q39" s="61">
        <f t="shared" si="155"/>
        <v>87</v>
      </c>
      <c r="R39" s="61">
        <f t="shared" si="156"/>
        <v>32</v>
      </c>
      <c r="S39" s="61" t="str">
        <f>IFERROR(VLOOKUP(MID(N39,Q39,R39-Q39),[6]skilldef!$C:$D,2,FALSE),"-") &amp; " / " &amp; IFERROR(VLOOKUP(MID(N39,O39,P39-O39),[6]skilldef!$A:$B,2,FALSE),"-")</f>
        <v>- / フィーバーゲージ減少</v>
      </c>
      <c r="T39" s="47" t="str">
        <f t="shared" si="157"/>
        <v>[effect:freq_turn, target:myself, turn:-1, val:1, animation:enemy_freq_turn],[effect:enemy_message, val1:2, val2:2]</v>
      </c>
      <c r="U39" s="61">
        <f t="shared" si="158"/>
        <v>9</v>
      </c>
      <c r="V39" s="61">
        <f t="shared" si="159"/>
        <v>18</v>
      </c>
      <c r="W39" s="61">
        <f t="shared" si="160"/>
        <v>27</v>
      </c>
      <c r="X39" s="61">
        <f t="shared" si="161"/>
        <v>33</v>
      </c>
      <c r="Y39" s="61" t="str">
        <f>IFERROR(VLOOKUP(MID(T39,W39,X39-W39),[6]skilldef!$C:$D,2,FALSE),"-") &amp; " / " &amp; IFERROR(VLOOKUP(MID(T39,U39,V39-U39),[6]skilldef!$A:$B,2,FALSE),"-")</f>
        <v>自分自身に / 攻撃頻度がUP</v>
      </c>
      <c r="Z39" s="49"/>
      <c r="AA39" s="51"/>
      <c r="AB39" s="49"/>
    </row>
    <row r="40" spans="1:28" ht="21" customHeight="1" x14ac:dyDescent="0.15">
      <c r="A40" s="96">
        <v>49003040</v>
      </c>
      <c r="B40" s="46" t="s">
        <v>222</v>
      </c>
      <c r="C40" s="49">
        <v>1</v>
      </c>
      <c r="D40" s="49" t="s">
        <v>126</v>
      </c>
      <c r="E40" s="50" t="s">
        <v>284</v>
      </c>
      <c r="F40" s="137" t="s">
        <v>340</v>
      </c>
      <c r="G40" s="61" t="str">
        <f t="shared" si="146"/>
        <v>[effect:rush, count:1, val:1]</v>
      </c>
      <c r="H40" s="61">
        <f t="shared" si="147"/>
        <v>9</v>
      </c>
      <c r="I40" s="61">
        <f t="shared" si="148"/>
        <v>13</v>
      </c>
      <c r="J40" s="61" t="e">
        <f t="shared" si="149"/>
        <v>#VALUE!</v>
      </c>
      <c r="K40" s="61">
        <f t="shared" si="150"/>
        <v>22</v>
      </c>
      <c r="L40" s="61" t="str">
        <f>IFERROR(VLOOKUP(MID(G40,J40,K40-J40),[6]skilldef!$C:$D,2,FALSE),"-") &amp; " / " &amp; IFERROR(VLOOKUP(MID(G40,H40,I40-H40),[6]skilldef!$A:$B,2,FALSE),"-")</f>
        <v>- / 連続攻撃</v>
      </c>
      <c r="M40" s="61" t="str">
        <f t="shared" si="151"/>
        <v>none</v>
      </c>
      <c r="N40" s="47" t="str">
        <f t="shared" si="152"/>
        <v>none</v>
      </c>
      <c r="O40" s="61" t="e">
        <f t="shared" si="153"/>
        <v>#VALUE!</v>
      </c>
      <c r="P40" s="61">
        <f t="shared" si="154"/>
        <v>4</v>
      </c>
      <c r="Q40" s="61" t="e">
        <f t="shared" si="155"/>
        <v>#VALUE!</v>
      </c>
      <c r="R40" s="61" t="e">
        <f t="shared" si="156"/>
        <v>#VALUE!</v>
      </c>
      <c r="S40" s="61" t="str">
        <f>IFERROR(VLOOKUP(MID(N40,Q40,R40-Q40),[6]skilldef!$C:$D,2,FALSE),"-") &amp; " / " &amp; IFERROR(VLOOKUP(MID(N40,O40,P40-O40),[6]skilldef!$A:$B,2,FALSE),"-")</f>
        <v>- / -</v>
      </c>
      <c r="T40" s="47" t="str">
        <f t="shared" si="157"/>
        <v>none</v>
      </c>
      <c r="U40" s="61" t="e">
        <f t="shared" si="158"/>
        <v>#VALUE!</v>
      </c>
      <c r="V40" s="61">
        <f t="shared" si="159"/>
        <v>4</v>
      </c>
      <c r="W40" s="61" t="e">
        <f t="shared" si="160"/>
        <v>#VALUE!</v>
      </c>
      <c r="X40" s="61" t="e">
        <f t="shared" si="161"/>
        <v>#VALUE!</v>
      </c>
      <c r="Y40" s="61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</row>
    <row r="41" spans="1:28" ht="21" customHeight="1" x14ac:dyDescent="0.15">
      <c r="A41" s="96">
        <v>49003041</v>
      </c>
      <c r="B41" s="46" t="s">
        <v>224</v>
      </c>
      <c r="C41" s="49">
        <v>1</v>
      </c>
      <c r="D41" s="49" t="s">
        <v>126</v>
      </c>
      <c r="E41" s="50" t="s">
        <v>285</v>
      </c>
      <c r="F41" s="50" t="s">
        <v>323</v>
      </c>
      <c r="G41" s="61" t="str">
        <f t="shared" si="146"/>
        <v>[effect:change_block, new_block:jammer, target:block_all, count:5, val:0, animation:change_block]</v>
      </c>
      <c r="H41" s="61">
        <f t="shared" si="147"/>
        <v>9</v>
      </c>
      <c r="I41" s="61">
        <f t="shared" si="148"/>
        <v>21</v>
      </c>
      <c r="J41" s="61">
        <f t="shared" si="149"/>
        <v>48</v>
      </c>
      <c r="K41" s="61">
        <f t="shared" si="150"/>
        <v>39</v>
      </c>
      <c r="L41" s="61" t="str">
        <f>IFERROR(VLOOKUP(MID(G41,J41,K41-J41),[6]skilldef!$C:$D,2,FALSE),"-") &amp; " / " &amp; IFERROR(VLOOKUP(MID(G41,H41,I41-H41),[6]skilldef!$A:$B,2,FALSE),"-")</f>
        <v>- / ブロック変換</v>
      </c>
      <c r="M41" s="61" t="str">
        <f t="shared" si="151"/>
        <v>[effect:rush, count:1, val:1]</v>
      </c>
      <c r="N41" s="47" t="str">
        <f t="shared" si="152"/>
        <v>[effect:rush, count:1, val:1]</v>
      </c>
      <c r="O41" s="61">
        <f t="shared" si="153"/>
        <v>9</v>
      </c>
      <c r="P41" s="61">
        <f t="shared" si="154"/>
        <v>13</v>
      </c>
      <c r="Q41" s="61" t="e">
        <f t="shared" si="155"/>
        <v>#VALUE!</v>
      </c>
      <c r="R41" s="61">
        <f t="shared" si="156"/>
        <v>22</v>
      </c>
      <c r="S41" s="61" t="str">
        <f>IFERROR(VLOOKUP(MID(N41,Q41,R41-Q41),[6]skilldef!$C:$D,2,FALSE),"-") &amp; " / " &amp; IFERROR(VLOOKUP(MID(N41,O41,P41-O41),[6]skilldef!$A:$B,2,FALSE),"-")</f>
        <v>- / 連続攻撃</v>
      </c>
      <c r="T41" s="47" t="str">
        <f t="shared" si="157"/>
        <v>none</v>
      </c>
      <c r="U41" s="61" t="e">
        <f t="shared" si="158"/>
        <v>#VALUE!</v>
      </c>
      <c r="V41" s="61">
        <f t="shared" si="159"/>
        <v>4</v>
      </c>
      <c r="W41" s="61" t="e">
        <f t="shared" si="160"/>
        <v>#VALUE!</v>
      </c>
      <c r="X41" s="61" t="e">
        <f t="shared" si="161"/>
        <v>#VALUE!</v>
      </c>
      <c r="Y41" s="61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</row>
    <row r="42" spans="1:28" ht="21" customHeight="1" x14ac:dyDescent="0.15">
      <c r="A42" s="96">
        <v>49003042</v>
      </c>
      <c r="B42" s="46" t="s">
        <v>240</v>
      </c>
      <c r="C42" s="49">
        <v>1</v>
      </c>
      <c r="D42" s="49" t="s">
        <v>126</v>
      </c>
      <c r="E42" s="50" t="s">
        <v>286</v>
      </c>
      <c r="F42" s="50" t="s">
        <v>324</v>
      </c>
      <c r="G42" s="61" t="str">
        <f t="shared" si="146"/>
        <v>[effect:change_block, new_block:time_bomb, target:block_all, count:5, val:0.2, min_time_count:1, max_time_count:1, animation:change_block]</v>
      </c>
      <c r="H42" s="61">
        <f t="shared" si="147"/>
        <v>9</v>
      </c>
      <c r="I42" s="61">
        <f t="shared" si="148"/>
        <v>21</v>
      </c>
      <c r="J42" s="61">
        <f t="shared" si="149"/>
        <v>51</v>
      </c>
      <c r="K42" s="61">
        <f t="shared" si="150"/>
        <v>42</v>
      </c>
      <c r="L42" s="61" t="str">
        <f>IFERROR(VLOOKUP(MID(G42,J42,K42-J42),[6]skilldef!$C:$D,2,FALSE),"-") &amp; " / " &amp; IFERROR(VLOOKUP(MID(G42,H42,I42-H42),[6]skilldef!$A:$B,2,FALSE),"-")</f>
        <v>- / ブロック変換</v>
      </c>
      <c r="M42" s="61" t="str">
        <f t="shared" si="151"/>
        <v>[effect:rush, count:1, val:1]</v>
      </c>
      <c r="N42" s="47" t="str">
        <f t="shared" si="152"/>
        <v>[effect:rush, count:1, val:1]</v>
      </c>
      <c r="O42" s="61">
        <f t="shared" si="153"/>
        <v>9</v>
      </c>
      <c r="P42" s="61">
        <f t="shared" si="154"/>
        <v>13</v>
      </c>
      <c r="Q42" s="61" t="e">
        <f t="shared" si="155"/>
        <v>#VALUE!</v>
      </c>
      <c r="R42" s="61">
        <f t="shared" si="156"/>
        <v>22</v>
      </c>
      <c r="S42" s="61" t="str">
        <f>IFERROR(VLOOKUP(MID(N42,Q42,R42-Q42),[6]skilldef!$C:$D,2,FALSE),"-") &amp; " / " &amp; IFERROR(VLOOKUP(MID(N42,O42,P42-O42),[6]skilldef!$A:$B,2,FALSE),"-")</f>
        <v>- / 連続攻撃</v>
      </c>
      <c r="T42" s="47" t="str">
        <f t="shared" si="157"/>
        <v>none</v>
      </c>
      <c r="U42" s="61" t="e">
        <f t="shared" si="158"/>
        <v>#VALUE!</v>
      </c>
      <c r="V42" s="61">
        <f t="shared" si="159"/>
        <v>4</v>
      </c>
      <c r="W42" s="61" t="e">
        <f t="shared" si="160"/>
        <v>#VALUE!</v>
      </c>
      <c r="X42" s="61" t="e">
        <f t="shared" si="161"/>
        <v>#VALUE!</v>
      </c>
      <c r="Y42" s="61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</row>
    <row r="43" spans="1:28" ht="21" customHeight="1" x14ac:dyDescent="0.15">
      <c r="A43" s="96">
        <v>49003043</v>
      </c>
      <c r="B43" s="46" t="s">
        <v>299</v>
      </c>
      <c r="C43" s="49">
        <v>1</v>
      </c>
      <c r="D43" s="49" t="s">
        <v>126</v>
      </c>
      <c r="E43" s="50" t="s">
        <v>287</v>
      </c>
      <c r="F43" s="50" t="s">
        <v>320</v>
      </c>
      <c r="G43" s="61" t="str">
        <f t="shared" si="146"/>
        <v>[effect:panel_freeze, target:block_red,count:1, break_count:1]</v>
      </c>
      <c r="H43" s="61">
        <f t="shared" si="147"/>
        <v>9</v>
      </c>
      <c r="I43" s="61">
        <f t="shared" si="148"/>
        <v>21</v>
      </c>
      <c r="J43" s="61">
        <f t="shared" si="149"/>
        <v>30</v>
      </c>
      <c r="K43" s="61">
        <f t="shared" si="150"/>
        <v>39</v>
      </c>
      <c r="L43" s="61" t="str">
        <f>IFERROR(VLOOKUP(MID(G43,J43,K43-J43),[6]skilldef!$C:$D,2,FALSE),"-") &amp; " / " &amp; IFERROR(VLOOKUP(MID(G43,H43,I43-H43),[6]skilldef!$A:$B,2,FALSE),"-")</f>
        <v>赤パネルを / -</v>
      </c>
      <c r="M43" s="61" t="str">
        <f t="shared" si="151"/>
        <v>[effect:panel_freeze, target:block_green,count:1, break_count:1],[effect:panel_freeze, target:block_yellow,count:1, break_count:1],[effect:panel_freeze, target:block_blue,count:1, break_count:1],[effect:rush, count:1, val:1]</v>
      </c>
      <c r="N43" s="47" t="str">
        <f t="shared" si="152"/>
        <v>[effect:panel_freeze, target:block_green,count:1, break_count:1]</v>
      </c>
      <c r="O43" s="61">
        <f t="shared" si="153"/>
        <v>9</v>
      </c>
      <c r="P43" s="61">
        <f t="shared" si="154"/>
        <v>21</v>
      </c>
      <c r="Q43" s="61">
        <f t="shared" si="155"/>
        <v>30</v>
      </c>
      <c r="R43" s="61">
        <f t="shared" si="156"/>
        <v>41</v>
      </c>
      <c r="S43" s="61" t="str">
        <f>IFERROR(VLOOKUP(MID(N43,Q43,R43-Q43),[6]skilldef!$C:$D,2,FALSE),"-") &amp; " / " &amp; IFERROR(VLOOKUP(MID(N43,O43,P43-O43),[6]skilldef!$A:$B,2,FALSE),"-")</f>
        <v>緑パネルを / -</v>
      </c>
      <c r="T43" s="47" t="str">
        <f t="shared" si="157"/>
        <v>[effect:panel_freeze, target:block_yellow,count:1, break_count:1],[effect:panel_freeze, target:block_blue,count:1, break_count:1],[effect:rush, count:1, val:1]</v>
      </c>
      <c r="U43" s="61">
        <f t="shared" si="158"/>
        <v>9</v>
      </c>
      <c r="V43" s="61">
        <f t="shared" si="159"/>
        <v>21</v>
      </c>
      <c r="W43" s="61">
        <f t="shared" si="160"/>
        <v>30</v>
      </c>
      <c r="X43" s="61">
        <f t="shared" si="161"/>
        <v>42</v>
      </c>
      <c r="Y43" s="61" t="str">
        <f>IFERROR(VLOOKUP(MID(T43,W43,X43-W43),[6]skilldef!$C:$D,2,FALSE),"-") &amp; " / " &amp; IFERROR(VLOOKUP(MID(T43,U43,V43-U43),[6]skilldef!$A:$B,2,FALSE),"-")</f>
        <v>黄色パネルを / -</v>
      </c>
      <c r="Z43" s="49"/>
      <c r="AA43" s="51"/>
      <c r="AB43" s="49"/>
    </row>
    <row r="44" spans="1:28" ht="21" customHeight="1" x14ac:dyDescent="0.15">
      <c r="A44" s="96">
        <v>49003044</v>
      </c>
      <c r="B44" s="46" t="s">
        <v>254</v>
      </c>
      <c r="C44" s="49">
        <v>1</v>
      </c>
      <c r="D44" s="49" t="s">
        <v>126</v>
      </c>
      <c r="E44" s="50" t="s">
        <v>288</v>
      </c>
      <c r="F44" s="50" t="s">
        <v>326</v>
      </c>
      <c r="G44" s="61" t="str">
        <f t="shared" si="146"/>
        <v>[effect:critical, val:1.6]</v>
      </c>
      <c r="H44" s="61">
        <f t="shared" si="147"/>
        <v>9</v>
      </c>
      <c r="I44" s="61">
        <f t="shared" si="148"/>
        <v>17</v>
      </c>
      <c r="J44" s="61" t="e">
        <f t="shared" si="149"/>
        <v>#VALUE!</v>
      </c>
      <c r="K44" s="61" t="e">
        <f t="shared" si="150"/>
        <v>#VALUE!</v>
      </c>
      <c r="L44" s="61" t="str">
        <f>IFERROR(VLOOKUP(MID(G44,J44,K44-J44),[6]skilldef!$C:$D,2,FALSE),"-") &amp; " / " &amp; IFERROR(VLOOKUP(MID(G44,H44,I44-H44),[6]skilldef!$A:$B,2,FALSE),"-")</f>
        <v>- / 大攻撃</v>
      </c>
      <c r="M44" s="61" t="str">
        <f t="shared" si="151"/>
        <v>none</v>
      </c>
      <c r="N44" s="47" t="str">
        <f t="shared" si="152"/>
        <v>none</v>
      </c>
      <c r="O44" s="61" t="e">
        <f t="shared" si="153"/>
        <v>#VALUE!</v>
      </c>
      <c r="P44" s="61">
        <f t="shared" si="154"/>
        <v>4</v>
      </c>
      <c r="Q44" s="61" t="e">
        <f t="shared" si="155"/>
        <v>#VALUE!</v>
      </c>
      <c r="R44" s="61" t="e">
        <f t="shared" si="156"/>
        <v>#VALUE!</v>
      </c>
      <c r="S44" s="61" t="str">
        <f>IFERROR(VLOOKUP(MID(N44,Q44,R44-Q44),[6]skilldef!$C:$D,2,FALSE),"-") &amp; " / " &amp; IFERROR(VLOOKUP(MID(N44,O44,P44-O44),[6]skilldef!$A:$B,2,FALSE),"-")</f>
        <v>- / -</v>
      </c>
      <c r="T44" s="47" t="str">
        <f t="shared" si="157"/>
        <v>none</v>
      </c>
      <c r="U44" s="61" t="e">
        <f t="shared" si="158"/>
        <v>#VALUE!</v>
      </c>
      <c r="V44" s="61">
        <f t="shared" si="159"/>
        <v>4</v>
      </c>
      <c r="W44" s="61" t="e">
        <f t="shared" si="160"/>
        <v>#VALUE!</v>
      </c>
      <c r="X44" s="61" t="e">
        <f t="shared" si="161"/>
        <v>#VALUE!</v>
      </c>
      <c r="Y44" s="61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</row>
    <row r="45" spans="1:28" ht="21" customHeight="1" x14ac:dyDescent="0.15">
      <c r="A45" s="96">
        <v>49003045</v>
      </c>
      <c r="B45" s="46" t="s">
        <v>245</v>
      </c>
      <c r="C45" s="49">
        <v>1</v>
      </c>
      <c r="D45" s="49" t="s">
        <v>290</v>
      </c>
      <c r="E45" s="50" t="s">
        <v>289</v>
      </c>
      <c r="F45" s="50" t="s">
        <v>317</v>
      </c>
      <c r="G45" s="61" t="str">
        <f t="shared" ref="G45:G46" si="162">IFERROR(LEFT(B45,FIND("],",B45)),B45)</f>
        <v>[effect:damage_anti_tribe, target:unit_all, tribe:human, val1:0.2, val2:1.5]</v>
      </c>
      <c r="H45" s="61">
        <f t="shared" ref="H45:H46" si="163">FIND("effect:",G45)+7</f>
        <v>9</v>
      </c>
      <c r="I45" s="61">
        <f t="shared" ref="I45:I46" si="164">IFERROR(FIND(",",G45),LEN(G45))</f>
        <v>26</v>
      </c>
      <c r="J45" s="61">
        <f t="shared" ref="J45:J46" si="165">FIND("target:",G45)+7</f>
        <v>35</v>
      </c>
      <c r="K45" s="61">
        <f t="shared" ref="K45:K46" si="166">FIND(",",G45,I45+1)</f>
        <v>43</v>
      </c>
      <c r="L45" s="61" t="str">
        <f>IFERROR(VLOOKUP(MID(G45,J45,K45-J45),[6]skilldef!$C:$D,2,FALSE),"-") &amp; " / " &amp; IFERROR(VLOOKUP(MID(G45,H45,I45-H45),[6]skilldef!$A:$B,2,FALSE),"-")</f>
        <v>味方全体に / 種族キラー</v>
      </c>
      <c r="M45" s="61" t="str">
        <f t="shared" ref="M45:M46" si="167">IFERROR(RIGHT(B45,LEN(B45)-FIND("],",B45)-1),"none")</f>
        <v>none</v>
      </c>
      <c r="N45" s="47" t="str">
        <f t="shared" ref="N45:N46" si="168">IFERROR(LEFT(M45,FIND("],",M45)+S55),M45)</f>
        <v>none</v>
      </c>
      <c r="O45" s="61" t="e">
        <f t="shared" ref="O45:O46" si="169">FIND("effect:",N45)+7</f>
        <v>#VALUE!</v>
      </c>
      <c r="P45" s="61">
        <f t="shared" ref="P45:P46" si="170">IFERROR(FIND(",",N45),LEN(N45))</f>
        <v>4</v>
      </c>
      <c r="Q45" s="61" t="e">
        <f t="shared" ref="Q45:Q46" si="171">FIND("target:",N45)+7</f>
        <v>#VALUE!</v>
      </c>
      <c r="R45" s="61" t="e">
        <f t="shared" ref="R45:R46" si="172">FIND(",",N45,P45+1)</f>
        <v>#VALUE!</v>
      </c>
      <c r="S45" s="61" t="str">
        <f>IFERROR(VLOOKUP(MID(N45,Q45,R45-Q45),[6]skilldef!$C:$D,2,FALSE),"-") &amp; " / " &amp; IFERROR(VLOOKUP(MID(N45,O45,P45-O45),[6]skilldef!$A:$B,2,FALSE),"-")</f>
        <v>- / -</v>
      </c>
      <c r="T45" s="47" t="str">
        <f t="shared" ref="T45:T46" si="173">IFERROR(RIGHT(M45,LEN(M45)-FIND("],",M45)-1),"none")</f>
        <v>none</v>
      </c>
      <c r="U45" s="61" t="e">
        <f t="shared" ref="U45:U46" si="174">FIND("effect:",T45)+7</f>
        <v>#VALUE!</v>
      </c>
      <c r="V45" s="61">
        <f t="shared" ref="V45:V46" si="175">IFERROR(FIND(",",T45),LEN(T45))</f>
        <v>4</v>
      </c>
      <c r="W45" s="61" t="e">
        <f t="shared" ref="W45:W46" si="176">FIND("target:",T45)+7</f>
        <v>#VALUE!</v>
      </c>
      <c r="X45" s="61" t="e">
        <f t="shared" ref="X45:X46" si="177">FIND(",",T45,V45+1)</f>
        <v>#VALUE!</v>
      </c>
      <c r="Y45" s="61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</row>
    <row r="46" spans="1:28" ht="21" customHeight="1" x14ac:dyDescent="0.15">
      <c r="A46" s="96">
        <v>49003046</v>
      </c>
      <c r="B46" s="46" t="s">
        <v>363</v>
      </c>
      <c r="C46" s="49">
        <v>1</v>
      </c>
      <c r="D46" s="49" t="s">
        <v>126</v>
      </c>
      <c r="E46" s="50" t="s">
        <v>354</v>
      </c>
      <c r="F46" s="50" t="s">
        <v>355</v>
      </c>
      <c r="G46" s="61" t="str">
        <f t="shared" si="162"/>
        <v>[effect:enemy_message, val1:2, val2:2, dead_type:suicide]</v>
      </c>
      <c r="H46" s="61">
        <f t="shared" si="163"/>
        <v>9</v>
      </c>
      <c r="I46" s="61">
        <f t="shared" si="164"/>
        <v>22</v>
      </c>
      <c r="J46" s="61" t="e">
        <f t="shared" si="165"/>
        <v>#VALUE!</v>
      </c>
      <c r="K46" s="61">
        <f t="shared" si="166"/>
        <v>30</v>
      </c>
      <c r="L46" s="61" t="str">
        <f>IFERROR(VLOOKUP(MID(G46,J46,K46-J46),[6]skilldef!$C:$D,2,FALSE),"-") &amp; " / " &amp; IFERROR(VLOOKUP(MID(G46,H46,I46-H46),[6]skilldef!$A:$B,2,FALSE),"-")</f>
        <v>- / -</v>
      </c>
      <c r="M46" s="61" t="str">
        <f t="shared" si="167"/>
        <v>none</v>
      </c>
      <c r="N46" s="47" t="str">
        <f t="shared" si="168"/>
        <v>none</v>
      </c>
      <c r="O46" s="61" t="e">
        <f t="shared" si="169"/>
        <v>#VALUE!</v>
      </c>
      <c r="P46" s="61">
        <f t="shared" si="170"/>
        <v>4</v>
      </c>
      <c r="Q46" s="61" t="e">
        <f t="shared" si="171"/>
        <v>#VALUE!</v>
      </c>
      <c r="R46" s="61" t="e">
        <f t="shared" si="172"/>
        <v>#VALUE!</v>
      </c>
      <c r="S46" s="61" t="str">
        <f>IFERROR(VLOOKUP(MID(N46,Q46,R46-Q46),[6]skilldef!$C:$D,2,FALSE),"-") &amp; " / " &amp; IFERROR(VLOOKUP(MID(N46,O46,P46-O46),[6]skilldef!$A:$B,2,FALSE),"-")</f>
        <v>- / -</v>
      </c>
      <c r="T46" s="47" t="str">
        <f t="shared" si="173"/>
        <v>none</v>
      </c>
      <c r="U46" s="61" t="e">
        <f t="shared" si="174"/>
        <v>#VALUE!</v>
      </c>
      <c r="V46" s="61">
        <f t="shared" si="175"/>
        <v>4</v>
      </c>
      <c r="W46" s="61" t="e">
        <f t="shared" si="176"/>
        <v>#VALUE!</v>
      </c>
      <c r="X46" s="61" t="e">
        <f t="shared" si="177"/>
        <v>#VALUE!</v>
      </c>
      <c r="Y46" s="61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</row>
    <row r="47" spans="1:28" ht="21" customHeight="1" x14ac:dyDescent="0.15">
      <c r="A47" s="96">
        <v>49003050</v>
      </c>
      <c r="B47" s="46" t="s">
        <v>217</v>
      </c>
      <c r="C47" s="49">
        <v>1</v>
      </c>
      <c r="D47" s="49" t="s">
        <v>126</v>
      </c>
      <c r="E47" s="50" t="s">
        <v>334</v>
      </c>
      <c r="F47" s="133" t="s">
        <v>348</v>
      </c>
      <c r="G47" s="61" t="str">
        <f t="shared" ref="G47:G50" si="178">IFERROR(LEFT(B47,FIND("],",B47)),B47)</f>
        <v>[effect:dark, target:unit_all, turn:1, animation:enemy_dark]</v>
      </c>
      <c r="H47" s="61">
        <f t="shared" ref="H47:H50" si="179">FIND("effect:",G47)+7</f>
        <v>9</v>
      </c>
      <c r="I47" s="61">
        <f t="shared" ref="I47:I50" si="180">IFERROR(FIND(",",G47),LEN(G47))</f>
        <v>13</v>
      </c>
      <c r="J47" s="61">
        <f t="shared" ref="J47:J50" si="181">FIND("target:",G47)+7</f>
        <v>22</v>
      </c>
      <c r="K47" s="61">
        <f t="shared" ref="K47:K50" si="182">FIND(",",G47,I47+1)</f>
        <v>30</v>
      </c>
      <c r="L47" s="61" t="str">
        <f>IFERROR(VLOOKUP(MID(G47,J47,K47-J47),[6]skilldef!$C:$D,2,FALSE),"-") &amp; " / " &amp; IFERROR(VLOOKUP(MID(G47,H47,I47-H47),[6]skilldef!$A:$B,2,FALSE),"-")</f>
        <v>味方全体に / 暗黒</v>
      </c>
      <c r="M47" s="61" t="str">
        <f t="shared" ref="M47:M50" si="183">IFERROR(RIGHT(B47,LEN(B47)-FIND("],",B47)-1),"none")</f>
        <v>none</v>
      </c>
      <c r="N47" s="47" t="str">
        <f t="shared" ref="N47:N50" si="184">IFERROR(LEFT(M47,FIND("],",M47)+S57),M47)</f>
        <v>none</v>
      </c>
      <c r="O47" s="61" t="e">
        <f t="shared" ref="O47:O50" si="185">FIND("effect:",N47)+7</f>
        <v>#VALUE!</v>
      </c>
      <c r="P47" s="61">
        <f t="shared" ref="P47:P50" si="186">IFERROR(FIND(",",N47),LEN(N47))</f>
        <v>4</v>
      </c>
      <c r="Q47" s="61" t="e">
        <f t="shared" ref="Q47:Q50" si="187">FIND("target:",N47)+7</f>
        <v>#VALUE!</v>
      </c>
      <c r="R47" s="61" t="e">
        <f t="shared" ref="R47:R50" si="188">FIND(",",N47,P47+1)</f>
        <v>#VALUE!</v>
      </c>
      <c r="S47" s="61" t="str">
        <f>IFERROR(VLOOKUP(MID(N47,Q47,R47-Q47),[6]skilldef!$C:$D,2,FALSE),"-") &amp; " / " &amp; IFERROR(VLOOKUP(MID(N47,O47,P47-O47),[6]skilldef!$A:$B,2,FALSE),"-")</f>
        <v>- / -</v>
      </c>
      <c r="T47" s="47" t="str">
        <f t="shared" ref="T47:T50" si="189">IFERROR(RIGHT(M47,LEN(M47)-FIND("],",M47)-1),"none")</f>
        <v>none</v>
      </c>
      <c r="U47" s="61" t="e">
        <f t="shared" ref="U47:U50" si="190">FIND("effect:",T47)+7</f>
        <v>#VALUE!</v>
      </c>
      <c r="V47" s="61">
        <f t="shared" ref="V47:V50" si="191">IFERROR(FIND(",",T47),LEN(T47))</f>
        <v>4</v>
      </c>
      <c r="W47" s="61" t="e">
        <f t="shared" ref="W47:W50" si="192">FIND("target:",T47)+7</f>
        <v>#VALUE!</v>
      </c>
      <c r="X47" s="61" t="e">
        <f t="shared" ref="X47:X50" si="193">FIND(",",T47,V47+1)</f>
        <v>#VALUE!</v>
      </c>
      <c r="Y47" s="61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</row>
    <row r="48" spans="1:28" ht="21" customHeight="1" x14ac:dyDescent="0.15">
      <c r="A48" s="96">
        <v>49003051</v>
      </c>
      <c r="B48" s="46" t="s">
        <v>249</v>
      </c>
      <c r="C48" s="49">
        <v>1</v>
      </c>
      <c r="D48" s="49" t="s">
        <v>126</v>
      </c>
      <c r="E48" s="133" t="s">
        <v>349</v>
      </c>
      <c r="F48" s="50" t="s">
        <v>255</v>
      </c>
      <c r="G48" s="61" t="str">
        <f t="shared" si="178"/>
        <v>[effect:tolerance, target:myself, turn:-1, tolerance_effect:all, count:-1, animation:enemy_tolerance]</v>
      </c>
      <c r="H48" s="61">
        <f t="shared" si="179"/>
        <v>9</v>
      </c>
      <c r="I48" s="61">
        <f t="shared" si="180"/>
        <v>18</v>
      </c>
      <c r="J48" s="61">
        <f t="shared" si="181"/>
        <v>27</v>
      </c>
      <c r="K48" s="61">
        <f t="shared" si="182"/>
        <v>33</v>
      </c>
      <c r="L48" s="61" t="str">
        <f>IFERROR(VLOOKUP(MID(G48,J48,K48-J48),[6]skilldef!$C:$D,2,FALSE),"-") &amp; " / " &amp; IFERROR(VLOOKUP(MID(G48,H48,I48-H48),[6]skilldef!$A:$B,2,FALSE),"-")</f>
        <v>自分自身に / 状態異常耐性</v>
      </c>
      <c r="M48" s="61" t="str">
        <f t="shared" si="183"/>
        <v xml:space="preserve">[effect:fix_speed, target:myself, turn:2]    </v>
      </c>
      <c r="N48" s="47" t="str">
        <f t="shared" si="184"/>
        <v xml:space="preserve">[effect:fix_speed, target:myself, turn:2]    </v>
      </c>
      <c r="O48" s="61">
        <f t="shared" si="185"/>
        <v>9</v>
      </c>
      <c r="P48" s="61">
        <f t="shared" si="186"/>
        <v>18</v>
      </c>
      <c r="Q48" s="61">
        <f t="shared" si="187"/>
        <v>27</v>
      </c>
      <c r="R48" s="61">
        <f t="shared" si="188"/>
        <v>33</v>
      </c>
      <c r="S48" s="61" t="str">
        <f>IFERROR(VLOOKUP(MID(N48,Q48,R48-Q48),[6]skilldef!$C:$D,2,FALSE),"-") &amp; " / " &amp; IFERROR(VLOOKUP(MID(N48,O48,P48-O48),[6]skilldef!$A:$B,2,FALSE),"-")</f>
        <v>自分自身に / 行動値設定</v>
      </c>
      <c r="T48" s="47" t="str">
        <f t="shared" si="189"/>
        <v>none</v>
      </c>
      <c r="U48" s="61" t="e">
        <f t="shared" si="190"/>
        <v>#VALUE!</v>
      </c>
      <c r="V48" s="61">
        <f t="shared" si="191"/>
        <v>4</v>
      </c>
      <c r="W48" s="61" t="e">
        <f t="shared" si="192"/>
        <v>#VALUE!</v>
      </c>
      <c r="X48" s="61" t="e">
        <f t="shared" si="193"/>
        <v>#VALUE!</v>
      </c>
      <c r="Y48" s="61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</row>
    <row r="49" spans="1:28" ht="21" customHeight="1" x14ac:dyDescent="0.15">
      <c r="A49" s="96">
        <v>49003052</v>
      </c>
      <c r="B49" s="46" t="s">
        <v>230</v>
      </c>
      <c r="C49" s="49">
        <v>1</v>
      </c>
      <c r="D49" s="49" t="s">
        <v>126</v>
      </c>
      <c r="E49" s="133" t="s">
        <v>350</v>
      </c>
      <c r="F49" s="50" t="s">
        <v>313</v>
      </c>
      <c r="G49" s="61" t="str">
        <f t="shared" si="178"/>
        <v>[effect:degrade_unit, target:unit_all, turn:1, status:attack, val:1, calc:mul]</v>
      </c>
      <c r="H49" s="61">
        <f t="shared" si="179"/>
        <v>9</v>
      </c>
      <c r="I49" s="61">
        <f t="shared" si="180"/>
        <v>21</v>
      </c>
      <c r="J49" s="61">
        <f t="shared" si="181"/>
        <v>30</v>
      </c>
      <c r="K49" s="61">
        <f t="shared" si="182"/>
        <v>38</v>
      </c>
      <c r="L49" s="61" t="str">
        <f>IFERROR(VLOOKUP(MID(G49,J49,K49-J49),[6]skilldef!$C:$D,2,FALSE),"-") &amp; " / " &amp; IFERROR(VLOOKUP(MID(G49,H49,I49-H49),[6]skilldef!$A:$B,2,FALSE),"-")</f>
        <v>味方全体に / ステータスDOWN</v>
      </c>
      <c r="M49" s="61" t="str">
        <f t="shared" si="183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49" s="47" t="str">
        <f t="shared" si="184"/>
        <v>[effect:change_block, new_block:block_heart, target:block_red, count:5, val:0, animation:change_block]</v>
      </c>
      <c r="O49" s="61">
        <f t="shared" si="185"/>
        <v>9</v>
      </c>
      <c r="P49" s="61">
        <f t="shared" si="186"/>
        <v>21</v>
      </c>
      <c r="Q49" s="61">
        <f t="shared" si="187"/>
        <v>53</v>
      </c>
      <c r="R49" s="61">
        <f t="shared" si="188"/>
        <v>44</v>
      </c>
      <c r="S49" s="61" t="str">
        <f>IFERROR(VLOOKUP(MID(N49,Q49,R49-Q49),[6]skilldef!$C:$D,2,FALSE),"-") &amp; " / " &amp; IFERROR(VLOOKUP(MID(N49,O49,P49-O49),[6]skilldef!$A:$B,2,FALSE),"-")</f>
        <v>- / ブロック変換</v>
      </c>
      <c r="T49" s="47" t="str">
        <f t="shared" si="189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49" s="61">
        <f t="shared" si="190"/>
        <v>9</v>
      </c>
      <c r="V49" s="61">
        <f t="shared" si="191"/>
        <v>21</v>
      </c>
      <c r="W49" s="61">
        <f t="shared" si="192"/>
        <v>53</v>
      </c>
      <c r="X49" s="61">
        <f t="shared" si="193"/>
        <v>44</v>
      </c>
      <c r="Y49" s="61" t="str">
        <f>IFERROR(VLOOKUP(MID(T49,W49,X49-W49),[6]skilldef!$C:$D,2,FALSE),"-") &amp; " / " &amp; IFERROR(VLOOKUP(MID(T49,U49,V49-U49),[6]skilldef!$A:$B,2,FALSE),"-")</f>
        <v>- / ブロック変換</v>
      </c>
      <c r="Z49" s="49"/>
      <c r="AA49" s="51"/>
      <c r="AB49" s="49"/>
    </row>
    <row r="50" spans="1:28" ht="21" customHeight="1" x14ac:dyDescent="0.15">
      <c r="A50" s="96">
        <v>49003053</v>
      </c>
      <c r="B50" s="46" t="s">
        <v>252</v>
      </c>
      <c r="C50" s="49">
        <v>1</v>
      </c>
      <c r="D50" s="49" t="s">
        <v>126</v>
      </c>
      <c r="E50" s="133" t="s">
        <v>333</v>
      </c>
      <c r="F50" s="50" t="s">
        <v>317</v>
      </c>
      <c r="G50" s="61" t="str">
        <f t="shared" si="178"/>
        <v>[effect:damage_anti_tribe, target:unit_all, tribe:human, val1:0.1, val2:0.9]</v>
      </c>
      <c r="H50" s="61">
        <f t="shared" si="179"/>
        <v>9</v>
      </c>
      <c r="I50" s="61">
        <f t="shared" si="180"/>
        <v>26</v>
      </c>
      <c r="J50" s="61">
        <f t="shared" si="181"/>
        <v>35</v>
      </c>
      <c r="K50" s="61">
        <f t="shared" si="182"/>
        <v>43</v>
      </c>
      <c r="L50" s="61" t="str">
        <f>IFERROR(VLOOKUP(MID(G50,J50,K50-J50),[6]skilldef!$C:$D,2,FALSE),"-") &amp; " / " &amp; IFERROR(VLOOKUP(MID(G50,H50,I50-H50),[6]skilldef!$A:$B,2,FALSE),"-")</f>
        <v>味方全体に / 種族キラー</v>
      </c>
      <c r="M50" s="61" t="str">
        <f t="shared" si="183"/>
        <v>none</v>
      </c>
      <c r="N50" s="47" t="str">
        <f t="shared" si="184"/>
        <v>none</v>
      </c>
      <c r="O50" s="61" t="e">
        <f t="shared" si="185"/>
        <v>#VALUE!</v>
      </c>
      <c r="P50" s="61">
        <f t="shared" si="186"/>
        <v>4</v>
      </c>
      <c r="Q50" s="61" t="e">
        <f t="shared" si="187"/>
        <v>#VALUE!</v>
      </c>
      <c r="R50" s="61" t="e">
        <f t="shared" si="188"/>
        <v>#VALUE!</v>
      </c>
      <c r="S50" s="61" t="str">
        <f>IFERROR(VLOOKUP(MID(N50,Q50,R50-Q50),[6]skilldef!$C:$D,2,FALSE),"-") &amp; " / " &amp; IFERROR(VLOOKUP(MID(N50,O50,P50-O50),[6]skilldef!$A:$B,2,FALSE),"-")</f>
        <v>- / -</v>
      </c>
      <c r="T50" s="47" t="str">
        <f t="shared" si="189"/>
        <v>none</v>
      </c>
      <c r="U50" s="61" t="e">
        <f t="shared" si="190"/>
        <v>#VALUE!</v>
      </c>
      <c r="V50" s="61">
        <f t="shared" si="191"/>
        <v>4</v>
      </c>
      <c r="W50" s="61" t="e">
        <f t="shared" si="192"/>
        <v>#VALUE!</v>
      </c>
      <c r="X50" s="61" t="e">
        <f t="shared" si="193"/>
        <v>#VALUE!</v>
      </c>
      <c r="Y50" s="61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8"/>
  <sheetViews>
    <sheetView showGridLines="0" workbookViewId="0">
      <pane ySplit="1" topLeftCell="A36" activePane="bottomLeft" state="frozenSplit"/>
      <selection pane="bottomLeft" activeCell="C52" sqref="C5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96">
        <v>49003001</v>
      </c>
      <c r="B2" s="46">
        <v>1</v>
      </c>
      <c r="C2" s="46">
        <v>100</v>
      </c>
      <c r="D2" s="46">
        <v>100</v>
      </c>
      <c r="E2" s="46" t="s">
        <v>216</v>
      </c>
      <c r="F2" s="46" t="s">
        <v>216</v>
      </c>
      <c r="G2" s="46">
        <v>1</v>
      </c>
      <c r="H2" s="46" t="s">
        <v>216</v>
      </c>
      <c r="I2" s="46" t="s">
        <v>216</v>
      </c>
      <c r="J2" s="47">
        <f t="shared" ref="J2" si="0">D2</f>
        <v>100</v>
      </c>
    </row>
    <row r="3" spans="1:11" ht="21" customHeight="1" x14ac:dyDescent="0.15">
      <c r="A3" s="96">
        <v>49003002</v>
      </c>
      <c r="B3" s="47">
        <v>0</v>
      </c>
      <c r="C3" s="47">
        <v>50</v>
      </c>
      <c r="D3" s="47">
        <v>100</v>
      </c>
      <c r="E3" s="47" t="s">
        <v>216</v>
      </c>
      <c r="F3" s="47" t="s">
        <v>216</v>
      </c>
      <c r="G3" s="47">
        <v>1</v>
      </c>
      <c r="H3" s="47">
        <v>1</v>
      </c>
      <c r="I3" s="47" t="s">
        <v>216</v>
      </c>
      <c r="J3" s="47">
        <f t="shared" ref="J3:J43" si="1">D3</f>
        <v>100</v>
      </c>
    </row>
    <row r="4" spans="1:11" ht="21" customHeight="1" x14ac:dyDescent="0.15">
      <c r="A4" s="96">
        <v>49003003</v>
      </c>
      <c r="B4" s="47">
        <v>0</v>
      </c>
      <c r="C4" s="47">
        <v>40</v>
      </c>
      <c r="D4" s="47">
        <v>100</v>
      </c>
      <c r="E4" s="47" t="s">
        <v>216</v>
      </c>
      <c r="F4" s="47" t="s">
        <v>216</v>
      </c>
      <c r="G4" s="47">
        <v>1</v>
      </c>
      <c r="H4" s="47">
        <v>1</v>
      </c>
      <c r="I4" s="47" t="s">
        <v>216</v>
      </c>
      <c r="J4" s="47">
        <f t="shared" si="1"/>
        <v>100</v>
      </c>
    </row>
    <row r="5" spans="1:11" ht="21" customHeight="1" x14ac:dyDescent="0.15">
      <c r="A5" s="96">
        <v>49003005</v>
      </c>
      <c r="B5" s="47">
        <v>0</v>
      </c>
      <c r="C5" s="47">
        <v>20</v>
      </c>
      <c r="D5" s="47">
        <v>100</v>
      </c>
      <c r="E5" s="47" t="s">
        <v>216</v>
      </c>
      <c r="F5" s="47" t="s">
        <v>216</v>
      </c>
      <c r="G5" s="47">
        <v>1</v>
      </c>
      <c r="H5" s="47">
        <v>1</v>
      </c>
      <c r="I5" s="47" t="s">
        <v>216</v>
      </c>
      <c r="J5" s="47">
        <f t="shared" si="1"/>
        <v>100</v>
      </c>
    </row>
    <row r="6" spans="1:11" ht="21" customHeight="1" x14ac:dyDescent="0.15">
      <c r="A6" s="96">
        <v>49003007</v>
      </c>
      <c r="B6" s="47">
        <v>0</v>
      </c>
      <c r="C6" s="47">
        <v>5</v>
      </c>
      <c r="D6" s="47">
        <v>100</v>
      </c>
      <c r="E6" s="47" t="s">
        <v>216</v>
      </c>
      <c r="F6" s="47" t="s">
        <v>216</v>
      </c>
      <c r="G6" s="47" t="s">
        <v>216</v>
      </c>
      <c r="H6" s="47">
        <v>1</v>
      </c>
      <c r="I6" s="47" t="s">
        <v>216</v>
      </c>
      <c r="J6" s="47">
        <f t="shared" si="1"/>
        <v>100</v>
      </c>
    </row>
    <row r="7" spans="1:11" ht="21" customHeight="1" x14ac:dyDescent="0.15">
      <c r="A7" s="96">
        <v>49003008</v>
      </c>
      <c r="B7" s="47">
        <v>0</v>
      </c>
      <c r="C7" s="47">
        <v>8</v>
      </c>
      <c r="D7" s="47">
        <v>60</v>
      </c>
      <c r="E7" s="47" t="s">
        <v>216</v>
      </c>
      <c r="F7" s="47" t="s">
        <v>216</v>
      </c>
      <c r="G7" s="47" t="s">
        <v>216</v>
      </c>
      <c r="H7" s="47">
        <v>1</v>
      </c>
      <c r="I7" s="47" t="s">
        <v>216</v>
      </c>
      <c r="J7" s="47">
        <f t="shared" si="1"/>
        <v>60</v>
      </c>
    </row>
    <row r="8" spans="1:11" ht="21" customHeight="1" x14ac:dyDescent="0.15">
      <c r="A8" s="96">
        <v>49003009</v>
      </c>
      <c r="B8" s="47">
        <v>0</v>
      </c>
      <c r="C8" s="47">
        <v>9</v>
      </c>
      <c r="D8" s="47">
        <v>30</v>
      </c>
      <c r="E8" s="47" t="s">
        <v>216</v>
      </c>
      <c r="F8" s="47" t="s">
        <v>216</v>
      </c>
      <c r="G8" s="47">
        <v>1</v>
      </c>
      <c r="H8" s="47">
        <v>1</v>
      </c>
      <c r="I8" s="47" t="s">
        <v>216</v>
      </c>
      <c r="J8" s="47">
        <f t="shared" si="1"/>
        <v>30</v>
      </c>
    </row>
    <row r="9" spans="1:11" ht="21" customHeight="1" x14ac:dyDescent="0.15">
      <c r="A9" s="96">
        <v>49003010</v>
      </c>
      <c r="B9" s="47">
        <v>1</v>
      </c>
      <c r="C9" s="47">
        <v>100</v>
      </c>
      <c r="D9" s="47">
        <v>100</v>
      </c>
      <c r="E9" s="47" t="s">
        <v>216</v>
      </c>
      <c r="F9" s="47" t="s">
        <v>216</v>
      </c>
      <c r="G9" s="47">
        <v>1</v>
      </c>
      <c r="H9" s="47" t="s">
        <v>216</v>
      </c>
      <c r="I9" s="47" t="s">
        <v>216</v>
      </c>
      <c r="J9" s="47">
        <f t="shared" si="1"/>
        <v>100</v>
      </c>
    </row>
    <row r="10" spans="1:11" ht="21" customHeight="1" x14ac:dyDescent="0.15">
      <c r="A10" s="96">
        <v>49003011</v>
      </c>
      <c r="B10" s="47">
        <v>0</v>
      </c>
      <c r="C10" s="47">
        <v>99</v>
      </c>
      <c r="D10" s="47">
        <v>33</v>
      </c>
      <c r="E10" s="47" t="s">
        <v>216</v>
      </c>
      <c r="F10" s="47" t="s">
        <v>216</v>
      </c>
      <c r="G10" s="47" t="s">
        <v>216</v>
      </c>
      <c r="H10" s="47" t="s">
        <v>216</v>
      </c>
      <c r="I10" s="47" t="s">
        <v>216</v>
      </c>
      <c r="J10" s="47">
        <f t="shared" si="1"/>
        <v>33</v>
      </c>
    </row>
    <row r="11" spans="1:11" ht="21" customHeight="1" x14ac:dyDescent="0.15">
      <c r="A11" s="96">
        <v>49003012</v>
      </c>
      <c r="B11" s="47">
        <v>0</v>
      </c>
      <c r="C11" s="47">
        <v>50</v>
      </c>
      <c r="D11" s="47">
        <v>50</v>
      </c>
      <c r="E11" s="47" t="s">
        <v>216</v>
      </c>
      <c r="F11" s="47" t="s">
        <v>216</v>
      </c>
      <c r="G11" s="47" t="s">
        <v>216</v>
      </c>
      <c r="H11" s="47" t="s">
        <v>216</v>
      </c>
      <c r="I11" s="47" t="s">
        <v>216</v>
      </c>
      <c r="J11" s="47">
        <f t="shared" si="1"/>
        <v>50</v>
      </c>
    </row>
    <row r="12" spans="1:11" ht="21" customHeight="1" x14ac:dyDescent="0.15">
      <c r="A12" s="96">
        <v>49003013</v>
      </c>
      <c r="B12" s="47">
        <v>0</v>
      </c>
      <c r="C12" s="47">
        <v>25</v>
      </c>
      <c r="D12" s="47">
        <v>100</v>
      </c>
      <c r="E12" s="47" t="s">
        <v>216</v>
      </c>
      <c r="F12" s="47" t="s">
        <v>216</v>
      </c>
      <c r="G12" s="47" t="s">
        <v>216</v>
      </c>
      <c r="H12" s="47" t="s">
        <v>216</v>
      </c>
      <c r="I12" s="47" t="s">
        <v>216</v>
      </c>
      <c r="J12" s="47">
        <f t="shared" si="1"/>
        <v>100</v>
      </c>
    </row>
    <row r="13" spans="1:11" ht="21" customHeight="1" x14ac:dyDescent="0.15">
      <c r="A13" s="96">
        <v>49003014</v>
      </c>
      <c r="B13" s="47">
        <v>1</v>
      </c>
      <c r="C13" s="47">
        <v>100</v>
      </c>
      <c r="D13" s="47">
        <v>100</v>
      </c>
      <c r="E13" s="47" t="s">
        <v>216</v>
      </c>
      <c r="F13" s="47" t="s">
        <v>216</v>
      </c>
      <c r="G13" s="47">
        <v>1</v>
      </c>
      <c r="H13" s="47" t="s">
        <v>216</v>
      </c>
      <c r="I13" s="47" t="s">
        <v>216</v>
      </c>
      <c r="J13" s="47">
        <f t="shared" si="1"/>
        <v>100</v>
      </c>
    </row>
    <row r="14" spans="1:11" ht="21" customHeight="1" x14ac:dyDescent="0.15">
      <c r="A14" s="96">
        <v>49003015</v>
      </c>
      <c r="B14" s="47">
        <v>0</v>
      </c>
      <c r="C14" s="47">
        <v>99</v>
      </c>
      <c r="D14" s="47">
        <v>33</v>
      </c>
      <c r="E14" s="47" t="s">
        <v>216</v>
      </c>
      <c r="F14" s="47" t="s">
        <v>216</v>
      </c>
      <c r="G14" s="47" t="s">
        <v>216</v>
      </c>
      <c r="H14" s="47" t="s">
        <v>216</v>
      </c>
      <c r="I14" s="47" t="s">
        <v>216</v>
      </c>
      <c r="J14" s="47">
        <f t="shared" si="1"/>
        <v>33</v>
      </c>
    </row>
    <row r="15" spans="1:11" ht="21" customHeight="1" x14ac:dyDescent="0.15">
      <c r="A15" s="96">
        <v>49003016</v>
      </c>
      <c r="B15" s="47">
        <v>0</v>
      </c>
      <c r="C15" s="47">
        <v>50</v>
      </c>
      <c r="D15" s="47">
        <v>50</v>
      </c>
      <c r="E15" s="47" t="s">
        <v>216</v>
      </c>
      <c r="F15" s="47" t="s">
        <v>216</v>
      </c>
      <c r="G15" s="47" t="s">
        <v>216</v>
      </c>
      <c r="H15" s="47" t="s">
        <v>216</v>
      </c>
      <c r="I15" s="47" t="s">
        <v>216</v>
      </c>
      <c r="J15" s="47">
        <f t="shared" si="1"/>
        <v>50</v>
      </c>
    </row>
    <row r="16" spans="1:11" ht="21" customHeight="1" x14ac:dyDescent="0.15">
      <c r="A16" s="96">
        <v>49003017</v>
      </c>
      <c r="B16" s="47">
        <v>0</v>
      </c>
      <c r="C16" s="47">
        <v>25</v>
      </c>
      <c r="D16" s="47">
        <v>100</v>
      </c>
      <c r="E16" s="47" t="s">
        <v>216</v>
      </c>
      <c r="F16" s="47" t="s">
        <v>216</v>
      </c>
      <c r="G16" s="47" t="s">
        <v>216</v>
      </c>
      <c r="H16" s="47" t="s">
        <v>216</v>
      </c>
      <c r="I16" s="47" t="s">
        <v>216</v>
      </c>
      <c r="J16" s="47">
        <f t="shared" si="1"/>
        <v>100</v>
      </c>
    </row>
    <row r="17" spans="1:10" ht="21" customHeight="1" x14ac:dyDescent="0.15">
      <c r="A17" s="96">
        <v>49003018</v>
      </c>
      <c r="B17" s="47">
        <v>1</v>
      </c>
      <c r="C17" s="47">
        <v>100</v>
      </c>
      <c r="D17" s="47">
        <v>100</v>
      </c>
      <c r="E17" s="47" t="s">
        <v>216</v>
      </c>
      <c r="F17" s="47" t="s">
        <v>216</v>
      </c>
      <c r="G17" s="47">
        <v>1</v>
      </c>
      <c r="H17" s="47" t="s">
        <v>216</v>
      </c>
      <c r="I17" s="47" t="s">
        <v>216</v>
      </c>
      <c r="J17" s="47">
        <f t="shared" si="1"/>
        <v>100</v>
      </c>
    </row>
    <row r="18" spans="1:10" ht="21" customHeight="1" x14ac:dyDescent="0.15">
      <c r="A18" s="96">
        <v>49003020</v>
      </c>
      <c r="B18" s="47">
        <v>0</v>
      </c>
      <c r="C18" s="47">
        <v>50</v>
      </c>
      <c r="D18" s="47">
        <v>100</v>
      </c>
      <c r="E18" s="47" t="s">
        <v>235</v>
      </c>
      <c r="F18" s="47" t="s">
        <v>235</v>
      </c>
      <c r="G18" s="47" t="s">
        <v>236</v>
      </c>
      <c r="H18" s="47" t="s">
        <v>236</v>
      </c>
      <c r="I18" s="47" t="s">
        <v>236</v>
      </c>
      <c r="J18" s="47">
        <f t="shared" si="1"/>
        <v>100</v>
      </c>
    </row>
    <row r="19" spans="1:10" ht="21" customHeight="1" x14ac:dyDescent="0.15">
      <c r="A19" s="96">
        <v>49003021</v>
      </c>
      <c r="B19" s="47">
        <v>0</v>
      </c>
      <c r="C19" s="47">
        <v>150</v>
      </c>
      <c r="D19" s="47">
        <v>25</v>
      </c>
      <c r="E19" s="47" t="s">
        <v>234</v>
      </c>
      <c r="F19" s="47" t="s">
        <v>235</v>
      </c>
      <c r="G19" s="47">
        <v>2</v>
      </c>
      <c r="H19" s="47" t="s">
        <v>236</v>
      </c>
      <c r="I19" s="47" t="s">
        <v>236</v>
      </c>
      <c r="J19" s="47">
        <f t="shared" si="1"/>
        <v>25</v>
      </c>
    </row>
    <row r="20" spans="1:10" ht="21" customHeight="1" x14ac:dyDescent="0.15">
      <c r="A20" s="96">
        <v>49003022</v>
      </c>
      <c r="B20" s="47">
        <v>1</v>
      </c>
      <c r="C20" s="47">
        <v>100</v>
      </c>
      <c r="D20" s="47">
        <v>100</v>
      </c>
      <c r="E20" s="47" t="s">
        <v>216</v>
      </c>
      <c r="F20" s="47" t="s">
        <v>216</v>
      </c>
      <c r="G20" s="47">
        <v>1</v>
      </c>
      <c r="H20" s="47" t="s">
        <v>216</v>
      </c>
      <c r="I20" s="47" t="s">
        <v>216</v>
      </c>
      <c r="J20" s="47">
        <f t="shared" si="1"/>
        <v>100</v>
      </c>
    </row>
    <row r="21" spans="1:10" ht="21" customHeight="1" x14ac:dyDescent="0.15">
      <c r="A21" s="96">
        <v>49003023</v>
      </c>
      <c r="B21" s="47">
        <v>0</v>
      </c>
      <c r="C21" s="47">
        <v>50</v>
      </c>
      <c r="D21" s="47">
        <v>50</v>
      </c>
      <c r="E21" s="47" t="s">
        <v>216</v>
      </c>
      <c r="F21" s="47" t="s">
        <v>216</v>
      </c>
      <c r="G21" s="47" t="s">
        <v>216</v>
      </c>
      <c r="H21" s="47" t="s">
        <v>216</v>
      </c>
      <c r="I21" s="47" t="s">
        <v>216</v>
      </c>
      <c r="J21" s="47">
        <f t="shared" si="1"/>
        <v>50</v>
      </c>
    </row>
    <row r="22" spans="1:10" ht="21" customHeight="1" x14ac:dyDescent="0.15">
      <c r="A22" s="96">
        <v>49003024</v>
      </c>
      <c r="B22" s="47">
        <v>0</v>
      </c>
      <c r="C22" s="47">
        <v>25</v>
      </c>
      <c r="D22" s="47">
        <v>100</v>
      </c>
      <c r="E22" s="47" t="s">
        <v>216</v>
      </c>
      <c r="F22" s="47" t="s">
        <v>216</v>
      </c>
      <c r="G22" s="47" t="s">
        <v>216</v>
      </c>
      <c r="H22" s="47" t="s">
        <v>216</v>
      </c>
      <c r="I22" s="47" t="s">
        <v>216</v>
      </c>
      <c r="J22" s="47">
        <f t="shared" si="1"/>
        <v>100</v>
      </c>
    </row>
    <row r="23" spans="1:10" ht="21" customHeight="1" x14ac:dyDescent="0.15">
      <c r="A23" s="96">
        <v>49003025</v>
      </c>
      <c r="B23" s="47">
        <v>0</v>
      </c>
      <c r="C23" s="47">
        <v>150</v>
      </c>
      <c r="D23" s="47">
        <v>100</v>
      </c>
      <c r="E23" s="47">
        <v>50</v>
      </c>
      <c r="F23" s="47" t="s">
        <v>216</v>
      </c>
      <c r="G23" s="47">
        <v>1</v>
      </c>
      <c r="H23" s="47" t="s">
        <v>216</v>
      </c>
      <c r="I23" s="47" t="s">
        <v>216</v>
      </c>
      <c r="J23" s="47">
        <f t="shared" si="1"/>
        <v>100</v>
      </c>
    </row>
    <row r="24" spans="1:10" ht="21" customHeight="1" x14ac:dyDescent="0.15">
      <c r="A24" s="96">
        <v>49003026</v>
      </c>
      <c r="B24" s="97">
        <v>0</v>
      </c>
      <c r="C24" s="98">
        <v>120</v>
      </c>
      <c r="D24" s="98">
        <v>100</v>
      </c>
      <c r="E24" s="98">
        <v>50</v>
      </c>
      <c r="F24" s="98" t="s">
        <v>216</v>
      </c>
      <c r="G24" s="98">
        <v>1</v>
      </c>
      <c r="H24" s="98" t="s">
        <v>216</v>
      </c>
      <c r="I24" s="98" t="s">
        <v>216</v>
      </c>
      <c r="J24" s="47">
        <f t="shared" si="1"/>
        <v>100</v>
      </c>
    </row>
    <row r="25" spans="1:10" ht="21" customHeight="1" x14ac:dyDescent="0.15">
      <c r="A25" s="96">
        <v>49003028</v>
      </c>
      <c r="B25" s="99">
        <v>1</v>
      </c>
      <c r="C25" s="100">
        <v>100</v>
      </c>
      <c r="D25" s="100">
        <v>100</v>
      </c>
      <c r="E25" s="100" t="s">
        <v>216</v>
      </c>
      <c r="F25" s="100" t="s">
        <v>216</v>
      </c>
      <c r="G25" s="100">
        <v>1</v>
      </c>
      <c r="H25" s="100" t="s">
        <v>216</v>
      </c>
      <c r="I25" s="100" t="s">
        <v>216</v>
      </c>
      <c r="J25" s="47">
        <f t="shared" si="1"/>
        <v>100</v>
      </c>
    </row>
    <row r="26" spans="1:10" ht="21" customHeight="1" x14ac:dyDescent="0.15">
      <c r="A26" s="96">
        <v>49003029</v>
      </c>
      <c r="B26" s="47">
        <v>0</v>
      </c>
      <c r="C26" s="47">
        <v>60</v>
      </c>
      <c r="D26" s="47">
        <v>100</v>
      </c>
      <c r="E26" s="47" t="s">
        <v>216</v>
      </c>
      <c r="F26" s="47" t="s">
        <v>216</v>
      </c>
      <c r="G26" s="47" t="s">
        <v>216</v>
      </c>
      <c r="H26" s="47" t="s">
        <v>216</v>
      </c>
      <c r="I26" s="47" t="s">
        <v>216</v>
      </c>
      <c r="J26" s="47">
        <f t="shared" si="1"/>
        <v>100</v>
      </c>
    </row>
    <row r="27" spans="1:10" ht="21" customHeight="1" x14ac:dyDescent="0.15">
      <c r="A27" s="96">
        <v>49003030</v>
      </c>
      <c r="B27" s="47">
        <v>0</v>
      </c>
      <c r="C27" s="47">
        <v>70</v>
      </c>
      <c r="D27" s="47">
        <v>50</v>
      </c>
      <c r="E27" s="47" t="s">
        <v>216</v>
      </c>
      <c r="F27" s="47" t="s">
        <v>216</v>
      </c>
      <c r="G27" s="47" t="s">
        <v>216</v>
      </c>
      <c r="H27" s="47" t="s">
        <v>216</v>
      </c>
      <c r="I27" s="47" t="s">
        <v>216</v>
      </c>
      <c r="J27" s="47">
        <f t="shared" si="1"/>
        <v>50</v>
      </c>
    </row>
    <row r="28" spans="1:10" ht="21" customHeight="1" x14ac:dyDescent="0.15">
      <c r="A28" s="96">
        <v>49003031</v>
      </c>
      <c r="B28" s="97">
        <v>0</v>
      </c>
      <c r="C28" s="98">
        <v>80</v>
      </c>
      <c r="D28" s="98">
        <v>33</v>
      </c>
      <c r="E28" s="98" t="s">
        <v>216</v>
      </c>
      <c r="F28" s="98" t="s">
        <v>216</v>
      </c>
      <c r="G28" s="98" t="s">
        <v>216</v>
      </c>
      <c r="H28" s="98" t="s">
        <v>216</v>
      </c>
      <c r="I28" s="98" t="s">
        <v>216</v>
      </c>
      <c r="J28" s="47">
        <f t="shared" si="1"/>
        <v>33</v>
      </c>
    </row>
    <row r="29" spans="1:10" ht="21" customHeight="1" x14ac:dyDescent="0.15">
      <c r="A29" s="96">
        <v>49003032</v>
      </c>
      <c r="B29" s="47">
        <v>0</v>
      </c>
      <c r="C29" s="47">
        <v>90</v>
      </c>
      <c r="D29" s="47">
        <v>25</v>
      </c>
      <c r="E29" s="47" t="s">
        <v>216</v>
      </c>
      <c r="F29" s="47" t="s">
        <v>216</v>
      </c>
      <c r="G29" s="47" t="s">
        <v>216</v>
      </c>
      <c r="H29" s="47" t="s">
        <v>216</v>
      </c>
      <c r="I29" s="47" t="s">
        <v>216</v>
      </c>
      <c r="J29" s="47">
        <f t="shared" si="1"/>
        <v>25</v>
      </c>
    </row>
    <row r="30" spans="1:10" ht="21" customHeight="1" x14ac:dyDescent="0.15">
      <c r="A30" s="96">
        <v>49003033</v>
      </c>
      <c r="B30" s="47">
        <v>1</v>
      </c>
      <c r="C30" s="47">
        <v>100</v>
      </c>
      <c r="D30" s="47">
        <v>100</v>
      </c>
      <c r="E30" s="47" t="s">
        <v>216</v>
      </c>
      <c r="F30" s="47" t="s">
        <v>216</v>
      </c>
      <c r="G30" s="47">
        <v>1</v>
      </c>
      <c r="H30" s="47" t="s">
        <v>216</v>
      </c>
      <c r="I30" s="47" t="s">
        <v>216</v>
      </c>
      <c r="J30" s="47">
        <f t="shared" si="1"/>
        <v>100</v>
      </c>
    </row>
    <row r="31" spans="1:10" ht="21" customHeight="1" x14ac:dyDescent="0.15">
      <c r="A31" s="96">
        <v>49003034</v>
      </c>
      <c r="B31" s="47">
        <v>0</v>
      </c>
      <c r="C31" s="47">
        <v>60</v>
      </c>
      <c r="D31" s="47">
        <v>100</v>
      </c>
      <c r="E31" s="47" t="s">
        <v>216</v>
      </c>
      <c r="F31" s="47" t="s">
        <v>216</v>
      </c>
      <c r="G31" s="47" t="s">
        <v>216</v>
      </c>
      <c r="H31" s="47" t="s">
        <v>216</v>
      </c>
      <c r="I31" s="47" t="s">
        <v>216</v>
      </c>
      <c r="J31" s="47">
        <f t="shared" si="1"/>
        <v>100</v>
      </c>
    </row>
    <row r="32" spans="1:10" ht="21" customHeight="1" x14ac:dyDescent="0.15">
      <c r="A32" s="96">
        <v>49003035</v>
      </c>
      <c r="B32" s="47">
        <v>0</v>
      </c>
      <c r="C32" s="47">
        <v>70</v>
      </c>
      <c r="D32" s="47">
        <v>50</v>
      </c>
      <c r="E32" s="47" t="s">
        <v>216</v>
      </c>
      <c r="F32" s="47" t="s">
        <v>216</v>
      </c>
      <c r="G32" s="47" t="s">
        <v>216</v>
      </c>
      <c r="H32" s="47" t="s">
        <v>216</v>
      </c>
      <c r="I32" s="47" t="s">
        <v>216</v>
      </c>
      <c r="J32" s="47">
        <f t="shared" si="1"/>
        <v>50</v>
      </c>
    </row>
    <row r="33" spans="1:10" ht="21" customHeight="1" x14ac:dyDescent="0.15">
      <c r="A33" s="96">
        <v>49003036</v>
      </c>
      <c r="B33" s="97">
        <v>0</v>
      </c>
      <c r="C33" s="98">
        <v>80</v>
      </c>
      <c r="D33" s="98">
        <v>33</v>
      </c>
      <c r="E33" s="98" t="s">
        <v>216</v>
      </c>
      <c r="F33" s="98" t="s">
        <v>216</v>
      </c>
      <c r="G33" s="98" t="s">
        <v>216</v>
      </c>
      <c r="H33" s="98" t="s">
        <v>216</v>
      </c>
      <c r="I33" s="98" t="s">
        <v>216</v>
      </c>
      <c r="J33" s="47">
        <f t="shared" si="1"/>
        <v>33</v>
      </c>
    </row>
    <row r="34" spans="1:10" ht="21" customHeight="1" x14ac:dyDescent="0.15">
      <c r="A34" s="96">
        <v>49003037</v>
      </c>
      <c r="B34" s="47">
        <v>0</v>
      </c>
      <c r="C34" s="47">
        <v>90</v>
      </c>
      <c r="D34" s="47">
        <v>25</v>
      </c>
      <c r="E34" s="47" t="s">
        <v>216</v>
      </c>
      <c r="F34" s="47" t="s">
        <v>216</v>
      </c>
      <c r="G34" s="47" t="s">
        <v>216</v>
      </c>
      <c r="H34" s="47" t="s">
        <v>216</v>
      </c>
      <c r="I34" s="47" t="s">
        <v>216</v>
      </c>
      <c r="J34" s="47">
        <f t="shared" si="1"/>
        <v>25</v>
      </c>
    </row>
    <row r="35" spans="1:10" ht="21" customHeight="1" x14ac:dyDescent="0.15">
      <c r="A35" s="96">
        <v>49003038</v>
      </c>
      <c r="B35" s="47">
        <v>0</v>
      </c>
      <c r="C35" s="47">
        <v>120</v>
      </c>
      <c r="D35" s="47">
        <v>100</v>
      </c>
      <c r="E35" s="47">
        <v>30</v>
      </c>
      <c r="F35" s="47" t="s">
        <v>216</v>
      </c>
      <c r="G35" s="47">
        <v>1</v>
      </c>
      <c r="H35" s="47">
        <v>1</v>
      </c>
      <c r="I35" s="47" t="s">
        <v>216</v>
      </c>
      <c r="J35" s="47">
        <f t="shared" si="1"/>
        <v>100</v>
      </c>
    </row>
    <row r="36" spans="1:10" ht="21" customHeight="1" x14ac:dyDescent="0.15">
      <c r="A36" s="96">
        <v>49003039</v>
      </c>
      <c r="B36" s="47">
        <v>1</v>
      </c>
      <c r="C36" s="47">
        <v>100</v>
      </c>
      <c r="D36" s="47">
        <v>100</v>
      </c>
      <c r="E36" s="47" t="s">
        <v>216</v>
      </c>
      <c r="F36" s="47" t="s">
        <v>216</v>
      </c>
      <c r="G36" s="47">
        <v>1</v>
      </c>
      <c r="H36" s="47" t="s">
        <v>216</v>
      </c>
      <c r="I36" s="47" t="s">
        <v>216</v>
      </c>
      <c r="J36" s="47">
        <f t="shared" si="1"/>
        <v>100</v>
      </c>
    </row>
    <row r="37" spans="1:10" ht="21" customHeight="1" x14ac:dyDescent="0.15">
      <c r="A37" s="96">
        <v>49003040</v>
      </c>
      <c r="B37" s="47">
        <v>0</v>
      </c>
      <c r="C37" s="47">
        <v>50</v>
      </c>
      <c r="D37" s="47">
        <v>100</v>
      </c>
      <c r="E37" s="47" t="s">
        <v>216</v>
      </c>
      <c r="F37" s="47" t="s">
        <v>216</v>
      </c>
      <c r="G37" s="47" t="s">
        <v>216</v>
      </c>
      <c r="H37" s="47" t="s">
        <v>216</v>
      </c>
      <c r="I37" s="47" t="s">
        <v>216</v>
      </c>
      <c r="J37" s="47">
        <f t="shared" si="1"/>
        <v>100</v>
      </c>
    </row>
    <row r="38" spans="1:10" ht="21" customHeight="1" x14ac:dyDescent="0.15">
      <c r="A38" s="96">
        <v>49003041</v>
      </c>
      <c r="B38" s="47">
        <v>0</v>
      </c>
      <c r="C38" s="47">
        <v>60</v>
      </c>
      <c r="D38" s="47">
        <v>50</v>
      </c>
      <c r="E38" s="47" t="s">
        <v>216</v>
      </c>
      <c r="F38" s="47" t="s">
        <v>216</v>
      </c>
      <c r="G38" s="47" t="s">
        <v>216</v>
      </c>
      <c r="H38" s="47" t="s">
        <v>216</v>
      </c>
      <c r="I38" s="47" t="s">
        <v>216</v>
      </c>
      <c r="J38" s="47">
        <f t="shared" si="1"/>
        <v>50</v>
      </c>
    </row>
    <row r="39" spans="1:10" ht="21" customHeight="1" x14ac:dyDescent="0.15">
      <c r="A39" s="96">
        <v>49003042</v>
      </c>
      <c r="B39" s="97">
        <v>0</v>
      </c>
      <c r="C39" s="98">
        <v>70</v>
      </c>
      <c r="D39" s="98">
        <v>33</v>
      </c>
      <c r="E39" s="98" t="s">
        <v>216</v>
      </c>
      <c r="F39" s="98" t="s">
        <v>216</v>
      </c>
      <c r="G39" s="98" t="s">
        <v>216</v>
      </c>
      <c r="H39" s="98" t="s">
        <v>216</v>
      </c>
      <c r="I39" s="98" t="s">
        <v>216</v>
      </c>
      <c r="J39" s="47">
        <f t="shared" si="1"/>
        <v>33</v>
      </c>
    </row>
    <row r="40" spans="1:10" ht="21" customHeight="1" x14ac:dyDescent="0.15">
      <c r="A40" s="96">
        <v>49003043</v>
      </c>
      <c r="B40" s="47">
        <v>0</v>
      </c>
      <c r="C40" s="47">
        <v>80</v>
      </c>
      <c r="D40" s="47">
        <v>25</v>
      </c>
      <c r="E40" s="47" t="s">
        <v>216</v>
      </c>
      <c r="F40" s="47" t="s">
        <v>216</v>
      </c>
      <c r="G40" s="47" t="s">
        <v>216</v>
      </c>
      <c r="H40" s="47" t="s">
        <v>216</v>
      </c>
      <c r="I40" s="47" t="s">
        <v>216</v>
      </c>
      <c r="J40" s="47">
        <f t="shared" si="1"/>
        <v>25</v>
      </c>
    </row>
    <row r="41" spans="1:10" ht="21" customHeight="1" x14ac:dyDescent="0.15">
      <c r="A41" s="96">
        <v>49003044</v>
      </c>
      <c r="B41" s="47">
        <v>0</v>
      </c>
      <c r="C41" s="47">
        <v>90</v>
      </c>
      <c r="D41" s="47">
        <v>20</v>
      </c>
      <c r="E41" s="47" t="s">
        <v>216</v>
      </c>
      <c r="F41" s="47" t="s">
        <v>216</v>
      </c>
      <c r="G41" s="47">
        <v>5</v>
      </c>
      <c r="H41" s="47" t="s">
        <v>216</v>
      </c>
      <c r="I41" s="47" t="s">
        <v>216</v>
      </c>
      <c r="J41" s="47">
        <f t="shared" si="1"/>
        <v>20</v>
      </c>
    </row>
    <row r="42" spans="1:10" ht="21" customHeight="1" x14ac:dyDescent="0.15">
      <c r="A42" s="96">
        <v>49003045</v>
      </c>
      <c r="B42" s="47">
        <v>0</v>
      </c>
      <c r="C42" s="47">
        <v>120</v>
      </c>
      <c r="D42" s="47">
        <v>100</v>
      </c>
      <c r="E42" s="47">
        <v>30</v>
      </c>
      <c r="F42" s="47" t="s">
        <v>216</v>
      </c>
      <c r="G42" s="47">
        <v>1</v>
      </c>
      <c r="H42" s="47" t="s">
        <v>216</v>
      </c>
      <c r="I42" s="47" t="s">
        <v>216</v>
      </c>
      <c r="J42" s="47">
        <f t="shared" si="1"/>
        <v>100</v>
      </c>
    </row>
    <row r="43" spans="1:10" ht="21" customHeight="1" x14ac:dyDescent="0.15">
      <c r="A43" s="96">
        <v>49003046</v>
      </c>
      <c r="B43" s="47">
        <v>0</v>
      </c>
      <c r="C43" s="47">
        <v>120</v>
      </c>
      <c r="D43" s="47">
        <v>100</v>
      </c>
      <c r="E43" s="47" t="s">
        <v>291</v>
      </c>
      <c r="F43" s="47" t="s">
        <v>216</v>
      </c>
      <c r="G43" s="47">
        <v>0</v>
      </c>
      <c r="H43" s="47" t="s">
        <v>216</v>
      </c>
      <c r="I43" s="47">
        <v>0</v>
      </c>
      <c r="J43" s="47">
        <f t="shared" si="1"/>
        <v>100</v>
      </c>
    </row>
    <row r="44" spans="1:10" ht="21" customHeight="1" x14ac:dyDescent="0.15">
      <c r="A44" s="96">
        <v>49003047</v>
      </c>
      <c r="B44" s="47">
        <v>0</v>
      </c>
      <c r="C44" s="47">
        <v>80</v>
      </c>
      <c r="D44" s="47">
        <v>25</v>
      </c>
      <c r="E44" s="47" t="s">
        <v>234</v>
      </c>
      <c r="F44" s="47" t="s">
        <v>235</v>
      </c>
      <c r="G44" s="47" t="s">
        <v>236</v>
      </c>
      <c r="H44" s="47" t="s">
        <v>236</v>
      </c>
      <c r="I44" s="47" t="s">
        <v>236</v>
      </c>
      <c r="J44" s="47">
        <f t="shared" ref="J44:J47" si="2">D44</f>
        <v>25</v>
      </c>
    </row>
    <row r="45" spans="1:10" ht="21" customHeight="1" x14ac:dyDescent="0.15">
      <c r="A45" s="96">
        <v>49003048</v>
      </c>
      <c r="B45" s="47">
        <v>0</v>
      </c>
      <c r="C45" s="47">
        <v>70</v>
      </c>
      <c r="D45" s="47">
        <v>33</v>
      </c>
      <c r="E45" s="47" t="s">
        <v>235</v>
      </c>
      <c r="F45" s="47" t="s">
        <v>235</v>
      </c>
      <c r="G45" s="47" t="s">
        <v>236</v>
      </c>
      <c r="H45" s="47" t="s">
        <v>236</v>
      </c>
      <c r="I45" s="47" t="s">
        <v>236</v>
      </c>
      <c r="J45" s="47">
        <f t="shared" si="2"/>
        <v>33</v>
      </c>
    </row>
    <row r="46" spans="1:10" ht="21" customHeight="1" x14ac:dyDescent="0.15">
      <c r="A46" s="96">
        <v>49003049</v>
      </c>
      <c r="B46" s="47">
        <v>0</v>
      </c>
      <c r="C46" s="47">
        <v>60</v>
      </c>
      <c r="D46" s="47">
        <v>50</v>
      </c>
      <c r="E46" s="47" t="s">
        <v>235</v>
      </c>
      <c r="F46" s="47" t="s">
        <v>237</v>
      </c>
      <c r="G46" s="47" t="s">
        <v>236</v>
      </c>
      <c r="H46" s="47" t="s">
        <v>236</v>
      </c>
      <c r="I46" s="47" t="s">
        <v>236</v>
      </c>
      <c r="J46" s="47">
        <f t="shared" si="2"/>
        <v>50</v>
      </c>
    </row>
    <row r="47" spans="1:10" ht="21" customHeight="1" x14ac:dyDescent="0.15">
      <c r="A47" s="96">
        <v>49003050</v>
      </c>
      <c r="B47" s="47">
        <v>1</v>
      </c>
      <c r="C47" s="47">
        <v>100</v>
      </c>
      <c r="D47" s="47">
        <v>100</v>
      </c>
      <c r="E47" s="47" t="s">
        <v>216</v>
      </c>
      <c r="F47" s="47" t="s">
        <v>216</v>
      </c>
      <c r="G47" s="47">
        <v>1</v>
      </c>
      <c r="H47" s="47" t="s">
        <v>216</v>
      </c>
      <c r="I47" s="47">
        <v>716</v>
      </c>
      <c r="J47" s="47">
        <f t="shared" si="2"/>
        <v>100</v>
      </c>
    </row>
    <row r="48" spans="1:10" ht="21" customHeight="1" x14ac:dyDescent="0.15">
      <c r="A48" s="96">
        <v>49003051</v>
      </c>
      <c r="B48" s="97">
        <v>1</v>
      </c>
      <c r="C48" s="98">
        <v>100</v>
      </c>
      <c r="D48" s="98">
        <v>100</v>
      </c>
      <c r="E48" s="98" t="s">
        <v>216</v>
      </c>
      <c r="F48" s="98" t="s">
        <v>216</v>
      </c>
      <c r="G48" s="98">
        <v>1</v>
      </c>
      <c r="H48" s="98" t="s">
        <v>216</v>
      </c>
      <c r="I48" s="98">
        <v>717</v>
      </c>
      <c r="J48" s="98">
        <v>104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H23" sqref="H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135">
        <v>49003</v>
      </c>
      <c r="B2" s="135">
        <v>1</v>
      </c>
      <c r="C2" s="136" t="str">
        <f t="shared" ref="C2:C11" si="0">A2&amp; "_"&amp;B2</f>
        <v>49003_1</v>
      </c>
      <c r="D2" s="136" t="str">
        <f>VLOOKUP(C2,[2]stages!$A:$AE,31,FALSE)</f>
        <v>everyone</v>
      </c>
      <c r="E2" s="135">
        <v>1</v>
      </c>
      <c r="F2" s="135" t="s">
        <v>167</v>
      </c>
      <c r="G2" s="135">
        <v>40000</v>
      </c>
      <c r="H2" s="135" t="s">
        <v>53</v>
      </c>
      <c r="I2" s="135">
        <v>1</v>
      </c>
      <c r="J2" s="135">
        <v>1</v>
      </c>
      <c r="K2" s="135">
        <v>0</v>
      </c>
      <c r="L2" s="135">
        <v>0</v>
      </c>
      <c r="M2" s="135">
        <v>0</v>
      </c>
      <c r="N2" s="135">
        <v>0</v>
      </c>
      <c r="O2" s="135">
        <v>1</v>
      </c>
      <c r="P2" s="135">
        <v>150</v>
      </c>
      <c r="Q2" s="135" t="s">
        <v>168</v>
      </c>
      <c r="R2" s="135" t="s">
        <v>169</v>
      </c>
    </row>
    <row r="3" spans="1:18" x14ac:dyDescent="0.15">
      <c r="A3" s="135">
        <v>49003</v>
      </c>
      <c r="B3" s="135">
        <v>1</v>
      </c>
      <c r="C3" s="136" t="str">
        <f t="shared" si="0"/>
        <v>49003_1</v>
      </c>
      <c r="D3" s="136" t="str">
        <f>VLOOKUP(C3,[2]stages!$A:$AE,31,FALSE)</f>
        <v>everyone</v>
      </c>
      <c r="E3" s="135">
        <v>2</v>
      </c>
      <c r="F3" s="135" t="s">
        <v>308</v>
      </c>
      <c r="G3" s="135">
        <v>30</v>
      </c>
      <c r="H3" s="135" t="s">
        <v>309</v>
      </c>
      <c r="I3" s="135">
        <v>1</v>
      </c>
      <c r="J3" s="135">
        <v>1</v>
      </c>
      <c r="K3" s="135">
        <v>0</v>
      </c>
      <c r="L3" s="135">
        <v>0</v>
      </c>
      <c r="M3" s="135">
        <v>0</v>
      </c>
      <c r="N3" s="135">
        <v>0</v>
      </c>
      <c r="O3" s="135">
        <v>1</v>
      </c>
      <c r="P3" s="135">
        <v>150</v>
      </c>
      <c r="Q3" s="135" t="s">
        <v>168</v>
      </c>
      <c r="R3" s="135" t="s">
        <v>169</v>
      </c>
    </row>
    <row r="4" spans="1:18" x14ac:dyDescent="0.15">
      <c r="A4" s="135">
        <v>49003</v>
      </c>
      <c r="B4" s="135">
        <v>1</v>
      </c>
      <c r="C4" s="136" t="str">
        <f t="shared" si="0"/>
        <v>49003_1</v>
      </c>
      <c r="D4" s="136" t="str">
        <f>VLOOKUP(C4,[2]stages!$A:$AE,31,FALSE)</f>
        <v>everyone</v>
      </c>
      <c r="E4" s="135">
        <v>3</v>
      </c>
      <c r="F4" s="135" t="s">
        <v>310</v>
      </c>
      <c r="G4" s="135">
        <v>341</v>
      </c>
      <c r="H4" s="135">
        <v>1</v>
      </c>
      <c r="I4" s="135">
        <v>1</v>
      </c>
      <c r="J4" s="135">
        <v>1</v>
      </c>
      <c r="K4" s="135">
        <v>0</v>
      </c>
      <c r="L4" s="135">
        <v>0</v>
      </c>
      <c r="M4" s="135">
        <v>0</v>
      </c>
      <c r="N4" s="135">
        <v>0</v>
      </c>
      <c r="O4" s="135">
        <v>1</v>
      </c>
      <c r="P4" s="135">
        <v>28</v>
      </c>
      <c r="Q4" s="135" t="s">
        <v>168</v>
      </c>
      <c r="R4" s="135" t="s">
        <v>169</v>
      </c>
    </row>
    <row r="5" spans="1:18" x14ac:dyDescent="0.15">
      <c r="A5" s="135">
        <v>49003</v>
      </c>
      <c r="B5" s="135">
        <v>1</v>
      </c>
      <c r="C5" s="136" t="str">
        <f t="shared" si="0"/>
        <v>49003_1</v>
      </c>
      <c r="D5" s="136" t="str">
        <f>VLOOKUP(C5,[2]stages!$A:$AE,31,FALSE)</f>
        <v>everyone</v>
      </c>
      <c r="E5" s="135">
        <v>4</v>
      </c>
      <c r="F5" s="135" t="s">
        <v>311</v>
      </c>
      <c r="G5" s="135">
        <v>342</v>
      </c>
      <c r="H5" s="135">
        <v>1</v>
      </c>
      <c r="I5" s="135">
        <v>1</v>
      </c>
      <c r="J5" s="135">
        <v>1</v>
      </c>
      <c r="K5" s="135">
        <v>0</v>
      </c>
      <c r="L5" s="135">
        <v>0</v>
      </c>
      <c r="M5" s="135">
        <v>0</v>
      </c>
      <c r="N5" s="135">
        <v>0</v>
      </c>
      <c r="O5" s="135">
        <v>1</v>
      </c>
      <c r="P5" s="135">
        <v>112</v>
      </c>
      <c r="Q5" s="135" t="s">
        <v>168</v>
      </c>
      <c r="R5" s="135" t="s">
        <v>169</v>
      </c>
    </row>
    <row r="6" spans="1:18" x14ac:dyDescent="0.15">
      <c r="A6" s="135">
        <v>49003</v>
      </c>
      <c r="B6" s="135">
        <v>1</v>
      </c>
      <c r="C6" s="136" t="str">
        <f t="shared" si="0"/>
        <v>49003_1</v>
      </c>
      <c r="D6" s="136" t="str">
        <f>VLOOKUP(C6,[2]stages!$A:$AE,31,FALSE)</f>
        <v>everyone</v>
      </c>
      <c r="E6" s="135">
        <v>5</v>
      </c>
      <c r="F6" s="135" t="s">
        <v>311</v>
      </c>
      <c r="G6" s="135">
        <v>121</v>
      </c>
      <c r="H6" s="135">
        <v>1</v>
      </c>
      <c r="I6" s="135">
        <v>1</v>
      </c>
      <c r="J6" s="135">
        <v>1</v>
      </c>
      <c r="K6" s="135">
        <v>0</v>
      </c>
      <c r="L6" s="135">
        <v>0</v>
      </c>
      <c r="M6" s="135">
        <v>0</v>
      </c>
      <c r="N6" s="135">
        <v>0</v>
      </c>
      <c r="O6" s="135">
        <v>1</v>
      </c>
      <c r="P6" s="135">
        <v>50</v>
      </c>
      <c r="Q6" s="135" t="s">
        <v>168</v>
      </c>
      <c r="R6" s="135" t="s">
        <v>169</v>
      </c>
    </row>
    <row r="7" spans="1:18" x14ac:dyDescent="0.15">
      <c r="A7" s="135">
        <v>49003</v>
      </c>
      <c r="B7" s="135">
        <v>1</v>
      </c>
      <c r="C7" s="136" t="str">
        <f t="shared" si="0"/>
        <v>49003_1</v>
      </c>
      <c r="D7" s="136" t="str">
        <f>VLOOKUP(C7,[2]stages!$A:$AE,31,FALSE)</f>
        <v>everyone</v>
      </c>
      <c r="E7" s="135">
        <v>6</v>
      </c>
      <c r="F7" s="135" t="s">
        <v>312</v>
      </c>
      <c r="G7" s="135">
        <v>122</v>
      </c>
      <c r="H7" s="135">
        <v>1</v>
      </c>
      <c r="I7" s="135">
        <v>1</v>
      </c>
      <c r="J7" s="135">
        <v>1</v>
      </c>
      <c r="K7" s="135">
        <v>0</v>
      </c>
      <c r="L7" s="135">
        <v>0</v>
      </c>
      <c r="M7" s="135">
        <v>0</v>
      </c>
      <c r="N7" s="135">
        <v>0</v>
      </c>
      <c r="O7" s="135">
        <v>1</v>
      </c>
      <c r="P7" s="135">
        <v>50</v>
      </c>
      <c r="Q7" s="135" t="s">
        <v>168</v>
      </c>
      <c r="R7" s="135" t="s">
        <v>169</v>
      </c>
    </row>
    <row r="8" spans="1:18" x14ac:dyDescent="0.15">
      <c r="A8" s="135">
        <v>49003</v>
      </c>
      <c r="B8" s="135">
        <v>1</v>
      </c>
      <c r="C8" s="136" t="str">
        <f t="shared" si="0"/>
        <v>49003_1</v>
      </c>
      <c r="D8" s="136" t="str">
        <f>VLOOKUP(C8,[2]stages!$A:$AE,31,FALSE)</f>
        <v>everyone</v>
      </c>
      <c r="E8" s="135">
        <v>7</v>
      </c>
      <c r="F8" s="135" t="s">
        <v>312</v>
      </c>
      <c r="G8" s="135">
        <v>123</v>
      </c>
      <c r="H8" s="135">
        <v>1</v>
      </c>
      <c r="I8" s="135">
        <v>1</v>
      </c>
      <c r="J8" s="135">
        <v>1</v>
      </c>
      <c r="K8" s="135">
        <v>0</v>
      </c>
      <c r="L8" s="135">
        <v>0</v>
      </c>
      <c r="M8" s="135">
        <v>0</v>
      </c>
      <c r="N8" s="135">
        <v>0</v>
      </c>
      <c r="O8" s="135">
        <v>1</v>
      </c>
      <c r="P8" s="135">
        <v>50</v>
      </c>
      <c r="Q8" s="135" t="s">
        <v>168</v>
      </c>
      <c r="R8" s="135" t="s">
        <v>169</v>
      </c>
    </row>
    <row r="9" spans="1:18" x14ac:dyDescent="0.15">
      <c r="A9" s="135">
        <v>49003</v>
      </c>
      <c r="B9" s="135">
        <v>1</v>
      </c>
      <c r="C9" s="136" t="str">
        <f t="shared" si="0"/>
        <v>49003_1</v>
      </c>
      <c r="D9" s="136" t="str">
        <f>VLOOKUP(C9,[2]stages!$A:$AE,31,FALSE)</f>
        <v>everyone</v>
      </c>
      <c r="E9" s="135">
        <v>8</v>
      </c>
      <c r="F9" s="135" t="s">
        <v>311</v>
      </c>
      <c r="G9" s="135">
        <v>125</v>
      </c>
      <c r="H9" s="135">
        <v>1</v>
      </c>
      <c r="I9" s="135">
        <v>1</v>
      </c>
      <c r="J9" s="135">
        <v>1</v>
      </c>
      <c r="K9" s="135">
        <v>0</v>
      </c>
      <c r="L9" s="135">
        <v>0</v>
      </c>
      <c r="M9" s="135">
        <v>0</v>
      </c>
      <c r="N9" s="135">
        <v>0</v>
      </c>
      <c r="O9" s="135">
        <v>1</v>
      </c>
      <c r="P9" s="135">
        <v>10</v>
      </c>
      <c r="Q9" s="135" t="s">
        <v>168</v>
      </c>
      <c r="R9" s="135" t="s">
        <v>169</v>
      </c>
    </row>
    <row r="10" spans="1:18" x14ac:dyDescent="0.15">
      <c r="A10" s="135">
        <v>49003</v>
      </c>
      <c r="B10" s="135">
        <v>1</v>
      </c>
      <c r="C10" s="136" t="str">
        <f t="shared" si="0"/>
        <v>49003_1</v>
      </c>
      <c r="D10" s="136" t="str">
        <f>VLOOKUP(C10,[2]stages!$A:$AE,31,FALSE)</f>
        <v>everyone</v>
      </c>
      <c r="E10" s="135">
        <v>9</v>
      </c>
      <c r="F10" s="135" t="s">
        <v>311</v>
      </c>
      <c r="G10" s="135">
        <v>700</v>
      </c>
      <c r="H10" s="135">
        <v>1</v>
      </c>
      <c r="I10" s="135">
        <v>1</v>
      </c>
      <c r="J10" s="135">
        <v>1</v>
      </c>
      <c r="K10" s="135">
        <v>0</v>
      </c>
      <c r="L10" s="135">
        <v>0</v>
      </c>
      <c r="M10" s="135">
        <v>0</v>
      </c>
      <c r="N10" s="135">
        <v>0</v>
      </c>
      <c r="O10" s="135">
        <v>1</v>
      </c>
      <c r="P10" s="135">
        <v>250</v>
      </c>
      <c r="Q10" s="135" t="s">
        <v>168</v>
      </c>
      <c r="R10" s="135" t="s">
        <v>169</v>
      </c>
    </row>
    <row r="11" spans="1:18" x14ac:dyDescent="0.15">
      <c r="A11" s="135">
        <v>49003</v>
      </c>
      <c r="B11" s="135">
        <v>1</v>
      </c>
      <c r="C11" s="136" t="str">
        <f t="shared" si="0"/>
        <v>49003_1</v>
      </c>
      <c r="D11" s="136" t="str">
        <f>VLOOKUP(C11,[2]stages!$A:$AE,31,FALSE)</f>
        <v>everyone</v>
      </c>
      <c r="E11" s="135">
        <v>10</v>
      </c>
      <c r="F11" s="135" t="s">
        <v>312</v>
      </c>
      <c r="G11" s="135">
        <v>352</v>
      </c>
      <c r="H11" s="135">
        <v>1</v>
      </c>
      <c r="I11" s="135">
        <v>1</v>
      </c>
      <c r="J11" s="135">
        <v>1</v>
      </c>
      <c r="K11" s="135">
        <v>0</v>
      </c>
      <c r="L11" s="135">
        <v>0</v>
      </c>
      <c r="M11" s="135">
        <v>0</v>
      </c>
      <c r="N11" s="135">
        <v>0</v>
      </c>
      <c r="O11" s="135">
        <v>1</v>
      </c>
      <c r="P11" s="135">
        <v>150</v>
      </c>
      <c r="Q11" s="135" t="s">
        <v>168</v>
      </c>
      <c r="R11" s="135" t="s">
        <v>169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E17" sqref="E17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0" t="s">
        <v>187</v>
      </c>
      <c r="C1" s="75" t="s">
        <v>188</v>
      </c>
      <c r="D1" s="75" t="s">
        <v>33</v>
      </c>
      <c r="E1" s="70" t="s">
        <v>189</v>
      </c>
      <c r="F1" s="75" t="s">
        <v>190</v>
      </c>
      <c r="G1" s="75" t="s">
        <v>33</v>
      </c>
      <c r="H1" s="70" t="s">
        <v>191</v>
      </c>
      <c r="I1" s="89" t="s">
        <v>193</v>
      </c>
      <c r="J1" s="77" t="s">
        <v>125</v>
      </c>
      <c r="K1" s="76" t="s">
        <v>185</v>
      </c>
      <c r="L1" s="90" t="s">
        <v>184</v>
      </c>
      <c r="M1" s="78" t="s">
        <v>194</v>
      </c>
    </row>
    <row r="2" spans="1:13" x14ac:dyDescent="0.15">
      <c r="A2" s="79" t="s">
        <v>199</v>
      </c>
      <c r="B2" s="80">
        <f>floors!$C$2</f>
        <v>49003</v>
      </c>
      <c r="C2" s="81" t="str">
        <f ca="1">VLOOKUP($B2,OFFSET([2]quests!$A$1,0,0,COUNTA([2]quests!$A:$A),MATCH(C$1,[2]quests!$1:$1,0)-MATCH($B$1,[2]quests!$1:$1,0)+1),MATCH(C$1,[2]quests!$1:$1,0)-MATCH($B$1,[2]quests!$1:$1,0)+1,FALSE)</f>
        <v>H襲来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コラボ降臨3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【ウィザード級】デiza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</v>
      </c>
      <c r="H2" s="83">
        <v>0</v>
      </c>
      <c r="I2">
        <v>12</v>
      </c>
      <c r="J2" s="82" t="s">
        <v>196</v>
      </c>
      <c r="K2" s="91" t="str">
        <f>VLOOKUP(I2,[7]stage_hints!$A:$C,3,FALSE)</f>
        <v>ユニットのお気に入り登録</v>
      </c>
      <c r="L2" s="92" t="str">
        <f>VLOOKUP(I2,[7]stage_hints!$A:$D,4,FALSE)</f>
        <v>大事なユニットを誤って消さないように_x000D_フォルダから「お気に入り登録」しましょう</v>
      </c>
      <c r="M2" s="56" t="s">
        <v>209</v>
      </c>
    </row>
    <row r="3" spans="1:13" x14ac:dyDescent="0.15">
      <c r="A3" s="79" t="s">
        <v>199</v>
      </c>
      <c r="B3" s="80">
        <f>floors!$C$2</f>
        <v>49003</v>
      </c>
      <c r="C3" s="81" t="str">
        <f ca="1">VLOOKUP($B3,OFFSET([2]quests!$A$1,0,0,COUNTA([2]quests!$A:$A),MATCH(C$1,[2]quests!$1:$1,0)-MATCH($B$1,[2]quests!$1:$1,0)+1),MATCH(C$1,[2]quests!$1:$1,0)-MATCH($B$1,[2]quests!$1:$1,0)+1,FALSE)</f>
        <v>H襲来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コラボ降臨3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【ウィザード級】デiza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コラボ降臨3</v>
      </c>
      <c r="H3" s="83">
        <v>0</v>
      </c>
      <c r="I3">
        <v>17</v>
      </c>
      <c r="J3" s="82" t="s">
        <v>196</v>
      </c>
      <c r="K3" s="91" t="str">
        <f>VLOOKUP(I3,[7]stage_hints!$A:$C,3,FALSE)</f>
        <v>リンクガチャ</v>
      </c>
      <c r="L3" s="92" t="str">
        <f>VLOOKUP(I3,[7]stage_hints!$A:$D,4,FALSE)</f>
        <v>無料のリンクガチャを回して_x000D_経験値素材や売却素材を獲得しましょう</v>
      </c>
      <c r="M3" s="56" t="s">
        <v>209</v>
      </c>
    </row>
    <row r="4" spans="1:13" x14ac:dyDescent="0.15">
      <c r="A4" s="79" t="s">
        <v>199</v>
      </c>
      <c r="B4" s="80">
        <f>floors!$C$2</f>
        <v>49003</v>
      </c>
      <c r="C4" s="81" t="str">
        <f ca="1">VLOOKUP($B4,OFFSET([2]quests!$A$1,0,0,COUNTA([2]quests!$A:$A),MATCH(C$1,[2]quests!$1:$1,0)-MATCH($B$1,[2]quests!$1:$1,0)+1),MATCH(C$1,[2]quests!$1:$1,0)-MATCH($B$1,[2]quests!$1:$1,0)+1,FALSE)</f>
        <v>H襲来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コラボ降臨3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【ウィザード級】デiza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コラボ降臨3</v>
      </c>
      <c r="H4" s="83">
        <v>0</v>
      </c>
      <c r="I4">
        <v>19</v>
      </c>
      <c r="J4" s="82" t="s">
        <v>196</v>
      </c>
      <c r="K4" s="91" t="str">
        <f>VLOOKUP(I4,[7]stage_hints!$A:$C,3,FALSE)</f>
        <v>ソロ専用チャレンジタワー</v>
      </c>
      <c r="L4" s="92" t="str">
        <f>VLOOKUP(I4,[7]stage_hints!$A:$D,4,FALSE)</f>
        <v>ソロ専用の「チャレンジタワー」では_x000D_各フロアごとにクリア報酬がもらえます</v>
      </c>
      <c r="M4" s="56" t="s">
        <v>209</v>
      </c>
    </row>
    <row r="5" spans="1:13" x14ac:dyDescent="0.15">
      <c r="A5" s="79" t="s">
        <v>199</v>
      </c>
      <c r="B5" s="80">
        <f>floors!$C$2</f>
        <v>49003</v>
      </c>
      <c r="C5" s="81" t="str">
        <f ca="1">VLOOKUP($B5,OFFSET([2]quests!$A$1,0,0,COUNTA([2]quests!$A:$A),MATCH(C$1,[2]quests!$1:$1,0)-MATCH($B$1,[2]quests!$1:$1,0)+1),MATCH(C$1,[2]quests!$1:$1,0)-MATCH($B$1,[2]quests!$1:$1,0)+1,FALSE)</f>
        <v>H襲来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コラボ降臨3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【ウィザード級】デiza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コラボ降臨3</v>
      </c>
      <c r="H5" s="83">
        <v>0</v>
      </c>
      <c r="I5">
        <v>21</v>
      </c>
      <c r="J5" s="82" t="s">
        <v>196</v>
      </c>
      <c r="K5" s="91" t="str">
        <f>VLOOKUP(I5,[7]stage_hints!$A:$C,3,FALSE)</f>
        <v>スキルを有効に</v>
      </c>
      <c r="L5" s="92" t="str">
        <f>VLOOKUP(I5,[7]stage_hints!$A:$D,4,FALSE)</f>
        <v>ターン経過でユニットのスキルが使えます_x000D_強力スキルでバトルを有利に進めましょう</v>
      </c>
      <c r="M5" s="56" t="s">
        <v>209</v>
      </c>
    </row>
    <row r="6" spans="1:13" x14ac:dyDescent="0.15">
      <c r="A6" s="79" t="s">
        <v>199</v>
      </c>
      <c r="B6" s="80">
        <f>floors!$C$2</f>
        <v>49003</v>
      </c>
      <c r="C6" s="81" t="str">
        <f ca="1">VLOOKUP($B6,OFFSET([2]quests!$A$1,0,0,COUNTA([2]quests!$A:$A),MATCH(C$1,[2]quests!$1:$1,0)-MATCH($B$1,[2]quests!$1:$1,0)+1),MATCH(C$1,[2]quests!$1:$1,0)-MATCH($B$1,[2]quests!$1:$1,0)+1,FALSE)</f>
        <v>H襲来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コラボ降臨3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【ウィザード級】デiza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コラボ降臨3</v>
      </c>
      <c r="H6" s="83">
        <v>0</v>
      </c>
      <c r="I6">
        <v>29</v>
      </c>
      <c r="J6" s="82" t="s">
        <v>196</v>
      </c>
      <c r="K6" s="91" t="str">
        <f>VLOOKUP(I6,[7]stage_hints!$A:$C,3,FALSE)</f>
        <v>「バグ」のメリット</v>
      </c>
      <c r="L6" s="92" t="str">
        <f>VLOOKUP(I6,[7]stage_hints!$A:$D,4,FALSE)</f>
        <v>ユニットの「バグ」を増やすと_x000D_報酬をもらえる確率がアップします</v>
      </c>
      <c r="M6" s="56" t="s">
        <v>209</v>
      </c>
    </row>
    <row r="7" spans="1:13" x14ac:dyDescent="0.15">
      <c r="A7" s="79" t="s">
        <v>199</v>
      </c>
      <c r="B7" s="80">
        <f>floors!$C$2</f>
        <v>49003</v>
      </c>
      <c r="C7" s="81" t="str">
        <f ca="1">VLOOKUP($B7,OFFSET([2]quests!$A$1,0,0,COUNTA([2]quests!$A:$A),MATCH(C$1,[2]quests!$1:$1,0)-MATCH($B$1,[2]quests!$1:$1,0)+1),MATCH(C$1,[2]quests!$1:$1,0)-MATCH($B$1,[2]quests!$1:$1,0)+1,FALSE)</f>
        <v>H襲来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コラボ降臨3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【ウィザード級】デiza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コラボ降臨3</v>
      </c>
      <c r="H7" s="83">
        <v>0</v>
      </c>
      <c r="I7">
        <v>30</v>
      </c>
      <c r="J7" s="82" t="s">
        <v>196</v>
      </c>
      <c r="K7" s="91" t="str">
        <f>VLOOKUP(I7,[7]stage_hints!$A:$C,3,FALSE)</f>
        <v>「バグ」の増やし方</v>
      </c>
      <c r="L7" s="92" t="str">
        <f>VLOOKUP(I7,[7]stage_hints!$A:$D,4,FALSE)</f>
        <v>同じユニット同士を強化で合成すると_x000D_「バグ」を増やすことができます</v>
      </c>
      <c r="M7" s="56" t="s">
        <v>209</v>
      </c>
    </row>
    <row r="8" spans="1:13" x14ac:dyDescent="0.15">
      <c r="A8" s="79" t="s">
        <v>199</v>
      </c>
      <c r="B8" s="80">
        <f>floors!$C$2</f>
        <v>49003</v>
      </c>
      <c r="C8" s="81" t="str">
        <f ca="1">VLOOKUP($B8,OFFSET([2]quests!$A$1,0,0,COUNTA([2]quests!$A:$A),MATCH(C$1,[2]quests!$1:$1,0)-MATCH($B$1,[2]quests!$1:$1,0)+1),MATCH(C$1,[2]quests!$1:$1,0)-MATCH($B$1,[2]quests!$1:$1,0)+1,FALSE)</f>
        <v>H襲来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コラボ降臨3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【ウィザード級】デiza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コラボ降臨3</v>
      </c>
      <c r="H8" s="83">
        <v>0</v>
      </c>
      <c r="I8">
        <v>32</v>
      </c>
      <c r="J8" s="82" t="s">
        <v>196</v>
      </c>
      <c r="K8" s="91" t="str">
        <f>VLOOKUP(I8,[7]stage_hints!$A:$C,3,FALSE)</f>
        <v>敵の連続攻撃には</v>
      </c>
      <c r="L8" s="92" t="str">
        <f>VLOOKUP(I8,[7]stage_hints!$A:$D,4,FALSE)</f>
        <v>カウンタースキルを持つユニットがいれば_x000D_ダメージ回数分の反撃ができます</v>
      </c>
      <c r="M8" s="56" t="s">
        <v>209</v>
      </c>
    </row>
    <row r="9" spans="1:13" x14ac:dyDescent="0.15">
      <c r="A9" s="79" t="s">
        <v>199</v>
      </c>
      <c r="B9" s="80">
        <f>floors!$C$2</f>
        <v>49003</v>
      </c>
      <c r="C9" s="81" t="str">
        <f ca="1">VLOOKUP($B9,OFFSET([2]quests!$A$1,0,0,COUNTA([2]quests!$A:$A),MATCH(C$1,[2]quests!$1:$1,0)-MATCH($B$1,[2]quests!$1:$1,0)+1),MATCH(C$1,[2]quests!$1:$1,0)-MATCH($B$1,[2]quests!$1:$1,0)+1,FALSE)</f>
        <v>H襲来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コラボ降臨3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【ウィザード級】デiza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コラボ降臨3</v>
      </c>
      <c r="H9" s="83">
        <v>0</v>
      </c>
      <c r="I9">
        <v>33</v>
      </c>
      <c r="J9" s="82" t="s">
        <v>196</v>
      </c>
      <c r="K9" s="91" t="str">
        <f>VLOOKUP(I9,[7]stage_hints!$A:$C,3,FALSE)</f>
        <v>敵のカウンター攻撃には</v>
      </c>
      <c r="L9" s="92" t="str">
        <f>VLOOKUP(I9,[7]stage_hints!$A:$D,4,FALSE)</f>
        <v>カウンターブレイクスキルを持っていれば_x000D_敵のカウンターを解除して攻撃ができます</v>
      </c>
      <c r="M9" s="56" t="s">
        <v>209</v>
      </c>
    </row>
    <row r="10" spans="1:13" x14ac:dyDescent="0.15">
      <c r="A10" s="79" t="s">
        <v>199</v>
      </c>
      <c r="B10" s="80">
        <f>floors!$C$2</f>
        <v>49003</v>
      </c>
      <c r="C10" s="81" t="str">
        <f ca="1">VLOOKUP($B10,OFFSET([2]quests!$A$1,0,0,COUNTA([2]quests!$A:$A),MATCH(C$1,[2]quests!$1:$1,0)-MATCH($B$1,[2]quests!$1:$1,0)+1),MATCH(C$1,[2]quests!$1:$1,0)-MATCH($B$1,[2]quests!$1:$1,0)+1,FALSE)</f>
        <v>H襲来</v>
      </c>
      <c r="D10" s="81" t="str">
        <f ca="1">VLOOKUP($B10,OFFSET([2]quests!$A$1,0,0,COUNTA([2]quests!$A:$A),MATCH(D$1,[2]quests!$1:$1,0)-MATCH($B$1,[2]quests!$1:$1,0)+1),MATCH(D$1,[2]quests!$1:$1,0)-MATCH($B$1,[2]quests!$1:$1,0)+1,FALSE)</f>
        <v>コラボ降臨3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【ウィザード級】デiza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コラボ降臨3</v>
      </c>
      <c r="H10" s="83">
        <v>0</v>
      </c>
      <c r="I10">
        <v>34</v>
      </c>
      <c r="J10" s="82" t="s">
        <v>196</v>
      </c>
      <c r="K10" s="91" t="str">
        <f>VLOOKUP(I10,[7]stage_hints!$A:$C,3,FALSE)</f>
        <v>ステータスをスキルで下げられたら</v>
      </c>
      <c r="L10" s="92" t="str">
        <f>VLOOKUP(I10,[7]stage_hints!$A:$D,4,FALSE)</f>
        <v>ステータスダウンのスキルを受けたら_x000D_ステータスアップスキルで上書きしましょう</v>
      </c>
      <c r="M10" s="56" t="s">
        <v>209</v>
      </c>
    </row>
    <row r="11" spans="1:13" x14ac:dyDescent="0.15">
      <c r="A11" s="79" t="s">
        <v>199</v>
      </c>
      <c r="B11" s="80">
        <f>floors!$C$2</f>
        <v>49003</v>
      </c>
      <c r="C11" s="81" t="str">
        <f ca="1">VLOOKUP($B11,OFFSET([2]quests!$A$1,0,0,COUNTA([2]quests!$A:$A),MATCH(C$1,[2]quests!$1:$1,0)-MATCH($B$1,[2]quests!$1:$1,0)+1),MATCH(C$1,[2]quests!$1:$1,0)-MATCH($B$1,[2]quests!$1:$1,0)+1,FALSE)</f>
        <v>H襲来</v>
      </c>
      <c r="D11" s="81" t="str">
        <f ca="1">VLOOKUP($B11,OFFSET([2]quests!$A$1,0,0,COUNTA([2]quests!$A:$A),MATCH(D$1,[2]quests!$1:$1,0)-MATCH($B$1,[2]quests!$1:$1,0)+1),MATCH(D$1,[2]quests!$1:$1,0)-MATCH($B$1,[2]quests!$1:$1,0)+1,FALSE)</f>
        <v>コラボ降臨3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【ウィザード級】デiza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コラボ降臨3</v>
      </c>
      <c r="H11" s="83">
        <v>0</v>
      </c>
      <c r="I11">
        <v>35</v>
      </c>
      <c r="J11" s="82" t="s">
        <v>196</v>
      </c>
      <c r="K11" s="91" t="str">
        <f>VLOOKUP(I11,[7]stage_hints!$A:$C,3,FALSE)</f>
        <v>敵のステータスがスキルで上がったら</v>
      </c>
      <c r="L11" s="92" t="str">
        <f>VLOOKUP(I11,[7]stage_hints!$A:$D,4,FALSE)</f>
        <v>敵のステータスがスキルでアップしたときは_x000D_ステータスダウンスキルで上書きしましょう</v>
      </c>
      <c r="M11" s="56" t="s">
        <v>209</v>
      </c>
    </row>
    <row r="12" spans="1:13" x14ac:dyDescent="0.15">
      <c r="A12" s="79" t="s">
        <v>199</v>
      </c>
      <c r="B12" s="80">
        <f>floors!$C$2</f>
        <v>49003</v>
      </c>
      <c r="C12" s="81" t="str">
        <f ca="1">VLOOKUP($B12,OFFSET([2]quests!$A$1,0,0,COUNTA([2]quests!$A:$A),MATCH(C$1,[2]quests!$1:$1,0)-MATCH($B$1,[2]quests!$1:$1,0)+1),MATCH(C$1,[2]quests!$1:$1,0)-MATCH($B$1,[2]quests!$1:$1,0)+1,FALSE)</f>
        <v>H襲来</v>
      </c>
      <c r="D12" s="81" t="str">
        <f ca="1">VLOOKUP($B12,OFFSET([2]quests!$A$1,0,0,COUNTA([2]quests!$A:$A),MATCH(D$1,[2]quests!$1:$1,0)-MATCH($B$1,[2]quests!$1:$1,0)+1),MATCH(D$1,[2]quests!$1:$1,0)-MATCH($B$1,[2]quests!$1:$1,0)+1,FALSE)</f>
        <v>コラボ降臨3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【ウィザード級】デiza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コラボ降臨3</v>
      </c>
      <c r="H12" s="83">
        <v>0</v>
      </c>
      <c r="I12">
        <v>36</v>
      </c>
      <c r="J12" s="82" t="s">
        <v>196</v>
      </c>
      <c r="K12" s="91" t="str">
        <f>VLOOKUP(I12,[7]stage_hints!$A:$C,3,FALSE)</f>
        <v>チャレンジタワーのボス</v>
      </c>
      <c r="L12" s="92" t="str">
        <f>VLOOKUP(I12,[7]stage_hints!$A:$D,4,FALSE)</f>
        <v>チャレンジタワーでのみ登場するボスは_x000D_一定確率で獲得することができます</v>
      </c>
      <c r="M12" s="56" t="s">
        <v>209</v>
      </c>
    </row>
    <row r="13" spans="1:13" x14ac:dyDescent="0.15">
      <c r="A13" s="79" t="s">
        <v>199</v>
      </c>
      <c r="B13" s="80">
        <f>floors!$C$2</f>
        <v>49003</v>
      </c>
      <c r="C13" s="81" t="str">
        <f ca="1">VLOOKUP($B13,OFFSET([2]quests!$A$1,0,0,COUNTA([2]quests!$A:$A),MATCH(C$1,[2]quests!$1:$1,0)-MATCH($B$1,[2]quests!$1:$1,0)+1),MATCH(C$1,[2]quests!$1:$1,0)-MATCH($B$1,[2]quests!$1:$1,0)+1,FALSE)</f>
        <v>H襲来</v>
      </c>
      <c r="D13" s="81" t="str">
        <f ca="1">VLOOKUP($B13,OFFSET([2]quests!$A$1,0,0,COUNTA([2]quests!$A:$A),MATCH(D$1,[2]quests!$1:$1,0)-MATCH($B$1,[2]quests!$1:$1,0)+1),MATCH(D$1,[2]quests!$1:$1,0)-MATCH($B$1,[2]quests!$1:$1,0)+1,FALSE)</f>
        <v>コラボ降臨3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【ウィザード級】デiza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コラボ降臨3</v>
      </c>
      <c r="H13" s="83">
        <v>0</v>
      </c>
      <c r="I13">
        <v>37</v>
      </c>
      <c r="J13" s="82" t="s">
        <v>196</v>
      </c>
      <c r="K13" s="91" t="str">
        <f>VLOOKUP(I13,[7]stage_hints!$A:$C,3,FALSE)</f>
        <v>限界突破値の引き継ぎ</v>
      </c>
      <c r="L13" s="92" t="str">
        <f>VLOOKUP(I13,[7]stage_hints!$A:$D,4,FALSE)</f>
        <v>同じユニットを強化で合成すると_x000D_限界突破値を引き継げます（覚醒前後も可）</v>
      </c>
      <c r="M13" s="56" t="s">
        <v>209</v>
      </c>
    </row>
    <row r="14" spans="1:13" x14ac:dyDescent="0.15">
      <c r="A14" s="79" t="s">
        <v>199</v>
      </c>
      <c r="B14" s="80">
        <f>floors!$C$2</f>
        <v>49003</v>
      </c>
      <c r="C14" s="81" t="str">
        <f ca="1">VLOOKUP($B14,OFFSET([2]quests!$A$1,0,0,COUNTA([2]quests!$A:$A),MATCH(C$1,[2]quests!$1:$1,0)-MATCH($B$1,[2]quests!$1:$1,0)+1),MATCH(C$1,[2]quests!$1:$1,0)-MATCH($B$1,[2]quests!$1:$1,0)+1,FALSE)</f>
        <v>H襲来</v>
      </c>
      <c r="D14" s="81" t="str">
        <f ca="1">VLOOKUP($B14,OFFSET([2]quests!$A$1,0,0,COUNTA([2]quests!$A:$A),MATCH(D$1,[2]quests!$1:$1,0)-MATCH($B$1,[2]quests!$1:$1,0)+1),MATCH(D$1,[2]quests!$1:$1,0)-MATCH($B$1,[2]quests!$1:$1,0)+1,FALSE)</f>
        <v>コラボ降臨3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【ウィザード級】デiza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コラボ降臨3</v>
      </c>
      <c r="H14" s="83">
        <v>0</v>
      </c>
      <c r="I14">
        <v>39</v>
      </c>
      <c r="J14" s="82" t="s">
        <v>196</v>
      </c>
      <c r="K14" s="91" t="str">
        <f>VLOOKUP(I14,[7]stage_hints!$A:$C,3,FALSE)</f>
        <v>システム適合者を確認</v>
      </c>
      <c r="L14" s="92" t="str">
        <f>VLOOKUP(I14,[7]stage_hints!$A:$D,4,FALSE)</f>
        <v>ALICEが「アナタ」を呼んでいます</v>
      </c>
      <c r="M14" s="56" t="s">
        <v>209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9"/>
  <sheetViews>
    <sheetView showGridLines="0" zoomScale="125" zoomScaleNormal="125" zoomScalePageLayoutView="125" workbookViewId="0">
      <pane ySplit="1" topLeftCell="A2" activePane="bottomLeft" state="frozen"/>
      <selection pane="bottomLeft" activeCell="A14" sqref="A14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186</v>
      </c>
      <c r="B1" s="70" t="s">
        <v>149</v>
      </c>
      <c r="C1" s="75" t="s">
        <v>188</v>
      </c>
      <c r="D1" s="75" t="s">
        <v>33</v>
      </c>
      <c r="E1" s="70" t="s">
        <v>189</v>
      </c>
      <c r="F1" s="75" t="s">
        <v>18</v>
      </c>
      <c r="G1" s="75" t="s">
        <v>33</v>
      </c>
      <c r="H1" s="70" t="s">
        <v>191</v>
      </c>
      <c r="I1" s="87" t="s">
        <v>192</v>
      </c>
      <c r="J1" s="89" t="s">
        <v>193</v>
      </c>
      <c r="K1" s="77" t="s">
        <v>125</v>
      </c>
      <c r="L1" s="76" t="s">
        <v>185</v>
      </c>
      <c r="M1" s="90" t="s">
        <v>184</v>
      </c>
      <c r="N1" s="78" t="s">
        <v>194</v>
      </c>
    </row>
    <row r="2" spans="1:14" ht="42" x14ac:dyDescent="0.15">
      <c r="A2" s="79" t="s">
        <v>195</v>
      </c>
      <c r="B2" s="80">
        <f>floors!$C$2</f>
        <v>49003</v>
      </c>
      <c r="C2" s="81" t="str">
        <f ca="1">VLOOKUP($B2,OFFSET([2]quests!$A$1,0,0,COUNTA([2]quests!$A:$A),MATCH(C$1,[2]quests!$1:$1,0)-MATCH($B$1,[2]quests!$1:$1,0)+1),MATCH(C$1,[2]quests!$1:$1,0)-MATCH($B$1,[2]quests!$1:$1,0)+1,FALSE)</f>
        <v>H襲来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コラボ降臨3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【ウィザード級】デiza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</v>
      </c>
      <c r="H2" s="83">
        <v>1</v>
      </c>
      <c r="I2" s="88">
        <f>ROW()-1</f>
        <v>1</v>
      </c>
      <c r="J2" s="84" t="str">
        <f>B2&amp;TEXT(I2,"00")</f>
        <v>4900301</v>
      </c>
      <c r="K2" s="82" t="s">
        <v>196</v>
      </c>
      <c r="L2" s="85" t="s">
        <v>197</v>
      </c>
      <c r="M2" s="134" t="s">
        <v>295</v>
      </c>
      <c r="N2" s="56" t="s">
        <v>198</v>
      </c>
    </row>
    <row r="3" spans="1:14" ht="42" x14ac:dyDescent="0.15">
      <c r="A3" s="79" t="s">
        <v>195</v>
      </c>
      <c r="B3" s="80">
        <f>floors!$C$2</f>
        <v>49003</v>
      </c>
      <c r="C3" s="81" t="str">
        <f ca="1">VLOOKUP($B3,OFFSET([2]quests!$A$1,0,0,COUNTA([2]quests!$A:$A),MATCH(C$1,[2]quests!$1:$1,0)-MATCH($B$1,[2]quests!$1:$1,0)+1),MATCH(C$1,[2]quests!$1:$1,0)-MATCH($B$1,[2]quests!$1:$1,0)+1,FALSE)</f>
        <v>H襲来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コラボ降臨3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【ウィザード級】デiza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コラボ降臨3</v>
      </c>
      <c r="H3" s="83">
        <v>2</v>
      </c>
      <c r="I3" s="88">
        <f t="shared" ref="I3:I9" si="0">ROW()-1</f>
        <v>2</v>
      </c>
      <c r="J3" s="84" t="str">
        <f t="shared" ref="J3:J7" si="1">B3&amp;TEXT(I3,"00")</f>
        <v>4900302</v>
      </c>
      <c r="K3" s="82" t="s">
        <v>196</v>
      </c>
      <c r="L3" s="85" t="s">
        <v>197</v>
      </c>
      <c r="M3" s="134" t="s">
        <v>296</v>
      </c>
      <c r="N3" s="56" t="s">
        <v>198</v>
      </c>
    </row>
    <row r="4" spans="1:14" ht="28" x14ac:dyDescent="0.15">
      <c r="A4" s="79" t="s">
        <v>195</v>
      </c>
      <c r="B4" s="80">
        <f>floors!$C$2</f>
        <v>49003</v>
      </c>
      <c r="C4" s="81" t="str">
        <f ca="1">VLOOKUP($B4,OFFSET([2]quests!$A$1,0,0,COUNTA([2]quests!$A:$A),MATCH(C$1,[2]quests!$1:$1,0)-MATCH($B$1,[2]quests!$1:$1,0)+1),MATCH(C$1,[2]quests!$1:$1,0)-MATCH($B$1,[2]quests!$1:$1,0)+1,FALSE)</f>
        <v>H襲来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コラボ降臨3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【ウィザード級】デiza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コラボ降臨3</v>
      </c>
      <c r="H4" s="83">
        <v>3</v>
      </c>
      <c r="I4" s="88">
        <f t="shared" si="0"/>
        <v>3</v>
      </c>
      <c r="J4" s="84" t="str">
        <f t="shared" si="1"/>
        <v>4900303</v>
      </c>
      <c r="K4" s="82" t="s">
        <v>196</v>
      </c>
      <c r="L4" s="85" t="s">
        <v>197</v>
      </c>
      <c r="M4" s="134" t="s">
        <v>297</v>
      </c>
      <c r="N4" s="56" t="s">
        <v>198</v>
      </c>
    </row>
    <row r="5" spans="1:14" ht="42" x14ac:dyDescent="0.15">
      <c r="A5" s="79" t="s">
        <v>195</v>
      </c>
      <c r="B5" s="80">
        <f>floors!$C$2</f>
        <v>49003</v>
      </c>
      <c r="C5" s="81" t="str">
        <f ca="1">VLOOKUP($B5,OFFSET([2]quests!$A$1,0,0,COUNTA([2]quests!$A:$A),MATCH(C$1,[2]quests!$1:$1,0)-MATCH($B$1,[2]quests!$1:$1,0)+1),MATCH(C$1,[2]quests!$1:$1,0)-MATCH($B$1,[2]quests!$1:$1,0)+1,FALSE)</f>
        <v>H襲来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コラボ降臨3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【ウィザード級】デiza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コラボ降臨3</v>
      </c>
      <c r="H5" s="83">
        <v>3</v>
      </c>
      <c r="I5" s="88">
        <f t="shared" si="0"/>
        <v>4</v>
      </c>
      <c r="J5" s="84" t="str">
        <f t="shared" si="1"/>
        <v>4900304</v>
      </c>
      <c r="K5" s="82" t="s">
        <v>196</v>
      </c>
      <c r="L5" s="85" t="s">
        <v>197</v>
      </c>
      <c r="M5" s="134" t="s">
        <v>298</v>
      </c>
      <c r="N5" s="56" t="s">
        <v>198</v>
      </c>
    </row>
    <row r="6" spans="1:14" ht="28" x14ac:dyDescent="0.15">
      <c r="A6" s="79" t="s">
        <v>195</v>
      </c>
      <c r="B6" s="80">
        <f>floors!$C$2</f>
        <v>49003</v>
      </c>
      <c r="C6" s="81" t="str">
        <f ca="1">VLOOKUP($B6,OFFSET([2]quests!$A$1,0,0,COUNTA([2]quests!$A:$A),MATCH(C$1,[2]quests!$1:$1,0)-MATCH($B$1,[2]quests!$1:$1,0)+1),MATCH(C$1,[2]quests!$1:$1,0)-MATCH($B$1,[2]quests!$1:$1,0)+1,FALSE)</f>
        <v>H襲来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コラボ降臨3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【ウィザード級】デiza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コラボ降臨3</v>
      </c>
      <c r="H6" s="83">
        <v>4</v>
      </c>
      <c r="I6" s="88">
        <f t="shared" si="0"/>
        <v>5</v>
      </c>
      <c r="J6" s="84" t="str">
        <f t="shared" si="1"/>
        <v>4900305</v>
      </c>
      <c r="K6" s="82" t="s">
        <v>196</v>
      </c>
      <c r="L6" s="85" t="s">
        <v>197</v>
      </c>
      <c r="M6" s="134" t="s">
        <v>300</v>
      </c>
      <c r="N6" s="56" t="s">
        <v>198</v>
      </c>
    </row>
    <row r="7" spans="1:14" ht="42" x14ac:dyDescent="0.15">
      <c r="A7" s="79" t="s">
        <v>195</v>
      </c>
      <c r="B7" s="80">
        <f>floors!$C$2</f>
        <v>49003</v>
      </c>
      <c r="C7" s="81" t="str">
        <f ca="1">VLOOKUP($B7,OFFSET([2]quests!$A$1,0,0,COUNTA([2]quests!$A:$A),MATCH(C$1,[2]quests!$1:$1,0)-MATCH($B$1,[2]quests!$1:$1,0)+1),MATCH(C$1,[2]quests!$1:$1,0)-MATCH($B$1,[2]quests!$1:$1,0)+1,FALSE)</f>
        <v>H襲来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コラボ降臨3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【ウィザード級】デiza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コラボ降臨3</v>
      </c>
      <c r="H7" s="83">
        <v>4</v>
      </c>
      <c r="I7" s="88">
        <f t="shared" si="0"/>
        <v>6</v>
      </c>
      <c r="J7" s="84" t="str">
        <f t="shared" si="1"/>
        <v>4900306</v>
      </c>
      <c r="K7" s="82" t="s">
        <v>196</v>
      </c>
      <c r="L7" s="85" t="s">
        <v>197</v>
      </c>
      <c r="M7" s="134" t="s">
        <v>301</v>
      </c>
      <c r="N7" s="56" t="s">
        <v>198</v>
      </c>
    </row>
    <row r="8" spans="1:14" ht="42" x14ac:dyDescent="0.15">
      <c r="A8" s="79" t="s">
        <v>195</v>
      </c>
      <c r="B8" s="80">
        <f>floors!$C$2</f>
        <v>49003</v>
      </c>
      <c r="C8" s="81" t="str">
        <f ca="1">VLOOKUP($B8,OFFSET([2]quests!$A$1,0,0,COUNTA([2]quests!$A:$A),MATCH(C$1,[2]quests!$1:$1,0)-MATCH($B$1,[2]quests!$1:$1,0)+1),MATCH(C$1,[2]quests!$1:$1,0)-MATCH($B$1,[2]quests!$1:$1,0)+1,FALSE)</f>
        <v>H襲来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コラボ降臨3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【ウィザード級】デiza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コラボ降臨3</v>
      </c>
      <c r="H8" s="83">
        <v>5</v>
      </c>
      <c r="I8" s="88">
        <f t="shared" si="0"/>
        <v>7</v>
      </c>
      <c r="J8" s="84" t="str">
        <f t="shared" ref="J8" si="2">B8&amp;TEXT(I8,"00")</f>
        <v>4900307</v>
      </c>
      <c r="K8" s="82" t="s">
        <v>196</v>
      </c>
      <c r="L8" s="85" t="s">
        <v>197</v>
      </c>
      <c r="M8" s="134" t="s">
        <v>302</v>
      </c>
      <c r="N8" s="56" t="s">
        <v>198</v>
      </c>
    </row>
    <row r="9" spans="1:14" ht="28" x14ac:dyDescent="0.15">
      <c r="A9" s="79" t="s">
        <v>195</v>
      </c>
      <c r="B9" s="80">
        <f>floors!$C$2</f>
        <v>49003</v>
      </c>
      <c r="C9" s="81" t="str">
        <f ca="1">VLOOKUP($B9,OFFSET([2]quests!$A$1,0,0,COUNTA([2]quests!$A:$A),MATCH(C$1,[2]quests!$1:$1,0)-MATCH($B$1,[2]quests!$1:$1,0)+1),MATCH(C$1,[2]quests!$1:$1,0)-MATCH($B$1,[2]quests!$1:$1,0)+1,FALSE)</f>
        <v>H襲来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コラボ降臨3</v>
      </c>
      <c r="E9" s="82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【ウィザード級】デiza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コラボ降臨3</v>
      </c>
      <c r="H9" s="83">
        <v>5</v>
      </c>
      <c r="I9" s="88">
        <f t="shared" si="0"/>
        <v>8</v>
      </c>
      <c r="J9" s="84" t="str">
        <f t="shared" ref="J9" si="3">B9&amp;TEXT(I9,"00")</f>
        <v>4900308</v>
      </c>
      <c r="K9" s="82" t="s">
        <v>196</v>
      </c>
      <c r="L9" s="85" t="s">
        <v>197</v>
      </c>
      <c r="M9" s="134" t="s">
        <v>303</v>
      </c>
      <c r="N9" s="56" t="s">
        <v>198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2016-04-18T08:07:11Z</dcterms:modified>
</cp:coreProperties>
</file>