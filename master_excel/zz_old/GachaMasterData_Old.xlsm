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300" yWindow="1080" windowWidth="27900" windowHeight="13460" tabRatio="943"/>
  </bookViews>
  <sheets>
    <sheet name="gachas" sheetId="26" r:id="rId1"/>
    <sheet name="gacha_schedules" sheetId="24" r:id="rId2"/>
    <sheet name="gacha_layouts" sheetId="25" r:id="rId3"/>
    <sheet name="gacha_types" sheetId="27" r:id="rId4"/>
    <sheet name="gacha_rarity_bump" sheetId="37" r:id="rId5"/>
    <sheet name="gachas.csv" sheetId="39" r:id="rId6"/>
    <sheet name="gacha_schedules.csv" sheetId="49" r:id="rId7"/>
    <sheet name="gachas_i18n.csv" sheetId="40" r:id="rId8"/>
    <sheet name="gacha_layouts.csv" sheetId="41" r:id="rId9"/>
    <sheet name="gacha_types.csv" sheetId="42" r:id="rId10"/>
    <sheet name="gacha_rarity_bump.csv" sheetId="43" r:id="rId11"/>
  </sheets>
  <externalReferences>
    <externalReference r:id="rId12"/>
    <externalReference r:id="rId13"/>
  </externalReferences>
  <definedNames>
    <definedName name="_xlnm._FilterDatabase" localSheetId="2" hidden="1">gacha_layouts!$A$1:$K$1</definedName>
    <definedName name="_xlnm._FilterDatabase" localSheetId="8" hidden="1">gacha_layouts.csv!$A$2:$C$200</definedName>
    <definedName name="_xlnm._FilterDatabase" localSheetId="10" hidden="1">gacha_rarity_bump.csv!$A$2:$C$201</definedName>
    <definedName name="_xlnm._FilterDatabase" localSheetId="6" hidden="1">gacha_schedules.csv!$A$2:$C$180</definedName>
    <definedName name="_xlnm._FilterDatabase" localSheetId="9" hidden="1">gacha_types.csv!$A$2:$C$201</definedName>
    <definedName name="_xlnm._FilterDatabase" localSheetId="7" hidden="1">gachas_i18n.csv!$A$2:$C$185</definedName>
    <definedName name="_xlnm._FilterDatabase" localSheetId="5" hidden="1">gachas.csv!$A$2:$C$180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65" i="25" l="1"/>
  <c r="J65" i="25"/>
  <c r="I65" i="25"/>
  <c r="E32" i="24"/>
  <c r="E35" i="24"/>
  <c r="H65" i="25"/>
  <c r="D32" i="24"/>
  <c r="D35" i="24"/>
  <c r="G65" i="25"/>
  <c r="C32" i="24"/>
  <c r="C35" i="24"/>
  <c r="F65" i="25"/>
  <c r="D65" i="25"/>
  <c r="A65" i="25"/>
  <c r="K64" i="25"/>
  <c r="J64" i="25"/>
  <c r="I64" i="25"/>
  <c r="H64" i="25"/>
  <c r="G64" i="25"/>
  <c r="F64" i="25"/>
  <c r="D64" i="25"/>
  <c r="A64" i="25"/>
  <c r="K63" i="25"/>
  <c r="J63" i="25"/>
  <c r="I63" i="25"/>
  <c r="E31" i="24"/>
  <c r="E34" i="24"/>
  <c r="H63" i="25"/>
  <c r="D31" i="24"/>
  <c r="D34" i="24"/>
  <c r="G63" i="25"/>
  <c r="C31" i="24"/>
  <c r="C34" i="24"/>
  <c r="F63" i="25"/>
  <c r="D63" i="25"/>
  <c r="A63" i="25"/>
  <c r="K62" i="25"/>
  <c r="J62" i="25"/>
  <c r="I62" i="25"/>
  <c r="H62" i="25"/>
  <c r="G62" i="25"/>
  <c r="F62" i="25"/>
  <c r="D62" i="25"/>
  <c r="A62" i="25"/>
  <c r="K61" i="25"/>
  <c r="J61" i="25"/>
  <c r="I61" i="25"/>
  <c r="E30" i="24"/>
  <c r="E33" i="24"/>
  <c r="H61" i="25"/>
  <c r="D30" i="24"/>
  <c r="D33" i="24"/>
  <c r="G61" i="25"/>
  <c r="C30" i="24"/>
  <c r="C33" i="24"/>
  <c r="F61" i="25"/>
  <c r="D61" i="25"/>
  <c r="A61" i="25"/>
  <c r="K60" i="25"/>
  <c r="J60" i="25"/>
  <c r="I60" i="25"/>
  <c r="H60" i="25"/>
  <c r="G60" i="25"/>
  <c r="F60" i="25"/>
  <c r="D60" i="25"/>
  <c r="A60" i="25"/>
  <c r="K59" i="25"/>
  <c r="J59" i="25"/>
  <c r="I59" i="25"/>
  <c r="E29" i="24"/>
  <c r="E25" i="24"/>
  <c r="H59" i="25"/>
  <c r="D29" i="24"/>
  <c r="D25" i="24"/>
  <c r="G59" i="25"/>
  <c r="C29" i="24"/>
  <c r="C25" i="24"/>
  <c r="F59" i="25"/>
  <c r="D59" i="25"/>
  <c r="A59" i="25"/>
  <c r="K58" i="25"/>
  <c r="J58" i="25"/>
  <c r="I58" i="25"/>
  <c r="H58" i="25"/>
  <c r="G58" i="25"/>
  <c r="F58" i="25"/>
  <c r="D58" i="25"/>
  <c r="A58" i="25"/>
  <c r="K57" i="25"/>
  <c r="J57" i="25"/>
  <c r="I57" i="25"/>
  <c r="E28" i="24"/>
  <c r="E24" i="24"/>
  <c r="H57" i="25"/>
  <c r="D28" i="24"/>
  <c r="D24" i="24"/>
  <c r="G57" i="25"/>
  <c r="C28" i="24"/>
  <c r="C24" i="24"/>
  <c r="F57" i="25"/>
  <c r="D57" i="25"/>
  <c r="A57" i="25"/>
  <c r="K56" i="25"/>
  <c r="J56" i="25"/>
  <c r="I56" i="25"/>
  <c r="H56" i="25"/>
  <c r="G56" i="25"/>
  <c r="F56" i="25"/>
  <c r="D56" i="25"/>
  <c r="A56" i="25"/>
  <c r="E2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6" i="24"/>
  <c r="E27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6" i="24"/>
  <c r="D27" i="24"/>
  <c r="D2" i="24"/>
  <c r="C3" i="24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6" i="24"/>
  <c r="C27" i="24"/>
  <c r="C2" i="24"/>
  <c r="H27" i="26"/>
  <c r="G27" i="26"/>
  <c r="E27" i="26"/>
  <c r="H29" i="26"/>
  <c r="G29" i="26"/>
  <c r="E29" i="26"/>
  <c r="H28" i="26"/>
  <c r="G28" i="26"/>
  <c r="E28" i="26"/>
  <c r="H26" i="26"/>
  <c r="G26" i="26"/>
  <c r="E26" i="26"/>
  <c r="H25" i="26"/>
  <c r="G25" i="26"/>
  <c r="E25" i="26"/>
  <c r="C1" i="41"/>
  <c r="A1" i="41"/>
  <c r="A56" i="41"/>
  <c r="B1" i="41"/>
  <c r="D56" i="41"/>
  <c r="C56" i="41"/>
  <c r="B56" i="41"/>
  <c r="A55" i="41"/>
  <c r="D55" i="41"/>
  <c r="C55" i="41"/>
  <c r="B55" i="41"/>
  <c r="A54" i="41"/>
  <c r="D54" i="41"/>
  <c r="C54" i="41"/>
  <c r="B54" i="41"/>
  <c r="A53" i="41"/>
  <c r="D53" i="41"/>
  <c r="C53" i="41"/>
  <c r="B53" i="41"/>
  <c r="A52" i="41"/>
  <c r="D52" i="41"/>
  <c r="C52" i="41"/>
  <c r="B52" i="41"/>
  <c r="A51" i="41"/>
  <c r="D51" i="41"/>
  <c r="C51" i="41"/>
  <c r="B51" i="41"/>
  <c r="A50" i="41"/>
  <c r="D50" i="41"/>
  <c r="C50" i="41"/>
  <c r="B50" i="41"/>
  <c r="A49" i="41"/>
  <c r="D49" i="41"/>
  <c r="C49" i="41"/>
  <c r="B49" i="41"/>
  <c r="A48" i="41"/>
  <c r="D48" i="41"/>
  <c r="C48" i="41"/>
  <c r="B48" i="41"/>
  <c r="A47" i="41"/>
  <c r="D47" i="41"/>
  <c r="C47" i="41"/>
  <c r="B47" i="41"/>
  <c r="A46" i="41"/>
  <c r="D46" i="41"/>
  <c r="C46" i="41"/>
  <c r="B46" i="41"/>
  <c r="A45" i="41"/>
  <c r="D45" i="41"/>
  <c r="C45" i="41"/>
  <c r="B45" i="41"/>
  <c r="A44" i="41"/>
  <c r="D44" i="41"/>
  <c r="C44" i="41"/>
  <c r="B44" i="41"/>
  <c r="A43" i="41"/>
  <c r="D43" i="41"/>
  <c r="C43" i="41"/>
  <c r="B43" i="41"/>
  <c r="A42" i="41"/>
  <c r="D42" i="41"/>
  <c r="C42" i="41"/>
  <c r="B42" i="41"/>
  <c r="A41" i="41"/>
  <c r="D41" i="41"/>
  <c r="C41" i="41"/>
  <c r="B41" i="41"/>
  <c r="A40" i="41"/>
  <c r="D40" i="41"/>
  <c r="C40" i="41"/>
  <c r="B40" i="41"/>
  <c r="A39" i="41"/>
  <c r="D39" i="41"/>
  <c r="C39" i="41"/>
  <c r="B39" i="41"/>
  <c r="A38" i="41"/>
  <c r="D38" i="41"/>
  <c r="C38" i="41"/>
  <c r="B38" i="41"/>
  <c r="A37" i="41"/>
  <c r="D37" i="41"/>
  <c r="C37" i="41"/>
  <c r="B37" i="41"/>
  <c r="A36" i="41"/>
  <c r="D36" i="41"/>
  <c r="C36" i="41"/>
  <c r="B36" i="41"/>
  <c r="A35" i="41"/>
  <c r="D35" i="41"/>
  <c r="C35" i="41"/>
  <c r="B35" i="41"/>
  <c r="A34" i="41"/>
  <c r="D34" i="41"/>
  <c r="C34" i="41"/>
  <c r="B34" i="41"/>
  <c r="A33" i="41"/>
  <c r="D33" i="41"/>
  <c r="C33" i="41"/>
  <c r="B33" i="41"/>
  <c r="A32" i="41"/>
  <c r="D32" i="41"/>
  <c r="C32" i="41"/>
  <c r="B32" i="41"/>
  <c r="A31" i="41"/>
  <c r="D31" i="41"/>
  <c r="C31" i="41"/>
  <c r="B31" i="41"/>
  <c r="A30" i="41"/>
  <c r="D30" i="41"/>
  <c r="C30" i="41"/>
  <c r="B30" i="41"/>
  <c r="A29" i="41"/>
  <c r="D29" i="41"/>
  <c r="C29" i="41"/>
  <c r="B29" i="41"/>
  <c r="A28" i="41"/>
  <c r="D28" i="41"/>
  <c r="C28" i="41"/>
  <c r="B28" i="41"/>
  <c r="A27" i="41"/>
  <c r="D27" i="41"/>
  <c r="C27" i="41"/>
  <c r="B27" i="41"/>
  <c r="A26" i="41"/>
  <c r="D26" i="41"/>
  <c r="C26" i="41"/>
  <c r="B26" i="41"/>
  <c r="A25" i="41"/>
  <c r="D25" i="41"/>
  <c r="C25" i="41"/>
  <c r="B25" i="41"/>
  <c r="A24" i="41"/>
  <c r="D24" i="41"/>
  <c r="C24" i="41"/>
  <c r="B24" i="41"/>
  <c r="A23" i="41"/>
  <c r="D23" i="41"/>
  <c r="C23" i="41"/>
  <c r="B23" i="41"/>
  <c r="A22" i="41"/>
  <c r="D22" i="41"/>
  <c r="C22" i="41"/>
  <c r="B22" i="41"/>
  <c r="A21" i="41"/>
  <c r="D21" i="41"/>
  <c r="C21" i="41"/>
  <c r="B21" i="41"/>
  <c r="A20" i="41"/>
  <c r="D20" i="41"/>
  <c r="C20" i="41"/>
  <c r="B20" i="41"/>
  <c r="A19" i="41"/>
  <c r="D19" i="41"/>
  <c r="C19" i="41"/>
  <c r="B19" i="41"/>
  <c r="A18" i="41"/>
  <c r="D18" i="41"/>
  <c r="C18" i="41"/>
  <c r="B18" i="41"/>
  <c r="A17" i="41"/>
  <c r="D17" i="41"/>
  <c r="C17" i="41"/>
  <c r="B17" i="41"/>
  <c r="A16" i="41"/>
  <c r="D16" i="41"/>
  <c r="C16" i="41"/>
  <c r="B16" i="41"/>
  <c r="A15" i="41"/>
  <c r="D15" i="41"/>
  <c r="C15" i="41"/>
  <c r="B15" i="41"/>
  <c r="A14" i="41"/>
  <c r="D14" i="41"/>
  <c r="C14" i="41"/>
  <c r="B14" i="41"/>
  <c r="A13" i="41"/>
  <c r="D13" i="41"/>
  <c r="C13" i="41"/>
  <c r="B13" i="41"/>
  <c r="A12" i="41"/>
  <c r="D12" i="41"/>
  <c r="C12" i="41"/>
  <c r="B12" i="41"/>
  <c r="A11" i="41"/>
  <c r="D11" i="41"/>
  <c r="C11" i="41"/>
  <c r="B11" i="41"/>
  <c r="A10" i="41"/>
  <c r="D10" i="41"/>
  <c r="C10" i="41"/>
  <c r="B10" i="41"/>
  <c r="A9" i="41"/>
  <c r="D9" i="41"/>
  <c r="C9" i="41"/>
  <c r="B9" i="41"/>
  <c r="A8" i="41"/>
  <c r="D8" i="41"/>
  <c r="C8" i="41"/>
  <c r="B8" i="41"/>
  <c r="A7" i="41"/>
  <c r="D7" i="41"/>
  <c r="C7" i="41"/>
  <c r="B7" i="41"/>
  <c r="A6" i="41"/>
  <c r="D6" i="41"/>
  <c r="C6" i="41"/>
  <c r="B6" i="41"/>
  <c r="A5" i="41"/>
  <c r="D5" i="41"/>
  <c r="C5" i="41"/>
  <c r="B5" i="41"/>
  <c r="A4" i="41"/>
  <c r="D4" i="41"/>
  <c r="C4" i="41"/>
  <c r="B4" i="41"/>
  <c r="A1" i="40"/>
  <c r="A27" i="40"/>
  <c r="B1" i="40"/>
  <c r="C27" i="40"/>
  <c r="A26" i="40"/>
  <c r="C26" i="40"/>
  <c r="A25" i="40"/>
  <c r="C25" i="40"/>
  <c r="A24" i="40"/>
  <c r="C24" i="40"/>
  <c r="A23" i="40"/>
  <c r="C23" i="40"/>
  <c r="A22" i="40"/>
  <c r="C22" i="40"/>
  <c r="A21" i="40"/>
  <c r="C21" i="40"/>
  <c r="A20" i="40"/>
  <c r="C20" i="40"/>
  <c r="A19" i="40"/>
  <c r="C19" i="40"/>
  <c r="A18" i="40"/>
  <c r="C18" i="40"/>
  <c r="A17" i="40"/>
  <c r="C17" i="40"/>
  <c r="A16" i="40"/>
  <c r="C16" i="40"/>
  <c r="A15" i="40"/>
  <c r="C15" i="40"/>
  <c r="A14" i="40"/>
  <c r="C14" i="40"/>
  <c r="A13" i="40"/>
  <c r="C13" i="40"/>
  <c r="A12" i="40"/>
  <c r="C12" i="40"/>
  <c r="A11" i="40"/>
  <c r="C11" i="40"/>
  <c r="A10" i="40"/>
  <c r="C10" i="40"/>
  <c r="A9" i="40"/>
  <c r="C9" i="40"/>
  <c r="A8" i="40"/>
  <c r="C8" i="40"/>
  <c r="A7" i="40"/>
  <c r="C7" i="40"/>
  <c r="A6" i="40"/>
  <c r="C6" i="40"/>
  <c r="A5" i="40"/>
  <c r="C5" i="40"/>
  <c r="A4" i="40"/>
  <c r="C4" i="40"/>
  <c r="C1" i="49"/>
  <c r="A1" i="49"/>
  <c r="A31" i="49"/>
  <c r="B1" i="49"/>
  <c r="C31" i="49"/>
  <c r="B31" i="49"/>
  <c r="A30" i="49"/>
  <c r="C30" i="49"/>
  <c r="B30" i="49"/>
  <c r="A29" i="49"/>
  <c r="C29" i="49"/>
  <c r="B29" i="49"/>
  <c r="A28" i="49"/>
  <c r="C28" i="49"/>
  <c r="B28" i="49"/>
  <c r="A27" i="49"/>
  <c r="C27" i="49"/>
  <c r="B27" i="49"/>
  <c r="A26" i="49"/>
  <c r="C26" i="49"/>
  <c r="B26" i="49"/>
  <c r="A25" i="49"/>
  <c r="C25" i="49"/>
  <c r="B25" i="49"/>
  <c r="A24" i="49"/>
  <c r="C24" i="49"/>
  <c r="B24" i="49"/>
  <c r="A23" i="49"/>
  <c r="C23" i="49"/>
  <c r="B23" i="49"/>
  <c r="A22" i="49"/>
  <c r="C22" i="49"/>
  <c r="B22" i="49"/>
  <c r="A21" i="49"/>
  <c r="C21" i="49"/>
  <c r="B21" i="49"/>
  <c r="A20" i="49"/>
  <c r="C20" i="49"/>
  <c r="B20" i="49"/>
  <c r="A19" i="49"/>
  <c r="C19" i="49"/>
  <c r="B19" i="49"/>
  <c r="A18" i="49"/>
  <c r="C18" i="49"/>
  <c r="B18" i="49"/>
  <c r="A17" i="49"/>
  <c r="C17" i="49"/>
  <c r="B17" i="49"/>
  <c r="A16" i="49"/>
  <c r="C16" i="49"/>
  <c r="B16" i="49"/>
  <c r="A15" i="49"/>
  <c r="C15" i="49"/>
  <c r="B15" i="49"/>
  <c r="A14" i="49"/>
  <c r="C14" i="49"/>
  <c r="B14" i="49"/>
  <c r="A13" i="49"/>
  <c r="C13" i="49"/>
  <c r="B13" i="49"/>
  <c r="A12" i="49"/>
  <c r="C12" i="49"/>
  <c r="B12" i="49"/>
  <c r="A11" i="49"/>
  <c r="C11" i="49"/>
  <c r="B11" i="49"/>
  <c r="A10" i="49"/>
  <c r="C10" i="49"/>
  <c r="B10" i="49"/>
  <c r="A9" i="49"/>
  <c r="C9" i="49"/>
  <c r="B9" i="49"/>
  <c r="A8" i="49"/>
  <c r="C8" i="49"/>
  <c r="B8" i="49"/>
  <c r="A7" i="49"/>
  <c r="C7" i="49"/>
  <c r="B7" i="49"/>
  <c r="A6" i="49"/>
  <c r="C6" i="49"/>
  <c r="B6" i="49"/>
  <c r="A5" i="49"/>
  <c r="C5" i="49"/>
  <c r="B5" i="49"/>
  <c r="A4" i="49"/>
  <c r="C4" i="49"/>
  <c r="B4" i="49"/>
  <c r="C1" i="39"/>
  <c r="A1" i="39"/>
  <c r="A27" i="39"/>
  <c r="B1" i="39"/>
  <c r="D27" i="39"/>
  <c r="C27" i="39"/>
  <c r="B27" i="39"/>
  <c r="A26" i="39"/>
  <c r="D26" i="39"/>
  <c r="C26" i="39"/>
  <c r="B26" i="39"/>
  <c r="A25" i="39"/>
  <c r="D25" i="39"/>
  <c r="C25" i="39"/>
  <c r="B25" i="39"/>
  <c r="A24" i="39"/>
  <c r="D24" i="39"/>
  <c r="C24" i="39"/>
  <c r="B24" i="39"/>
  <c r="A23" i="39"/>
  <c r="D23" i="39"/>
  <c r="C23" i="39"/>
  <c r="B23" i="39"/>
  <c r="A22" i="39"/>
  <c r="D22" i="39"/>
  <c r="C22" i="39"/>
  <c r="B22" i="39"/>
  <c r="A21" i="39"/>
  <c r="D21" i="39"/>
  <c r="C21" i="39"/>
  <c r="B21" i="39"/>
  <c r="A20" i="39"/>
  <c r="D20" i="39"/>
  <c r="C20" i="39"/>
  <c r="B20" i="39"/>
  <c r="A19" i="39"/>
  <c r="D19" i="39"/>
  <c r="C19" i="39"/>
  <c r="B19" i="39"/>
  <c r="A18" i="39"/>
  <c r="D18" i="39"/>
  <c r="C18" i="39"/>
  <c r="B18" i="39"/>
  <c r="A17" i="39"/>
  <c r="D17" i="39"/>
  <c r="C17" i="39"/>
  <c r="B17" i="39"/>
  <c r="A16" i="39"/>
  <c r="D16" i="39"/>
  <c r="C16" i="39"/>
  <c r="B16" i="39"/>
  <c r="A15" i="39"/>
  <c r="D15" i="39"/>
  <c r="C15" i="39"/>
  <c r="B15" i="39"/>
  <c r="A14" i="39"/>
  <c r="D14" i="39"/>
  <c r="C14" i="39"/>
  <c r="B14" i="39"/>
  <c r="A13" i="39"/>
  <c r="D13" i="39"/>
  <c r="C13" i="39"/>
  <c r="B13" i="39"/>
  <c r="A12" i="39"/>
  <c r="D12" i="39"/>
  <c r="C12" i="39"/>
  <c r="B12" i="39"/>
  <c r="A11" i="39"/>
  <c r="D11" i="39"/>
  <c r="C11" i="39"/>
  <c r="B11" i="39"/>
  <c r="A10" i="39"/>
  <c r="D10" i="39"/>
  <c r="C10" i="39"/>
  <c r="B10" i="39"/>
  <c r="A9" i="39"/>
  <c r="D9" i="39"/>
  <c r="C9" i="39"/>
  <c r="B9" i="39"/>
  <c r="A8" i="39"/>
  <c r="D8" i="39"/>
  <c r="C8" i="39"/>
  <c r="B8" i="39"/>
  <c r="A7" i="39"/>
  <c r="D7" i="39"/>
  <c r="C7" i="39"/>
  <c r="B7" i="39"/>
  <c r="A6" i="39"/>
  <c r="D6" i="39"/>
  <c r="C6" i="39"/>
  <c r="B6" i="39"/>
  <c r="A5" i="39"/>
  <c r="D5" i="39"/>
  <c r="C5" i="39"/>
  <c r="B5" i="39"/>
  <c r="A4" i="39"/>
  <c r="D4" i="39"/>
  <c r="C4" i="39"/>
  <c r="B4" i="39"/>
  <c r="H31" i="26"/>
  <c r="K55" i="25"/>
  <c r="G31" i="26"/>
  <c r="J55" i="25"/>
  <c r="I55" i="25"/>
  <c r="H55" i="25"/>
  <c r="G55" i="25"/>
  <c r="F55" i="25"/>
  <c r="D55" i="25"/>
  <c r="A55" i="25"/>
  <c r="H24" i="26"/>
  <c r="K54" i="25"/>
  <c r="G24" i="26"/>
  <c r="J54" i="25"/>
  <c r="I54" i="25"/>
  <c r="H54" i="25"/>
  <c r="G54" i="25"/>
  <c r="F54" i="25"/>
  <c r="D54" i="25"/>
  <c r="A54" i="25"/>
  <c r="K53" i="25"/>
  <c r="J53" i="25"/>
  <c r="I53" i="25"/>
  <c r="H53" i="25"/>
  <c r="G53" i="25"/>
  <c r="F53" i="25"/>
  <c r="D53" i="25"/>
  <c r="A53" i="25"/>
  <c r="H23" i="26"/>
  <c r="K52" i="25"/>
  <c r="G23" i="26"/>
  <c r="J52" i="25"/>
  <c r="I52" i="25"/>
  <c r="H52" i="25"/>
  <c r="G52" i="25"/>
  <c r="F52" i="25"/>
  <c r="D52" i="25"/>
  <c r="A52" i="25"/>
  <c r="K51" i="25"/>
  <c r="J51" i="25"/>
  <c r="I51" i="25"/>
  <c r="H51" i="25"/>
  <c r="G51" i="25"/>
  <c r="F51" i="25"/>
  <c r="D51" i="25"/>
  <c r="A51" i="25"/>
  <c r="H22" i="26"/>
  <c r="K50" i="25"/>
  <c r="G22" i="26"/>
  <c r="J50" i="25"/>
  <c r="I50" i="25"/>
  <c r="H50" i="25"/>
  <c r="G50" i="25"/>
  <c r="F50" i="25"/>
  <c r="D50" i="25"/>
  <c r="A50" i="25"/>
  <c r="E22" i="26"/>
  <c r="E23" i="26"/>
  <c r="E24" i="26"/>
  <c r="H37" i="25"/>
  <c r="G34" i="25"/>
  <c r="H34" i="25"/>
  <c r="I34" i="25"/>
  <c r="G18" i="26"/>
  <c r="J34" i="25"/>
  <c r="H18" i="26"/>
  <c r="K34" i="25"/>
  <c r="G35" i="25"/>
  <c r="H35" i="25"/>
  <c r="I35" i="25"/>
  <c r="J35" i="25"/>
  <c r="K35" i="25"/>
  <c r="G36" i="25"/>
  <c r="H36" i="25"/>
  <c r="I36" i="25"/>
  <c r="G19" i="26"/>
  <c r="J36" i="25"/>
  <c r="H19" i="26"/>
  <c r="K36" i="25"/>
  <c r="G37" i="25"/>
  <c r="I37" i="25"/>
  <c r="J37" i="25"/>
  <c r="K37" i="25"/>
  <c r="G38" i="25"/>
  <c r="H38" i="25"/>
  <c r="I38" i="25"/>
  <c r="G20" i="26"/>
  <c r="J38" i="25"/>
  <c r="H20" i="26"/>
  <c r="K38" i="25"/>
  <c r="G39" i="25"/>
  <c r="H39" i="25"/>
  <c r="I39" i="25"/>
  <c r="J39" i="25"/>
  <c r="K39" i="25"/>
  <c r="G40" i="25"/>
  <c r="H40" i="25"/>
  <c r="I40" i="25"/>
  <c r="G21" i="26"/>
  <c r="J40" i="25"/>
  <c r="H21" i="26"/>
  <c r="K40" i="25"/>
  <c r="G41" i="25"/>
  <c r="H41" i="25"/>
  <c r="I41" i="25"/>
  <c r="J41" i="25"/>
  <c r="K41" i="25"/>
  <c r="G42" i="25"/>
  <c r="H42" i="25"/>
  <c r="I42" i="25"/>
  <c r="G15" i="26"/>
  <c r="J42" i="25"/>
  <c r="H15" i="26"/>
  <c r="K42" i="25"/>
  <c r="F34" i="25"/>
  <c r="F35" i="25"/>
  <c r="F36" i="25"/>
  <c r="F37" i="25"/>
  <c r="F38" i="25"/>
  <c r="F39" i="25"/>
  <c r="F40" i="25"/>
  <c r="F41" i="25"/>
  <c r="F42" i="25"/>
  <c r="D34" i="25"/>
  <c r="D35" i="25"/>
  <c r="D36" i="25"/>
  <c r="D37" i="25"/>
  <c r="D38" i="25"/>
  <c r="D39" i="25"/>
  <c r="D40" i="25"/>
  <c r="D41" i="25"/>
  <c r="D42" i="25"/>
  <c r="A41" i="25"/>
  <c r="A40" i="25"/>
  <c r="A39" i="25"/>
  <c r="A38" i="25"/>
  <c r="A37" i="25"/>
  <c r="A36" i="25"/>
  <c r="A35" i="25"/>
  <c r="A34" i="25"/>
  <c r="E21" i="26"/>
  <c r="E20" i="26"/>
  <c r="E19" i="26"/>
  <c r="E18" i="26"/>
  <c r="K49" i="25"/>
  <c r="J49" i="25"/>
  <c r="I49" i="25"/>
  <c r="H49" i="25"/>
  <c r="G49" i="25"/>
  <c r="F49" i="25"/>
  <c r="D49" i="25"/>
  <c r="A49" i="25"/>
  <c r="H14" i="26"/>
  <c r="K48" i="25"/>
  <c r="G14" i="26"/>
  <c r="J48" i="25"/>
  <c r="I48" i="25"/>
  <c r="H48" i="25"/>
  <c r="G48" i="25"/>
  <c r="F48" i="25"/>
  <c r="D48" i="25"/>
  <c r="A48" i="25"/>
  <c r="K47" i="25"/>
  <c r="J47" i="25"/>
  <c r="I47" i="25"/>
  <c r="H47" i="25"/>
  <c r="G47" i="25"/>
  <c r="F47" i="25"/>
  <c r="D47" i="25"/>
  <c r="A47" i="25"/>
  <c r="H17" i="26"/>
  <c r="K46" i="25"/>
  <c r="G17" i="26"/>
  <c r="J46" i="25"/>
  <c r="I46" i="25"/>
  <c r="H46" i="25"/>
  <c r="G46" i="25"/>
  <c r="F46" i="25"/>
  <c r="D46" i="25"/>
  <c r="A46" i="25"/>
  <c r="K45" i="25"/>
  <c r="J45" i="25"/>
  <c r="I45" i="25"/>
  <c r="H45" i="25"/>
  <c r="G45" i="25"/>
  <c r="F45" i="25"/>
  <c r="D45" i="25"/>
  <c r="A45" i="25"/>
  <c r="H16" i="26"/>
  <c r="K44" i="25"/>
  <c r="G16" i="26"/>
  <c r="J44" i="25"/>
  <c r="I44" i="25"/>
  <c r="H44" i="25"/>
  <c r="G44" i="25"/>
  <c r="F44" i="25"/>
  <c r="D44" i="25"/>
  <c r="A44" i="25"/>
  <c r="K43" i="25"/>
  <c r="J43" i="25"/>
  <c r="I43" i="25"/>
  <c r="H43" i="25"/>
  <c r="G43" i="25"/>
  <c r="F43" i="25"/>
  <c r="D43" i="25"/>
  <c r="A43" i="25"/>
  <c r="A42" i="25"/>
  <c r="E17" i="26"/>
  <c r="E16" i="26"/>
  <c r="E15" i="26"/>
  <c r="K33" i="25"/>
  <c r="J33" i="25"/>
  <c r="I33" i="25"/>
  <c r="H33" i="25"/>
  <c r="G33" i="25"/>
  <c r="F33" i="25"/>
  <c r="D33" i="25"/>
  <c r="A33" i="25"/>
  <c r="K32" i="25"/>
  <c r="J32" i="25"/>
  <c r="I32" i="25"/>
  <c r="H32" i="25"/>
  <c r="G32" i="25"/>
  <c r="F32" i="25"/>
  <c r="D32" i="25"/>
  <c r="A32" i="25"/>
  <c r="E14" i="26"/>
  <c r="E11" i="26"/>
  <c r="E13" i="26"/>
  <c r="E12" i="26"/>
  <c r="K31" i="25"/>
  <c r="J31" i="25"/>
  <c r="I31" i="25"/>
  <c r="H31" i="25"/>
  <c r="G31" i="25"/>
  <c r="F31" i="25"/>
  <c r="D31" i="25"/>
  <c r="A31" i="25"/>
  <c r="H7" i="26"/>
  <c r="K30" i="25"/>
  <c r="G7" i="26"/>
  <c r="J30" i="25"/>
  <c r="I30" i="25"/>
  <c r="H30" i="25"/>
  <c r="G30" i="25"/>
  <c r="F30" i="25"/>
  <c r="D30" i="25"/>
  <c r="A30" i="25"/>
  <c r="K29" i="25"/>
  <c r="J29" i="25"/>
  <c r="I29" i="25"/>
  <c r="H29" i="25"/>
  <c r="G29" i="25"/>
  <c r="F29" i="25"/>
  <c r="D29" i="25"/>
  <c r="A29" i="25"/>
  <c r="K28" i="25"/>
  <c r="J28" i="25"/>
  <c r="I28" i="25"/>
  <c r="H28" i="25"/>
  <c r="G28" i="25"/>
  <c r="F28" i="25"/>
  <c r="D28" i="25"/>
  <c r="A28" i="25"/>
  <c r="H13" i="26"/>
  <c r="G13" i="26"/>
  <c r="H12" i="26"/>
  <c r="G12" i="26"/>
  <c r="H11" i="26"/>
  <c r="G11" i="26"/>
  <c r="K27" i="25"/>
  <c r="J27" i="25"/>
  <c r="I27" i="25"/>
  <c r="H27" i="25"/>
  <c r="G27" i="25"/>
  <c r="F27" i="25"/>
  <c r="D27" i="25"/>
  <c r="A27" i="25"/>
  <c r="K26" i="25"/>
  <c r="J26" i="25"/>
  <c r="I26" i="25"/>
  <c r="H26" i="25"/>
  <c r="G26" i="25"/>
  <c r="F26" i="25"/>
  <c r="D26" i="25"/>
  <c r="A26" i="25"/>
  <c r="K25" i="25"/>
  <c r="J25" i="25"/>
  <c r="I25" i="25"/>
  <c r="H25" i="25"/>
  <c r="G25" i="25"/>
  <c r="F25" i="25"/>
  <c r="D25" i="25"/>
  <c r="A25" i="25"/>
  <c r="K24" i="25"/>
  <c r="J24" i="25"/>
  <c r="I24" i="25"/>
  <c r="H24" i="25"/>
  <c r="G24" i="25"/>
  <c r="F24" i="25"/>
  <c r="D24" i="25"/>
  <c r="A24" i="25"/>
  <c r="K23" i="25"/>
  <c r="J23" i="25"/>
  <c r="I23" i="25"/>
  <c r="H23" i="25"/>
  <c r="G23" i="25"/>
  <c r="F23" i="25"/>
  <c r="D23" i="25"/>
  <c r="A23" i="25"/>
  <c r="K22" i="25"/>
  <c r="J22" i="25"/>
  <c r="I22" i="25"/>
  <c r="H22" i="25"/>
  <c r="G22" i="25"/>
  <c r="F22" i="25"/>
  <c r="D22" i="25"/>
  <c r="A22" i="25"/>
  <c r="E10" i="26"/>
  <c r="H10" i="26"/>
  <c r="G10" i="26"/>
  <c r="H21" i="25"/>
  <c r="G21" i="25"/>
  <c r="H20" i="25"/>
  <c r="G20" i="25"/>
  <c r="H19" i="25"/>
  <c r="G19" i="25"/>
  <c r="H18" i="25"/>
  <c r="G18" i="25"/>
  <c r="H17" i="25"/>
  <c r="G17" i="25"/>
  <c r="H16" i="25"/>
  <c r="G16" i="25"/>
  <c r="H15" i="25"/>
  <c r="G15" i="25"/>
  <c r="H14" i="25"/>
  <c r="G14" i="25"/>
  <c r="H13" i="25"/>
  <c r="G13" i="25"/>
  <c r="H12" i="25"/>
  <c r="G12" i="25"/>
  <c r="H11" i="25"/>
  <c r="G11" i="25"/>
  <c r="H10" i="25"/>
  <c r="G10" i="25"/>
  <c r="H9" i="25"/>
  <c r="G9" i="25"/>
  <c r="H8" i="25"/>
  <c r="G8" i="25"/>
  <c r="H7" i="25"/>
  <c r="G7" i="25"/>
  <c r="H6" i="25"/>
  <c r="G6" i="25"/>
  <c r="H5" i="25"/>
  <c r="G5" i="25"/>
  <c r="H4" i="25"/>
  <c r="G4" i="25"/>
  <c r="H3" i="25"/>
  <c r="G3" i="25"/>
  <c r="H2" i="25"/>
  <c r="G2" i="25"/>
  <c r="K17" i="25"/>
  <c r="J17" i="25"/>
  <c r="D17" i="25"/>
  <c r="I17" i="25"/>
  <c r="F17" i="25"/>
  <c r="A17" i="25"/>
  <c r="H8" i="26"/>
  <c r="K16" i="25"/>
  <c r="G8" i="26"/>
  <c r="J16" i="25"/>
  <c r="D16" i="25"/>
  <c r="I16" i="25"/>
  <c r="F16" i="25"/>
  <c r="A16" i="25"/>
  <c r="E5" i="26"/>
  <c r="H30" i="26"/>
  <c r="G30" i="26"/>
  <c r="H6" i="26"/>
  <c r="G6" i="26"/>
  <c r="K21" i="25"/>
  <c r="J21" i="25"/>
  <c r="D21" i="25"/>
  <c r="I21" i="25"/>
  <c r="F21" i="25"/>
  <c r="A21" i="25"/>
  <c r="H9" i="26"/>
  <c r="K20" i="25"/>
  <c r="G9" i="26"/>
  <c r="J20" i="25"/>
  <c r="D20" i="25"/>
  <c r="I20" i="25"/>
  <c r="F20" i="25"/>
  <c r="A20" i="25"/>
  <c r="K19" i="25"/>
  <c r="J19" i="25"/>
  <c r="D19" i="25"/>
  <c r="I19" i="25"/>
  <c r="F19" i="25"/>
  <c r="A19" i="25"/>
  <c r="K18" i="25"/>
  <c r="J18" i="25"/>
  <c r="D18" i="25"/>
  <c r="I18" i="25"/>
  <c r="F18" i="25"/>
  <c r="A18" i="25"/>
  <c r="E8" i="26"/>
  <c r="E9" i="26"/>
  <c r="H5" i="26"/>
  <c r="G5" i="26"/>
  <c r="K15" i="25"/>
  <c r="J15" i="25"/>
  <c r="D15" i="25"/>
  <c r="I15" i="25"/>
  <c r="F15" i="25"/>
  <c r="A15" i="25"/>
  <c r="K14" i="25"/>
  <c r="J14" i="25"/>
  <c r="D14" i="25"/>
  <c r="I14" i="25"/>
  <c r="F14" i="25"/>
  <c r="A14" i="25"/>
  <c r="K13" i="25"/>
  <c r="J13" i="25"/>
  <c r="D13" i="25"/>
  <c r="I13" i="25"/>
  <c r="F13" i="25"/>
  <c r="A13" i="25"/>
  <c r="H3" i="26"/>
  <c r="K12" i="25"/>
  <c r="G3" i="26"/>
  <c r="J12" i="25"/>
  <c r="D12" i="25"/>
  <c r="I12" i="25"/>
  <c r="F12" i="25"/>
  <c r="A12" i="25"/>
  <c r="K11" i="25"/>
  <c r="J11" i="25"/>
  <c r="D11" i="25"/>
  <c r="I11" i="25"/>
  <c r="F11" i="25"/>
  <c r="A11" i="25"/>
  <c r="K10" i="25"/>
  <c r="J10" i="25"/>
  <c r="D10" i="25"/>
  <c r="I10" i="25"/>
  <c r="F10" i="25"/>
  <c r="A10" i="25"/>
  <c r="K9" i="25"/>
  <c r="J9" i="25"/>
  <c r="D9" i="25"/>
  <c r="I9" i="25"/>
  <c r="F9" i="25"/>
  <c r="A9" i="25"/>
  <c r="K8" i="25"/>
  <c r="J8" i="25"/>
  <c r="D8" i="25"/>
  <c r="I8" i="25"/>
  <c r="F8" i="25"/>
  <c r="A8" i="25"/>
  <c r="K7" i="25"/>
  <c r="J7" i="25"/>
  <c r="D7" i="25"/>
  <c r="I7" i="25"/>
  <c r="F7" i="25"/>
  <c r="A7" i="25"/>
  <c r="H4" i="26"/>
  <c r="K6" i="25"/>
  <c r="G4" i="26"/>
  <c r="J6" i="25"/>
  <c r="D6" i="25"/>
  <c r="I6" i="25"/>
  <c r="F6" i="25"/>
  <c r="A6" i="25"/>
  <c r="E7" i="26"/>
  <c r="E6" i="26"/>
  <c r="E4" i="26"/>
  <c r="C2" i="37"/>
  <c r="E3" i="26"/>
  <c r="K5" i="25"/>
  <c r="J5" i="25"/>
  <c r="D5" i="25"/>
  <c r="I5" i="25"/>
  <c r="F5" i="25"/>
  <c r="A5" i="25"/>
  <c r="H2" i="26"/>
  <c r="K4" i="25"/>
  <c r="G2" i="26"/>
  <c r="J4" i="25"/>
  <c r="D4" i="25"/>
  <c r="I4" i="25"/>
  <c r="F4" i="25"/>
  <c r="A4" i="25"/>
  <c r="K3" i="25"/>
  <c r="J3" i="25"/>
  <c r="D3" i="25"/>
  <c r="I3" i="25"/>
  <c r="F3" i="25"/>
  <c r="A3" i="25"/>
  <c r="K2" i="25"/>
  <c r="J2" i="25"/>
  <c r="D2" i="25"/>
  <c r="I2" i="25"/>
  <c r="F2" i="25"/>
  <c r="A2" i="25"/>
  <c r="E2" i="26"/>
  <c r="A3" i="49"/>
  <c r="C3" i="49"/>
  <c r="B3" i="49"/>
  <c r="E30" i="26"/>
  <c r="A3" i="39"/>
  <c r="D3" i="39"/>
  <c r="C3" i="39"/>
  <c r="C1" i="43"/>
  <c r="A1" i="43"/>
  <c r="A4" i="43"/>
  <c r="B1" i="43"/>
  <c r="C4" i="43"/>
  <c r="B4" i="43"/>
  <c r="A3" i="43"/>
  <c r="C3" i="43"/>
  <c r="B3" i="43"/>
  <c r="C1" i="42"/>
  <c r="A1" i="42"/>
  <c r="A4" i="42"/>
  <c r="B1" i="42"/>
  <c r="C4" i="42"/>
  <c r="A3" i="42"/>
  <c r="C3" i="42"/>
  <c r="B4" i="42"/>
  <c r="B3" i="42"/>
  <c r="A3" i="41"/>
  <c r="D3" i="41"/>
  <c r="C3" i="41"/>
  <c r="B3" i="41"/>
  <c r="A3" i="40"/>
  <c r="C3" i="40"/>
  <c r="B3" i="39"/>
  <c r="D3" i="37"/>
  <c r="C3" i="37"/>
  <c r="D2" i="37"/>
</calcChain>
</file>

<file path=xl/comments1.xml><?xml version="1.0" encoding="utf-8"?>
<comments xmlns="http://schemas.openxmlformats.org/spreadsheetml/2006/main">
  <authors>
    <author>吉澤 曜祐</author>
    <author>鷲見 政明</author>
  </authors>
  <commentList>
    <comment ref="C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出力データシートに追加する必要あり</t>
        </r>
      </text>
    </comment>
    <comment ref="G1" authorId="1">
      <text>
        <r>
          <rPr>
            <b/>
            <sz val="10"/>
            <color indexed="81"/>
            <rFont val="ＭＳ Ｐゴシック"/>
            <family val="3"/>
            <charset val="128"/>
          </rPr>
          <t>消費アイテム
　・ポリゴン：polygon
　・リンク：link</t>
        </r>
        <r>
          <rPr>
            <sz val="10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F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値が高いほど優先度が高い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I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値が低いほど優先度が高い</t>
        </r>
      </text>
    </comment>
    <comment ref="J1" authorId="0">
      <text>
        <r>
          <rPr>
            <b/>
            <sz val="10"/>
            <color indexed="81"/>
            <rFont val="ＭＳ Ｐゴシック"/>
            <family val="3"/>
            <charset val="128"/>
          </rPr>
          <t>消費アイテム
　・ポリゴン：polygon
　・リンク：link</t>
        </r>
        <r>
          <rPr>
            <sz val="10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消費アイテム
　・ポリゴン：polygon
　・リンク：link</t>
        </r>
        <r>
          <rPr>
            <sz val="10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<sst xmlns="http://schemas.openxmlformats.org/spreadsheetml/2006/main" count="148" uniqueCount="91">
  <si>
    <t>rare</t>
  </si>
  <si>
    <t>start_date</t>
    <phoneticPr fontId="4"/>
  </si>
  <si>
    <t>end_date</t>
    <phoneticPr fontId="4"/>
  </si>
  <si>
    <t>priority</t>
    <phoneticPr fontId="4"/>
  </si>
  <si>
    <t>gacha_type_id</t>
    <phoneticPr fontId="4"/>
  </si>
  <si>
    <t>use_item</t>
    <phoneticPr fontId="4"/>
  </si>
  <si>
    <t>draw_cost</t>
    <phoneticPr fontId="4"/>
  </si>
  <si>
    <t>link</t>
    <phoneticPr fontId="4"/>
  </si>
  <si>
    <t>備考</t>
    <rPh sb="0" eb="2">
      <t>ビコウ</t>
    </rPh>
    <phoneticPr fontId="4"/>
  </si>
  <si>
    <t>gacha_id</t>
    <phoneticPr fontId="4"/>
  </si>
  <si>
    <t>order</t>
    <phoneticPr fontId="4"/>
  </si>
  <si>
    <t>通常</t>
    <rPh sb="0" eb="2">
      <t>ツウジョウ</t>
    </rPh>
    <phoneticPr fontId="4"/>
  </si>
  <si>
    <t>rare</t>
    <phoneticPr fontId="4"/>
  </si>
  <si>
    <t>start_date</t>
    <phoneticPr fontId="4"/>
  </si>
  <si>
    <t>end_date</t>
    <phoneticPr fontId="4"/>
  </si>
  <si>
    <t>rate</t>
    <phoneticPr fontId="4"/>
  </si>
  <si>
    <t>ガチャでレア4のユニットを引いたとき、表示上R3からシュポンしてR4にする</t>
    <rPh sb="13" eb="14">
      <t>ヒ</t>
    </rPh>
    <rPh sb="19" eb="22">
      <t>ヒョウジジョウ</t>
    </rPh>
    <phoneticPr fontId="4"/>
  </si>
  <si>
    <t>ガチャでレア5のユニットを引いたとき、表示上R3、もしくはR4からシュポンしてR5にする</t>
    <rPh sb="13" eb="14">
      <t>ヒ</t>
    </rPh>
    <rPh sb="19" eb="22">
      <t>ヒョウジジョウ</t>
    </rPh>
    <phoneticPr fontId="4"/>
  </si>
  <si>
    <t>gacha_id</t>
  </si>
  <si>
    <t>period_id</t>
  </si>
  <si>
    <t>period_id</t>
    <phoneticPr fontId="7"/>
  </si>
  <si>
    <t>detail</t>
    <phoneticPr fontId="4"/>
  </si>
  <si>
    <t>temp_layouts</t>
    <phoneticPr fontId="4"/>
  </si>
  <si>
    <t>start_date</t>
    <phoneticPr fontId="4"/>
  </si>
  <si>
    <t>end_date</t>
    <phoneticPr fontId="4"/>
  </si>
  <si>
    <t>period_id</t>
    <phoneticPr fontId="4"/>
  </si>
  <si>
    <t>gacha_type_id</t>
  </si>
  <si>
    <t>gacha_type_id</t>
    <phoneticPr fontId="4"/>
  </si>
  <si>
    <t>polygon</t>
    <phoneticPr fontId="4"/>
  </si>
  <si>
    <t>use_item</t>
  </si>
  <si>
    <t>use_item</t>
    <phoneticPr fontId="4"/>
  </si>
  <si>
    <t>draw_cost</t>
  </si>
  <si>
    <t>draw_cost</t>
    <phoneticPr fontId="4"/>
  </si>
  <si>
    <t>language</t>
    <phoneticPr fontId="4"/>
  </si>
  <si>
    <t>detail</t>
    <phoneticPr fontId="4"/>
  </si>
  <si>
    <t>gachas</t>
    <phoneticPr fontId="4"/>
  </si>
  <si>
    <t>ja</t>
    <phoneticPr fontId="4"/>
  </si>
  <si>
    <t>order</t>
  </si>
  <si>
    <t>temp_layouts</t>
    <phoneticPr fontId="4"/>
  </si>
  <si>
    <t>gacha_schedule_id</t>
    <phoneticPr fontId="4"/>
  </si>
  <si>
    <t>gacha_schedule_id</t>
    <phoneticPr fontId="4"/>
  </si>
  <si>
    <t>【&lt;font color="#ff2626"&gt;超&lt;/font&gt;&lt;font color="#ffe22a"&gt;激&lt;/font&gt;&lt;font color="#0093ff"&gt;レ&lt;/font&gt;&lt;font color="#00e074"&gt;ア&lt;/font&gt;ユニットをGETしよう！】
レアガチャは&lt;font color="#ffab27"&gt;ポリゴン5個&lt;/font&gt;で1回引けるよ！</t>
    <rPh sb="0" eb="1">
      <t>ゲキ</t>
    </rPh>
    <rPh sb="167" eb="168">
      <t>コ</t>
    </rPh>
    <rPh sb="177" eb="178">
      <t>カイ</t>
    </rPh>
    <rPh sb="178" eb="179">
      <t>ヒ</t>
    </rPh>
    <phoneticPr fontId="4"/>
  </si>
  <si>
    <t>【リンクを使って無料でユニットGET！】
リンクガチャは&lt;font color="#ffab27"&gt;リンク100pt&lt;/font&gt;で1回引けるよ！
フレンドに&lt;font color="#ffab27"&gt;助っ人&lt;/font&gt;してもらってリンクを集めよう！</t>
    <rPh sb="4" eb="5">
      <t>ツカ</t>
    </rPh>
    <rPh sb="7" eb="9">
      <t>ムリョウ</t>
    </rPh>
    <rPh sb="66" eb="67">
      <t>カイ</t>
    </rPh>
    <rPh sb="67" eb="68">
      <t>ヒ</t>
    </rPh>
    <rPh sb="101" eb="102">
      <t>スケ</t>
    </rPh>
    <rPh sb="103" eb="104">
      <t>ト</t>
    </rPh>
    <rPh sb="121" eb="122">
      <t>アツ</t>
    </rPh>
    <phoneticPr fontId="4"/>
  </si>
  <si>
    <t>valid_flg</t>
    <phoneticPr fontId="4"/>
  </si>
  <si>
    <t>フレンドガチャ（常設）</t>
    <rPh sb="8" eb="10">
      <t>ジョウセツ</t>
    </rPh>
    <phoneticPr fontId="4"/>
  </si>
  <si>
    <t>image_filename</t>
    <phoneticPr fontId="4"/>
  </si>
  <si>
    <t>image_filename</t>
    <phoneticPr fontId="4"/>
  </si>
  <si>
    <t>valid_flg</t>
    <phoneticPr fontId="4"/>
  </si>
  <si>
    <t>gacha_schedule_id</t>
    <phoneticPr fontId="4"/>
  </si>
  <si>
    <t>period_id</t>
    <phoneticPr fontId="4"/>
  </si>
  <si>
    <t>priority</t>
    <phoneticPr fontId="4"/>
  </si>
  <si>
    <t>【&lt;font color="#ff2626"&gt;超&lt;/font&gt;&lt;font color="#ffe22a"&gt;激&lt;/font&gt;&lt;font color="#0093ff"&gt;レ&lt;/font&gt;&lt;font color="#00e074"&gt;ア&lt;/font&gt;ユニットをGETしよう！】
&lt;font color="#ffab27"&gt;8/28〜9/2&lt;/font&gt;は新ユニットの出現率UP!</t>
    <rPh sb="0" eb="1">
      <t>ゲキ</t>
    </rPh>
    <phoneticPr fontId="4"/>
  </si>
  <si>
    <t>レアガチャ（追加02 確率UP）</t>
    <rPh sb="6" eb="8">
      <t>ツイカ</t>
    </rPh>
    <rPh sb="11" eb="13">
      <t>カクリツ</t>
    </rPh>
    <phoneticPr fontId="4"/>
  </si>
  <si>
    <t>ピックアップ01　開始</t>
    <rPh sb="9" eb="11">
      <t>カイシ</t>
    </rPh>
    <phoneticPr fontId="4"/>
  </si>
  <si>
    <t>ピックアップ01　あと少し</t>
    <rPh sb="11" eb="12">
      <t>スコ</t>
    </rPh>
    <phoneticPr fontId="4"/>
  </si>
  <si>
    <t>ピックアップ01　最終日</t>
    <rPh sb="9" eb="12">
      <t>サイシュウビ</t>
    </rPh>
    <phoneticPr fontId="4"/>
  </si>
  <si>
    <t>赤アップ01　開始</t>
    <rPh sb="0" eb="1">
      <t>アカ</t>
    </rPh>
    <rPh sb="7" eb="9">
      <t>カイシ</t>
    </rPh>
    <phoneticPr fontId="4"/>
  </si>
  <si>
    <t>【&lt;font color="#ff2626"&gt;アレス&lt;/font&gt;、&lt;font color="#ffe22a"&gt;イザナミ&lt;/font&gt;、&lt;font color="#0093ff"&gt;ジークフリート&lt;/font&gt;、&lt;font color="#00e074"&gt;オセ&lt;/font&gt;をGETしよう！】
&lt;font color="#ffab27"&gt;9/11〜9/15&lt;/font&gt;はこの４体の出現率UP!</t>
    <rPh sb="0" eb="1">
      <t>ゲキ</t>
    </rPh>
    <rPh sb="188" eb="189">
      <t>タイ</t>
    </rPh>
    <phoneticPr fontId="4"/>
  </si>
  <si>
    <t>内容</t>
    <rPh sb="0" eb="2">
      <t>ナイヨウ</t>
    </rPh>
    <phoneticPr fontId="7"/>
  </si>
  <si>
    <t>内容</t>
    <rPh sb="0" eb="2">
      <t>ナイヨウ</t>
    </rPh>
    <phoneticPr fontId="4"/>
  </si>
  <si>
    <t>男気リンクガチャ（常設）</t>
    <rPh sb="0" eb="2">
      <t>オトコギ</t>
    </rPh>
    <rPh sb="2" eb="8">
      <t>シンリンク</t>
    </rPh>
    <rPh sb="9" eb="11">
      <t>ジョウセツ</t>
    </rPh>
    <phoneticPr fontId="4"/>
  </si>
  <si>
    <t>GachaTop_200.png</t>
  </si>
  <si>
    <t>ピックアップ02(沖田) 開始</t>
    <rPh sb="9" eb="11">
      <t>オキタ</t>
    </rPh>
    <rPh sb="13" eb="15">
      <t>カイシ</t>
    </rPh>
    <phoneticPr fontId="4"/>
  </si>
  <si>
    <t>ピックアップ02(沖田) あと少し</t>
    <rPh sb="9" eb="11">
      <t>オキタ</t>
    </rPh>
    <rPh sb="15" eb="17">
      <t>スk</t>
    </rPh>
    <phoneticPr fontId="4"/>
  </si>
  <si>
    <t>ピックアップ02(沖田) 最終日</t>
    <rPh sb="9" eb="11">
      <t>オキタ</t>
    </rPh>
    <rPh sb="13" eb="16">
      <t>サイシュウビ</t>
    </rPh>
    <phoneticPr fontId="4"/>
  </si>
  <si>
    <t>【&lt;font color="#0093ff"&gt;沖田総司&lt;/font&gt;、&lt;font color="#ffe22a"&gt;ミカエル&lt;/font&gt;、&lt;font color="#00e074"&gt;ヨルムンガンド&lt;/font&gt;をGETしよう！】
&lt;font color="#ffab27"&gt;9/22〜9/25&lt;/font&gt;はこの3体の出現率UP!</t>
    <rPh sb="156" eb="157">
      <t>タイ</t>
    </rPh>
    <phoneticPr fontId="4"/>
  </si>
  <si>
    <t>【超強力&lt;font color="#ff2626"&gt;赤&lt;/font&gt;ユニットをGETしよう！】
&lt;font color="#ffab27"&gt;9/26〜9/28&lt;/font&gt;は赤ユニットの出現率UP!</t>
    <rPh sb="0" eb="1">
      <t>ゲキ</t>
    </rPh>
    <rPh sb="87" eb="88">
      <t>アカ</t>
    </rPh>
    <phoneticPr fontId="4"/>
  </si>
  <si>
    <t>新キャラ追加03（新撰組）</t>
    <rPh sb="0" eb="1">
      <t>シン</t>
    </rPh>
    <rPh sb="4" eb="6">
      <t>ツイカ</t>
    </rPh>
    <rPh sb="9" eb="12">
      <t>シンセングミ</t>
    </rPh>
    <phoneticPr fontId="4"/>
  </si>
  <si>
    <t>レアガチャ（追加02）（大罪）</t>
    <rPh sb="6" eb="8">
      <t>ツイカ</t>
    </rPh>
    <rPh sb="12" eb="14">
      <t>タイザイ</t>
    </rPh>
    <phoneticPr fontId="4"/>
  </si>
  <si>
    <t>青アップ01　開始</t>
    <rPh sb="0" eb="1">
      <t>アオ</t>
    </rPh>
    <rPh sb="7" eb="9">
      <t>カイシ</t>
    </rPh>
    <phoneticPr fontId="4"/>
  </si>
  <si>
    <t>赤アップ0１　あと少し</t>
    <rPh sb="0" eb="1">
      <t>アカ</t>
    </rPh>
    <rPh sb="9" eb="10">
      <t>スコ</t>
    </rPh>
    <phoneticPr fontId="4"/>
  </si>
  <si>
    <t>赤アップ0１　最終日</t>
    <rPh sb="0" eb="1">
      <t>アカ</t>
    </rPh>
    <rPh sb="7" eb="10">
      <t>サイシュウビ</t>
    </rPh>
    <phoneticPr fontId="4"/>
  </si>
  <si>
    <t>青アップ0１　あと少し</t>
    <rPh sb="0" eb="1">
      <t>アオ</t>
    </rPh>
    <rPh sb="9" eb="10">
      <t>スコ</t>
    </rPh>
    <phoneticPr fontId="4"/>
  </si>
  <si>
    <t>青アップ0１　最終日</t>
    <rPh sb="0" eb="1">
      <t>アオ</t>
    </rPh>
    <rPh sb="7" eb="10">
      <t>サイシュウビ</t>
    </rPh>
    <phoneticPr fontId="4"/>
  </si>
  <si>
    <t>緑アップ01 開始</t>
    <rPh sb="0" eb="1">
      <t>ミドリ</t>
    </rPh>
    <rPh sb="7" eb="9">
      <t>カイシ</t>
    </rPh>
    <phoneticPr fontId="4"/>
  </si>
  <si>
    <t>緑アップ01 あと少し</t>
    <rPh sb="0" eb="1">
      <t>ミドリ</t>
    </rPh>
    <rPh sb="9" eb="10">
      <t>スコ</t>
    </rPh>
    <phoneticPr fontId="4"/>
  </si>
  <si>
    <t>緑アップ01 最終日</t>
    <rPh sb="0" eb="1">
      <t>ミドリ</t>
    </rPh>
    <rPh sb="7" eb="10">
      <t>サイシュウビ</t>
    </rPh>
    <phoneticPr fontId="4"/>
  </si>
  <si>
    <t>【超強力&lt;font color="#0093ff"&gt;青&lt;/font&gt;ユニットをGETしよう！】
&lt;font color="#ffab27"&gt;10/10〜10/12&lt;/font&gt;は青ユニットの出現率UP!</t>
    <rPh sb="0" eb="1">
      <t>ゲキ</t>
    </rPh>
    <rPh sb="26" eb="27">
      <t>アオ</t>
    </rPh>
    <rPh sb="89" eb="90">
      <t>アオ</t>
    </rPh>
    <phoneticPr fontId="4"/>
  </si>
  <si>
    <t>赤アップ02</t>
    <rPh sb="0" eb="1">
      <t>アカ</t>
    </rPh>
    <phoneticPr fontId="4"/>
  </si>
  <si>
    <t>新キャラ追加04(ドラゴン）あと少し</t>
    <rPh sb="0" eb="4">
      <t>シンキャ</t>
    </rPh>
    <rPh sb="4" eb="6">
      <t>ツイカ</t>
    </rPh>
    <rPh sb="16" eb="17">
      <t>スコ</t>
    </rPh>
    <phoneticPr fontId="4"/>
  </si>
  <si>
    <t>新キャラ追加04(ドラゴン）最終日</t>
    <rPh sb="0" eb="4">
      <t>シンキャ</t>
    </rPh>
    <rPh sb="4" eb="6">
      <t>ツイカ</t>
    </rPh>
    <rPh sb="14" eb="17">
      <t>サイシュウビ</t>
    </rPh>
    <phoneticPr fontId="4"/>
  </si>
  <si>
    <t>新キャラ追加04(ドラゴン)通常</t>
    <rPh sb="0" eb="1">
      <t>シン</t>
    </rPh>
    <rPh sb="4" eb="6">
      <t>ツイカ</t>
    </rPh>
    <rPh sb="14" eb="16">
      <t>ツウジョウ</t>
    </rPh>
    <phoneticPr fontId="4"/>
  </si>
  <si>
    <t>新キャラ追加04(ドラゴン）確率アップ</t>
    <rPh sb="0" eb="4">
      <t>シンキャ</t>
    </rPh>
    <rPh sb="4" eb="6">
      <t>ツイカ</t>
    </rPh>
    <rPh sb="14" eb="16">
      <t>カクリツ</t>
    </rPh>
    <phoneticPr fontId="4"/>
  </si>
  <si>
    <t>【&lt;font color="#ff2626"&gt;超&lt;/font&gt;&lt;font color="#ffe22a"&gt;激&lt;/font&gt;&lt;font color="#0093ff"&gt;レ&lt;/font&gt;&lt;font color="#00e074"&gt;ア&lt;/font&gt;ユニットをGETしよう！】
&lt;font color="#ffab27"&gt;9/30〜10/5&lt;/font&gt;は新ユニットの出現率UP!</t>
    <rPh sb="0" eb="1">
      <t>ゲキ</t>
    </rPh>
    <phoneticPr fontId="4"/>
  </si>
  <si>
    <t>【超強力&lt;font color="#00e074"&gt;緑&lt;/font&gt;ユニットをGETしよう！】
&lt;font color="#ffab27"&gt;10/5〜10/7&lt;/font&gt;は緑ユニットの出現率UP!</t>
    <rPh sb="0" eb="1">
      <t>ゲキ</t>
    </rPh>
    <rPh sb="26" eb="27">
      <t>ミドリ</t>
    </rPh>
    <rPh sb="87" eb="88">
      <t>ミドリ</t>
    </rPh>
    <phoneticPr fontId="4"/>
  </si>
  <si>
    <t>【超強力&lt;font color=""#ff2626""&gt;赤&lt;/font&gt;ユニットをGETしよう！】
&lt;font color=""#ffab27""&gt;10/8〜10/10&lt;/font&gt;は赤ユニットの出現率UP!</t>
    <rPh sb="27" eb="28">
      <t>アカ</t>
    </rPh>
    <rPh sb="91" eb="92">
      <t>アカ</t>
    </rPh>
    <phoneticPr fontId="4"/>
  </si>
  <si>
    <t>赤アップ02　あと少し</t>
    <rPh sb="0" eb="1">
      <t>アカ</t>
    </rPh>
    <rPh sb="9" eb="10">
      <t>スコ</t>
    </rPh>
    <phoneticPr fontId="4"/>
  </si>
  <si>
    <t>赤アップ02　最終日</t>
    <rPh sb="0" eb="1">
      <t>アカ</t>
    </rPh>
    <rPh sb="7" eb="10">
      <t>サイシュウビ</t>
    </rPh>
    <phoneticPr fontId="4"/>
  </si>
  <si>
    <t>黄アップ01　開始</t>
    <rPh sb="0" eb="1">
      <t>キ</t>
    </rPh>
    <rPh sb="7" eb="9">
      <t>カイシ</t>
    </rPh>
    <phoneticPr fontId="4"/>
  </si>
  <si>
    <t>黄アップ01　あと少し</t>
    <rPh sb="0" eb="1">
      <t>キ</t>
    </rPh>
    <rPh sb="9" eb="11">
      <t>スコ</t>
    </rPh>
    <phoneticPr fontId="4"/>
  </si>
  <si>
    <t>黄アップ01　最終日</t>
    <rPh sb="0" eb="1">
      <t>キ</t>
    </rPh>
    <rPh sb="7" eb="10">
      <t>サイシュ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</si>
</sst>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3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714">
    <xf numFmtId="0" fontId="0" fillId="0" borderId="0"/>
    <xf numFmtId="0" fontId="3" fillId="0" borderId="0"/>
    <xf numFmtId="0" fontId="8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" fillId="0" borderId="0"/>
    <xf numFmtId="0" fontId="15" fillId="9" borderId="2" applyNumberFormat="0" applyAlignment="0" applyProtection="0"/>
    <xf numFmtId="0" fontId="16" fillId="10" borderId="0" applyNumberFormat="0" applyBorder="0" applyAlignment="0" applyProtection="0"/>
    <xf numFmtId="0" fontId="17" fillId="11" borderId="3" applyNumberFormat="0" applyAlignment="0" applyProtection="0"/>
    <xf numFmtId="0" fontId="18" fillId="0" borderId="0" applyNumberFormat="0" applyFill="0" applyBorder="0" applyAlignment="0" applyProtection="0"/>
    <xf numFmtId="0" fontId="19" fillId="12" borderId="0" applyNumberFormat="0" applyBorder="0" applyAlignment="0" applyProtection="0"/>
    <xf numFmtId="0" fontId="20" fillId="13" borderId="4" applyNumberFormat="0" applyAlignment="0" applyProtection="0"/>
    <xf numFmtId="0" fontId="21" fillId="0" borderId="0" applyNumberFormat="0" applyFill="0" applyBorder="0" applyAlignment="0" applyProtection="0"/>
    <xf numFmtId="0" fontId="22" fillId="0" borderId="5" applyNumberFormat="0" applyFill="0" applyAlignment="0" applyProtection="0"/>
    <xf numFmtId="0" fontId="23" fillId="0" borderId="6" applyNumberFormat="0" applyFill="0" applyAlignment="0" applyProtection="0"/>
    <xf numFmtId="0" fontId="24" fillId="0" borderId="7" applyNumberFormat="0" applyFill="0" applyAlignment="0" applyProtection="0"/>
    <xf numFmtId="0" fontId="24" fillId="0" borderId="0" applyNumberFormat="0" applyFill="0" applyBorder="0" applyAlignment="0" applyProtection="0"/>
    <xf numFmtId="0" fontId="25" fillId="11" borderId="0" applyNumberFormat="0" applyBorder="0" applyAlignment="0" applyProtection="0"/>
    <xf numFmtId="0" fontId="25" fillId="10" borderId="0" applyNumberFormat="0" applyBorder="0" applyAlignment="0" applyProtection="0"/>
    <xf numFmtId="0" fontId="25" fillId="14" borderId="0" applyNumberFormat="0" applyBorder="0" applyAlignment="0" applyProtection="0"/>
    <xf numFmtId="0" fontId="25" fillId="11" borderId="0" applyNumberFormat="0" applyBorder="0" applyAlignment="0" applyProtection="0"/>
    <xf numFmtId="0" fontId="25" fillId="15" borderId="0" applyNumberFormat="0" applyBorder="0" applyAlignment="0" applyProtection="0"/>
    <xf numFmtId="0" fontId="25" fillId="9" borderId="0" applyNumberFormat="0" applyBorder="0" applyAlignment="0" applyProtection="0"/>
    <xf numFmtId="0" fontId="25" fillId="11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5" fillId="11" borderId="0" applyNumberFormat="0" applyBorder="0" applyAlignment="0" applyProtection="0"/>
    <xf numFmtId="0" fontId="25" fillId="17" borderId="0" applyNumberFormat="0" applyBorder="0" applyAlignment="0" applyProtection="0"/>
    <xf numFmtId="0" fontId="25" fillId="10" borderId="0" applyNumberFormat="0" applyBorder="0" applyAlignment="0" applyProtection="0"/>
    <xf numFmtId="0" fontId="26" fillId="1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6" fillId="11" borderId="0" applyNumberFormat="0" applyBorder="0" applyAlignment="0" applyProtection="0"/>
    <xf numFmtId="0" fontId="26" fillId="18" borderId="0" applyNumberFormat="0" applyBorder="0" applyAlignment="0" applyProtection="0"/>
    <xf numFmtId="0" fontId="26" fillId="10" borderId="0" applyNumberFormat="0" applyBorder="0" applyAlignment="0" applyProtection="0"/>
    <xf numFmtId="0" fontId="18" fillId="0" borderId="0" applyNumberFormat="0" applyFill="0" applyBorder="0" applyAlignment="0" applyProtection="0"/>
    <xf numFmtId="0" fontId="26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14" borderId="0" applyNumberFormat="0" applyBorder="0" applyAlignment="0" applyProtection="0"/>
    <xf numFmtId="0" fontId="26" fillId="20" borderId="0" applyNumberFormat="0" applyBorder="0" applyAlignment="0" applyProtection="0"/>
    <xf numFmtId="0" fontId="26" fillId="18" borderId="0" applyNumberFormat="0" applyBorder="0" applyAlignment="0" applyProtection="0"/>
    <xf numFmtId="0" fontId="26" fillId="16" borderId="0" applyNumberFormat="0" applyBorder="0" applyAlignment="0" applyProtection="0"/>
    <xf numFmtId="0" fontId="27" fillId="21" borderId="0" applyNumberFormat="0" applyBorder="0" applyAlignment="0" applyProtection="0"/>
    <xf numFmtId="0" fontId="16" fillId="10" borderId="0" applyNumberFormat="0" applyBorder="0" applyAlignment="0" applyProtection="0"/>
    <xf numFmtId="0" fontId="28" fillId="0" borderId="8" applyNumberFormat="0" applyFill="0" applyAlignment="0" applyProtection="0"/>
    <xf numFmtId="0" fontId="29" fillId="11" borderId="9" applyNumberFormat="0" applyAlignment="0" applyProtection="0"/>
    <xf numFmtId="0" fontId="29" fillId="22" borderId="9" applyNumberFormat="0" applyAlignment="0" applyProtection="0"/>
    <xf numFmtId="0" fontId="17" fillId="10" borderId="3" applyNumberFormat="0" applyAlignment="0" applyProtection="0"/>
    <xf numFmtId="0" fontId="30" fillId="0" borderId="10" applyNumberFormat="0" applyFill="0" applyAlignment="0" applyProtection="0"/>
    <xf numFmtId="0" fontId="31" fillId="22" borderId="3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1" applyNumberFormat="0" applyFill="0" applyAlignment="0" applyProtection="0"/>
    <xf numFmtId="38" fontId="2" fillId="0" borderId="0" applyFont="0" applyFill="0" applyBorder="0" applyAlignment="0" applyProtection="0">
      <alignment vertical="center"/>
    </xf>
    <xf numFmtId="0" fontId="34" fillId="23" borderId="0" applyNumberFormat="0" applyBorder="0" applyAlignment="0" applyProtection="0"/>
    <xf numFmtId="0" fontId="35" fillId="24" borderId="0" applyNumberFormat="0" applyBorder="0" applyAlignment="0" applyProtection="0"/>
    <xf numFmtId="0" fontId="2" fillId="0" borderId="0"/>
    <xf numFmtId="0" fontId="36" fillId="24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4">
    <xf numFmtId="0" fontId="0" fillId="0" borderId="0" xfId="0"/>
    <xf numFmtId="0" fontId="9" fillId="0" borderId="0" xfId="2" applyFont="1" applyAlignment="1">
      <alignment vertical="center"/>
    </xf>
    <xf numFmtId="0" fontId="9" fillId="0" borderId="1" xfId="2" applyFont="1" applyBorder="1" applyAlignment="1">
      <alignment vertical="center"/>
    </xf>
    <xf numFmtId="22" fontId="9" fillId="0" borderId="1" xfId="2" quotePrefix="1" applyNumberFormat="1" applyFont="1" applyBorder="1" applyAlignment="1">
      <alignment vertical="center"/>
    </xf>
    <xf numFmtId="0" fontId="9" fillId="3" borderId="1" xfId="2" applyFont="1" applyFill="1" applyBorder="1" applyAlignment="1">
      <alignment horizontal="center" vertical="center"/>
    </xf>
    <xf numFmtId="0" fontId="9" fillId="2" borderId="1" xfId="2" applyFont="1" applyFill="1" applyBorder="1" applyAlignment="1">
      <alignment horizontal="center" vertical="center"/>
    </xf>
    <xf numFmtId="0" fontId="9" fillId="5" borderId="1" xfId="2" applyFont="1" applyFill="1" applyBorder="1" applyAlignment="1">
      <alignment vertical="center"/>
    </xf>
    <xf numFmtId="0" fontId="9" fillId="5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vertical="center"/>
    </xf>
    <xf numFmtId="0" fontId="10" fillId="0" borderId="1" xfId="0" applyFont="1" applyBorder="1" applyAlignment="1">
      <alignment horizontal="right" vertical="center" wrapText="1"/>
    </xf>
    <xf numFmtId="22" fontId="9" fillId="3" borderId="1" xfId="2" quotePrefix="1" applyNumberFormat="1" applyFont="1" applyFill="1" applyBorder="1" applyAlignment="1">
      <alignment vertical="center"/>
    </xf>
    <xf numFmtId="0" fontId="9" fillId="4" borderId="1" xfId="2" applyFont="1" applyFill="1" applyBorder="1" applyAlignment="1">
      <alignment horizontal="center" vertical="center"/>
    </xf>
    <xf numFmtId="0" fontId="13" fillId="7" borderId="0" xfId="2" applyFont="1" applyFill="1" applyAlignment="1">
      <alignment vertical="center"/>
    </xf>
    <xf numFmtId="0" fontId="2" fillId="8" borderId="0" xfId="19" applyFont="1" applyFill="1"/>
    <xf numFmtId="176" fontId="2" fillId="8" borderId="0" xfId="19" applyNumberFormat="1" applyFont="1" applyFill="1"/>
    <xf numFmtId="0" fontId="14" fillId="0" borderId="0" xfId="19" applyFont="1" applyFill="1" applyBorder="1"/>
    <xf numFmtId="0" fontId="2" fillId="0" borderId="0" xfId="19" applyFont="1"/>
    <xf numFmtId="0" fontId="2" fillId="0" borderId="0" xfId="19"/>
    <xf numFmtId="0" fontId="2" fillId="0" borderId="0" xfId="19" applyFont="1" applyFill="1"/>
    <xf numFmtId="0" fontId="9" fillId="2" borderId="0" xfId="19" applyFont="1" applyFill="1" applyBorder="1" applyAlignment="1">
      <alignment horizontal="center"/>
    </xf>
    <xf numFmtId="0" fontId="2" fillId="2" borderId="0" xfId="19" applyFont="1" applyFill="1"/>
    <xf numFmtId="0" fontId="13" fillId="7" borderId="0" xfId="19" applyFont="1" applyFill="1" applyBorder="1" applyAlignment="1">
      <alignment horizontal="center"/>
    </xf>
    <xf numFmtId="0" fontId="13" fillId="7" borderId="0" xfId="19" applyFont="1" applyFill="1" applyBorder="1"/>
    <xf numFmtId="0" fontId="37" fillId="0" borderId="12" xfId="0" applyFont="1" applyBorder="1" applyAlignment="1">
      <alignment vertical="center"/>
    </xf>
    <xf numFmtId="49" fontId="9" fillId="0" borderId="1" xfId="2" quotePrefix="1" applyNumberFormat="1" applyFont="1" applyBorder="1" applyAlignment="1">
      <alignment vertical="center" wrapText="1"/>
    </xf>
    <xf numFmtId="22" fontId="9" fillId="0" borderId="1" xfId="2" quotePrefix="1" applyNumberFormat="1" applyFont="1" applyBorder="1" applyAlignment="1">
      <alignment vertical="center" wrapText="1"/>
    </xf>
    <xf numFmtId="0" fontId="9" fillId="3" borderId="1" xfId="2" quotePrefix="1" applyNumberFormat="1" applyFont="1" applyFill="1" applyBorder="1" applyAlignment="1">
      <alignment vertical="center"/>
    </xf>
    <xf numFmtId="0" fontId="9" fillId="3" borderId="1" xfId="2" quotePrefix="1" applyNumberFormat="1" applyFont="1" applyFill="1" applyBorder="1" applyAlignment="1">
      <alignment vertical="center" wrapText="1"/>
    </xf>
    <xf numFmtId="0" fontId="1" fillId="2" borderId="0" xfId="19" applyFont="1" applyFill="1"/>
    <xf numFmtId="0" fontId="9" fillId="0" borderId="0" xfId="2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10" fillId="6" borderId="1" xfId="0" applyFont="1" applyFill="1" applyBorder="1" applyAlignment="1">
      <alignment horizontal="right" vertical="center" wrapText="1"/>
    </xf>
    <xf numFmtId="0" fontId="9" fillId="25" borderId="1" xfId="2" applyFont="1" applyFill="1" applyBorder="1" applyAlignment="1">
      <alignment vertical="center"/>
    </xf>
    <xf numFmtId="0" fontId="9" fillId="0" borderId="1" xfId="2" quotePrefix="1" applyNumberFormat="1" applyFont="1" applyFill="1" applyBorder="1" applyAlignment="1">
      <alignment vertical="center" wrapText="1"/>
    </xf>
  </cellXfs>
  <cellStyles count="2714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ishikawaami/Desktop/data/BULL_data/master_excel/Period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eriod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periods"/>
      <sheetName val="periods.csv"/>
    </sheetNames>
    <sheetDataSet>
      <sheetData sheetId="0"/>
      <sheetData sheetId="1">
        <row r="1">
          <cell r="A1" t="str">
            <v>period_id</v>
          </cell>
          <cell r="B1" t="str">
            <v>start_date</v>
          </cell>
          <cell r="C1" t="str">
            <v>end_date</v>
          </cell>
          <cell r="D1" t="str">
            <v>内容</v>
          </cell>
        </row>
        <row r="2">
          <cell r="A2">
            <v>0</v>
          </cell>
        </row>
        <row r="3">
          <cell r="A3">
            <v>5010</v>
          </cell>
        </row>
        <row r="4">
          <cell r="A4">
            <v>5011</v>
          </cell>
        </row>
        <row r="5">
          <cell r="A5">
            <v>5020</v>
          </cell>
        </row>
        <row r="6">
          <cell r="A6">
            <v>5021</v>
          </cell>
        </row>
        <row r="7">
          <cell r="A7">
            <v>5022</v>
          </cell>
        </row>
        <row r="8">
          <cell r="A8">
            <v>5023</v>
          </cell>
        </row>
        <row r="9">
          <cell r="A9">
            <v>5024</v>
          </cell>
        </row>
        <row r="10">
          <cell r="A10">
            <v>5025</v>
          </cell>
        </row>
        <row r="11">
          <cell r="A11">
            <v>5026</v>
          </cell>
        </row>
        <row r="12">
          <cell r="A12">
            <v>5027</v>
          </cell>
        </row>
        <row r="13">
          <cell r="A13">
            <v>5033</v>
          </cell>
        </row>
        <row r="14">
          <cell r="A14">
            <v>5028</v>
          </cell>
        </row>
        <row r="15">
          <cell r="A15">
            <v>5029</v>
          </cell>
        </row>
        <row r="16">
          <cell r="A16">
            <v>5030</v>
          </cell>
        </row>
        <row r="17">
          <cell r="A17">
            <v>5031</v>
          </cell>
        </row>
        <row r="18">
          <cell r="A18">
            <v>5032</v>
          </cell>
        </row>
        <row r="19">
          <cell r="A19">
            <v>5034</v>
          </cell>
        </row>
        <row r="20">
          <cell r="A20">
            <v>5035</v>
          </cell>
        </row>
        <row r="21">
          <cell r="A21">
            <v>5036</v>
          </cell>
        </row>
        <row r="22">
          <cell r="A22">
            <v>5037</v>
          </cell>
        </row>
        <row r="23">
          <cell r="A23">
            <v>5038</v>
          </cell>
        </row>
        <row r="24">
          <cell r="A24">
            <v>5039</v>
          </cell>
        </row>
        <row r="25">
          <cell r="A25">
            <v>5040</v>
          </cell>
        </row>
        <row r="26">
          <cell r="A26">
            <v>5041</v>
          </cell>
        </row>
        <row r="27">
          <cell r="A27">
            <v>5042</v>
          </cell>
        </row>
        <row r="28">
          <cell r="A28">
            <v>5043</v>
          </cell>
        </row>
        <row r="29">
          <cell r="A29">
            <v>5044</v>
          </cell>
        </row>
        <row r="30">
          <cell r="A30">
            <v>5045</v>
          </cell>
        </row>
        <row r="31">
          <cell r="A31">
            <v>5046</v>
          </cell>
        </row>
        <row r="32">
          <cell r="A32">
            <v>5047</v>
          </cell>
        </row>
        <row r="33">
          <cell r="A33">
            <v>5048</v>
          </cell>
        </row>
        <row r="34">
          <cell r="A34">
            <v>5049</v>
          </cell>
        </row>
        <row r="35">
          <cell r="A35">
            <v>5050</v>
          </cell>
        </row>
        <row r="36">
          <cell r="A36">
            <v>5051</v>
          </cell>
        </row>
        <row r="37">
          <cell r="A37">
            <v>11</v>
          </cell>
        </row>
        <row r="38">
          <cell r="A38">
            <v>12</v>
          </cell>
        </row>
        <row r="39">
          <cell r="A39">
            <v>13</v>
          </cell>
        </row>
        <row r="40">
          <cell r="A40">
            <v>14</v>
          </cell>
        </row>
        <row r="41">
          <cell r="A41">
            <v>15</v>
          </cell>
        </row>
        <row r="42">
          <cell r="A42">
            <v>16</v>
          </cell>
        </row>
        <row r="43">
          <cell r="A43">
            <v>17</v>
          </cell>
        </row>
        <row r="44">
          <cell r="A44">
            <v>18</v>
          </cell>
        </row>
        <row r="45">
          <cell r="A45">
            <v>19</v>
          </cell>
        </row>
        <row r="46">
          <cell r="A46">
            <v>20</v>
          </cell>
        </row>
        <row r="47">
          <cell r="A47">
            <v>21</v>
          </cell>
        </row>
        <row r="48">
          <cell r="A48">
            <v>22</v>
          </cell>
        </row>
        <row r="49">
          <cell r="A49">
            <v>23</v>
          </cell>
        </row>
        <row r="50">
          <cell r="A50">
            <v>24</v>
          </cell>
        </row>
        <row r="51">
          <cell r="A51">
            <v>25</v>
          </cell>
        </row>
        <row r="52">
          <cell r="A52">
            <v>26</v>
          </cell>
        </row>
        <row r="53">
          <cell r="A53">
            <v>27</v>
          </cell>
        </row>
        <row r="54">
          <cell r="A54">
            <v>28</v>
          </cell>
        </row>
        <row r="55">
          <cell r="A55">
            <v>29</v>
          </cell>
        </row>
        <row r="56">
          <cell r="A56">
            <v>30</v>
          </cell>
        </row>
        <row r="57">
          <cell r="A57">
            <v>31</v>
          </cell>
        </row>
        <row r="58">
          <cell r="A58">
            <v>32</v>
          </cell>
        </row>
        <row r="59">
          <cell r="A59">
            <v>33</v>
          </cell>
        </row>
        <row r="60">
          <cell r="A60">
            <v>34</v>
          </cell>
        </row>
        <row r="61">
          <cell r="A61">
            <v>35</v>
          </cell>
        </row>
        <row r="62">
          <cell r="A62">
            <v>100</v>
          </cell>
        </row>
        <row r="63">
          <cell r="A63">
            <v>101</v>
          </cell>
        </row>
        <row r="64">
          <cell r="A64">
            <v>102</v>
          </cell>
        </row>
        <row r="65">
          <cell r="A65">
            <v>110</v>
          </cell>
        </row>
        <row r="66">
          <cell r="A66">
            <v>111</v>
          </cell>
        </row>
        <row r="67">
          <cell r="A67">
            <v>112</v>
          </cell>
        </row>
        <row r="68">
          <cell r="A68">
            <v>120</v>
          </cell>
        </row>
        <row r="69">
          <cell r="A69">
            <v>121</v>
          </cell>
        </row>
        <row r="70">
          <cell r="A70">
            <v>122</v>
          </cell>
        </row>
        <row r="71">
          <cell r="A71">
            <v>130</v>
          </cell>
        </row>
        <row r="72">
          <cell r="A72">
            <v>131</v>
          </cell>
        </row>
        <row r="73">
          <cell r="A73">
            <v>132</v>
          </cell>
        </row>
        <row r="74">
          <cell r="A74">
            <v>140</v>
          </cell>
        </row>
        <row r="75">
          <cell r="A75">
            <v>141</v>
          </cell>
        </row>
        <row r="76">
          <cell r="A76">
            <v>142</v>
          </cell>
        </row>
        <row r="77">
          <cell r="A77">
            <v>150</v>
          </cell>
        </row>
        <row r="78">
          <cell r="A78">
            <v>151</v>
          </cell>
        </row>
        <row r="79">
          <cell r="A79">
            <v>152</v>
          </cell>
        </row>
        <row r="80">
          <cell r="A80">
            <v>160</v>
          </cell>
        </row>
        <row r="81">
          <cell r="A81">
            <v>161</v>
          </cell>
        </row>
        <row r="82">
          <cell r="A82">
            <v>162</v>
          </cell>
        </row>
        <row r="83">
          <cell r="A83">
            <v>170</v>
          </cell>
        </row>
        <row r="84">
          <cell r="A84">
            <v>171</v>
          </cell>
        </row>
        <row r="85">
          <cell r="A85">
            <v>172</v>
          </cell>
        </row>
        <row r="86">
          <cell r="A86">
            <v>180</v>
          </cell>
        </row>
        <row r="87">
          <cell r="A87">
            <v>190</v>
          </cell>
        </row>
        <row r="88">
          <cell r="A88">
            <v>11101</v>
          </cell>
        </row>
        <row r="89">
          <cell r="A89">
            <v>11102</v>
          </cell>
        </row>
        <row r="90">
          <cell r="A90">
            <v>11103</v>
          </cell>
        </row>
        <row r="91">
          <cell r="A91">
            <v>11104</v>
          </cell>
        </row>
        <row r="92">
          <cell r="A92">
            <v>11105</v>
          </cell>
        </row>
        <row r="93">
          <cell r="A93">
            <v>11106</v>
          </cell>
        </row>
        <row r="94">
          <cell r="A94">
            <v>11206</v>
          </cell>
        </row>
        <row r="95">
          <cell r="A95">
            <v>11207</v>
          </cell>
        </row>
        <row r="96">
          <cell r="A96">
            <v>11208</v>
          </cell>
        </row>
        <row r="97">
          <cell r="A97">
            <v>11209</v>
          </cell>
        </row>
        <row r="98">
          <cell r="A98">
            <v>11210</v>
          </cell>
        </row>
        <row r="99">
          <cell r="A99">
            <v>11211</v>
          </cell>
        </row>
        <row r="100">
          <cell r="A100">
            <v>11212</v>
          </cell>
        </row>
        <row r="101">
          <cell r="A101">
            <v>11213</v>
          </cell>
        </row>
        <row r="102">
          <cell r="A102">
            <v>11214</v>
          </cell>
        </row>
        <row r="103">
          <cell r="A103">
            <v>11215</v>
          </cell>
        </row>
        <row r="104">
          <cell r="A104">
            <v>11216</v>
          </cell>
        </row>
        <row r="105">
          <cell r="A105">
            <v>11217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periods"/>
      <sheetName val="periods.csv"/>
    </sheetNames>
    <sheetDataSet>
      <sheetData sheetId="0" refreshError="1"/>
      <sheetData sheetId="1" refreshError="1">
        <row r="1">
          <cell r="A1" t="str">
            <v>period_id</v>
          </cell>
          <cell r="B1" t="str">
            <v>start_date</v>
          </cell>
          <cell r="C1" t="str">
            <v>end_date</v>
          </cell>
          <cell r="D1" t="str">
            <v>内容</v>
          </cell>
        </row>
        <row r="2">
          <cell r="A2">
            <v>0</v>
          </cell>
        </row>
        <row r="3">
          <cell r="A3">
            <v>5010</v>
          </cell>
        </row>
        <row r="4">
          <cell r="A4">
            <v>5011</v>
          </cell>
        </row>
        <row r="5">
          <cell r="A5">
            <v>5020</v>
          </cell>
        </row>
        <row r="6">
          <cell r="A6">
            <v>5021</v>
          </cell>
        </row>
        <row r="7">
          <cell r="A7">
            <v>5022</v>
          </cell>
        </row>
        <row r="8">
          <cell r="A8">
            <v>5023</v>
          </cell>
        </row>
        <row r="9">
          <cell r="A9">
            <v>5024</v>
          </cell>
        </row>
        <row r="10">
          <cell r="A10">
            <v>5025</v>
          </cell>
        </row>
        <row r="11">
          <cell r="A11">
            <v>5026</v>
          </cell>
        </row>
        <row r="12">
          <cell r="A12">
            <v>5027</v>
          </cell>
        </row>
        <row r="13">
          <cell r="A13">
            <v>5033</v>
          </cell>
        </row>
        <row r="14">
          <cell r="A14">
            <v>5028</v>
          </cell>
        </row>
        <row r="15">
          <cell r="A15">
            <v>5029</v>
          </cell>
        </row>
        <row r="16">
          <cell r="A16">
            <v>5030</v>
          </cell>
        </row>
        <row r="17">
          <cell r="A17">
            <v>5031</v>
          </cell>
        </row>
        <row r="18">
          <cell r="A18">
            <v>5032</v>
          </cell>
        </row>
        <row r="19">
          <cell r="A19">
            <v>5034</v>
          </cell>
        </row>
        <row r="20">
          <cell r="A20">
            <v>5035</v>
          </cell>
        </row>
        <row r="21">
          <cell r="A21">
            <v>5036</v>
          </cell>
        </row>
        <row r="22">
          <cell r="A22">
            <v>5037</v>
          </cell>
        </row>
        <row r="23">
          <cell r="A23">
            <v>5038</v>
          </cell>
        </row>
        <row r="24">
          <cell r="A24">
            <v>5039</v>
          </cell>
        </row>
        <row r="25">
          <cell r="A25">
            <v>5040</v>
          </cell>
        </row>
        <row r="26">
          <cell r="A26">
            <v>5041</v>
          </cell>
        </row>
        <row r="27">
          <cell r="A27">
            <v>5042</v>
          </cell>
        </row>
        <row r="28">
          <cell r="A28">
            <v>5043</v>
          </cell>
        </row>
        <row r="29">
          <cell r="A29">
            <v>5044</v>
          </cell>
        </row>
        <row r="30">
          <cell r="A30">
            <v>5045</v>
          </cell>
        </row>
        <row r="31">
          <cell r="A31">
            <v>5046</v>
          </cell>
        </row>
        <row r="32">
          <cell r="A32">
            <v>11</v>
          </cell>
        </row>
        <row r="33">
          <cell r="A33">
            <v>12</v>
          </cell>
        </row>
        <row r="34">
          <cell r="A34">
            <v>13</v>
          </cell>
        </row>
        <row r="35">
          <cell r="A35">
            <v>14</v>
          </cell>
        </row>
        <row r="36">
          <cell r="A36">
            <v>15</v>
          </cell>
        </row>
        <row r="37">
          <cell r="A37">
            <v>16</v>
          </cell>
        </row>
        <row r="38">
          <cell r="A38">
            <v>17</v>
          </cell>
        </row>
        <row r="39">
          <cell r="A39">
            <v>18</v>
          </cell>
        </row>
        <row r="40">
          <cell r="A40">
            <v>19</v>
          </cell>
        </row>
        <row r="41">
          <cell r="A41">
            <v>20</v>
          </cell>
        </row>
        <row r="42">
          <cell r="A42">
            <v>21</v>
          </cell>
        </row>
        <row r="43">
          <cell r="A43">
            <v>22</v>
          </cell>
        </row>
        <row r="44">
          <cell r="A44">
            <v>23</v>
          </cell>
        </row>
        <row r="45">
          <cell r="A45">
            <v>24</v>
          </cell>
        </row>
        <row r="46">
          <cell r="A46">
            <v>25</v>
          </cell>
        </row>
        <row r="47">
          <cell r="A47">
            <v>26</v>
          </cell>
        </row>
        <row r="48">
          <cell r="A48">
            <v>27</v>
          </cell>
        </row>
        <row r="49">
          <cell r="A49">
            <v>28</v>
          </cell>
        </row>
        <row r="50">
          <cell r="A50">
            <v>29</v>
          </cell>
        </row>
        <row r="51">
          <cell r="A51">
            <v>30</v>
          </cell>
        </row>
        <row r="52">
          <cell r="A52">
            <v>31</v>
          </cell>
        </row>
        <row r="53">
          <cell r="A53">
            <v>32</v>
          </cell>
        </row>
        <row r="54">
          <cell r="A54">
            <v>33</v>
          </cell>
        </row>
        <row r="55">
          <cell r="A55">
            <v>34</v>
          </cell>
        </row>
        <row r="56">
          <cell r="A56">
            <v>35</v>
          </cell>
        </row>
        <row r="57">
          <cell r="A57">
            <v>100</v>
          </cell>
        </row>
        <row r="58">
          <cell r="A58">
            <v>101</v>
          </cell>
        </row>
        <row r="59">
          <cell r="A59">
            <v>102</v>
          </cell>
        </row>
        <row r="60">
          <cell r="A60">
            <v>110</v>
          </cell>
        </row>
        <row r="61">
          <cell r="A61">
            <v>111</v>
          </cell>
        </row>
        <row r="62">
          <cell r="A62">
            <v>112</v>
          </cell>
        </row>
        <row r="63">
          <cell r="A63">
            <v>120</v>
          </cell>
        </row>
        <row r="64">
          <cell r="A64">
            <v>121</v>
          </cell>
        </row>
        <row r="65">
          <cell r="A65">
            <v>122</v>
          </cell>
        </row>
        <row r="66">
          <cell r="A66">
            <v>130</v>
          </cell>
        </row>
        <row r="67">
          <cell r="A67">
            <v>131</v>
          </cell>
        </row>
        <row r="68">
          <cell r="A68">
            <v>132</v>
          </cell>
        </row>
        <row r="69">
          <cell r="A69">
            <v>140</v>
          </cell>
        </row>
        <row r="70">
          <cell r="A70">
            <v>141</v>
          </cell>
        </row>
        <row r="71">
          <cell r="A71">
            <v>142</v>
          </cell>
        </row>
        <row r="72">
          <cell r="A72">
            <v>150</v>
          </cell>
        </row>
        <row r="73">
          <cell r="A73">
            <v>151</v>
          </cell>
        </row>
        <row r="74">
          <cell r="A74">
            <v>152</v>
          </cell>
        </row>
        <row r="75">
          <cell r="A75">
            <v>160</v>
          </cell>
        </row>
        <row r="76">
          <cell r="A76">
            <v>161</v>
          </cell>
        </row>
        <row r="77">
          <cell r="A77">
            <v>162</v>
          </cell>
        </row>
        <row r="78">
          <cell r="A78">
            <v>170</v>
          </cell>
        </row>
        <row r="79">
          <cell r="A79">
            <v>171</v>
          </cell>
        </row>
        <row r="80">
          <cell r="A80">
            <v>172</v>
          </cell>
        </row>
        <row r="81">
          <cell r="A81">
            <v>180</v>
          </cell>
        </row>
        <row r="82">
          <cell r="A82">
            <v>190</v>
          </cell>
        </row>
        <row r="83">
          <cell r="A83">
            <v>11101</v>
          </cell>
        </row>
        <row r="84">
          <cell r="A84">
            <v>11102</v>
          </cell>
        </row>
        <row r="85">
          <cell r="A85">
            <v>11103</v>
          </cell>
        </row>
        <row r="86">
          <cell r="A86">
            <v>11104</v>
          </cell>
        </row>
        <row r="87">
          <cell r="A87">
            <v>11105</v>
          </cell>
        </row>
        <row r="88">
          <cell r="A88">
            <v>11106</v>
          </cell>
        </row>
        <row r="89">
          <cell r="A89">
            <v>11206</v>
          </cell>
        </row>
        <row r="90">
          <cell r="A90">
            <v>11207</v>
          </cell>
        </row>
        <row r="91">
          <cell r="A91">
            <v>11208</v>
          </cell>
        </row>
        <row r="92">
          <cell r="A92">
            <v>11209</v>
          </cell>
        </row>
        <row r="93">
          <cell r="A93">
            <v>11210</v>
          </cell>
        </row>
        <row r="94">
          <cell r="A94">
            <v>11211</v>
          </cell>
        </row>
        <row r="95">
          <cell r="A95">
            <v>11212</v>
          </cell>
        </row>
        <row r="96">
          <cell r="A96">
            <v>11213</v>
          </cell>
        </row>
        <row r="97">
          <cell r="A97">
            <v>11214</v>
          </cell>
        </row>
        <row r="98">
          <cell r="A98">
            <v>11215</v>
          </cell>
        </row>
        <row r="99">
          <cell r="A99">
            <v>11216</v>
          </cell>
        </row>
        <row r="100">
          <cell r="A100">
            <v>11217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H31"/>
  <sheetViews>
    <sheetView showGridLines="0" tabSelected="1" workbookViewId="0">
      <pane ySplit="1" topLeftCell="A4" activePane="bottomLeft" state="frozen"/>
      <selection pane="bottomLeft" activeCell="D4" sqref="D4"/>
    </sheetView>
  </sheetViews>
  <sheetFormatPr baseColWidth="12" defaultRowHeight="21" customHeight="1" x14ac:dyDescent="0"/>
  <cols>
    <col min="1" max="1" width="14.7109375" style="1" bestFit="1" customWidth="1"/>
    <col min="2" max="2" width="18.7109375" style="1" bestFit="1" customWidth="1"/>
    <col min="3" max="3" width="6.85546875" style="1" bestFit="1" customWidth="1"/>
    <col min="4" max="5" width="62" style="1" customWidth="1"/>
    <col min="6" max="6" width="29.140625" style="1" customWidth="1"/>
    <col min="7" max="16384" width="12.7109375" style="1"/>
  </cols>
  <sheetData>
    <row r="1" spans="1:8" ht="21" customHeight="1">
      <c r="A1" s="5" t="s">
        <v>9</v>
      </c>
      <c r="B1" s="5" t="s">
        <v>4</v>
      </c>
      <c r="C1" s="5" t="s">
        <v>43</v>
      </c>
      <c r="D1" s="11" t="s">
        <v>21</v>
      </c>
      <c r="E1" s="5" t="s">
        <v>45</v>
      </c>
      <c r="F1" s="4" t="s">
        <v>8</v>
      </c>
      <c r="G1" s="4" t="s">
        <v>30</v>
      </c>
      <c r="H1" s="4" t="s">
        <v>32</v>
      </c>
    </row>
    <row r="2" spans="1:8" ht="42">
      <c r="A2" s="2">
        <v>102</v>
      </c>
      <c r="B2" s="2">
        <v>100</v>
      </c>
      <c r="C2" s="2">
        <v>3</v>
      </c>
      <c r="D2" s="24" t="s">
        <v>51</v>
      </c>
      <c r="E2" s="27" t="str">
        <f t="shared" ref="E2:E30" si="0">"GachaTop_"&amp;A2&amp;".png"</f>
        <v>GachaTop_102.png</v>
      </c>
      <c r="F2" s="2" t="s">
        <v>52</v>
      </c>
      <c r="G2" s="7" t="str">
        <f>VLOOKUP($B2,gacha_types!$A:$D,2,FALSE)</f>
        <v>polygon</v>
      </c>
      <c r="H2" s="7">
        <f>VLOOKUP($B2,gacha_types!$A:$D,3,FALSE)</f>
        <v>5</v>
      </c>
    </row>
    <row r="3" spans="1:8" ht="42">
      <c r="A3" s="32">
        <v>103</v>
      </c>
      <c r="B3" s="2">
        <v>100</v>
      </c>
      <c r="C3" s="2">
        <v>3</v>
      </c>
      <c r="D3" s="24" t="s">
        <v>41</v>
      </c>
      <c r="E3" s="27" t="str">
        <f t="shared" si="0"/>
        <v>GachaTop_103.png</v>
      </c>
      <c r="F3" s="2" t="s">
        <v>68</v>
      </c>
      <c r="G3" s="7" t="str">
        <f>VLOOKUP($B3,gacha_types!$A:$D,2,FALSE)</f>
        <v>polygon</v>
      </c>
      <c r="H3" s="7">
        <f>VLOOKUP($B3,gacha_types!$A:$D,3,FALSE)</f>
        <v>5</v>
      </c>
    </row>
    <row r="4" spans="1:8" ht="56">
      <c r="A4" s="8">
        <v>104</v>
      </c>
      <c r="B4" s="2">
        <v>100</v>
      </c>
      <c r="C4" s="2">
        <v>3</v>
      </c>
      <c r="D4" s="24" t="s">
        <v>57</v>
      </c>
      <c r="E4" s="27" t="str">
        <f t="shared" ref="E4:E5" si="1">"GachaTop_"&amp;A4&amp;".png"</f>
        <v>GachaTop_104.png</v>
      </c>
      <c r="F4" s="2" t="s">
        <v>53</v>
      </c>
      <c r="G4" s="7" t="str">
        <f>VLOOKUP($B4,gacha_types!$A:$D,2,FALSE)</f>
        <v>polygon</v>
      </c>
      <c r="H4" s="7">
        <f>VLOOKUP($B4,gacha_types!$A:$D,3,FALSE)</f>
        <v>5</v>
      </c>
    </row>
    <row r="5" spans="1:8" ht="56">
      <c r="A5" s="8">
        <v>105</v>
      </c>
      <c r="B5" s="2">
        <v>100</v>
      </c>
      <c r="C5" s="2">
        <v>3</v>
      </c>
      <c r="D5" s="24" t="s">
        <v>57</v>
      </c>
      <c r="E5" s="27" t="str">
        <f t="shared" si="1"/>
        <v>GachaTop_105.png</v>
      </c>
      <c r="F5" s="2" t="s">
        <v>54</v>
      </c>
      <c r="G5" s="7" t="str">
        <f>VLOOKUP($B5,gacha_types!$A:$D,2,FALSE)</f>
        <v>polygon</v>
      </c>
      <c r="H5" s="7">
        <f>VLOOKUP($B5,gacha_types!$A:$D,3,FALSE)</f>
        <v>5</v>
      </c>
    </row>
    <row r="6" spans="1:8" ht="56">
      <c r="A6" s="8">
        <v>106</v>
      </c>
      <c r="B6" s="2">
        <v>100</v>
      </c>
      <c r="C6" s="2">
        <v>3</v>
      </c>
      <c r="D6" s="24" t="s">
        <v>57</v>
      </c>
      <c r="E6" s="27" t="str">
        <f t="shared" ref="E6" si="2">"GachaTop_"&amp;A6&amp;".png"</f>
        <v>GachaTop_106.png</v>
      </c>
      <c r="F6" s="2" t="s">
        <v>55</v>
      </c>
      <c r="G6" s="7" t="str">
        <f>VLOOKUP($B6,gacha_types!$A:$D,2,FALSE)</f>
        <v>polygon</v>
      </c>
      <c r="H6" s="7">
        <f>VLOOKUP($B6,gacha_types!$A:$D,3,FALSE)</f>
        <v>5</v>
      </c>
    </row>
    <row r="7" spans="1:8" ht="42">
      <c r="A7" s="8">
        <v>107</v>
      </c>
      <c r="B7" s="2">
        <v>100</v>
      </c>
      <c r="C7" s="2">
        <v>3</v>
      </c>
      <c r="D7" s="24" t="s">
        <v>41</v>
      </c>
      <c r="E7" s="27" t="str">
        <f t="shared" ref="E7:E8" si="3">"GachaTop_"&amp;A7&amp;".png"</f>
        <v>GachaTop_107.png</v>
      </c>
      <c r="F7" s="2" t="s">
        <v>67</v>
      </c>
      <c r="G7" s="7" t="str">
        <f>VLOOKUP($B7,gacha_types!$A:$D,2,FALSE)</f>
        <v>polygon</v>
      </c>
      <c r="H7" s="7">
        <f>VLOOKUP($B7,gacha_types!$A:$D,3,FALSE)</f>
        <v>5</v>
      </c>
    </row>
    <row r="8" spans="1:8" ht="28">
      <c r="A8" s="8">
        <v>108</v>
      </c>
      <c r="B8" s="2">
        <v>100</v>
      </c>
      <c r="C8" s="2">
        <v>3</v>
      </c>
      <c r="D8" s="24" t="s">
        <v>66</v>
      </c>
      <c r="E8" s="27" t="str">
        <f t="shared" si="3"/>
        <v>GachaTop_108.png</v>
      </c>
      <c r="F8" s="2" t="s">
        <v>56</v>
      </c>
      <c r="G8" s="7" t="str">
        <f>VLOOKUP($B8,gacha_types!$A:$D,2,FALSE)</f>
        <v>polygon</v>
      </c>
      <c r="H8" s="7">
        <f>VLOOKUP($B8,gacha_types!$A:$D,3,FALSE)</f>
        <v>5</v>
      </c>
    </row>
    <row r="9" spans="1:8" ht="28">
      <c r="A9" s="8">
        <v>109</v>
      </c>
      <c r="B9" s="2">
        <v>100</v>
      </c>
      <c r="C9" s="2">
        <v>3</v>
      </c>
      <c r="D9" s="24" t="s">
        <v>66</v>
      </c>
      <c r="E9" s="27" t="str">
        <f t="shared" ref="E9" si="4">"GachaTop_"&amp;A9&amp;".png"</f>
        <v>GachaTop_109.png</v>
      </c>
      <c r="F9" s="2" t="s">
        <v>70</v>
      </c>
      <c r="G9" s="7" t="str">
        <f>VLOOKUP($B9,gacha_types!$A:$D,2,FALSE)</f>
        <v>polygon</v>
      </c>
      <c r="H9" s="7">
        <f>VLOOKUP($B9,gacha_types!$A:$D,3,FALSE)</f>
        <v>5</v>
      </c>
    </row>
    <row r="10" spans="1:8" ht="28">
      <c r="A10" s="8">
        <v>110</v>
      </c>
      <c r="B10" s="2">
        <v>100</v>
      </c>
      <c r="C10" s="2">
        <v>3</v>
      </c>
      <c r="D10" s="24" t="s">
        <v>66</v>
      </c>
      <c r="E10" s="27" t="str">
        <f>"GachaTop_"&amp;A10&amp;".png"</f>
        <v>GachaTop_110.png</v>
      </c>
      <c r="F10" s="2" t="s">
        <v>71</v>
      </c>
      <c r="G10" s="7" t="str">
        <f>VLOOKUP($B10,gacha_types!$A:$D,2,FALSE)</f>
        <v>polygon</v>
      </c>
      <c r="H10" s="7">
        <f>VLOOKUP($B10,gacha_types!$A:$D,3,FALSE)</f>
        <v>5</v>
      </c>
    </row>
    <row r="11" spans="1:8" ht="42">
      <c r="A11" s="8">
        <v>111</v>
      </c>
      <c r="B11" s="2">
        <v>100</v>
      </c>
      <c r="C11" s="2">
        <v>3</v>
      </c>
      <c r="D11" s="24" t="s">
        <v>65</v>
      </c>
      <c r="E11" s="27" t="str">
        <f>"GachaTop_"&amp;A11&amp;"_2.png"</f>
        <v>GachaTop_111_2.png</v>
      </c>
      <c r="F11" s="2" t="s">
        <v>62</v>
      </c>
      <c r="G11" s="7" t="str">
        <f>VLOOKUP($B11,gacha_types!$A:$D,2,FALSE)</f>
        <v>polygon</v>
      </c>
      <c r="H11" s="7">
        <f>VLOOKUP($B11,gacha_types!$A:$D,3,FALSE)</f>
        <v>5</v>
      </c>
    </row>
    <row r="12" spans="1:8" ht="42">
      <c r="A12" s="8">
        <v>112</v>
      </c>
      <c r="B12" s="2">
        <v>100</v>
      </c>
      <c r="C12" s="2">
        <v>3</v>
      </c>
      <c r="D12" s="24" t="s">
        <v>65</v>
      </c>
      <c r="E12" s="27" t="str">
        <f>"GachaTop_"&amp;A12&amp;"_2.png"</f>
        <v>GachaTop_112_2.png</v>
      </c>
      <c r="F12" s="2" t="s">
        <v>63</v>
      </c>
      <c r="G12" s="7" t="str">
        <f>VLOOKUP($B12,gacha_types!$A:$D,2,FALSE)</f>
        <v>polygon</v>
      </c>
      <c r="H12" s="7">
        <f>VLOOKUP($B12,gacha_types!$A:$D,3,FALSE)</f>
        <v>5</v>
      </c>
    </row>
    <row r="13" spans="1:8" ht="42">
      <c r="A13" s="8">
        <v>113</v>
      </c>
      <c r="B13" s="2">
        <v>100</v>
      </c>
      <c r="C13" s="2">
        <v>3</v>
      </c>
      <c r="D13" s="24" t="s">
        <v>65</v>
      </c>
      <c r="E13" s="27" t="str">
        <f>"GachaTop_"&amp;A13&amp;"_2.png"</f>
        <v>GachaTop_113_2.png</v>
      </c>
      <c r="F13" s="2" t="s">
        <v>64</v>
      </c>
      <c r="G13" s="7" t="str">
        <f>VLOOKUP($B13,gacha_types!$A:$D,2,FALSE)</f>
        <v>polygon</v>
      </c>
      <c r="H13" s="7">
        <f>VLOOKUP($B13,gacha_types!$A:$D,3,FALSE)</f>
        <v>5</v>
      </c>
    </row>
    <row r="14" spans="1:8" ht="42">
      <c r="A14" s="8">
        <v>114</v>
      </c>
      <c r="B14" s="2">
        <v>100</v>
      </c>
      <c r="C14" s="2">
        <v>3</v>
      </c>
      <c r="D14" s="24" t="s">
        <v>83</v>
      </c>
      <c r="E14" s="27" t="str">
        <f>"GachaTop_"&amp;A14&amp;".png"</f>
        <v>GachaTop_114.png</v>
      </c>
      <c r="F14" s="2" t="s">
        <v>82</v>
      </c>
      <c r="G14" s="7" t="str">
        <f>VLOOKUP($B14,gacha_types!$A:$D,2,FALSE)</f>
        <v>polygon</v>
      </c>
      <c r="H14" s="7">
        <f>VLOOKUP($B14,gacha_types!$A:$D,3,FALSE)</f>
        <v>5</v>
      </c>
    </row>
    <row r="15" spans="1:8" ht="28">
      <c r="A15" s="8">
        <v>115</v>
      </c>
      <c r="B15" s="2">
        <v>100</v>
      </c>
      <c r="C15" s="2">
        <v>1</v>
      </c>
      <c r="D15" s="24" t="s">
        <v>77</v>
      </c>
      <c r="E15" s="27" t="str">
        <f t="shared" ref="E15:E19" si="5">"GachaTop_"&amp;A15&amp;".png"</f>
        <v>GachaTop_115.png</v>
      </c>
      <c r="F15" s="2" t="s">
        <v>69</v>
      </c>
      <c r="G15" s="7" t="str">
        <f>VLOOKUP($B15,gacha_types!$A:$D,2,FALSE)</f>
        <v>polygon</v>
      </c>
      <c r="H15" s="7">
        <f>VLOOKUP($B15,gacha_types!$A:$D,3,FALSE)</f>
        <v>5</v>
      </c>
    </row>
    <row r="16" spans="1:8" ht="28">
      <c r="A16" s="8">
        <v>116</v>
      </c>
      <c r="B16" s="2">
        <v>100</v>
      </c>
      <c r="C16" s="2">
        <v>1</v>
      </c>
      <c r="D16" s="24" t="s">
        <v>77</v>
      </c>
      <c r="E16" s="27" t="str">
        <f t="shared" si="5"/>
        <v>GachaTop_116.png</v>
      </c>
      <c r="F16" s="2" t="s">
        <v>72</v>
      </c>
      <c r="G16" s="7" t="str">
        <f>VLOOKUP($B16,gacha_types!$A:$D,2,FALSE)</f>
        <v>polygon</v>
      </c>
      <c r="H16" s="7">
        <f>VLOOKUP($B16,gacha_types!$A:$D,3,FALSE)</f>
        <v>5</v>
      </c>
    </row>
    <row r="17" spans="1:8" ht="28">
      <c r="A17" s="8">
        <v>117</v>
      </c>
      <c r="B17" s="2">
        <v>100</v>
      </c>
      <c r="C17" s="2">
        <v>1</v>
      </c>
      <c r="D17" s="24" t="s">
        <v>77</v>
      </c>
      <c r="E17" s="27" t="str">
        <f>"GachaTop_"&amp;A17&amp;".png"</f>
        <v>GachaTop_117.png</v>
      </c>
      <c r="F17" s="2" t="s">
        <v>73</v>
      </c>
      <c r="G17" s="7" t="str">
        <f>VLOOKUP($B17,gacha_types!$A:$D,2,FALSE)</f>
        <v>polygon</v>
      </c>
      <c r="H17" s="7">
        <f>VLOOKUP($B17,gacha_types!$A:$D,3,FALSE)</f>
        <v>5</v>
      </c>
    </row>
    <row r="18" spans="1:8" ht="28">
      <c r="A18" s="8">
        <v>118</v>
      </c>
      <c r="B18" s="2">
        <v>100</v>
      </c>
      <c r="C18" s="2">
        <v>3</v>
      </c>
      <c r="D18" s="24" t="s">
        <v>84</v>
      </c>
      <c r="E18" s="27" t="str">
        <f t="shared" si="5"/>
        <v>GachaTop_118.png</v>
      </c>
      <c r="F18" s="2" t="s">
        <v>74</v>
      </c>
      <c r="G18" s="7" t="str">
        <f>VLOOKUP($B18,gacha_types!$A:$D,2,FALSE)</f>
        <v>polygon</v>
      </c>
      <c r="H18" s="7">
        <f>VLOOKUP($B18,gacha_types!$A:$D,3,FALSE)</f>
        <v>5</v>
      </c>
    </row>
    <row r="19" spans="1:8" ht="28">
      <c r="A19" s="8">
        <v>119</v>
      </c>
      <c r="B19" s="2">
        <v>100</v>
      </c>
      <c r="C19" s="2">
        <v>3</v>
      </c>
      <c r="D19" s="24" t="s">
        <v>84</v>
      </c>
      <c r="E19" s="27" t="str">
        <f t="shared" si="5"/>
        <v>GachaTop_119.png</v>
      </c>
      <c r="F19" s="2" t="s">
        <v>75</v>
      </c>
      <c r="G19" s="7" t="str">
        <f>VLOOKUP($B19,gacha_types!$A:$D,2,FALSE)</f>
        <v>polygon</v>
      </c>
      <c r="H19" s="7">
        <f>VLOOKUP($B19,gacha_types!$A:$D,3,FALSE)</f>
        <v>5</v>
      </c>
    </row>
    <row r="20" spans="1:8" ht="28">
      <c r="A20" s="8">
        <v>120</v>
      </c>
      <c r="B20" s="2">
        <v>100</v>
      </c>
      <c r="C20" s="2">
        <v>3</v>
      </c>
      <c r="D20" s="24" t="s">
        <v>84</v>
      </c>
      <c r="E20" s="27" t="str">
        <f>"GachaTop_"&amp;A20&amp;".png"</f>
        <v>GachaTop_120.png</v>
      </c>
      <c r="F20" s="2" t="s">
        <v>76</v>
      </c>
      <c r="G20" s="7" t="str">
        <f>VLOOKUP($B20,gacha_types!$A:$D,2,FALSE)</f>
        <v>polygon</v>
      </c>
      <c r="H20" s="7">
        <f>VLOOKUP($B20,gacha_types!$A:$D,3,FALSE)</f>
        <v>5</v>
      </c>
    </row>
    <row r="21" spans="1:8" ht="28">
      <c r="A21" s="8">
        <v>121</v>
      </c>
      <c r="B21" s="2">
        <v>100</v>
      </c>
      <c r="C21" s="2">
        <v>3</v>
      </c>
      <c r="D21" s="24" t="s">
        <v>85</v>
      </c>
      <c r="E21" s="27" t="str">
        <f t="shared" ref="E21" si="6">"GachaTop_"&amp;A21&amp;".png"</f>
        <v>GachaTop_121.png</v>
      </c>
      <c r="F21" s="2" t="s">
        <v>78</v>
      </c>
      <c r="G21" s="7" t="str">
        <f>VLOOKUP($B21,gacha_types!$A:$D,2,FALSE)</f>
        <v>polygon</v>
      </c>
      <c r="H21" s="7">
        <f>VLOOKUP($B21,gacha_types!$A:$D,3,FALSE)</f>
        <v>5</v>
      </c>
    </row>
    <row r="22" spans="1:8" ht="42">
      <c r="A22" s="8">
        <v>122</v>
      </c>
      <c r="B22" s="2">
        <v>100</v>
      </c>
      <c r="C22" s="2">
        <v>3</v>
      </c>
      <c r="D22" s="24" t="s">
        <v>83</v>
      </c>
      <c r="E22" s="27" t="str">
        <f>"GachaTop_"&amp;A22&amp;".png"</f>
        <v>GachaTop_122.png</v>
      </c>
      <c r="F22" s="2" t="s">
        <v>79</v>
      </c>
      <c r="G22" s="7" t="str">
        <f>VLOOKUP($B22,gacha_types!$A:$D,2,FALSE)</f>
        <v>polygon</v>
      </c>
      <c r="H22" s="7">
        <f>VLOOKUP($B22,gacha_types!$A:$D,3,FALSE)</f>
        <v>5</v>
      </c>
    </row>
    <row r="23" spans="1:8" ht="42">
      <c r="A23" s="8">
        <v>123</v>
      </c>
      <c r="B23" s="2">
        <v>100</v>
      </c>
      <c r="C23" s="2">
        <v>3</v>
      </c>
      <c r="D23" s="24" t="s">
        <v>83</v>
      </c>
      <c r="E23" s="27" t="str">
        <f>"GachaTop_"&amp;A23&amp;".png"</f>
        <v>GachaTop_123.png</v>
      </c>
      <c r="F23" s="2" t="s">
        <v>80</v>
      </c>
      <c r="G23" s="7" t="str">
        <f>VLOOKUP($B23,gacha_types!$A:$D,2,FALSE)</f>
        <v>polygon</v>
      </c>
      <c r="H23" s="7">
        <f>VLOOKUP($B23,gacha_types!$A:$D,3,FALSE)</f>
        <v>5</v>
      </c>
    </row>
    <row r="24" spans="1:8" ht="42">
      <c r="A24" s="8">
        <v>124</v>
      </c>
      <c r="B24" s="2">
        <v>100</v>
      </c>
      <c r="C24" s="2">
        <v>3</v>
      </c>
      <c r="D24" s="24" t="s">
        <v>41</v>
      </c>
      <c r="E24" s="27" t="str">
        <f t="shared" ref="E24" si="7">"GachaTop_"&amp;A24&amp;".png"</f>
        <v>GachaTop_124.png</v>
      </c>
      <c r="F24" s="2" t="s">
        <v>81</v>
      </c>
      <c r="G24" s="7" t="str">
        <f>VLOOKUP($B24,gacha_types!$A:$D,2,FALSE)</f>
        <v>polygon</v>
      </c>
      <c r="H24" s="7">
        <f>VLOOKUP($B24,gacha_types!$A:$D,3,FALSE)</f>
        <v>5</v>
      </c>
    </row>
    <row r="25" spans="1:8" ht="28">
      <c r="A25" s="8">
        <v>125</v>
      </c>
      <c r="B25" s="2">
        <v>100</v>
      </c>
      <c r="C25" s="2">
        <v>3</v>
      </c>
      <c r="D25" s="24" t="s">
        <v>85</v>
      </c>
      <c r="E25" s="27" t="str">
        <f t="shared" ref="E25" si="8">"GachaTop_"&amp;A25&amp;".png"</f>
        <v>GachaTop_125.png</v>
      </c>
      <c r="F25" s="2" t="s">
        <v>86</v>
      </c>
      <c r="G25" s="7" t="str">
        <f>VLOOKUP($B25,gacha_types!$A:$D,2,FALSE)</f>
        <v>polygon</v>
      </c>
      <c r="H25" s="7">
        <f>VLOOKUP($B25,gacha_types!$A:$D,3,FALSE)</f>
        <v>5</v>
      </c>
    </row>
    <row r="26" spans="1:8" ht="28">
      <c r="A26" s="8">
        <v>126</v>
      </c>
      <c r="B26" s="2">
        <v>100</v>
      </c>
      <c r="C26" s="2">
        <v>3</v>
      </c>
      <c r="D26" s="24" t="s">
        <v>85</v>
      </c>
      <c r="E26" s="27" t="str">
        <f t="shared" ref="E26:E28" si="9">"GachaTop_"&amp;A26&amp;".png"</f>
        <v>GachaTop_126.png</v>
      </c>
      <c r="F26" s="2" t="s">
        <v>87</v>
      </c>
      <c r="G26" s="7" t="str">
        <f>VLOOKUP($B26,gacha_types!$A:$D,2,FALSE)</f>
        <v>polygon</v>
      </c>
      <c r="H26" s="7">
        <f>VLOOKUP($B26,gacha_types!$A:$D,3,FALSE)</f>
        <v>5</v>
      </c>
    </row>
    <row r="27" spans="1:8" ht="28">
      <c r="A27" s="8">
        <v>127</v>
      </c>
      <c r="B27" s="2">
        <v>100</v>
      </c>
      <c r="C27" s="2">
        <v>3</v>
      </c>
      <c r="D27" s="24" t="s">
        <v>85</v>
      </c>
      <c r="E27" s="27" t="str">
        <f t="shared" si="9"/>
        <v>GachaTop_127.png</v>
      </c>
      <c r="F27" s="2" t="s">
        <v>88</v>
      </c>
      <c r="G27" s="7" t="str">
        <f>VLOOKUP($B27,gacha_types!$A:$D,2,FALSE)</f>
        <v>polygon</v>
      </c>
      <c r="H27" s="7">
        <f>VLOOKUP($B27,gacha_types!$A:$D,3,FALSE)</f>
        <v>5</v>
      </c>
    </row>
    <row r="28" spans="1:8" ht="28">
      <c r="A28" s="8">
        <v>128</v>
      </c>
      <c r="B28" s="2">
        <v>100</v>
      </c>
      <c r="C28" s="2">
        <v>3</v>
      </c>
      <c r="D28" s="24" t="s">
        <v>85</v>
      </c>
      <c r="E28" s="27" t="str">
        <f t="shared" si="9"/>
        <v>GachaTop_128.png</v>
      </c>
      <c r="F28" s="2" t="s">
        <v>89</v>
      </c>
      <c r="G28" s="7" t="str">
        <f>VLOOKUP($B28,gacha_types!$A:$D,2,FALSE)</f>
        <v>polygon</v>
      </c>
      <c r="H28" s="7">
        <f>VLOOKUP($B28,gacha_types!$A:$D,3,FALSE)</f>
        <v>5</v>
      </c>
    </row>
    <row r="29" spans="1:8" ht="28">
      <c r="A29" s="8">
        <v>129</v>
      </c>
      <c r="B29" s="2">
        <v>100</v>
      </c>
      <c r="C29" s="2">
        <v>3</v>
      </c>
      <c r="D29" s="24" t="s">
        <v>85</v>
      </c>
      <c r="E29" s="27" t="str">
        <f t="shared" ref="E29" si="10">"GachaTop_"&amp;A29&amp;".png"</f>
        <v>GachaTop_129.png</v>
      </c>
      <c r="F29" s="2" t="s">
        <v>90</v>
      </c>
      <c r="G29" s="7" t="str">
        <f>VLOOKUP($B29,gacha_types!$A:$D,2,FALSE)</f>
        <v>polygon</v>
      </c>
      <c r="H29" s="7">
        <f>VLOOKUP($B29,gacha_types!$A:$D,3,FALSE)</f>
        <v>5</v>
      </c>
    </row>
    <row r="30" spans="1:8" ht="42">
      <c r="A30" s="2">
        <v>200</v>
      </c>
      <c r="B30" s="2">
        <v>200</v>
      </c>
      <c r="C30" s="2">
        <v>3</v>
      </c>
      <c r="D30" s="25" t="s">
        <v>42</v>
      </c>
      <c r="E30" s="27" t="str">
        <f t="shared" si="0"/>
        <v>GachaTop_200.png</v>
      </c>
      <c r="F30" s="2" t="s">
        <v>44</v>
      </c>
      <c r="G30" s="6" t="str">
        <f>VLOOKUP($B30,gacha_types!$A:$D,2,FALSE)</f>
        <v>link</v>
      </c>
      <c r="H30" s="6">
        <f>VLOOKUP($B30,gacha_types!$A:$D,3,FALSE)</f>
        <v>100</v>
      </c>
    </row>
    <row r="31" spans="1:8" ht="42">
      <c r="A31" s="2">
        <v>201</v>
      </c>
      <c r="B31" s="2">
        <v>200</v>
      </c>
      <c r="C31" s="2">
        <v>3</v>
      </c>
      <c r="D31" s="25" t="s">
        <v>42</v>
      </c>
      <c r="E31" s="33" t="s">
        <v>61</v>
      </c>
      <c r="F31" s="2" t="s">
        <v>60</v>
      </c>
      <c r="G31" s="7" t="str">
        <f>VLOOKUP($B31,gacha_types!$A:$D,2,FALSE)</f>
        <v>link</v>
      </c>
      <c r="H31" s="7">
        <f>VLOOKUP($B31,gacha_types!$A:$D,3,FALSE)</f>
        <v>100</v>
      </c>
    </row>
  </sheetData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G35"/>
  <sheetViews>
    <sheetView showGridLines="0" workbookViewId="0">
      <selection activeCell="E9" sqref="E9"/>
    </sheetView>
  </sheetViews>
  <sheetFormatPr baseColWidth="12" defaultRowHeight="21" customHeight="1" outlineLevelCol="1" x14ac:dyDescent="0"/>
  <cols>
    <col min="1" max="1" width="14.85546875" style="1" bestFit="1" customWidth="1"/>
    <col min="2" max="2" width="7.42578125" style="1" bestFit="1" customWidth="1"/>
    <col min="3" max="4" width="16.140625" style="1" bestFit="1" customWidth="1" outlineLevel="1"/>
    <col min="5" max="5" width="24.42578125" style="1" bestFit="1" customWidth="1" outlineLevel="1"/>
    <col min="6" max="6" width="6.42578125" style="1" bestFit="1" customWidth="1"/>
    <col min="7" max="16384" width="12.7109375" style="1"/>
  </cols>
  <sheetData>
    <row r="1" spans="1:7" ht="21" customHeight="1">
      <c r="A1" s="5" t="s">
        <v>39</v>
      </c>
      <c r="B1" s="5" t="s">
        <v>20</v>
      </c>
      <c r="C1" s="4" t="s">
        <v>1</v>
      </c>
      <c r="D1" s="4" t="s">
        <v>2</v>
      </c>
      <c r="E1" s="4" t="s">
        <v>58</v>
      </c>
      <c r="F1" s="5" t="s">
        <v>3</v>
      </c>
    </row>
    <row r="2" spans="1:7" ht="21" customHeight="1">
      <c r="A2" s="9">
        <v>1010</v>
      </c>
      <c r="B2" s="9">
        <v>5010</v>
      </c>
      <c r="C2" s="10" t="str">
        <f ca="1">VLOOKUP($B2,OFFSET([1]periods!$A$3,0,0,COUNTA([1]periods!$A:$A),MATCH(C$1,[1]periods!$1:$1,0)-MATCH($B$1,[1]periods!$1:$1,0)+1),MATCH(C$1,[1]periods!$1:$1,0)-MATCH($B$1,[1]periods!$1:$1,0)+1,FALSE)</f>
        <v>2015-03-01 09:00:00</v>
      </c>
      <c r="D2" s="10" t="str">
        <f ca="1">VLOOKUP($B2,OFFSET([1]periods!$A$3,0,0,COUNTA([1]periods!$A:$A),MATCH(D$1,[1]periods!$1:$1,0)-MATCH($B$1,[1]periods!$1:$1,0)+1),MATCH(D$1,[1]periods!$1:$1,0)-MATCH($B$1,[1]periods!$1:$1,0)+1,FALSE)</f>
        <v>2015-08-28 14:59:59</v>
      </c>
      <c r="E2" s="10" t="str">
        <f ca="1">VLOOKUP($B2,OFFSET([1]periods!$A$3,0,0,COUNTA([1]periods!$A:$A),MATCH(E$1,[1]periods!$1:$1,0)-MATCH($B$1,[1]periods!$1:$1,0)+1),MATCH(E$1,[1]periods!$1:$1,0)-MATCH($B$1,[1]periods!$1:$1,0)+1,FALSE)</f>
        <v>９月１日まで　</v>
      </c>
      <c r="F2" s="2">
        <v>50</v>
      </c>
    </row>
    <row r="3" spans="1:7" ht="21" customHeight="1">
      <c r="A3" s="9">
        <v>1011</v>
      </c>
      <c r="B3" s="9">
        <v>5011</v>
      </c>
      <c r="C3" s="10" t="str">
        <f ca="1">VLOOKUP($B3,OFFSET([1]periods!$A$3,0,0,COUNTA([1]periods!$A:$A),MATCH(C$1,[1]periods!$1:$1,0)-MATCH($B$1,[1]periods!$1:$1,0)+1),MATCH(C$1,[1]periods!$1:$1,0)-MATCH($B$1,[1]periods!$1:$1,0)+1,FALSE)</f>
        <v>2500-08-20 15:00:00</v>
      </c>
      <c r="D3" s="10" t="str">
        <f ca="1">VLOOKUP($B3,OFFSET([1]periods!$A$3,0,0,COUNTA([1]periods!$A:$A),MATCH(D$1,[1]periods!$1:$1,0)-MATCH($B$1,[1]periods!$1:$1,0)+1),MATCH(D$1,[1]periods!$1:$1,0)-MATCH($B$1,[1]periods!$1:$1,0)+1,FALSE)</f>
        <v>2500-08-25 14:59:59</v>
      </c>
      <c r="E3" s="10" t="str">
        <f ca="1">VLOOKUP($B3,OFFSET([1]periods!$A$3,0,0,COUNTA([1]periods!$A:$A),MATCH(E$1,[1]periods!$1:$1,0)-MATCH($B$1,[1]periods!$1:$1,0)+1),MATCH(E$1,[1]periods!$1:$1,0)-MATCH($B$1,[1]periods!$1:$1,0)+1,FALSE)</f>
        <v>リンクガチャキャンペーン　5日間</v>
      </c>
      <c r="F3" s="2">
        <v>100</v>
      </c>
    </row>
    <row r="4" spans="1:7" ht="21" customHeight="1">
      <c r="A4" s="9">
        <v>1020</v>
      </c>
      <c r="B4" s="9">
        <v>5020</v>
      </c>
      <c r="C4" s="10" t="str">
        <f ca="1">VLOOKUP($B4,OFFSET([1]periods!$A$3,0,0,COUNTA([1]periods!$A:$A),MATCH(C$1,[1]periods!$1:$1,0)-MATCH($B$1,[1]periods!$1:$1,0)+1),MATCH(C$1,[1]periods!$1:$1,0)-MATCH($B$1,[1]periods!$1:$1,0)+1,FALSE)</f>
        <v>2015-09-02 15:00:00</v>
      </c>
      <c r="D4" s="10" t="str">
        <f ca="1">VLOOKUP($B4,OFFSET([1]periods!$A$3,0,0,COUNTA([1]periods!$A:$A),MATCH(D$1,[1]periods!$1:$1,0)-MATCH($B$1,[1]periods!$1:$1,0)+1),MATCH(D$1,[1]periods!$1:$1,0)-MATCH($B$1,[1]periods!$1:$1,0)+1,FALSE)</f>
        <v>2015-09-11 14:59:59</v>
      </c>
      <c r="E4" s="10" t="str">
        <f ca="1">VLOOKUP($B4,OFFSET([1]periods!$A$3,0,0,COUNTA([1]periods!$A:$A),MATCH(E$1,[1]periods!$1:$1,0)-MATCH($B$1,[1]periods!$1:$1,0)+1),MATCH(E$1,[1]periods!$1:$1,0)-MATCH($B$1,[1]periods!$1:$1,0)+1,FALSE)</f>
        <v>９月１日から　新規ガチャ２追加</v>
      </c>
      <c r="F4" s="2">
        <v>50</v>
      </c>
    </row>
    <row r="5" spans="1:7" ht="21" customHeight="1">
      <c r="A5" s="9">
        <v>1021</v>
      </c>
      <c r="B5" s="9">
        <v>5021</v>
      </c>
      <c r="C5" s="10" t="str">
        <f ca="1">VLOOKUP($B5,OFFSET([1]periods!$A$3,0,0,COUNTA([1]periods!$A:$A),MATCH(C$1,[1]periods!$1:$1,0)-MATCH($B$1,[1]periods!$1:$1,0)+1),MATCH(C$1,[1]periods!$1:$1,0)-MATCH($B$1,[1]periods!$1:$1,0)+1,FALSE)</f>
        <v>2015-08-28 15:00:00</v>
      </c>
      <c r="D5" s="10" t="str">
        <f ca="1">VLOOKUP($B5,OFFSET([1]periods!$A$3,0,0,COUNTA([1]periods!$A:$A),MATCH(D$1,[1]periods!$1:$1,0)-MATCH($B$1,[1]periods!$1:$1,0)+1),MATCH(D$1,[1]periods!$1:$1,0)-MATCH($B$1,[1]periods!$1:$1,0)+1,FALSE)</f>
        <v>2015-09-02 14:59:59</v>
      </c>
      <c r="E5" s="10" t="str">
        <f ca="1">VLOOKUP($B5,OFFSET([1]periods!$A$3,0,0,COUNTA([1]periods!$A:$A),MATCH(E$1,[1]periods!$1:$1,0)-MATCH($B$1,[1]periods!$1:$1,0)+1),MATCH(E$1,[1]periods!$1:$1,0)-MATCH($B$1,[1]periods!$1:$1,0)+1,FALSE)</f>
        <v>レアガチャ確率アップ　5日間</v>
      </c>
      <c r="F5" s="2">
        <v>100</v>
      </c>
    </row>
    <row r="6" spans="1:7" ht="21" customHeight="1">
      <c r="A6" s="31">
        <v>1030</v>
      </c>
      <c r="B6" s="9">
        <v>5022</v>
      </c>
      <c r="C6" s="10" t="str">
        <f ca="1">VLOOKUP($B6,OFFSET([1]periods!$A$3,0,0,COUNTA([1]periods!$A:$A),MATCH(C$1,[1]periods!$1:$1,0)-MATCH($B$1,[1]periods!$1:$1,0)+1),MATCH(C$1,[1]periods!$1:$1,0)-MATCH($B$1,[1]periods!$1:$1,0)+1,FALSE)</f>
        <v>2015-09-11 15:00:00</v>
      </c>
      <c r="D6" s="10" t="str">
        <f ca="1">VLOOKUP($B6,OFFSET([1]periods!$A$3,0,0,COUNTA([1]periods!$A:$A),MATCH(D$1,[1]periods!$1:$1,0)-MATCH($B$1,[1]periods!$1:$1,0)+1),MATCH(D$1,[1]periods!$1:$1,0)-MATCH($B$1,[1]periods!$1:$1,0)+1,FALSE)</f>
        <v>2015-09-13 23:59:59</v>
      </c>
      <c r="E6" s="10" t="str">
        <f ca="1">VLOOKUP($B6,OFFSET([1]periods!$A$3,0,0,COUNTA([1]periods!$A:$A),MATCH(E$1,[1]periods!$1:$1,0)-MATCH($B$1,[1]periods!$1:$1,0)+1),MATCH(E$1,[1]periods!$1:$1,0)-MATCH($B$1,[1]periods!$1:$1,0)+1,FALSE)</f>
        <v>ピックアップ01　開始</v>
      </c>
      <c r="F6" s="2">
        <v>100</v>
      </c>
    </row>
    <row r="7" spans="1:7" ht="21" customHeight="1">
      <c r="A7" s="31">
        <v>1040</v>
      </c>
      <c r="B7" s="9">
        <v>5023</v>
      </c>
      <c r="C7" s="10" t="str">
        <f ca="1">VLOOKUP($B7,OFFSET([1]periods!$A$3,0,0,COUNTA([1]periods!$A:$A),MATCH(C$1,[1]periods!$1:$1,0)-MATCH($B$1,[1]periods!$1:$1,0)+1),MATCH(C$1,[1]periods!$1:$1,0)-MATCH($B$1,[1]periods!$1:$1,0)+1,FALSE)</f>
        <v>2015-09-14 00:00:00</v>
      </c>
      <c r="D7" s="10" t="str">
        <f ca="1">VLOOKUP($B7,OFFSET([1]periods!$A$3,0,0,COUNTA([1]periods!$A:$A),MATCH(D$1,[1]periods!$1:$1,0)-MATCH($B$1,[1]periods!$1:$1,0)+1),MATCH(D$1,[1]periods!$1:$1,0)-MATCH($B$1,[1]periods!$1:$1,0)+1,FALSE)</f>
        <v>2015-09-14 23:59:59</v>
      </c>
      <c r="E7" s="10" t="str">
        <f ca="1">VLOOKUP($B7,OFFSET([1]periods!$A$3,0,0,COUNTA([1]periods!$A:$A),MATCH(E$1,[1]periods!$1:$1,0)-MATCH($B$1,[1]periods!$1:$1,0)+1),MATCH(E$1,[1]periods!$1:$1,0)-MATCH($B$1,[1]periods!$1:$1,0)+1,FALSE)</f>
        <v>ピックアップ01　後少し</v>
      </c>
      <c r="F7" s="2">
        <v>100</v>
      </c>
    </row>
    <row r="8" spans="1:7" ht="21" customHeight="1">
      <c r="A8" s="31">
        <v>1050</v>
      </c>
      <c r="B8" s="9">
        <v>5024</v>
      </c>
      <c r="C8" s="10" t="str">
        <f ca="1">VLOOKUP($B8,OFFSET([1]periods!$A$3,0,0,COUNTA([1]periods!$A:$A),MATCH(C$1,[1]periods!$1:$1,0)-MATCH($B$1,[1]periods!$1:$1,0)+1),MATCH(C$1,[1]periods!$1:$1,0)-MATCH($B$1,[1]periods!$1:$1,0)+1,FALSE)</f>
        <v>2015-09-15 00:00:00</v>
      </c>
      <c r="D8" s="10" t="str">
        <f ca="1">VLOOKUP($B8,OFFSET([1]periods!$A$3,0,0,COUNTA([1]periods!$A:$A),MATCH(D$1,[1]periods!$1:$1,0)-MATCH($B$1,[1]periods!$1:$1,0)+1),MATCH(D$1,[1]periods!$1:$1,0)-MATCH($B$1,[1]periods!$1:$1,0)+1,FALSE)</f>
        <v>2015-09-15 14:59:59</v>
      </c>
      <c r="E8" s="10" t="str">
        <f ca="1">VLOOKUP($B8,OFFSET([1]periods!$A$3,0,0,COUNTA([1]periods!$A:$A),MATCH(E$1,[1]periods!$1:$1,0)-MATCH($B$1,[1]periods!$1:$1,0)+1),MATCH(E$1,[1]periods!$1:$1,0)-MATCH($B$1,[1]periods!$1:$1,0)+1,FALSE)</f>
        <v>ピックアップ01　後1日</v>
      </c>
      <c r="F8" s="2">
        <v>50</v>
      </c>
    </row>
    <row r="9" spans="1:7" ht="21" customHeight="1">
      <c r="A9" s="31">
        <v>1060</v>
      </c>
      <c r="B9" s="9">
        <v>5025</v>
      </c>
      <c r="C9" s="10" t="str">
        <f ca="1">VLOOKUP($B9,OFFSET([1]periods!$A$3,0,0,COUNTA([1]periods!$A:$A),MATCH(C$1,[1]periods!$1:$1,0)-MATCH($B$1,[1]periods!$1:$1,0)+1),MATCH(C$1,[1]periods!$1:$1,0)-MATCH($B$1,[1]periods!$1:$1,0)+1,FALSE)</f>
        <v>2015-09-15 15:00:00</v>
      </c>
      <c r="D9" s="10" t="str">
        <f ca="1">VLOOKUP($B9,OFFSET([1]periods!$A$3,0,0,COUNTA([1]periods!$A:$A),MATCH(D$1,[1]periods!$1:$1,0)-MATCH($B$1,[1]periods!$1:$1,0)+1),MATCH(D$1,[1]periods!$1:$1,0)-MATCH($B$1,[1]periods!$1:$1,0)+1,FALSE)</f>
        <v>2015-09-16 14:59:59</v>
      </c>
      <c r="E9" s="10" t="str">
        <f ca="1">VLOOKUP($B9,OFFSET([1]periods!$A$3,0,0,COUNTA([1]periods!$A:$A),MATCH(E$1,[1]periods!$1:$1,0)-MATCH($B$1,[1]periods!$1:$1,0)+1),MATCH(E$1,[1]periods!$1:$1,0)-MATCH($B$1,[1]periods!$1:$1,0)+1,FALSE)</f>
        <v>新ガチャ０２(大罪</v>
      </c>
      <c r="F9" s="2">
        <v>50</v>
      </c>
    </row>
    <row r="10" spans="1:7" ht="21" customHeight="1">
      <c r="A10" s="31">
        <v>1070</v>
      </c>
      <c r="B10" s="9">
        <v>5026</v>
      </c>
      <c r="C10" s="10" t="str">
        <f ca="1">VLOOKUP($B10,OFFSET([1]periods!$A$3,0,0,COUNTA([1]periods!$A:$A),MATCH(C$1,[1]periods!$1:$1,0)-MATCH($B$1,[1]periods!$1:$1,0)+1),MATCH(C$1,[1]periods!$1:$1,0)-MATCH($B$1,[1]periods!$1:$1,0)+1,FALSE)</f>
        <v>2015-09-16 15:00:00</v>
      </c>
      <c r="D10" s="10" t="str">
        <f ca="1">VLOOKUP($B10,OFFSET([1]periods!$A$3,0,0,COUNTA([1]periods!$A:$A),MATCH(D$1,[1]periods!$1:$1,0)-MATCH($B$1,[1]periods!$1:$1,0)+1),MATCH(D$1,[1]periods!$1:$1,0)-MATCH($B$1,[1]periods!$1:$1,0)+1,FALSE)</f>
        <v>2015-09-22 14:59:59</v>
      </c>
      <c r="E10" s="10" t="str">
        <f ca="1">VLOOKUP($B10,OFFSET([1]periods!$A$3,0,0,COUNTA([1]periods!$A:$A),MATCH(E$1,[1]periods!$1:$1,0)-MATCH($B$1,[1]periods!$1:$1,0)+1),MATCH(E$1,[1]periods!$1:$1,0)-MATCH($B$1,[1]periods!$1:$1,0)+1,FALSE)</f>
        <v>新ガチャ０３（新撰組</v>
      </c>
      <c r="F10" s="2">
        <v>100</v>
      </c>
    </row>
    <row r="11" spans="1:7" ht="21" customHeight="1">
      <c r="A11" s="31">
        <v>1080</v>
      </c>
      <c r="B11" s="9">
        <v>5027</v>
      </c>
      <c r="C11" s="10" t="str">
        <f ca="1">VLOOKUP($B11,OFFSET([1]periods!$A$3,0,0,COUNTA([1]periods!$A:$A),MATCH(C$1,[1]periods!$1:$1,0)-MATCH($B$1,[1]periods!$1:$1,0)+1),MATCH(C$1,[1]periods!$1:$1,0)-MATCH($B$1,[1]periods!$1:$1,0)+1,FALSE)</f>
        <v>2015-09-26 15:00:00</v>
      </c>
      <c r="D11" s="10" t="str">
        <f ca="1">VLOOKUP($B11,OFFSET([1]periods!$A$3,0,0,COUNTA([1]periods!$A:$A),MATCH(D$1,[1]periods!$1:$1,0)-MATCH($B$1,[1]periods!$1:$1,0)+1),MATCH(D$1,[1]periods!$1:$1,0)-MATCH($B$1,[1]periods!$1:$1,0)+1,FALSE)</f>
        <v>2015-09-26 23:59:59</v>
      </c>
      <c r="E11" s="10" t="str">
        <f ca="1">VLOOKUP($B11,OFFSET([1]periods!$A$3,0,0,COUNTA([1]periods!$A:$A),MATCH(E$1,[1]periods!$1:$1,0)-MATCH($B$1,[1]periods!$1:$1,0)+1),MATCH(E$1,[1]periods!$1:$1,0)-MATCH($B$1,[1]periods!$1:$1,0)+1,FALSE)</f>
        <v>レッド01　開始</v>
      </c>
      <c r="F11" s="2">
        <v>100</v>
      </c>
    </row>
    <row r="12" spans="1:7" ht="21" customHeight="1">
      <c r="A12" s="31">
        <v>1090</v>
      </c>
      <c r="B12" s="9">
        <v>5028</v>
      </c>
      <c r="C12" s="10" t="str">
        <f ca="1">VLOOKUP($B12,OFFSET([1]periods!$A$3,0,0,COUNTA([1]periods!$A:$A),MATCH(C$1,[1]periods!$1:$1,0)-MATCH($B$1,[1]periods!$1:$1,0)+1),MATCH(C$1,[1]periods!$1:$1,0)-MATCH($B$1,[1]periods!$1:$1,0)+1,FALSE)</f>
        <v>2015-09-27 00:00:00</v>
      </c>
      <c r="D12" s="10" t="str">
        <f ca="1">VLOOKUP($B12,OFFSET([1]periods!$A$3,0,0,COUNTA([1]periods!$A:$A),MATCH(D$1,[1]periods!$1:$1,0)-MATCH($B$1,[1]periods!$1:$1,0)+1),MATCH(D$1,[1]periods!$1:$1,0)-MATCH($B$1,[1]periods!$1:$1,0)+1,FALSE)</f>
        <v>2015-09-27 23:59:59</v>
      </c>
      <c r="E12" s="10" t="str">
        <f ca="1">VLOOKUP($B12,OFFSET([1]periods!$A$3,0,0,COUNTA([1]periods!$A:$A),MATCH(E$1,[1]periods!$1:$1,0)-MATCH($B$1,[1]periods!$1:$1,0)+1),MATCH(E$1,[1]periods!$1:$1,0)-MATCH($B$1,[1]periods!$1:$1,0)+1,FALSE)</f>
        <v>レッド01　あと少し</v>
      </c>
      <c r="F12" s="2">
        <v>100</v>
      </c>
    </row>
    <row r="13" spans="1:7" ht="21" customHeight="1">
      <c r="A13" s="31">
        <v>1100</v>
      </c>
      <c r="B13" s="9">
        <v>5033</v>
      </c>
      <c r="C13" s="10" t="str">
        <f ca="1">VLOOKUP($B13,OFFSET([1]periods!$A$3,0,0,COUNTA([1]periods!$A:$A),MATCH(C$1,[1]periods!$1:$1,0)-MATCH($B$1,[1]periods!$1:$1,0)+1),MATCH(C$1,[1]periods!$1:$1,0)-MATCH($B$1,[1]periods!$1:$1,0)+1,FALSE)</f>
        <v>2015-09-28 00:00:00</v>
      </c>
      <c r="D13" s="10" t="str">
        <f ca="1">VLOOKUP($B13,OFFSET([1]periods!$A$3,0,0,COUNTA([1]periods!$A:$A),MATCH(D$1,[1]periods!$1:$1,0)-MATCH($B$1,[1]periods!$1:$1,0)+1),MATCH(D$1,[1]periods!$1:$1,0)-MATCH($B$1,[1]periods!$1:$1,0)+1,FALSE)</f>
        <v>2015-09-28 14:59:59</v>
      </c>
      <c r="E13" s="10" t="str">
        <f ca="1">VLOOKUP($B13,OFFSET([1]periods!$A$3,0,0,COUNTA([1]periods!$A:$A),MATCH(E$1,[1]periods!$1:$1,0)-MATCH($B$1,[1]periods!$1:$1,0)+1),MATCH(E$1,[1]periods!$1:$1,0)-MATCH($B$1,[1]periods!$1:$1,0)+1,FALSE)</f>
        <v>レッド01　後1日</v>
      </c>
      <c r="F13" s="2">
        <v>100</v>
      </c>
    </row>
    <row r="14" spans="1:7" ht="21" customHeight="1">
      <c r="A14" s="31">
        <v>1110</v>
      </c>
      <c r="B14" s="9">
        <v>5030</v>
      </c>
      <c r="C14" s="10" t="str">
        <f ca="1">VLOOKUP($B14,OFFSET([1]periods!$A$3,0,0,COUNTA([1]periods!$A:$A),MATCH(C$1,[1]periods!$1:$1,0)-MATCH($B$1,[1]periods!$1:$1,0)+1),MATCH(C$1,[1]periods!$1:$1,0)-MATCH($B$1,[1]periods!$1:$1,0)+1,FALSE)</f>
        <v>2015-09-22 15:00:00</v>
      </c>
      <c r="D14" s="10" t="str">
        <f ca="1">VLOOKUP($B14,OFFSET([1]periods!$A$3,0,0,COUNTA([1]periods!$A:$A),MATCH(D$1,[1]periods!$1:$1,0)-MATCH($B$1,[1]periods!$1:$1,0)+1),MATCH(D$1,[1]periods!$1:$1,0)-MATCH($B$1,[1]periods!$1:$1,0)+1,FALSE)</f>
        <v>2015-09-23 23:59:59</v>
      </c>
      <c r="E14" s="10" t="str">
        <f ca="1">VLOOKUP($B14,OFFSET([1]periods!$A$3,0,0,COUNTA([1]periods!$A:$A),MATCH(E$1,[1]periods!$1:$1,0)-MATCH($B$1,[1]periods!$1:$1,0)+1),MATCH(E$1,[1]periods!$1:$1,0)-MATCH($B$1,[1]periods!$1:$1,0)+1,FALSE)</f>
        <v>ピックアップ02(沖田)　開始</v>
      </c>
      <c r="F14" s="2">
        <v>100</v>
      </c>
      <c r="G14" s="29"/>
    </row>
    <row r="15" spans="1:7" ht="21" customHeight="1">
      <c r="A15" s="31">
        <v>1120</v>
      </c>
      <c r="B15" s="9">
        <v>5031</v>
      </c>
      <c r="C15" s="10" t="str">
        <f ca="1">VLOOKUP($B15,OFFSET([1]periods!$A$3,0,0,COUNTA([1]periods!$A:$A),MATCH(C$1,[1]periods!$1:$1,0)-MATCH($B$1,[1]periods!$1:$1,0)+1),MATCH(C$1,[1]periods!$1:$1,0)-MATCH($B$1,[1]periods!$1:$1,0)+1,FALSE)</f>
        <v>2015-09-24 00:00:00</v>
      </c>
      <c r="D15" s="10" t="str">
        <f ca="1">VLOOKUP($B15,OFFSET([1]periods!$A$3,0,0,COUNTA([1]periods!$A:$A),MATCH(D$1,[1]periods!$1:$1,0)-MATCH($B$1,[1]periods!$1:$1,0)+1),MATCH(D$1,[1]periods!$1:$1,0)-MATCH($B$1,[1]periods!$1:$1,0)+1,FALSE)</f>
        <v>2015-09-24 23:59:59</v>
      </c>
      <c r="E15" s="10" t="str">
        <f ca="1">VLOOKUP($B15,OFFSET([1]periods!$A$3,0,0,COUNTA([1]periods!$A:$A),MATCH(E$1,[1]periods!$1:$1,0)-MATCH($B$1,[1]periods!$1:$1,0)+1),MATCH(E$1,[1]periods!$1:$1,0)-MATCH($B$1,[1]periods!$1:$1,0)+1,FALSE)</f>
        <v>ピックアップ02(沖田)　後少し</v>
      </c>
      <c r="F15" s="2">
        <v>100</v>
      </c>
    </row>
    <row r="16" spans="1:7" ht="21" customHeight="1">
      <c r="A16" s="31">
        <v>1130</v>
      </c>
      <c r="B16" s="9">
        <v>5032</v>
      </c>
      <c r="C16" s="10" t="str">
        <f ca="1">VLOOKUP($B16,OFFSET([1]periods!$A$3,0,0,COUNTA([1]periods!$A:$A),MATCH(C$1,[1]periods!$1:$1,0)-MATCH($B$1,[1]periods!$1:$1,0)+1),MATCH(C$1,[1]periods!$1:$1,0)-MATCH($B$1,[1]periods!$1:$1,0)+1,FALSE)</f>
        <v>2015-09-25 00:00:00</v>
      </c>
      <c r="D16" s="10" t="str">
        <f ca="1">VLOOKUP($B16,OFFSET([1]periods!$A$3,0,0,COUNTA([1]periods!$A:$A),MATCH(D$1,[1]periods!$1:$1,0)-MATCH($B$1,[1]periods!$1:$1,0)+1),MATCH(D$1,[1]periods!$1:$1,0)-MATCH($B$1,[1]periods!$1:$1,0)+1,FALSE)</f>
        <v>2015-09-25 14:59:59</v>
      </c>
      <c r="E16" s="10" t="str">
        <f ca="1">VLOOKUP($B16,OFFSET([1]periods!$A$3,0,0,COUNTA([1]periods!$A:$A),MATCH(E$1,[1]periods!$1:$1,0)-MATCH($B$1,[1]periods!$1:$1,0)+1),MATCH(E$1,[1]periods!$1:$1,0)-MATCH($B$1,[1]periods!$1:$1,0)+1,FALSE)</f>
        <v>ピックアップ02(沖田)　後1日</v>
      </c>
      <c r="F16" s="2">
        <v>100</v>
      </c>
    </row>
    <row r="17" spans="1:6" ht="21" customHeight="1">
      <c r="A17" s="31">
        <v>1131</v>
      </c>
      <c r="B17" s="9">
        <v>5034</v>
      </c>
      <c r="C17" s="10" t="str">
        <f ca="1">VLOOKUP($B17,OFFSET([1]periods!$A$3,0,0,COUNTA([1]periods!$A:$A),MATCH(C$1,[1]periods!$1:$1,0)-MATCH($B$1,[1]periods!$1:$1,0)+1),MATCH(C$1,[1]periods!$1:$1,0)-MATCH($B$1,[1]periods!$1:$1,0)+1,FALSE)</f>
        <v>2015-09-25 15:00:00</v>
      </c>
      <c r="D17" s="10" t="str">
        <f ca="1">VLOOKUP($B17,OFFSET([1]periods!$A$3,0,0,COUNTA([1]periods!$A:$A),MATCH(D$1,[1]periods!$1:$1,0)-MATCH($B$1,[1]periods!$1:$1,0)+1),MATCH(D$1,[1]periods!$1:$1,0)-MATCH($B$1,[1]periods!$1:$1,0)+1,FALSE)</f>
        <v>2015-09-26 14:59:59</v>
      </c>
      <c r="E17" s="10" t="str">
        <f ca="1">VLOOKUP($B17,OFFSET([1]periods!$A$3,0,0,COUNTA([1]periods!$A:$A),MATCH(E$1,[1]periods!$1:$1,0)-MATCH($B$1,[1]periods!$1:$1,0)+1),MATCH(E$1,[1]periods!$1:$1,0)-MATCH($B$1,[1]periods!$1:$1,0)+1,FALSE)</f>
        <v>新ガチャ０３（新撰組)ピックアップ後用</v>
      </c>
      <c r="F17" s="2">
        <v>50</v>
      </c>
    </row>
    <row r="18" spans="1:6" ht="21" customHeight="1">
      <c r="A18" s="31">
        <v>1132</v>
      </c>
      <c r="B18" s="9">
        <v>5029</v>
      </c>
      <c r="C18" s="10" t="str">
        <f ca="1">VLOOKUP($B18,OFFSET([1]periods!$A$3,0,0,COUNTA([1]periods!$A:$A),MATCH(C$1,[1]periods!$1:$1,0)-MATCH($B$1,[1]periods!$1:$1,0)+1),MATCH(C$1,[1]periods!$1:$1,0)-MATCH($B$1,[1]periods!$1:$1,0)+1,FALSE)</f>
        <v>2015-09-28 15:00:00</v>
      </c>
      <c r="D18" s="10" t="str">
        <f ca="1">VLOOKUP($B18,OFFSET([1]periods!$A$3,0,0,COUNTA([1]periods!$A:$A),MATCH(D$1,[1]periods!$1:$1,0)-MATCH($B$1,[1]periods!$1:$1,0)+1),MATCH(D$1,[1]periods!$1:$1,0)-MATCH($B$1,[1]periods!$1:$1,0)+1,FALSE)</f>
        <v>2015-09-30 14:59:59</v>
      </c>
      <c r="E18" s="10" t="str">
        <f ca="1">VLOOKUP($B18,OFFSET([1]periods!$A$3,0,0,COUNTA([1]periods!$A:$A),MATCH(E$1,[1]periods!$1:$1,0)-MATCH($B$1,[1]periods!$1:$1,0)+1),MATCH(E$1,[1]periods!$1:$1,0)-MATCH($B$1,[1]periods!$1:$1,0)+1,FALSE)</f>
        <v>新ガチャ０３（新撰組）レッド０１後用</v>
      </c>
      <c r="F18" s="2">
        <v>50</v>
      </c>
    </row>
    <row r="19" spans="1:6" ht="21" customHeight="1">
      <c r="A19" s="31">
        <v>1140</v>
      </c>
      <c r="B19" s="9">
        <v>5035</v>
      </c>
      <c r="C19" s="10" t="str">
        <f ca="1">VLOOKUP($B19,OFFSET([1]periods!$A$3,0,0,COUNTA([1]periods!$A:$A),MATCH(C$1,[1]periods!$1:$1,0)-MATCH($B$1,[1]periods!$1:$1,0)+1),MATCH(C$1,[1]periods!$1:$1,0)-MATCH($B$1,[1]periods!$1:$1,0)+1,FALSE)</f>
        <v>2015-09-30 15:00:00</v>
      </c>
      <c r="D19" s="10" t="str">
        <f ca="1">VLOOKUP($B19,OFFSET([1]periods!$A$3,0,0,COUNTA([1]periods!$A:$A),MATCH(D$1,[1]periods!$1:$1,0)-MATCH($B$1,[1]periods!$1:$1,0)+1),MATCH(D$1,[1]periods!$1:$1,0)-MATCH($B$1,[1]periods!$1:$1,0)+1,FALSE)</f>
        <v>2015-10-03 23:59:59</v>
      </c>
      <c r="E19" s="10" t="str">
        <f ca="1">VLOOKUP($B19,OFFSET([1]periods!$A$3,0,0,COUNTA([1]periods!$A:$A),MATCH(E$1,[1]periods!$1:$1,0)-MATCH($B$1,[1]periods!$1:$1,0)+1),MATCH(E$1,[1]periods!$1:$1,0)-MATCH($B$1,[1]periods!$1:$1,0)+1,FALSE)</f>
        <v>新ガチャ０4（ドラゴン)確率アップ</v>
      </c>
      <c r="F19" s="2">
        <v>100</v>
      </c>
    </row>
    <row r="20" spans="1:6" ht="21" customHeight="1">
      <c r="A20" s="31">
        <v>1141</v>
      </c>
      <c r="B20" s="9">
        <v>5036</v>
      </c>
      <c r="C20" s="10" t="str">
        <f ca="1">VLOOKUP($B20,OFFSET([1]periods!$A$3,0,0,COUNTA([1]periods!$A:$A),MATCH(C$1,[1]periods!$1:$1,0)-MATCH($B$1,[1]periods!$1:$1,0)+1),MATCH(C$1,[1]periods!$1:$1,0)-MATCH($B$1,[1]periods!$1:$1,0)+1,FALSE)</f>
        <v>2015-10-05 15:00:00</v>
      </c>
      <c r="D20" s="10" t="str">
        <f ca="1">VLOOKUP($B20,OFFSET([1]periods!$A$3,0,0,COUNTA([1]periods!$A:$A),MATCH(D$1,[1]periods!$1:$1,0)-MATCH($B$1,[1]periods!$1:$1,0)+1),MATCH(D$1,[1]periods!$1:$1,0)-MATCH($B$1,[1]periods!$1:$1,0)+1,FALSE)</f>
        <v>2015-10-05 23:59:59</v>
      </c>
      <c r="E20" s="10" t="str">
        <f ca="1">VLOOKUP($B20,OFFSET([1]periods!$A$3,0,0,COUNTA([1]periods!$A:$A),MATCH(E$1,[1]periods!$1:$1,0)-MATCH($B$1,[1]periods!$1:$1,0)+1),MATCH(E$1,[1]periods!$1:$1,0)-MATCH($B$1,[1]periods!$1:$1,0)+1,FALSE)</f>
        <v>緑ガチャ０1　開始</v>
      </c>
      <c r="F20" s="2">
        <v>100</v>
      </c>
    </row>
    <row r="21" spans="1:6" ht="21" customHeight="1">
      <c r="A21" s="31">
        <v>1142</v>
      </c>
      <c r="B21" s="9">
        <v>5037</v>
      </c>
      <c r="C21" s="10" t="str">
        <f ca="1">VLOOKUP($B21,OFFSET([1]periods!$A$3,0,0,COUNTA([1]periods!$A:$A),MATCH(C$1,[1]periods!$1:$1,0)-MATCH($B$1,[1]periods!$1:$1,0)+1),MATCH(C$1,[1]periods!$1:$1,0)-MATCH($B$1,[1]periods!$1:$1,0)+1,FALSE)</f>
        <v>2015-10-06 00:00:00</v>
      </c>
      <c r="D21" s="10" t="str">
        <f ca="1">VLOOKUP($B21,OFFSET([1]periods!$A$3,0,0,COUNTA([1]periods!$A:$A),MATCH(D$1,[1]periods!$1:$1,0)-MATCH($B$1,[1]periods!$1:$1,0)+1),MATCH(D$1,[1]periods!$1:$1,0)-MATCH($B$1,[1]periods!$1:$1,0)+1,FALSE)</f>
        <v>2015-10-06 23:59:59</v>
      </c>
      <c r="E21" s="10" t="str">
        <f ca="1">VLOOKUP($B21,OFFSET([1]periods!$A$3,0,0,COUNTA([1]periods!$A:$A),MATCH(E$1,[1]periods!$1:$1,0)-MATCH($B$1,[1]periods!$1:$1,0)+1),MATCH(E$1,[1]periods!$1:$1,0)-MATCH($B$1,[1]periods!$1:$1,0)+1,FALSE)</f>
        <v>緑ガチャ０1　あと少し</v>
      </c>
      <c r="F21" s="2">
        <v>100</v>
      </c>
    </row>
    <row r="22" spans="1:6" ht="21" customHeight="1">
      <c r="A22" s="31">
        <v>1143</v>
      </c>
      <c r="B22" s="9">
        <v>5038</v>
      </c>
      <c r="C22" s="10" t="str">
        <f ca="1">VLOOKUP($B22,OFFSET([1]periods!$A$3,0,0,COUNTA([1]periods!$A:$A),MATCH(C$1,[1]periods!$1:$1,0)-MATCH($B$1,[1]periods!$1:$1,0)+1),MATCH(C$1,[1]periods!$1:$1,0)-MATCH($B$1,[1]periods!$1:$1,0)+1,FALSE)</f>
        <v>2015-10-07 00:00:00</v>
      </c>
      <c r="D22" s="10" t="str">
        <f ca="1">VLOOKUP($B22,OFFSET([1]periods!$A$3,0,0,COUNTA([1]periods!$A:$A),MATCH(D$1,[1]periods!$1:$1,0)-MATCH($B$1,[1]periods!$1:$1,0)+1),MATCH(D$1,[1]periods!$1:$1,0)-MATCH($B$1,[1]periods!$1:$1,0)+1,FALSE)</f>
        <v>2015-10-07 14:59:59</v>
      </c>
      <c r="E22" s="10" t="str">
        <f ca="1">VLOOKUP($B22,OFFSET([1]periods!$A$3,0,0,COUNTA([1]periods!$A:$A),MATCH(E$1,[1]periods!$1:$1,0)-MATCH($B$1,[1]periods!$1:$1,0)+1),MATCH(E$1,[1]periods!$1:$1,0)-MATCH($B$1,[1]periods!$1:$1,0)+1,FALSE)</f>
        <v>緑ガチャ０1あと１日</v>
      </c>
      <c r="F22" s="2">
        <v>100</v>
      </c>
    </row>
    <row r="23" spans="1:6" ht="21" customHeight="1">
      <c r="A23" s="31">
        <v>1144</v>
      </c>
      <c r="B23" s="9">
        <v>5039</v>
      </c>
      <c r="C23" s="10" t="str">
        <f ca="1">VLOOKUP($B23,OFFSET([1]periods!$A$3,0,0,COUNTA([1]periods!$A:$A),MATCH(C$1,[1]periods!$1:$1,0)-MATCH($B$1,[1]periods!$1:$1,0)+1),MATCH(C$1,[1]periods!$1:$1,0)-MATCH($B$1,[1]periods!$1:$1,0)+1,FALSE)</f>
        <v>2015-10-08 15:00:00</v>
      </c>
      <c r="D23" s="10" t="str">
        <f ca="1">VLOOKUP($B23,OFFSET([1]periods!$A$3,0,0,COUNTA([1]periods!$A:$A),MATCH(D$1,[1]periods!$1:$1,0)-MATCH($B$1,[1]periods!$1:$1,0)+1),MATCH(D$1,[1]periods!$1:$1,0)-MATCH($B$1,[1]periods!$1:$1,0)+1,FALSE)</f>
        <v>2015-10-08 23:59:59</v>
      </c>
      <c r="E23" s="10" t="str">
        <f ca="1">VLOOKUP($B23,OFFSET([1]periods!$A$3,0,0,COUNTA([1]periods!$A:$A),MATCH(E$1,[1]periods!$1:$1,0)-MATCH($B$1,[1]periods!$1:$1,0)+1),MATCH(E$1,[1]periods!$1:$1,0)-MATCH($B$1,[1]periods!$1:$1,0)+1,FALSE)</f>
        <v>赤ガチャ０２　開始</v>
      </c>
      <c r="F23" s="2">
        <v>100</v>
      </c>
    </row>
    <row r="24" spans="1:6" ht="21" customHeight="1">
      <c r="A24" s="31">
        <v>1145</v>
      </c>
      <c r="B24" s="9">
        <v>5047</v>
      </c>
      <c r="C24" s="10" t="str">
        <f ca="1">VLOOKUP($B24,OFFSET([1]periods!$A$3,0,0,COUNTA([1]periods!$A:$A),MATCH(C$1,[1]periods!$1:$1,0)-MATCH($B$1,[1]periods!$1:$1,0)+1),MATCH(C$1,[1]periods!$1:$1,0)-MATCH($B$1,[1]periods!$1:$1,0)+1,FALSE)</f>
        <v>2015-10-09 00:00:00</v>
      </c>
      <c r="D24" s="10" t="str">
        <f ca="1">VLOOKUP($B24,OFFSET([1]periods!$A$3,0,0,COUNTA([1]periods!$A:$A),MATCH(D$1,[1]periods!$1:$1,0)-MATCH($B$1,[1]periods!$1:$1,0)+1),MATCH(D$1,[1]periods!$1:$1,0)-MATCH($B$1,[1]periods!$1:$1,0)+1,FALSE)</f>
        <v>2015-10-09 23:59:59</v>
      </c>
      <c r="E24" s="10" t="str">
        <f ca="1">VLOOKUP($B24,OFFSET([1]periods!$A$3,0,0,COUNTA([1]periods!$A:$A),MATCH(E$1,[1]periods!$1:$1,0)-MATCH($B$1,[1]periods!$1:$1,0)+1),MATCH(E$1,[1]periods!$1:$1,0)-MATCH($B$1,[1]periods!$1:$1,0)+1,FALSE)</f>
        <v>赤ガチャ０2　あと少し</v>
      </c>
      <c r="F24" s="2">
        <v>100</v>
      </c>
    </row>
    <row r="25" spans="1:6" ht="21" customHeight="1">
      <c r="A25" s="31">
        <v>1146</v>
      </c>
      <c r="B25" s="9">
        <v>5048</v>
      </c>
      <c r="C25" s="10" t="str">
        <f ca="1">VLOOKUP($B25,OFFSET([1]periods!$A$3,0,0,COUNTA([1]periods!$A:$A),MATCH(C$1,[1]periods!$1:$1,0)-MATCH($B$1,[1]periods!$1:$1,0)+1),MATCH(C$1,[1]periods!$1:$1,0)-MATCH($B$1,[1]periods!$1:$1,0)+1,FALSE)</f>
        <v>2015-10-10 00:00:00</v>
      </c>
      <c r="D25" s="10" t="str">
        <f ca="1">VLOOKUP($B25,OFFSET([1]periods!$A$3,0,0,COUNTA([1]periods!$A:$A),MATCH(D$1,[1]periods!$1:$1,0)-MATCH($B$1,[1]periods!$1:$1,0)+1),MATCH(D$1,[1]periods!$1:$1,0)-MATCH($B$1,[1]periods!$1:$1,0)+1,FALSE)</f>
        <v>2015-10-10 14:59:59</v>
      </c>
      <c r="E25" s="10" t="str">
        <f ca="1">VLOOKUP($B25,OFFSET([1]periods!$A$3,0,0,COUNTA([1]periods!$A:$A),MATCH(E$1,[1]periods!$1:$1,0)-MATCH($B$1,[1]periods!$1:$1,0)+1),MATCH(E$1,[1]periods!$1:$1,0)-MATCH($B$1,[1]periods!$1:$1,0)+1,FALSE)</f>
        <v>赤ガチャ０2あと１日</v>
      </c>
      <c r="F25" s="2">
        <v>100</v>
      </c>
    </row>
    <row r="26" spans="1:6" ht="21" customHeight="1">
      <c r="A26" s="31">
        <v>1150</v>
      </c>
      <c r="B26" s="9">
        <v>5040</v>
      </c>
      <c r="C26" s="10" t="str">
        <f ca="1">VLOOKUP($B26,OFFSET([1]periods!$A$3,0,0,COUNTA([1]periods!$A:$A),MATCH(C$1,[1]periods!$1:$1,0)-MATCH($B$1,[1]periods!$1:$1,0)+1),MATCH(C$1,[1]periods!$1:$1,0)-MATCH($B$1,[1]periods!$1:$1,0)+1,FALSE)</f>
        <v>2015-10-10 15:00:00</v>
      </c>
      <c r="D26" s="10" t="str">
        <f ca="1">VLOOKUP($B26,OFFSET([1]periods!$A$3,0,0,COUNTA([1]periods!$A:$A),MATCH(D$1,[1]periods!$1:$1,0)-MATCH($B$1,[1]periods!$1:$1,0)+1),MATCH(D$1,[1]periods!$1:$1,0)-MATCH($B$1,[1]periods!$1:$1,0)+1,FALSE)</f>
        <v>2015-10-11 23:59:59</v>
      </c>
      <c r="E26" s="10" t="str">
        <f ca="1">VLOOKUP($B26,OFFSET([1]periods!$A$3,0,0,COUNTA([1]periods!$A:$A),MATCH(E$1,[1]periods!$1:$1,0)-MATCH($B$1,[1]periods!$1:$1,0)+1),MATCH(E$1,[1]periods!$1:$1,0)-MATCH($B$1,[1]periods!$1:$1,0)+1,FALSE)</f>
        <v>青ガチャ０1　開始</v>
      </c>
      <c r="F26" s="2">
        <v>100</v>
      </c>
    </row>
    <row r="27" spans="1:6" ht="21" customHeight="1">
      <c r="A27" s="31">
        <v>1160</v>
      </c>
      <c r="B27" s="9">
        <v>5041</v>
      </c>
      <c r="C27" s="10" t="str">
        <f ca="1">VLOOKUP($B27,OFFSET([1]periods!$A$3,0,0,COUNTA([1]periods!$A:$A),MATCH(C$1,[1]periods!$1:$1,0)-MATCH($B$1,[1]periods!$1:$1,0)+1),MATCH(C$1,[1]periods!$1:$1,0)-MATCH($B$1,[1]periods!$1:$1,0)+1,FALSE)</f>
        <v>2015-10-12 00:00:00</v>
      </c>
      <c r="D27" s="10" t="str">
        <f ca="1">VLOOKUP($B27,OFFSET([1]periods!$A$3,0,0,COUNTA([1]periods!$A:$A),MATCH(D$1,[1]periods!$1:$1,0)-MATCH($B$1,[1]periods!$1:$1,0)+1),MATCH(D$1,[1]periods!$1:$1,0)-MATCH($B$1,[1]periods!$1:$1,0)+1,FALSE)</f>
        <v>2015-10-12 23:59:59</v>
      </c>
      <c r="E27" s="10" t="str">
        <f ca="1">VLOOKUP($B27,OFFSET([1]periods!$A$3,0,0,COUNTA([1]periods!$A:$A),MATCH(E$1,[1]periods!$1:$1,0)-MATCH($B$1,[1]periods!$1:$1,0)+1),MATCH(E$1,[1]periods!$1:$1,0)-MATCH($B$1,[1]periods!$1:$1,0)+1,FALSE)</f>
        <v>青ガチャ０1　あと少し</v>
      </c>
      <c r="F27" s="2">
        <v>100</v>
      </c>
    </row>
    <row r="28" spans="1:6" ht="21" customHeight="1">
      <c r="A28" s="31">
        <v>1170</v>
      </c>
      <c r="B28" s="9">
        <v>5042</v>
      </c>
      <c r="C28" s="10" t="str">
        <f ca="1">VLOOKUP($B28,OFFSET([1]periods!$A$3,0,0,COUNTA([1]periods!$A:$A),MATCH(C$1,[1]periods!$1:$1,0)-MATCH($B$1,[1]periods!$1:$1,0)+1),MATCH(C$1,[1]periods!$1:$1,0)-MATCH($B$1,[1]periods!$1:$1,0)+1,FALSE)</f>
        <v>2015-10-13 00:00:00</v>
      </c>
      <c r="D28" s="10" t="str">
        <f ca="1">VLOOKUP($B28,OFFSET([1]periods!$A$3,0,0,COUNTA([1]periods!$A:$A),MATCH(D$1,[1]periods!$1:$1,0)-MATCH($B$1,[1]periods!$1:$1,0)+1),MATCH(D$1,[1]periods!$1:$1,0)-MATCH($B$1,[1]periods!$1:$1,0)+1,FALSE)</f>
        <v>2015-10-13 14:59:59</v>
      </c>
      <c r="E28" s="10" t="str">
        <f ca="1">VLOOKUP($B28,OFFSET([1]periods!$A$3,0,0,COUNTA([1]periods!$A:$A),MATCH(E$1,[1]periods!$1:$1,0)-MATCH($B$1,[1]periods!$1:$1,0)+1),MATCH(E$1,[1]periods!$1:$1,0)-MATCH($B$1,[1]periods!$1:$1,0)+1,FALSE)</f>
        <v>青ガチャ０1あと１日</v>
      </c>
      <c r="F28" s="2">
        <v>100</v>
      </c>
    </row>
    <row r="29" spans="1:6" ht="21" customHeight="1">
      <c r="A29" s="31">
        <v>1171</v>
      </c>
      <c r="B29" s="9">
        <v>5043</v>
      </c>
      <c r="C29" s="10" t="str">
        <f ca="1">VLOOKUP($B29,OFFSET([1]periods!$A$3,0,0,COUNTA([1]periods!$A:$A),MATCH(C$1,[1]periods!$1:$1,0)-MATCH($B$1,[1]periods!$1:$1,0)+1),MATCH(C$1,[1]periods!$1:$1,0)-MATCH($B$1,[1]periods!$1:$1,0)+1,FALSE)</f>
        <v>2015-10-12 15:00:00</v>
      </c>
      <c r="D29" s="10" t="str">
        <f ca="1">VLOOKUP($B29,OFFSET([1]periods!$A$3,0,0,COUNTA([1]periods!$A:$A),MATCH(D$1,[1]periods!$1:$1,0)-MATCH($B$1,[1]periods!$1:$1,0)+1),MATCH(D$1,[1]periods!$1:$1,0)-MATCH($B$1,[1]periods!$1:$1,0)+1,FALSE)</f>
        <v>2100-01-01 14:59:59</v>
      </c>
      <c r="E29" s="10" t="str">
        <f ca="1">VLOOKUP($B29,OFFSET([1]periods!$A$3,0,0,COUNTA([1]periods!$A:$A),MATCH(E$1,[1]periods!$1:$1,0)-MATCH($B$1,[1]periods!$1:$1,0)+1),MATCH(E$1,[1]periods!$1:$1,0)-MATCH($B$1,[1]periods!$1:$1,0)+1,FALSE)</f>
        <v>新ガチャ０4（ドラゴン)青ガチャ後用</v>
      </c>
      <c r="F29" s="2">
        <v>100</v>
      </c>
    </row>
    <row r="30" spans="1:6" ht="21" customHeight="1">
      <c r="A30" s="31">
        <v>1172</v>
      </c>
      <c r="B30" s="9">
        <v>5044</v>
      </c>
      <c r="C30" s="10" t="str">
        <f ca="1">VLOOKUP($B30,OFFSET([1]periods!$A$3,0,0,COUNTA([1]periods!$A:$A),MATCH(C$1,[1]periods!$1:$1,0)-MATCH($B$1,[1]periods!$1:$1,0)+1),MATCH(C$1,[1]periods!$1:$1,0)-MATCH($B$1,[1]periods!$1:$1,0)+1,FALSE)</f>
        <v>2015-10-04 00:00:00</v>
      </c>
      <c r="D30" s="10" t="str">
        <f ca="1">VLOOKUP($B30,OFFSET([1]periods!$A$3,0,0,COUNTA([1]periods!$A:$A),MATCH(D$1,[1]periods!$1:$1,0)-MATCH($B$1,[1]periods!$1:$1,0)+1),MATCH(D$1,[1]periods!$1:$1,0)-MATCH($B$1,[1]periods!$1:$1,0)+1,FALSE)</f>
        <v>2015-10-04 23:59:59</v>
      </c>
      <c r="E30" s="10" t="str">
        <f ca="1">VLOOKUP($B30,OFFSET([1]periods!$A$3,0,0,COUNTA([1]periods!$A:$A),MATCH(E$1,[1]periods!$1:$1,0)-MATCH($B$1,[1]periods!$1:$1,0)+1),MATCH(E$1,[1]periods!$1:$1,0)-MATCH($B$1,[1]periods!$1:$1,0)+1,FALSE)</f>
        <v>新ガチャ０4（ドラゴン)あと少し</v>
      </c>
      <c r="F30" s="2">
        <v>100</v>
      </c>
    </row>
    <row r="31" spans="1:6" ht="21" customHeight="1">
      <c r="A31" s="31">
        <v>1173</v>
      </c>
      <c r="B31" s="9">
        <v>5045</v>
      </c>
      <c r="C31" s="10" t="str">
        <f ca="1">VLOOKUP($B31,OFFSET([1]periods!$A$3,0,0,COUNTA([1]periods!$A:$A),MATCH(C$1,[1]periods!$1:$1,0)-MATCH($B$1,[1]periods!$1:$1,0)+1),MATCH(C$1,[1]periods!$1:$1,0)-MATCH($B$1,[1]periods!$1:$1,0)+1,FALSE)</f>
        <v>2015-10-05 00:00:00</v>
      </c>
      <c r="D31" s="10" t="str">
        <f ca="1">VLOOKUP($B31,OFFSET([1]periods!$A$3,0,0,COUNTA([1]periods!$A:$A),MATCH(D$1,[1]periods!$1:$1,0)-MATCH($B$1,[1]periods!$1:$1,0)+1),MATCH(D$1,[1]periods!$1:$1,0)-MATCH($B$1,[1]periods!$1:$1,0)+1,FALSE)</f>
        <v>2015-10-05 14:59:59</v>
      </c>
      <c r="E31" s="10" t="str">
        <f ca="1">VLOOKUP($B31,OFFSET([1]periods!$A$3,0,0,COUNTA([1]periods!$A:$A),MATCH(E$1,[1]periods!$1:$1,0)-MATCH($B$1,[1]periods!$1:$1,0)+1),MATCH(E$1,[1]periods!$1:$1,0)-MATCH($B$1,[1]periods!$1:$1,0)+1,FALSE)</f>
        <v>新ガチャ０4（ドラゴン)最終日</v>
      </c>
      <c r="F31" s="2">
        <v>100</v>
      </c>
    </row>
    <row r="32" spans="1:6" ht="21" customHeight="1">
      <c r="A32" s="31">
        <v>1174</v>
      </c>
      <c r="B32" s="9">
        <v>5046</v>
      </c>
      <c r="C32" s="10" t="str">
        <f ca="1">VLOOKUP($B32,OFFSET([1]periods!$A$3,0,0,COUNTA([1]periods!$A:$A),MATCH(C$1,[1]periods!$1:$1,0)-MATCH($B$1,[1]periods!$1:$1,0)+1),MATCH(C$1,[1]periods!$1:$1,0)-MATCH($B$1,[1]periods!$1:$1,0)+1,FALSE)</f>
        <v>2015-10-07 15:00:00</v>
      </c>
      <c r="D32" s="10" t="str">
        <f ca="1">VLOOKUP($B32,OFFSET([1]periods!$A$3,0,0,COUNTA([1]periods!$A:$A),MATCH(D$1,[1]periods!$1:$1,0)-MATCH($B$1,[1]periods!$1:$1,0)+1),MATCH(D$1,[1]periods!$1:$1,0)-MATCH($B$1,[1]periods!$1:$1,0)+1,FALSE)</f>
        <v>2015-10-08 14:59:59</v>
      </c>
      <c r="E32" s="10" t="str">
        <f ca="1">VLOOKUP($B32,OFFSET([1]periods!$A$3,0,0,COUNTA([1]periods!$A:$A),MATCH(E$1,[1]periods!$1:$1,0)-MATCH($B$1,[1]periods!$1:$1,0)+1),MATCH(E$1,[1]periods!$1:$1,0)-MATCH($B$1,[1]periods!$1:$1,0)+1,FALSE)</f>
        <v>新ガチャ０4（ドラゴン)通常</v>
      </c>
      <c r="F32" s="2">
        <v>100</v>
      </c>
    </row>
    <row r="33" spans="1:6" ht="21" customHeight="1">
      <c r="A33" s="31">
        <v>1180</v>
      </c>
      <c r="B33" s="9">
        <v>5049</v>
      </c>
      <c r="C33" s="10" t="str">
        <f ca="1">VLOOKUP($B33,OFFSET([1]periods!$A$3,0,0,COUNTA([1]periods!$A:$A),MATCH(C$1,[1]periods!$1:$1,0)-MATCH($B$1,[1]periods!$1:$1,0)+1),MATCH(C$1,[1]periods!$1:$1,0)-MATCH($B$1,[1]periods!$1:$1,0)+1,FALSE)</f>
        <v>2015-10-13 15:00:00</v>
      </c>
      <c r="D33" s="10" t="str">
        <f ca="1">VLOOKUP($B33,OFFSET([1]periods!$A$3,0,0,COUNTA([1]periods!$A:$A),MATCH(D$1,[1]periods!$1:$1,0)-MATCH($B$1,[1]periods!$1:$1,0)+1),MATCH(D$1,[1]periods!$1:$1,0)-MATCH($B$1,[1]periods!$1:$1,0)+1,FALSE)</f>
        <v>2015-10-14 23:59:59</v>
      </c>
      <c r="E33" s="10" t="str">
        <f ca="1">VLOOKUP($B33,OFFSET([1]periods!$A$3,0,0,COUNTA([1]periods!$A:$A),MATCH(E$1,[1]periods!$1:$1,0)-MATCH($B$1,[1]periods!$1:$1,0)+1),MATCH(E$1,[1]periods!$1:$1,0)-MATCH($B$1,[1]periods!$1:$1,0)+1,FALSE)</f>
        <v>黄ガチャ01 開始</v>
      </c>
      <c r="F33" s="2">
        <v>100</v>
      </c>
    </row>
    <row r="34" spans="1:6" ht="21" customHeight="1">
      <c r="A34" s="31">
        <v>1181</v>
      </c>
      <c r="B34" s="9">
        <v>5050</v>
      </c>
      <c r="C34" s="10" t="str">
        <f ca="1">VLOOKUP($B34,OFFSET([1]periods!$A$3,0,0,COUNTA([1]periods!$A:$A),MATCH(C$1,[1]periods!$1:$1,0)-MATCH($B$1,[1]periods!$1:$1,0)+1),MATCH(C$1,[1]periods!$1:$1,0)-MATCH($B$1,[1]periods!$1:$1,0)+1,FALSE)</f>
        <v>2015-10-15 00:00:00</v>
      </c>
      <c r="D34" s="10" t="str">
        <f ca="1">VLOOKUP($B34,OFFSET([1]periods!$A$3,0,0,COUNTA([1]periods!$A:$A),MATCH(D$1,[1]periods!$1:$1,0)-MATCH($B$1,[1]periods!$1:$1,0)+1),MATCH(D$1,[1]periods!$1:$1,0)-MATCH($B$1,[1]periods!$1:$1,0)+1,FALSE)</f>
        <v>2015-10-15 23:59:59</v>
      </c>
      <c r="E34" s="10" t="str">
        <f ca="1">VLOOKUP($B34,OFFSET([1]periods!$A$3,0,0,COUNTA([1]periods!$A:$A),MATCH(E$1,[1]periods!$1:$1,0)-MATCH($B$1,[1]periods!$1:$1,0)+1),MATCH(E$1,[1]periods!$1:$1,0)-MATCH($B$1,[1]periods!$1:$1,0)+1,FALSE)</f>
        <v>黄ガチャ01あと少し</v>
      </c>
      <c r="F34" s="2">
        <v>100</v>
      </c>
    </row>
    <row r="35" spans="1:6" ht="21" customHeight="1">
      <c r="A35" s="31">
        <v>1182</v>
      </c>
      <c r="B35" s="9">
        <v>5051</v>
      </c>
      <c r="C35" s="10" t="str">
        <f ca="1">VLOOKUP($B35,OFFSET([1]periods!$A$3,0,0,COUNTA([1]periods!$A:$A),MATCH(C$1,[1]periods!$1:$1,0)-MATCH($B$1,[1]periods!$1:$1,0)+1),MATCH(C$1,[1]periods!$1:$1,0)-MATCH($B$1,[1]periods!$1:$1,0)+1,FALSE)</f>
        <v>2015-10-16 00:00:00</v>
      </c>
      <c r="D35" s="10" t="str">
        <f ca="1">VLOOKUP($B35,OFFSET([1]periods!$A$3,0,0,COUNTA([1]periods!$A:$A),MATCH(D$1,[1]periods!$1:$1,0)-MATCH($B$1,[1]periods!$1:$1,0)+1),MATCH(D$1,[1]periods!$1:$1,0)-MATCH($B$1,[1]periods!$1:$1,0)+1,FALSE)</f>
        <v>2015-10-16 14:59:59</v>
      </c>
      <c r="E35" s="10" t="str">
        <f ca="1">VLOOKUP($B35,OFFSET([1]periods!$A$3,0,0,COUNTA([1]periods!$A:$A),MATCH(E$1,[1]periods!$1:$1,0)-MATCH($B$1,[1]periods!$1:$1,0)+1),MATCH(E$1,[1]periods!$1:$1,0)-MATCH($B$1,[1]periods!$1:$1,0)+1,FALSE)</f>
        <v>黄ガチャ01 最終日</v>
      </c>
      <c r="F35" s="2">
        <v>100</v>
      </c>
    </row>
  </sheetData>
  <phoneticPr fontId="7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K65"/>
  <sheetViews>
    <sheetView showGridLines="0" workbookViewId="0">
      <selection activeCell="E67" sqref="E67"/>
    </sheetView>
  </sheetViews>
  <sheetFormatPr baseColWidth="12" defaultRowHeight="21" customHeight="1" outlineLevelCol="1" x14ac:dyDescent="0"/>
  <cols>
    <col min="1" max="1" width="10.42578125" style="12" bestFit="1" customWidth="1"/>
    <col min="2" max="2" width="14.85546875" style="1" bestFit="1" customWidth="1"/>
    <col min="3" max="3" width="7.28515625" style="1" bestFit="1" customWidth="1"/>
    <col min="4" max="4" width="27" style="1" bestFit="1" customWidth="1" outlineLevel="1"/>
    <col min="5" max="5" width="5.28515625" style="1" bestFit="1" customWidth="1"/>
    <col min="6" max="7" width="16.140625" style="1" bestFit="1" customWidth="1"/>
    <col min="8" max="8" width="23.7109375" style="1" bestFit="1" customWidth="1"/>
    <col min="9" max="9" width="6.42578125" style="1" bestFit="1" customWidth="1"/>
    <col min="10" max="10" width="11" style="1" bestFit="1" customWidth="1"/>
    <col min="11" max="11" width="8.28515625" style="1" bestFit="1" customWidth="1"/>
    <col min="12" max="16384" width="12.7109375" style="1"/>
  </cols>
  <sheetData>
    <row r="1" spans="1:11" ht="21" customHeight="1">
      <c r="A1" s="12" t="s">
        <v>22</v>
      </c>
      <c r="B1" s="5" t="s">
        <v>39</v>
      </c>
      <c r="C1" s="5" t="s">
        <v>9</v>
      </c>
      <c r="D1" s="4" t="s">
        <v>8</v>
      </c>
      <c r="E1" s="5" t="s">
        <v>10</v>
      </c>
      <c r="F1" s="4" t="s">
        <v>23</v>
      </c>
      <c r="G1" s="4" t="s">
        <v>24</v>
      </c>
      <c r="H1" s="4" t="s">
        <v>59</v>
      </c>
      <c r="I1" s="4" t="s">
        <v>3</v>
      </c>
      <c r="J1" s="4" t="s">
        <v>30</v>
      </c>
      <c r="K1" s="4" t="s">
        <v>6</v>
      </c>
    </row>
    <row r="2" spans="1:11" ht="21" customHeight="1">
      <c r="A2" s="12" t="str">
        <f t="shared" ref="A2:A5" si="0">B2&amp;"_"&amp;C2</f>
        <v>1020_103</v>
      </c>
      <c r="B2" s="9">
        <v>1020</v>
      </c>
      <c r="C2" s="2">
        <v>103</v>
      </c>
      <c r="D2" s="26" t="str">
        <f ca="1">VLOOKUP($C2,OFFSET(gachas!$A$1,0,0,COUNTA(gachas!$A:$A),MATCH(D$1,gachas!$1:$1,0)-MATCH($C$1,gachas!$1:$1,0)+1),MATCH(D$1,gachas!$1:$1,0)-MATCH($C$1,gachas!$1:$1,0)+1,FALSE)</f>
        <v>レアガチャ（追加02）（大罪）</v>
      </c>
      <c r="E2" s="2">
        <v>1</v>
      </c>
      <c r="F2" s="10" t="str">
        <f ca="1">VLOOKUP($B2,OFFSET(gacha_schedules!$A$1,0,0,COUNTA(gacha_schedules!$A:$A),MATCH(F$1,gacha_schedules!$1:$1,0)-MATCH($B$1,gacha_schedules!$1:$1,0)+1),MATCH(F$1,gacha_schedules!$1:$1,0)-MATCH($B$1,gacha_schedules!$1:$1,0)+1,FALSE)</f>
        <v>2015-09-02 15:00:00</v>
      </c>
      <c r="G2" s="10" t="str">
        <f ca="1">VLOOKUP($B2,OFFSET(gacha_schedules!$A$1,0,0,COUNTA(gacha_schedules!$A:$A),MATCH(G$1,gacha_schedules!$1:$1,0)-MATCH($B$1,gacha_schedules!$1:$1,0)+1),MATCH(G$1,gacha_schedules!$1:$1,0)-MATCH($B$1,gacha_schedules!$1:$1,0)+1,FALSE)</f>
        <v>2015-09-11 14:59:59</v>
      </c>
      <c r="H2" s="10" t="str">
        <f ca="1">VLOOKUP($B2,OFFSET(gacha_schedules!$A$1,0,0,COUNTA(gacha_schedules!$A:$A),MATCH(H$1,gacha_schedules!$1:$1,0)-MATCH($B$1,gacha_schedules!$1:$1,0)+1),MATCH(H$1,gacha_schedules!$1:$1,0)-MATCH($B$1,gacha_schedules!$1:$1,0)+1,FALSE)</f>
        <v>９月１日から　新規ガチャ２追加</v>
      </c>
      <c r="I2" s="26">
        <f ca="1">VLOOKUP($B2,OFFSET(gacha_schedules!$A$1,0,0,COUNTA(gacha_schedules!$A:$A),MATCH(I$1,gacha_schedules!$1:$1,0)-MATCH($B$1,gacha_schedules!$1:$1,0)+1),MATCH(I$1,gacha_schedules!$1:$1,0)-MATCH($B$1,gacha_schedules!$1:$1,0)+1,FALSE)</f>
        <v>50</v>
      </c>
      <c r="J2" s="26" t="str">
        <f ca="1">VLOOKUP($C2,OFFSET(gachas!$A$1,0,0,COUNTA(gachas!$A:$A),MATCH(J$1,gachas!$1:$1,0)-MATCH($C$1,gachas!$1:$1,0)+1),MATCH(J$1,gachas!$1:$1,0)-MATCH($C$1,gachas!$1:$1,0)+1,FALSE)</f>
        <v>polygon</v>
      </c>
      <c r="K2" s="26">
        <f ca="1">VLOOKUP($C2,OFFSET(gachas!$A$1,0,0,COUNTA(gachas!$A:$A),MATCH(K$1,gachas!$1:$1,0)-MATCH($C$1,gachas!$1:$1,0)+1),MATCH(K$1,gachas!$1:$1,0)-MATCH($C$1,gachas!$1:$1,0)+1,FALSE)</f>
        <v>5</v>
      </c>
    </row>
    <row r="3" spans="1:11" ht="21" customHeight="1">
      <c r="A3" s="12" t="str">
        <f t="shared" si="0"/>
        <v>1020_200</v>
      </c>
      <c r="B3" s="9">
        <v>1020</v>
      </c>
      <c r="C3" s="2">
        <v>200</v>
      </c>
      <c r="D3" s="26" t="str">
        <f ca="1">VLOOKUP($C3,OFFSET(gachas!$A$1,0,0,COUNTA(gachas!$A:$A),MATCH(D$1,gachas!$1:$1,0)-MATCH($C$1,gachas!$1:$1,0)+1),MATCH(D$1,gachas!$1:$1,0)-MATCH($C$1,gachas!$1:$1,0)+1,FALSE)</f>
        <v>フレンドガチャ（常設）</v>
      </c>
      <c r="E3" s="2">
        <v>2</v>
      </c>
      <c r="F3" s="10" t="str">
        <f ca="1">VLOOKUP($B3,OFFSET(gacha_schedules!$A$1,0,0,COUNTA(gacha_schedules!$A:$A),MATCH(F$1,gacha_schedules!$1:$1,0)-MATCH($B$1,gacha_schedules!$1:$1,0)+1),MATCH(F$1,gacha_schedules!$1:$1,0)-MATCH($B$1,gacha_schedules!$1:$1,0)+1,FALSE)</f>
        <v>2015-09-02 15:00:00</v>
      </c>
      <c r="G3" s="10" t="str">
        <f ca="1">VLOOKUP($B3,OFFSET(gacha_schedules!$A$1,0,0,COUNTA(gacha_schedules!$A:$A),MATCH(G$1,gacha_schedules!$1:$1,0)-MATCH($B$1,gacha_schedules!$1:$1,0)+1),MATCH(G$1,gacha_schedules!$1:$1,0)-MATCH($B$1,gacha_schedules!$1:$1,0)+1,FALSE)</f>
        <v>2015-09-11 14:59:59</v>
      </c>
      <c r="H3" s="10" t="str">
        <f ca="1">VLOOKUP($B3,OFFSET(gacha_schedules!$A$1,0,0,COUNTA(gacha_schedules!$A:$A),MATCH(H$1,gacha_schedules!$1:$1,0)-MATCH($B$1,gacha_schedules!$1:$1,0)+1),MATCH(H$1,gacha_schedules!$1:$1,0)-MATCH($B$1,gacha_schedules!$1:$1,0)+1,FALSE)</f>
        <v>９月１日から　新規ガチャ２追加</v>
      </c>
      <c r="I3" s="26">
        <f ca="1">VLOOKUP($B3,OFFSET(gacha_schedules!$A$1,0,0,COUNTA(gacha_schedules!$A:$A),MATCH(I$1,gacha_schedules!$1:$1,0)-MATCH($B$1,gacha_schedules!$1:$1,0)+1),MATCH(I$1,gacha_schedules!$1:$1,0)-MATCH($B$1,gacha_schedules!$1:$1,0)+1,FALSE)</f>
        <v>50</v>
      </c>
      <c r="J3" s="26" t="str">
        <f ca="1">VLOOKUP($C3,OFFSET(gachas!$A$1,0,0,COUNTA(gachas!$A:$A),MATCH(J$1,gachas!$1:$1,0)-MATCH($C$1,gachas!$1:$1,0)+1),MATCH(J$1,gachas!$1:$1,0)-MATCH($C$1,gachas!$1:$1,0)+1,FALSE)</f>
        <v>link</v>
      </c>
      <c r="K3" s="26">
        <f ca="1">VLOOKUP($C3,OFFSET(gachas!$A$1,0,0,COUNTA(gachas!$A:$A),MATCH(K$1,gachas!$1:$1,0)-MATCH($C$1,gachas!$1:$1,0)+1),MATCH(K$1,gachas!$1:$1,0)-MATCH($C$1,gachas!$1:$1,0)+1,FALSE)</f>
        <v>100</v>
      </c>
    </row>
    <row r="4" spans="1:11" ht="21" customHeight="1">
      <c r="A4" s="12" t="str">
        <f t="shared" si="0"/>
        <v>1021_102</v>
      </c>
      <c r="B4" s="9">
        <v>1021</v>
      </c>
      <c r="C4" s="2">
        <v>102</v>
      </c>
      <c r="D4" s="26" t="str">
        <f ca="1">VLOOKUP($C4,OFFSET(gachas!$A$1,0,0,COUNTA(gachas!$A:$A),MATCH(D$1,gachas!$1:$1,0)-MATCH($C$1,gachas!$1:$1,0)+1),MATCH(D$1,gachas!$1:$1,0)-MATCH($C$1,gachas!$1:$1,0)+1,FALSE)</f>
        <v>レアガチャ（追加02 確率UP）</v>
      </c>
      <c r="E4" s="2">
        <v>1</v>
      </c>
      <c r="F4" s="10" t="str">
        <f ca="1">VLOOKUP($B4,OFFSET(gacha_schedules!$A$1,0,0,COUNTA(gacha_schedules!$A:$A),MATCH(F$1,gacha_schedules!$1:$1,0)-MATCH($B$1,gacha_schedules!$1:$1,0)+1),MATCH(F$1,gacha_schedules!$1:$1,0)-MATCH($B$1,gacha_schedules!$1:$1,0)+1,FALSE)</f>
        <v>2015-08-28 15:00:00</v>
      </c>
      <c r="G4" s="10" t="str">
        <f ca="1">VLOOKUP($B4,OFFSET(gacha_schedules!$A$1,0,0,COUNTA(gacha_schedules!$A:$A),MATCH(G$1,gacha_schedules!$1:$1,0)-MATCH($B$1,gacha_schedules!$1:$1,0)+1),MATCH(G$1,gacha_schedules!$1:$1,0)-MATCH($B$1,gacha_schedules!$1:$1,0)+1,FALSE)</f>
        <v>2015-09-02 14:59:59</v>
      </c>
      <c r="H4" s="10" t="str">
        <f ca="1">VLOOKUP($B4,OFFSET(gacha_schedules!$A$1,0,0,COUNTA(gacha_schedules!$A:$A),MATCH(H$1,gacha_schedules!$1:$1,0)-MATCH($B$1,gacha_schedules!$1:$1,0)+1),MATCH(H$1,gacha_schedules!$1:$1,0)-MATCH($B$1,gacha_schedules!$1:$1,0)+1,FALSE)</f>
        <v>レアガチャ確率アップ　5日間</v>
      </c>
      <c r="I4" s="26">
        <f ca="1">VLOOKUP($B4,OFFSET(gacha_schedules!$A$1,0,0,COUNTA(gacha_schedules!$A:$A),MATCH(I$1,gacha_schedules!$1:$1,0)-MATCH($B$1,gacha_schedules!$1:$1,0)+1),MATCH(I$1,gacha_schedules!$1:$1,0)-MATCH($B$1,gacha_schedules!$1:$1,0)+1,FALSE)</f>
        <v>100</v>
      </c>
      <c r="J4" s="26" t="str">
        <f ca="1">VLOOKUP($C4,OFFSET(gachas!$A$1,0,0,COUNTA(gachas!$A:$A),MATCH(J$1,gachas!$1:$1,0)-MATCH($C$1,gachas!$1:$1,0)+1),MATCH(J$1,gachas!$1:$1,0)-MATCH($C$1,gachas!$1:$1,0)+1,FALSE)</f>
        <v>polygon</v>
      </c>
      <c r="K4" s="26">
        <f ca="1">VLOOKUP($C4,OFFSET(gachas!$A$1,0,0,COUNTA(gachas!$A:$A),MATCH(K$1,gachas!$1:$1,0)-MATCH($C$1,gachas!$1:$1,0)+1),MATCH(K$1,gachas!$1:$1,0)-MATCH($C$1,gachas!$1:$1,0)+1,FALSE)</f>
        <v>5</v>
      </c>
    </row>
    <row r="5" spans="1:11" ht="21" customHeight="1">
      <c r="A5" s="12" t="str">
        <f t="shared" si="0"/>
        <v>1021_200</v>
      </c>
      <c r="B5" s="9">
        <v>1021</v>
      </c>
      <c r="C5" s="2">
        <v>200</v>
      </c>
      <c r="D5" s="26" t="str">
        <f ca="1">VLOOKUP($C5,OFFSET(gachas!$A$1,0,0,COUNTA(gachas!$A:$A),MATCH(D$1,gachas!$1:$1,0)-MATCH($C$1,gachas!$1:$1,0)+1),MATCH(D$1,gachas!$1:$1,0)-MATCH($C$1,gachas!$1:$1,0)+1,FALSE)</f>
        <v>フレンドガチャ（常設）</v>
      </c>
      <c r="E5" s="2">
        <v>2</v>
      </c>
      <c r="F5" s="10" t="str">
        <f ca="1">VLOOKUP($B5,OFFSET(gacha_schedules!$A$1,0,0,COUNTA(gacha_schedules!$A:$A),MATCH(F$1,gacha_schedules!$1:$1,0)-MATCH($B$1,gacha_schedules!$1:$1,0)+1),MATCH(F$1,gacha_schedules!$1:$1,0)-MATCH($B$1,gacha_schedules!$1:$1,0)+1,FALSE)</f>
        <v>2015-08-28 15:00:00</v>
      </c>
      <c r="G5" s="10" t="str">
        <f ca="1">VLOOKUP($B5,OFFSET(gacha_schedules!$A$1,0,0,COUNTA(gacha_schedules!$A:$A),MATCH(G$1,gacha_schedules!$1:$1,0)-MATCH($B$1,gacha_schedules!$1:$1,0)+1),MATCH(G$1,gacha_schedules!$1:$1,0)-MATCH($B$1,gacha_schedules!$1:$1,0)+1,FALSE)</f>
        <v>2015-09-02 14:59:59</v>
      </c>
      <c r="H5" s="10" t="str">
        <f ca="1">VLOOKUP($B5,OFFSET(gacha_schedules!$A$1,0,0,COUNTA(gacha_schedules!$A:$A),MATCH(H$1,gacha_schedules!$1:$1,0)-MATCH($B$1,gacha_schedules!$1:$1,0)+1),MATCH(H$1,gacha_schedules!$1:$1,0)-MATCH($B$1,gacha_schedules!$1:$1,0)+1,FALSE)</f>
        <v>レアガチャ確率アップ　5日間</v>
      </c>
      <c r="I5" s="26">
        <f ca="1">VLOOKUP($B5,OFFSET(gacha_schedules!$A$1,0,0,COUNTA(gacha_schedules!$A:$A),MATCH(I$1,gacha_schedules!$1:$1,0)-MATCH($B$1,gacha_schedules!$1:$1,0)+1),MATCH(I$1,gacha_schedules!$1:$1,0)-MATCH($B$1,gacha_schedules!$1:$1,0)+1,FALSE)</f>
        <v>100</v>
      </c>
      <c r="J5" s="26" t="str">
        <f ca="1">VLOOKUP($C5,OFFSET(gachas!$A$1,0,0,COUNTA(gachas!$A:$A),MATCH(J$1,gachas!$1:$1,0)-MATCH($C$1,gachas!$1:$1,0)+1),MATCH(J$1,gachas!$1:$1,0)-MATCH($C$1,gachas!$1:$1,0)+1,FALSE)</f>
        <v>link</v>
      </c>
      <c r="K5" s="26">
        <f ca="1">VLOOKUP($C5,OFFSET(gachas!$A$1,0,0,COUNTA(gachas!$A:$A),MATCH(K$1,gachas!$1:$1,0)-MATCH($C$1,gachas!$1:$1,0)+1),MATCH(K$1,gachas!$1:$1,0)-MATCH($C$1,gachas!$1:$1,0)+1,FALSE)</f>
        <v>100</v>
      </c>
    </row>
    <row r="6" spans="1:11" ht="21" customHeight="1">
      <c r="A6" s="12" t="str">
        <f t="shared" ref="A6:A13" si="1">B6&amp;"_"&amp;C6</f>
        <v>1030_104</v>
      </c>
      <c r="B6" s="31">
        <v>1030</v>
      </c>
      <c r="C6" s="2">
        <v>104</v>
      </c>
      <c r="D6" s="26" t="str">
        <f ca="1">VLOOKUP($C6,OFFSET(gachas!$A$1,0,0,COUNTA(gachas!$A:$A),MATCH(D$1,gachas!$1:$1,0)-MATCH($C$1,gachas!$1:$1,0)+1),MATCH(D$1,gachas!$1:$1,0)-MATCH($C$1,gachas!$1:$1,0)+1,FALSE)</f>
        <v>ピックアップ01　開始</v>
      </c>
      <c r="E6" s="2">
        <v>1</v>
      </c>
      <c r="F6" s="10" t="str">
        <f ca="1">VLOOKUP($B6,OFFSET(gacha_schedules!$A$1,0,0,COUNTA(gacha_schedules!$A:$A),MATCH(F$1,gacha_schedules!$1:$1,0)-MATCH($B$1,gacha_schedules!$1:$1,0)+1),MATCH(F$1,gacha_schedules!$1:$1,0)-MATCH($B$1,gacha_schedules!$1:$1,0)+1,FALSE)</f>
        <v>2015-09-11 15:00:00</v>
      </c>
      <c r="G6" s="10" t="str">
        <f ca="1">VLOOKUP($B6,OFFSET(gacha_schedules!$A$1,0,0,COUNTA(gacha_schedules!$A:$A),MATCH(G$1,gacha_schedules!$1:$1,0)-MATCH($B$1,gacha_schedules!$1:$1,0)+1),MATCH(G$1,gacha_schedules!$1:$1,0)-MATCH($B$1,gacha_schedules!$1:$1,0)+1,FALSE)</f>
        <v>2015-09-13 23:59:59</v>
      </c>
      <c r="H6" s="10" t="str">
        <f ca="1">VLOOKUP($B6,OFFSET(gacha_schedules!$A$1,0,0,COUNTA(gacha_schedules!$A:$A),MATCH(H$1,gacha_schedules!$1:$1,0)-MATCH($B$1,gacha_schedules!$1:$1,0)+1),MATCH(H$1,gacha_schedules!$1:$1,0)-MATCH($B$1,gacha_schedules!$1:$1,0)+1,FALSE)</f>
        <v>ピックアップ01　開始</v>
      </c>
      <c r="I6" s="26">
        <f ca="1">VLOOKUP($B6,OFFSET(gacha_schedules!$A$1,0,0,COUNTA(gacha_schedules!$A:$A),MATCH(I$1,gacha_schedules!$1:$1,0)-MATCH($B$1,gacha_schedules!$1:$1,0)+1),MATCH(I$1,gacha_schedules!$1:$1,0)-MATCH($B$1,gacha_schedules!$1:$1,0)+1,FALSE)</f>
        <v>100</v>
      </c>
      <c r="J6" s="26" t="str">
        <f ca="1">VLOOKUP($C6,OFFSET(gachas!$A$1,0,0,COUNTA(gachas!$A:$A),MATCH(J$1,gachas!$1:$1,0)-MATCH($C$1,gachas!$1:$1,0)+1),MATCH(J$1,gachas!$1:$1,0)-MATCH($C$1,gachas!$1:$1,0)+1,FALSE)</f>
        <v>polygon</v>
      </c>
      <c r="K6" s="26">
        <f ca="1">VLOOKUP($C6,OFFSET(gachas!$A$1,0,0,COUNTA(gachas!$A:$A),MATCH(K$1,gachas!$1:$1,0)-MATCH($C$1,gachas!$1:$1,0)+1),MATCH(K$1,gachas!$1:$1,0)-MATCH($C$1,gachas!$1:$1,0)+1,FALSE)</f>
        <v>5</v>
      </c>
    </row>
    <row r="7" spans="1:11" ht="21" customHeight="1">
      <c r="A7" s="12" t="str">
        <f t="shared" si="1"/>
        <v>1030_200</v>
      </c>
      <c r="B7" s="31">
        <v>1030</v>
      </c>
      <c r="C7" s="2">
        <v>200</v>
      </c>
      <c r="D7" s="26" t="str">
        <f ca="1">VLOOKUP($C7,OFFSET(gachas!$A$1,0,0,COUNTA(gachas!$A:$A),MATCH(D$1,gachas!$1:$1,0)-MATCH($C$1,gachas!$1:$1,0)+1),MATCH(D$1,gachas!$1:$1,0)-MATCH($C$1,gachas!$1:$1,0)+1,FALSE)</f>
        <v>フレンドガチャ（常設）</v>
      </c>
      <c r="E7" s="2">
        <v>2</v>
      </c>
      <c r="F7" s="10" t="str">
        <f ca="1">VLOOKUP($B7,OFFSET(gacha_schedules!$A$1,0,0,COUNTA(gacha_schedules!$A:$A),MATCH(F$1,gacha_schedules!$1:$1,0)-MATCH($B$1,gacha_schedules!$1:$1,0)+1),MATCH(F$1,gacha_schedules!$1:$1,0)-MATCH($B$1,gacha_schedules!$1:$1,0)+1,FALSE)</f>
        <v>2015-09-11 15:00:00</v>
      </c>
      <c r="G7" s="10" t="str">
        <f ca="1">VLOOKUP($B7,OFFSET(gacha_schedules!$A$1,0,0,COUNTA(gacha_schedules!$A:$A),MATCH(G$1,gacha_schedules!$1:$1,0)-MATCH($B$1,gacha_schedules!$1:$1,0)+1),MATCH(G$1,gacha_schedules!$1:$1,0)-MATCH($B$1,gacha_schedules!$1:$1,0)+1,FALSE)</f>
        <v>2015-09-13 23:59:59</v>
      </c>
      <c r="H7" s="10" t="str">
        <f ca="1">VLOOKUP($B7,OFFSET(gacha_schedules!$A$1,0,0,COUNTA(gacha_schedules!$A:$A),MATCH(H$1,gacha_schedules!$1:$1,0)-MATCH($B$1,gacha_schedules!$1:$1,0)+1),MATCH(H$1,gacha_schedules!$1:$1,0)-MATCH($B$1,gacha_schedules!$1:$1,0)+1,FALSE)</f>
        <v>ピックアップ01　開始</v>
      </c>
      <c r="I7" s="26">
        <f ca="1">VLOOKUP($B7,OFFSET(gacha_schedules!$A$1,0,0,COUNTA(gacha_schedules!$A:$A),MATCH(I$1,gacha_schedules!$1:$1,0)-MATCH($B$1,gacha_schedules!$1:$1,0)+1),MATCH(I$1,gacha_schedules!$1:$1,0)-MATCH($B$1,gacha_schedules!$1:$1,0)+1,FALSE)</f>
        <v>100</v>
      </c>
      <c r="J7" s="26" t="str">
        <f ca="1">VLOOKUP($C7,OFFSET(gachas!$A$1,0,0,COUNTA(gachas!$A:$A),MATCH(J$1,gachas!$1:$1,0)-MATCH($C$1,gachas!$1:$1,0)+1),MATCH(J$1,gachas!$1:$1,0)-MATCH($C$1,gachas!$1:$1,0)+1,FALSE)</f>
        <v>link</v>
      </c>
      <c r="K7" s="26">
        <f ca="1">VLOOKUP($C7,OFFSET(gachas!$A$1,0,0,COUNTA(gachas!$A:$A),MATCH(K$1,gachas!$1:$1,0)-MATCH($C$1,gachas!$1:$1,0)+1),MATCH(K$1,gachas!$1:$1,0)-MATCH($C$1,gachas!$1:$1,0)+1,FALSE)</f>
        <v>100</v>
      </c>
    </row>
    <row r="8" spans="1:11" ht="21" customHeight="1">
      <c r="A8" s="12" t="str">
        <f t="shared" si="1"/>
        <v>1040_105</v>
      </c>
      <c r="B8" s="31">
        <v>1040</v>
      </c>
      <c r="C8" s="2">
        <v>105</v>
      </c>
      <c r="D8" s="26" t="str">
        <f ca="1">VLOOKUP($C8,OFFSET(gachas!$A$1,0,0,COUNTA(gachas!$A:$A),MATCH(D$1,gachas!$1:$1,0)-MATCH($C$1,gachas!$1:$1,0)+1),MATCH(D$1,gachas!$1:$1,0)-MATCH($C$1,gachas!$1:$1,0)+1,FALSE)</f>
        <v>ピックアップ01　あと少し</v>
      </c>
      <c r="E8" s="2">
        <v>1</v>
      </c>
      <c r="F8" s="10" t="str">
        <f ca="1">VLOOKUP($B8,OFFSET(gacha_schedules!$A$1,0,0,COUNTA(gacha_schedules!$A:$A),MATCH(F$1,gacha_schedules!$1:$1,0)-MATCH($B$1,gacha_schedules!$1:$1,0)+1),MATCH(F$1,gacha_schedules!$1:$1,0)-MATCH($B$1,gacha_schedules!$1:$1,0)+1,FALSE)</f>
        <v>2015-09-14 00:00:00</v>
      </c>
      <c r="G8" s="10" t="str">
        <f ca="1">VLOOKUP($B8,OFFSET(gacha_schedules!$A$1,0,0,COUNTA(gacha_schedules!$A:$A),MATCH(G$1,gacha_schedules!$1:$1,0)-MATCH($B$1,gacha_schedules!$1:$1,0)+1),MATCH(G$1,gacha_schedules!$1:$1,0)-MATCH($B$1,gacha_schedules!$1:$1,0)+1,FALSE)</f>
        <v>2015-09-14 23:59:59</v>
      </c>
      <c r="H8" s="10" t="str">
        <f ca="1">VLOOKUP($B8,OFFSET(gacha_schedules!$A$1,0,0,COUNTA(gacha_schedules!$A:$A),MATCH(H$1,gacha_schedules!$1:$1,0)-MATCH($B$1,gacha_schedules!$1:$1,0)+1),MATCH(H$1,gacha_schedules!$1:$1,0)-MATCH($B$1,gacha_schedules!$1:$1,0)+1,FALSE)</f>
        <v>ピックアップ01　後少し</v>
      </c>
      <c r="I8" s="26">
        <f ca="1">VLOOKUP($B8,OFFSET(gacha_schedules!$A$1,0,0,COUNTA(gacha_schedules!$A:$A),MATCH(I$1,gacha_schedules!$1:$1,0)-MATCH($B$1,gacha_schedules!$1:$1,0)+1),MATCH(I$1,gacha_schedules!$1:$1,0)-MATCH($B$1,gacha_schedules!$1:$1,0)+1,FALSE)</f>
        <v>100</v>
      </c>
      <c r="J8" s="26" t="str">
        <f ca="1">VLOOKUP($C8,OFFSET(gachas!$A$1,0,0,COUNTA(gachas!$A:$A),MATCH(J$1,gachas!$1:$1,0)-MATCH($C$1,gachas!$1:$1,0)+1),MATCH(J$1,gachas!$1:$1,0)-MATCH($C$1,gachas!$1:$1,0)+1,FALSE)</f>
        <v>polygon</v>
      </c>
      <c r="K8" s="26">
        <f ca="1">VLOOKUP($C8,OFFSET(gachas!$A$1,0,0,COUNTA(gachas!$A:$A),MATCH(K$1,gachas!$1:$1,0)-MATCH($C$1,gachas!$1:$1,0)+1),MATCH(K$1,gachas!$1:$1,0)-MATCH($C$1,gachas!$1:$1,0)+1,FALSE)</f>
        <v>5</v>
      </c>
    </row>
    <row r="9" spans="1:11" ht="21" customHeight="1">
      <c r="A9" s="12" t="str">
        <f t="shared" si="1"/>
        <v>1040_200</v>
      </c>
      <c r="B9" s="31">
        <v>1040</v>
      </c>
      <c r="C9" s="2">
        <v>200</v>
      </c>
      <c r="D9" s="26" t="str">
        <f ca="1">VLOOKUP($C9,OFFSET(gachas!$A$1,0,0,COUNTA(gachas!$A:$A),MATCH(D$1,gachas!$1:$1,0)-MATCH($C$1,gachas!$1:$1,0)+1),MATCH(D$1,gachas!$1:$1,0)-MATCH($C$1,gachas!$1:$1,0)+1,FALSE)</f>
        <v>フレンドガチャ（常設）</v>
      </c>
      <c r="E9" s="2">
        <v>2</v>
      </c>
      <c r="F9" s="10" t="str">
        <f ca="1">VLOOKUP($B9,OFFSET(gacha_schedules!$A$1,0,0,COUNTA(gacha_schedules!$A:$A),MATCH(F$1,gacha_schedules!$1:$1,0)-MATCH($B$1,gacha_schedules!$1:$1,0)+1),MATCH(F$1,gacha_schedules!$1:$1,0)-MATCH($B$1,gacha_schedules!$1:$1,0)+1,FALSE)</f>
        <v>2015-09-14 00:00:00</v>
      </c>
      <c r="G9" s="10" t="str">
        <f ca="1">VLOOKUP($B9,OFFSET(gacha_schedules!$A$1,0,0,COUNTA(gacha_schedules!$A:$A),MATCH(G$1,gacha_schedules!$1:$1,0)-MATCH($B$1,gacha_schedules!$1:$1,0)+1),MATCH(G$1,gacha_schedules!$1:$1,0)-MATCH($B$1,gacha_schedules!$1:$1,0)+1,FALSE)</f>
        <v>2015-09-14 23:59:59</v>
      </c>
      <c r="H9" s="10" t="str">
        <f ca="1">VLOOKUP($B9,OFFSET(gacha_schedules!$A$1,0,0,COUNTA(gacha_schedules!$A:$A),MATCH(H$1,gacha_schedules!$1:$1,0)-MATCH($B$1,gacha_schedules!$1:$1,0)+1),MATCH(H$1,gacha_schedules!$1:$1,0)-MATCH($B$1,gacha_schedules!$1:$1,0)+1,FALSE)</f>
        <v>ピックアップ01　後少し</v>
      </c>
      <c r="I9" s="26">
        <f ca="1">VLOOKUP($B9,OFFSET(gacha_schedules!$A$1,0,0,COUNTA(gacha_schedules!$A:$A),MATCH(I$1,gacha_schedules!$1:$1,0)-MATCH($B$1,gacha_schedules!$1:$1,0)+1),MATCH(I$1,gacha_schedules!$1:$1,0)-MATCH($B$1,gacha_schedules!$1:$1,0)+1,FALSE)</f>
        <v>100</v>
      </c>
      <c r="J9" s="26" t="str">
        <f ca="1">VLOOKUP($C9,OFFSET(gachas!$A$1,0,0,COUNTA(gachas!$A:$A),MATCH(J$1,gachas!$1:$1,0)-MATCH($C$1,gachas!$1:$1,0)+1),MATCH(J$1,gachas!$1:$1,0)-MATCH($C$1,gachas!$1:$1,0)+1,FALSE)</f>
        <v>link</v>
      </c>
      <c r="K9" s="26">
        <f ca="1">VLOOKUP($C9,OFFSET(gachas!$A$1,0,0,COUNTA(gachas!$A:$A),MATCH(K$1,gachas!$1:$1,0)-MATCH($C$1,gachas!$1:$1,0)+1),MATCH(K$1,gachas!$1:$1,0)-MATCH($C$1,gachas!$1:$1,0)+1,FALSE)</f>
        <v>100</v>
      </c>
    </row>
    <row r="10" spans="1:11" ht="21" customHeight="1">
      <c r="A10" s="12" t="str">
        <f t="shared" si="1"/>
        <v>1050_106</v>
      </c>
      <c r="B10" s="31">
        <v>1050</v>
      </c>
      <c r="C10" s="2">
        <v>106</v>
      </c>
      <c r="D10" s="26" t="str">
        <f ca="1">VLOOKUP($C10,OFFSET(gachas!$A$1,0,0,COUNTA(gachas!$A:$A),MATCH(D$1,gachas!$1:$1,0)-MATCH($C$1,gachas!$1:$1,0)+1),MATCH(D$1,gachas!$1:$1,0)-MATCH($C$1,gachas!$1:$1,0)+1,FALSE)</f>
        <v>ピックアップ01　最終日</v>
      </c>
      <c r="E10" s="2">
        <v>1</v>
      </c>
      <c r="F10" s="10" t="str">
        <f ca="1">VLOOKUP($B10,OFFSET(gacha_schedules!$A$1,0,0,COUNTA(gacha_schedules!$A:$A),MATCH(F$1,gacha_schedules!$1:$1,0)-MATCH($B$1,gacha_schedules!$1:$1,0)+1),MATCH(F$1,gacha_schedules!$1:$1,0)-MATCH($B$1,gacha_schedules!$1:$1,0)+1,FALSE)</f>
        <v>2015-09-15 00:00:00</v>
      </c>
      <c r="G10" s="10" t="str">
        <f ca="1">VLOOKUP($B10,OFFSET(gacha_schedules!$A$1,0,0,COUNTA(gacha_schedules!$A:$A),MATCH(G$1,gacha_schedules!$1:$1,0)-MATCH($B$1,gacha_schedules!$1:$1,0)+1),MATCH(G$1,gacha_schedules!$1:$1,0)-MATCH($B$1,gacha_schedules!$1:$1,0)+1,FALSE)</f>
        <v>2015-09-15 14:59:59</v>
      </c>
      <c r="H10" s="10" t="str">
        <f ca="1">VLOOKUP($B10,OFFSET(gacha_schedules!$A$1,0,0,COUNTA(gacha_schedules!$A:$A),MATCH(H$1,gacha_schedules!$1:$1,0)-MATCH($B$1,gacha_schedules!$1:$1,0)+1),MATCH(H$1,gacha_schedules!$1:$1,0)-MATCH($B$1,gacha_schedules!$1:$1,0)+1,FALSE)</f>
        <v>ピックアップ01　後1日</v>
      </c>
      <c r="I10" s="26">
        <f ca="1">VLOOKUP($B10,OFFSET(gacha_schedules!$A$1,0,0,COUNTA(gacha_schedules!$A:$A),MATCH(I$1,gacha_schedules!$1:$1,0)-MATCH($B$1,gacha_schedules!$1:$1,0)+1),MATCH(I$1,gacha_schedules!$1:$1,0)-MATCH($B$1,gacha_schedules!$1:$1,0)+1,FALSE)</f>
        <v>50</v>
      </c>
      <c r="J10" s="26" t="str">
        <f ca="1">VLOOKUP($C10,OFFSET(gachas!$A$1,0,0,COUNTA(gachas!$A:$A),MATCH(J$1,gachas!$1:$1,0)-MATCH($C$1,gachas!$1:$1,0)+1),MATCH(J$1,gachas!$1:$1,0)-MATCH($C$1,gachas!$1:$1,0)+1,FALSE)</f>
        <v>polygon</v>
      </c>
      <c r="K10" s="26">
        <f ca="1">VLOOKUP($C10,OFFSET(gachas!$A$1,0,0,COUNTA(gachas!$A:$A),MATCH(K$1,gachas!$1:$1,0)-MATCH($C$1,gachas!$1:$1,0)+1),MATCH(K$1,gachas!$1:$1,0)-MATCH($C$1,gachas!$1:$1,0)+1,FALSE)</f>
        <v>5</v>
      </c>
    </row>
    <row r="11" spans="1:11" ht="21" customHeight="1">
      <c r="A11" s="12" t="str">
        <f t="shared" si="1"/>
        <v>1050_200</v>
      </c>
      <c r="B11" s="31">
        <v>1050</v>
      </c>
      <c r="C11" s="2">
        <v>200</v>
      </c>
      <c r="D11" s="26" t="str">
        <f ca="1">VLOOKUP($C11,OFFSET(gachas!$A$1,0,0,COUNTA(gachas!$A:$A),MATCH(D$1,gachas!$1:$1,0)-MATCH($C$1,gachas!$1:$1,0)+1),MATCH(D$1,gachas!$1:$1,0)-MATCH($C$1,gachas!$1:$1,0)+1,FALSE)</f>
        <v>フレンドガチャ（常設）</v>
      </c>
      <c r="E11" s="2">
        <v>2</v>
      </c>
      <c r="F11" s="10" t="str">
        <f ca="1">VLOOKUP($B11,OFFSET(gacha_schedules!$A$1,0,0,COUNTA(gacha_schedules!$A:$A),MATCH(F$1,gacha_schedules!$1:$1,0)-MATCH($B$1,gacha_schedules!$1:$1,0)+1),MATCH(F$1,gacha_schedules!$1:$1,0)-MATCH($B$1,gacha_schedules!$1:$1,0)+1,FALSE)</f>
        <v>2015-09-15 00:00:00</v>
      </c>
      <c r="G11" s="10" t="str">
        <f ca="1">VLOOKUP($B11,OFFSET(gacha_schedules!$A$1,0,0,COUNTA(gacha_schedules!$A:$A),MATCH(G$1,gacha_schedules!$1:$1,0)-MATCH($B$1,gacha_schedules!$1:$1,0)+1),MATCH(G$1,gacha_schedules!$1:$1,0)-MATCH($B$1,gacha_schedules!$1:$1,0)+1,FALSE)</f>
        <v>2015-09-15 14:59:59</v>
      </c>
      <c r="H11" s="10" t="str">
        <f ca="1">VLOOKUP($B11,OFFSET(gacha_schedules!$A$1,0,0,COUNTA(gacha_schedules!$A:$A),MATCH(H$1,gacha_schedules!$1:$1,0)-MATCH($B$1,gacha_schedules!$1:$1,0)+1),MATCH(H$1,gacha_schedules!$1:$1,0)-MATCH($B$1,gacha_schedules!$1:$1,0)+1,FALSE)</f>
        <v>ピックアップ01　後1日</v>
      </c>
      <c r="I11" s="26">
        <f ca="1">VLOOKUP($B11,OFFSET(gacha_schedules!$A$1,0,0,COUNTA(gacha_schedules!$A:$A),MATCH(I$1,gacha_schedules!$1:$1,0)-MATCH($B$1,gacha_schedules!$1:$1,0)+1),MATCH(I$1,gacha_schedules!$1:$1,0)-MATCH($B$1,gacha_schedules!$1:$1,0)+1,FALSE)</f>
        <v>50</v>
      </c>
      <c r="J11" s="26" t="str">
        <f ca="1">VLOOKUP($C11,OFFSET(gachas!$A$1,0,0,COUNTA(gachas!$A:$A),MATCH(J$1,gachas!$1:$1,0)-MATCH($C$1,gachas!$1:$1,0)+1),MATCH(J$1,gachas!$1:$1,0)-MATCH($C$1,gachas!$1:$1,0)+1,FALSE)</f>
        <v>link</v>
      </c>
      <c r="K11" s="26">
        <f ca="1">VLOOKUP($C11,OFFSET(gachas!$A$1,0,0,COUNTA(gachas!$A:$A),MATCH(K$1,gachas!$1:$1,0)-MATCH($C$1,gachas!$1:$1,0)+1),MATCH(K$1,gachas!$1:$1,0)-MATCH($C$1,gachas!$1:$1,0)+1,FALSE)</f>
        <v>100</v>
      </c>
    </row>
    <row r="12" spans="1:11" ht="21" customHeight="1">
      <c r="A12" s="12" t="str">
        <f t="shared" si="1"/>
        <v>1060_103</v>
      </c>
      <c r="B12" s="31">
        <v>1060</v>
      </c>
      <c r="C12" s="2">
        <v>103</v>
      </c>
      <c r="D12" s="26" t="str">
        <f ca="1">VLOOKUP($C12,OFFSET(gachas!$A$1,0,0,COUNTA(gachas!$A:$A),MATCH(D$1,gachas!$1:$1,0)-MATCH($C$1,gachas!$1:$1,0)+1),MATCH(D$1,gachas!$1:$1,0)-MATCH($C$1,gachas!$1:$1,0)+1,FALSE)</f>
        <v>レアガチャ（追加02）（大罪）</v>
      </c>
      <c r="E12" s="2">
        <v>1</v>
      </c>
      <c r="F12" s="10" t="str">
        <f ca="1">VLOOKUP($B12,OFFSET(gacha_schedules!$A$1,0,0,COUNTA(gacha_schedules!$A:$A),MATCH(F$1,gacha_schedules!$1:$1,0)-MATCH($B$1,gacha_schedules!$1:$1,0)+1),MATCH(F$1,gacha_schedules!$1:$1,0)-MATCH($B$1,gacha_schedules!$1:$1,0)+1,FALSE)</f>
        <v>2015-09-15 15:00:00</v>
      </c>
      <c r="G12" s="10" t="str">
        <f ca="1">VLOOKUP($B12,OFFSET(gacha_schedules!$A$1,0,0,COUNTA(gacha_schedules!$A:$A),MATCH(G$1,gacha_schedules!$1:$1,0)-MATCH($B$1,gacha_schedules!$1:$1,0)+1),MATCH(G$1,gacha_schedules!$1:$1,0)-MATCH($B$1,gacha_schedules!$1:$1,0)+1,FALSE)</f>
        <v>2015-09-16 14:59:59</v>
      </c>
      <c r="H12" s="10" t="str">
        <f ca="1">VLOOKUP($B12,OFFSET(gacha_schedules!$A$1,0,0,COUNTA(gacha_schedules!$A:$A),MATCH(H$1,gacha_schedules!$1:$1,0)-MATCH($B$1,gacha_schedules!$1:$1,0)+1),MATCH(H$1,gacha_schedules!$1:$1,0)-MATCH($B$1,gacha_schedules!$1:$1,0)+1,FALSE)</f>
        <v>新ガチャ０２(大罪</v>
      </c>
      <c r="I12" s="26">
        <f ca="1">VLOOKUP($B12,OFFSET(gacha_schedules!$A$1,0,0,COUNTA(gacha_schedules!$A:$A),MATCH(I$1,gacha_schedules!$1:$1,0)-MATCH($B$1,gacha_schedules!$1:$1,0)+1),MATCH(I$1,gacha_schedules!$1:$1,0)-MATCH($B$1,gacha_schedules!$1:$1,0)+1,FALSE)</f>
        <v>50</v>
      </c>
      <c r="J12" s="26" t="str">
        <f ca="1">VLOOKUP($C12,OFFSET(gachas!$A$1,0,0,COUNTA(gachas!$A:$A),MATCH(J$1,gachas!$1:$1,0)-MATCH($C$1,gachas!$1:$1,0)+1),MATCH(J$1,gachas!$1:$1,0)-MATCH($C$1,gachas!$1:$1,0)+1,FALSE)</f>
        <v>polygon</v>
      </c>
      <c r="K12" s="26">
        <f ca="1">VLOOKUP($C12,OFFSET(gachas!$A$1,0,0,COUNTA(gachas!$A:$A),MATCH(K$1,gachas!$1:$1,0)-MATCH($C$1,gachas!$1:$1,0)+1),MATCH(K$1,gachas!$1:$1,0)-MATCH($C$1,gachas!$1:$1,0)+1,FALSE)</f>
        <v>5</v>
      </c>
    </row>
    <row r="13" spans="1:11" ht="21" customHeight="1">
      <c r="A13" s="12" t="str">
        <f t="shared" si="1"/>
        <v>1060_201</v>
      </c>
      <c r="B13" s="31">
        <v>1060</v>
      </c>
      <c r="C13" s="2">
        <v>201</v>
      </c>
      <c r="D13" s="26" t="str">
        <f ca="1">VLOOKUP($C13,OFFSET(gachas!$A$1,0,0,COUNTA(gachas!$A:$A),MATCH(D$1,gachas!$1:$1,0)-MATCH($C$1,gachas!$1:$1,0)+1),MATCH(D$1,gachas!$1:$1,0)-MATCH($C$1,gachas!$1:$1,0)+1,FALSE)</f>
        <v>男気リンクガチャ（常設）</v>
      </c>
      <c r="E13" s="2">
        <v>2</v>
      </c>
      <c r="F13" s="10" t="str">
        <f ca="1">VLOOKUP($B13,OFFSET(gacha_schedules!$A$1,0,0,COUNTA(gacha_schedules!$A:$A),MATCH(F$1,gacha_schedules!$1:$1,0)-MATCH($B$1,gacha_schedules!$1:$1,0)+1),MATCH(F$1,gacha_schedules!$1:$1,0)-MATCH($B$1,gacha_schedules!$1:$1,0)+1,FALSE)</f>
        <v>2015-09-15 15:00:00</v>
      </c>
      <c r="G13" s="10" t="str">
        <f ca="1">VLOOKUP($B13,OFFSET(gacha_schedules!$A$1,0,0,COUNTA(gacha_schedules!$A:$A),MATCH(G$1,gacha_schedules!$1:$1,0)-MATCH($B$1,gacha_schedules!$1:$1,0)+1),MATCH(G$1,gacha_schedules!$1:$1,0)-MATCH($B$1,gacha_schedules!$1:$1,0)+1,FALSE)</f>
        <v>2015-09-16 14:59:59</v>
      </c>
      <c r="H13" s="10" t="str">
        <f ca="1">VLOOKUP($B13,OFFSET(gacha_schedules!$A$1,0,0,COUNTA(gacha_schedules!$A:$A),MATCH(H$1,gacha_schedules!$1:$1,0)-MATCH($B$1,gacha_schedules!$1:$1,0)+1),MATCH(H$1,gacha_schedules!$1:$1,0)-MATCH($B$1,gacha_schedules!$1:$1,0)+1,FALSE)</f>
        <v>新ガチャ０２(大罪</v>
      </c>
      <c r="I13" s="26">
        <f ca="1">VLOOKUP($B13,OFFSET(gacha_schedules!$A$1,0,0,COUNTA(gacha_schedules!$A:$A),MATCH(I$1,gacha_schedules!$1:$1,0)-MATCH($B$1,gacha_schedules!$1:$1,0)+1),MATCH(I$1,gacha_schedules!$1:$1,0)-MATCH($B$1,gacha_schedules!$1:$1,0)+1,FALSE)</f>
        <v>50</v>
      </c>
      <c r="J13" s="26" t="str">
        <f ca="1">VLOOKUP($C13,OFFSET(gachas!$A$1,0,0,COUNTA(gachas!$A:$A),MATCH(J$1,gachas!$1:$1,0)-MATCH($C$1,gachas!$1:$1,0)+1),MATCH(J$1,gachas!$1:$1,0)-MATCH($C$1,gachas!$1:$1,0)+1,FALSE)</f>
        <v>link</v>
      </c>
      <c r="K13" s="26">
        <f ca="1">VLOOKUP($C13,OFFSET(gachas!$A$1,0,0,COUNTA(gachas!$A:$A),MATCH(K$1,gachas!$1:$1,0)-MATCH($C$1,gachas!$1:$1,0)+1),MATCH(K$1,gachas!$1:$1,0)-MATCH($C$1,gachas!$1:$1,0)+1,FALSE)</f>
        <v>100</v>
      </c>
    </row>
    <row r="14" spans="1:11" ht="21" customHeight="1">
      <c r="A14" s="12" t="str">
        <f t="shared" ref="A14:A17" si="2">B14&amp;"_"&amp;C14</f>
        <v>1070_107</v>
      </c>
      <c r="B14" s="31">
        <v>1070</v>
      </c>
      <c r="C14" s="2">
        <v>107</v>
      </c>
      <c r="D14" s="26" t="str">
        <f ca="1">VLOOKUP($C14,OFFSET(gachas!$A$1,0,0,COUNTA(gachas!$A:$A),MATCH(D$1,gachas!$1:$1,0)-MATCH($C$1,gachas!$1:$1,0)+1),MATCH(D$1,gachas!$1:$1,0)-MATCH($C$1,gachas!$1:$1,0)+1,FALSE)</f>
        <v>新キャラ追加03（新撰組）</v>
      </c>
      <c r="E14" s="2">
        <v>1</v>
      </c>
      <c r="F14" s="10" t="str">
        <f ca="1">VLOOKUP($B14,OFFSET(gacha_schedules!$A$1,0,0,COUNTA(gacha_schedules!$A:$A),MATCH(F$1,gacha_schedules!$1:$1,0)-MATCH($B$1,gacha_schedules!$1:$1,0)+1),MATCH(F$1,gacha_schedules!$1:$1,0)-MATCH($B$1,gacha_schedules!$1:$1,0)+1,FALSE)</f>
        <v>2015-09-16 15:00:00</v>
      </c>
      <c r="G14" s="10" t="str">
        <f ca="1">VLOOKUP($B14,OFFSET(gacha_schedules!$A$1,0,0,COUNTA(gacha_schedules!$A:$A),MATCH(G$1,gacha_schedules!$1:$1,0)-MATCH($B$1,gacha_schedules!$1:$1,0)+1),MATCH(G$1,gacha_schedules!$1:$1,0)-MATCH($B$1,gacha_schedules!$1:$1,0)+1,FALSE)</f>
        <v>2015-09-22 14:59:59</v>
      </c>
      <c r="H14" s="10" t="str">
        <f ca="1">VLOOKUP($B14,OFFSET(gacha_schedules!$A$1,0,0,COUNTA(gacha_schedules!$A:$A),MATCH(H$1,gacha_schedules!$1:$1,0)-MATCH($B$1,gacha_schedules!$1:$1,0)+1),MATCH(H$1,gacha_schedules!$1:$1,0)-MATCH($B$1,gacha_schedules!$1:$1,0)+1,FALSE)</f>
        <v>新ガチャ０３（新撰組</v>
      </c>
      <c r="I14" s="26">
        <f ca="1">VLOOKUP($B14,OFFSET(gacha_schedules!$A$1,0,0,COUNTA(gacha_schedules!$A:$A),MATCH(I$1,gacha_schedules!$1:$1,0)-MATCH($B$1,gacha_schedules!$1:$1,0)+1),MATCH(I$1,gacha_schedules!$1:$1,0)-MATCH($B$1,gacha_schedules!$1:$1,0)+1,FALSE)</f>
        <v>100</v>
      </c>
      <c r="J14" s="26" t="str">
        <f ca="1">VLOOKUP($C14,OFFSET(gachas!$A$1,0,0,COUNTA(gachas!$A:$A),MATCH(J$1,gachas!$1:$1,0)-MATCH($C$1,gachas!$1:$1,0)+1),MATCH(J$1,gachas!$1:$1,0)-MATCH($C$1,gachas!$1:$1,0)+1,FALSE)</f>
        <v>polygon</v>
      </c>
      <c r="K14" s="26">
        <f ca="1">VLOOKUP($C14,OFFSET(gachas!$A$1,0,0,COUNTA(gachas!$A:$A),MATCH(K$1,gachas!$1:$1,0)-MATCH($C$1,gachas!$1:$1,0)+1),MATCH(K$1,gachas!$1:$1,0)-MATCH($C$1,gachas!$1:$1,0)+1,FALSE)</f>
        <v>5</v>
      </c>
    </row>
    <row r="15" spans="1:11" ht="21" customHeight="1">
      <c r="A15" s="12" t="str">
        <f t="shared" si="2"/>
        <v>1070_201</v>
      </c>
      <c r="B15" s="31">
        <v>1070</v>
      </c>
      <c r="C15" s="2">
        <v>201</v>
      </c>
      <c r="D15" s="26" t="str">
        <f ca="1">VLOOKUP($C15,OFFSET(gachas!$A$1,0,0,COUNTA(gachas!$A:$A),MATCH(D$1,gachas!$1:$1,0)-MATCH($C$1,gachas!$1:$1,0)+1),MATCH(D$1,gachas!$1:$1,0)-MATCH($C$1,gachas!$1:$1,0)+1,FALSE)</f>
        <v>男気リンクガチャ（常設）</v>
      </c>
      <c r="E15" s="2">
        <v>2</v>
      </c>
      <c r="F15" s="10" t="str">
        <f ca="1">VLOOKUP($B15,OFFSET(gacha_schedules!$A$1,0,0,COUNTA(gacha_schedules!$A:$A),MATCH(F$1,gacha_schedules!$1:$1,0)-MATCH($B$1,gacha_schedules!$1:$1,0)+1),MATCH(F$1,gacha_schedules!$1:$1,0)-MATCH($B$1,gacha_schedules!$1:$1,0)+1,FALSE)</f>
        <v>2015-09-16 15:00:00</v>
      </c>
      <c r="G15" s="10" t="str">
        <f ca="1">VLOOKUP($B15,OFFSET(gacha_schedules!$A$1,0,0,COUNTA(gacha_schedules!$A:$A),MATCH(G$1,gacha_schedules!$1:$1,0)-MATCH($B$1,gacha_schedules!$1:$1,0)+1),MATCH(G$1,gacha_schedules!$1:$1,0)-MATCH($B$1,gacha_schedules!$1:$1,0)+1,FALSE)</f>
        <v>2015-09-22 14:59:59</v>
      </c>
      <c r="H15" s="10" t="str">
        <f ca="1">VLOOKUP($B15,OFFSET(gacha_schedules!$A$1,0,0,COUNTA(gacha_schedules!$A:$A),MATCH(H$1,gacha_schedules!$1:$1,0)-MATCH($B$1,gacha_schedules!$1:$1,0)+1),MATCH(H$1,gacha_schedules!$1:$1,0)-MATCH($B$1,gacha_schedules!$1:$1,0)+1,FALSE)</f>
        <v>新ガチャ０３（新撰組</v>
      </c>
      <c r="I15" s="26">
        <f ca="1">VLOOKUP($B15,OFFSET(gacha_schedules!$A$1,0,0,COUNTA(gacha_schedules!$A:$A),MATCH(I$1,gacha_schedules!$1:$1,0)-MATCH($B$1,gacha_schedules!$1:$1,0)+1),MATCH(I$1,gacha_schedules!$1:$1,0)-MATCH($B$1,gacha_schedules!$1:$1,0)+1,FALSE)</f>
        <v>100</v>
      </c>
      <c r="J15" s="26" t="str">
        <f ca="1">VLOOKUP($C15,OFFSET(gachas!$A$1,0,0,COUNTA(gachas!$A:$A),MATCH(J$1,gachas!$1:$1,0)-MATCH($C$1,gachas!$1:$1,0)+1),MATCH(J$1,gachas!$1:$1,0)-MATCH($C$1,gachas!$1:$1,0)+1,FALSE)</f>
        <v>link</v>
      </c>
      <c r="K15" s="26">
        <f ca="1">VLOOKUP($C15,OFFSET(gachas!$A$1,0,0,COUNTA(gachas!$A:$A),MATCH(K$1,gachas!$1:$1,0)-MATCH($C$1,gachas!$1:$1,0)+1),MATCH(K$1,gachas!$1:$1,0)-MATCH($C$1,gachas!$1:$1,0)+1,FALSE)</f>
        <v>100</v>
      </c>
    </row>
    <row r="16" spans="1:11" ht="21" customHeight="1">
      <c r="A16" s="12" t="str">
        <f t="shared" si="2"/>
        <v>1080_108</v>
      </c>
      <c r="B16" s="31">
        <v>1080</v>
      </c>
      <c r="C16" s="2">
        <v>108</v>
      </c>
      <c r="D16" s="26" t="str">
        <f ca="1">VLOOKUP($C16,OFFSET(gachas!$A$1,0,0,COUNTA(gachas!$A:$A),MATCH(D$1,gachas!$1:$1,0)-MATCH($C$1,gachas!$1:$1,0)+1),MATCH(D$1,gachas!$1:$1,0)-MATCH($C$1,gachas!$1:$1,0)+1,FALSE)</f>
        <v>赤アップ01　開始</v>
      </c>
      <c r="E16" s="2">
        <v>1</v>
      </c>
      <c r="F16" s="10" t="str">
        <f ca="1">VLOOKUP($B16,OFFSET(gacha_schedules!$A$1,0,0,COUNTA(gacha_schedules!$A:$A),MATCH(F$1,gacha_schedules!$1:$1,0)-MATCH($B$1,gacha_schedules!$1:$1,0)+1),MATCH(F$1,gacha_schedules!$1:$1,0)-MATCH($B$1,gacha_schedules!$1:$1,0)+1,FALSE)</f>
        <v>2015-09-26 15:00:00</v>
      </c>
      <c r="G16" s="10" t="str">
        <f ca="1">VLOOKUP($B16,OFFSET(gacha_schedules!$A$1,0,0,COUNTA(gacha_schedules!$A:$A),MATCH(G$1,gacha_schedules!$1:$1,0)-MATCH($B$1,gacha_schedules!$1:$1,0)+1),MATCH(G$1,gacha_schedules!$1:$1,0)-MATCH($B$1,gacha_schedules!$1:$1,0)+1,FALSE)</f>
        <v>2015-09-26 23:59:59</v>
      </c>
      <c r="H16" s="10" t="str">
        <f ca="1">VLOOKUP($B16,OFFSET(gacha_schedules!$A$1,0,0,COUNTA(gacha_schedules!$A:$A),MATCH(H$1,gacha_schedules!$1:$1,0)-MATCH($B$1,gacha_schedules!$1:$1,0)+1),MATCH(H$1,gacha_schedules!$1:$1,0)-MATCH($B$1,gacha_schedules!$1:$1,0)+1,FALSE)</f>
        <v>レッド01　開始</v>
      </c>
      <c r="I16" s="26">
        <f ca="1">VLOOKUP($B16,OFFSET(gacha_schedules!$A$1,0,0,COUNTA(gacha_schedules!$A:$A),MATCH(I$1,gacha_schedules!$1:$1,0)-MATCH($B$1,gacha_schedules!$1:$1,0)+1),MATCH(I$1,gacha_schedules!$1:$1,0)-MATCH($B$1,gacha_schedules!$1:$1,0)+1,FALSE)</f>
        <v>100</v>
      </c>
      <c r="J16" s="26" t="str">
        <f ca="1">VLOOKUP($C16,OFFSET(gachas!$A$1,0,0,COUNTA(gachas!$A:$A),MATCH(J$1,gachas!$1:$1,0)-MATCH($C$1,gachas!$1:$1,0)+1),MATCH(J$1,gachas!$1:$1,0)-MATCH($C$1,gachas!$1:$1,0)+1,FALSE)</f>
        <v>polygon</v>
      </c>
      <c r="K16" s="26">
        <f ca="1">VLOOKUP($C16,OFFSET(gachas!$A$1,0,0,COUNTA(gachas!$A:$A),MATCH(K$1,gachas!$1:$1,0)-MATCH($C$1,gachas!$1:$1,0)+1),MATCH(K$1,gachas!$1:$1,0)-MATCH($C$1,gachas!$1:$1,0)+1,FALSE)</f>
        <v>5</v>
      </c>
    </row>
    <row r="17" spans="1:11" ht="21" customHeight="1">
      <c r="A17" s="12" t="str">
        <f t="shared" si="2"/>
        <v>1080_201</v>
      </c>
      <c r="B17" s="31">
        <v>1080</v>
      </c>
      <c r="C17" s="2">
        <v>201</v>
      </c>
      <c r="D17" s="26" t="str">
        <f ca="1">VLOOKUP($C17,OFFSET(gachas!$A$1,0,0,COUNTA(gachas!$A:$A),MATCH(D$1,gachas!$1:$1,0)-MATCH($C$1,gachas!$1:$1,0)+1),MATCH(D$1,gachas!$1:$1,0)-MATCH($C$1,gachas!$1:$1,0)+1,FALSE)</f>
        <v>男気リンクガチャ（常設）</v>
      </c>
      <c r="E17" s="2">
        <v>2</v>
      </c>
      <c r="F17" s="10" t="str">
        <f ca="1">VLOOKUP($B17,OFFSET(gacha_schedules!$A$1,0,0,COUNTA(gacha_schedules!$A:$A),MATCH(F$1,gacha_schedules!$1:$1,0)-MATCH($B$1,gacha_schedules!$1:$1,0)+1),MATCH(F$1,gacha_schedules!$1:$1,0)-MATCH($B$1,gacha_schedules!$1:$1,0)+1,FALSE)</f>
        <v>2015-09-26 15:00:00</v>
      </c>
      <c r="G17" s="10" t="str">
        <f ca="1">VLOOKUP($B17,OFFSET(gacha_schedules!$A$1,0,0,COUNTA(gacha_schedules!$A:$A),MATCH(G$1,gacha_schedules!$1:$1,0)-MATCH($B$1,gacha_schedules!$1:$1,0)+1),MATCH(G$1,gacha_schedules!$1:$1,0)-MATCH($B$1,gacha_schedules!$1:$1,0)+1,FALSE)</f>
        <v>2015-09-26 23:59:59</v>
      </c>
      <c r="H17" s="10" t="str">
        <f ca="1">VLOOKUP($B17,OFFSET(gacha_schedules!$A$1,0,0,COUNTA(gacha_schedules!$A:$A),MATCH(H$1,gacha_schedules!$1:$1,0)-MATCH($B$1,gacha_schedules!$1:$1,0)+1),MATCH(H$1,gacha_schedules!$1:$1,0)-MATCH($B$1,gacha_schedules!$1:$1,0)+1,FALSE)</f>
        <v>レッド01　開始</v>
      </c>
      <c r="I17" s="26">
        <f ca="1">VLOOKUP($B17,OFFSET(gacha_schedules!$A$1,0,0,COUNTA(gacha_schedules!$A:$A),MATCH(I$1,gacha_schedules!$1:$1,0)-MATCH($B$1,gacha_schedules!$1:$1,0)+1),MATCH(I$1,gacha_schedules!$1:$1,0)-MATCH($B$1,gacha_schedules!$1:$1,0)+1,FALSE)</f>
        <v>100</v>
      </c>
      <c r="J17" s="26" t="str">
        <f ca="1">VLOOKUP($C17,OFFSET(gachas!$A$1,0,0,COUNTA(gachas!$A:$A),MATCH(J$1,gachas!$1:$1,0)-MATCH($C$1,gachas!$1:$1,0)+1),MATCH(J$1,gachas!$1:$1,0)-MATCH($C$1,gachas!$1:$1,0)+1,FALSE)</f>
        <v>link</v>
      </c>
      <c r="K17" s="26">
        <f ca="1">VLOOKUP($C17,OFFSET(gachas!$A$1,0,0,COUNTA(gachas!$A:$A),MATCH(K$1,gachas!$1:$1,0)-MATCH($C$1,gachas!$1:$1,0)+1),MATCH(K$1,gachas!$1:$1,0)-MATCH($C$1,gachas!$1:$1,0)+1,FALSE)</f>
        <v>100</v>
      </c>
    </row>
    <row r="18" spans="1:11" ht="21" customHeight="1">
      <c r="A18" s="12" t="str">
        <f t="shared" ref="A18:A19" si="3">B18&amp;"_"&amp;C18</f>
        <v>1090_109</v>
      </c>
      <c r="B18" s="31">
        <v>1090</v>
      </c>
      <c r="C18" s="2">
        <v>109</v>
      </c>
      <c r="D18" s="26" t="str">
        <f ca="1">VLOOKUP($C18,OFFSET(gachas!$A$1,0,0,COUNTA(gachas!$A:$A),MATCH(D$1,gachas!$1:$1,0)-MATCH($C$1,gachas!$1:$1,0)+1),MATCH(D$1,gachas!$1:$1,0)-MATCH($C$1,gachas!$1:$1,0)+1,FALSE)</f>
        <v>赤アップ0１　あと少し</v>
      </c>
      <c r="E18" s="2">
        <v>1</v>
      </c>
      <c r="F18" s="10" t="str">
        <f ca="1">VLOOKUP($B18,OFFSET(gacha_schedules!$A$1,0,0,COUNTA(gacha_schedules!$A:$A),MATCH(F$1,gacha_schedules!$1:$1,0)-MATCH($B$1,gacha_schedules!$1:$1,0)+1),MATCH(F$1,gacha_schedules!$1:$1,0)-MATCH($B$1,gacha_schedules!$1:$1,0)+1,FALSE)</f>
        <v>2015-09-27 00:00:00</v>
      </c>
      <c r="G18" s="10" t="str">
        <f ca="1">VLOOKUP($B18,OFFSET(gacha_schedules!$A$1,0,0,COUNTA(gacha_schedules!$A:$A),MATCH(G$1,gacha_schedules!$1:$1,0)-MATCH($B$1,gacha_schedules!$1:$1,0)+1),MATCH(G$1,gacha_schedules!$1:$1,0)-MATCH($B$1,gacha_schedules!$1:$1,0)+1,FALSE)</f>
        <v>2015-09-27 23:59:59</v>
      </c>
      <c r="H18" s="10" t="str">
        <f ca="1">VLOOKUP($B18,OFFSET(gacha_schedules!$A$1,0,0,COUNTA(gacha_schedules!$A:$A),MATCH(H$1,gacha_schedules!$1:$1,0)-MATCH($B$1,gacha_schedules!$1:$1,0)+1),MATCH(H$1,gacha_schedules!$1:$1,0)-MATCH($B$1,gacha_schedules!$1:$1,0)+1,FALSE)</f>
        <v>レッド01　あと少し</v>
      </c>
      <c r="I18" s="26">
        <f ca="1">VLOOKUP($B18,OFFSET(gacha_schedules!$A$1,0,0,COUNTA(gacha_schedules!$A:$A),MATCH(I$1,gacha_schedules!$1:$1,0)-MATCH($B$1,gacha_schedules!$1:$1,0)+1),MATCH(I$1,gacha_schedules!$1:$1,0)-MATCH($B$1,gacha_schedules!$1:$1,0)+1,FALSE)</f>
        <v>100</v>
      </c>
      <c r="J18" s="26" t="str">
        <f ca="1">VLOOKUP($C18,OFFSET(gachas!$A$1,0,0,COUNTA(gachas!$A:$A),MATCH(J$1,gachas!$1:$1,0)-MATCH($C$1,gachas!$1:$1,0)+1),MATCH(J$1,gachas!$1:$1,0)-MATCH($C$1,gachas!$1:$1,0)+1,FALSE)</f>
        <v>polygon</v>
      </c>
      <c r="K18" s="26">
        <f ca="1">VLOOKUP($C18,OFFSET(gachas!$A$1,0,0,COUNTA(gachas!$A:$A),MATCH(K$1,gachas!$1:$1,0)-MATCH($C$1,gachas!$1:$1,0)+1),MATCH(K$1,gachas!$1:$1,0)-MATCH($C$1,gachas!$1:$1,0)+1,FALSE)</f>
        <v>5</v>
      </c>
    </row>
    <row r="19" spans="1:11" ht="21" customHeight="1">
      <c r="A19" s="12" t="str">
        <f t="shared" si="3"/>
        <v>1090_201</v>
      </c>
      <c r="B19" s="31">
        <v>1090</v>
      </c>
      <c r="C19" s="2">
        <v>201</v>
      </c>
      <c r="D19" s="26" t="str">
        <f ca="1">VLOOKUP($C19,OFFSET(gachas!$A$1,0,0,COUNTA(gachas!$A:$A),MATCH(D$1,gachas!$1:$1,0)-MATCH($C$1,gachas!$1:$1,0)+1),MATCH(D$1,gachas!$1:$1,0)-MATCH($C$1,gachas!$1:$1,0)+1,FALSE)</f>
        <v>男気リンクガチャ（常設）</v>
      </c>
      <c r="E19" s="2">
        <v>2</v>
      </c>
      <c r="F19" s="10" t="str">
        <f ca="1">VLOOKUP($B19,OFFSET(gacha_schedules!$A$1,0,0,COUNTA(gacha_schedules!$A:$A),MATCH(F$1,gacha_schedules!$1:$1,0)-MATCH($B$1,gacha_schedules!$1:$1,0)+1),MATCH(F$1,gacha_schedules!$1:$1,0)-MATCH($B$1,gacha_schedules!$1:$1,0)+1,FALSE)</f>
        <v>2015-09-27 00:00:00</v>
      </c>
      <c r="G19" s="10" t="str">
        <f ca="1">VLOOKUP($B19,OFFSET(gacha_schedules!$A$1,0,0,COUNTA(gacha_schedules!$A:$A),MATCH(G$1,gacha_schedules!$1:$1,0)-MATCH($B$1,gacha_schedules!$1:$1,0)+1),MATCH(G$1,gacha_schedules!$1:$1,0)-MATCH($B$1,gacha_schedules!$1:$1,0)+1,FALSE)</f>
        <v>2015-09-27 23:59:59</v>
      </c>
      <c r="H19" s="10" t="str">
        <f ca="1">VLOOKUP($B19,OFFSET(gacha_schedules!$A$1,0,0,COUNTA(gacha_schedules!$A:$A),MATCH(H$1,gacha_schedules!$1:$1,0)-MATCH($B$1,gacha_schedules!$1:$1,0)+1),MATCH(H$1,gacha_schedules!$1:$1,0)-MATCH($B$1,gacha_schedules!$1:$1,0)+1,FALSE)</f>
        <v>レッド01　あと少し</v>
      </c>
      <c r="I19" s="26">
        <f ca="1">VLOOKUP($B19,OFFSET(gacha_schedules!$A$1,0,0,COUNTA(gacha_schedules!$A:$A),MATCH(I$1,gacha_schedules!$1:$1,0)-MATCH($B$1,gacha_schedules!$1:$1,0)+1),MATCH(I$1,gacha_schedules!$1:$1,0)-MATCH($B$1,gacha_schedules!$1:$1,0)+1,FALSE)</f>
        <v>100</v>
      </c>
      <c r="J19" s="26" t="str">
        <f ca="1">VLOOKUP($C19,OFFSET(gachas!$A$1,0,0,COUNTA(gachas!$A:$A),MATCH(J$1,gachas!$1:$1,0)-MATCH($C$1,gachas!$1:$1,0)+1),MATCH(J$1,gachas!$1:$1,0)-MATCH($C$1,gachas!$1:$1,0)+1,FALSE)</f>
        <v>link</v>
      </c>
      <c r="K19" s="26">
        <f ca="1">VLOOKUP($C19,OFFSET(gachas!$A$1,0,0,COUNTA(gachas!$A:$A),MATCH(K$1,gachas!$1:$1,0)-MATCH($C$1,gachas!$1:$1,0)+1),MATCH(K$1,gachas!$1:$1,0)-MATCH($C$1,gachas!$1:$1,0)+1,FALSE)</f>
        <v>100</v>
      </c>
    </row>
    <row r="20" spans="1:11" ht="21" customHeight="1">
      <c r="A20" s="12" t="str">
        <f t="shared" ref="A20:A25" si="4">B20&amp;"_"&amp;C20</f>
        <v>1100_110</v>
      </c>
      <c r="B20" s="31">
        <v>1100</v>
      </c>
      <c r="C20" s="2">
        <v>110</v>
      </c>
      <c r="D20" s="26" t="str">
        <f ca="1">VLOOKUP($C20,OFFSET(gachas!$A$1,0,0,COUNTA(gachas!$A:$A),MATCH(D$1,gachas!$1:$1,0)-MATCH($C$1,gachas!$1:$1,0)+1),MATCH(D$1,gachas!$1:$1,0)-MATCH($C$1,gachas!$1:$1,0)+1,FALSE)</f>
        <v>赤アップ0１　最終日</v>
      </c>
      <c r="E20" s="2">
        <v>1</v>
      </c>
      <c r="F20" s="10" t="str">
        <f ca="1">VLOOKUP($B20,OFFSET(gacha_schedules!$A$1,0,0,COUNTA(gacha_schedules!$A:$A),MATCH(F$1,gacha_schedules!$1:$1,0)-MATCH($B$1,gacha_schedules!$1:$1,0)+1),MATCH(F$1,gacha_schedules!$1:$1,0)-MATCH($B$1,gacha_schedules!$1:$1,0)+1,FALSE)</f>
        <v>2015-09-28 00:00:00</v>
      </c>
      <c r="G20" s="10" t="str">
        <f ca="1">VLOOKUP($B20,OFFSET(gacha_schedules!$A$1,0,0,COUNTA(gacha_schedules!$A:$A),MATCH(G$1,gacha_schedules!$1:$1,0)-MATCH($B$1,gacha_schedules!$1:$1,0)+1),MATCH(G$1,gacha_schedules!$1:$1,0)-MATCH($B$1,gacha_schedules!$1:$1,0)+1,FALSE)</f>
        <v>2015-09-28 14:59:59</v>
      </c>
      <c r="H20" s="10" t="str">
        <f ca="1">VLOOKUP($B20,OFFSET(gacha_schedules!$A$1,0,0,COUNTA(gacha_schedules!$A:$A),MATCH(H$1,gacha_schedules!$1:$1,0)-MATCH($B$1,gacha_schedules!$1:$1,0)+1),MATCH(H$1,gacha_schedules!$1:$1,0)-MATCH($B$1,gacha_schedules!$1:$1,0)+1,FALSE)</f>
        <v>レッド01　後1日</v>
      </c>
      <c r="I20" s="26">
        <f ca="1">VLOOKUP($B20,OFFSET(gacha_schedules!$A$1,0,0,COUNTA(gacha_schedules!$A:$A),MATCH(I$1,gacha_schedules!$1:$1,0)-MATCH($B$1,gacha_schedules!$1:$1,0)+1),MATCH(I$1,gacha_schedules!$1:$1,0)-MATCH($B$1,gacha_schedules!$1:$1,0)+1,FALSE)</f>
        <v>100</v>
      </c>
      <c r="J20" s="26" t="str">
        <f ca="1">VLOOKUP($C20,OFFSET(gachas!$A$1,0,0,COUNTA(gachas!$A:$A),MATCH(J$1,gachas!$1:$1,0)-MATCH($C$1,gachas!$1:$1,0)+1),MATCH(J$1,gachas!$1:$1,0)-MATCH($C$1,gachas!$1:$1,0)+1,FALSE)</f>
        <v>polygon</v>
      </c>
      <c r="K20" s="26">
        <f ca="1">VLOOKUP($C20,OFFSET(gachas!$A$1,0,0,COUNTA(gachas!$A:$A),MATCH(K$1,gachas!$1:$1,0)-MATCH($C$1,gachas!$1:$1,0)+1),MATCH(K$1,gachas!$1:$1,0)-MATCH($C$1,gachas!$1:$1,0)+1,FALSE)</f>
        <v>5</v>
      </c>
    </row>
    <row r="21" spans="1:11" ht="21" customHeight="1">
      <c r="A21" s="12" t="str">
        <f t="shared" si="4"/>
        <v>1100_201</v>
      </c>
      <c r="B21" s="31">
        <v>1100</v>
      </c>
      <c r="C21" s="2">
        <v>201</v>
      </c>
      <c r="D21" s="26" t="str">
        <f ca="1">VLOOKUP($C21,OFFSET(gachas!$A$1,0,0,COUNTA(gachas!$A:$A),MATCH(D$1,gachas!$1:$1,0)-MATCH($C$1,gachas!$1:$1,0)+1),MATCH(D$1,gachas!$1:$1,0)-MATCH($C$1,gachas!$1:$1,0)+1,FALSE)</f>
        <v>男気リンクガチャ（常設）</v>
      </c>
      <c r="E21" s="2">
        <v>2</v>
      </c>
      <c r="F21" s="10" t="str">
        <f ca="1">VLOOKUP($B21,OFFSET(gacha_schedules!$A$1,0,0,COUNTA(gacha_schedules!$A:$A),MATCH(F$1,gacha_schedules!$1:$1,0)-MATCH($B$1,gacha_schedules!$1:$1,0)+1),MATCH(F$1,gacha_schedules!$1:$1,0)-MATCH($B$1,gacha_schedules!$1:$1,0)+1,FALSE)</f>
        <v>2015-09-28 00:00:00</v>
      </c>
      <c r="G21" s="10" t="str">
        <f ca="1">VLOOKUP($B21,OFFSET(gacha_schedules!$A$1,0,0,COUNTA(gacha_schedules!$A:$A),MATCH(G$1,gacha_schedules!$1:$1,0)-MATCH($B$1,gacha_schedules!$1:$1,0)+1),MATCH(G$1,gacha_schedules!$1:$1,0)-MATCH($B$1,gacha_schedules!$1:$1,0)+1,FALSE)</f>
        <v>2015-09-28 14:59:59</v>
      </c>
      <c r="H21" s="10" t="str">
        <f ca="1">VLOOKUP($B21,OFFSET(gacha_schedules!$A$1,0,0,COUNTA(gacha_schedules!$A:$A),MATCH(H$1,gacha_schedules!$1:$1,0)-MATCH($B$1,gacha_schedules!$1:$1,0)+1),MATCH(H$1,gacha_schedules!$1:$1,0)-MATCH($B$1,gacha_schedules!$1:$1,0)+1,FALSE)</f>
        <v>レッド01　後1日</v>
      </c>
      <c r="I21" s="26">
        <f ca="1">VLOOKUP($B21,OFFSET(gacha_schedules!$A$1,0,0,COUNTA(gacha_schedules!$A:$A),MATCH(I$1,gacha_schedules!$1:$1,0)-MATCH($B$1,gacha_schedules!$1:$1,0)+1),MATCH(I$1,gacha_schedules!$1:$1,0)-MATCH($B$1,gacha_schedules!$1:$1,0)+1,FALSE)</f>
        <v>100</v>
      </c>
      <c r="J21" s="26" t="str">
        <f ca="1">VLOOKUP($C21,OFFSET(gachas!$A$1,0,0,COUNTA(gachas!$A:$A),MATCH(J$1,gachas!$1:$1,0)-MATCH($C$1,gachas!$1:$1,0)+1),MATCH(J$1,gachas!$1:$1,0)-MATCH($C$1,gachas!$1:$1,0)+1,FALSE)</f>
        <v>link</v>
      </c>
      <c r="K21" s="26">
        <f ca="1">VLOOKUP($C21,OFFSET(gachas!$A$1,0,0,COUNTA(gachas!$A:$A),MATCH(K$1,gachas!$1:$1,0)-MATCH($C$1,gachas!$1:$1,0)+1),MATCH(K$1,gachas!$1:$1,0)-MATCH($C$1,gachas!$1:$1,0)+1,FALSE)</f>
        <v>100</v>
      </c>
    </row>
    <row r="22" spans="1:11" ht="21" customHeight="1">
      <c r="A22" s="12" t="str">
        <f t="shared" si="4"/>
        <v>1110_111</v>
      </c>
      <c r="B22" s="31">
        <v>1110</v>
      </c>
      <c r="C22" s="2">
        <v>111</v>
      </c>
      <c r="D22" s="26" t="str">
        <f ca="1">VLOOKUP($C22,OFFSET(gachas!$A$1,0,0,COUNTA(gachas!$A:$A),MATCH(D$1,gachas!$1:$1,0)-MATCH($C$1,gachas!$1:$1,0)+1),MATCH(D$1,gachas!$1:$1,0)-MATCH($C$1,gachas!$1:$1,0)+1,FALSE)</f>
        <v>ピックアップ02(沖田) 開始</v>
      </c>
      <c r="E22" s="2">
        <v>1</v>
      </c>
      <c r="F22" s="10" t="str">
        <f ca="1">VLOOKUP($B22,OFFSET(gacha_schedules!$A$1,0,0,COUNTA(gacha_schedules!$A:$A),MATCH(F$1,gacha_schedules!$1:$1,0)-MATCH($B$1,gacha_schedules!$1:$1,0)+1),MATCH(F$1,gacha_schedules!$1:$1,0)-MATCH($B$1,gacha_schedules!$1:$1,0)+1,FALSE)</f>
        <v>2015-09-22 15:00:00</v>
      </c>
      <c r="G22" s="10" t="str">
        <f ca="1">VLOOKUP($B22,OFFSET(gacha_schedules!$A$1,0,0,COUNTA(gacha_schedules!$A:$A),MATCH(G$1,gacha_schedules!$1:$1,0)-MATCH($B$1,gacha_schedules!$1:$1,0)+1),MATCH(G$1,gacha_schedules!$1:$1,0)-MATCH($B$1,gacha_schedules!$1:$1,0)+1,FALSE)</f>
        <v>2015-09-23 23:59:59</v>
      </c>
      <c r="H22" s="10" t="str">
        <f ca="1">VLOOKUP($B22,OFFSET(gacha_schedules!$A$1,0,0,COUNTA(gacha_schedules!$A:$A),MATCH(H$1,gacha_schedules!$1:$1,0)-MATCH($B$1,gacha_schedules!$1:$1,0)+1),MATCH(H$1,gacha_schedules!$1:$1,0)-MATCH($B$1,gacha_schedules!$1:$1,0)+1,FALSE)</f>
        <v>ピックアップ02(沖田)　開始</v>
      </c>
      <c r="I22" s="26">
        <f ca="1">VLOOKUP($B22,OFFSET(gacha_schedules!$A$1,0,0,COUNTA(gacha_schedules!$A:$A),MATCH(I$1,gacha_schedules!$1:$1,0)-MATCH($B$1,gacha_schedules!$1:$1,0)+1),MATCH(I$1,gacha_schedules!$1:$1,0)-MATCH($B$1,gacha_schedules!$1:$1,0)+1,FALSE)</f>
        <v>100</v>
      </c>
      <c r="J22" s="26" t="str">
        <f ca="1">VLOOKUP($C22,OFFSET(gachas!$A$1,0,0,COUNTA(gachas!$A:$A),MATCH(J$1,gachas!$1:$1,0)-MATCH($C$1,gachas!$1:$1,0)+1),MATCH(J$1,gachas!$1:$1,0)-MATCH($C$1,gachas!$1:$1,0)+1,FALSE)</f>
        <v>polygon</v>
      </c>
      <c r="K22" s="26">
        <f ca="1">VLOOKUP($C22,OFFSET(gachas!$A$1,0,0,COUNTA(gachas!$A:$A),MATCH(K$1,gachas!$1:$1,0)-MATCH($C$1,gachas!$1:$1,0)+1),MATCH(K$1,gachas!$1:$1,0)-MATCH($C$1,gachas!$1:$1,0)+1,FALSE)</f>
        <v>5</v>
      </c>
    </row>
    <row r="23" spans="1:11" ht="21" customHeight="1">
      <c r="A23" s="12" t="str">
        <f t="shared" si="4"/>
        <v>1110_201</v>
      </c>
      <c r="B23" s="31">
        <v>1110</v>
      </c>
      <c r="C23" s="2">
        <v>201</v>
      </c>
      <c r="D23" s="26" t="str">
        <f ca="1">VLOOKUP($C23,OFFSET(gachas!$A$1,0,0,COUNTA(gachas!$A:$A),MATCH(D$1,gachas!$1:$1,0)-MATCH($C$1,gachas!$1:$1,0)+1),MATCH(D$1,gachas!$1:$1,0)-MATCH($C$1,gachas!$1:$1,0)+1,FALSE)</f>
        <v>男気リンクガチャ（常設）</v>
      </c>
      <c r="E23" s="2">
        <v>2</v>
      </c>
      <c r="F23" s="10" t="str">
        <f ca="1">VLOOKUP($B23,OFFSET(gacha_schedules!$A$1,0,0,COUNTA(gacha_schedules!$A:$A),MATCH(F$1,gacha_schedules!$1:$1,0)-MATCH($B$1,gacha_schedules!$1:$1,0)+1),MATCH(F$1,gacha_schedules!$1:$1,0)-MATCH($B$1,gacha_schedules!$1:$1,0)+1,FALSE)</f>
        <v>2015-09-22 15:00:00</v>
      </c>
      <c r="G23" s="10" t="str">
        <f ca="1">VLOOKUP($B23,OFFSET(gacha_schedules!$A$1,0,0,COUNTA(gacha_schedules!$A:$A),MATCH(G$1,gacha_schedules!$1:$1,0)-MATCH($B$1,gacha_schedules!$1:$1,0)+1),MATCH(G$1,gacha_schedules!$1:$1,0)-MATCH($B$1,gacha_schedules!$1:$1,0)+1,FALSE)</f>
        <v>2015-09-23 23:59:59</v>
      </c>
      <c r="H23" s="10" t="str">
        <f ca="1">VLOOKUP($B23,OFFSET(gacha_schedules!$A$1,0,0,COUNTA(gacha_schedules!$A:$A),MATCH(H$1,gacha_schedules!$1:$1,0)-MATCH($B$1,gacha_schedules!$1:$1,0)+1),MATCH(H$1,gacha_schedules!$1:$1,0)-MATCH($B$1,gacha_schedules!$1:$1,0)+1,FALSE)</f>
        <v>ピックアップ02(沖田)　開始</v>
      </c>
      <c r="I23" s="26">
        <f ca="1">VLOOKUP($B23,OFFSET(gacha_schedules!$A$1,0,0,COUNTA(gacha_schedules!$A:$A),MATCH(I$1,gacha_schedules!$1:$1,0)-MATCH($B$1,gacha_schedules!$1:$1,0)+1),MATCH(I$1,gacha_schedules!$1:$1,0)-MATCH($B$1,gacha_schedules!$1:$1,0)+1,FALSE)</f>
        <v>100</v>
      </c>
      <c r="J23" s="26" t="str">
        <f ca="1">VLOOKUP($C23,OFFSET(gachas!$A$1,0,0,COUNTA(gachas!$A:$A),MATCH(J$1,gachas!$1:$1,0)-MATCH($C$1,gachas!$1:$1,0)+1),MATCH(J$1,gachas!$1:$1,0)-MATCH($C$1,gachas!$1:$1,0)+1,FALSE)</f>
        <v>link</v>
      </c>
      <c r="K23" s="26">
        <f ca="1">VLOOKUP($C23,OFFSET(gachas!$A$1,0,0,COUNTA(gachas!$A:$A),MATCH(K$1,gachas!$1:$1,0)-MATCH($C$1,gachas!$1:$1,0)+1),MATCH(K$1,gachas!$1:$1,0)-MATCH($C$1,gachas!$1:$1,0)+1,FALSE)</f>
        <v>100</v>
      </c>
    </row>
    <row r="24" spans="1:11" ht="21" customHeight="1">
      <c r="A24" s="12" t="str">
        <f t="shared" si="4"/>
        <v>1120_112</v>
      </c>
      <c r="B24" s="31">
        <v>1120</v>
      </c>
      <c r="C24" s="2">
        <v>112</v>
      </c>
      <c r="D24" s="26" t="str">
        <f ca="1">VLOOKUP($C24,OFFSET(gachas!$A$1,0,0,COUNTA(gachas!$A:$A),MATCH(D$1,gachas!$1:$1,0)-MATCH($C$1,gachas!$1:$1,0)+1),MATCH(D$1,gachas!$1:$1,0)-MATCH($C$1,gachas!$1:$1,0)+1,FALSE)</f>
        <v>ピックアップ02(沖田) あと少し</v>
      </c>
      <c r="E24" s="2">
        <v>1</v>
      </c>
      <c r="F24" s="10" t="str">
        <f ca="1">VLOOKUP($B24,OFFSET(gacha_schedules!$A$1,0,0,COUNTA(gacha_schedules!$A:$A),MATCH(F$1,gacha_schedules!$1:$1,0)-MATCH($B$1,gacha_schedules!$1:$1,0)+1),MATCH(F$1,gacha_schedules!$1:$1,0)-MATCH($B$1,gacha_schedules!$1:$1,0)+1,FALSE)</f>
        <v>2015-09-24 00:00:00</v>
      </c>
      <c r="G24" s="10" t="str">
        <f ca="1">VLOOKUP($B24,OFFSET(gacha_schedules!$A$1,0,0,COUNTA(gacha_schedules!$A:$A),MATCH(G$1,gacha_schedules!$1:$1,0)-MATCH($B$1,gacha_schedules!$1:$1,0)+1),MATCH(G$1,gacha_schedules!$1:$1,0)-MATCH($B$1,gacha_schedules!$1:$1,0)+1,FALSE)</f>
        <v>2015-09-24 23:59:59</v>
      </c>
      <c r="H24" s="10" t="str">
        <f ca="1">VLOOKUP($B24,OFFSET(gacha_schedules!$A$1,0,0,COUNTA(gacha_schedules!$A:$A),MATCH(H$1,gacha_schedules!$1:$1,0)-MATCH($B$1,gacha_schedules!$1:$1,0)+1),MATCH(H$1,gacha_schedules!$1:$1,0)-MATCH($B$1,gacha_schedules!$1:$1,0)+1,FALSE)</f>
        <v>ピックアップ02(沖田)　後少し</v>
      </c>
      <c r="I24" s="26">
        <f ca="1">VLOOKUP($B24,OFFSET(gacha_schedules!$A$1,0,0,COUNTA(gacha_schedules!$A:$A),MATCH(I$1,gacha_schedules!$1:$1,0)-MATCH($B$1,gacha_schedules!$1:$1,0)+1),MATCH(I$1,gacha_schedules!$1:$1,0)-MATCH($B$1,gacha_schedules!$1:$1,0)+1,FALSE)</f>
        <v>100</v>
      </c>
      <c r="J24" s="26" t="str">
        <f ca="1">VLOOKUP($C24,OFFSET(gachas!$A$1,0,0,COUNTA(gachas!$A:$A),MATCH(J$1,gachas!$1:$1,0)-MATCH($C$1,gachas!$1:$1,0)+1),MATCH(J$1,gachas!$1:$1,0)-MATCH($C$1,gachas!$1:$1,0)+1,FALSE)</f>
        <v>polygon</v>
      </c>
      <c r="K24" s="26">
        <f ca="1">VLOOKUP($C24,OFFSET(gachas!$A$1,0,0,COUNTA(gachas!$A:$A),MATCH(K$1,gachas!$1:$1,0)-MATCH($C$1,gachas!$1:$1,0)+1),MATCH(K$1,gachas!$1:$1,0)-MATCH($C$1,gachas!$1:$1,0)+1,FALSE)</f>
        <v>5</v>
      </c>
    </row>
    <row r="25" spans="1:11" ht="21" customHeight="1">
      <c r="A25" s="12" t="str">
        <f t="shared" si="4"/>
        <v>1120_201</v>
      </c>
      <c r="B25" s="31">
        <v>1120</v>
      </c>
      <c r="C25" s="2">
        <v>201</v>
      </c>
      <c r="D25" s="26" t="str">
        <f ca="1">VLOOKUP($C25,OFFSET(gachas!$A$1,0,0,COUNTA(gachas!$A:$A),MATCH(D$1,gachas!$1:$1,0)-MATCH($C$1,gachas!$1:$1,0)+1),MATCH(D$1,gachas!$1:$1,0)-MATCH($C$1,gachas!$1:$1,0)+1,FALSE)</f>
        <v>男気リンクガチャ（常設）</v>
      </c>
      <c r="E25" s="2">
        <v>2</v>
      </c>
      <c r="F25" s="10" t="str">
        <f ca="1">VLOOKUP($B25,OFFSET(gacha_schedules!$A$1,0,0,COUNTA(gacha_schedules!$A:$A),MATCH(F$1,gacha_schedules!$1:$1,0)-MATCH($B$1,gacha_schedules!$1:$1,0)+1),MATCH(F$1,gacha_schedules!$1:$1,0)-MATCH($B$1,gacha_schedules!$1:$1,0)+1,FALSE)</f>
        <v>2015-09-24 00:00:00</v>
      </c>
      <c r="G25" s="10" t="str">
        <f ca="1">VLOOKUP($B25,OFFSET(gacha_schedules!$A$1,0,0,COUNTA(gacha_schedules!$A:$A),MATCH(G$1,gacha_schedules!$1:$1,0)-MATCH($B$1,gacha_schedules!$1:$1,0)+1),MATCH(G$1,gacha_schedules!$1:$1,0)-MATCH($B$1,gacha_schedules!$1:$1,0)+1,FALSE)</f>
        <v>2015-09-24 23:59:59</v>
      </c>
      <c r="H25" s="10" t="str">
        <f ca="1">VLOOKUP($B25,OFFSET(gacha_schedules!$A$1,0,0,COUNTA(gacha_schedules!$A:$A),MATCH(H$1,gacha_schedules!$1:$1,0)-MATCH($B$1,gacha_schedules!$1:$1,0)+1),MATCH(H$1,gacha_schedules!$1:$1,0)-MATCH($B$1,gacha_schedules!$1:$1,0)+1,FALSE)</f>
        <v>ピックアップ02(沖田)　後少し</v>
      </c>
      <c r="I25" s="26">
        <f ca="1">VLOOKUP($B25,OFFSET(gacha_schedules!$A$1,0,0,COUNTA(gacha_schedules!$A:$A),MATCH(I$1,gacha_schedules!$1:$1,0)-MATCH($B$1,gacha_schedules!$1:$1,0)+1),MATCH(I$1,gacha_schedules!$1:$1,0)-MATCH($B$1,gacha_schedules!$1:$1,0)+1,FALSE)</f>
        <v>100</v>
      </c>
      <c r="J25" s="26" t="str">
        <f ca="1">VLOOKUP($C25,OFFSET(gachas!$A$1,0,0,COUNTA(gachas!$A:$A),MATCH(J$1,gachas!$1:$1,0)-MATCH($C$1,gachas!$1:$1,0)+1),MATCH(J$1,gachas!$1:$1,0)-MATCH($C$1,gachas!$1:$1,0)+1,FALSE)</f>
        <v>link</v>
      </c>
      <c r="K25" s="26">
        <f ca="1">VLOOKUP($C25,OFFSET(gachas!$A$1,0,0,COUNTA(gachas!$A:$A),MATCH(K$1,gachas!$1:$1,0)-MATCH($C$1,gachas!$1:$1,0)+1),MATCH(K$1,gachas!$1:$1,0)-MATCH($C$1,gachas!$1:$1,0)+1,FALSE)</f>
        <v>100</v>
      </c>
    </row>
    <row r="26" spans="1:11" ht="21" customHeight="1">
      <c r="A26" s="12" t="str">
        <f t="shared" ref="A26:A31" si="5">B26&amp;"_"&amp;C26</f>
        <v>1130_113</v>
      </c>
      <c r="B26" s="31">
        <v>1130</v>
      </c>
      <c r="C26" s="2">
        <v>113</v>
      </c>
      <c r="D26" s="26" t="str">
        <f ca="1">VLOOKUP($C26,OFFSET(gachas!$A$1,0,0,COUNTA(gachas!$A:$A),MATCH(D$1,gachas!$1:$1,0)-MATCH($C$1,gachas!$1:$1,0)+1),MATCH(D$1,gachas!$1:$1,0)-MATCH($C$1,gachas!$1:$1,0)+1,FALSE)</f>
        <v>ピックアップ02(沖田) 最終日</v>
      </c>
      <c r="E26" s="2">
        <v>1</v>
      </c>
      <c r="F26" s="10" t="str">
        <f ca="1">VLOOKUP($B26,OFFSET(gacha_schedules!$A$1,0,0,COUNTA(gacha_schedules!$A:$A),MATCH(F$1,gacha_schedules!$1:$1,0)-MATCH($B$1,gacha_schedules!$1:$1,0)+1),MATCH(F$1,gacha_schedules!$1:$1,0)-MATCH($B$1,gacha_schedules!$1:$1,0)+1,FALSE)</f>
        <v>2015-09-25 00:00:00</v>
      </c>
      <c r="G26" s="10" t="str">
        <f ca="1">VLOOKUP($B26,OFFSET(gacha_schedules!$A$1,0,0,COUNTA(gacha_schedules!$A:$A),MATCH(G$1,gacha_schedules!$1:$1,0)-MATCH($B$1,gacha_schedules!$1:$1,0)+1),MATCH(G$1,gacha_schedules!$1:$1,0)-MATCH($B$1,gacha_schedules!$1:$1,0)+1,FALSE)</f>
        <v>2015-09-25 14:59:59</v>
      </c>
      <c r="H26" s="10" t="str">
        <f ca="1">VLOOKUP($B26,OFFSET(gacha_schedules!$A$1,0,0,COUNTA(gacha_schedules!$A:$A),MATCH(H$1,gacha_schedules!$1:$1,0)-MATCH($B$1,gacha_schedules!$1:$1,0)+1),MATCH(H$1,gacha_schedules!$1:$1,0)-MATCH($B$1,gacha_schedules!$1:$1,0)+1,FALSE)</f>
        <v>ピックアップ02(沖田)　後1日</v>
      </c>
      <c r="I26" s="26">
        <f ca="1">VLOOKUP($B26,OFFSET(gacha_schedules!$A$1,0,0,COUNTA(gacha_schedules!$A:$A),MATCH(I$1,gacha_schedules!$1:$1,0)-MATCH($B$1,gacha_schedules!$1:$1,0)+1),MATCH(I$1,gacha_schedules!$1:$1,0)-MATCH($B$1,gacha_schedules!$1:$1,0)+1,FALSE)</f>
        <v>100</v>
      </c>
      <c r="J26" s="26" t="str">
        <f ca="1">VLOOKUP($C26,OFFSET(gachas!$A$1,0,0,COUNTA(gachas!$A:$A),MATCH(J$1,gachas!$1:$1,0)-MATCH($C$1,gachas!$1:$1,0)+1),MATCH(J$1,gachas!$1:$1,0)-MATCH($C$1,gachas!$1:$1,0)+1,FALSE)</f>
        <v>polygon</v>
      </c>
      <c r="K26" s="26">
        <f ca="1">VLOOKUP($C26,OFFSET(gachas!$A$1,0,0,COUNTA(gachas!$A:$A),MATCH(K$1,gachas!$1:$1,0)-MATCH($C$1,gachas!$1:$1,0)+1),MATCH(K$1,gachas!$1:$1,0)-MATCH($C$1,gachas!$1:$1,0)+1,FALSE)</f>
        <v>5</v>
      </c>
    </row>
    <row r="27" spans="1:11" ht="21" customHeight="1">
      <c r="A27" s="12" t="str">
        <f t="shared" si="5"/>
        <v>1130_201</v>
      </c>
      <c r="B27" s="31">
        <v>1130</v>
      </c>
      <c r="C27" s="2">
        <v>201</v>
      </c>
      <c r="D27" s="26" t="str">
        <f ca="1">VLOOKUP($C27,OFFSET(gachas!$A$1,0,0,COUNTA(gachas!$A:$A),MATCH(D$1,gachas!$1:$1,0)-MATCH($C$1,gachas!$1:$1,0)+1),MATCH(D$1,gachas!$1:$1,0)-MATCH($C$1,gachas!$1:$1,0)+1,FALSE)</f>
        <v>男気リンクガチャ（常設）</v>
      </c>
      <c r="E27" s="2">
        <v>2</v>
      </c>
      <c r="F27" s="10" t="str">
        <f ca="1">VLOOKUP($B27,OFFSET(gacha_schedules!$A$1,0,0,COUNTA(gacha_schedules!$A:$A),MATCH(F$1,gacha_schedules!$1:$1,0)-MATCH($B$1,gacha_schedules!$1:$1,0)+1),MATCH(F$1,gacha_schedules!$1:$1,0)-MATCH($B$1,gacha_schedules!$1:$1,0)+1,FALSE)</f>
        <v>2015-09-25 00:00:00</v>
      </c>
      <c r="G27" s="10" t="str">
        <f ca="1">VLOOKUP($B27,OFFSET(gacha_schedules!$A$1,0,0,COUNTA(gacha_schedules!$A:$A),MATCH(G$1,gacha_schedules!$1:$1,0)-MATCH($B$1,gacha_schedules!$1:$1,0)+1),MATCH(G$1,gacha_schedules!$1:$1,0)-MATCH($B$1,gacha_schedules!$1:$1,0)+1,FALSE)</f>
        <v>2015-09-25 14:59:59</v>
      </c>
      <c r="H27" s="10" t="str">
        <f ca="1">VLOOKUP($B27,OFFSET(gacha_schedules!$A$1,0,0,COUNTA(gacha_schedules!$A:$A),MATCH(H$1,gacha_schedules!$1:$1,0)-MATCH($B$1,gacha_schedules!$1:$1,0)+1),MATCH(H$1,gacha_schedules!$1:$1,0)-MATCH($B$1,gacha_schedules!$1:$1,0)+1,FALSE)</f>
        <v>ピックアップ02(沖田)　後1日</v>
      </c>
      <c r="I27" s="26">
        <f ca="1">VLOOKUP($B27,OFFSET(gacha_schedules!$A$1,0,0,COUNTA(gacha_schedules!$A:$A),MATCH(I$1,gacha_schedules!$1:$1,0)-MATCH($B$1,gacha_schedules!$1:$1,0)+1),MATCH(I$1,gacha_schedules!$1:$1,0)-MATCH($B$1,gacha_schedules!$1:$1,0)+1,FALSE)</f>
        <v>100</v>
      </c>
      <c r="J27" s="26" t="str">
        <f ca="1">VLOOKUP($C27,OFFSET(gachas!$A$1,0,0,COUNTA(gachas!$A:$A),MATCH(J$1,gachas!$1:$1,0)-MATCH($C$1,gachas!$1:$1,0)+1),MATCH(J$1,gachas!$1:$1,0)-MATCH($C$1,gachas!$1:$1,0)+1,FALSE)</f>
        <v>link</v>
      </c>
      <c r="K27" s="26">
        <f ca="1">VLOOKUP($C27,OFFSET(gachas!$A$1,0,0,COUNTA(gachas!$A:$A),MATCH(K$1,gachas!$1:$1,0)-MATCH($C$1,gachas!$1:$1,0)+1),MATCH(K$1,gachas!$1:$1,0)-MATCH($C$1,gachas!$1:$1,0)+1,FALSE)</f>
        <v>100</v>
      </c>
    </row>
    <row r="28" spans="1:11" ht="21" customHeight="1">
      <c r="A28" s="12" t="str">
        <f t="shared" si="5"/>
        <v>1131_107</v>
      </c>
      <c r="B28" s="31">
        <v>1131</v>
      </c>
      <c r="C28" s="2">
        <v>107</v>
      </c>
      <c r="D28" s="26" t="str">
        <f ca="1">VLOOKUP($C28,OFFSET(gachas!$A$1,0,0,COUNTA(gachas!$A:$A),MATCH(D$1,gachas!$1:$1,0)-MATCH($C$1,gachas!$1:$1,0)+1),MATCH(D$1,gachas!$1:$1,0)-MATCH($C$1,gachas!$1:$1,0)+1,FALSE)</f>
        <v>新キャラ追加03（新撰組）</v>
      </c>
      <c r="E28" s="2">
        <v>1</v>
      </c>
      <c r="F28" s="10" t="str">
        <f ca="1">VLOOKUP($B28,OFFSET(gacha_schedules!$A$1,0,0,COUNTA(gacha_schedules!$A:$A),MATCH(F$1,gacha_schedules!$1:$1,0)-MATCH($B$1,gacha_schedules!$1:$1,0)+1),MATCH(F$1,gacha_schedules!$1:$1,0)-MATCH($B$1,gacha_schedules!$1:$1,0)+1,FALSE)</f>
        <v>2015-09-25 15:00:00</v>
      </c>
      <c r="G28" s="10" t="str">
        <f ca="1">VLOOKUP($B28,OFFSET(gacha_schedules!$A$1,0,0,COUNTA(gacha_schedules!$A:$A),MATCH(G$1,gacha_schedules!$1:$1,0)-MATCH($B$1,gacha_schedules!$1:$1,0)+1),MATCH(G$1,gacha_schedules!$1:$1,0)-MATCH($B$1,gacha_schedules!$1:$1,0)+1,FALSE)</f>
        <v>2015-09-26 14:59:59</v>
      </c>
      <c r="H28" s="10" t="str">
        <f ca="1">VLOOKUP($B28,OFFSET(gacha_schedules!$A$1,0,0,COUNTA(gacha_schedules!$A:$A),MATCH(H$1,gacha_schedules!$1:$1,0)-MATCH($B$1,gacha_schedules!$1:$1,0)+1),MATCH(H$1,gacha_schedules!$1:$1,0)-MATCH($B$1,gacha_schedules!$1:$1,0)+1,FALSE)</f>
        <v>新ガチャ０３（新撰組)ピックアップ後用</v>
      </c>
      <c r="I28" s="26">
        <f ca="1">VLOOKUP($B28,OFFSET(gacha_schedules!$A$1,0,0,COUNTA(gacha_schedules!$A:$A),MATCH(I$1,gacha_schedules!$1:$1,0)-MATCH($B$1,gacha_schedules!$1:$1,0)+1),MATCH(I$1,gacha_schedules!$1:$1,0)-MATCH($B$1,gacha_schedules!$1:$1,0)+1,FALSE)</f>
        <v>50</v>
      </c>
      <c r="J28" s="26" t="str">
        <f ca="1">VLOOKUP($C28,OFFSET(gachas!$A$1,0,0,COUNTA(gachas!$A:$A),MATCH(J$1,gachas!$1:$1,0)-MATCH($C$1,gachas!$1:$1,0)+1),MATCH(J$1,gachas!$1:$1,0)-MATCH($C$1,gachas!$1:$1,0)+1,FALSE)</f>
        <v>polygon</v>
      </c>
      <c r="K28" s="26">
        <f ca="1">VLOOKUP($C28,OFFSET(gachas!$A$1,0,0,COUNTA(gachas!$A:$A),MATCH(K$1,gachas!$1:$1,0)-MATCH($C$1,gachas!$1:$1,0)+1),MATCH(K$1,gachas!$1:$1,0)-MATCH($C$1,gachas!$1:$1,0)+1,FALSE)</f>
        <v>5</v>
      </c>
    </row>
    <row r="29" spans="1:11" ht="21" customHeight="1">
      <c r="A29" s="12" t="str">
        <f t="shared" si="5"/>
        <v>1131_201</v>
      </c>
      <c r="B29" s="31">
        <v>1131</v>
      </c>
      <c r="C29" s="2">
        <v>201</v>
      </c>
      <c r="D29" s="26" t="str">
        <f ca="1">VLOOKUP($C29,OFFSET(gachas!$A$1,0,0,COUNTA(gachas!$A:$A),MATCH(D$1,gachas!$1:$1,0)-MATCH($C$1,gachas!$1:$1,0)+1),MATCH(D$1,gachas!$1:$1,0)-MATCH($C$1,gachas!$1:$1,0)+1,FALSE)</f>
        <v>男気リンクガチャ（常設）</v>
      </c>
      <c r="E29" s="2">
        <v>2</v>
      </c>
      <c r="F29" s="10" t="str">
        <f ca="1">VLOOKUP($B29,OFFSET(gacha_schedules!$A$1,0,0,COUNTA(gacha_schedules!$A:$A),MATCH(F$1,gacha_schedules!$1:$1,0)-MATCH($B$1,gacha_schedules!$1:$1,0)+1),MATCH(F$1,gacha_schedules!$1:$1,0)-MATCH($B$1,gacha_schedules!$1:$1,0)+1,FALSE)</f>
        <v>2015-09-25 15:00:00</v>
      </c>
      <c r="G29" s="10" t="str">
        <f ca="1">VLOOKUP($B29,OFFSET(gacha_schedules!$A$1,0,0,COUNTA(gacha_schedules!$A:$A),MATCH(G$1,gacha_schedules!$1:$1,0)-MATCH($B$1,gacha_schedules!$1:$1,0)+1),MATCH(G$1,gacha_schedules!$1:$1,0)-MATCH($B$1,gacha_schedules!$1:$1,0)+1,FALSE)</f>
        <v>2015-09-26 14:59:59</v>
      </c>
      <c r="H29" s="10" t="str">
        <f ca="1">VLOOKUP($B29,OFFSET(gacha_schedules!$A$1,0,0,COUNTA(gacha_schedules!$A:$A),MATCH(H$1,gacha_schedules!$1:$1,0)-MATCH($B$1,gacha_schedules!$1:$1,0)+1),MATCH(H$1,gacha_schedules!$1:$1,0)-MATCH($B$1,gacha_schedules!$1:$1,0)+1,FALSE)</f>
        <v>新ガチャ０３（新撰組)ピックアップ後用</v>
      </c>
      <c r="I29" s="26">
        <f ca="1">VLOOKUP($B29,OFFSET(gacha_schedules!$A$1,0,0,COUNTA(gacha_schedules!$A:$A),MATCH(I$1,gacha_schedules!$1:$1,0)-MATCH($B$1,gacha_schedules!$1:$1,0)+1),MATCH(I$1,gacha_schedules!$1:$1,0)-MATCH($B$1,gacha_schedules!$1:$1,0)+1,FALSE)</f>
        <v>50</v>
      </c>
      <c r="J29" s="26" t="str">
        <f ca="1">VLOOKUP($C29,OFFSET(gachas!$A$1,0,0,COUNTA(gachas!$A:$A),MATCH(J$1,gachas!$1:$1,0)-MATCH($C$1,gachas!$1:$1,0)+1),MATCH(J$1,gachas!$1:$1,0)-MATCH($C$1,gachas!$1:$1,0)+1,FALSE)</f>
        <v>link</v>
      </c>
      <c r="K29" s="26">
        <f ca="1">VLOOKUP($C29,OFFSET(gachas!$A$1,0,0,COUNTA(gachas!$A:$A),MATCH(K$1,gachas!$1:$1,0)-MATCH($C$1,gachas!$1:$1,0)+1),MATCH(K$1,gachas!$1:$1,0)-MATCH($C$1,gachas!$1:$1,0)+1,FALSE)</f>
        <v>100</v>
      </c>
    </row>
    <row r="30" spans="1:11" ht="21" customHeight="1">
      <c r="A30" s="12" t="str">
        <f t="shared" si="5"/>
        <v>1132_107</v>
      </c>
      <c r="B30" s="31">
        <v>1132</v>
      </c>
      <c r="C30" s="2">
        <v>107</v>
      </c>
      <c r="D30" s="26" t="str">
        <f ca="1">VLOOKUP($C30,OFFSET(gachas!$A$1,0,0,COUNTA(gachas!$A:$A),MATCH(D$1,gachas!$1:$1,0)-MATCH($C$1,gachas!$1:$1,0)+1),MATCH(D$1,gachas!$1:$1,0)-MATCH($C$1,gachas!$1:$1,0)+1,FALSE)</f>
        <v>新キャラ追加03（新撰組）</v>
      </c>
      <c r="E30" s="2">
        <v>1</v>
      </c>
      <c r="F30" s="10" t="str">
        <f ca="1">VLOOKUP($B30,OFFSET(gacha_schedules!$A$1,0,0,COUNTA(gacha_schedules!$A:$A),MATCH(F$1,gacha_schedules!$1:$1,0)-MATCH($B$1,gacha_schedules!$1:$1,0)+1),MATCH(F$1,gacha_schedules!$1:$1,0)-MATCH($B$1,gacha_schedules!$1:$1,0)+1,FALSE)</f>
        <v>2015-09-28 15:00:00</v>
      </c>
      <c r="G30" s="10" t="str">
        <f ca="1">VLOOKUP($B30,OFFSET(gacha_schedules!$A$1,0,0,COUNTA(gacha_schedules!$A:$A),MATCH(G$1,gacha_schedules!$1:$1,0)-MATCH($B$1,gacha_schedules!$1:$1,0)+1),MATCH(G$1,gacha_schedules!$1:$1,0)-MATCH($B$1,gacha_schedules!$1:$1,0)+1,FALSE)</f>
        <v>2015-09-30 14:59:59</v>
      </c>
      <c r="H30" s="10" t="str">
        <f ca="1">VLOOKUP($B30,OFFSET(gacha_schedules!$A$1,0,0,COUNTA(gacha_schedules!$A:$A),MATCH(H$1,gacha_schedules!$1:$1,0)-MATCH($B$1,gacha_schedules!$1:$1,0)+1),MATCH(H$1,gacha_schedules!$1:$1,0)-MATCH($B$1,gacha_schedules!$1:$1,0)+1,FALSE)</f>
        <v>新ガチャ０３（新撰組）レッド０１後用</v>
      </c>
      <c r="I30" s="26">
        <f ca="1">VLOOKUP($B30,OFFSET(gacha_schedules!$A$1,0,0,COUNTA(gacha_schedules!$A:$A),MATCH(I$1,gacha_schedules!$1:$1,0)-MATCH($B$1,gacha_schedules!$1:$1,0)+1),MATCH(I$1,gacha_schedules!$1:$1,0)-MATCH($B$1,gacha_schedules!$1:$1,0)+1,FALSE)</f>
        <v>50</v>
      </c>
      <c r="J30" s="26" t="str">
        <f ca="1">VLOOKUP($C30,OFFSET(gachas!$A$1,0,0,COUNTA(gachas!$A:$A),MATCH(J$1,gachas!$1:$1,0)-MATCH($C$1,gachas!$1:$1,0)+1),MATCH(J$1,gachas!$1:$1,0)-MATCH($C$1,gachas!$1:$1,0)+1,FALSE)</f>
        <v>polygon</v>
      </c>
      <c r="K30" s="26">
        <f ca="1">VLOOKUP($C30,OFFSET(gachas!$A$1,0,0,COUNTA(gachas!$A:$A),MATCH(K$1,gachas!$1:$1,0)-MATCH($C$1,gachas!$1:$1,0)+1),MATCH(K$1,gachas!$1:$1,0)-MATCH($C$1,gachas!$1:$1,0)+1,FALSE)</f>
        <v>5</v>
      </c>
    </row>
    <row r="31" spans="1:11" ht="21" customHeight="1">
      <c r="A31" s="12" t="str">
        <f t="shared" si="5"/>
        <v>1132_201</v>
      </c>
      <c r="B31" s="31">
        <v>1132</v>
      </c>
      <c r="C31" s="2">
        <v>201</v>
      </c>
      <c r="D31" s="26" t="str">
        <f ca="1">VLOOKUP($C31,OFFSET(gachas!$A$1,0,0,COUNTA(gachas!$A:$A),MATCH(D$1,gachas!$1:$1,0)-MATCH($C$1,gachas!$1:$1,0)+1),MATCH(D$1,gachas!$1:$1,0)-MATCH($C$1,gachas!$1:$1,0)+1,FALSE)</f>
        <v>男気リンクガチャ（常設）</v>
      </c>
      <c r="E31" s="2">
        <v>2</v>
      </c>
      <c r="F31" s="10" t="str">
        <f ca="1">VLOOKUP($B31,OFFSET(gacha_schedules!$A$1,0,0,COUNTA(gacha_schedules!$A:$A),MATCH(F$1,gacha_schedules!$1:$1,0)-MATCH($B$1,gacha_schedules!$1:$1,0)+1),MATCH(F$1,gacha_schedules!$1:$1,0)-MATCH($B$1,gacha_schedules!$1:$1,0)+1,FALSE)</f>
        <v>2015-09-28 15:00:00</v>
      </c>
      <c r="G31" s="10" t="str">
        <f ca="1">VLOOKUP($B31,OFFSET(gacha_schedules!$A$1,0,0,COUNTA(gacha_schedules!$A:$A),MATCH(G$1,gacha_schedules!$1:$1,0)-MATCH($B$1,gacha_schedules!$1:$1,0)+1),MATCH(G$1,gacha_schedules!$1:$1,0)-MATCH($B$1,gacha_schedules!$1:$1,0)+1,FALSE)</f>
        <v>2015-09-30 14:59:59</v>
      </c>
      <c r="H31" s="10" t="str">
        <f ca="1">VLOOKUP($B31,OFFSET(gacha_schedules!$A$1,0,0,COUNTA(gacha_schedules!$A:$A),MATCH(H$1,gacha_schedules!$1:$1,0)-MATCH($B$1,gacha_schedules!$1:$1,0)+1),MATCH(H$1,gacha_schedules!$1:$1,0)-MATCH($B$1,gacha_schedules!$1:$1,0)+1,FALSE)</f>
        <v>新ガチャ０３（新撰組）レッド０１後用</v>
      </c>
      <c r="I31" s="26">
        <f ca="1">VLOOKUP($B31,OFFSET(gacha_schedules!$A$1,0,0,COUNTA(gacha_schedules!$A:$A),MATCH(I$1,gacha_schedules!$1:$1,0)-MATCH($B$1,gacha_schedules!$1:$1,0)+1),MATCH(I$1,gacha_schedules!$1:$1,0)-MATCH($B$1,gacha_schedules!$1:$1,0)+1,FALSE)</f>
        <v>50</v>
      </c>
      <c r="J31" s="26" t="str">
        <f ca="1">VLOOKUP($C31,OFFSET(gachas!$A$1,0,0,COUNTA(gachas!$A:$A),MATCH(J$1,gachas!$1:$1,0)-MATCH($C$1,gachas!$1:$1,0)+1),MATCH(J$1,gachas!$1:$1,0)-MATCH($C$1,gachas!$1:$1,0)+1,FALSE)</f>
        <v>link</v>
      </c>
      <c r="K31" s="26">
        <f ca="1">VLOOKUP($C31,OFFSET(gachas!$A$1,0,0,COUNTA(gachas!$A:$A),MATCH(K$1,gachas!$1:$1,0)-MATCH($C$1,gachas!$1:$1,0)+1),MATCH(K$1,gachas!$1:$1,0)-MATCH($C$1,gachas!$1:$1,0)+1,FALSE)</f>
        <v>100</v>
      </c>
    </row>
    <row r="32" spans="1:11" ht="21" customHeight="1">
      <c r="A32" s="12" t="str">
        <f t="shared" ref="A32:A41" si="6">B32&amp;"_"&amp;C32</f>
        <v>1140_114</v>
      </c>
      <c r="B32" s="31">
        <v>1140</v>
      </c>
      <c r="C32" s="2">
        <v>114</v>
      </c>
      <c r="D32" s="26" t="str">
        <f ca="1">VLOOKUP($C32,OFFSET(gachas!$A$1,0,0,COUNTA(gachas!$A:$A),MATCH(D$1,gachas!$1:$1,0)-MATCH($C$1,gachas!$1:$1,0)+1),MATCH(D$1,gachas!$1:$1,0)-MATCH($C$1,gachas!$1:$1,0)+1,FALSE)</f>
        <v>新キャラ追加04(ドラゴン）確率アップ</v>
      </c>
      <c r="E32" s="2">
        <v>1</v>
      </c>
      <c r="F32" s="10" t="str">
        <f ca="1">VLOOKUP($B32,OFFSET(gacha_schedules!$A$1,0,0,COUNTA(gacha_schedules!$A:$A),MATCH(F$1,gacha_schedules!$1:$1,0)-MATCH($B$1,gacha_schedules!$1:$1,0)+1),MATCH(F$1,gacha_schedules!$1:$1,0)-MATCH($B$1,gacha_schedules!$1:$1,0)+1,FALSE)</f>
        <v>2015-09-30 15:00:00</v>
      </c>
      <c r="G32" s="10" t="str">
        <f ca="1">VLOOKUP($B32,OFFSET(gacha_schedules!$A$1,0,0,COUNTA(gacha_schedules!$A:$A),MATCH(G$1,gacha_schedules!$1:$1,0)-MATCH($B$1,gacha_schedules!$1:$1,0)+1),MATCH(G$1,gacha_schedules!$1:$1,0)-MATCH($B$1,gacha_schedules!$1:$1,0)+1,FALSE)</f>
        <v>2015-10-03 23:59:59</v>
      </c>
      <c r="H32" s="10" t="str">
        <f ca="1">VLOOKUP($B32,OFFSET(gacha_schedules!$A$1,0,0,COUNTA(gacha_schedules!$A:$A),MATCH(H$1,gacha_schedules!$1:$1,0)-MATCH($B$1,gacha_schedules!$1:$1,0)+1),MATCH(H$1,gacha_schedules!$1:$1,0)-MATCH($B$1,gacha_schedules!$1:$1,0)+1,FALSE)</f>
        <v>新ガチャ０4（ドラゴン)確率アップ</v>
      </c>
      <c r="I32" s="26">
        <f ca="1">VLOOKUP($B32,OFFSET(gacha_schedules!$A$1,0,0,COUNTA(gacha_schedules!$A:$A),MATCH(I$1,gacha_schedules!$1:$1,0)-MATCH($B$1,gacha_schedules!$1:$1,0)+1),MATCH(I$1,gacha_schedules!$1:$1,0)-MATCH($B$1,gacha_schedules!$1:$1,0)+1,FALSE)</f>
        <v>100</v>
      </c>
      <c r="J32" s="26" t="str">
        <f ca="1">VLOOKUP($C32,OFFSET(gachas!$A$1,0,0,COUNTA(gachas!$A:$A),MATCH(J$1,gachas!$1:$1,0)-MATCH($C$1,gachas!$1:$1,0)+1),MATCH(J$1,gachas!$1:$1,0)-MATCH($C$1,gachas!$1:$1,0)+1,FALSE)</f>
        <v>polygon</v>
      </c>
      <c r="K32" s="26">
        <f ca="1">VLOOKUP($C32,OFFSET(gachas!$A$1,0,0,COUNTA(gachas!$A:$A),MATCH(K$1,gachas!$1:$1,0)-MATCH($C$1,gachas!$1:$1,0)+1),MATCH(K$1,gachas!$1:$1,0)-MATCH($C$1,gachas!$1:$1,0)+1,FALSE)</f>
        <v>5</v>
      </c>
    </row>
    <row r="33" spans="1:11" ht="21" customHeight="1">
      <c r="A33" s="12" t="str">
        <f t="shared" si="6"/>
        <v>1140_201</v>
      </c>
      <c r="B33" s="31">
        <v>1140</v>
      </c>
      <c r="C33" s="2">
        <v>201</v>
      </c>
      <c r="D33" s="26" t="str">
        <f ca="1">VLOOKUP($C33,OFFSET(gachas!$A$1,0,0,COUNTA(gachas!$A:$A),MATCH(D$1,gachas!$1:$1,0)-MATCH($C$1,gachas!$1:$1,0)+1),MATCH(D$1,gachas!$1:$1,0)-MATCH($C$1,gachas!$1:$1,0)+1,FALSE)</f>
        <v>男気リンクガチャ（常設）</v>
      </c>
      <c r="E33" s="2">
        <v>2</v>
      </c>
      <c r="F33" s="10" t="str">
        <f ca="1">VLOOKUP($B33,OFFSET(gacha_schedules!$A$1,0,0,COUNTA(gacha_schedules!$A:$A),MATCH(F$1,gacha_schedules!$1:$1,0)-MATCH($B$1,gacha_schedules!$1:$1,0)+1),MATCH(F$1,gacha_schedules!$1:$1,0)-MATCH($B$1,gacha_schedules!$1:$1,0)+1,FALSE)</f>
        <v>2015-09-30 15:00:00</v>
      </c>
      <c r="G33" s="10" t="str">
        <f ca="1">VLOOKUP($B33,OFFSET(gacha_schedules!$A$1,0,0,COUNTA(gacha_schedules!$A:$A),MATCH(G$1,gacha_schedules!$1:$1,0)-MATCH($B$1,gacha_schedules!$1:$1,0)+1),MATCH(G$1,gacha_schedules!$1:$1,0)-MATCH($B$1,gacha_schedules!$1:$1,0)+1,FALSE)</f>
        <v>2015-10-03 23:59:59</v>
      </c>
      <c r="H33" s="10" t="str">
        <f ca="1">VLOOKUP($B33,OFFSET(gacha_schedules!$A$1,0,0,COUNTA(gacha_schedules!$A:$A),MATCH(H$1,gacha_schedules!$1:$1,0)-MATCH($B$1,gacha_schedules!$1:$1,0)+1),MATCH(H$1,gacha_schedules!$1:$1,0)-MATCH($B$1,gacha_schedules!$1:$1,0)+1,FALSE)</f>
        <v>新ガチャ０4（ドラゴン)確率アップ</v>
      </c>
      <c r="I33" s="26">
        <f ca="1">VLOOKUP($B33,OFFSET(gacha_schedules!$A$1,0,0,COUNTA(gacha_schedules!$A:$A),MATCH(I$1,gacha_schedules!$1:$1,0)-MATCH($B$1,gacha_schedules!$1:$1,0)+1),MATCH(I$1,gacha_schedules!$1:$1,0)-MATCH($B$1,gacha_schedules!$1:$1,0)+1,FALSE)</f>
        <v>100</v>
      </c>
      <c r="J33" s="26" t="str">
        <f ca="1">VLOOKUP($C33,OFFSET(gachas!$A$1,0,0,COUNTA(gachas!$A:$A),MATCH(J$1,gachas!$1:$1,0)-MATCH($C$1,gachas!$1:$1,0)+1),MATCH(J$1,gachas!$1:$1,0)-MATCH($C$1,gachas!$1:$1,0)+1,FALSE)</f>
        <v>link</v>
      </c>
      <c r="K33" s="26">
        <f ca="1">VLOOKUP($C33,OFFSET(gachas!$A$1,0,0,COUNTA(gachas!$A:$A),MATCH(K$1,gachas!$1:$1,0)-MATCH($C$1,gachas!$1:$1,0)+1),MATCH(K$1,gachas!$1:$1,0)-MATCH($C$1,gachas!$1:$1,0)+1,FALSE)</f>
        <v>100</v>
      </c>
    </row>
    <row r="34" spans="1:11" ht="21" customHeight="1">
      <c r="A34" s="12" t="str">
        <f t="shared" si="6"/>
        <v>1141_118</v>
      </c>
      <c r="B34" s="31">
        <v>1141</v>
      </c>
      <c r="C34" s="2">
        <v>118</v>
      </c>
      <c r="D34" s="26" t="str">
        <f ca="1">VLOOKUP($C34,OFFSET(gachas!$A$1,0,0,COUNTA(gachas!$A:$A),MATCH(D$1,gachas!$1:$1,0)-MATCH($C$1,gachas!$1:$1,0)+1),MATCH(D$1,gachas!$1:$1,0)-MATCH($C$1,gachas!$1:$1,0)+1,FALSE)</f>
        <v>緑アップ01 開始</v>
      </c>
      <c r="E34" s="2">
        <v>1</v>
      </c>
      <c r="F34" s="10" t="str">
        <f ca="1">VLOOKUP($B34,OFFSET(gacha_schedules!$A$1,0,0,COUNTA(gacha_schedules!$A:$A),MATCH(F$1,gacha_schedules!$1:$1,0)-MATCH($B$1,gacha_schedules!$1:$1,0)+1),MATCH(F$1,gacha_schedules!$1:$1,0)-MATCH($B$1,gacha_schedules!$1:$1,0)+1,FALSE)</f>
        <v>2015-10-05 15:00:00</v>
      </c>
      <c r="G34" s="10" t="str">
        <f ca="1">VLOOKUP($B34,OFFSET(gacha_schedules!$A$1,0,0,COUNTA(gacha_schedules!$A:$A),MATCH(G$1,gacha_schedules!$1:$1,0)-MATCH($B$1,gacha_schedules!$1:$1,0)+1),MATCH(G$1,gacha_schedules!$1:$1,0)-MATCH($B$1,gacha_schedules!$1:$1,0)+1,FALSE)</f>
        <v>2015-10-05 23:59:59</v>
      </c>
      <c r="H34" s="10" t="str">
        <f ca="1">VLOOKUP($B34,OFFSET(gacha_schedules!$A$1,0,0,COUNTA(gacha_schedules!$A:$A),MATCH(H$1,gacha_schedules!$1:$1,0)-MATCH($B$1,gacha_schedules!$1:$1,0)+1),MATCH(H$1,gacha_schedules!$1:$1,0)-MATCH($B$1,gacha_schedules!$1:$1,0)+1,FALSE)</f>
        <v>緑ガチャ０1　開始</v>
      </c>
      <c r="I34" s="26">
        <f ca="1">VLOOKUP($B34,OFFSET(gacha_schedules!$A$1,0,0,COUNTA(gacha_schedules!$A:$A),MATCH(I$1,gacha_schedules!$1:$1,0)-MATCH($B$1,gacha_schedules!$1:$1,0)+1),MATCH(I$1,gacha_schedules!$1:$1,0)-MATCH($B$1,gacha_schedules!$1:$1,0)+1,FALSE)</f>
        <v>100</v>
      </c>
      <c r="J34" s="26" t="str">
        <f ca="1">VLOOKUP($C34,OFFSET(gachas!$A$1,0,0,COUNTA(gachas!$A:$A),MATCH(J$1,gachas!$1:$1,0)-MATCH($C$1,gachas!$1:$1,0)+1),MATCH(J$1,gachas!$1:$1,0)-MATCH($C$1,gachas!$1:$1,0)+1,FALSE)</f>
        <v>polygon</v>
      </c>
      <c r="K34" s="26">
        <f ca="1">VLOOKUP($C34,OFFSET(gachas!$A$1,0,0,COUNTA(gachas!$A:$A),MATCH(K$1,gachas!$1:$1,0)-MATCH($C$1,gachas!$1:$1,0)+1),MATCH(K$1,gachas!$1:$1,0)-MATCH($C$1,gachas!$1:$1,0)+1,FALSE)</f>
        <v>5</v>
      </c>
    </row>
    <row r="35" spans="1:11" ht="21" customHeight="1">
      <c r="A35" s="12" t="str">
        <f t="shared" si="6"/>
        <v>1141_201</v>
      </c>
      <c r="B35" s="31">
        <v>1141</v>
      </c>
      <c r="C35" s="2">
        <v>201</v>
      </c>
      <c r="D35" s="26" t="str">
        <f ca="1">VLOOKUP($C35,OFFSET(gachas!$A$1,0,0,COUNTA(gachas!$A:$A),MATCH(D$1,gachas!$1:$1,0)-MATCH($C$1,gachas!$1:$1,0)+1),MATCH(D$1,gachas!$1:$1,0)-MATCH($C$1,gachas!$1:$1,0)+1,FALSE)</f>
        <v>男気リンクガチャ（常設）</v>
      </c>
      <c r="E35" s="2">
        <v>2</v>
      </c>
      <c r="F35" s="10" t="str">
        <f ca="1">VLOOKUP($B35,OFFSET(gacha_schedules!$A$1,0,0,COUNTA(gacha_schedules!$A:$A),MATCH(F$1,gacha_schedules!$1:$1,0)-MATCH($B$1,gacha_schedules!$1:$1,0)+1),MATCH(F$1,gacha_schedules!$1:$1,0)-MATCH($B$1,gacha_schedules!$1:$1,0)+1,FALSE)</f>
        <v>2015-10-05 15:00:00</v>
      </c>
      <c r="G35" s="10" t="str">
        <f ca="1">VLOOKUP($B35,OFFSET(gacha_schedules!$A$1,0,0,COUNTA(gacha_schedules!$A:$A),MATCH(G$1,gacha_schedules!$1:$1,0)-MATCH($B$1,gacha_schedules!$1:$1,0)+1),MATCH(G$1,gacha_schedules!$1:$1,0)-MATCH($B$1,gacha_schedules!$1:$1,0)+1,FALSE)</f>
        <v>2015-10-05 23:59:59</v>
      </c>
      <c r="H35" s="10" t="str">
        <f ca="1">VLOOKUP($B35,OFFSET(gacha_schedules!$A$1,0,0,COUNTA(gacha_schedules!$A:$A),MATCH(H$1,gacha_schedules!$1:$1,0)-MATCH($B$1,gacha_schedules!$1:$1,0)+1),MATCH(H$1,gacha_schedules!$1:$1,0)-MATCH($B$1,gacha_schedules!$1:$1,0)+1,FALSE)</f>
        <v>緑ガチャ０1　開始</v>
      </c>
      <c r="I35" s="26">
        <f ca="1">VLOOKUP($B35,OFFSET(gacha_schedules!$A$1,0,0,COUNTA(gacha_schedules!$A:$A),MATCH(I$1,gacha_schedules!$1:$1,0)-MATCH($B$1,gacha_schedules!$1:$1,0)+1),MATCH(I$1,gacha_schedules!$1:$1,0)-MATCH($B$1,gacha_schedules!$1:$1,0)+1,FALSE)</f>
        <v>100</v>
      </c>
      <c r="J35" s="26" t="str">
        <f ca="1">VLOOKUP($C35,OFFSET(gachas!$A$1,0,0,COUNTA(gachas!$A:$A),MATCH(J$1,gachas!$1:$1,0)-MATCH($C$1,gachas!$1:$1,0)+1),MATCH(J$1,gachas!$1:$1,0)-MATCH($C$1,gachas!$1:$1,0)+1,FALSE)</f>
        <v>link</v>
      </c>
      <c r="K35" s="26">
        <f ca="1">VLOOKUP($C35,OFFSET(gachas!$A$1,0,0,COUNTA(gachas!$A:$A),MATCH(K$1,gachas!$1:$1,0)-MATCH($C$1,gachas!$1:$1,0)+1),MATCH(K$1,gachas!$1:$1,0)-MATCH($C$1,gachas!$1:$1,0)+1,FALSE)</f>
        <v>100</v>
      </c>
    </row>
    <row r="36" spans="1:11" ht="21" customHeight="1">
      <c r="A36" s="12" t="str">
        <f t="shared" si="6"/>
        <v>1142_119</v>
      </c>
      <c r="B36" s="31">
        <v>1142</v>
      </c>
      <c r="C36" s="2">
        <v>119</v>
      </c>
      <c r="D36" s="26" t="str">
        <f ca="1">VLOOKUP($C36,OFFSET(gachas!$A$1,0,0,COUNTA(gachas!$A:$A),MATCH(D$1,gachas!$1:$1,0)-MATCH($C$1,gachas!$1:$1,0)+1),MATCH(D$1,gachas!$1:$1,0)-MATCH($C$1,gachas!$1:$1,0)+1,FALSE)</f>
        <v>緑アップ01 あと少し</v>
      </c>
      <c r="E36" s="2">
        <v>1</v>
      </c>
      <c r="F36" s="10" t="str">
        <f ca="1">VLOOKUP($B36,OFFSET(gacha_schedules!$A$1,0,0,COUNTA(gacha_schedules!$A:$A),MATCH(F$1,gacha_schedules!$1:$1,0)-MATCH($B$1,gacha_schedules!$1:$1,0)+1),MATCH(F$1,gacha_schedules!$1:$1,0)-MATCH($B$1,gacha_schedules!$1:$1,0)+1,FALSE)</f>
        <v>2015-10-06 00:00:00</v>
      </c>
      <c r="G36" s="10" t="str">
        <f ca="1">VLOOKUP($B36,OFFSET(gacha_schedules!$A$1,0,0,COUNTA(gacha_schedules!$A:$A),MATCH(G$1,gacha_schedules!$1:$1,0)-MATCH($B$1,gacha_schedules!$1:$1,0)+1),MATCH(G$1,gacha_schedules!$1:$1,0)-MATCH($B$1,gacha_schedules!$1:$1,0)+1,FALSE)</f>
        <v>2015-10-06 23:59:59</v>
      </c>
      <c r="H36" s="10" t="str">
        <f ca="1">VLOOKUP($B36,OFFSET(gacha_schedules!$A$1,0,0,COUNTA(gacha_schedules!$A:$A),MATCH(H$1,gacha_schedules!$1:$1,0)-MATCH($B$1,gacha_schedules!$1:$1,0)+1),MATCH(H$1,gacha_schedules!$1:$1,0)-MATCH($B$1,gacha_schedules!$1:$1,0)+1,FALSE)</f>
        <v>緑ガチャ０1　あと少し</v>
      </c>
      <c r="I36" s="26">
        <f ca="1">VLOOKUP($B36,OFFSET(gacha_schedules!$A$1,0,0,COUNTA(gacha_schedules!$A:$A),MATCH(I$1,gacha_schedules!$1:$1,0)-MATCH($B$1,gacha_schedules!$1:$1,0)+1),MATCH(I$1,gacha_schedules!$1:$1,0)-MATCH($B$1,gacha_schedules!$1:$1,0)+1,FALSE)</f>
        <v>100</v>
      </c>
      <c r="J36" s="26" t="str">
        <f ca="1">VLOOKUP($C36,OFFSET(gachas!$A$1,0,0,COUNTA(gachas!$A:$A),MATCH(J$1,gachas!$1:$1,0)-MATCH($C$1,gachas!$1:$1,0)+1),MATCH(J$1,gachas!$1:$1,0)-MATCH($C$1,gachas!$1:$1,0)+1,FALSE)</f>
        <v>polygon</v>
      </c>
      <c r="K36" s="26">
        <f ca="1">VLOOKUP($C36,OFFSET(gachas!$A$1,0,0,COUNTA(gachas!$A:$A),MATCH(K$1,gachas!$1:$1,0)-MATCH($C$1,gachas!$1:$1,0)+1),MATCH(K$1,gachas!$1:$1,0)-MATCH($C$1,gachas!$1:$1,0)+1,FALSE)</f>
        <v>5</v>
      </c>
    </row>
    <row r="37" spans="1:11" ht="21" customHeight="1">
      <c r="A37" s="12" t="str">
        <f t="shared" si="6"/>
        <v>1142_201</v>
      </c>
      <c r="B37" s="31">
        <v>1142</v>
      </c>
      <c r="C37" s="2">
        <v>201</v>
      </c>
      <c r="D37" s="26" t="str">
        <f ca="1">VLOOKUP($C37,OFFSET(gachas!$A$1,0,0,COUNTA(gachas!$A:$A),MATCH(D$1,gachas!$1:$1,0)-MATCH($C$1,gachas!$1:$1,0)+1),MATCH(D$1,gachas!$1:$1,0)-MATCH($C$1,gachas!$1:$1,0)+1,FALSE)</f>
        <v>男気リンクガチャ（常設）</v>
      </c>
      <c r="E37" s="2">
        <v>2</v>
      </c>
      <c r="F37" s="10" t="str">
        <f ca="1">VLOOKUP($B37,OFFSET(gacha_schedules!$A$1,0,0,COUNTA(gacha_schedules!$A:$A),MATCH(F$1,gacha_schedules!$1:$1,0)-MATCH($B$1,gacha_schedules!$1:$1,0)+1),MATCH(F$1,gacha_schedules!$1:$1,0)-MATCH($B$1,gacha_schedules!$1:$1,0)+1,FALSE)</f>
        <v>2015-10-06 00:00:00</v>
      </c>
      <c r="G37" s="10" t="str">
        <f ca="1">VLOOKUP($B37,OFFSET(gacha_schedules!$A$1,0,0,COUNTA(gacha_schedules!$A:$A),MATCH(G$1,gacha_schedules!$1:$1,0)-MATCH($B$1,gacha_schedules!$1:$1,0)+1),MATCH(G$1,gacha_schedules!$1:$1,0)-MATCH($B$1,gacha_schedules!$1:$1,0)+1,FALSE)</f>
        <v>2015-10-06 23:59:59</v>
      </c>
      <c r="H37" s="10" t="str">
        <f ca="1">VLOOKUP($B37,OFFSET(gacha_schedules!$A$1,0,0,COUNTA(gacha_schedules!$A:$A),MATCH(H$1,gacha_schedules!$1:$1,0)-MATCH($B$1,gacha_schedules!$1:$1,0)+1),MATCH(H$1,gacha_schedules!$1:$1,0)-MATCH($B$1,gacha_schedules!$1:$1,0)+1,FALSE)</f>
        <v>緑ガチャ０1　あと少し</v>
      </c>
      <c r="I37" s="26">
        <f ca="1">VLOOKUP($B37,OFFSET(gacha_schedules!$A$1,0,0,COUNTA(gacha_schedules!$A:$A),MATCH(I$1,gacha_schedules!$1:$1,0)-MATCH($B$1,gacha_schedules!$1:$1,0)+1),MATCH(I$1,gacha_schedules!$1:$1,0)-MATCH($B$1,gacha_schedules!$1:$1,0)+1,FALSE)</f>
        <v>100</v>
      </c>
      <c r="J37" s="26" t="str">
        <f ca="1">VLOOKUP($C37,OFFSET(gachas!$A$1,0,0,COUNTA(gachas!$A:$A),MATCH(J$1,gachas!$1:$1,0)-MATCH($C$1,gachas!$1:$1,0)+1),MATCH(J$1,gachas!$1:$1,0)-MATCH($C$1,gachas!$1:$1,0)+1,FALSE)</f>
        <v>link</v>
      </c>
      <c r="K37" s="26">
        <f ca="1">VLOOKUP($C37,OFFSET(gachas!$A$1,0,0,COUNTA(gachas!$A:$A),MATCH(K$1,gachas!$1:$1,0)-MATCH($C$1,gachas!$1:$1,0)+1),MATCH(K$1,gachas!$1:$1,0)-MATCH($C$1,gachas!$1:$1,0)+1,FALSE)</f>
        <v>100</v>
      </c>
    </row>
    <row r="38" spans="1:11" ht="21" customHeight="1">
      <c r="A38" s="12" t="str">
        <f t="shared" si="6"/>
        <v>1143_120</v>
      </c>
      <c r="B38" s="31">
        <v>1143</v>
      </c>
      <c r="C38" s="2">
        <v>120</v>
      </c>
      <c r="D38" s="26" t="str">
        <f ca="1">VLOOKUP($C38,OFFSET(gachas!$A$1,0,0,COUNTA(gachas!$A:$A),MATCH(D$1,gachas!$1:$1,0)-MATCH($C$1,gachas!$1:$1,0)+1),MATCH(D$1,gachas!$1:$1,0)-MATCH($C$1,gachas!$1:$1,0)+1,FALSE)</f>
        <v>緑アップ01 最終日</v>
      </c>
      <c r="E38" s="30">
        <v>1</v>
      </c>
      <c r="F38" s="10" t="str">
        <f ca="1">VLOOKUP($B38,OFFSET(gacha_schedules!$A$1,0,0,COUNTA(gacha_schedules!$A:$A),MATCH(F$1,gacha_schedules!$1:$1,0)-MATCH($B$1,gacha_schedules!$1:$1,0)+1),MATCH(F$1,gacha_schedules!$1:$1,0)-MATCH($B$1,gacha_schedules!$1:$1,0)+1,FALSE)</f>
        <v>2015-10-07 00:00:00</v>
      </c>
      <c r="G38" s="10" t="str">
        <f ca="1">VLOOKUP($B38,OFFSET(gacha_schedules!$A$1,0,0,COUNTA(gacha_schedules!$A:$A),MATCH(G$1,gacha_schedules!$1:$1,0)-MATCH($B$1,gacha_schedules!$1:$1,0)+1),MATCH(G$1,gacha_schedules!$1:$1,0)-MATCH($B$1,gacha_schedules!$1:$1,0)+1,FALSE)</f>
        <v>2015-10-07 14:59:59</v>
      </c>
      <c r="H38" s="10" t="str">
        <f ca="1">VLOOKUP($B38,OFFSET(gacha_schedules!$A$1,0,0,COUNTA(gacha_schedules!$A:$A),MATCH(H$1,gacha_schedules!$1:$1,0)-MATCH($B$1,gacha_schedules!$1:$1,0)+1),MATCH(H$1,gacha_schedules!$1:$1,0)-MATCH($B$1,gacha_schedules!$1:$1,0)+1,FALSE)</f>
        <v>緑ガチャ０1あと１日</v>
      </c>
      <c r="I38" s="26">
        <f ca="1">VLOOKUP($B38,OFFSET(gacha_schedules!$A$1,0,0,COUNTA(gacha_schedules!$A:$A),MATCH(I$1,gacha_schedules!$1:$1,0)-MATCH($B$1,gacha_schedules!$1:$1,0)+1),MATCH(I$1,gacha_schedules!$1:$1,0)-MATCH($B$1,gacha_schedules!$1:$1,0)+1,FALSE)</f>
        <v>100</v>
      </c>
      <c r="J38" s="26" t="str">
        <f ca="1">VLOOKUP($C38,OFFSET(gachas!$A$1,0,0,COUNTA(gachas!$A:$A),MATCH(J$1,gachas!$1:$1,0)-MATCH($C$1,gachas!$1:$1,0)+1),MATCH(J$1,gachas!$1:$1,0)-MATCH($C$1,gachas!$1:$1,0)+1,FALSE)</f>
        <v>polygon</v>
      </c>
      <c r="K38" s="26">
        <f ca="1">VLOOKUP($C38,OFFSET(gachas!$A$1,0,0,COUNTA(gachas!$A:$A),MATCH(K$1,gachas!$1:$1,0)-MATCH($C$1,gachas!$1:$1,0)+1),MATCH(K$1,gachas!$1:$1,0)-MATCH($C$1,gachas!$1:$1,0)+1,FALSE)</f>
        <v>5</v>
      </c>
    </row>
    <row r="39" spans="1:11" ht="21" customHeight="1">
      <c r="A39" s="12" t="str">
        <f t="shared" si="6"/>
        <v>1143_201</v>
      </c>
      <c r="B39" s="31">
        <v>1143</v>
      </c>
      <c r="C39" s="2">
        <v>201</v>
      </c>
      <c r="D39" s="26" t="str">
        <f ca="1">VLOOKUP($C39,OFFSET(gachas!$A$1,0,0,COUNTA(gachas!$A:$A),MATCH(D$1,gachas!$1:$1,0)-MATCH($C$1,gachas!$1:$1,0)+1),MATCH(D$1,gachas!$1:$1,0)-MATCH($C$1,gachas!$1:$1,0)+1,FALSE)</f>
        <v>男気リンクガチャ（常設）</v>
      </c>
      <c r="E39" s="23">
        <v>2</v>
      </c>
      <c r="F39" s="10" t="str">
        <f ca="1">VLOOKUP($B39,OFFSET(gacha_schedules!$A$1,0,0,COUNTA(gacha_schedules!$A:$A),MATCH(F$1,gacha_schedules!$1:$1,0)-MATCH($B$1,gacha_schedules!$1:$1,0)+1),MATCH(F$1,gacha_schedules!$1:$1,0)-MATCH($B$1,gacha_schedules!$1:$1,0)+1,FALSE)</f>
        <v>2015-10-07 00:00:00</v>
      </c>
      <c r="G39" s="10" t="str">
        <f ca="1">VLOOKUP($B39,OFFSET(gacha_schedules!$A$1,0,0,COUNTA(gacha_schedules!$A:$A),MATCH(G$1,gacha_schedules!$1:$1,0)-MATCH($B$1,gacha_schedules!$1:$1,0)+1),MATCH(G$1,gacha_schedules!$1:$1,0)-MATCH($B$1,gacha_schedules!$1:$1,0)+1,FALSE)</f>
        <v>2015-10-07 14:59:59</v>
      </c>
      <c r="H39" s="10" t="str">
        <f ca="1">VLOOKUP($B39,OFFSET(gacha_schedules!$A$1,0,0,COUNTA(gacha_schedules!$A:$A),MATCH(H$1,gacha_schedules!$1:$1,0)-MATCH($B$1,gacha_schedules!$1:$1,0)+1),MATCH(H$1,gacha_schedules!$1:$1,0)-MATCH($B$1,gacha_schedules!$1:$1,0)+1,FALSE)</f>
        <v>緑ガチャ０1あと１日</v>
      </c>
      <c r="I39" s="26">
        <f ca="1">VLOOKUP($B39,OFFSET(gacha_schedules!$A$1,0,0,COUNTA(gacha_schedules!$A:$A),MATCH(I$1,gacha_schedules!$1:$1,0)-MATCH($B$1,gacha_schedules!$1:$1,0)+1),MATCH(I$1,gacha_schedules!$1:$1,0)-MATCH($B$1,gacha_schedules!$1:$1,0)+1,FALSE)</f>
        <v>100</v>
      </c>
      <c r="J39" s="26" t="str">
        <f ca="1">VLOOKUP($C39,OFFSET(gachas!$A$1,0,0,COUNTA(gachas!$A:$A),MATCH(J$1,gachas!$1:$1,0)-MATCH($C$1,gachas!$1:$1,0)+1),MATCH(J$1,gachas!$1:$1,0)-MATCH($C$1,gachas!$1:$1,0)+1,FALSE)</f>
        <v>link</v>
      </c>
      <c r="K39" s="26">
        <f ca="1">VLOOKUP($C39,OFFSET(gachas!$A$1,0,0,COUNTA(gachas!$A:$A),MATCH(K$1,gachas!$1:$1,0)-MATCH($C$1,gachas!$1:$1,0)+1),MATCH(K$1,gachas!$1:$1,0)-MATCH($C$1,gachas!$1:$1,0)+1,FALSE)</f>
        <v>100</v>
      </c>
    </row>
    <row r="40" spans="1:11" ht="21" customHeight="1">
      <c r="A40" s="12" t="str">
        <f t="shared" si="6"/>
        <v>1144_121</v>
      </c>
      <c r="B40" s="31">
        <v>1144</v>
      </c>
      <c r="C40" s="2">
        <v>121</v>
      </c>
      <c r="D40" s="26" t="str">
        <f ca="1">VLOOKUP($C40,OFFSET(gachas!$A$1,0,0,COUNTA(gachas!$A:$A),MATCH(D$1,gachas!$1:$1,0)-MATCH($C$1,gachas!$1:$1,0)+1),MATCH(D$1,gachas!$1:$1,0)-MATCH($C$1,gachas!$1:$1,0)+1,FALSE)</f>
        <v>赤アップ02</v>
      </c>
      <c r="E40" s="30">
        <v>1</v>
      </c>
      <c r="F40" s="10" t="str">
        <f ca="1">VLOOKUP($B40,OFFSET(gacha_schedules!$A$1,0,0,COUNTA(gacha_schedules!$A:$A),MATCH(F$1,gacha_schedules!$1:$1,0)-MATCH($B$1,gacha_schedules!$1:$1,0)+1),MATCH(F$1,gacha_schedules!$1:$1,0)-MATCH($B$1,gacha_schedules!$1:$1,0)+1,FALSE)</f>
        <v>2015-10-08 15:00:00</v>
      </c>
      <c r="G40" s="10" t="str">
        <f ca="1">VLOOKUP($B40,OFFSET(gacha_schedules!$A$1,0,0,COUNTA(gacha_schedules!$A:$A),MATCH(G$1,gacha_schedules!$1:$1,0)-MATCH($B$1,gacha_schedules!$1:$1,0)+1),MATCH(G$1,gacha_schedules!$1:$1,0)-MATCH($B$1,gacha_schedules!$1:$1,0)+1,FALSE)</f>
        <v>2015-10-08 23:59:59</v>
      </c>
      <c r="H40" s="10" t="str">
        <f ca="1">VLOOKUP($B40,OFFSET(gacha_schedules!$A$1,0,0,COUNTA(gacha_schedules!$A:$A),MATCH(H$1,gacha_schedules!$1:$1,0)-MATCH($B$1,gacha_schedules!$1:$1,0)+1),MATCH(H$1,gacha_schedules!$1:$1,0)-MATCH($B$1,gacha_schedules!$1:$1,0)+1,FALSE)</f>
        <v>赤ガチャ０２　開始</v>
      </c>
      <c r="I40" s="26">
        <f ca="1">VLOOKUP($B40,OFFSET(gacha_schedules!$A$1,0,0,COUNTA(gacha_schedules!$A:$A),MATCH(I$1,gacha_schedules!$1:$1,0)-MATCH($B$1,gacha_schedules!$1:$1,0)+1),MATCH(I$1,gacha_schedules!$1:$1,0)-MATCH($B$1,gacha_schedules!$1:$1,0)+1,FALSE)</f>
        <v>100</v>
      </c>
      <c r="J40" s="26" t="str">
        <f ca="1">VLOOKUP($C40,OFFSET(gachas!$A$1,0,0,COUNTA(gachas!$A:$A),MATCH(J$1,gachas!$1:$1,0)-MATCH($C$1,gachas!$1:$1,0)+1),MATCH(J$1,gachas!$1:$1,0)-MATCH($C$1,gachas!$1:$1,0)+1,FALSE)</f>
        <v>polygon</v>
      </c>
      <c r="K40" s="26">
        <f ca="1">VLOOKUP($C40,OFFSET(gachas!$A$1,0,0,COUNTA(gachas!$A:$A),MATCH(K$1,gachas!$1:$1,0)-MATCH($C$1,gachas!$1:$1,0)+1),MATCH(K$1,gachas!$1:$1,0)-MATCH($C$1,gachas!$1:$1,0)+1,FALSE)</f>
        <v>5</v>
      </c>
    </row>
    <row r="41" spans="1:11" ht="21" customHeight="1">
      <c r="A41" s="12" t="str">
        <f t="shared" si="6"/>
        <v>1144_201</v>
      </c>
      <c r="B41" s="31">
        <v>1144</v>
      </c>
      <c r="C41" s="2">
        <v>201</v>
      </c>
      <c r="D41" s="26" t="str">
        <f ca="1">VLOOKUP($C41,OFFSET(gachas!$A$1,0,0,COUNTA(gachas!$A:$A),MATCH(D$1,gachas!$1:$1,0)-MATCH($C$1,gachas!$1:$1,0)+1),MATCH(D$1,gachas!$1:$1,0)-MATCH($C$1,gachas!$1:$1,0)+1,FALSE)</f>
        <v>男気リンクガチャ（常設）</v>
      </c>
      <c r="E41" s="23">
        <v>2</v>
      </c>
      <c r="F41" s="10" t="str">
        <f ca="1">VLOOKUP($B41,OFFSET(gacha_schedules!$A$1,0,0,COUNTA(gacha_schedules!$A:$A),MATCH(F$1,gacha_schedules!$1:$1,0)-MATCH($B$1,gacha_schedules!$1:$1,0)+1),MATCH(F$1,gacha_schedules!$1:$1,0)-MATCH($B$1,gacha_schedules!$1:$1,0)+1,FALSE)</f>
        <v>2015-10-08 15:00:00</v>
      </c>
      <c r="G41" s="10" t="str">
        <f ca="1">VLOOKUP($B41,OFFSET(gacha_schedules!$A$1,0,0,COUNTA(gacha_schedules!$A:$A),MATCH(G$1,gacha_schedules!$1:$1,0)-MATCH($B$1,gacha_schedules!$1:$1,0)+1),MATCH(G$1,gacha_schedules!$1:$1,0)-MATCH($B$1,gacha_schedules!$1:$1,0)+1,FALSE)</f>
        <v>2015-10-08 23:59:59</v>
      </c>
      <c r="H41" s="10" t="str">
        <f ca="1">VLOOKUP($B41,OFFSET(gacha_schedules!$A$1,0,0,COUNTA(gacha_schedules!$A:$A),MATCH(H$1,gacha_schedules!$1:$1,0)-MATCH($B$1,gacha_schedules!$1:$1,0)+1),MATCH(H$1,gacha_schedules!$1:$1,0)-MATCH($B$1,gacha_schedules!$1:$1,0)+1,FALSE)</f>
        <v>赤ガチャ０２　開始</v>
      </c>
      <c r="I41" s="26">
        <f ca="1">VLOOKUP($B41,OFFSET(gacha_schedules!$A$1,0,0,COUNTA(gacha_schedules!$A:$A),MATCH(I$1,gacha_schedules!$1:$1,0)-MATCH($B$1,gacha_schedules!$1:$1,0)+1),MATCH(I$1,gacha_schedules!$1:$1,0)-MATCH($B$1,gacha_schedules!$1:$1,0)+1,FALSE)</f>
        <v>100</v>
      </c>
      <c r="J41" s="26" t="str">
        <f ca="1">VLOOKUP($C41,OFFSET(gachas!$A$1,0,0,COUNTA(gachas!$A:$A),MATCH(J$1,gachas!$1:$1,0)-MATCH($C$1,gachas!$1:$1,0)+1),MATCH(J$1,gachas!$1:$1,0)-MATCH($C$1,gachas!$1:$1,0)+1,FALSE)</f>
        <v>link</v>
      </c>
      <c r="K41" s="26">
        <f ca="1">VLOOKUP($C41,OFFSET(gachas!$A$1,0,0,COUNTA(gachas!$A:$A),MATCH(K$1,gachas!$1:$1,0)-MATCH($C$1,gachas!$1:$1,0)+1),MATCH(K$1,gachas!$1:$1,0)-MATCH($C$1,gachas!$1:$1,0)+1,FALSE)</f>
        <v>100</v>
      </c>
    </row>
    <row r="42" spans="1:11" ht="21" customHeight="1">
      <c r="A42" s="12" t="str">
        <f t="shared" ref="A42:A47" si="7">B42&amp;"_"&amp;C42</f>
        <v>1150_115</v>
      </c>
      <c r="B42" s="31">
        <v>1150</v>
      </c>
      <c r="C42" s="2">
        <v>115</v>
      </c>
      <c r="D42" s="26" t="str">
        <f ca="1">VLOOKUP($C42,OFFSET(gachas!$A$1,0,0,COUNTA(gachas!$A:$A),MATCH(D$1,gachas!$1:$1,0)-MATCH($C$1,gachas!$1:$1,0)+1),MATCH(D$1,gachas!$1:$1,0)-MATCH($C$1,gachas!$1:$1,0)+1,FALSE)</f>
        <v>青アップ01　開始</v>
      </c>
      <c r="E42" s="2">
        <v>1</v>
      </c>
      <c r="F42" s="10" t="str">
        <f ca="1">VLOOKUP($B42,OFFSET(gacha_schedules!$A$1,0,0,COUNTA(gacha_schedules!$A:$A),MATCH(F$1,gacha_schedules!$1:$1,0)-MATCH($B$1,gacha_schedules!$1:$1,0)+1),MATCH(F$1,gacha_schedules!$1:$1,0)-MATCH($B$1,gacha_schedules!$1:$1,0)+1,FALSE)</f>
        <v>2015-10-10 15:00:00</v>
      </c>
      <c r="G42" s="10" t="str">
        <f ca="1">VLOOKUP($B42,OFFSET(gacha_schedules!$A$1,0,0,COUNTA(gacha_schedules!$A:$A),MATCH(G$1,gacha_schedules!$1:$1,0)-MATCH($B$1,gacha_schedules!$1:$1,0)+1),MATCH(G$1,gacha_schedules!$1:$1,0)-MATCH($B$1,gacha_schedules!$1:$1,0)+1,FALSE)</f>
        <v>2015-10-11 23:59:59</v>
      </c>
      <c r="H42" s="10" t="str">
        <f ca="1">VLOOKUP($B42,OFFSET(gacha_schedules!$A$1,0,0,COUNTA(gacha_schedules!$A:$A),MATCH(H$1,gacha_schedules!$1:$1,0)-MATCH($B$1,gacha_schedules!$1:$1,0)+1),MATCH(H$1,gacha_schedules!$1:$1,0)-MATCH($B$1,gacha_schedules!$1:$1,0)+1,FALSE)</f>
        <v>青ガチャ０1　開始</v>
      </c>
      <c r="I42" s="26">
        <f ca="1">VLOOKUP($B42,OFFSET(gacha_schedules!$A$1,0,0,COUNTA(gacha_schedules!$A:$A),MATCH(I$1,gacha_schedules!$1:$1,0)-MATCH($B$1,gacha_schedules!$1:$1,0)+1),MATCH(I$1,gacha_schedules!$1:$1,0)-MATCH($B$1,gacha_schedules!$1:$1,0)+1,FALSE)</f>
        <v>100</v>
      </c>
      <c r="J42" s="26" t="str">
        <f ca="1">VLOOKUP($C42,OFFSET(gachas!$A$1,0,0,COUNTA(gachas!$A:$A),MATCH(J$1,gachas!$1:$1,0)-MATCH($C$1,gachas!$1:$1,0)+1),MATCH(J$1,gachas!$1:$1,0)-MATCH($C$1,gachas!$1:$1,0)+1,FALSE)</f>
        <v>polygon</v>
      </c>
      <c r="K42" s="26">
        <f ca="1">VLOOKUP($C42,OFFSET(gachas!$A$1,0,0,COUNTA(gachas!$A:$A),MATCH(K$1,gachas!$1:$1,0)-MATCH($C$1,gachas!$1:$1,0)+1),MATCH(K$1,gachas!$1:$1,0)-MATCH($C$1,gachas!$1:$1,0)+1,FALSE)</f>
        <v>5</v>
      </c>
    </row>
    <row r="43" spans="1:11" ht="21" customHeight="1">
      <c r="A43" s="12" t="str">
        <f t="shared" si="7"/>
        <v>1150_201</v>
      </c>
      <c r="B43" s="31">
        <v>1150</v>
      </c>
      <c r="C43" s="2">
        <v>201</v>
      </c>
      <c r="D43" s="26" t="str">
        <f ca="1">VLOOKUP($C43,OFFSET(gachas!$A$1,0,0,COUNTA(gachas!$A:$A),MATCH(D$1,gachas!$1:$1,0)-MATCH($C$1,gachas!$1:$1,0)+1),MATCH(D$1,gachas!$1:$1,0)-MATCH($C$1,gachas!$1:$1,0)+1,FALSE)</f>
        <v>男気リンクガチャ（常設）</v>
      </c>
      <c r="E43" s="2">
        <v>2</v>
      </c>
      <c r="F43" s="10" t="str">
        <f ca="1">VLOOKUP($B43,OFFSET(gacha_schedules!$A$1,0,0,COUNTA(gacha_schedules!$A:$A),MATCH(F$1,gacha_schedules!$1:$1,0)-MATCH($B$1,gacha_schedules!$1:$1,0)+1),MATCH(F$1,gacha_schedules!$1:$1,0)-MATCH($B$1,gacha_schedules!$1:$1,0)+1,FALSE)</f>
        <v>2015-10-10 15:00:00</v>
      </c>
      <c r="G43" s="10" t="str">
        <f ca="1">VLOOKUP($B43,OFFSET(gacha_schedules!$A$1,0,0,COUNTA(gacha_schedules!$A:$A),MATCH(G$1,gacha_schedules!$1:$1,0)-MATCH($B$1,gacha_schedules!$1:$1,0)+1),MATCH(G$1,gacha_schedules!$1:$1,0)-MATCH($B$1,gacha_schedules!$1:$1,0)+1,FALSE)</f>
        <v>2015-10-11 23:59:59</v>
      </c>
      <c r="H43" s="10" t="str">
        <f ca="1">VLOOKUP($B43,OFFSET(gacha_schedules!$A$1,0,0,COUNTA(gacha_schedules!$A:$A),MATCH(H$1,gacha_schedules!$1:$1,0)-MATCH($B$1,gacha_schedules!$1:$1,0)+1),MATCH(H$1,gacha_schedules!$1:$1,0)-MATCH($B$1,gacha_schedules!$1:$1,0)+1,FALSE)</f>
        <v>青ガチャ０1　開始</v>
      </c>
      <c r="I43" s="26">
        <f ca="1">VLOOKUP($B43,OFFSET(gacha_schedules!$A$1,0,0,COUNTA(gacha_schedules!$A:$A),MATCH(I$1,gacha_schedules!$1:$1,0)-MATCH($B$1,gacha_schedules!$1:$1,0)+1),MATCH(I$1,gacha_schedules!$1:$1,0)-MATCH($B$1,gacha_schedules!$1:$1,0)+1,FALSE)</f>
        <v>100</v>
      </c>
      <c r="J43" s="26" t="str">
        <f ca="1">VLOOKUP($C43,OFFSET(gachas!$A$1,0,0,COUNTA(gachas!$A:$A),MATCH(J$1,gachas!$1:$1,0)-MATCH($C$1,gachas!$1:$1,0)+1),MATCH(J$1,gachas!$1:$1,0)-MATCH($C$1,gachas!$1:$1,0)+1,FALSE)</f>
        <v>link</v>
      </c>
      <c r="K43" s="26">
        <f ca="1">VLOOKUP($C43,OFFSET(gachas!$A$1,0,0,COUNTA(gachas!$A:$A),MATCH(K$1,gachas!$1:$1,0)-MATCH($C$1,gachas!$1:$1,0)+1),MATCH(K$1,gachas!$1:$1,0)-MATCH($C$1,gachas!$1:$1,0)+1,FALSE)</f>
        <v>100</v>
      </c>
    </row>
    <row r="44" spans="1:11" ht="21" customHeight="1">
      <c r="A44" s="12" t="str">
        <f t="shared" si="7"/>
        <v>1160_116</v>
      </c>
      <c r="B44" s="31">
        <v>1160</v>
      </c>
      <c r="C44" s="2">
        <v>116</v>
      </c>
      <c r="D44" s="26" t="str">
        <f ca="1">VLOOKUP($C44,OFFSET(gachas!$A$1,0,0,COUNTA(gachas!$A:$A),MATCH(D$1,gachas!$1:$1,0)-MATCH($C$1,gachas!$1:$1,0)+1),MATCH(D$1,gachas!$1:$1,0)-MATCH($C$1,gachas!$1:$1,0)+1,FALSE)</f>
        <v>青アップ0１　あと少し</v>
      </c>
      <c r="E44" s="2">
        <v>1</v>
      </c>
      <c r="F44" s="10" t="str">
        <f ca="1">VLOOKUP($B44,OFFSET(gacha_schedules!$A$1,0,0,COUNTA(gacha_schedules!$A:$A),MATCH(F$1,gacha_schedules!$1:$1,0)-MATCH($B$1,gacha_schedules!$1:$1,0)+1),MATCH(F$1,gacha_schedules!$1:$1,0)-MATCH($B$1,gacha_schedules!$1:$1,0)+1,FALSE)</f>
        <v>2015-10-12 00:00:00</v>
      </c>
      <c r="G44" s="10" t="str">
        <f ca="1">VLOOKUP($B44,OFFSET(gacha_schedules!$A$1,0,0,COUNTA(gacha_schedules!$A:$A),MATCH(G$1,gacha_schedules!$1:$1,0)-MATCH($B$1,gacha_schedules!$1:$1,0)+1),MATCH(G$1,gacha_schedules!$1:$1,0)-MATCH($B$1,gacha_schedules!$1:$1,0)+1,FALSE)</f>
        <v>2015-10-12 23:59:59</v>
      </c>
      <c r="H44" s="10" t="str">
        <f ca="1">VLOOKUP($B44,OFFSET(gacha_schedules!$A$1,0,0,COUNTA(gacha_schedules!$A:$A),MATCH(H$1,gacha_schedules!$1:$1,0)-MATCH($B$1,gacha_schedules!$1:$1,0)+1),MATCH(H$1,gacha_schedules!$1:$1,0)-MATCH($B$1,gacha_schedules!$1:$1,0)+1,FALSE)</f>
        <v>青ガチャ０1　あと少し</v>
      </c>
      <c r="I44" s="26">
        <f ca="1">VLOOKUP($B44,OFFSET(gacha_schedules!$A$1,0,0,COUNTA(gacha_schedules!$A:$A),MATCH(I$1,gacha_schedules!$1:$1,0)-MATCH($B$1,gacha_schedules!$1:$1,0)+1),MATCH(I$1,gacha_schedules!$1:$1,0)-MATCH($B$1,gacha_schedules!$1:$1,0)+1,FALSE)</f>
        <v>100</v>
      </c>
      <c r="J44" s="26" t="str">
        <f ca="1">VLOOKUP($C44,OFFSET(gachas!$A$1,0,0,COUNTA(gachas!$A:$A),MATCH(J$1,gachas!$1:$1,0)-MATCH($C$1,gachas!$1:$1,0)+1),MATCH(J$1,gachas!$1:$1,0)-MATCH($C$1,gachas!$1:$1,0)+1,FALSE)</f>
        <v>polygon</v>
      </c>
      <c r="K44" s="26">
        <f ca="1">VLOOKUP($C44,OFFSET(gachas!$A$1,0,0,COUNTA(gachas!$A:$A),MATCH(K$1,gachas!$1:$1,0)-MATCH($C$1,gachas!$1:$1,0)+1),MATCH(K$1,gachas!$1:$1,0)-MATCH($C$1,gachas!$1:$1,0)+1,FALSE)</f>
        <v>5</v>
      </c>
    </row>
    <row r="45" spans="1:11" ht="21" customHeight="1">
      <c r="A45" s="12" t="str">
        <f t="shared" si="7"/>
        <v>1160_201</v>
      </c>
      <c r="B45" s="31">
        <v>1160</v>
      </c>
      <c r="C45" s="2">
        <v>201</v>
      </c>
      <c r="D45" s="26" t="str">
        <f ca="1">VLOOKUP($C45,OFFSET(gachas!$A$1,0,0,COUNTA(gachas!$A:$A),MATCH(D$1,gachas!$1:$1,0)-MATCH($C$1,gachas!$1:$1,0)+1),MATCH(D$1,gachas!$1:$1,0)-MATCH($C$1,gachas!$1:$1,0)+1,FALSE)</f>
        <v>男気リンクガチャ（常設）</v>
      </c>
      <c r="E45" s="2">
        <v>2</v>
      </c>
      <c r="F45" s="10" t="str">
        <f ca="1">VLOOKUP($B45,OFFSET(gacha_schedules!$A$1,0,0,COUNTA(gacha_schedules!$A:$A),MATCH(F$1,gacha_schedules!$1:$1,0)-MATCH($B$1,gacha_schedules!$1:$1,0)+1),MATCH(F$1,gacha_schedules!$1:$1,0)-MATCH($B$1,gacha_schedules!$1:$1,0)+1,FALSE)</f>
        <v>2015-10-12 00:00:00</v>
      </c>
      <c r="G45" s="10" t="str">
        <f ca="1">VLOOKUP($B45,OFFSET(gacha_schedules!$A$1,0,0,COUNTA(gacha_schedules!$A:$A),MATCH(G$1,gacha_schedules!$1:$1,0)-MATCH($B$1,gacha_schedules!$1:$1,0)+1),MATCH(G$1,gacha_schedules!$1:$1,0)-MATCH($B$1,gacha_schedules!$1:$1,0)+1,FALSE)</f>
        <v>2015-10-12 23:59:59</v>
      </c>
      <c r="H45" s="10" t="str">
        <f ca="1">VLOOKUP($B45,OFFSET(gacha_schedules!$A$1,0,0,COUNTA(gacha_schedules!$A:$A),MATCH(H$1,gacha_schedules!$1:$1,0)-MATCH($B$1,gacha_schedules!$1:$1,0)+1),MATCH(H$1,gacha_schedules!$1:$1,0)-MATCH($B$1,gacha_schedules!$1:$1,0)+1,FALSE)</f>
        <v>青ガチャ０1　あと少し</v>
      </c>
      <c r="I45" s="26">
        <f ca="1">VLOOKUP($B45,OFFSET(gacha_schedules!$A$1,0,0,COUNTA(gacha_schedules!$A:$A),MATCH(I$1,gacha_schedules!$1:$1,0)-MATCH($B$1,gacha_schedules!$1:$1,0)+1),MATCH(I$1,gacha_schedules!$1:$1,0)-MATCH($B$1,gacha_schedules!$1:$1,0)+1,FALSE)</f>
        <v>100</v>
      </c>
      <c r="J45" s="26" t="str">
        <f ca="1">VLOOKUP($C45,OFFSET(gachas!$A$1,0,0,COUNTA(gachas!$A:$A),MATCH(J$1,gachas!$1:$1,0)-MATCH($C$1,gachas!$1:$1,0)+1),MATCH(J$1,gachas!$1:$1,0)-MATCH($C$1,gachas!$1:$1,0)+1,FALSE)</f>
        <v>link</v>
      </c>
      <c r="K45" s="26">
        <f ca="1">VLOOKUP($C45,OFFSET(gachas!$A$1,0,0,COUNTA(gachas!$A:$A),MATCH(K$1,gachas!$1:$1,0)-MATCH($C$1,gachas!$1:$1,0)+1),MATCH(K$1,gachas!$1:$1,0)-MATCH($C$1,gachas!$1:$1,0)+1,FALSE)</f>
        <v>100</v>
      </c>
    </row>
    <row r="46" spans="1:11" ht="21" customHeight="1">
      <c r="A46" s="12" t="str">
        <f t="shared" si="7"/>
        <v>1170_117</v>
      </c>
      <c r="B46" s="31">
        <v>1170</v>
      </c>
      <c r="C46" s="2">
        <v>117</v>
      </c>
      <c r="D46" s="26" t="str">
        <f ca="1">VLOOKUP($C46,OFFSET(gachas!$A$1,0,0,COUNTA(gachas!$A:$A),MATCH(D$1,gachas!$1:$1,0)-MATCH($C$1,gachas!$1:$1,0)+1),MATCH(D$1,gachas!$1:$1,0)-MATCH($C$1,gachas!$1:$1,0)+1,FALSE)</f>
        <v>青アップ0１　最終日</v>
      </c>
      <c r="E46" s="2">
        <v>1</v>
      </c>
      <c r="F46" s="10" t="str">
        <f ca="1">VLOOKUP($B46,OFFSET(gacha_schedules!$A$1,0,0,COUNTA(gacha_schedules!$A:$A),MATCH(F$1,gacha_schedules!$1:$1,0)-MATCH($B$1,gacha_schedules!$1:$1,0)+1),MATCH(F$1,gacha_schedules!$1:$1,0)-MATCH($B$1,gacha_schedules!$1:$1,0)+1,FALSE)</f>
        <v>2015-10-13 00:00:00</v>
      </c>
      <c r="G46" s="10" t="str">
        <f ca="1">VLOOKUP($B46,OFFSET(gacha_schedules!$A$1,0,0,COUNTA(gacha_schedules!$A:$A),MATCH(G$1,gacha_schedules!$1:$1,0)-MATCH($B$1,gacha_schedules!$1:$1,0)+1),MATCH(G$1,gacha_schedules!$1:$1,0)-MATCH($B$1,gacha_schedules!$1:$1,0)+1,FALSE)</f>
        <v>2015-10-13 14:59:59</v>
      </c>
      <c r="H46" s="10" t="str">
        <f ca="1">VLOOKUP($B46,OFFSET(gacha_schedules!$A$1,0,0,COUNTA(gacha_schedules!$A:$A),MATCH(H$1,gacha_schedules!$1:$1,0)-MATCH($B$1,gacha_schedules!$1:$1,0)+1),MATCH(H$1,gacha_schedules!$1:$1,0)-MATCH($B$1,gacha_schedules!$1:$1,0)+1,FALSE)</f>
        <v>青ガチャ０1あと１日</v>
      </c>
      <c r="I46" s="26">
        <f ca="1">VLOOKUP($B46,OFFSET(gacha_schedules!$A$1,0,0,COUNTA(gacha_schedules!$A:$A),MATCH(I$1,gacha_schedules!$1:$1,0)-MATCH($B$1,gacha_schedules!$1:$1,0)+1),MATCH(I$1,gacha_schedules!$1:$1,0)-MATCH($B$1,gacha_schedules!$1:$1,0)+1,FALSE)</f>
        <v>100</v>
      </c>
      <c r="J46" s="26" t="str">
        <f ca="1">VLOOKUP($C46,OFFSET(gachas!$A$1,0,0,COUNTA(gachas!$A:$A),MATCH(J$1,gachas!$1:$1,0)-MATCH($C$1,gachas!$1:$1,0)+1),MATCH(J$1,gachas!$1:$1,0)-MATCH($C$1,gachas!$1:$1,0)+1,FALSE)</f>
        <v>polygon</v>
      </c>
      <c r="K46" s="26">
        <f ca="1">VLOOKUP($C46,OFFSET(gachas!$A$1,0,0,COUNTA(gachas!$A:$A),MATCH(K$1,gachas!$1:$1,0)-MATCH($C$1,gachas!$1:$1,0)+1),MATCH(K$1,gachas!$1:$1,0)-MATCH($C$1,gachas!$1:$1,0)+1,FALSE)</f>
        <v>5</v>
      </c>
    </row>
    <row r="47" spans="1:11" ht="21" customHeight="1">
      <c r="A47" s="12" t="str">
        <f t="shared" si="7"/>
        <v>1170_201</v>
      </c>
      <c r="B47" s="31">
        <v>1170</v>
      </c>
      <c r="C47" s="2">
        <v>201</v>
      </c>
      <c r="D47" s="26" t="str">
        <f ca="1">VLOOKUP($C47,OFFSET(gachas!$A$1,0,0,COUNTA(gachas!$A:$A),MATCH(D$1,gachas!$1:$1,0)-MATCH($C$1,gachas!$1:$1,0)+1),MATCH(D$1,gachas!$1:$1,0)-MATCH($C$1,gachas!$1:$1,0)+1,FALSE)</f>
        <v>男気リンクガチャ（常設）</v>
      </c>
      <c r="E47" s="2">
        <v>2</v>
      </c>
      <c r="F47" s="10" t="str">
        <f ca="1">VLOOKUP($B47,OFFSET(gacha_schedules!$A$1,0,0,COUNTA(gacha_schedules!$A:$A),MATCH(F$1,gacha_schedules!$1:$1,0)-MATCH($B$1,gacha_schedules!$1:$1,0)+1),MATCH(F$1,gacha_schedules!$1:$1,0)-MATCH($B$1,gacha_schedules!$1:$1,0)+1,FALSE)</f>
        <v>2015-10-13 00:00:00</v>
      </c>
      <c r="G47" s="10" t="str">
        <f ca="1">VLOOKUP($B47,OFFSET(gacha_schedules!$A$1,0,0,COUNTA(gacha_schedules!$A:$A),MATCH(G$1,gacha_schedules!$1:$1,0)-MATCH($B$1,gacha_schedules!$1:$1,0)+1),MATCH(G$1,gacha_schedules!$1:$1,0)-MATCH($B$1,gacha_schedules!$1:$1,0)+1,FALSE)</f>
        <v>2015-10-13 14:59:59</v>
      </c>
      <c r="H47" s="10" t="str">
        <f ca="1">VLOOKUP($B47,OFFSET(gacha_schedules!$A$1,0,0,COUNTA(gacha_schedules!$A:$A),MATCH(H$1,gacha_schedules!$1:$1,0)-MATCH($B$1,gacha_schedules!$1:$1,0)+1),MATCH(H$1,gacha_schedules!$1:$1,0)-MATCH($B$1,gacha_schedules!$1:$1,0)+1,FALSE)</f>
        <v>青ガチャ０1あと１日</v>
      </c>
      <c r="I47" s="26">
        <f ca="1">VLOOKUP($B47,OFFSET(gacha_schedules!$A$1,0,0,COUNTA(gacha_schedules!$A:$A),MATCH(I$1,gacha_schedules!$1:$1,0)-MATCH($B$1,gacha_schedules!$1:$1,0)+1),MATCH(I$1,gacha_schedules!$1:$1,0)-MATCH($B$1,gacha_schedules!$1:$1,0)+1,FALSE)</f>
        <v>100</v>
      </c>
      <c r="J47" s="26" t="str">
        <f ca="1">VLOOKUP($C47,OFFSET(gachas!$A$1,0,0,COUNTA(gachas!$A:$A),MATCH(J$1,gachas!$1:$1,0)-MATCH($C$1,gachas!$1:$1,0)+1),MATCH(J$1,gachas!$1:$1,0)-MATCH($C$1,gachas!$1:$1,0)+1,FALSE)</f>
        <v>link</v>
      </c>
      <c r="K47" s="26">
        <f ca="1">VLOOKUP($C47,OFFSET(gachas!$A$1,0,0,COUNTA(gachas!$A:$A),MATCH(K$1,gachas!$1:$1,0)-MATCH($C$1,gachas!$1:$1,0)+1),MATCH(K$1,gachas!$1:$1,0)-MATCH($C$1,gachas!$1:$1,0)+1,FALSE)</f>
        <v>100</v>
      </c>
    </row>
    <row r="48" spans="1:11" ht="21" customHeight="1">
      <c r="A48" s="12" t="str">
        <f t="shared" ref="A48:A57" si="8">B48&amp;"_"&amp;C48</f>
        <v>1171_114</v>
      </c>
      <c r="B48" s="31">
        <v>1171</v>
      </c>
      <c r="C48" s="2">
        <v>114</v>
      </c>
      <c r="D48" s="26" t="str">
        <f ca="1">VLOOKUP($C48,OFFSET(gachas!$A$1,0,0,COUNTA(gachas!$A:$A),MATCH(D$1,gachas!$1:$1,0)-MATCH($C$1,gachas!$1:$1,0)+1),MATCH(D$1,gachas!$1:$1,0)-MATCH($C$1,gachas!$1:$1,0)+1,FALSE)</f>
        <v>新キャラ追加04(ドラゴン）確率アップ</v>
      </c>
      <c r="E48" s="2">
        <v>1</v>
      </c>
      <c r="F48" s="10" t="str">
        <f ca="1">VLOOKUP($B48,OFFSET(gacha_schedules!$A$1,0,0,COUNTA(gacha_schedules!$A:$A),MATCH(F$1,gacha_schedules!$1:$1,0)-MATCH($B$1,gacha_schedules!$1:$1,0)+1),MATCH(F$1,gacha_schedules!$1:$1,0)-MATCH($B$1,gacha_schedules!$1:$1,0)+1,FALSE)</f>
        <v>2015-10-12 15:00:00</v>
      </c>
      <c r="G48" s="10" t="str">
        <f ca="1">VLOOKUP($B48,OFFSET(gacha_schedules!$A$1,0,0,COUNTA(gacha_schedules!$A:$A),MATCH(G$1,gacha_schedules!$1:$1,0)-MATCH($B$1,gacha_schedules!$1:$1,0)+1),MATCH(G$1,gacha_schedules!$1:$1,0)-MATCH($B$1,gacha_schedules!$1:$1,0)+1,FALSE)</f>
        <v>2100-01-01 14:59:59</v>
      </c>
      <c r="H48" s="10" t="str">
        <f ca="1">VLOOKUP($B48,OFFSET(gacha_schedules!$A$1,0,0,COUNTA(gacha_schedules!$A:$A),MATCH(H$1,gacha_schedules!$1:$1,0)-MATCH($B$1,gacha_schedules!$1:$1,0)+1),MATCH(H$1,gacha_schedules!$1:$1,0)-MATCH($B$1,gacha_schedules!$1:$1,0)+1,FALSE)</f>
        <v>新ガチャ０4（ドラゴン)青ガチャ後用</v>
      </c>
      <c r="I48" s="26">
        <f ca="1">VLOOKUP($B48,OFFSET(gacha_schedules!$A$1,0,0,COUNTA(gacha_schedules!$A:$A),MATCH(I$1,gacha_schedules!$1:$1,0)-MATCH($B$1,gacha_schedules!$1:$1,0)+1),MATCH(I$1,gacha_schedules!$1:$1,0)-MATCH($B$1,gacha_schedules!$1:$1,0)+1,FALSE)</f>
        <v>100</v>
      </c>
      <c r="J48" s="26" t="str">
        <f ca="1">VLOOKUP($C48,OFFSET(gachas!$A$1,0,0,COUNTA(gachas!$A:$A),MATCH(J$1,gachas!$1:$1,0)-MATCH($C$1,gachas!$1:$1,0)+1),MATCH(J$1,gachas!$1:$1,0)-MATCH($C$1,gachas!$1:$1,0)+1,FALSE)</f>
        <v>polygon</v>
      </c>
      <c r="K48" s="26">
        <f ca="1">VLOOKUP($C48,OFFSET(gachas!$A$1,0,0,COUNTA(gachas!$A:$A),MATCH(K$1,gachas!$1:$1,0)-MATCH($C$1,gachas!$1:$1,0)+1),MATCH(K$1,gachas!$1:$1,0)-MATCH($C$1,gachas!$1:$1,0)+1,FALSE)</f>
        <v>5</v>
      </c>
    </row>
    <row r="49" spans="1:11" ht="21" customHeight="1">
      <c r="A49" s="12" t="str">
        <f t="shared" si="8"/>
        <v>1171_201</v>
      </c>
      <c r="B49" s="31">
        <v>1171</v>
      </c>
      <c r="C49" s="2">
        <v>201</v>
      </c>
      <c r="D49" s="26" t="str">
        <f ca="1">VLOOKUP($C49,OFFSET(gachas!$A$1,0,0,COUNTA(gachas!$A:$A),MATCH(D$1,gachas!$1:$1,0)-MATCH($C$1,gachas!$1:$1,0)+1),MATCH(D$1,gachas!$1:$1,0)-MATCH($C$1,gachas!$1:$1,0)+1,FALSE)</f>
        <v>男気リンクガチャ（常設）</v>
      </c>
      <c r="E49" s="2">
        <v>2</v>
      </c>
      <c r="F49" s="10" t="str">
        <f ca="1">VLOOKUP($B49,OFFSET(gacha_schedules!$A$1,0,0,COUNTA(gacha_schedules!$A:$A),MATCH(F$1,gacha_schedules!$1:$1,0)-MATCH($B$1,gacha_schedules!$1:$1,0)+1),MATCH(F$1,gacha_schedules!$1:$1,0)-MATCH($B$1,gacha_schedules!$1:$1,0)+1,FALSE)</f>
        <v>2015-10-12 15:00:00</v>
      </c>
      <c r="G49" s="10" t="str">
        <f ca="1">VLOOKUP($B49,OFFSET(gacha_schedules!$A$1,0,0,COUNTA(gacha_schedules!$A:$A),MATCH(G$1,gacha_schedules!$1:$1,0)-MATCH($B$1,gacha_schedules!$1:$1,0)+1),MATCH(G$1,gacha_schedules!$1:$1,0)-MATCH($B$1,gacha_schedules!$1:$1,0)+1,FALSE)</f>
        <v>2100-01-01 14:59:59</v>
      </c>
      <c r="H49" s="10" t="str">
        <f ca="1">VLOOKUP($B49,OFFSET(gacha_schedules!$A$1,0,0,COUNTA(gacha_schedules!$A:$A),MATCH(H$1,gacha_schedules!$1:$1,0)-MATCH($B$1,gacha_schedules!$1:$1,0)+1),MATCH(H$1,gacha_schedules!$1:$1,0)-MATCH($B$1,gacha_schedules!$1:$1,0)+1,FALSE)</f>
        <v>新ガチャ０4（ドラゴン)青ガチャ後用</v>
      </c>
      <c r="I49" s="26">
        <f ca="1">VLOOKUP($B49,OFFSET(gacha_schedules!$A$1,0,0,COUNTA(gacha_schedules!$A:$A),MATCH(I$1,gacha_schedules!$1:$1,0)-MATCH($B$1,gacha_schedules!$1:$1,0)+1),MATCH(I$1,gacha_schedules!$1:$1,0)-MATCH($B$1,gacha_schedules!$1:$1,0)+1,FALSE)</f>
        <v>100</v>
      </c>
      <c r="J49" s="26" t="str">
        <f ca="1">VLOOKUP($C49,OFFSET(gachas!$A$1,0,0,COUNTA(gachas!$A:$A),MATCH(J$1,gachas!$1:$1,0)-MATCH($C$1,gachas!$1:$1,0)+1),MATCH(J$1,gachas!$1:$1,0)-MATCH($C$1,gachas!$1:$1,0)+1,FALSE)</f>
        <v>link</v>
      </c>
      <c r="K49" s="26">
        <f ca="1">VLOOKUP($C49,OFFSET(gachas!$A$1,0,0,COUNTA(gachas!$A:$A),MATCH(K$1,gachas!$1:$1,0)-MATCH($C$1,gachas!$1:$1,0)+1),MATCH(K$1,gachas!$1:$1,0)-MATCH($C$1,gachas!$1:$1,0)+1,FALSE)</f>
        <v>100</v>
      </c>
    </row>
    <row r="50" spans="1:11" ht="21" customHeight="1">
      <c r="A50" s="12" t="str">
        <f t="shared" si="8"/>
        <v>1172_122</v>
      </c>
      <c r="B50" s="31">
        <v>1172</v>
      </c>
      <c r="C50" s="2">
        <v>122</v>
      </c>
      <c r="D50" s="26" t="str">
        <f ca="1">VLOOKUP($C50,OFFSET(gachas!$A$1,0,0,COUNTA(gachas!$A:$A),MATCH(D$1,gachas!$1:$1,0)-MATCH($C$1,gachas!$1:$1,0)+1),MATCH(D$1,gachas!$1:$1,0)-MATCH($C$1,gachas!$1:$1,0)+1,FALSE)</f>
        <v>新キャラ追加04(ドラゴン）あと少し</v>
      </c>
      <c r="E50" s="2">
        <v>1</v>
      </c>
      <c r="F50" s="10" t="str">
        <f ca="1">VLOOKUP($B50,OFFSET(gacha_schedules!$A$1,0,0,COUNTA(gacha_schedules!$A:$A),MATCH(F$1,gacha_schedules!$1:$1,0)-MATCH($B$1,gacha_schedules!$1:$1,0)+1),MATCH(F$1,gacha_schedules!$1:$1,0)-MATCH($B$1,gacha_schedules!$1:$1,0)+1,FALSE)</f>
        <v>2015-10-04 00:00:00</v>
      </c>
      <c r="G50" s="10" t="str">
        <f ca="1">VLOOKUP($B50,OFFSET(gacha_schedules!$A$1,0,0,COUNTA(gacha_schedules!$A:$A),MATCH(G$1,gacha_schedules!$1:$1,0)-MATCH($B$1,gacha_schedules!$1:$1,0)+1),MATCH(G$1,gacha_schedules!$1:$1,0)-MATCH($B$1,gacha_schedules!$1:$1,0)+1,FALSE)</f>
        <v>2015-10-04 23:59:59</v>
      </c>
      <c r="H50" s="10" t="str">
        <f ca="1">VLOOKUP($B50,OFFSET(gacha_schedules!$A$1,0,0,COUNTA(gacha_schedules!$A:$A),MATCH(H$1,gacha_schedules!$1:$1,0)-MATCH($B$1,gacha_schedules!$1:$1,0)+1),MATCH(H$1,gacha_schedules!$1:$1,0)-MATCH($B$1,gacha_schedules!$1:$1,0)+1,FALSE)</f>
        <v>新ガチャ０4（ドラゴン)あと少し</v>
      </c>
      <c r="I50" s="26">
        <f ca="1">VLOOKUP($B50,OFFSET(gacha_schedules!$A$1,0,0,COUNTA(gacha_schedules!$A:$A),MATCH(I$1,gacha_schedules!$1:$1,0)-MATCH($B$1,gacha_schedules!$1:$1,0)+1),MATCH(I$1,gacha_schedules!$1:$1,0)-MATCH($B$1,gacha_schedules!$1:$1,0)+1,FALSE)</f>
        <v>100</v>
      </c>
      <c r="J50" s="26" t="str">
        <f ca="1">VLOOKUP($C50,OFFSET(gachas!$A$1,0,0,COUNTA(gachas!$A:$A),MATCH(J$1,gachas!$1:$1,0)-MATCH($C$1,gachas!$1:$1,0)+1),MATCH(J$1,gachas!$1:$1,0)-MATCH($C$1,gachas!$1:$1,0)+1,FALSE)</f>
        <v>polygon</v>
      </c>
      <c r="K50" s="26">
        <f ca="1">VLOOKUP($C50,OFFSET(gachas!$A$1,0,0,COUNTA(gachas!$A:$A),MATCH(K$1,gachas!$1:$1,0)-MATCH($C$1,gachas!$1:$1,0)+1),MATCH(K$1,gachas!$1:$1,0)-MATCH($C$1,gachas!$1:$1,0)+1,FALSE)</f>
        <v>5</v>
      </c>
    </row>
    <row r="51" spans="1:11" ht="21" customHeight="1">
      <c r="A51" s="12" t="str">
        <f t="shared" si="8"/>
        <v>1172_201</v>
      </c>
      <c r="B51" s="31">
        <v>1172</v>
      </c>
      <c r="C51" s="2">
        <v>201</v>
      </c>
      <c r="D51" s="26" t="str">
        <f ca="1">VLOOKUP($C51,OFFSET(gachas!$A$1,0,0,COUNTA(gachas!$A:$A),MATCH(D$1,gachas!$1:$1,0)-MATCH($C$1,gachas!$1:$1,0)+1),MATCH(D$1,gachas!$1:$1,0)-MATCH($C$1,gachas!$1:$1,0)+1,FALSE)</f>
        <v>男気リンクガチャ（常設）</v>
      </c>
      <c r="E51" s="2">
        <v>2</v>
      </c>
      <c r="F51" s="10" t="str">
        <f ca="1">VLOOKUP($B51,OFFSET(gacha_schedules!$A$1,0,0,COUNTA(gacha_schedules!$A:$A),MATCH(F$1,gacha_schedules!$1:$1,0)-MATCH($B$1,gacha_schedules!$1:$1,0)+1),MATCH(F$1,gacha_schedules!$1:$1,0)-MATCH($B$1,gacha_schedules!$1:$1,0)+1,FALSE)</f>
        <v>2015-10-04 00:00:00</v>
      </c>
      <c r="G51" s="10" t="str">
        <f ca="1">VLOOKUP($B51,OFFSET(gacha_schedules!$A$1,0,0,COUNTA(gacha_schedules!$A:$A),MATCH(G$1,gacha_schedules!$1:$1,0)-MATCH($B$1,gacha_schedules!$1:$1,0)+1),MATCH(G$1,gacha_schedules!$1:$1,0)-MATCH($B$1,gacha_schedules!$1:$1,0)+1,FALSE)</f>
        <v>2015-10-04 23:59:59</v>
      </c>
      <c r="H51" s="10" t="str">
        <f ca="1">VLOOKUP($B51,OFFSET(gacha_schedules!$A$1,0,0,COUNTA(gacha_schedules!$A:$A),MATCH(H$1,gacha_schedules!$1:$1,0)-MATCH($B$1,gacha_schedules!$1:$1,0)+1),MATCH(H$1,gacha_schedules!$1:$1,0)-MATCH($B$1,gacha_schedules!$1:$1,0)+1,FALSE)</f>
        <v>新ガチャ０4（ドラゴン)あと少し</v>
      </c>
      <c r="I51" s="26">
        <f ca="1">VLOOKUP($B51,OFFSET(gacha_schedules!$A$1,0,0,COUNTA(gacha_schedules!$A:$A),MATCH(I$1,gacha_schedules!$1:$1,0)-MATCH($B$1,gacha_schedules!$1:$1,0)+1),MATCH(I$1,gacha_schedules!$1:$1,0)-MATCH($B$1,gacha_schedules!$1:$1,0)+1,FALSE)</f>
        <v>100</v>
      </c>
      <c r="J51" s="26" t="str">
        <f ca="1">VLOOKUP($C51,OFFSET(gachas!$A$1,0,0,COUNTA(gachas!$A:$A),MATCH(J$1,gachas!$1:$1,0)-MATCH($C$1,gachas!$1:$1,0)+1),MATCH(J$1,gachas!$1:$1,0)-MATCH($C$1,gachas!$1:$1,0)+1,FALSE)</f>
        <v>link</v>
      </c>
      <c r="K51" s="26">
        <f ca="1">VLOOKUP($C51,OFFSET(gachas!$A$1,0,0,COUNTA(gachas!$A:$A),MATCH(K$1,gachas!$1:$1,0)-MATCH($C$1,gachas!$1:$1,0)+1),MATCH(K$1,gachas!$1:$1,0)-MATCH($C$1,gachas!$1:$1,0)+1,FALSE)</f>
        <v>100</v>
      </c>
    </row>
    <row r="52" spans="1:11" ht="21" customHeight="1">
      <c r="A52" s="12" t="str">
        <f t="shared" si="8"/>
        <v>1173_123</v>
      </c>
      <c r="B52" s="31">
        <v>1173</v>
      </c>
      <c r="C52" s="2">
        <v>123</v>
      </c>
      <c r="D52" s="26" t="str">
        <f ca="1">VLOOKUP($C52,OFFSET(gachas!$A$1,0,0,COUNTA(gachas!$A:$A),MATCH(D$1,gachas!$1:$1,0)-MATCH($C$1,gachas!$1:$1,0)+1),MATCH(D$1,gachas!$1:$1,0)-MATCH($C$1,gachas!$1:$1,0)+1,FALSE)</f>
        <v>新キャラ追加04(ドラゴン）最終日</v>
      </c>
      <c r="E52" s="2">
        <v>1</v>
      </c>
      <c r="F52" s="10" t="str">
        <f ca="1">VLOOKUP($B52,OFFSET(gacha_schedules!$A$1,0,0,COUNTA(gacha_schedules!$A:$A),MATCH(F$1,gacha_schedules!$1:$1,0)-MATCH($B$1,gacha_schedules!$1:$1,0)+1),MATCH(F$1,gacha_schedules!$1:$1,0)-MATCH($B$1,gacha_schedules!$1:$1,0)+1,FALSE)</f>
        <v>2015-10-05 00:00:00</v>
      </c>
      <c r="G52" s="10" t="str">
        <f ca="1">VLOOKUP($B52,OFFSET(gacha_schedules!$A$1,0,0,COUNTA(gacha_schedules!$A:$A),MATCH(G$1,gacha_schedules!$1:$1,0)-MATCH($B$1,gacha_schedules!$1:$1,0)+1),MATCH(G$1,gacha_schedules!$1:$1,0)-MATCH($B$1,gacha_schedules!$1:$1,0)+1,FALSE)</f>
        <v>2015-10-05 14:59:59</v>
      </c>
      <c r="H52" s="10" t="str">
        <f ca="1">VLOOKUP($B52,OFFSET(gacha_schedules!$A$1,0,0,COUNTA(gacha_schedules!$A:$A),MATCH(H$1,gacha_schedules!$1:$1,0)-MATCH($B$1,gacha_schedules!$1:$1,0)+1),MATCH(H$1,gacha_schedules!$1:$1,0)-MATCH($B$1,gacha_schedules!$1:$1,0)+1,FALSE)</f>
        <v>新ガチャ０4（ドラゴン)最終日</v>
      </c>
      <c r="I52" s="26">
        <f ca="1">VLOOKUP($B52,OFFSET(gacha_schedules!$A$1,0,0,COUNTA(gacha_schedules!$A:$A),MATCH(I$1,gacha_schedules!$1:$1,0)-MATCH($B$1,gacha_schedules!$1:$1,0)+1),MATCH(I$1,gacha_schedules!$1:$1,0)-MATCH($B$1,gacha_schedules!$1:$1,0)+1,FALSE)</f>
        <v>100</v>
      </c>
      <c r="J52" s="26" t="str">
        <f ca="1">VLOOKUP($C52,OFFSET(gachas!$A$1,0,0,COUNTA(gachas!$A:$A),MATCH(J$1,gachas!$1:$1,0)-MATCH($C$1,gachas!$1:$1,0)+1),MATCH(J$1,gachas!$1:$1,0)-MATCH($C$1,gachas!$1:$1,0)+1,FALSE)</f>
        <v>polygon</v>
      </c>
      <c r="K52" s="26">
        <f ca="1">VLOOKUP($C52,OFFSET(gachas!$A$1,0,0,COUNTA(gachas!$A:$A),MATCH(K$1,gachas!$1:$1,0)-MATCH($C$1,gachas!$1:$1,0)+1),MATCH(K$1,gachas!$1:$1,0)-MATCH($C$1,gachas!$1:$1,0)+1,FALSE)</f>
        <v>5</v>
      </c>
    </row>
    <row r="53" spans="1:11" ht="21" customHeight="1">
      <c r="A53" s="12" t="str">
        <f t="shared" si="8"/>
        <v>1173_201</v>
      </c>
      <c r="B53" s="31">
        <v>1173</v>
      </c>
      <c r="C53" s="2">
        <v>201</v>
      </c>
      <c r="D53" s="26" t="str">
        <f ca="1">VLOOKUP($C53,OFFSET(gachas!$A$1,0,0,COUNTA(gachas!$A:$A),MATCH(D$1,gachas!$1:$1,0)-MATCH($C$1,gachas!$1:$1,0)+1),MATCH(D$1,gachas!$1:$1,0)-MATCH($C$1,gachas!$1:$1,0)+1,FALSE)</f>
        <v>男気リンクガチャ（常設）</v>
      </c>
      <c r="E53" s="2">
        <v>2</v>
      </c>
      <c r="F53" s="10" t="str">
        <f ca="1">VLOOKUP($B53,OFFSET(gacha_schedules!$A$1,0,0,COUNTA(gacha_schedules!$A:$A),MATCH(F$1,gacha_schedules!$1:$1,0)-MATCH($B$1,gacha_schedules!$1:$1,0)+1),MATCH(F$1,gacha_schedules!$1:$1,0)-MATCH($B$1,gacha_schedules!$1:$1,0)+1,FALSE)</f>
        <v>2015-10-05 00:00:00</v>
      </c>
      <c r="G53" s="10" t="str">
        <f ca="1">VLOOKUP($B53,OFFSET(gacha_schedules!$A$1,0,0,COUNTA(gacha_schedules!$A:$A),MATCH(G$1,gacha_schedules!$1:$1,0)-MATCH($B$1,gacha_schedules!$1:$1,0)+1),MATCH(G$1,gacha_schedules!$1:$1,0)-MATCH($B$1,gacha_schedules!$1:$1,0)+1,FALSE)</f>
        <v>2015-10-05 14:59:59</v>
      </c>
      <c r="H53" s="10" t="str">
        <f ca="1">VLOOKUP($B53,OFFSET(gacha_schedules!$A$1,0,0,COUNTA(gacha_schedules!$A:$A),MATCH(H$1,gacha_schedules!$1:$1,0)-MATCH($B$1,gacha_schedules!$1:$1,0)+1),MATCH(H$1,gacha_schedules!$1:$1,0)-MATCH($B$1,gacha_schedules!$1:$1,0)+1,FALSE)</f>
        <v>新ガチャ０4（ドラゴン)最終日</v>
      </c>
      <c r="I53" s="26">
        <f ca="1">VLOOKUP($B53,OFFSET(gacha_schedules!$A$1,0,0,COUNTA(gacha_schedules!$A:$A),MATCH(I$1,gacha_schedules!$1:$1,0)-MATCH($B$1,gacha_schedules!$1:$1,0)+1),MATCH(I$1,gacha_schedules!$1:$1,0)-MATCH($B$1,gacha_schedules!$1:$1,0)+1,FALSE)</f>
        <v>100</v>
      </c>
      <c r="J53" s="26" t="str">
        <f ca="1">VLOOKUP($C53,OFFSET(gachas!$A$1,0,0,COUNTA(gachas!$A:$A),MATCH(J$1,gachas!$1:$1,0)-MATCH($C$1,gachas!$1:$1,0)+1),MATCH(J$1,gachas!$1:$1,0)-MATCH($C$1,gachas!$1:$1,0)+1,FALSE)</f>
        <v>link</v>
      </c>
      <c r="K53" s="26">
        <f ca="1">VLOOKUP($C53,OFFSET(gachas!$A$1,0,0,COUNTA(gachas!$A:$A),MATCH(K$1,gachas!$1:$1,0)-MATCH($C$1,gachas!$1:$1,0)+1),MATCH(K$1,gachas!$1:$1,0)-MATCH($C$1,gachas!$1:$1,0)+1,FALSE)</f>
        <v>100</v>
      </c>
    </row>
    <row r="54" spans="1:11" ht="21" customHeight="1">
      <c r="A54" s="12" t="str">
        <f t="shared" si="8"/>
        <v>1174_124</v>
      </c>
      <c r="B54" s="31">
        <v>1174</v>
      </c>
      <c r="C54" s="2">
        <v>124</v>
      </c>
      <c r="D54" s="26" t="str">
        <f ca="1">VLOOKUP($C54,OFFSET(gachas!$A$1,0,0,COUNTA(gachas!$A:$A),MATCH(D$1,gachas!$1:$1,0)-MATCH($C$1,gachas!$1:$1,0)+1),MATCH(D$1,gachas!$1:$1,0)-MATCH($C$1,gachas!$1:$1,0)+1,FALSE)</f>
        <v>新キャラ追加04(ドラゴン)通常</v>
      </c>
      <c r="E54" s="2">
        <v>1</v>
      </c>
      <c r="F54" s="10" t="str">
        <f ca="1">VLOOKUP($B54,OFFSET(gacha_schedules!$A$1,0,0,COUNTA(gacha_schedules!$A:$A),MATCH(F$1,gacha_schedules!$1:$1,0)-MATCH($B$1,gacha_schedules!$1:$1,0)+1),MATCH(F$1,gacha_schedules!$1:$1,0)-MATCH($B$1,gacha_schedules!$1:$1,0)+1,FALSE)</f>
        <v>2015-10-07 15:00:00</v>
      </c>
      <c r="G54" s="10" t="str">
        <f ca="1">VLOOKUP($B54,OFFSET(gacha_schedules!$A$1,0,0,COUNTA(gacha_schedules!$A:$A),MATCH(G$1,gacha_schedules!$1:$1,0)-MATCH($B$1,gacha_schedules!$1:$1,0)+1),MATCH(G$1,gacha_schedules!$1:$1,0)-MATCH($B$1,gacha_schedules!$1:$1,0)+1,FALSE)</f>
        <v>2015-10-08 14:59:59</v>
      </c>
      <c r="H54" s="10" t="str">
        <f ca="1">VLOOKUP($B54,OFFSET(gacha_schedules!$A$1,0,0,COUNTA(gacha_schedules!$A:$A),MATCH(H$1,gacha_schedules!$1:$1,0)-MATCH($B$1,gacha_schedules!$1:$1,0)+1),MATCH(H$1,gacha_schedules!$1:$1,0)-MATCH($B$1,gacha_schedules!$1:$1,0)+1,FALSE)</f>
        <v>新ガチャ０4（ドラゴン)通常</v>
      </c>
      <c r="I54" s="26">
        <f ca="1">VLOOKUP($B54,OFFSET(gacha_schedules!$A$1,0,0,COUNTA(gacha_schedules!$A:$A),MATCH(I$1,gacha_schedules!$1:$1,0)-MATCH($B$1,gacha_schedules!$1:$1,0)+1),MATCH(I$1,gacha_schedules!$1:$1,0)-MATCH($B$1,gacha_schedules!$1:$1,0)+1,FALSE)</f>
        <v>100</v>
      </c>
      <c r="J54" s="26" t="str">
        <f ca="1">VLOOKUP($C54,OFFSET(gachas!$A$1,0,0,COUNTA(gachas!$A:$A),MATCH(J$1,gachas!$1:$1,0)-MATCH($C$1,gachas!$1:$1,0)+1),MATCH(J$1,gachas!$1:$1,0)-MATCH($C$1,gachas!$1:$1,0)+1,FALSE)</f>
        <v>polygon</v>
      </c>
      <c r="K54" s="26">
        <f ca="1">VLOOKUP($C54,OFFSET(gachas!$A$1,0,0,COUNTA(gachas!$A:$A),MATCH(K$1,gachas!$1:$1,0)-MATCH($C$1,gachas!$1:$1,0)+1),MATCH(K$1,gachas!$1:$1,0)-MATCH($C$1,gachas!$1:$1,0)+1,FALSE)</f>
        <v>5</v>
      </c>
    </row>
    <row r="55" spans="1:11" ht="21" customHeight="1">
      <c r="A55" s="12" t="str">
        <f t="shared" si="8"/>
        <v>1174_201</v>
      </c>
      <c r="B55" s="31">
        <v>1174</v>
      </c>
      <c r="C55" s="2">
        <v>201</v>
      </c>
      <c r="D55" s="26" t="str">
        <f ca="1">VLOOKUP($C55,OFFSET(gachas!$A$1,0,0,COUNTA(gachas!$A:$A),MATCH(D$1,gachas!$1:$1,0)-MATCH($C$1,gachas!$1:$1,0)+1),MATCH(D$1,gachas!$1:$1,0)-MATCH($C$1,gachas!$1:$1,0)+1,FALSE)</f>
        <v>男気リンクガチャ（常設）</v>
      </c>
      <c r="E55" s="2">
        <v>2</v>
      </c>
      <c r="F55" s="10" t="str">
        <f ca="1">VLOOKUP($B55,OFFSET(gacha_schedules!$A$1,0,0,COUNTA(gacha_schedules!$A:$A),MATCH(F$1,gacha_schedules!$1:$1,0)-MATCH($B$1,gacha_schedules!$1:$1,0)+1),MATCH(F$1,gacha_schedules!$1:$1,0)-MATCH($B$1,gacha_schedules!$1:$1,0)+1,FALSE)</f>
        <v>2015-10-07 15:00:00</v>
      </c>
      <c r="G55" s="10" t="str">
        <f ca="1">VLOOKUP($B55,OFFSET(gacha_schedules!$A$1,0,0,COUNTA(gacha_schedules!$A:$A),MATCH(G$1,gacha_schedules!$1:$1,0)-MATCH($B$1,gacha_schedules!$1:$1,0)+1),MATCH(G$1,gacha_schedules!$1:$1,0)-MATCH($B$1,gacha_schedules!$1:$1,0)+1,FALSE)</f>
        <v>2015-10-08 14:59:59</v>
      </c>
      <c r="H55" s="10" t="str">
        <f ca="1">VLOOKUP($B55,OFFSET(gacha_schedules!$A$1,0,0,COUNTA(gacha_schedules!$A:$A),MATCH(H$1,gacha_schedules!$1:$1,0)-MATCH($B$1,gacha_schedules!$1:$1,0)+1),MATCH(H$1,gacha_schedules!$1:$1,0)-MATCH($B$1,gacha_schedules!$1:$1,0)+1,FALSE)</f>
        <v>新ガチャ０4（ドラゴン)通常</v>
      </c>
      <c r="I55" s="26">
        <f ca="1">VLOOKUP($B55,OFFSET(gacha_schedules!$A$1,0,0,COUNTA(gacha_schedules!$A:$A),MATCH(I$1,gacha_schedules!$1:$1,0)-MATCH($B$1,gacha_schedules!$1:$1,0)+1),MATCH(I$1,gacha_schedules!$1:$1,0)-MATCH($B$1,gacha_schedules!$1:$1,0)+1,FALSE)</f>
        <v>100</v>
      </c>
      <c r="J55" s="26" t="str">
        <f ca="1">VLOOKUP($C55,OFFSET(gachas!$A$1,0,0,COUNTA(gachas!$A:$A),MATCH(J$1,gachas!$1:$1,0)-MATCH($C$1,gachas!$1:$1,0)+1),MATCH(J$1,gachas!$1:$1,0)-MATCH($C$1,gachas!$1:$1,0)+1,FALSE)</f>
        <v>link</v>
      </c>
      <c r="K55" s="26">
        <f ca="1">VLOOKUP($C55,OFFSET(gachas!$A$1,0,0,COUNTA(gachas!$A:$A),MATCH(K$1,gachas!$1:$1,0)-MATCH($C$1,gachas!$1:$1,0)+1),MATCH(K$1,gachas!$1:$1,0)-MATCH($C$1,gachas!$1:$1,0)+1,FALSE)</f>
        <v>100</v>
      </c>
    </row>
    <row r="56" spans="1:11" ht="21" customHeight="1">
      <c r="A56" s="12" t="str">
        <f t="shared" si="8"/>
        <v>1145_125</v>
      </c>
      <c r="B56" s="31">
        <v>1145</v>
      </c>
      <c r="C56" s="2">
        <v>125</v>
      </c>
      <c r="D56" s="26" t="str">
        <f ca="1">VLOOKUP($C56,OFFSET(gachas!$A$1,0,0,COUNTA(gachas!$A:$A),MATCH(D$1,gachas!$1:$1,0)-MATCH($C$1,gachas!$1:$1,0)+1),MATCH(D$1,gachas!$1:$1,0)-MATCH($C$1,gachas!$1:$1,0)+1,FALSE)</f>
        <v>赤アップ02　あと少し</v>
      </c>
      <c r="E56" s="2">
        <v>1</v>
      </c>
      <c r="F56" s="10" t="str">
        <f ca="1">VLOOKUP($B56,OFFSET(gacha_schedules!$A$1,0,0,COUNTA(gacha_schedules!$A:$A),MATCH(F$1,gacha_schedules!$1:$1,0)-MATCH($B$1,gacha_schedules!$1:$1,0)+1),MATCH(F$1,gacha_schedules!$1:$1,0)-MATCH($B$1,gacha_schedules!$1:$1,0)+1,FALSE)</f>
        <v>2015-10-09 00:00:00</v>
      </c>
      <c r="G56" s="10" t="str">
        <f ca="1">VLOOKUP($B56,OFFSET(gacha_schedules!$A$1,0,0,COUNTA(gacha_schedules!$A:$A),MATCH(G$1,gacha_schedules!$1:$1,0)-MATCH($B$1,gacha_schedules!$1:$1,0)+1),MATCH(G$1,gacha_schedules!$1:$1,0)-MATCH($B$1,gacha_schedules!$1:$1,0)+1,FALSE)</f>
        <v>2015-10-09 23:59:59</v>
      </c>
      <c r="H56" s="10" t="str">
        <f ca="1">VLOOKUP($B56,OFFSET(gacha_schedules!$A$1,0,0,COUNTA(gacha_schedules!$A:$A),MATCH(H$1,gacha_schedules!$1:$1,0)-MATCH($B$1,gacha_schedules!$1:$1,0)+1),MATCH(H$1,gacha_schedules!$1:$1,0)-MATCH($B$1,gacha_schedules!$1:$1,0)+1,FALSE)</f>
        <v>赤ガチャ０2　あと少し</v>
      </c>
      <c r="I56" s="26">
        <f ca="1">VLOOKUP($B56,OFFSET(gacha_schedules!$A$1,0,0,COUNTA(gacha_schedules!$A:$A),MATCH(I$1,gacha_schedules!$1:$1,0)-MATCH($B$1,gacha_schedules!$1:$1,0)+1),MATCH(I$1,gacha_schedules!$1:$1,0)-MATCH($B$1,gacha_schedules!$1:$1,0)+1,FALSE)</f>
        <v>100</v>
      </c>
      <c r="J56" s="26" t="str">
        <f ca="1">VLOOKUP($C56,OFFSET(gachas!$A$1,0,0,COUNTA(gachas!$A:$A),MATCH(J$1,gachas!$1:$1,0)-MATCH($C$1,gachas!$1:$1,0)+1),MATCH(J$1,gachas!$1:$1,0)-MATCH($C$1,gachas!$1:$1,0)+1,FALSE)</f>
        <v>polygon</v>
      </c>
      <c r="K56" s="26">
        <f ca="1">VLOOKUP($C56,OFFSET(gachas!$A$1,0,0,COUNTA(gachas!$A:$A),MATCH(K$1,gachas!$1:$1,0)-MATCH($C$1,gachas!$1:$1,0)+1),MATCH(K$1,gachas!$1:$1,0)-MATCH($C$1,gachas!$1:$1,0)+1,FALSE)</f>
        <v>5</v>
      </c>
    </row>
    <row r="57" spans="1:11" ht="21" customHeight="1">
      <c r="A57" s="12" t="str">
        <f t="shared" si="8"/>
        <v>1145_201</v>
      </c>
      <c r="B57" s="31">
        <v>1145</v>
      </c>
      <c r="C57" s="2">
        <v>201</v>
      </c>
      <c r="D57" s="26" t="str">
        <f ca="1">VLOOKUP($C57,OFFSET(gachas!$A$1,0,0,COUNTA(gachas!$A:$A),MATCH(D$1,gachas!$1:$1,0)-MATCH($C$1,gachas!$1:$1,0)+1),MATCH(D$1,gachas!$1:$1,0)-MATCH($C$1,gachas!$1:$1,0)+1,FALSE)</f>
        <v>男気リンクガチャ（常設）</v>
      </c>
      <c r="E57" s="2">
        <v>2</v>
      </c>
      <c r="F57" s="10" t="str">
        <f ca="1">VLOOKUP($B57,OFFSET(gacha_schedules!$A$1,0,0,COUNTA(gacha_schedules!$A:$A),MATCH(F$1,gacha_schedules!$1:$1,0)-MATCH($B$1,gacha_schedules!$1:$1,0)+1),MATCH(F$1,gacha_schedules!$1:$1,0)-MATCH($B$1,gacha_schedules!$1:$1,0)+1,FALSE)</f>
        <v>2015-10-09 00:00:00</v>
      </c>
      <c r="G57" s="10" t="str">
        <f ca="1">VLOOKUP($B57,OFFSET(gacha_schedules!$A$1,0,0,COUNTA(gacha_schedules!$A:$A),MATCH(G$1,gacha_schedules!$1:$1,0)-MATCH($B$1,gacha_schedules!$1:$1,0)+1),MATCH(G$1,gacha_schedules!$1:$1,0)-MATCH($B$1,gacha_schedules!$1:$1,0)+1,FALSE)</f>
        <v>2015-10-09 23:59:59</v>
      </c>
      <c r="H57" s="10" t="str">
        <f ca="1">VLOOKUP($B57,OFFSET(gacha_schedules!$A$1,0,0,COUNTA(gacha_schedules!$A:$A),MATCH(H$1,gacha_schedules!$1:$1,0)-MATCH($B$1,gacha_schedules!$1:$1,0)+1),MATCH(H$1,gacha_schedules!$1:$1,0)-MATCH($B$1,gacha_schedules!$1:$1,0)+1,FALSE)</f>
        <v>赤ガチャ０2　あと少し</v>
      </c>
      <c r="I57" s="26">
        <f ca="1">VLOOKUP($B57,OFFSET(gacha_schedules!$A$1,0,0,COUNTA(gacha_schedules!$A:$A),MATCH(I$1,gacha_schedules!$1:$1,0)-MATCH($B$1,gacha_schedules!$1:$1,0)+1),MATCH(I$1,gacha_schedules!$1:$1,0)-MATCH($B$1,gacha_schedules!$1:$1,0)+1,FALSE)</f>
        <v>100</v>
      </c>
      <c r="J57" s="26" t="str">
        <f ca="1">VLOOKUP($C57,OFFSET(gachas!$A$1,0,0,COUNTA(gachas!$A:$A),MATCH(J$1,gachas!$1:$1,0)-MATCH($C$1,gachas!$1:$1,0)+1),MATCH(J$1,gachas!$1:$1,0)-MATCH($C$1,gachas!$1:$1,0)+1,FALSE)</f>
        <v>link</v>
      </c>
      <c r="K57" s="26">
        <f ca="1">VLOOKUP($C57,OFFSET(gachas!$A$1,0,0,COUNTA(gachas!$A:$A),MATCH(K$1,gachas!$1:$1,0)-MATCH($C$1,gachas!$1:$1,0)+1),MATCH(K$1,gachas!$1:$1,0)-MATCH($C$1,gachas!$1:$1,0)+1,FALSE)</f>
        <v>100</v>
      </c>
    </row>
    <row r="58" spans="1:11" ht="21" customHeight="1">
      <c r="A58" s="12" t="str">
        <f t="shared" ref="A58:A65" si="9">B58&amp;"_"&amp;C58</f>
        <v>1146_126</v>
      </c>
      <c r="B58" s="31">
        <v>1146</v>
      </c>
      <c r="C58" s="2">
        <v>126</v>
      </c>
      <c r="D58" s="26" t="str">
        <f ca="1">VLOOKUP($C58,OFFSET(gachas!$A$1,0,0,COUNTA(gachas!$A:$A),MATCH(D$1,gachas!$1:$1,0)-MATCH($C$1,gachas!$1:$1,0)+1),MATCH(D$1,gachas!$1:$1,0)-MATCH($C$1,gachas!$1:$1,0)+1,FALSE)</f>
        <v>赤アップ02　最終日</v>
      </c>
      <c r="E58" s="2">
        <v>1</v>
      </c>
      <c r="F58" s="10" t="str">
        <f ca="1">VLOOKUP($B58,OFFSET(gacha_schedules!$A$1,0,0,COUNTA(gacha_schedules!$A:$A),MATCH(F$1,gacha_schedules!$1:$1,0)-MATCH($B$1,gacha_schedules!$1:$1,0)+1),MATCH(F$1,gacha_schedules!$1:$1,0)-MATCH($B$1,gacha_schedules!$1:$1,0)+1,FALSE)</f>
        <v>2015-10-10 00:00:00</v>
      </c>
      <c r="G58" s="10" t="str">
        <f ca="1">VLOOKUP($B58,OFFSET(gacha_schedules!$A$1,0,0,COUNTA(gacha_schedules!$A:$A),MATCH(G$1,gacha_schedules!$1:$1,0)-MATCH($B$1,gacha_schedules!$1:$1,0)+1),MATCH(G$1,gacha_schedules!$1:$1,0)-MATCH($B$1,gacha_schedules!$1:$1,0)+1,FALSE)</f>
        <v>2015-10-10 14:59:59</v>
      </c>
      <c r="H58" s="10" t="str">
        <f ca="1">VLOOKUP($B58,OFFSET(gacha_schedules!$A$1,0,0,COUNTA(gacha_schedules!$A:$A),MATCH(H$1,gacha_schedules!$1:$1,0)-MATCH($B$1,gacha_schedules!$1:$1,0)+1),MATCH(H$1,gacha_schedules!$1:$1,0)-MATCH($B$1,gacha_schedules!$1:$1,0)+1,FALSE)</f>
        <v>赤ガチャ０2あと１日</v>
      </c>
      <c r="I58" s="26">
        <f ca="1">VLOOKUP($B58,OFFSET(gacha_schedules!$A$1,0,0,COUNTA(gacha_schedules!$A:$A),MATCH(I$1,gacha_schedules!$1:$1,0)-MATCH($B$1,gacha_schedules!$1:$1,0)+1),MATCH(I$1,gacha_schedules!$1:$1,0)-MATCH($B$1,gacha_schedules!$1:$1,0)+1,FALSE)</f>
        <v>100</v>
      </c>
      <c r="J58" s="26" t="str">
        <f ca="1">VLOOKUP($C58,OFFSET(gachas!$A$1,0,0,COUNTA(gachas!$A:$A),MATCH(J$1,gachas!$1:$1,0)-MATCH($C$1,gachas!$1:$1,0)+1),MATCH(J$1,gachas!$1:$1,0)-MATCH($C$1,gachas!$1:$1,0)+1,FALSE)</f>
        <v>polygon</v>
      </c>
      <c r="K58" s="26">
        <f ca="1">VLOOKUP($C58,OFFSET(gachas!$A$1,0,0,COUNTA(gachas!$A:$A),MATCH(K$1,gachas!$1:$1,0)-MATCH($C$1,gachas!$1:$1,0)+1),MATCH(K$1,gachas!$1:$1,0)-MATCH($C$1,gachas!$1:$1,0)+1,FALSE)</f>
        <v>5</v>
      </c>
    </row>
    <row r="59" spans="1:11" ht="21" customHeight="1">
      <c r="A59" s="12" t="str">
        <f t="shared" si="9"/>
        <v>1146_201</v>
      </c>
      <c r="B59" s="31">
        <v>1146</v>
      </c>
      <c r="C59" s="2">
        <v>201</v>
      </c>
      <c r="D59" s="26" t="str">
        <f ca="1">VLOOKUP($C59,OFFSET(gachas!$A$1,0,0,COUNTA(gachas!$A:$A),MATCH(D$1,gachas!$1:$1,0)-MATCH($C$1,gachas!$1:$1,0)+1),MATCH(D$1,gachas!$1:$1,0)-MATCH($C$1,gachas!$1:$1,0)+1,FALSE)</f>
        <v>男気リンクガチャ（常設）</v>
      </c>
      <c r="E59" s="2">
        <v>2</v>
      </c>
      <c r="F59" s="10" t="str">
        <f ca="1">VLOOKUP($B59,OFFSET(gacha_schedules!$A$1,0,0,COUNTA(gacha_schedules!$A:$A),MATCH(F$1,gacha_schedules!$1:$1,0)-MATCH($B$1,gacha_schedules!$1:$1,0)+1),MATCH(F$1,gacha_schedules!$1:$1,0)-MATCH($B$1,gacha_schedules!$1:$1,0)+1,FALSE)</f>
        <v>2015-10-10 00:00:00</v>
      </c>
      <c r="G59" s="10" t="str">
        <f ca="1">VLOOKUP($B59,OFFSET(gacha_schedules!$A$1,0,0,COUNTA(gacha_schedules!$A:$A),MATCH(G$1,gacha_schedules!$1:$1,0)-MATCH($B$1,gacha_schedules!$1:$1,0)+1),MATCH(G$1,gacha_schedules!$1:$1,0)-MATCH($B$1,gacha_schedules!$1:$1,0)+1,FALSE)</f>
        <v>2015-10-10 14:59:59</v>
      </c>
      <c r="H59" s="10" t="str">
        <f ca="1">VLOOKUP($B59,OFFSET(gacha_schedules!$A$1,0,0,COUNTA(gacha_schedules!$A:$A),MATCH(H$1,gacha_schedules!$1:$1,0)-MATCH($B$1,gacha_schedules!$1:$1,0)+1),MATCH(H$1,gacha_schedules!$1:$1,0)-MATCH($B$1,gacha_schedules!$1:$1,0)+1,FALSE)</f>
        <v>赤ガチャ０2あと１日</v>
      </c>
      <c r="I59" s="26">
        <f ca="1">VLOOKUP($B59,OFFSET(gacha_schedules!$A$1,0,0,COUNTA(gacha_schedules!$A:$A),MATCH(I$1,gacha_schedules!$1:$1,0)-MATCH($B$1,gacha_schedules!$1:$1,0)+1),MATCH(I$1,gacha_schedules!$1:$1,0)-MATCH($B$1,gacha_schedules!$1:$1,0)+1,FALSE)</f>
        <v>100</v>
      </c>
      <c r="J59" s="26" t="str">
        <f ca="1">VLOOKUP($C59,OFFSET(gachas!$A$1,0,0,COUNTA(gachas!$A:$A),MATCH(J$1,gachas!$1:$1,0)-MATCH($C$1,gachas!$1:$1,0)+1),MATCH(J$1,gachas!$1:$1,0)-MATCH($C$1,gachas!$1:$1,0)+1,FALSE)</f>
        <v>link</v>
      </c>
      <c r="K59" s="26">
        <f ca="1">VLOOKUP($C59,OFFSET(gachas!$A$1,0,0,COUNTA(gachas!$A:$A),MATCH(K$1,gachas!$1:$1,0)-MATCH($C$1,gachas!$1:$1,0)+1),MATCH(K$1,gachas!$1:$1,0)-MATCH($C$1,gachas!$1:$1,0)+1,FALSE)</f>
        <v>100</v>
      </c>
    </row>
    <row r="60" spans="1:11" ht="21" customHeight="1">
      <c r="A60" s="12" t="str">
        <f t="shared" si="9"/>
        <v>1180_127</v>
      </c>
      <c r="B60" s="31">
        <v>1180</v>
      </c>
      <c r="C60" s="2">
        <v>127</v>
      </c>
      <c r="D60" s="26" t="str">
        <f ca="1">VLOOKUP($C60,OFFSET(gachas!$A$1,0,0,COUNTA(gachas!$A:$A),MATCH(D$1,gachas!$1:$1,0)-MATCH($C$1,gachas!$1:$1,0)+1),MATCH(D$1,gachas!$1:$1,0)-MATCH($C$1,gachas!$1:$1,0)+1,FALSE)</f>
        <v>黄アップ01　開始</v>
      </c>
      <c r="E60" s="2">
        <v>1</v>
      </c>
      <c r="F60" s="10" t="str">
        <f ca="1">VLOOKUP($B60,OFFSET(gacha_schedules!$A$1,0,0,COUNTA(gacha_schedules!$A:$A),MATCH(F$1,gacha_schedules!$1:$1,0)-MATCH($B$1,gacha_schedules!$1:$1,0)+1),MATCH(F$1,gacha_schedules!$1:$1,0)-MATCH($B$1,gacha_schedules!$1:$1,0)+1,FALSE)</f>
        <v>2015-10-13 15:00:00</v>
      </c>
      <c r="G60" s="10" t="str">
        <f ca="1">VLOOKUP($B60,OFFSET(gacha_schedules!$A$1,0,0,COUNTA(gacha_schedules!$A:$A),MATCH(G$1,gacha_schedules!$1:$1,0)-MATCH($B$1,gacha_schedules!$1:$1,0)+1),MATCH(G$1,gacha_schedules!$1:$1,0)-MATCH($B$1,gacha_schedules!$1:$1,0)+1,FALSE)</f>
        <v>2015-10-14 23:59:59</v>
      </c>
      <c r="H60" s="10" t="str">
        <f ca="1">VLOOKUP($B60,OFFSET(gacha_schedules!$A$1,0,0,COUNTA(gacha_schedules!$A:$A),MATCH(H$1,gacha_schedules!$1:$1,0)-MATCH($B$1,gacha_schedules!$1:$1,0)+1),MATCH(H$1,gacha_schedules!$1:$1,0)-MATCH($B$1,gacha_schedules!$1:$1,0)+1,FALSE)</f>
        <v>黄ガチャ01 開始</v>
      </c>
      <c r="I60" s="26">
        <f ca="1">VLOOKUP($B60,OFFSET(gacha_schedules!$A$1,0,0,COUNTA(gacha_schedules!$A:$A),MATCH(I$1,gacha_schedules!$1:$1,0)-MATCH($B$1,gacha_schedules!$1:$1,0)+1),MATCH(I$1,gacha_schedules!$1:$1,0)-MATCH($B$1,gacha_schedules!$1:$1,0)+1,FALSE)</f>
        <v>100</v>
      </c>
      <c r="J60" s="26" t="str">
        <f ca="1">VLOOKUP($C60,OFFSET(gachas!$A$1,0,0,COUNTA(gachas!$A:$A),MATCH(J$1,gachas!$1:$1,0)-MATCH($C$1,gachas!$1:$1,0)+1),MATCH(J$1,gachas!$1:$1,0)-MATCH($C$1,gachas!$1:$1,0)+1,FALSE)</f>
        <v>polygon</v>
      </c>
      <c r="K60" s="26">
        <f ca="1">VLOOKUP($C60,OFFSET(gachas!$A$1,0,0,COUNTA(gachas!$A:$A),MATCH(K$1,gachas!$1:$1,0)-MATCH($C$1,gachas!$1:$1,0)+1),MATCH(K$1,gachas!$1:$1,0)-MATCH($C$1,gachas!$1:$1,0)+1,FALSE)</f>
        <v>5</v>
      </c>
    </row>
    <row r="61" spans="1:11" ht="21" customHeight="1">
      <c r="A61" s="12" t="str">
        <f t="shared" si="9"/>
        <v>1180_201</v>
      </c>
      <c r="B61" s="31">
        <v>1180</v>
      </c>
      <c r="C61" s="2">
        <v>201</v>
      </c>
      <c r="D61" s="26" t="str">
        <f ca="1">VLOOKUP($C61,OFFSET(gachas!$A$1,0,0,COUNTA(gachas!$A:$A),MATCH(D$1,gachas!$1:$1,0)-MATCH($C$1,gachas!$1:$1,0)+1),MATCH(D$1,gachas!$1:$1,0)-MATCH($C$1,gachas!$1:$1,0)+1,FALSE)</f>
        <v>男気リンクガチャ（常設）</v>
      </c>
      <c r="E61" s="2">
        <v>2</v>
      </c>
      <c r="F61" s="10" t="str">
        <f ca="1">VLOOKUP($B61,OFFSET(gacha_schedules!$A$1,0,0,COUNTA(gacha_schedules!$A:$A),MATCH(F$1,gacha_schedules!$1:$1,0)-MATCH($B$1,gacha_schedules!$1:$1,0)+1),MATCH(F$1,gacha_schedules!$1:$1,0)-MATCH($B$1,gacha_schedules!$1:$1,0)+1,FALSE)</f>
        <v>2015-10-13 15:00:00</v>
      </c>
      <c r="G61" s="10" t="str">
        <f ca="1">VLOOKUP($B61,OFFSET(gacha_schedules!$A$1,0,0,COUNTA(gacha_schedules!$A:$A),MATCH(G$1,gacha_schedules!$1:$1,0)-MATCH($B$1,gacha_schedules!$1:$1,0)+1),MATCH(G$1,gacha_schedules!$1:$1,0)-MATCH($B$1,gacha_schedules!$1:$1,0)+1,FALSE)</f>
        <v>2015-10-14 23:59:59</v>
      </c>
      <c r="H61" s="10" t="str">
        <f ca="1">VLOOKUP($B61,OFFSET(gacha_schedules!$A$1,0,0,COUNTA(gacha_schedules!$A:$A),MATCH(H$1,gacha_schedules!$1:$1,0)-MATCH($B$1,gacha_schedules!$1:$1,0)+1),MATCH(H$1,gacha_schedules!$1:$1,0)-MATCH($B$1,gacha_schedules!$1:$1,0)+1,FALSE)</f>
        <v>黄ガチャ01 開始</v>
      </c>
      <c r="I61" s="26">
        <f ca="1">VLOOKUP($B61,OFFSET(gacha_schedules!$A$1,0,0,COUNTA(gacha_schedules!$A:$A),MATCH(I$1,gacha_schedules!$1:$1,0)-MATCH($B$1,gacha_schedules!$1:$1,0)+1),MATCH(I$1,gacha_schedules!$1:$1,0)-MATCH($B$1,gacha_schedules!$1:$1,0)+1,FALSE)</f>
        <v>100</v>
      </c>
      <c r="J61" s="26" t="str">
        <f ca="1">VLOOKUP($C61,OFFSET(gachas!$A$1,0,0,COUNTA(gachas!$A:$A),MATCH(J$1,gachas!$1:$1,0)-MATCH($C$1,gachas!$1:$1,0)+1),MATCH(J$1,gachas!$1:$1,0)-MATCH($C$1,gachas!$1:$1,0)+1,FALSE)</f>
        <v>link</v>
      </c>
      <c r="K61" s="26">
        <f ca="1">VLOOKUP($C61,OFFSET(gachas!$A$1,0,0,COUNTA(gachas!$A:$A),MATCH(K$1,gachas!$1:$1,0)-MATCH($C$1,gachas!$1:$1,0)+1),MATCH(K$1,gachas!$1:$1,0)-MATCH($C$1,gachas!$1:$1,0)+1,FALSE)</f>
        <v>100</v>
      </c>
    </row>
    <row r="62" spans="1:11" ht="21" customHeight="1">
      <c r="A62" s="12" t="str">
        <f t="shared" si="9"/>
        <v>1181_128</v>
      </c>
      <c r="B62" s="31">
        <v>1181</v>
      </c>
      <c r="C62" s="2">
        <v>128</v>
      </c>
      <c r="D62" s="26" t="str">
        <f ca="1">VLOOKUP($C62,OFFSET(gachas!$A$1,0,0,COUNTA(gachas!$A:$A),MATCH(D$1,gachas!$1:$1,0)-MATCH($C$1,gachas!$1:$1,0)+1),MATCH(D$1,gachas!$1:$1,0)-MATCH($C$1,gachas!$1:$1,0)+1,FALSE)</f>
        <v>黄アップ01　あと少し</v>
      </c>
      <c r="E62" s="2">
        <v>1</v>
      </c>
      <c r="F62" s="10" t="str">
        <f ca="1">VLOOKUP($B62,OFFSET(gacha_schedules!$A$1,0,0,COUNTA(gacha_schedules!$A:$A),MATCH(F$1,gacha_schedules!$1:$1,0)-MATCH($B$1,gacha_schedules!$1:$1,0)+1),MATCH(F$1,gacha_schedules!$1:$1,0)-MATCH($B$1,gacha_schedules!$1:$1,0)+1,FALSE)</f>
        <v>2015-10-15 00:00:00</v>
      </c>
      <c r="G62" s="10" t="str">
        <f ca="1">VLOOKUP($B62,OFFSET(gacha_schedules!$A$1,0,0,COUNTA(gacha_schedules!$A:$A),MATCH(G$1,gacha_schedules!$1:$1,0)-MATCH($B$1,gacha_schedules!$1:$1,0)+1),MATCH(G$1,gacha_schedules!$1:$1,0)-MATCH($B$1,gacha_schedules!$1:$1,0)+1,FALSE)</f>
        <v>2015-10-15 23:59:59</v>
      </c>
      <c r="H62" s="10" t="str">
        <f ca="1">VLOOKUP($B62,OFFSET(gacha_schedules!$A$1,0,0,COUNTA(gacha_schedules!$A:$A),MATCH(H$1,gacha_schedules!$1:$1,0)-MATCH($B$1,gacha_schedules!$1:$1,0)+1),MATCH(H$1,gacha_schedules!$1:$1,0)-MATCH($B$1,gacha_schedules!$1:$1,0)+1,FALSE)</f>
        <v>黄ガチャ01あと少し</v>
      </c>
      <c r="I62" s="26">
        <f ca="1">VLOOKUP($B62,OFFSET(gacha_schedules!$A$1,0,0,COUNTA(gacha_schedules!$A:$A),MATCH(I$1,gacha_schedules!$1:$1,0)-MATCH($B$1,gacha_schedules!$1:$1,0)+1),MATCH(I$1,gacha_schedules!$1:$1,0)-MATCH($B$1,gacha_schedules!$1:$1,0)+1,FALSE)</f>
        <v>100</v>
      </c>
      <c r="J62" s="26" t="str">
        <f ca="1">VLOOKUP($C62,OFFSET(gachas!$A$1,0,0,COUNTA(gachas!$A:$A),MATCH(J$1,gachas!$1:$1,0)-MATCH($C$1,gachas!$1:$1,0)+1),MATCH(J$1,gachas!$1:$1,0)-MATCH($C$1,gachas!$1:$1,0)+1,FALSE)</f>
        <v>polygon</v>
      </c>
      <c r="K62" s="26">
        <f ca="1">VLOOKUP($C62,OFFSET(gachas!$A$1,0,0,COUNTA(gachas!$A:$A),MATCH(K$1,gachas!$1:$1,0)-MATCH($C$1,gachas!$1:$1,0)+1),MATCH(K$1,gachas!$1:$1,0)-MATCH($C$1,gachas!$1:$1,0)+1,FALSE)</f>
        <v>5</v>
      </c>
    </row>
    <row r="63" spans="1:11" ht="21" customHeight="1">
      <c r="A63" s="12" t="str">
        <f t="shared" si="9"/>
        <v>1181_201</v>
      </c>
      <c r="B63" s="31">
        <v>1181</v>
      </c>
      <c r="C63" s="2">
        <v>201</v>
      </c>
      <c r="D63" s="26" t="str">
        <f ca="1">VLOOKUP($C63,OFFSET(gachas!$A$1,0,0,COUNTA(gachas!$A:$A),MATCH(D$1,gachas!$1:$1,0)-MATCH($C$1,gachas!$1:$1,0)+1),MATCH(D$1,gachas!$1:$1,0)-MATCH($C$1,gachas!$1:$1,0)+1,FALSE)</f>
        <v>男気リンクガチャ（常設）</v>
      </c>
      <c r="E63" s="2">
        <v>2</v>
      </c>
      <c r="F63" s="10" t="str">
        <f ca="1">VLOOKUP($B63,OFFSET(gacha_schedules!$A$1,0,0,COUNTA(gacha_schedules!$A:$A),MATCH(F$1,gacha_schedules!$1:$1,0)-MATCH($B$1,gacha_schedules!$1:$1,0)+1),MATCH(F$1,gacha_schedules!$1:$1,0)-MATCH($B$1,gacha_schedules!$1:$1,0)+1,FALSE)</f>
        <v>2015-10-15 00:00:00</v>
      </c>
      <c r="G63" s="10" t="str">
        <f ca="1">VLOOKUP($B63,OFFSET(gacha_schedules!$A$1,0,0,COUNTA(gacha_schedules!$A:$A),MATCH(G$1,gacha_schedules!$1:$1,0)-MATCH($B$1,gacha_schedules!$1:$1,0)+1),MATCH(G$1,gacha_schedules!$1:$1,0)-MATCH($B$1,gacha_schedules!$1:$1,0)+1,FALSE)</f>
        <v>2015-10-15 23:59:59</v>
      </c>
      <c r="H63" s="10" t="str">
        <f ca="1">VLOOKUP($B63,OFFSET(gacha_schedules!$A$1,0,0,COUNTA(gacha_schedules!$A:$A),MATCH(H$1,gacha_schedules!$1:$1,0)-MATCH($B$1,gacha_schedules!$1:$1,0)+1),MATCH(H$1,gacha_schedules!$1:$1,0)-MATCH($B$1,gacha_schedules!$1:$1,0)+1,FALSE)</f>
        <v>黄ガチャ01あと少し</v>
      </c>
      <c r="I63" s="26">
        <f ca="1">VLOOKUP($B63,OFFSET(gacha_schedules!$A$1,0,0,COUNTA(gacha_schedules!$A:$A),MATCH(I$1,gacha_schedules!$1:$1,0)-MATCH($B$1,gacha_schedules!$1:$1,0)+1),MATCH(I$1,gacha_schedules!$1:$1,0)-MATCH($B$1,gacha_schedules!$1:$1,0)+1,FALSE)</f>
        <v>100</v>
      </c>
      <c r="J63" s="26" t="str">
        <f ca="1">VLOOKUP($C63,OFFSET(gachas!$A$1,0,0,COUNTA(gachas!$A:$A),MATCH(J$1,gachas!$1:$1,0)-MATCH($C$1,gachas!$1:$1,0)+1),MATCH(J$1,gachas!$1:$1,0)-MATCH($C$1,gachas!$1:$1,0)+1,FALSE)</f>
        <v>link</v>
      </c>
      <c r="K63" s="26">
        <f ca="1">VLOOKUP($C63,OFFSET(gachas!$A$1,0,0,COUNTA(gachas!$A:$A),MATCH(K$1,gachas!$1:$1,0)-MATCH($C$1,gachas!$1:$1,0)+1),MATCH(K$1,gachas!$1:$1,0)-MATCH($C$1,gachas!$1:$1,0)+1,FALSE)</f>
        <v>100</v>
      </c>
    </row>
    <row r="64" spans="1:11" ht="21" customHeight="1">
      <c r="A64" s="12" t="str">
        <f t="shared" si="9"/>
        <v>1182_129</v>
      </c>
      <c r="B64" s="31">
        <v>1182</v>
      </c>
      <c r="C64" s="2">
        <v>129</v>
      </c>
      <c r="D64" s="26" t="str">
        <f ca="1">VLOOKUP($C64,OFFSET(gachas!$A$1,0,0,COUNTA(gachas!$A:$A),MATCH(D$1,gachas!$1:$1,0)-MATCH($C$1,gachas!$1:$1,0)+1),MATCH(D$1,gachas!$1:$1,0)-MATCH($C$1,gachas!$1:$1,0)+1,FALSE)</f>
        <v>黄アップ01　最終日</v>
      </c>
      <c r="E64" s="2">
        <v>1</v>
      </c>
      <c r="F64" s="10" t="str">
        <f ca="1">VLOOKUP($B64,OFFSET(gacha_schedules!$A$1,0,0,COUNTA(gacha_schedules!$A:$A),MATCH(F$1,gacha_schedules!$1:$1,0)-MATCH($B$1,gacha_schedules!$1:$1,0)+1),MATCH(F$1,gacha_schedules!$1:$1,0)-MATCH($B$1,gacha_schedules!$1:$1,0)+1,FALSE)</f>
        <v>2015-10-16 00:00:00</v>
      </c>
      <c r="G64" s="10" t="str">
        <f ca="1">VLOOKUP($B64,OFFSET(gacha_schedules!$A$1,0,0,COUNTA(gacha_schedules!$A:$A),MATCH(G$1,gacha_schedules!$1:$1,0)-MATCH($B$1,gacha_schedules!$1:$1,0)+1),MATCH(G$1,gacha_schedules!$1:$1,0)-MATCH($B$1,gacha_schedules!$1:$1,0)+1,FALSE)</f>
        <v>2015-10-16 14:59:59</v>
      </c>
      <c r="H64" s="10" t="str">
        <f ca="1">VLOOKUP($B64,OFFSET(gacha_schedules!$A$1,0,0,COUNTA(gacha_schedules!$A:$A),MATCH(H$1,gacha_schedules!$1:$1,0)-MATCH($B$1,gacha_schedules!$1:$1,0)+1),MATCH(H$1,gacha_schedules!$1:$1,0)-MATCH($B$1,gacha_schedules!$1:$1,0)+1,FALSE)</f>
        <v>黄ガチャ01 最終日</v>
      </c>
      <c r="I64" s="26">
        <f ca="1">VLOOKUP($B64,OFFSET(gacha_schedules!$A$1,0,0,COUNTA(gacha_schedules!$A:$A),MATCH(I$1,gacha_schedules!$1:$1,0)-MATCH($B$1,gacha_schedules!$1:$1,0)+1),MATCH(I$1,gacha_schedules!$1:$1,0)-MATCH($B$1,gacha_schedules!$1:$1,0)+1,FALSE)</f>
        <v>100</v>
      </c>
      <c r="J64" s="26" t="str">
        <f ca="1">VLOOKUP($C64,OFFSET(gachas!$A$1,0,0,COUNTA(gachas!$A:$A),MATCH(J$1,gachas!$1:$1,0)-MATCH($C$1,gachas!$1:$1,0)+1),MATCH(J$1,gachas!$1:$1,0)-MATCH($C$1,gachas!$1:$1,0)+1,FALSE)</f>
        <v>polygon</v>
      </c>
      <c r="K64" s="26">
        <f ca="1">VLOOKUP($C64,OFFSET(gachas!$A$1,0,0,COUNTA(gachas!$A:$A),MATCH(K$1,gachas!$1:$1,0)-MATCH($C$1,gachas!$1:$1,0)+1),MATCH(K$1,gachas!$1:$1,0)-MATCH($C$1,gachas!$1:$1,0)+1,FALSE)</f>
        <v>5</v>
      </c>
    </row>
    <row r="65" spans="1:11" ht="21" customHeight="1">
      <c r="A65" s="12" t="str">
        <f t="shared" si="9"/>
        <v>1182_201</v>
      </c>
      <c r="B65" s="31">
        <v>1182</v>
      </c>
      <c r="C65" s="2">
        <v>201</v>
      </c>
      <c r="D65" s="26" t="str">
        <f ca="1">VLOOKUP($C65,OFFSET(gachas!$A$1,0,0,COUNTA(gachas!$A:$A),MATCH(D$1,gachas!$1:$1,0)-MATCH($C$1,gachas!$1:$1,0)+1),MATCH(D$1,gachas!$1:$1,0)-MATCH($C$1,gachas!$1:$1,0)+1,FALSE)</f>
        <v>男気リンクガチャ（常設）</v>
      </c>
      <c r="E65" s="2">
        <v>2</v>
      </c>
      <c r="F65" s="10" t="str">
        <f ca="1">VLOOKUP($B65,OFFSET(gacha_schedules!$A$1,0,0,COUNTA(gacha_schedules!$A:$A),MATCH(F$1,gacha_schedules!$1:$1,0)-MATCH($B$1,gacha_schedules!$1:$1,0)+1),MATCH(F$1,gacha_schedules!$1:$1,0)-MATCH($B$1,gacha_schedules!$1:$1,0)+1,FALSE)</f>
        <v>2015-10-16 00:00:00</v>
      </c>
      <c r="G65" s="10" t="str">
        <f ca="1">VLOOKUP($B65,OFFSET(gacha_schedules!$A$1,0,0,COUNTA(gacha_schedules!$A:$A),MATCH(G$1,gacha_schedules!$1:$1,0)-MATCH($B$1,gacha_schedules!$1:$1,0)+1),MATCH(G$1,gacha_schedules!$1:$1,0)-MATCH($B$1,gacha_schedules!$1:$1,0)+1,FALSE)</f>
        <v>2015-10-16 14:59:59</v>
      </c>
      <c r="H65" s="10" t="str">
        <f ca="1">VLOOKUP($B65,OFFSET(gacha_schedules!$A$1,0,0,COUNTA(gacha_schedules!$A:$A),MATCH(H$1,gacha_schedules!$1:$1,0)-MATCH($B$1,gacha_schedules!$1:$1,0)+1),MATCH(H$1,gacha_schedules!$1:$1,0)-MATCH($B$1,gacha_schedules!$1:$1,0)+1,FALSE)</f>
        <v>黄ガチャ01 最終日</v>
      </c>
      <c r="I65" s="26">
        <f ca="1">VLOOKUP($B65,OFFSET(gacha_schedules!$A$1,0,0,COUNTA(gacha_schedules!$A:$A),MATCH(I$1,gacha_schedules!$1:$1,0)-MATCH($B$1,gacha_schedules!$1:$1,0)+1),MATCH(I$1,gacha_schedules!$1:$1,0)-MATCH($B$1,gacha_schedules!$1:$1,0)+1,FALSE)</f>
        <v>100</v>
      </c>
      <c r="J65" s="26" t="str">
        <f ca="1">VLOOKUP($C65,OFFSET(gachas!$A$1,0,0,COUNTA(gachas!$A:$A),MATCH(J$1,gachas!$1:$1,0)-MATCH($C$1,gachas!$1:$1,0)+1),MATCH(J$1,gachas!$1:$1,0)-MATCH($C$1,gachas!$1:$1,0)+1,FALSE)</f>
        <v>link</v>
      </c>
      <c r="K65" s="26">
        <f ca="1">VLOOKUP($C65,OFFSET(gachas!$A$1,0,0,COUNTA(gachas!$A:$A),MATCH(K$1,gachas!$1:$1,0)-MATCH($C$1,gachas!$1:$1,0)+1),MATCH(K$1,gachas!$1:$1,0)-MATCH($C$1,gachas!$1:$1,0)+1,FALSE)</f>
        <v>100</v>
      </c>
    </row>
  </sheetData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D3"/>
  <sheetViews>
    <sheetView showGridLines="0" workbookViewId="0">
      <selection activeCell="E28" sqref="E28"/>
    </sheetView>
  </sheetViews>
  <sheetFormatPr baseColWidth="12" defaultRowHeight="21" customHeight="1" x14ac:dyDescent="0"/>
  <cols>
    <col min="1" max="3" width="14.140625" style="1" customWidth="1"/>
    <col min="4" max="4" width="18.7109375" style="1" customWidth="1"/>
    <col min="5" max="16384" width="12.7109375" style="1"/>
  </cols>
  <sheetData>
    <row r="1" spans="1:4" ht="21" customHeight="1">
      <c r="A1" s="5" t="s">
        <v>27</v>
      </c>
      <c r="B1" s="5" t="s">
        <v>5</v>
      </c>
      <c r="C1" s="5" t="s">
        <v>6</v>
      </c>
      <c r="D1" s="4" t="s">
        <v>8</v>
      </c>
    </row>
    <row r="2" spans="1:4" ht="21" customHeight="1">
      <c r="A2" s="2">
        <v>100</v>
      </c>
      <c r="B2" s="3" t="s">
        <v>28</v>
      </c>
      <c r="C2" s="2">
        <v>5</v>
      </c>
      <c r="D2" s="2" t="s">
        <v>11</v>
      </c>
    </row>
    <row r="3" spans="1:4" ht="21" customHeight="1">
      <c r="A3" s="2">
        <v>200</v>
      </c>
      <c r="B3" s="3" t="s">
        <v>7</v>
      </c>
      <c r="C3" s="2">
        <v>100</v>
      </c>
      <c r="D3" s="2" t="s">
        <v>11</v>
      </c>
    </row>
  </sheetData>
  <phoneticPr fontId="4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F3"/>
  <sheetViews>
    <sheetView showGridLines="0" workbookViewId="0">
      <selection activeCell="F25" sqref="F25"/>
    </sheetView>
  </sheetViews>
  <sheetFormatPr baseColWidth="12" defaultRowHeight="21" customHeight="1" outlineLevelCol="1" x14ac:dyDescent="0"/>
  <cols>
    <col min="1" max="1" width="4.28515625" style="1" bestFit="1" customWidth="1"/>
    <col min="2" max="2" width="7.42578125" style="1" bestFit="1" customWidth="1"/>
    <col min="3" max="4" width="16.140625" style="1" bestFit="1" customWidth="1" outlineLevel="1"/>
    <col min="5" max="5" width="4.28515625" style="1" bestFit="1" customWidth="1"/>
    <col min="6" max="6" width="62" style="1" bestFit="1" customWidth="1"/>
    <col min="7" max="16384" width="12.7109375" style="1"/>
  </cols>
  <sheetData>
    <row r="1" spans="1:6" ht="21" customHeight="1">
      <c r="A1" s="5" t="s">
        <v>12</v>
      </c>
      <c r="B1" s="5" t="s">
        <v>25</v>
      </c>
      <c r="C1" s="4" t="s">
        <v>13</v>
      </c>
      <c r="D1" s="4" t="s">
        <v>14</v>
      </c>
      <c r="E1" s="5" t="s">
        <v>15</v>
      </c>
      <c r="F1" s="4" t="s">
        <v>8</v>
      </c>
    </row>
    <row r="2" spans="1:6" ht="21" customHeight="1">
      <c r="A2" s="2">
        <v>4</v>
      </c>
      <c r="B2" s="2">
        <v>0</v>
      </c>
      <c r="C2" s="10" t="e">
        <f ca="1">VLOOKUP($B2,OFFSET([2]periods!$A$3,0,0,COUNTA([2]periods!$A:$A),MATCH(C$1,[2]periods!$1:$1,0)-MATCH($B$1,[2]periods!$1:$1,0)+1),MATCH(C$1,[2]periods!$1:$1,0)-MATCH($B$1,[2]periods!$1:$1,0)+1,FALSE)</f>
        <v>#VALUE!</v>
      </c>
      <c r="D2" s="10" t="e">
        <f ca="1">VLOOKUP($B2,OFFSET([2]periods!$A$3,0,0,COUNTA([2]periods!$A:$A),MATCH(D$1,[2]periods!$1:$1,0)-MATCH($B$1,[2]periods!$1:$1,0)+1),MATCH(D$1,[2]periods!$1:$1,0)-MATCH($B$1,[2]periods!$1:$1,0)+1,FALSE)</f>
        <v>#VALUE!</v>
      </c>
      <c r="E2" s="2">
        <v>50</v>
      </c>
      <c r="F2" s="2" t="s">
        <v>16</v>
      </c>
    </row>
    <row r="3" spans="1:6" ht="21" customHeight="1">
      <c r="A3" s="2">
        <v>5</v>
      </c>
      <c r="B3" s="2">
        <v>0</v>
      </c>
      <c r="C3" s="10" t="e">
        <f ca="1">VLOOKUP($B3,OFFSET([2]periods!$A$3,0,0,COUNTA([2]periods!$A:$A),MATCH(C$1,[2]periods!$1:$1,0)-MATCH($B$1,[2]periods!$1:$1,0)+1),MATCH(C$1,[2]periods!$1:$1,0)-MATCH($B$1,[2]periods!$1:$1,0)+1,FALSE)</f>
        <v>#VALUE!</v>
      </c>
      <c r="D3" s="10" t="e">
        <f ca="1">VLOOKUP($B3,OFFSET([2]periods!$A$3,0,0,COUNTA([2]periods!$A:$A),MATCH(D$1,[2]periods!$1:$1,0)-MATCH($B$1,[2]periods!$1:$1,0)+1),MATCH(D$1,[2]periods!$1:$1,0)-MATCH($B$1,[2]periods!$1:$1,0)+1,FALSE)</f>
        <v>#VALUE!</v>
      </c>
      <c r="E3" s="2">
        <v>50</v>
      </c>
      <c r="F3" s="2" t="s">
        <v>17</v>
      </c>
    </row>
  </sheetData>
  <phoneticPr fontId="4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180"/>
  <sheetViews>
    <sheetView showGridLines="0" workbookViewId="0">
      <pane ySplit="2" topLeftCell="A3" activePane="bottomLeft" state="frozen"/>
      <selection pane="bottomLeft" activeCell="E19" sqref="E19"/>
    </sheetView>
  </sheetViews>
  <sheetFormatPr baseColWidth="12" defaultColWidth="13" defaultRowHeight="18" x14ac:dyDescent="0"/>
  <cols>
    <col min="1" max="1" width="9.85546875" style="18" bestFit="1" customWidth="1"/>
    <col min="2" max="2" width="17" style="18" bestFit="1" customWidth="1"/>
    <col min="3" max="3" width="14.7109375" style="18" bestFit="1" customWidth="1"/>
    <col min="4" max="16384" width="13" style="16"/>
  </cols>
  <sheetData>
    <row r="1" spans="1:4" s="13" customFormat="1">
      <c r="A1" s="13">
        <f>MATCH(A2,INDIRECT(C1&amp;"!A:A"))-2</f>
        <v>-1</v>
      </c>
      <c r="B1" s="14" t="str">
        <f>"$"&amp;2+$A$1&amp;":$"&amp;2+$A$1</f>
        <v>$1:$1</v>
      </c>
      <c r="C1" s="13" t="str">
        <f>SUBSTITUTE(RIGHT(CELL("filename",$C$1),LEN(CELL("filename",$C$1))-FIND("]",CELL("filename",$C$1))),".csv","")</f>
        <v>gachas</v>
      </c>
    </row>
    <row r="2" spans="1:4" s="20" customFormat="1">
      <c r="A2" s="19" t="s">
        <v>18</v>
      </c>
      <c r="B2" s="19" t="s">
        <v>26</v>
      </c>
      <c r="C2" s="19" t="s">
        <v>46</v>
      </c>
      <c r="D2" s="28" t="s">
        <v>47</v>
      </c>
    </row>
    <row r="3" spans="1:4">
      <c r="A3" s="15">
        <f>INDIRECT(ADDRESS(ROW()+$A$1,COLUMN(),1,TRUE,$C$1))</f>
        <v>102</v>
      </c>
      <c r="B3" s="15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3" s="15" t="str">
        <f t="shared" ref="C3:D18" si="0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GachaTop_102.png</v>
      </c>
      <c r="D3" s="15">
        <f t="shared" si="0"/>
        <v>3</v>
      </c>
    </row>
    <row r="4" spans="1:4">
      <c r="A4" s="15">
        <f t="shared" ref="A4:A27" si="1">INDIRECT(ADDRESS(ROW()+$A$1,COLUMN(),1,TRUE,$C$1))</f>
        <v>103</v>
      </c>
      <c r="B4" s="15">
        <f t="shared" ref="B4:D27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4" s="15" t="str">
        <f t="shared" si="0"/>
        <v>GachaTop_103.png</v>
      </c>
      <c r="D4" s="15">
        <f t="shared" si="0"/>
        <v>3</v>
      </c>
    </row>
    <row r="5" spans="1:4">
      <c r="A5" s="15">
        <f t="shared" si="1"/>
        <v>104</v>
      </c>
      <c r="B5" s="15">
        <f t="shared" si="2"/>
        <v>100</v>
      </c>
      <c r="C5" s="15" t="str">
        <f t="shared" si="0"/>
        <v>GachaTop_104.png</v>
      </c>
      <c r="D5" s="15">
        <f t="shared" si="0"/>
        <v>3</v>
      </c>
    </row>
    <row r="6" spans="1:4">
      <c r="A6" s="15">
        <f t="shared" si="1"/>
        <v>105</v>
      </c>
      <c r="B6" s="15">
        <f t="shared" si="2"/>
        <v>100</v>
      </c>
      <c r="C6" s="15" t="str">
        <f t="shared" si="0"/>
        <v>GachaTop_105.png</v>
      </c>
      <c r="D6" s="15">
        <f t="shared" si="0"/>
        <v>3</v>
      </c>
    </row>
    <row r="7" spans="1:4">
      <c r="A7" s="15">
        <f t="shared" si="1"/>
        <v>106</v>
      </c>
      <c r="B7" s="15">
        <f t="shared" si="2"/>
        <v>100</v>
      </c>
      <c r="C7" s="15" t="str">
        <f t="shared" si="0"/>
        <v>GachaTop_106.png</v>
      </c>
      <c r="D7" s="15">
        <f t="shared" si="0"/>
        <v>3</v>
      </c>
    </row>
    <row r="8" spans="1:4">
      <c r="A8" s="15">
        <f t="shared" si="1"/>
        <v>107</v>
      </c>
      <c r="B8" s="15">
        <f t="shared" si="2"/>
        <v>100</v>
      </c>
      <c r="C8" s="15" t="str">
        <f t="shared" si="0"/>
        <v>GachaTop_107.png</v>
      </c>
      <c r="D8" s="15">
        <f t="shared" si="0"/>
        <v>3</v>
      </c>
    </row>
    <row r="9" spans="1:4">
      <c r="A9" s="15">
        <f t="shared" si="1"/>
        <v>108</v>
      </c>
      <c r="B9" s="15">
        <f t="shared" si="2"/>
        <v>100</v>
      </c>
      <c r="C9" s="15" t="str">
        <f t="shared" si="0"/>
        <v>GachaTop_108.png</v>
      </c>
      <c r="D9" s="15">
        <f t="shared" si="0"/>
        <v>3</v>
      </c>
    </row>
    <row r="10" spans="1:4">
      <c r="A10" s="15">
        <f t="shared" si="1"/>
        <v>109</v>
      </c>
      <c r="B10" s="15">
        <f t="shared" si="2"/>
        <v>100</v>
      </c>
      <c r="C10" s="15" t="str">
        <f t="shared" si="0"/>
        <v>GachaTop_109.png</v>
      </c>
      <c r="D10" s="15">
        <f t="shared" si="0"/>
        <v>3</v>
      </c>
    </row>
    <row r="11" spans="1:4">
      <c r="A11" s="15">
        <f t="shared" si="1"/>
        <v>110</v>
      </c>
      <c r="B11" s="15">
        <f t="shared" si="2"/>
        <v>100</v>
      </c>
      <c r="C11" s="15" t="str">
        <f t="shared" si="0"/>
        <v>GachaTop_110.png</v>
      </c>
      <c r="D11" s="15">
        <f t="shared" si="0"/>
        <v>3</v>
      </c>
    </row>
    <row r="12" spans="1:4">
      <c r="A12" s="15">
        <f t="shared" si="1"/>
        <v>111</v>
      </c>
      <c r="B12" s="15">
        <f t="shared" si="2"/>
        <v>100</v>
      </c>
      <c r="C12" s="15" t="str">
        <f t="shared" si="0"/>
        <v>GachaTop_111_2.png</v>
      </c>
      <c r="D12" s="15">
        <f t="shared" si="0"/>
        <v>3</v>
      </c>
    </row>
    <row r="13" spans="1:4">
      <c r="A13" s="15">
        <f t="shared" si="1"/>
        <v>112</v>
      </c>
      <c r="B13" s="15">
        <f t="shared" si="2"/>
        <v>100</v>
      </c>
      <c r="C13" s="15" t="str">
        <f t="shared" si="0"/>
        <v>GachaTop_112_2.png</v>
      </c>
      <c r="D13" s="15">
        <f t="shared" si="0"/>
        <v>3</v>
      </c>
    </row>
    <row r="14" spans="1:4">
      <c r="A14" s="15">
        <f t="shared" si="1"/>
        <v>113</v>
      </c>
      <c r="B14" s="15">
        <f t="shared" si="2"/>
        <v>100</v>
      </c>
      <c r="C14" s="15" t="str">
        <f t="shared" si="0"/>
        <v>GachaTop_113_2.png</v>
      </c>
      <c r="D14" s="15">
        <f t="shared" si="0"/>
        <v>3</v>
      </c>
    </row>
    <row r="15" spans="1:4">
      <c r="A15" s="15">
        <f t="shared" si="1"/>
        <v>114</v>
      </c>
      <c r="B15" s="15">
        <f t="shared" si="2"/>
        <v>100</v>
      </c>
      <c r="C15" s="15" t="str">
        <f t="shared" si="0"/>
        <v>GachaTop_114.png</v>
      </c>
      <c r="D15" s="15">
        <f t="shared" si="0"/>
        <v>3</v>
      </c>
    </row>
    <row r="16" spans="1:4">
      <c r="A16" s="15">
        <f t="shared" si="1"/>
        <v>115</v>
      </c>
      <c r="B16" s="15">
        <f t="shared" si="2"/>
        <v>100</v>
      </c>
      <c r="C16" s="15" t="str">
        <f t="shared" si="0"/>
        <v>GachaTop_115.png</v>
      </c>
      <c r="D16" s="15">
        <f t="shared" si="0"/>
        <v>1</v>
      </c>
    </row>
    <row r="17" spans="1:4">
      <c r="A17" s="15">
        <f t="shared" si="1"/>
        <v>116</v>
      </c>
      <c r="B17" s="15">
        <f t="shared" si="2"/>
        <v>100</v>
      </c>
      <c r="C17" s="15" t="str">
        <f t="shared" si="0"/>
        <v>GachaTop_116.png</v>
      </c>
      <c r="D17" s="15">
        <f t="shared" si="0"/>
        <v>1</v>
      </c>
    </row>
    <row r="18" spans="1:4">
      <c r="A18" s="15">
        <f t="shared" si="1"/>
        <v>117</v>
      </c>
      <c r="B18" s="15">
        <f t="shared" si="2"/>
        <v>100</v>
      </c>
      <c r="C18" s="15" t="str">
        <f t="shared" si="0"/>
        <v>GachaTop_117.png</v>
      </c>
      <c r="D18" s="15">
        <f t="shared" si="0"/>
        <v>1</v>
      </c>
    </row>
    <row r="19" spans="1:4">
      <c r="A19" s="15">
        <f t="shared" si="1"/>
        <v>118</v>
      </c>
      <c r="B19" s="15">
        <f t="shared" si="2"/>
        <v>100</v>
      </c>
      <c r="C19" s="15" t="str">
        <f t="shared" si="2"/>
        <v>GachaTop_118.png</v>
      </c>
      <c r="D19" s="15">
        <f t="shared" si="2"/>
        <v>3</v>
      </c>
    </row>
    <row r="20" spans="1:4">
      <c r="A20" s="15">
        <f t="shared" si="1"/>
        <v>119</v>
      </c>
      <c r="B20" s="15">
        <f t="shared" si="2"/>
        <v>100</v>
      </c>
      <c r="C20" s="15" t="str">
        <f t="shared" si="2"/>
        <v>GachaTop_119.png</v>
      </c>
      <c r="D20" s="15">
        <f t="shared" si="2"/>
        <v>3</v>
      </c>
    </row>
    <row r="21" spans="1:4">
      <c r="A21" s="15">
        <f t="shared" si="1"/>
        <v>120</v>
      </c>
      <c r="B21" s="15">
        <f t="shared" si="2"/>
        <v>100</v>
      </c>
      <c r="C21" s="15" t="str">
        <f t="shared" si="2"/>
        <v>GachaTop_120.png</v>
      </c>
      <c r="D21" s="15">
        <f t="shared" si="2"/>
        <v>3</v>
      </c>
    </row>
    <row r="22" spans="1:4">
      <c r="A22" s="15">
        <f t="shared" si="1"/>
        <v>121</v>
      </c>
      <c r="B22" s="15">
        <f t="shared" si="2"/>
        <v>100</v>
      </c>
      <c r="C22" s="15" t="str">
        <f t="shared" si="2"/>
        <v>GachaTop_121.png</v>
      </c>
      <c r="D22" s="15">
        <f t="shared" si="2"/>
        <v>1</v>
      </c>
    </row>
    <row r="23" spans="1:4">
      <c r="A23" s="15">
        <f t="shared" si="1"/>
        <v>122</v>
      </c>
      <c r="B23" s="15">
        <f t="shared" si="2"/>
        <v>100</v>
      </c>
      <c r="C23" s="15" t="str">
        <f t="shared" si="2"/>
        <v>GachaTop_122.png</v>
      </c>
      <c r="D23" s="15">
        <f t="shared" si="2"/>
        <v>3</v>
      </c>
    </row>
    <row r="24" spans="1:4">
      <c r="A24" s="15">
        <f t="shared" si="1"/>
        <v>123</v>
      </c>
      <c r="B24" s="15">
        <f t="shared" si="2"/>
        <v>100</v>
      </c>
      <c r="C24" s="15" t="str">
        <f t="shared" si="2"/>
        <v>GachaTop_123.png</v>
      </c>
      <c r="D24" s="15">
        <f t="shared" si="2"/>
        <v>3</v>
      </c>
    </row>
    <row r="25" spans="1:4">
      <c r="A25" s="15">
        <f t="shared" si="1"/>
        <v>124</v>
      </c>
      <c r="B25" s="15">
        <f t="shared" si="2"/>
        <v>100</v>
      </c>
      <c r="C25" s="15" t="str">
        <f t="shared" si="2"/>
        <v>GachaTop_124.png</v>
      </c>
      <c r="D25" s="15">
        <f t="shared" si="2"/>
        <v>3</v>
      </c>
    </row>
    <row r="26" spans="1:4">
      <c r="A26" s="15">
        <f t="shared" si="1"/>
        <v>200</v>
      </c>
      <c r="B26" s="15">
        <f t="shared" si="2"/>
        <v>200</v>
      </c>
      <c r="C26" s="15" t="str">
        <f t="shared" si="2"/>
        <v>GachaTop_200.png</v>
      </c>
      <c r="D26" s="15">
        <f t="shared" si="2"/>
        <v>3</v>
      </c>
    </row>
    <row r="27" spans="1:4">
      <c r="A27" s="15">
        <f t="shared" si="1"/>
        <v>201</v>
      </c>
      <c r="B27" s="15">
        <f t="shared" si="2"/>
        <v>200</v>
      </c>
      <c r="C27" s="15" t="str">
        <f t="shared" si="2"/>
        <v>GachaTop_200.png</v>
      </c>
      <c r="D27" s="15">
        <f t="shared" si="2"/>
        <v>3</v>
      </c>
    </row>
    <row r="28" spans="1:4">
      <c r="A28"/>
      <c r="B28"/>
      <c r="C28"/>
    </row>
    <row r="29" spans="1:4">
      <c r="A29"/>
      <c r="B29"/>
      <c r="C29"/>
    </row>
    <row r="30" spans="1:4">
      <c r="A30"/>
      <c r="B30"/>
      <c r="C30"/>
    </row>
    <row r="31" spans="1:4">
      <c r="A31"/>
      <c r="B31"/>
      <c r="C31"/>
    </row>
    <row r="32" spans="1:4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D180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14" style="18" bestFit="1" customWidth="1"/>
    <col min="2" max="2" width="17" style="18" bestFit="1" customWidth="1"/>
    <col min="3" max="3" width="14.7109375" style="18" bestFit="1" customWidth="1"/>
    <col min="4" max="16384" width="13" style="16"/>
  </cols>
  <sheetData>
    <row r="1" spans="1:4" s="13" customFormat="1">
      <c r="A1" s="13">
        <f>MATCH(A2,INDIRECT(C1&amp;"!A:A"))-2</f>
        <v>-1</v>
      </c>
      <c r="B1" s="14" t="str">
        <f>"$"&amp;2+$A$1&amp;":$"&amp;2+$A$1</f>
        <v>$1:$1</v>
      </c>
      <c r="C1" s="13" t="str">
        <f>SUBSTITUTE(RIGHT(CELL("filename",$C$1),LEN(CELL("filename",$C$1))-FIND("]",CELL("filename",$C$1))),".csv","")</f>
        <v>gacha_schedules</v>
      </c>
    </row>
    <row r="2" spans="1:4" s="20" customFormat="1">
      <c r="A2" s="19" t="s">
        <v>48</v>
      </c>
      <c r="B2" s="19" t="s">
        <v>50</v>
      </c>
      <c r="C2" s="19" t="s">
        <v>49</v>
      </c>
      <c r="D2" s="28"/>
    </row>
    <row r="3" spans="1:4">
      <c r="A3" s="15">
        <f>INDIRECT(ADDRESS(ROW()+$A$1,COLUMN(),1,TRUE,$C$1))</f>
        <v>1010</v>
      </c>
      <c r="B3" s="15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50</v>
      </c>
      <c r="C3" s="15">
        <f t="shared" ref="C3:C31" si="0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5010</v>
      </c>
      <c r="D3" s="15"/>
    </row>
    <row r="4" spans="1:4">
      <c r="A4" s="15">
        <f t="shared" ref="A4:A31" si="1">INDIRECT(ADDRESS(ROW()+$A$1,COLUMN(),1,TRUE,$C$1))</f>
        <v>1011</v>
      </c>
      <c r="B4" s="15">
        <f t="shared" ref="B4:B31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100</v>
      </c>
      <c r="C4" s="15">
        <f t="shared" si="0"/>
        <v>5011</v>
      </c>
      <c r="D4" s="15"/>
    </row>
    <row r="5" spans="1:4">
      <c r="A5" s="15">
        <f t="shared" si="1"/>
        <v>1020</v>
      </c>
      <c r="B5" s="15">
        <f t="shared" si="2"/>
        <v>50</v>
      </c>
      <c r="C5" s="15">
        <f t="shared" si="0"/>
        <v>5020</v>
      </c>
      <c r="D5" s="15"/>
    </row>
    <row r="6" spans="1:4">
      <c r="A6" s="15">
        <f t="shared" si="1"/>
        <v>1021</v>
      </c>
      <c r="B6" s="15">
        <f t="shared" si="2"/>
        <v>100</v>
      </c>
      <c r="C6" s="15">
        <f t="shared" si="0"/>
        <v>5021</v>
      </c>
      <c r="D6" s="15"/>
    </row>
    <row r="7" spans="1:4">
      <c r="A7" s="15">
        <f t="shared" si="1"/>
        <v>1030</v>
      </c>
      <c r="B7" s="15">
        <f t="shared" si="2"/>
        <v>100</v>
      </c>
      <c r="C7" s="15">
        <f t="shared" si="0"/>
        <v>5022</v>
      </c>
      <c r="D7" s="15"/>
    </row>
    <row r="8" spans="1:4">
      <c r="A8" s="15">
        <f t="shared" si="1"/>
        <v>1040</v>
      </c>
      <c r="B8" s="15">
        <f t="shared" si="2"/>
        <v>100</v>
      </c>
      <c r="C8" s="15">
        <f t="shared" si="0"/>
        <v>5023</v>
      </c>
      <c r="D8" s="15"/>
    </row>
    <row r="9" spans="1:4">
      <c r="A9" s="15">
        <f t="shared" si="1"/>
        <v>1050</v>
      </c>
      <c r="B9" s="15">
        <f t="shared" si="2"/>
        <v>50</v>
      </c>
      <c r="C9" s="15">
        <f t="shared" si="0"/>
        <v>5024</v>
      </c>
      <c r="D9" s="15"/>
    </row>
    <row r="10" spans="1:4">
      <c r="A10" s="15">
        <f t="shared" si="1"/>
        <v>1060</v>
      </c>
      <c r="B10" s="15">
        <f t="shared" si="2"/>
        <v>50</v>
      </c>
      <c r="C10" s="15">
        <f t="shared" si="0"/>
        <v>5025</v>
      </c>
      <c r="D10" s="15"/>
    </row>
    <row r="11" spans="1:4">
      <c r="A11" s="15">
        <f t="shared" si="1"/>
        <v>1070</v>
      </c>
      <c r="B11" s="15">
        <f t="shared" si="2"/>
        <v>100</v>
      </c>
      <c r="C11" s="15">
        <f t="shared" si="0"/>
        <v>5026</v>
      </c>
      <c r="D11" s="15"/>
    </row>
    <row r="12" spans="1:4">
      <c r="A12" s="15">
        <f t="shared" si="1"/>
        <v>1080</v>
      </c>
      <c r="B12" s="15">
        <f t="shared" si="2"/>
        <v>100</v>
      </c>
      <c r="C12" s="15">
        <f t="shared" si="0"/>
        <v>5027</v>
      </c>
      <c r="D12" s="15"/>
    </row>
    <row r="13" spans="1:4">
      <c r="A13" s="15">
        <f t="shared" si="1"/>
        <v>1090</v>
      </c>
      <c r="B13" s="15">
        <f t="shared" si="2"/>
        <v>100</v>
      </c>
      <c r="C13" s="15">
        <f t="shared" si="0"/>
        <v>5028</v>
      </c>
      <c r="D13" s="15"/>
    </row>
    <row r="14" spans="1:4">
      <c r="A14" s="15">
        <f t="shared" si="1"/>
        <v>1100</v>
      </c>
      <c r="B14" s="15">
        <f t="shared" si="2"/>
        <v>100</v>
      </c>
      <c r="C14" s="15">
        <f t="shared" si="0"/>
        <v>5033</v>
      </c>
      <c r="D14" s="15"/>
    </row>
    <row r="15" spans="1:4">
      <c r="A15" s="15">
        <f t="shared" si="1"/>
        <v>1110</v>
      </c>
      <c r="B15" s="15">
        <f t="shared" si="2"/>
        <v>100</v>
      </c>
      <c r="C15" s="15">
        <f t="shared" si="0"/>
        <v>5030</v>
      </c>
      <c r="D15" s="15"/>
    </row>
    <row r="16" spans="1:4">
      <c r="A16" s="15">
        <f t="shared" si="1"/>
        <v>1120</v>
      </c>
      <c r="B16" s="15">
        <f t="shared" si="2"/>
        <v>100</v>
      </c>
      <c r="C16" s="15">
        <f t="shared" si="0"/>
        <v>5031</v>
      </c>
      <c r="D16" s="15"/>
    </row>
    <row r="17" spans="1:4">
      <c r="A17" s="15">
        <f t="shared" si="1"/>
        <v>1130</v>
      </c>
      <c r="B17" s="15">
        <f t="shared" si="2"/>
        <v>100</v>
      </c>
      <c r="C17" s="15">
        <f t="shared" si="0"/>
        <v>5032</v>
      </c>
      <c r="D17" s="15"/>
    </row>
    <row r="18" spans="1:4">
      <c r="A18" s="15">
        <f t="shared" si="1"/>
        <v>1131</v>
      </c>
      <c r="B18" s="15">
        <f t="shared" si="2"/>
        <v>50</v>
      </c>
      <c r="C18" s="15">
        <f t="shared" si="0"/>
        <v>5034</v>
      </c>
      <c r="D18" s="15"/>
    </row>
    <row r="19" spans="1:4">
      <c r="A19" s="15">
        <f t="shared" si="1"/>
        <v>1132</v>
      </c>
      <c r="B19" s="15">
        <f t="shared" si="2"/>
        <v>50</v>
      </c>
      <c r="C19" s="15">
        <f t="shared" si="0"/>
        <v>5029</v>
      </c>
      <c r="D19" s="15"/>
    </row>
    <row r="20" spans="1:4">
      <c r="A20" s="15">
        <f t="shared" si="1"/>
        <v>1140</v>
      </c>
      <c r="B20" s="15">
        <f t="shared" si="2"/>
        <v>100</v>
      </c>
      <c r="C20" s="15">
        <f t="shared" si="0"/>
        <v>5035</v>
      </c>
      <c r="D20" s="15"/>
    </row>
    <row r="21" spans="1:4">
      <c r="A21" s="15">
        <f t="shared" si="1"/>
        <v>1141</v>
      </c>
      <c r="B21" s="15">
        <f t="shared" si="2"/>
        <v>100</v>
      </c>
      <c r="C21" s="15">
        <f t="shared" si="0"/>
        <v>5036</v>
      </c>
      <c r="D21" s="15"/>
    </row>
    <row r="22" spans="1:4">
      <c r="A22" s="15">
        <f t="shared" si="1"/>
        <v>1142</v>
      </c>
      <c r="B22" s="15">
        <f t="shared" si="2"/>
        <v>100</v>
      </c>
      <c r="C22" s="15">
        <f t="shared" si="0"/>
        <v>5037</v>
      </c>
      <c r="D22" s="15"/>
    </row>
    <row r="23" spans="1:4">
      <c r="A23" s="15">
        <f t="shared" si="1"/>
        <v>1143</v>
      </c>
      <c r="B23" s="15">
        <f t="shared" si="2"/>
        <v>100</v>
      </c>
      <c r="C23" s="15">
        <f t="shared" si="0"/>
        <v>5038</v>
      </c>
      <c r="D23" s="15"/>
    </row>
    <row r="24" spans="1:4">
      <c r="A24" s="15">
        <f t="shared" si="1"/>
        <v>1144</v>
      </c>
      <c r="B24" s="15">
        <f t="shared" si="2"/>
        <v>100</v>
      </c>
      <c r="C24" s="15">
        <f t="shared" si="0"/>
        <v>5039</v>
      </c>
      <c r="D24" s="15"/>
    </row>
    <row r="25" spans="1:4">
      <c r="A25" s="15">
        <f t="shared" si="1"/>
        <v>1150</v>
      </c>
      <c r="B25" s="15">
        <f t="shared" si="2"/>
        <v>100</v>
      </c>
      <c r="C25" s="15">
        <f t="shared" si="0"/>
        <v>5040</v>
      </c>
      <c r="D25" s="15"/>
    </row>
    <row r="26" spans="1:4">
      <c r="A26" s="15">
        <f t="shared" si="1"/>
        <v>1160</v>
      </c>
      <c r="B26" s="15">
        <f t="shared" si="2"/>
        <v>100</v>
      </c>
      <c r="C26" s="15">
        <f t="shared" si="0"/>
        <v>5041</v>
      </c>
      <c r="D26" s="15"/>
    </row>
    <row r="27" spans="1:4">
      <c r="A27" s="15">
        <f t="shared" si="1"/>
        <v>1170</v>
      </c>
      <c r="B27" s="15">
        <f t="shared" si="2"/>
        <v>100</v>
      </c>
      <c r="C27" s="15">
        <f t="shared" si="0"/>
        <v>5042</v>
      </c>
      <c r="D27" s="15"/>
    </row>
    <row r="28" spans="1:4">
      <c r="A28" s="15">
        <f t="shared" si="1"/>
        <v>1171</v>
      </c>
      <c r="B28" s="15">
        <f t="shared" si="2"/>
        <v>100</v>
      </c>
      <c r="C28" s="15">
        <f t="shared" si="0"/>
        <v>5043</v>
      </c>
      <c r="D28" s="15"/>
    </row>
    <row r="29" spans="1:4">
      <c r="A29" s="15">
        <f t="shared" si="1"/>
        <v>1172</v>
      </c>
      <c r="B29" s="15">
        <f t="shared" si="2"/>
        <v>100</v>
      </c>
      <c r="C29" s="15">
        <f t="shared" si="0"/>
        <v>5044</v>
      </c>
      <c r="D29" s="15"/>
    </row>
    <row r="30" spans="1:4">
      <c r="A30" s="15">
        <f t="shared" si="1"/>
        <v>1173</v>
      </c>
      <c r="B30" s="15">
        <f t="shared" si="2"/>
        <v>100</v>
      </c>
      <c r="C30" s="15">
        <f t="shared" si="0"/>
        <v>5045</v>
      </c>
      <c r="D30" s="15"/>
    </row>
    <row r="31" spans="1:4">
      <c r="A31" s="15">
        <f t="shared" si="1"/>
        <v>1174</v>
      </c>
      <c r="B31" s="15">
        <f t="shared" si="2"/>
        <v>100</v>
      </c>
      <c r="C31" s="15">
        <f t="shared" si="0"/>
        <v>5046</v>
      </c>
      <c r="D31" s="15"/>
    </row>
    <row r="32" spans="1:4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C185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7.28515625" style="18" bestFit="1" customWidth="1"/>
    <col min="2" max="2" width="7.7109375" style="18" bestFit="1" customWidth="1"/>
    <col min="3" max="3" width="10" style="18" bestFit="1" customWidth="1"/>
    <col min="4" max="16384" width="13" style="16"/>
  </cols>
  <sheetData>
    <row r="1" spans="1:3" s="13" customFormat="1">
      <c r="A1" s="13">
        <f>MATCH(A2,INDIRECT(C1&amp;"!A:A"))-2</f>
        <v>-1</v>
      </c>
      <c r="B1" s="14" t="str">
        <f>"$"&amp;2+$A$1&amp;":$"&amp;2+$A$1</f>
        <v>$1:$1</v>
      </c>
      <c r="C1" s="13" t="s">
        <v>35</v>
      </c>
    </row>
    <row r="2" spans="1:3" s="20" customFormat="1">
      <c r="A2" s="19" t="s">
        <v>18</v>
      </c>
      <c r="B2" s="19" t="s">
        <v>33</v>
      </c>
      <c r="C2" s="19" t="s">
        <v>34</v>
      </c>
    </row>
    <row r="3" spans="1:3">
      <c r="A3" s="15">
        <f>INDIRECT(ADDRESS(ROW()+$A$1,COLUMN(),1,TRUE,$C$1))</f>
        <v>102</v>
      </c>
      <c r="B3" s="15" t="s">
        <v>36</v>
      </c>
      <c r="C3" s="15" t="str">
        <f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【&lt;font color="#ff2626"&gt;超&lt;/font&gt;&lt;font color="#ffe22a"&gt;激&lt;/font&gt;&lt;font color="#0093ff"&gt;レ&lt;/font&gt;&lt;font color="#00e074"&gt;ア&lt;/font&gt;ユニットをGETしよう！】_x000D_&lt;font color="#ffab27"&gt;8/28〜9/2&lt;/font&gt;は新ユニットの出現率UP!</v>
      </c>
    </row>
    <row r="4" spans="1:3">
      <c r="A4" s="15">
        <f t="shared" ref="A4:A27" si="0">INDIRECT(ADDRESS(ROW()+$A$1,COLUMN(),1,TRUE,$C$1))</f>
        <v>103</v>
      </c>
      <c r="B4" s="15" t="s">
        <v>36</v>
      </c>
      <c r="C4" s="15" t="str">
        <f t="shared" ref="C4:C27" si="1">VLOOKUP($A4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【&lt;font color="#ff2626"&gt;超&lt;/font&gt;&lt;font color="#ffe22a"&gt;激&lt;/font&gt;&lt;font color="#0093ff"&gt;レ&lt;/font&gt;&lt;font color="#00e074"&gt;ア&lt;/font&gt;ユニットをGETしよう！】_x000D_レアガチャは&lt;font color="#ffab27"&gt;ポリゴン5個&lt;/font&gt;で1回引けるよ！</v>
      </c>
    </row>
    <row r="5" spans="1:3">
      <c r="A5" s="15">
        <f t="shared" si="0"/>
        <v>104</v>
      </c>
      <c r="B5" s="15" t="s">
        <v>36</v>
      </c>
      <c r="C5" s="15" t="str">
        <f t="shared" si="1"/>
        <v>【&lt;font color="#ff2626"&gt;アレス&lt;/font&gt;、&lt;font color="#ffe22a"&gt;イザナミ&lt;/font&gt;、&lt;font color="#0093ff"&gt;ジークフリート&lt;/font&gt;、&lt;font color="#00e074"&gt;オセ&lt;/font&gt;をGETしよう！】_x000D_&lt;font color="#ffab27"&gt;9/11〜9/15&lt;/font&gt;はこの４体の出現率UP!</v>
      </c>
    </row>
    <row r="6" spans="1:3">
      <c r="A6" s="15">
        <f t="shared" si="0"/>
        <v>105</v>
      </c>
      <c r="B6" s="15" t="s">
        <v>36</v>
      </c>
      <c r="C6" s="15" t="str">
        <f t="shared" si="1"/>
        <v>【&lt;font color="#ff2626"&gt;アレス&lt;/font&gt;、&lt;font color="#ffe22a"&gt;イザナミ&lt;/font&gt;、&lt;font color="#0093ff"&gt;ジークフリート&lt;/font&gt;、&lt;font color="#00e074"&gt;オセ&lt;/font&gt;をGETしよう！】_x000D_&lt;font color="#ffab27"&gt;9/11〜9/15&lt;/font&gt;はこの４体の出現率UP!</v>
      </c>
    </row>
    <row r="7" spans="1:3">
      <c r="A7" s="15">
        <f t="shared" si="0"/>
        <v>106</v>
      </c>
      <c r="B7" s="15" t="s">
        <v>36</v>
      </c>
      <c r="C7" s="15" t="str">
        <f t="shared" si="1"/>
        <v>【&lt;font color="#ff2626"&gt;アレス&lt;/font&gt;、&lt;font color="#ffe22a"&gt;イザナミ&lt;/font&gt;、&lt;font color="#0093ff"&gt;ジークフリート&lt;/font&gt;、&lt;font color="#00e074"&gt;オセ&lt;/font&gt;をGETしよう！】_x000D_&lt;font color="#ffab27"&gt;9/11〜9/15&lt;/font&gt;はこの４体の出現率UP!</v>
      </c>
    </row>
    <row r="8" spans="1:3">
      <c r="A8" s="15">
        <f t="shared" si="0"/>
        <v>107</v>
      </c>
      <c r="B8" s="15" t="s">
        <v>36</v>
      </c>
      <c r="C8" s="15" t="str">
        <f t="shared" si="1"/>
        <v>【&lt;font color="#ff2626"&gt;超&lt;/font&gt;&lt;font color="#ffe22a"&gt;激&lt;/font&gt;&lt;font color="#0093ff"&gt;レ&lt;/font&gt;&lt;font color="#00e074"&gt;ア&lt;/font&gt;ユニットをGETしよう！】_x000D_レアガチャは&lt;font color="#ffab27"&gt;ポリゴン5個&lt;/font&gt;で1回引けるよ！</v>
      </c>
    </row>
    <row r="9" spans="1:3">
      <c r="A9" s="15">
        <f t="shared" si="0"/>
        <v>108</v>
      </c>
      <c r="B9" s="15" t="s">
        <v>36</v>
      </c>
      <c r="C9" s="15" t="str">
        <f t="shared" si="1"/>
        <v>【超強力&lt;font color="#ff2626"&gt;赤&lt;/font&gt;ユニットをGETしよう！】_x000D_&lt;font color="#ffab27"&gt;9/26〜9/28&lt;/font&gt;は赤ユニットの出現率UP!</v>
      </c>
    </row>
    <row r="10" spans="1:3">
      <c r="A10" s="15">
        <f t="shared" si="0"/>
        <v>109</v>
      </c>
      <c r="B10" s="15" t="s">
        <v>36</v>
      </c>
      <c r="C10" s="15" t="str">
        <f t="shared" si="1"/>
        <v>【超強力&lt;font color="#ff2626"&gt;赤&lt;/font&gt;ユニットをGETしよう！】_x000D_&lt;font color="#ffab27"&gt;9/26〜9/28&lt;/font&gt;は赤ユニットの出現率UP!</v>
      </c>
    </row>
    <row r="11" spans="1:3">
      <c r="A11" s="15">
        <f t="shared" si="0"/>
        <v>110</v>
      </c>
      <c r="B11" s="15" t="s">
        <v>36</v>
      </c>
      <c r="C11" s="15" t="str">
        <f t="shared" si="1"/>
        <v>【超強力&lt;font color="#ff2626"&gt;赤&lt;/font&gt;ユニットをGETしよう！】_x000D_&lt;font color="#ffab27"&gt;9/26〜9/28&lt;/font&gt;は赤ユニットの出現率UP!</v>
      </c>
    </row>
    <row r="12" spans="1:3">
      <c r="A12" s="15">
        <f t="shared" si="0"/>
        <v>111</v>
      </c>
      <c r="B12" s="15" t="s">
        <v>36</v>
      </c>
      <c r="C12" s="15" t="str">
        <f t="shared" si="1"/>
        <v>【&lt;font color="#0093ff"&gt;沖田総司&lt;/font&gt;、&lt;font color="#ffe22a"&gt;ミカエル&lt;/font&gt;、&lt;font color="#00e074"&gt;ヨルムンガンド&lt;/font&gt;をGETしよう！】_x000D_&lt;font color="#ffab27"&gt;9/22〜9/25&lt;/font&gt;はこの3体の出現率UP!</v>
      </c>
    </row>
    <row r="13" spans="1:3">
      <c r="A13" s="15">
        <f t="shared" si="0"/>
        <v>112</v>
      </c>
      <c r="B13" s="15" t="s">
        <v>36</v>
      </c>
      <c r="C13" s="15" t="str">
        <f t="shared" si="1"/>
        <v>【&lt;font color="#0093ff"&gt;沖田総司&lt;/font&gt;、&lt;font color="#ffe22a"&gt;ミカエル&lt;/font&gt;、&lt;font color="#00e074"&gt;ヨルムンガンド&lt;/font&gt;をGETしよう！】_x000D_&lt;font color="#ffab27"&gt;9/22〜9/25&lt;/font&gt;はこの3体の出現率UP!</v>
      </c>
    </row>
    <row r="14" spans="1:3">
      <c r="A14" s="15">
        <f t="shared" si="0"/>
        <v>113</v>
      </c>
      <c r="B14" s="15" t="s">
        <v>36</v>
      </c>
      <c r="C14" s="15" t="str">
        <f t="shared" si="1"/>
        <v>【&lt;font color="#0093ff"&gt;沖田総司&lt;/font&gt;、&lt;font color="#ffe22a"&gt;ミカエル&lt;/font&gt;、&lt;font color="#00e074"&gt;ヨルムンガンド&lt;/font&gt;をGETしよう！】_x000D_&lt;font color="#ffab27"&gt;9/22〜9/25&lt;/font&gt;はこの3体の出現率UP!</v>
      </c>
    </row>
    <row r="15" spans="1:3">
      <c r="A15" s="15">
        <f t="shared" si="0"/>
        <v>114</v>
      </c>
      <c r="B15" s="15" t="s">
        <v>36</v>
      </c>
      <c r="C15" s="15" t="str">
        <f t="shared" si="1"/>
        <v>【&lt;font color="#ff2626"&gt;超&lt;/font&gt;&lt;font color="#ffe22a"&gt;激&lt;/font&gt;&lt;font color="#0093ff"&gt;レ&lt;/font&gt;&lt;font color="#00e074"&gt;ア&lt;/font&gt;ユニットをGETしよう！】_x000D_&lt;font color="#ffab27"&gt;9/30〜10/5&lt;/font&gt;は新ユニットの出現率UP!</v>
      </c>
    </row>
    <row r="16" spans="1:3">
      <c r="A16" s="15">
        <f t="shared" si="0"/>
        <v>115</v>
      </c>
      <c r="B16" s="15" t="s">
        <v>36</v>
      </c>
      <c r="C16" s="15" t="str">
        <f t="shared" si="1"/>
        <v>【超強力&lt;font color="#0093ff"&gt;青&lt;/font&gt;ユニットをGETしよう！】_x000D_&lt;font color="#ffab27"&gt;10/10〜10/12&lt;/font&gt;は青ユニットの出現率UP!</v>
      </c>
    </row>
    <row r="17" spans="1:3">
      <c r="A17" s="15">
        <f t="shared" si="0"/>
        <v>116</v>
      </c>
      <c r="B17" s="15" t="s">
        <v>36</v>
      </c>
      <c r="C17" s="15" t="str">
        <f t="shared" si="1"/>
        <v>【超強力&lt;font color="#0093ff"&gt;青&lt;/font&gt;ユニットをGETしよう！】_x000D_&lt;font color="#ffab27"&gt;10/10〜10/12&lt;/font&gt;は青ユニットの出現率UP!</v>
      </c>
    </row>
    <row r="18" spans="1:3">
      <c r="A18" s="15">
        <f t="shared" si="0"/>
        <v>117</v>
      </c>
      <c r="B18" s="15" t="s">
        <v>36</v>
      </c>
      <c r="C18" s="15" t="str">
        <f t="shared" si="1"/>
        <v>【超強力&lt;font color="#0093ff"&gt;青&lt;/font&gt;ユニットをGETしよう！】_x000D_&lt;font color="#ffab27"&gt;10/10〜10/12&lt;/font&gt;は青ユニットの出現率UP!</v>
      </c>
    </row>
    <row r="19" spans="1:3">
      <c r="A19" s="15">
        <f t="shared" si="0"/>
        <v>118</v>
      </c>
      <c r="B19" s="15" t="s">
        <v>36</v>
      </c>
      <c r="C19" s="15" t="str">
        <f t="shared" si="1"/>
        <v>【超強力&lt;font color="#00e074"&gt;緑&lt;/font&gt;ユニットをGETしよう！】_x000D_&lt;font color="#ffab27"&gt;10/5〜10/7&lt;/font&gt;は緑ユニットの出現率UP!</v>
      </c>
    </row>
    <row r="20" spans="1:3">
      <c r="A20" s="15">
        <f t="shared" si="0"/>
        <v>119</v>
      </c>
      <c r="B20" s="15" t="s">
        <v>36</v>
      </c>
      <c r="C20" s="15" t="str">
        <f t="shared" si="1"/>
        <v>【超強力&lt;font color="#00e074"&gt;緑&lt;/font&gt;ユニットをGETしよう！】_x000D_&lt;font color="#ffab27"&gt;10/5〜10/7&lt;/font&gt;は緑ユニットの出現率UP!</v>
      </c>
    </row>
    <row r="21" spans="1:3">
      <c r="A21" s="15">
        <f t="shared" si="0"/>
        <v>120</v>
      </c>
      <c r="B21" s="15" t="s">
        <v>36</v>
      </c>
      <c r="C21" s="15" t="str">
        <f t="shared" si="1"/>
        <v>【超強力&lt;font color="#00e074"&gt;緑&lt;/font&gt;ユニットをGETしよう！】_x000D_&lt;font color="#ffab27"&gt;10/5〜10/7&lt;/font&gt;は緑ユニットの出現率UP!</v>
      </c>
    </row>
    <row r="22" spans="1:3">
      <c r="A22" s="15">
        <f t="shared" si="0"/>
        <v>121</v>
      </c>
      <c r="B22" s="15" t="s">
        <v>36</v>
      </c>
      <c r="C22" s="15" t="str">
        <f t="shared" si="1"/>
        <v>【超強力&lt;font color=""#ff2626""&gt;赤&lt;/font&gt;ユニットをGETしよう！】_x000D_&lt;font color=""#ffab27""&gt;10/8〜10/10&lt;/font&gt;は赤ユニットの出現率UP!</v>
      </c>
    </row>
    <row r="23" spans="1:3">
      <c r="A23" s="15">
        <f t="shared" si="0"/>
        <v>122</v>
      </c>
      <c r="B23" s="15" t="s">
        <v>36</v>
      </c>
      <c r="C23" s="15" t="str">
        <f t="shared" si="1"/>
        <v>【&lt;font color="#ff2626"&gt;超&lt;/font&gt;&lt;font color="#ffe22a"&gt;激&lt;/font&gt;&lt;font color="#0093ff"&gt;レ&lt;/font&gt;&lt;font color="#00e074"&gt;ア&lt;/font&gt;ユニットをGETしよう！】_x000D_&lt;font color="#ffab27"&gt;9/30〜10/5&lt;/font&gt;は新ユニットの出現率UP!</v>
      </c>
    </row>
    <row r="24" spans="1:3">
      <c r="A24" s="15">
        <f t="shared" si="0"/>
        <v>123</v>
      </c>
      <c r="B24" s="15" t="s">
        <v>36</v>
      </c>
      <c r="C24" s="15" t="str">
        <f t="shared" si="1"/>
        <v>【&lt;font color="#ff2626"&gt;超&lt;/font&gt;&lt;font color="#ffe22a"&gt;激&lt;/font&gt;&lt;font color="#0093ff"&gt;レ&lt;/font&gt;&lt;font color="#00e074"&gt;ア&lt;/font&gt;ユニットをGETしよう！】_x000D_&lt;font color="#ffab27"&gt;9/30〜10/5&lt;/font&gt;は新ユニットの出現率UP!</v>
      </c>
    </row>
    <row r="25" spans="1:3">
      <c r="A25" s="15">
        <f t="shared" si="0"/>
        <v>124</v>
      </c>
      <c r="B25" s="15" t="s">
        <v>36</v>
      </c>
      <c r="C25" s="15" t="str">
        <f t="shared" si="1"/>
        <v>【&lt;font color="#ff2626"&gt;超&lt;/font&gt;&lt;font color="#ffe22a"&gt;激&lt;/font&gt;&lt;font color="#0093ff"&gt;レ&lt;/font&gt;&lt;font color="#00e074"&gt;ア&lt;/font&gt;ユニットをGETしよう！】_x000D_レアガチャは&lt;font color="#ffab27"&gt;ポリゴン5個&lt;/font&gt;で1回引けるよ！</v>
      </c>
    </row>
    <row r="26" spans="1:3">
      <c r="A26" s="15">
        <f t="shared" si="0"/>
        <v>200</v>
      </c>
      <c r="B26" s="15" t="s">
        <v>36</v>
      </c>
      <c r="C26" s="15" t="str">
        <f t="shared" si="1"/>
        <v>【リンクを使って無料でユニットGET！】_x000D_リンクガチャは&lt;font color="#ffab27"&gt;リンク100pt&lt;/font&gt;で1回引けるよ！_x000D_フレンドに&lt;font color="#ffab27"&gt;助っ人&lt;/font&gt;してもらってリンクを集めよう！</v>
      </c>
    </row>
    <row r="27" spans="1:3">
      <c r="A27" s="15">
        <f t="shared" si="0"/>
        <v>201</v>
      </c>
      <c r="B27" s="15" t="s">
        <v>36</v>
      </c>
      <c r="C27" s="15" t="str">
        <f t="shared" si="1"/>
        <v>【リンクを使って無料でユニットGET！】_x000D_リンクガチャは&lt;font color="#ffab27"&gt;リンク100pt&lt;/font&gt;で1回引けるよ！_x000D_フレンドに&lt;font color="#ffab27"&gt;助っ人&lt;/font&gt;してもらってリンクを集めよう！</v>
      </c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D200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10.42578125" style="18" bestFit="1" customWidth="1"/>
    <col min="2" max="2" width="14.85546875" style="18" bestFit="1" customWidth="1"/>
    <col min="3" max="3" width="13" style="18" bestFit="1" customWidth="1"/>
    <col min="4" max="4" width="5.28515625" style="16" bestFit="1" customWidth="1"/>
    <col min="5" max="16384" width="13" style="16"/>
  </cols>
  <sheetData>
    <row r="1" spans="1:4" s="13" customFormat="1">
      <c r="A1" s="13">
        <f>MATCH(A2,INDIRECT(C1&amp;"!A:A"),0)-2</f>
        <v>-1</v>
      </c>
      <c r="B1" s="14" t="str">
        <f>"$"&amp;2+$A$1&amp;":$"&amp;2+$A$1</f>
        <v>$1:$1</v>
      </c>
      <c r="C1" s="13" t="str">
        <f>SUBSTITUTE(RIGHT(CELL("filename",$C$1),LEN(CELL("filename",$C$1))-FIND("]",CELL("filename",$C$1))),".csv","")</f>
        <v>gacha_layouts</v>
      </c>
    </row>
    <row r="2" spans="1:4" s="20" customFormat="1">
      <c r="A2" s="21" t="s">
        <v>38</v>
      </c>
      <c r="B2" s="19" t="s">
        <v>40</v>
      </c>
      <c r="C2" s="19" t="s">
        <v>18</v>
      </c>
      <c r="D2" s="19" t="s">
        <v>37</v>
      </c>
    </row>
    <row r="3" spans="1:4">
      <c r="A3" s="22" t="str">
        <f>INDIRECT(ADDRESS(ROW()+$A$1,COLUMN(),1,TRUE,$C$1))</f>
        <v>1020_103</v>
      </c>
      <c r="B3" s="15">
        <f t="shared" ref="B3:D18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1020</v>
      </c>
      <c r="C3" s="15">
        <f t="shared" si="0"/>
        <v>103</v>
      </c>
      <c r="D3" s="15">
        <f t="shared" si="0"/>
        <v>1</v>
      </c>
    </row>
    <row r="4" spans="1:4">
      <c r="A4" s="22" t="str">
        <f t="shared" ref="A4:A56" si="1">INDIRECT(ADDRESS(ROW()+$A$1,COLUMN(),1,TRUE,$C$1))</f>
        <v>1020_200</v>
      </c>
      <c r="B4" s="15">
        <f t="shared" si="0"/>
        <v>1020</v>
      </c>
      <c r="C4" s="15">
        <f t="shared" si="0"/>
        <v>200</v>
      </c>
      <c r="D4" s="15">
        <f t="shared" si="0"/>
        <v>2</v>
      </c>
    </row>
    <row r="5" spans="1:4">
      <c r="A5" s="22" t="str">
        <f t="shared" si="1"/>
        <v>1021_102</v>
      </c>
      <c r="B5" s="15">
        <f t="shared" si="0"/>
        <v>1021</v>
      </c>
      <c r="C5" s="15">
        <f t="shared" si="0"/>
        <v>102</v>
      </c>
      <c r="D5" s="15">
        <f t="shared" si="0"/>
        <v>1</v>
      </c>
    </row>
    <row r="6" spans="1:4">
      <c r="A6" s="22" t="str">
        <f t="shared" si="1"/>
        <v>1021_200</v>
      </c>
      <c r="B6" s="15">
        <f t="shared" si="0"/>
        <v>1021</v>
      </c>
      <c r="C6" s="15">
        <f t="shared" si="0"/>
        <v>200</v>
      </c>
      <c r="D6" s="15">
        <f t="shared" si="0"/>
        <v>2</v>
      </c>
    </row>
    <row r="7" spans="1:4">
      <c r="A7" s="22" t="str">
        <f t="shared" si="1"/>
        <v>1030_104</v>
      </c>
      <c r="B7" s="15">
        <f t="shared" si="0"/>
        <v>1030</v>
      </c>
      <c r="C7" s="15">
        <f t="shared" si="0"/>
        <v>104</v>
      </c>
      <c r="D7" s="15">
        <f t="shared" si="0"/>
        <v>1</v>
      </c>
    </row>
    <row r="8" spans="1:4">
      <c r="A8" s="22" t="str">
        <f t="shared" si="1"/>
        <v>1030_200</v>
      </c>
      <c r="B8" s="15">
        <f t="shared" si="0"/>
        <v>1030</v>
      </c>
      <c r="C8" s="15">
        <f t="shared" si="0"/>
        <v>200</v>
      </c>
      <c r="D8" s="15">
        <f t="shared" si="0"/>
        <v>2</v>
      </c>
    </row>
    <row r="9" spans="1:4">
      <c r="A9" s="22" t="str">
        <f t="shared" si="1"/>
        <v>1040_105</v>
      </c>
      <c r="B9" s="15">
        <f t="shared" si="0"/>
        <v>1040</v>
      </c>
      <c r="C9" s="15">
        <f t="shared" si="0"/>
        <v>105</v>
      </c>
      <c r="D9" s="15">
        <f t="shared" si="0"/>
        <v>1</v>
      </c>
    </row>
    <row r="10" spans="1:4">
      <c r="A10" s="22" t="str">
        <f t="shared" si="1"/>
        <v>1040_200</v>
      </c>
      <c r="B10" s="15">
        <f t="shared" si="0"/>
        <v>1040</v>
      </c>
      <c r="C10" s="15">
        <f t="shared" si="0"/>
        <v>200</v>
      </c>
      <c r="D10" s="15">
        <f t="shared" si="0"/>
        <v>2</v>
      </c>
    </row>
    <row r="11" spans="1:4">
      <c r="A11" s="22" t="str">
        <f t="shared" si="1"/>
        <v>1050_106</v>
      </c>
      <c r="B11" s="15">
        <f t="shared" si="0"/>
        <v>1050</v>
      </c>
      <c r="C11" s="15">
        <f t="shared" si="0"/>
        <v>106</v>
      </c>
      <c r="D11" s="15">
        <f t="shared" si="0"/>
        <v>1</v>
      </c>
    </row>
    <row r="12" spans="1:4">
      <c r="A12" s="22" t="str">
        <f t="shared" si="1"/>
        <v>1050_200</v>
      </c>
      <c r="B12" s="15">
        <f t="shared" si="0"/>
        <v>1050</v>
      </c>
      <c r="C12" s="15">
        <f t="shared" si="0"/>
        <v>200</v>
      </c>
      <c r="D12" s="15">
        <f t="shared" si="0"/>
        <v>2</v>
      </c>
    </row>
    <row r="13" spans="1:4">
      <c r="A13" s="22" t="str">
        <f t="shared" si="1"/>
        <v>1060_103</v>
      </c>
      <c r="B13" s="15">
        <f t="shared" si="0"/>
        <v>1060</v>
      </c>
      <c r="C13" s="15">
        <f t="shared" si="0"/>
        <v>103</v>
      </c>
      <c r="D13" s="15">
        <f t="shared" si="0"/>
        <v>1</v>
      </c>
    </row>
    <row r="14" spans="1:4">
      <c r="A14" s="22" t="str">
        <f t="shared" si="1"/>
        <v>1060_201</v>
      </c>
      <c r="B14" s="15">
        <f t="shared" si="0"/>
        <v>1060</v>
      </c>
      <c r="C14" s="15">
        <f t="shared" si="0"/>
        <v>201</v>
      </c>
      <c r="D14" s="15">
        <f t="shared" si="0"/>
        <v>2</v>
      </c>
    </row>
    <row r="15" spans="1:4">
      <c r="A15" s="22" t="str">
        <f t="shared" si="1"/>
        <v>1070_107</v>
      </c>
      <c r="B15" s="15">
        <f t="shared" si="0"/>
        <v>1070</v>
      </c>
      <c r="C15" s="15">
        <f t="shared" si="0"/>
        <v>107</v>
      </c>
      <c r="D15" s="15">
        <f t="shared" si="0"/>
        <v>1</v>
      </c>
    </row>
    <row r="16" spans="1:4">
      <c r="A16" s="22" t="str">
        <f t="shared" si="1"/>
        <v>1070_201</v>
      </c>
      <c r="B16" s="15">
        <f t="shared" si="0"/>
        <v>1070</v>
      </c>
      <c r="C16" s="15">
        <f t="shared" si="0"/>
        <v>201</v>
      </c>
      <c r="D16" s="15">
        <f t="shared" si="0"/>
        <v>2</v>
      </c>
    </row>
    <row r="17" spans="1:4">
      <c r="A17" s="22" t="str">
        <f t="shared" si="1"/>
        <v>1080_108</v>
      </c>
      <c r="B17" s="15">
        <f t="shared" si="0"/>
        <v>1080</v>
      </c>
      <c r="C17" s="15">
        <f t="shared" si="0"/>
        <v>108</v>
      </c>
      <c r="D17" s="15">
        <f t="shared" si="0"/>
        <v>1</v>
      </c>
    </row>
    <row r="18" spans="1:4">
      <c r="A18" s="22" t="str">
        <f t="shared" si="1"/>
        <v>1080_201</v>
      </c>
      <c r="B18" s="15">
        <f t="shared" si="0"/>
        <v>1080</v>
      </c>
      <c r="C18" s="15">
        <f t="shared" si="0"/>
        <v>201</v>
      </c>
      <c r="D18" s="15">
        <f t="shared" si="0"/>
        <v>2</v>
      </c>
    </row>
    <row r="19" spans="1:4">
      <c r="A19" s="22" t="str">
        <f t="shared" si="1"/>
        <v>1090_109</v>
      </c>
      <c r="B19" s="15">
        <f t="shared" ref="B19:D56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1090</v>
      </c>
      <c r="C19" s="15">
        <f t="shared" si="2"/>
        <v>109</v>
      </c>
      <c r="D19" s="15">
        <f t="shared" si="2"/>
        <v>1</v>
      </c>
    </row>
    <row r="20" spans="1:4">
      <c r="A20" s="22" t="str">
        <f t="shared" si="1"/>
        <v>1090_201</v>
      </c>
      <c r="B20" s="15">
        <f t="shared" si="2"/>
        <v>1090</v>
      </c>
      <c r="C20" s="15">
        <f t="shared" si="2"/>
        <v>201</v>
      </c>
      <c r="D20" s="15">
        <f t="shared" si="2"/>
        <v>2</v>
      </c>
    </row>
    <row r="21" spans="1:4">
      <c r="A21" s="22" t="str">
        <f t="shared" si="1"/>
        <v>1100_110</v>
      </c>
      <c r="B21" s="15">
        <f t="shared" si="2"/>
        <v>1100</v>
      </c>
      <c r="C21" s="15">
        <f t="shared" si="2"/>
        <v>110</v>
      </c>
      <c r="D21" s="15">
        <f t="shared" si="2"/>
        <v>1</v>
      </c>
    </row>
    <row r="22" spans="1:4">
      <c r="A22" s="22" t="str">
        <f t="shared" si="1"/>
        <v>1100_201</v>
      </c>
      <c r="B22" s="15">
        <f t="shared" si="2"/>
        <v>1100</v>
      </c>
      <c r="C22" s="15">
        <f t="shared" si="2"/>
        <v>201</v>
      </c>
      <c r="D22" s="15">
        <f t="shared" si="2"/>
        <v>2</v>
      </c>
    </row>
    <row r="23" spans="1:4">
      <c r="A23" s="22" t="str">
        <f t="shared" si="1"/>
        <v>1110_111</v>
      </c>
      <c r="B23" s="15">
        <f t="shared" si="2"/>
        <v>1110</v>
      </c>
      <c r="C23" s="15">
        <f t="shared" si="2"/>
        <v>111</v>
      </c>
      <c r="D23" s="15">
        <f t="shared" si="2"/>
        <v>1</v>
      </c>
    </row>
    <row r="24" spans="1:4">
      <c r="A24" s="22" t="str">
        <f t="shared" si="1"/>
        <v>1110_201</v>
      </c>
      <c r="B24" s="15">
        <f t="shared" si="2"/>
        <v>1110</v>
      </c>
      <c r="C24" s="15">
        <f t="shared" si="2"/>
        <v>201</v>
      </c>
      <c r="D24" s="15">
        <f t="shared" si="2"/>
        <v>2</v>
      </c>
    </row>
    <row r="25" spans="1:4">
      <c r="A25" s="22" t="str">
        <f t="shared" si="1"/>
        <v>1120_112</v>
      </c>
      <c r="B25" s="15">
        <f t="shared" si="2"/>
        <v>1120</v>
      </c>
      <c r="C25" s="15">
        <f t="shared" si="2"/>
        <v>112</v>
      </c>
      <c r="D25" s="15">
        <f t="shared" si="2"/>
        <v>1</v>
      </c>
    </row>
    <row r="26" spans="1:4">
      <c r="A26" s="22" t="str">
        <f t="shared" si="1"/>
        <v>1120_201</v>
      </c>
      <c r="B26" s="15">
        <f t="shared" si="2"/>
        <v>1120</v>
      </c>
      <c r="C26" s="15">
        <f t="shared" si="2"/>
        <v>201</v>
      </c>
      <c r="D26" s="15">
        <f t="shared" si="2"/>
        <v>2</v>
      </c>
    </row>
    <row r="27" spans="1:4">
      <c r="A27" s="22" t="str">
        <f t="shared" si="1"/>
        <v>1130_113</v>
      </c>
      <c r="B27" s="15">
        <f t="shared" si="2"/>
        <v>1130</v>
      </c>
      <c r="C27" s="15">
        <f t="shared" si="2"/>
        <v>113</v>
      </c>
      <c r="D27" s="15">
        <f t="shared" si="2"/>
        <v>1</v>
      </c>
    </row>
    <row r="28" spans="1:4">
      <c r="A28" s="22" t="str">
        <f t="shared" si="1"/>
        <v>1130_201</v>
      </c>
      <c r="B28" s="15">
        <f t="shared" si="2"/>
        <v>1130</v>
      </c>
      <c r="C28" s="15">
        <f t="shared" si="2"/>
        <v>201</v>
      </c>
      <c r="D28" s="15">
        <f t="shared" si="2"/>
        <v>2</v>
      </c>
    </row>
    <row r="29" spans="1:4">
      <c r="A29" s="22" t="str">
        <f t="shared" si="1"/>
        <v>1131_107</v>
      </c>
      <c r="B29" s="15">
        <f t="shared" si="2"/>
        <v>1131</v>
      </c>
      <c r="C29" s="15">
        <f t="shared" si="2"/>
        <v>107</v>
      </c>
      <c r="D29" s="15">
        <f t="shared" si="2"/>
        <v>1</v>
      </c>
    </row>
    <row r="30" spans="1:4">
      <c r="A30" s="22" t="str">
        <f t="shared" si="1"/>
        <v>1131_201</v>
      </c>
      <c r="B30" s="15">
        <f t="shared" si="2"/>
        <v>1131</v>
      </c>
      <c r="C30" s="15">
        <f t="shared" si="2"/>
        <v>201</v>
      </c>
      <c r="D30" s="15">
        <f t="shared" si="2"/>
        <v>2</v>
      </c>
    </row>
    <row r="31" spans="1:4">
      <c r="A31" s="22" t="str">
        <f t="shared" si="1"/>
        <v>1132_107</v>
      </c>
      <c r="B31" s="15">
        <f t="shared" si="2"/>
        <v>1132</v>
      </c>
      <c r="C31" s="15">
        <f t="shared" si="2"/>
        <v>107</v>
      </c>
      <c r="D31" s="15">
        <f t="shared" si="2"/>
        <v>1</v>
      </c>
    </row>
    <row r="32" spans="1:4">
      <c r="A32" s="22" t="str">
        <f t="shared" si="1"/>
        <v>1132_201</v>
      </c>
      <c r="B32" s="15">
        <f t="shared" si="2"/>
        <v>1132</v>
      </c>
      <c r="C32" s="15">
        <f t="shared" si="2"/>
        <v>201</v>
      </c>
      <c r="D32" s="15">
        <f t="shared" si="2"/>
        <v>2</v>
      </c>
    </row>
    <row r="33" spans="1:4">
      <c r="A33" s="22" t="str">
        <f t="shared" si="1"/>
        <v>1140_114</v>
      </c>
      <c r="B33" s="15">
        <f t="shared" si="2"/>
        <v>1140</v>
      </c>
      <c r="C33" s="15">
        <f t="shared" si="2"/>
        <v>114</v>
      </c>
      <c r="D33" s="15">
        <f t="shared" si="2"/>
        <v>1</v>
      </c>
    </row>
    <row r="34" spans="1:4">
      <c r="A34" s="22" t="str">
        <f t="shared" si="1"/>
        <v>1140_201</v>
      </c>
      <c r="B34" s="15">
        <f t="shared" si="2"/>
        <v>1140</v>
      </c>
      <c r="C34" s="15">
        <f t="shared" si="2"/>
        <v>201</v>
      </c>
      <c r="D34" s="15">
        <f t="shared" si="2"/>
        <v>2</v>
      </c>
    </row>
    <row r="35" spans="1:4">
      <c r="A35" s="22" t="str">
        <f t="shared" si="1"/>
        <v>1141_118</v>
      </c>
      <c r="B35" s="15">
        <f t="shared" si="2"/>
        <v>1141</v>
      </c>
      <c r="C35" s="15">
        <f t="shared" si="2"/>
        <v>118</v>
      </c>
      <c r="D35" s="15">
        <f t="shared" si="2"/>
        <v>1</v>
      </c>
    </row>
    <row r="36" spans="1:4">
      <c r="A36" s="22" t="str">
        <f t="shared" si="1"/>
        <v>1141_201</v>
      </c>
      <c r="B36" s="15">
        <f t="shared" si="2"/>
        <v>1141</v>
      </c>
      <c r="C36" s="15">
        <f t="shared" si="2"/>
        <v>201</v>
      </c>
      <c r="D36" s="15">
        <f t="shared" si="2"/>
        <v>2</v>
      </c>
    </row>
    <row r="37" spans="1:4">
      <c r="A37" s="22" t="str">
        <f t="shared" si="1"/>
        <v>1142_119</v>
      </c>
      <c r="B37" s="15">
        <f t="shared" si="2"/>
        <v>1142</v>
      </c>
      <c r="C37" s="15">
        <f t="shared" si="2"/>
        <v>119</v>
      </c>
      <c r="D37" s="15">
        <f t="shared" si="2"/>
        <v>1</v>
      </c>
    </row>
    <row r="38" spans="1:4">
      <c r="A38" s="22" t="str">
        <f t="shared" si="1"/>
        <v>1142_201</v>
      </c>
      <c r="B38" s="15">
        <f t="shared" si="2"/>
        <v>1142</v>
      </c>
      <c r="C38" s="15">
        <f t="shared" si="2"/>
        <v>201</v>
      </c>
      <c r="D38" s="15">
        <f t="shared" si="2"/>
        <v>2</v>
      </c>
    </row>
    <row r="39" spans="1:4">
      <c r="A39" s="22" t="str">
        <f t="shared" si="1"/>
        <v>1143_120</v>
      </c>
      <c r="B39" s="15">
        <f t="shared" si="2"/>
        <v>1143</v>
      </c>
      <c r="C39" s="15">
        <f t="shared" si="2"/>
        <v>120</v>
      </c>
      <c r="D39" s="15">
        <f t="shared" si="2"/>
        <v>1</v>
      </c>
    </row>
    <row r="40" spans="1:4">
      <c r="A40" s="22" t="str">
        <f t="shared" si="1"/>
        <v>1143_201</v>
      </c>
      <c r="B40" s="15">
        <f t="shared" si="2"/>
        <v>1143</v>
      </c>
      <c r="C40" s="15">
        <f t="shared" si="2"/>
        <v>201</v>
      </c>
      <c r="D40" s="15">
        <f t="shared" si="2"/>
        <v>2</v>
      </c>
    </row>
    <row r="41" spans="1:4">
      <c r="A41" s="22" t="str">
        <f t="shared" si="1"/>
        <v>1144_121</v>
      </c>
      <c r="B41" s="15">
        <f t="shared" si="2"/>
        <v>1144</v>
      </c>
      <c r="C41" s="15">
        <f t="shared" si="2"/>
        <v>121</v>
      </c>
      <c r="D41" s="15">
        <f t="shared" si="2"/>
        <v>1</v>
      </c>
    </row>
    <row r="42" spans="1:4">
      <c r="A42" s="22" t="str">
        <f t="shared" si="1"/>
        <v>1144_201</v>
      </c>
      <c r="B42" s="15">
        <f t="shared" si="2"/>
        <v>1144</v>
      </c>
      <c r="C42" s="15">
        <f t="shared" si="2"/>
        <v>201</v>
      </c>
      <c r="D42" s="15">
        <f t="shared" si="2"/>
        <v>2</v>
      </c>
    </row>
    <row r="43" spans="1:4">
      <c r="A43" s="22" t="str">
        <f t="shared" si="1"/>
        <v>1150_115</v>
      </c>
      <c r="B43" s="15">
        <f t="shared" si="2"/>
        <v>1150</v>
      </c>
      <c r="C43" s="15">
        <f t="shared" si="2"/>
        <v>115</v>
      </c>
      <c r="D43" s="15">
        <f t="shared" si="2"/>
        <v>1</v>
      </c>
    </row>
    <row r="44" spans="1:4">
      <c r="A44" s="22" t="str">
        <f t="shared" si="1"/>
        <v>1150_201</v>
      </c>
      <c r="B44" s="15">
        <f t="shared" si="2"/>
        <v>1150</v>
      </c>
      <c r="C44" s="15">
        <f t="shared" si="2"/>
        <v>201</v>
      </c>
      <c r="D44" s="15">
        <f t="shared" si="2"/>
        <v>2</v>
      </c>
    </row>
    <row r="45" spans="1:4">
      <c r="A45" s="22" t="str">
        <f t="shared" si="1"/>
        <v>1160_116</v>
      </c>
      <c r="B45" s="15">
        <f t="shared" si="2"/>
        <v>1160</v>
      </c>
      <c r="C45" s="15">
        <f t="shared" si="2"/>
        <v>116</v>
      </c>
      <c r="D45" s="15">
        <f t="shared" si="2"/>
        <v>1</v>
      </c>
    </row>
    <row r="46" spans="1:4">
      <c r="A46" s="22" t="str">
        <f t="shared" si="1"/>
        <v>1160_201</v>
      </c>
      <c r="B46" s="15">
        <f t="shared" si="2"/>
        <v>1160</v>
      </c>
      <c r="C46" s="15">
        <f t="shared" si="2"/>
        <v>201</v>
      </c>
      <c r="D46" s="15">
        <f t="shared" si="2"/>
        <v>2</v>
      </c>
    </row>
    <row r="47" spans="1:4">
      <c r="A47" s="22" t="str">
        <f t="shared" si="1"/>
        <v>1170_117</v>
      </c>
      <c r="B47" s="15">
        <f t="shared" si="2"/>
        <v>1170</v>
      </c>
      <c r="C47" s="15">
        <f t="shared" si="2"/>
        <v>117</v>
      </c>
      <c r="D47" s="15">
        <f t="shared" si="2"/>
        <v>1</v>
      </c>
    </row>
    <row r="48" spans="1:4">
      <c r="A48" s="22" t="str">
        <f t="shared" si="1"/>
        <v>1170_201</v>
      </c>
      <c r="B48" s="15">
        <f t="shared" si="2"/>
        <v>1170</v>
      </c>
      <c r="C48" s="15">
        <f t="shared" si="2"/>
        <v>201</v>
      </c>
      <c r="D48" s="15">
        <f t="shared" si="2"/>
        <v>2</v>
      </c>
    </row>
    <row r="49" spans="1:4">
      <c r="A49" s="22" t="str">
        <f t="shared" si="1"/>
        <v>1171_114</v>
      </c>
      <c r="B49" s="15">
        <f t="shared" si="2"/>
        <v>1171</v>
      </c>
      <c r="C49" s="15">
        <f t="shared" si="2"/>
        <v>114</v>
      </c>
      <c r="D49" s="15">
        <f t="shared" si="2"/>
        <v>1</v>
      </c>
    </row>
    <row r="50" spans="1:4">
      <c r="A50" s="22" t="str">
        <f t="shared" si="1"/>
        <v>1171_201</v>
      </c>
      <c r="B50" s="15">
        <f t="shared" si="2"/>
        <v>1171</v>
      </c>
      <c r="C50" s="15">
        <f t="shared" si="2"/>
        <v>201</v>
      </c>
      <c r="D50" s="15">
        <f t="shared" si="2"/>
        <v>2</v>
      </c>
    </row>
    <row r="51" spans="1:4">
      <c r="A51" s="22" t="str">
        <f t="shared" si="1"/>
        <v>1172_122</v>
      </c>
      <c r="B51" s="15">
        <f t="shared" si="2"/>
        <v>1172</v>
      </c>
      <c r="C51" s="15">
        <f t="shared" si="2"/>
        <v>122</v>
      </c>
      <c r="D51" s="15">
        <f t="shared" si="2"/>
        <v>1</v>
      </c>
    </row>
    <row r="52" spans="1:4">
      <c r="A52" s="22" t="str">
        <f t="shared" si="1"/>
        <v>1172_201</v>
      </c>
      <c r="B52" s="15">
        <f t="shared" si="2"/>
        <v>1172</v>
      </c>
      <c r="C52" s="15">
        <f t="shared" si="2"/>
        <v>201</v>
      </c>
      <c r="D52" s="15">
        <f t="shared" si="2"/>
        <v>2</v>
      </c>
    </row>
    <row r="53" spans="1:4">
      <c r="A53" s="22" t="str">
        <f t="shared" si="1"/>
        <v>1173_123</v>
      </c>
      <c r="B53" s="15">
        <f t="shared" si="2"/>
        <v>1173</v>
      </c>
      <c r="C53" s="15">
        <f t="shared" si="2"/>
        <v>123</v>
      </c>
      <c r="D53" s="15">
        <f t="shared" si="2"/>
        <v>1</v>
      </c>
    </row>
    <row r="54" spans="1:4">
      <c r="A54" s="22" t="str">
        <f t="shared" si="1"/>
        <v>1173_201</v>
      </c>
      <c r="B54" s="15">
        <f t="shared" si="2"/>
        <v>1173</v>
      </c>
      <c r="C54" s="15">
        <f t="shared" si="2"/>
        <v>201</v>
      </c>
      <c r="D54" s="15">
        <f t="shared" si="2"/>
        <v>2</v>
      </c>
    </row>
    <row r="55" spans="1:4">
      <c r="A55" s="22" t="str">
        <f t="shared" si="1"/>
        <v>1174_124</v>
      </c>
      <c r="B55" s="15">
        <f t="shared" si="2"/>
        <v>1174</v>
      </c>
      <c r="C55" s="15">
        <f t="shared" si="2"/>
        <v>124</v>
      </c>
      <c r="D55" s="15">
        <f t="shared" si="2"/>
        <v>1</v>
      </c>
    </row>
    <row r="56" spans="1:4">
      <c r="A56" s="22" t="str">
        <f t="shared" si="1"/>
        <v>1174_201</v>
      </c>
      <c r="B56" s="15">
        <f t="shared" si="2"/>
        <v>1174</v>
      </c>
      <c r="C56" s="15">
        <f t="shared" si="2"/>
        <v>201</v>
      </c>
      <c r="D56" s="15">
        <f t="shared" si="2"/>
        <v>2</v>
      </c>
    </row>
    <row r="57" spans="1:4">
      <c r="A57"/>
      <c r="B57"/>
      <c r="C57"/>
      <c r="D57"/>
    </row>
    <row r="58" spans="1:4">
      <c r="A58"/>
      <c r="B58"/>
      <c r="C58"/>
      <c r="D58"/>
    </row>
    <row r="59" spans="1:4">
      <c r="A59"/>
      <c r="B59"/>
      <c r="C59"/>
      <c r="D59"/>
    </row>
    <row r="60" spans="1:4">
      <c r="A60"/>
      <c r="B60"/>
      <c r="C60"/>
      <c r="D60"/>
    </row>
    <row r="61" spans="1:4">
      <c r="A61"/>
      <c r="B61"/>
      <c r="C61"/>
      <c r="D61"/>
    </row>
    <row r="62" spans="1:4">
      <c r="A62"/>
      <c r="B62"/>
      <c r="C62"/>
      <c r="D62"/>
    </row>
    <row r="63" spans="1:4">
      <c r="A63"/>
      <c r="B63"/>
      <c r="C63"/>
      <c r="D63"/>
    </row>
    <row r="64" spans="1:4">
      <c r="A64"/>
      <c r="B64"/>
      <c r="C64"/>
      <c r="D64"/>
    </row>
    <row r="65" spans="1:4">
      <c r="A65"/>
      <c r="B65"/>
      <c r="C65"/>
      <c r="D65"/>
    </row>
    <row r="66" spans="1:4">
      <c r="A66"/>
      <c r="B66"/>
      <c r="C66"/>
      <c r="D66"/>
    </row>
    <row r="67" spans="1:4">
      <c r="A67"/>
      <c r="B67"/>
      <c r="C67"/>
      <c r="D67"/>
    </row>
    <row r="68" spans="1:4">
      <c r="A68"/>
      <c r="B68"/>
      <c r="C68"/>
      <c r="D68"/>
    </row>
    <row r="69" spans="1:4">
      <c r="A69"/>
      <c r="B69"/>
      <c r="C69"/>
      <c r="D69"/>
    </row>
    <row r="70" spans="1:4">
      <c r="A70"/>
      <c r="B70"/>
      <c r="C70"/>
      <c r="D70"/>
    </row>
    <row r="71" spans="1:4">
      <c r="A71"/>
      <c r="B71"/>
      <c r="C71"/>
      <c r="D71"/>
    </row>
    <row r="72" spans="1:4">
      <c r="A72"/>
      <c r="B72"/>
      <c r="C72"/>
      <c r="D72"/>
    </row>
    <row r="73" spans="1:4">
      <c r="A73"/>
      <c r="B73"/>
      <c r="C73"/>
      <c r="D73"/>
    </row>
    <row r="74" spans="1:4">
      <c r="A74"/>
      <c r="B74"/>
      <c r="C74"/>
      <c r="D74"/>
    </row>
    <row r="75" spans="1:4">
      <c r="A75"/>
      <c r="B75"/>
      <c r="C75"/>
      <c r="D75"/>
    </row>
    <row r="76" spans="1:4">
      <c r="A76"/>
      <c r="B76"/>
      <c r="C76"/>
      <c r="D76"/>
    </row>
    <row r="77" spans="1:4">
      <c r="A77"/>
      <c r="B77"/>
      <c r="C77"/>
      <c r="D77"/>
    </row>
    <row r="78" spans="1:4">
      <c r="A78"/>
      <c r="B78"/>
      <c r="C78"/>
      <c r="D78"/>
    </row>
    <row r="79" spans="1:4">
      <c r="A79"/>
      <c r="B79"/>
      <c r="C79"/>
      <c r="D79"/>
    </row>
    <row r="80" spans="1:4">
      <c r="A80"/>
      <c r="B80"/>
      <c r="C80"/>
      <c r="D80"/>
    </row>
    <row r="81" spans="1:4">
      <c r="A81"/>
      <c r="B81"/>
      <c r="C81"/>
      <c r="D81"/>
    </row>
    <row r="82" spans="1:4">
      <c r="A82"/>
      <c r="B82"/>
      <c r="C82"/>
      <c r="D82"/>
    </row>
    <row r="83" spans="1:4">
      <c r="A83"/>
      <c r="B83"/>
      <c r="C83"/>
      <c r="D83"/>
    </row>
    <row r="84" spans="1:4">
      <c r="A84"/>
      <c r="B84"/>
      <c r="C84"/>
      <c r="D84"/>
    </row>
    <row r="85" spans="1:4">
      <c r="A85"/>
      <c r="B85"/>
      <c r="C85"/>
      <c r="D85"/>
    </row>
    <row r="86" spans="1:4">
      <c r="A86"/>
      <c r="B86"/>
      <c r="C86"/>
      <c r="D86"/>
    </row>
    <row r="87" spans="1:4">
      <c r="A87"/>
      <c r="B87"/>
      <c r="C87"/>
      <c r="D87"/>
    </row>
    <row r="88" spans="1:4">
      <c r="A88"/>
      <c r="B88"/>
      <c r="C88"/>
      <c r="D88"/>
    </row>
    <row r="89" spans="1:4">
      <c r="A89"/>
      <c r="B89"/>
      <c r="C89"/>
      <c r="D89"/>
    </row>
    <row r="90" spans="1:4">
      <c r="A90"/>
      <c r="B90"/>
      <c r="C90"/>
      <c r="D90"/>
    </row>
    <row r="91" spans="1:4">
      <c r="A91"/>
      <c r="B91"/>
      <c r="C91"/>
      <c r="D91"/>
    </row>
    <row r="92" spans="1:4">
      <c r="A92"/>
      <c r="B92"/>
      <c r="C92"/>
      <c r="D92"/>
    </row>
    <row r="93" spans="1:4">
      <c r="A93"/>
      <c r="B93"/>
      <c r="C93"/>
      <c r="D93"/>
    </row>
    <row r="94" spans="1:4">
      <c r="A94"/>
      <c r="B94"/>
      <c r="C94"/>
      <c r="D94"/>
    </row>
    <row r="95" spans="1:4">
      <c r="A95"/>
      <c r="B95"/>
      <c r="C95"/>
      <c r="D95"/>
    </row>
    <row r="96" spans="1:4">
      <c r="A96"/>
      <c r="B96"/>
      <c r="C96"/>
      <c r="D96"/>
    </row>
    <row r="97" spans="1:4">
      <c r="A97"/>
      <c r="B97"/>
      <c r="C97"/>
      <c r="D97"/>
    </row>
    <row r="98" spans="1:4">
      <c r="A98"/>
      <c r="B98"/>
      <c r="C98"/>
      <c r="D98"/>
    </row>
    <row r="99" spans="1:4">
      <c r="A99"/>
      <c r="B99"/>
      <c r="C99"/>
      <c r="D99"/>
    </row>
    <row r="100" spans="1:4">
      <c r="A100"/>
      <c r="B100"/>
      <c r="C100"/>
      <c r="D100"/>
    </row>
    <row r="101" spans="1:4">
      <c r="A101"/>
      <c r="B101"/>
      <c r="C101"/>
      <c r="D101"/>
    </row>
    <row r="102" spans="1:4">
      <c r="A102"/>
      <c r="B102"/>
      <c r="C102"/>
      <c r="D102"/>
    </row>
    <row r="103" spans="1:4">
      <c r="A103"/>
      <c r="B103"/>
      <c r="C103"/>
      <c r="D103"/>
    </row>
    <row r="104" spans="1:4">
      <c r="A104"/>
      <c r="B104"/>
      <c r="C104"/>
      <c r="D104"/>
    </row>
    <row r="105" spans="1:4">
      <c r="A105"/>
      <c r="B105"/>
      <c r="C105"/>
      <c r="D105"/>
    </row>
    <row r="106" spans="1:4">
      <c r="A106"/>
      <c r="B106"/>
      <c r="C106"/>
      <c r="D106"/>
    </row>
    <row r="107" spans="1:4">
      <c r="A107"/>
      <c r="B107"/>
      <c r="C107"/>
      <c r="D107"/>
    </row>
    <row r="108" spans="1:4">
      <c r="A108"/>
      <c r="B108"/>
      <c r="C108"/>
      <c r="D108"/>
    </row>
    <row r="109" spans="1:4">
      <c r="A109"/>
      <c r="B109"/>
      <c r="C109"/>
      <c r="D109"/>
    </row>
    <row r="110" spans="1:4">
      <c r="A110"/>
      <c r="B110"/>
      <c r="C110"/>
      <c r="D110"/>
    </row>
    <row r="111" spans="1:4">
      <c r="A111"/>
      <c r="B111"/>
      <c r="C111"/>
      <c r="D111"/>
    </row>
    <row r="112" spans="1:4">
      <c r="A112"/>
      <c r="B112"/>
      <c r="C112"/>
      <c r="D112"/>
    </row>
    <row r="113" spans="1:4">
      <c r="A113"/>
      <c r="B113"/>
      <c r="C113"/>
      <c r="D113"/>
    </row>
    <row r="114" spans="1:4">
      <c r="A114"/>
      <c r="B114"/>
      <c r="C114"/>
      <c r="D114"/>
    </row>
    <row r="115" spans="1:4">
      <c r="A115"/>
      <c r="B115"/>
      <c r="C115"/>
      <c r="D115"/>
    </row>
    <row r="116" spans="1:4">
      <c r="A116"/>
      <c r="B116"/>
      <c r="C116"/>
      <c r="D116"/>
    </row>
    <row r="117" spans="1:4">
      <c r="A117"/>
      <c r="B117"/>
      <c r="C117"/>
      <c r="D117"/>
    </row>
    <row r="118" spans="1:4">
      <c r="A118"/>
      <c r="B118"/>
      <c r="C118"/>
      <c r="D118"/>
    </row>
    <row r="119" spans="1:4">
      <c r="A119"/>
      <c r="B119"/>
      <c r="C119"/>
      <c r="D119"/>
    </row>
    <row r="120" spans="1:4">
      <c r="A120"/>
      <c r="B120"/>
      <c r="C120"/>
      <c r="D120"/>
    </row>
    <row r="121" spans="1:4">
      <c r="A121"/>
      <c r="B121"/>
      <c r="C121"/>
      <c r="D121"/>
    </row>
    <row r="122" spans="1:4">
      <c r="A122"/>
      <c r="B122"/>
      <c r="C122"/>
      <c r="D122"/>
    </row>
    <row r="123" spans="1:4">
      <c r="A123"/>
      <c r="B123"/>
      <c r="C123"/>
      <c r="D123"/>
    </row>
    <row r="124" spans="1:4">
      <c r="A124"/>
      <c r="B124"/>
      <c r="C124"/>
      <c r="D124"/>
    </row>
    <row r="125" spans="1:4">
      <c r="A125"/>
      <c r="B125"/>
      <c r="C125"/>
      <c r="D125"/>
    </row>
    <row r="126" spans="1:4">
      <c r="A126"/>
      <c r="B126"/>
      <c r="C126"/>
      <c r="D126"/>
    </row>
    <row r="127" spans="1:4">
      <c r="A127"/>
      <c r="B127"/>
      <c r="C127"/>
      <c r="D127"/>
    </row>
    <row r="128" spans="1:4">
      <c r="A128"/>
      <c r="B128"/>
      <c r="C128"/>
      <c r="D128"/>
    </row>
    <row r="129" spans="1:4">
      <c r="A129"/>
      <c r="B129"/>
      <c r="C129"/>
      <c r="D129"/>
    </row>
    <row r="130" spans="1:4">
      <c r="A130"/>
      <c r="B130"/>
      <c r="C130"/>
      <c r="D130"/>
    </row>
    <row r="131" spans="1:4">
      <c r="A131"/>
      <c r="B131"/>
      <c r="C131"/>
      <c r="D131"/>
    </row>
    <row r="132" spans="1:4">
      <c r="A132"/>
      <c r="B132"/>
      <c r="C132"/>
      <c r="D132"/>
    </row>
    <row r="133" spans="1:4">
      <c r="A133"/>
      <c r="B133"/>
      <c r="C133"/>
      <c r="D133"/>
    </row>
    <row r="134" spans="1:4">
      <c r="A134"/>
      <c r="B134"/>
      <c r="C134"/>
      <c r="D134"/>
    </row>
    <row r="135" spans="1:4">
      <c r="A135"/>
      <c r="B135"/>
      <c r="C135"/>
      <c r="D135"/>
    </row>
    <row r="136" spans="1:4">
      <c r="A136"/>
      <c r="B136"/>
      <c r="C136"/>
      <c r="D136"/>
    </row>
    <row r="137" spans="1:4">
      <c r="A137"/>
      <c r="B137"/>
      <c r="C137"/>
      <c r="D137"/>
    </row>
    <row r="138" spans="1:4">
      <c r="A138"/>
      <c r="B138"/>
      <c r="C138"/>
      <c r="D138"/>
    </row>
    <row r="139" spans="1:4">
      <c r="A139"/>
      <c r="B139"/>
      <c r="C139"/>
      <c r="D139"/>
    </row>
    <row r="140" spans="1:4">
      <c r="A140"/>
      <c r="B140"/>
      <c r="C140"/>
      <c r="D140"/>
    </row>
    <row r="141" spans="1:4">
      <c r="A141"/>
      <c r="B141"/>
      <c r="C141"/>
      <c r="D141"/>
    </row>
    <row r="142" spans="1:4">
      <c r="A142"/>
      <c r="B142"/>
      <c r="C142"/>
      <c r="D142"/>
    </row>
    <row r="143" spans="1:4">
      <c r="A143"/>
      <c r="B143"/>
      <c r="C143"/>
      <c r="D143"/>
    </row>
    <row r="144" spans="1:4">
      <c r="A144"/>
      <c r="B144"/>
      <c r="C144"/>
      <c r="D144"/>
    </row>
    <row r="145" spans="1:4">
      <c r="A145"/>
      <c r="B145"/>
      <c r="C145"/>
      <c r="D145"/>
    </row>
    <row r="146" spans="1:4">
      <c r="A146"/>
      <c r="B146"/>
      <c r="C146"/>
      <c r="D146"/>
    </row>
    <row r="147" spans="1:4">
      <c r="A147"/>
      <c r="B147"/>
      <c r="C147"/>
      <c r="D147"/>
    </row>
    <row r="148" spans="1:4">
      <c r="A148"/>
      <c r="B148"/>
      <c r="C148"/>
      <c r="D148"/>
    </row>
    <row r="149" spans="1:4">
      <c r="A149"/>
      <c r="B149"/>
      <c r="C149"/>
      <c r="D149"/>
    </row>
    <row r="150" spans="1:4">
      <c r="A150"/>
      <c r="B150"/>
      <c r="C150"/>
      <c r="D150"/>
    </row>
    <row r="151" spans="1:4">
      <c r="A151"/>
      <c r="B151"/>
      <c r="C151"/>
      <c r="D151"/>
    </row>
    <row r="152" spans="1:4">
      <c r="A152"/>
      <c r="B152"/>
      <c r="C152"/>
      <c r="D152"/>
    </row>
    <row r="153" spans="1:4">
      <c r="A153"/>
      <c r="B153"/>
      <c r="C153"/>
      <c r="D153"/>
    </row>
    <row r="154" spans="1:4">
      <c r="A154"/>
      <c r="B154"/>
      <c r="C154"/>
      <c r="D154"/>
    </row>
    <row r="155" spans="1:4">
      <c r="A155"/>
      <c r="B155"/>
      <c r="C155"/>
      <c r="D155"/>
    </row>
    <row r="156" spans="1:4">
      <c r="A156"/>
      <c r="B156"/>
      <c r="C156"/>
      <c r="D156"/>
    </row>
    <row r="157" spans="1:4">
      <c r="A157"/>
      <c r="B157"/>
      <c r="C157"/>
      <c r="D157"/>
    </row>
    <row r="158" spans="1:4">
      <c r="A158"/>
      <c r="B158"/>
      <c r="C158"/>
      <c r="D158"/>
    </row>
    <row r="159" spans="1:4">
      <c r="A159"/>
      <c r="B159"/>
      <c r="C159"/>
      <c r="D159"/>
    </row>
    <row r="160" spans="1:4">
      <c r="A160"/>
      <c r="B160"/>
      <c r="C160"/>
      <c r="D160"/>
    </row>
    <row r="161" spans="1:4">
      <c r="A161"/>
      <c r="B161"/>
      <c r="C161"/>
      <c r="D161"/>
    </row>
    <row r="162" spans="1:4">
      <c r="A162"/>
      <c r="B162"/>
      <c r="C162"/>
      <c r="D162"/>
    </row>
    <row r="163" spans="1:4">
      <c r="A163"/>
      <c r="B163"/>
      <c r="C163"/>
      <c r="D163"/>
    </row>
    <row r="164" spans="1:4">
      <c r="A164"/>
      <c r="B164"/>
      <c r="C164"/>
      <c r="D164"/>
    </row>
    <row r="165" spans="1:4">
      <c r="A165"/>
      <c r="B165"/>
      <c r="C165"/>
      <c r="D165"/>
    </row>
    <row r="166" spans="1:4">
      <c r="A166"/>
      <c r="B166"/>
      <c r="C166"/>
      <c r="D166"/>
    </row>
    <row r="167" spans="1:4">
      <c r="A167"/>
      <c r="B167"/>
      <c r="C167"/>
      <c r="D167"/>
    </row>
    <row r="168" spans="1:4">
      <c r="A168"/>
      <c r="B168"/>
      <c r="C168"/>
      <c r="D168"/>
    </row>
    <row r="169" spans="1:4">
      <c r="A169"/>
      <c r="B169"/>
      <c r="C169"/>
      <c r="D169"/>
    </row>
    <row r="170" spans="1:4">
      <c r="A170"/>
      <c r="B170"/>
      <c r="C170"/>
      <c r="D170"/>
    </row>
    <row r="171" spans="1:4">
      <c r="A171"/>
      <c r="B171"/>
      <c r="C171"/>
      <c r="D171"/>
    </row>
    <row r="172" spans="1:4">
      <c r="A172"/>
      <c r="B172"/>
      <c r="C172"/>
      <c r="D172"/>
    </row>
    <row r="173" spans="1:4">
      <c r="A173"/>
      <c r="B173"/>
      <c r="C173"/>
      <c r="D173"/>
    </row>
    <row r="174" spans="1:4">
      <c r="A174"/>
      <c r="B174"/>
      <c r="C174"/>
      <c r="D174"/>
    </row>
    <row r="175" spans="1:4">
      <c r="A175"/>
      <c r="B175"/>
      <c r="C175"/>
      <c r="D175"/>
    </row>
    <row r="176" spans="1:4">
      <c r="A176"/>
      <c r="B176"/>
      <c r="C176"/>
      <c r="D176"/>
    </row>
    <row r="177" spans="1:4">
      <c r="A177"/>
      <c r="B177"/>
      <c r="C177"/>
      <c r="D177"/>
    </row>
    <row r="178" spans="1:4">
      <c r="A178"/>
      <c r="B178"/>
      <c r="C178"/>
      <c r="D178"/>
    </row>
    <row r="179" spans="1:4">
      <c r="A179"/>
      <c r="B179"/>
      <c r="C179"/>
      <c r="D179"/>
    </row>
    <row r="180" spans="1:4">
      <c r="A180"/>
      <c r="B180"/>
      <c r="C180"/>
      <c r="D180"/>
    </row>
    <row r="181" spans="1:4">
      <c r="A181"/>
      <c r="B181"/>
      <c r="C181"/>
      <c r="D181"/>
    </row>
    <row r="182" spans="1:4">
      <c r="A182"/>
      <c r="B182"/>
      <c r="C182"/>
      <c r="D182"/>
    </row>
    <row r="183" spans="1:4">
      <c r="A183"/>
      <c r="B183"/>
      <c r="C183"/>
      <c r="D183"/>
    </row>
    <row r="184" spans="1:4">
      <c r="A184"/>
      <c r="B184"/>
      <c r="C184"/>
      <c r="D184"/>
    </row>
    <row r="185" spans="1:4">
      <c r="A185"/>
      <c r="B185"/>
      <c r="C185"/>
      <c r="D185"/>
    </row>
    <row r="186" spans="1:4">
      <c r="A186"/>
      <c r="B186"/>
      <c r="C186"/>
      <c r="D186"/>
    </row>
    <row r="187" spans="1:4">
      <c r="A187"/>
      <c r="B187"/>
      <c r="C187"/>
      <c r="D187"/>
    </row>
    <row r="188" spans="1:4">
      <c r="A188"/>
      <c r="B188"/>
      <c r="C188"/>
      <c r="D188"/>
    </row>
    <row r="189" spans="1:4">
      <c r="A189"/>
      <c r="B189"/>
      <c r="C189"/>
      <c r="D189"/>
    </row>
    <row r="190" spans="1:4">
      <c r="A190"/>
      <c r="B190"/>
      <c r="C190"/>
      <c r="D190"/>
    </row>
    <row r="191" spans="1:4">
      <c r="A191"/>
      <c r="B191"/>
      <c r="C191"/>
      <c r="D191"/>
    </row>
    <row r="192" spans="1:4">
      <c r="A192"/>
      <c r="B192"/>
      <c r="C192"/>
      <c r="D192"/>
    </row>
    <row r="193" spans="1:4">
      <c r="A193"/>
      <c r="B193"/>
      <c r="C193"/>
      <c r="D193"/>
    </row>
    <row r="194" spans="1:4">
      <c r="A194"/>
      <c r="B194"/>
      <c r="C194"/>
      <c r="D194"/>
    </row>
    <row r="195" spans="1:4">
      <c r="A195"/>
      <c r="B195"/>
      <c r="C195"/>
      <c r="D195"/>
    </row>
    <row r="196" spans="1:4">
      <c r="A196"/>
      <c r="B196"/>
      <c r="C196"/>
      <c r="D196"/>
    </row>
    <row r="197" spans="1:4">
      <c r="A197"/>
      <c r="B197"/>
      <c r="C197"/>
      <c r="D197"/>
    </row>
    <row r="198" spans="1:4">
      <c r="A198"/>
      <c r="B198"/>
      <c r="C198"/>
      <c r="D198"/>
    </row>
    <row r="199" spans="1:4">
      <c r="A199"/>
      <c r="B199"/>
      <c r="C199"/>
      <c r="D199"/>
    </row>
    <row r="200" spans="1:4">
      <c r="A200"/>
      <c r="B200"/>
      <c r="C200"/>
      <c r="D200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C201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10.85546875" style="18" bestFit="1" customWidth="1"/>
    <col min="2" max="2" width="7.42578125" style="18" bestFit="1" customWidth="1"/>
    <col min="3" max="3" width="11.42578125" style="18" bestFit="1" customWidth="1"/>
    <col min="4" max="16384" width="13" style="16"/>
  </cols>
  <sheetData>
    <row r="1" spans="1:3" s="13" customFormat="1">
      <c r="A1" s="13">
        <f>MATCH(A2,INDIRECT(C1&amp;"!A:A"))-2</f>
        <v>-1</v>
      </c>
      <c r="B1" s="14" t="str">
        <f>"$"&amp;2+$A$1&amp;":$"&amp;2+$A$1</f>
        <v>$1:$1</v>
      </c>
      <c r="C1" s="13" t="str">
        <f>SUBSTITUTE(RIGHT(CELL("filename",$C$1),LEN(CELL("filename",$C$1))-FIND("]",CELL("filename",$C$1))),".csv","")</f>
        <v>gacha_types</v>
      </c>
    </row>
    <row r="2" spans="1:3" s="20" customFormat="1">
      <c r="A2" s="19" t="s">
        <v>26</v>
      </c>
      <c r="B2" s="19" t="s">
        <v>29</v>
      </c>
      <c r="C2" s="19" t="s">
        <v>31</v>
      </c>
    </row>
    <row r="3" spans="1:3">
      <c r="A3" s="15">
        <f>INDIRECT(ADDRESS(ROW()+$A$1,COLUMN(),1,TRUE,$C$1))</f>
        <v>100</v>
      </c>
      <c r="B3" s="15" t="str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polygon</v>
      </c>
      <c r="C3" s="15">
        <f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5</v>
      </c>
    </row>
    <row r="4" spans="1:3">
      <c r="A4" s="15">
        <f>INDIRECT(ADDRESS(ROW()+$A$1,COLUMN(),1,TRUE,$C$1))</f>
        <v>200</v>
      </c>
      <c r="B4" s="15" t="str">
        <f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link</v>
      </c>
      <c r="C4" s="15">
        <f>VLOOKUP($A4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100</v>
      </c>
    </row>
    <row r="5" spans="1:3">
      <c r="A5" s="17"/>
      <c r="B5" s="17"/>
      <c r="C5" s="17"/>
    </row>
    <row r="6" spans="1:3">
      <c r="A6"/>
      <c r="B6"/>
      <c r="C6"/>
    </row>
    <row r="7" spans="1:3">
      <c r="A7"/>
      <c r="B7"/>
      <c r="C7"/>
    </row>
    <row r="8" spans="1:3">
      <c r="A8"/>
      <c r="B8"/>
      <c r="C8"/>
    </row>
    <row r="9" spans="1:3">
      <c r="A9"/>
      <c r="B9"/>
      <c r="C9"/>
    </row>
    <row r="10" spans="1:3">
      <c r="A10"/>
      <c r="B10"/>
      <c r="C10"/>
    </row>
    <row r="11" spans="1:3">
      <c r="A11"/>
      <c r="B11"/>
      <c r="C11"/>
    </row>
    <row r="12" spans="1:3">
      <c r="A12"/>
      <c r="B12"/>
      <c r="C12"/>
    </row>
    <row r="13" spans="1:3">
      <c r="A13"/>
      <c r="B13"/>
      <c r="C13"/>
    </row>
    <row r="14" spans="1:3">
      <c r="A14"/>
      <c r="B14"/>
      <c r="C14"/>
    </row>
    <row r="15" spans="1:3">
      <c r="A15"/>
      <c r="B15"/>
      <c r="C15"/>
    </row>
    <row r="16" spans="1:3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C201"/>
  <sheetViews>
    <sheetView showGridLines="0" workbookViewId="0">
      <pane ySplit="2" topLeftCell="A3" activePane="bottomLeft" state="frozen"/>
      <selection pane="bottomLeft"/>
    </sheetView>
  </sheetViews>
  <sheetFormatPr baseColWidth="12" defaultColWidth="13" defaultRowHeight="18" x14ac:dyDescent="0"/>
  <cols>
    <col min="1" max="1" width="4.28515625" style="18" bestFit="1" customWidth="1"/>
    <col min="2" max="2" width="7.42578125" style="18" bestFit="1" customWidth="1"/>
    <col min="3" max="3" width="16.42578125" style="18" bestFit="1" customWidth="1"/>
    <col min="4" max="16384" width="13" style="16"/>
  </cols>
  <sheetData>
    <row r="1" spans="1:3" s="13" customFormat="1">
      <c r="A1" s="13">
        <f>MATCH(A2,INDIRECT(C1&amp;"!A:A"))-2</f>
        <v>-1</v>
      </c>
      <c r="B1" s="14" t="str">
        <f>"$"&amp;2+$A$1&amp;":$"&amp;2+$A$1</f>
        <v>$1:$1</v>
      </c>
      <c r="C1" s="13" t="str">
        <f>SUBSTITUTE(RIGHT(CELL("filename",$C$1),LEN(CELL("filename",$C$1))-FIND("]",CELL("filename",$C$1))),".csv","")</f>
        <v>gacha_rarity_bump</v>
      </c>
    </row>
    <row r="2" spans="1:3" s="20" customFormat="1">
      <c r="A2" s="19" t="s">
        <v>0</v>
      </c>
      <c r="B2" s="19" t="s">
        <v>19</v>
      </c>
      <c r="C2" s="19" t="s">
        <v>15</v>
      </c>
    </row>
    <row r="3" spans="1:3">
      <c r="A3" s="15">
        <f>INDIRECT(ADDRESS(ROW()+$A$1,COLUMN(),1,TRUE,$C$1))</f>
        <v>4</v>
      </c>
      <c r="B3" s="15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0</v>
      </c>
      <c r="C3" s="15">
        <f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50</v>
      </c>
    </row>
    <row r="4" spans="1:3">
      <c r="A4" s="15">
        <f>INDIRECT(ADDRESS(ROW()+$A$1,COLUMN(),1,TRUE,$C$1))</f>
        <v>5</v>
      </c>
      <c r="B4" s="15">
        <f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0</v>
      </c>
      <c r="C4" s="15">
        <f>VLOOKUP($A4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50</v>
      </c>
    </row>
    <row r="5" spans="1:3">
      <c r="A5" s="17"/>
      <c r="B5" s="17"/>
      <c r="C5" s="17"/>
    </row>
    <row r="6" spans="1:3">
      <c r="A6"/>
      <c r="B6"/>
      <c r="C6"/>
    </row>
    <row r="7" spans="1:3">
      <c r="A7"/>
      <c r="B7"/>
      <c r="C7"/>
    </row>
    <row r="8" spans="1:3">
      <c r="A8"/>
      <c r="B8"/>
      <c r="C8"/>
    </row>
    <row r="9" spans="1:3">
      <c r="A9"/>
      <c r="B9"/>
      <c r="C9"/>
    </row>
    <row r="10" spans="1:3">
      <c r="A10"/>
      <c r="B10"/>
      <c r="C10"/>
    </row>
    <row r="11" spans="1:3">
      <c r="A11"/>
      <c r="B11"/>
      <c r="C11"/>
    </row>
    <row r="12" spans="1:3">
      <c r="A12"/>
      <c r="B12"/>
      <c r="C12"/>
    </row>
    <row r="13" spans="1:3">
      <c r="A13"/>
      <c r="B13"/>
      <c r="C13"/>
    </row>
    <row r="14" spans="1:3">
      <c r="A14"/>
      <c r="B14"/>
      <c r="C14"/>
    </row>
    <row r="15" spans="1:3">
      <c r="A15"/>
      <c r="B15"/>
      <c r="C15"/>
    </row>
    <row r="16" spans="1:3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gachas</vt:lpstr>
      <vt:lpstr>gacha_schedules</vt:lpstr>
      <vt:lpstr>gacha_layouts</vt:lpstr>
      <vt:lpstr>gacha_types</vt:lpstr>
      <vt:lpstr>gacha_rarity_bump</vt:lpstr>
      <vt:lpstr>gachas.csv</vt:lpstr>
      <vt:lpstr>gacha_schedules.csv</vt:lpstr>
      <vt:lpstr>gachas_i18n.csv</vt:lpstr>
      <vt:lpstr>gacha_layouts.csv</vt:lpstr>
      <vt:lpstr>gacha_types.csv</vt:lpstr>
      <vt:lpstr>gacha_rarity_bump.csv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菱川 亜美</cp:lastModifiedBy>
  <dcterms:created xsi:type="dcterms:W3CDTF">2015-04-01T12:34:09Z</dcterms:created>
  <dcterms:modified xsi:type="dcterms:W3CDTF">2015-10-05T12:54:06Z</dcterms:modified>
</cp:coreProperties>
</file>