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518" codeName="{00000000-0000-0000-0000-000000000000}"/>
  <workbookPr codeName="ThisWorkbook" autoCompressPictures="0"/>
  <bookViews>
    <workbookView xWindow="1120" yWindow="2540" windowWidth="27760" windowHeight="1666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" sheetId="19" r:id="rId9"/>
  </sheets>
  <externalReferences>
    <externalReference r:id="rId10"/>
    <externalReference r:id="rId11"/>
    <externalReference r:id="rId12"/>
    <externalReference r:id="rId13"/>
    <externalReference r:id="rId14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stage_hints!$C$1:$N$2</definedName>
    <definedName name="Excel_BuiltIn__FilterDatabase_6_1" localSheetId="4">[1]unit_skills!#REF!</definedName>
    <definedName name="Excel_BuiltIn__FilterDatabase_6_1" localSheetId="6">[1]unit_skills!#REF!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7" i="11" l="1"/>
  <c r="O26" i="9"/>
  <c r="N26" i="9"/>
  <c r="M26" i="9"/>
  <c r="L26" i="9"/>
  <c r="K26" i="9"/>
  <c r="J26" i="9"/>
  <c r="I26" i="9"/>
  <c r="H26" i="9"/>
  <c r="G26" i="9"/>
  <c r="E26" i="9"/>
  <c r="D26" i="9"/>
  <c r="A26" i="9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O20" i="9"/>
  <c r="N20" i="9"/>
  <c r="M20" i="9"/>
  <c r="L20" i="9"/>
  <c r="K20" i="9"/>
  <c r="J20" i="9"/>
  <c r="I20" i="9"/>
  <c r="H20" i="9"/>
  <c r="G20" i="9"/>
  <c r="E20" i="9"/>
  <c r="D20" i="9"/>
  <c r="A20" i="9"/>
  <c r="O23" i="9"/>
  <c r="N23" i="9"/>
  <c r="M23" i="9"/>
  <c r="L23" i="9"/>
  <c r="K23" i="9"/>
  <c r="J23" i="9"/>
  <c r="I23" i="9"/>
  <c r="H23" i="9"/>
  <c r="G23" i="9"/>
  <c r="E23" i="9"/>
  <c r="D23" i="9"/>
  <c r="A23" i="9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O28" i="9"/>
  <c r="N28" i="9"/>
  <c r="M28" i="9"/>
  <c r="L28" i="9"/>
  <c r="K28" i="9"/>
  <c r="J28" i="9"/>
  <c r="I28" i="9"/>
  <c r="H28" i="9"/>
  <c r="G28" i="9"/>
  <c r="E28" i="9"/>
  <c r="D28" i="9"/>
  <c r="A28" i="9"/>
  <c r="O25" i="9"/>
  <c r="N25" i="9"/>
  <c r="M25" i="9"/>
  <c r="L25" i="9"/>
  <c r="K25" i="9"/>
  <c r="J25" i="9"/>
  <c r="I25" i="9"/>
  <c r="H25" i="9"/>
  <c r="G25" i="9"/>
  <c r="E25" i="9"/>
  <c r="D25" i="9"/>
  <c r="A25" i="9"/>
  <c r="J18" i="11"/>
  <c r="J16" i="11"/>
  <c r="O22" i="9"/>
  <c r="N22" i="9"/>
  <c r="M22" i="9"/>
  <c r="L22" i="9"/>
  <c r="K22" i="9"/>
  <c r="J22" i="9"/>
  <c r="I22" i="9"/>
  <c r="H22" i="9"/>
  <c r="G22" i="9"/>
  <c r="E22" i="9"/>
  <c r="D22" i="9"/>
  <c r="A22" i="9"/>
  <c r="O19" i="9"/>
  <c r="N19" i="9"/>
  <c r="M19" i="9"/>
  <c r="L19" i="9"/>
  <c r="K19" i="9"/>
  <c r="J19" i="9"/>
  <c r="I19" i="9"/>
  <c r="H19" i="9"/>
  <c r="G19" i="9"/>
  <c r="E19" i="9"/>
  <c r="D19" i="9"/>
  <c r="A19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AB19" i="1"/>
  <c r="AD19" i="1"/>
  <c r="AG19" i="1"/>
  <c r="AE19" i="1"/>
  <c r="AC19" i="1"/>
  <c r="E24" i="9"/>
  <c r="V19" i="1"/>
  <c r="Q19" i="1"/>
  <c r="P19" i="1"/>
  <c r="O19" i="1"/>
  <c r="N19" i="1"/>
  <c r="M19" i="1"/>
  <c r="H19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J19" i="1"/>
  <c r="I19" i="1"/>
  <c r="D19" i="1"/>
  <c r="F19" i="1"/>
  <c r="E19" i="1"/>
  <c r="A19" i="1"/>
  <c r="P7" i="19"/>
  <c r="J7" i="19"/>
  <c r="K7" i="19"/>
  <c r="H7" i="19"/>
  <c r="G7" i="19"/>
  <c r="E7" i="19"/>
  <c r="D7" i="19"/>
  <c r="A7" i="19"/>
  <c r="J15" i="11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O29" i="9"/>
  <c r="N29" i="9"/>
  <c r="M29" i="9"/>
  <c r="L29" i="9"/>
  <c r="K29" i="9"/>
  <c r="J29" i="9"/>
  <c r="I29" i="9"/>
  <c r="H29" i="9"/>
  <c r="G29" i="9"/>
  <c r="E29" i="9"/>
  <c r="D29" i="9"/>
  <c r="A29" i="9"/>
  <c r="O27" i="9"/>
  <c r="N27" i="9"/>
  <c r="M27" i="9"/>
  <c r="L27" i="9"/>
  <c r="K27" i="9"/>
  <c r="J27" i="9"/>
  <c r="I27" i="9"/>
  <c r="H27" i="9"/>
  <c r="G27" i="9"/>
  <c r="E27" i="9"/>
  <c r="D27" i="9"/>
  <c r="A27" i="9"/>
  <c r="O24" i="9"/>
  <c r="N24" i="9"/>
  <c r="M24" i="9"/>
  <c r="L24" i="9"/>
  <c r="K24" i="9"/>
  <c r="J24" i="9"/>
  <c r="I24" i="9"/>
  <c r="H24" i="9"/>
  <c r="G24" i="9"/>
  <c r="D24" i="9"/>
  <c r="A24" i="9"/>
  <c r="O21" i="9"/>
  <c r="N21" i="9"/>
  <c r="M21" i="9"/>
  <c r="L21" i="9"/>
  <c r="K21" i="9"/>
  <c r="J21" i="9"/>
  <c r="I21" i="9"/>
  <c r="H21" i="9"/>
  <c r="G21" i="9"/>
  <c r="E21" i="9"/>
  <c r="D21" i="9"/>
  <c r="A21" i="9"/>
  <c r="O18" i="9"/>
  <c r="N18" i="9"/>
  <c r="M18" i="9"/>
  <c r="L18" i="9"/>
  <c r="K18" i="9"/>
  <c r="J18" i="9"/>
  <c r="I18" i="9"/>
  <c r="H18" i="9"/>
  <c r="G18" i="9"/>
  <c r="E18" i="9"/>
  <c r="D18" i="9"/>
  <c r="A18" i="9"/>
  <c r="O15" i="9"/>
  <c r="N15" i="9"/>
  <c r="M15" i="9"/>
  <c r="L15" i="9"/>
  <c r="K15" i="9"/>
  <c r="J15" i="9"/>
  <c r="I15" i="9"/>
  <c r="H15" i="9"/>
  <c r="G15" i="9"/>
  <c r="E15" i="9"/>
  <c r="D15" i="9"/>
  <c r="A15" i="9"/>
  <c r="Y7" i="7"/>
  <c r="E6" i="9"/>
  <c r="W7" i="7"/>
  <c r="R7" i="7"/>
  <c r="Q7" i="7"/>
  <c r="P7" i="7"/>
  <c r="O7" i="7"/>
  <c r="N7" i="7"/>
  <c r="H7" i="7"/>
  <c r="J7" i="7"/>
  <c r="I7" i="7"/>
  <c r="D7" i="7"/>
  <c r="F7" i="7"/>
  <c r="E7" i="7"/>
  <c r="A7" i="7"/>
  <c r="Y6" i="7"/>
  <c r="W6" i="7"/>
  <c r="R6" i="7"/>
  <c r="Q6" i="7"/>
  <c r="P6" i="7"/>
  <c r="O6" i="7"/>
  <c r="N6" i="7"/>
  <c r="H6" i="7"/>
  <c r="J6" i="7"/>
  <c r="I6" i="7"/>
  <c r="D6" i="7"/>
  <c r="F6" i="7"/>
  <c r="E6" i="7"/>
  <c r="A6" i="7"/>
  <c r="AD20" i="1"/>
  <c r="AG20" i="1"/>
  <c r="AE20" i="1"/>
  <c r="AC20" i="1"/>
  <c r="V20" i="1"/>
  <c r="Q20" i="1"/>
  <c r="P20" i="1"/>
  <c r="O20" i="1"/>
  <c r="N20" i="1"/>
  <c r="M20" i="1"/>
  <c r="H20" i="1"/>
  <c r="J20" i="1"/>
  <c r="I20" i="1"/>
  <c r="D20" i="1"/>
  <c r="F20" i="1"/>
  <c r="E20" i="1"/>
  <c r="A20" i="1"/>
  <c r="AB18" i="1"/>
  <c r="AD18" i="1"/>
  <c r="AG18" i="1"/>
  <c r="AE18" i="1"/>
  <c r="AC18" i="1"/>
  <c r="V18" i="1"/>
  <c r="Q18" i="1"/>
  <c r="P18" i="1"/>
  <c r="O18" i="1"/>
  <c r="N18" i="1"/>
  <c r="M18" i="1"/>
  <c r="H18" i="1"/>
  <c r="J18" i="1"/>
  <c r="I18" i="1"/>
  <c r="D18" i="1"/>
  <c r="F18" i="1"/>
  <c r="E18" i="1"/>
  <c r="A18" i="1"/>
  <c r="AB17" i="1"/>
  <c r="AD17" i="1"/>
  <c r="AG17" i="1"/>
  <c r="AE17" i="1"/>
  <c r="AC17" i="1"/>
  <c r="V17" i="1"/>
  <c r="Q17" i="1"/>
  <c r="P17" i="1"/>
  <c r="O17" i="1"/>
  <c r="N17" i="1"/>
  <c r="M17" i="1"/>
  <c r="H17" i="1"/>
  <c r="J17" i="1"/>
  <c r="I17" i="1"/>
  <c r="D17" i="1"/>
  <c r="F17" i="1"/>
  <c r="E17" i="1"/>
  <c r="A17" i="1"/>
  <c r="AB16" i="1"/>
  <c r="AD16" i="1"/>
  <c r="AG16" i="1"/>
  <c r="AE16" i="1"/>
  <c r="AC16" i="1"/>
  <c r="E2" i="9"/>
  <c r="V16" i="1"/>
  <c r="Q16" i="1"/>
  <c r="P16" i="1"/>
  <c r="O16" i="1"/>
  <c r="N16" i="1"/>
  <c r="M16" i="1"/>
  <c r="H16" i="1"/>
  <c r="J16" i="1"/>
  <c r="I16" i="1"/>
  <c r="D16" i="1"/>
  <c r="F16" i="1"/>
  <c r="E16" i="1"/>
  <c r="A16" i="1"/>
  <c r="H8" i="2"/>
  <c r="E8" i="2"/>
  <c r="D8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B8" i="2"/>
  <c r="P6" i="19"/>
  <c r="C6" i="19"/>
  <c r="J6" i="19"/>
  <c r="K6" i="19"/>
  <c r="H6" i="19"/>
  <c r="G6" i="19"/>
  <c r="E6" i="19"/>
  <c r="D6" i="19"/>
  <c r="A6" i="19"/>
  <c r="P5" i="19"/>
  <c r="C5" i="19"/>
  <c r="J5" i="19"/>
  <c r="K5" i="19"/>
  <c r="H5" i="19"/>
  <c r="G5" i="19"/>
  <c r="E5" i="19"/>
  <c r="D5" i="19"/>
  <c r="A5" i="19"/>
  <c r="P4" i="19"/>
  <c r="C4" i="19"/>
  <c r="J4" i="19"/>
  <c r="K4" i="19"/>
  <c r="H4" i="19"/>
  <c r="G4" i="19"/>
  <c r="E4" i="19"/>
  <c r="D4" i="19"/>
  <c r="A4" i="19"/>
  <c r="J8" i="11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O7" i="9"/>
  <c r="N7" i="9"/>
  <c r="M7" i="9"/>
  <c r="L7" i="9"/>
  <c r="K7" i="9"/>
  <c r="J7" i="9"/>
  <c r="I7" i="9"/>
  <c r="H7" i="9"/>
  <c r="G7" i="9"/>
  <c r="E7" i="9"/>
  <c r="D7" i="9"/>
  <c r="A7" i="9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P3" i="19"/>
  <c r="C3" i="19"/>
  <c r="J3" i="19"/>
  <c r="K3" i="19"/>
  <c r="H3" i="19"/>
  <c r="G3" i="19"/>
  <c r="E3" i="19"/>
  <c r="D3" i="19"/>
  <c r="A3" i="19"/>
  <c r="P2" i="19"/>
  <c r="J14" i="11"/>
  <c r="J13" i="11"/>
  <c r="J12" i="11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AB14" i="1"/>
  <c r="AD14" i="1"/>
  <c r="AG14" i="1"/>
  <c r="AE14" i="1"/>
  <c r="AC14" i="1"/>
  <c r="E11" i="9"/>
  <c r="V14" i="1"/>
  <c r="Q14" i="1"/>
  <c r="P14" i="1"/>
  <c r="O14" i="1"/>
  <c r="N14" i="1"/>
  <c r="M14" i="1"/>
  <c r="J14" i="1"/>
  <c r="I14" i="1"/>
  <c r="D14" i="1"/>
  <c r="F14" i="1"/>
  <c r="E14" i="1"/>
  <c r="A14" i="1"/>
  <c r="AB13" i="1"/>
  <c r="AD13" i="1"/>
  <c r="AG13" i="1"/>
  <c r="AE13" i="1"/>
  <c r="AC13" i="1"/>
  <c r="V13" i="1"/>
  <c r="Q13" i="1"/>
  <c r="P13" i="1"/>
  <c r="O13" i="1"/>
  <c r="N13" i="1"/>
  <c r="M13" i="1"/>
  <c r="J13" i="1"/>
  <c r="I13" i="1"/>
  <c r="D13" i="1"/>
  <c r="F13" i="1"/>
  <c r="E13" i="1"/>
  <c r="A13" i="1"/>
  <c r="AB12" i="1"/>
  <c r="AD12" i="1"/>
  <c r="AG12" i="1"/>
  <c r="AE12" i="1"/>
  <c r="AC12" i="1"/>
  <c r="AA12" i="1"/>
  <c r="V12" i="1"/>
  <c r="Q12" i="1"/>
  <c r="P12" i="1"/>
  <c r="O12" i="1"/>
  <c r="N12" i="1"/>
  <c r="M12" i="1"/>
  <c r="J12" i="1"/>
  <c r="I12" i="1"/>
  <c r="D12" i="1"/>
  <c r="F12" i="1"/>
  <c r="E12" i="1"/>
  <c r="A12" i="1"/>
  <c r="Y5" i="7"/>
  <c r="W5" i="7"/>
  <c r="R5" i="7"/>
  <c r="Q5" i="7"/>
  <c r="P5" i="7"/>
  <c r="O5" i="7"/>
  <c r="N5" i="7"/>
  <c r="H5" i="7"/>
  <c r="J5" i="7"/>
  <c r="I5" i="7"/>
  <c r="D5" i="7"/>
  <c r="F5" i="7"/>
  <c r="E5" i="7"/>
  <c r="A5" i="7"/>
  <c r="W4" i="7"/>
  <c r="W3" i="7"/>
  <c r="W2" i="7"/>
  <c r="J6" i="11"/>
  <c r="Y4" i="7"/>
  <c r="R4" i="7"/>
  <c r="Q4" i="7"/>
  <c r="P4" i="7"/>
  <c r="O4" i="7"/>
  <c r="N4" i="7"/>
  <c r="H4" i="7"/>
  <c r="J4" i="7"/>
  <c r="I4" i="7"/>
  <c r="D4" i="7"/>
  <c r="F4" i="7"/>
  <c r="E4" i="7"/>
  <c r="A4" i="7"/>
  <c r="Y3" i="7"/>
  <c r="R3" i="7"/>
  <c r="Q3" i="7"/>
  <c r="P3" i="7"/>
  <c r="O3" i="7"/>
  <c r="N3" i="7"/>
  <c r="H3" i="7"/>
  <c r="J3" i="7"/>
  <c r="I3" i="7"/>
  <c r="D3" i="7"/>
  <c r="F3" i="7"/>
  <c r="E3" i="7"/>
  <c r="A3" i="7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O6" i="9"/>
  <c r="N6" i="9"/>
  <c r="M6" i="9"/>
  <c r="L6" i="9"/>
  <c r="K6" i="9"/>
  <c r="J6" i="9"/>
  <c r="I6" i="9"/>
  <c r="H6" i="9"/>
  <c r="G6" i="9"/>
  <c r="D6" i="9"/>
  <c r="A6" i="9"/>
  <c r="AD8" i="1"/>
  <c r="AG8" i="1"/>
  <c r="AE8" i="1"/>
  <c r="AC8" i="1"/>
  <c r="AA8" i="1"/>
  <c r="E5" i="9"/>
  <c r="E8" i="9"/>
  <c r="V8" i="1"/>
  <c r="Q8" i="1"/>
  <c r="P8" i="1"/>
  <c r="O8" i="1"/>
  <c r="N8" i="1"/>
  <c r="M8" i="1"/>
  <c r="J8" i="1"/>
  <c r="I8" i="1"/>
  <c r="D8" i="1"/>
  <c r="F8" i="1"/>
  <c r="E8" i="1"/>
  <c r="A8" i="1"/>
  <c r="AD7" i="1"/>
  <c r="AG7" i="1"/>
  <c r="AE7" i="1"/>
  <c r="AC7" i="1"/>
  <c r="AA7" i="1"/>
  <c r="V7" i="1"/>
  <c r="Q7" i="1"/>
  <c r="P7" i="1"/>
  <c r="O7" i="1"/>
  <c r="N7" i="1"/>
  <c r="M7" i="1"/>
  <c r="J7" i="1"/>
  <c r="I7" i="1"/>
  <c r="D7" i="1"/>
  <c r="F7" i="1"/>
  <c r="E7" i="1"/>
  <c r="A7" i="1"/>
  <c r="AB5" i="1"/>
  <c r="AD5" i="1"/>
  <c r="AG5" i="1"/>
  <c r="AE5" i="1"/>
  <c r="AC5" i="1"/>
  <c r="AA5" i="1"/>
  <c r="V5" i="1"/>
  <c r="Q5" i="1"/>
  <c r="P5" i="1"/>
  <c r="O5" i="1"/>
  <c r="N5" i="1"/>
  <c r="M5" i="1"/>
  <c r="J5" i="1"/>
  <c r="I5" i="1"/>
  <c r="D5" i="1"/>
  <c r="F5" i="1"/>
  <c r="E5" i="1"/>
  <c r="A5" i="1"/>
  <c r="J11" i="11"/>
  <c r="J10" i="11"/>
  <c r="J9" i="11"/>
  <c r="J7" i="11"/>
  <c r="J5" i="11"/>
  <c r="J4" i="11"/>
  <c r="J3" i="11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O11" i="9"/>
  <c r="N11" i="9"/>
  <c r="M11" i="9"/>
  <c r="L11" i="9"/>
  <c r="K11" i="9"/>
  <c r="J11" i="9"/>
  <c r="I11" i="9"/>
  <c r="H11" i="9"/>
  <c r="G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D8" i="9"/>
  <c r="A8" i="9"/>
  <c r="O5" i="9"/>
  <c r="N5" i="9"/>
  <c r="M5" i="9"/>
  <c r="L5" i="9"/>
  <c r="K5" i="9"/>
  <c r="J5" i="9"/>
  <c r="I5" i="9"/>
  <c r="H5" i="9"/>
  <c r="G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AB15" i="1"/>
  <c r="AD15" i="1"/>
  <c r="AG15" i="1"/>
  <c r="AE15" i="1"/>
  <c r="AC15" i="1"/>
  <c r="AA15" i="1"/>
  <c r="V15" i="1"/>
  <c r="Q15" i="1"/>
  <c r="P15" i="1"/>
  <c r="O15" i="1"/>
  <c r="N15" i="1"/>
  <c r="M15" i="1"/>
  <c r="J15" i="1"/>
  <c r="I15" i="1"/>
  <c r="D15" i="1"/>
  <c r="F15" i="1"/>
  <c r="E15" i="1"/>
  <c r="A15" i="1"/>
  <c r="AB11" i="1"/>
  <c r="AD11" i="1"/>
  <c r="AG11" i="1"/>
  <c r="AE11" i="1"/>
  <c r="AC11" i="1"/>
  <c r="V11" i="1"/>
  <c r="Q11" i="1"/>
  <c r="P11" i="1"/>
  <c r="O11" i="1"/>
  <c r="N11" i="1"/>
  <c r="M11" i="1"/>
  <c r="J11" i="1"/>
  <c r="I11" i="1"/>
  <c r="D11" i="1"/>
  <c r="F11" i="1"/>
  <c r="E11" i="1"/>
  <c r="A11" i="1"/>
  <c r="AB10" i="1"/>
  <c r="AD10" i="1"/>
  <c r="AG10" i="1"/>
  <c r="AE10" i="1"/>
  <c r="AC10" i="1"/>
  <c r="AA10" i="1"/>
  <c r="V10" i="1"/>
  <c r="Q10" i="1"/>
  <c r="P10" i="1"/>
  <c r="O10" i="1"/>
  <c r="N10" i="1"/>
  <c r="M10" i="1"/>
  <c r="J10" i="1"/>
  <c r="I10" i="1"/>
  <c r="D10" i="1"/>
  <c r="F10" i="1"/>
  <c r="E10" i="1"/>
  <c r="A10" i="1"/>
  <c r="AB9" i="1"/>
  <c r="AD9" i="1"/>
  <c r="AG9" i="1"/>
  <c r="AE9" i="1"/>
  <c r="AC9" i="1"/>
  <c r="V9" i="1"/>
  <c r="Q9" i="1"/>
  <c r="P9" i="1"/>
  <c r="O9" i="1"/>
  <c r="N9" i="1"/>
  <c r="M9" i="1"/>
  <c r="J9" i="1"/>
  <c r="I9" i="1"/>
  <c r="D9" i="1"/>
  <c r="F9" i="1"/>
  <c r="E9" i="1"/>
  <c r="A9" i="1"/>
  <c r="AD6" i="1"/>
  <c r="AG6" i="1"/>
  <c r="AE6" i="1"/>
  <c r="AC6" i="1"/>
  <c r="AA6" i="1"/>
  <c r="V6" i="1"/>
  <c r="Q6" i="1"/>
  <c r="P6" i="1"/>
  <c r="O6" i="1"/>
  <c r="N6" i="1"/>
  <c r="M6" i="1"/>
  <c r="J6" i="1"/>
  <c r="I6" i="1"/>
  <c r="D6" i="1"/>
  <c r="F6" i="1"/>
  <c r="E6" i="1"/>
  <c r="A6" i="1"/>
  <c r="AB4" i="1"/>
  <c r="AD4" i="1"/>
  <c r="AG4" i="1"/>
  <c r="AE4" i="1"/>
  <c r="AC4" i="1"/>
  <c r="V4" i="1"/>
  <c r="Q4" i="1"/>
  <c r="P4" i="1"/>
  <c r="O4" i="1"/>
  <c r="N4" i="1"/>
  <c r="M4" i="1"/>
  <c r="J4" i="1"/>
  <c r="I4" i="1"/>
  <c r="D4" i="1"/>
  <c r="F4" i="1"/>
  <c r="E4" i="1"/>
  <c r="A4" i="1"/>
  <c r="V2" i="1"/>
  <c r="H7" i="2"/>
  <c r="E7" i="2"/>
  <c r="D7" i="2"/>
  <c r="B7" i="2"/>
  <c r="J2" i="19"/>
  <c r="C2" i="19"/>
  <c r="K2" i="19"/>
  <c r="H2" i="19"/>
  <c r="G2" i="19"/>
  <c r="E2" i="19"/>
  <c r="D2" i="19"/>
  <c r="A2" i="19"/>
  <c r="C10" i="16"/>
  <c r="C11" i="16"/>
  <c r="E11" i="16"/>
  <c r="E10" i="16"/>
  <c r="A2" i="18"/>
  <c r="C2" i="18"/>
  <c r="D2" i="18"/>
  <c r="O2" i="9"/>
  <c r="N2" i="9"/>
  <c r="M2" i="9"/>
  <c r="L2" i="9"/>
  <c r="K2" i="9"/>
  <c r="J2" i="9"/>
  <c r="I2" i="9"/>
  <c r="H2" i="9"/>
  <c r="G2" i="9"/>
  <c r="D2" i="9"/>
  <c r="Y2" i="7"/>
  <c r="C4" i="16"/>
  <c r="C5" i="16"/>
  <c r="C6" i="16"/>
  <c r="C7" i="16"/>
  <c r="C8" i="16"/>
  <c r="C9" i="16"/>
  <c r="C3" i="16"/>
  <c r="E9" i="16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V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3" i="1"/>
  <c r="A2" i="1"/>
  <c r="AG3" i="1"/>
  <c r="J2" i="1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<sst xmlns="http://schemas.openxmlformats.org/spreadsheetml/2006/main" count="545" uniqueCount="294">
  <si>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</si>
  <si>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</si>
  <si>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</si>
  <si>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</si>
  <si>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</si>
  <si>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</si>
  <si>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</si>
  <si>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</si>
  <si>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</si>
  <si>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</si>
  <si>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</si>
  <si>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</si>
  <si>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</si>
  <si>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</si>
  <si>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</si>
  <si>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</si>
  <si>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</si>
  <si>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</si>
  <si>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</si>
  <si>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</si>
  <si>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</si>
  <si>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</si>
  <si>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</si>
  <si>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</si>
  <si>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</si>
  <si>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</si>
  <si>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</si>
  <si>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</si>
  <si>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</si>
  <si>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</si>
  <si>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</si>
  <si>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</si>
  <si>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</si>
  <si>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</si>
  <si>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</si>
  <si>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</si>
  <si>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</si>
  <si>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</si>
  <si>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</si>
  <si>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</si>
  <si>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</si>
  <si>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</si>
  <si>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</si>
  <si>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</si>
  <si>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</si>
  <si>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</si>
  <si>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</si>
  <si>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</si>
  <si>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</si>
  <si>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</si>
  <si>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</si>
  <si>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</si>
  <si>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</si>
  <si>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</si>
  <si>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</si>
  <si>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</si>
  <si>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</si>
  <si>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</si>
  <si>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</si>
  <si>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</si>
  <si>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</si>
  <si>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</si>
  <si>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</si>
  <si>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</si>
  <si>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</si>
  <si>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</si>
  <si>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</si>
  <si>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</si>
  <si>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</si>
  <si>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</si>
  <si>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</si>
  <si>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</si>
  <si>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</si>
  <si>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</si>
  <si>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</si>
  <si>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</si>
  <si>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</si>
  <si>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</si>
  <si>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</si>
  <si>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</si>
  <si>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</si>
  <si>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</si>
  <si>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</si>
  <si>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</si>
  <si>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</si>
  <si>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</si>
  <si>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</si>
  <si>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</si>
  <si>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</si>
  <si>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</si>
  <si>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</si>
  <si>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</si>
  <si>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</si>
  <si>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</si>
  <si>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</si>
  <si>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</si>
  <si>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</si>
  <si>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</si>
  <si>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</si>
  <si>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</si>
  <si>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</si>
  <si>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</si>
  <si>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</si>
  <si>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</si>
  <si>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</si>
  <si>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</si>
  <si>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</si>
  <si>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</si>
  <si>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</si>
  <si>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</si>
  <si>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</si>
  <si>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</si>
  <si>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</si>
  <si>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</si>
  <si>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</si>
  <si>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</si>
  <si>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</si>
  <si>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</si>
  <si>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</si>
  <si>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</si>
  <si>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</si>
  <si>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</si>
  <si>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</si>
  <si>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</si>
  <si>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</si>
  <si>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</si>
  <si>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</si>
  <si>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</si>
  <si>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</si>
  <si>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</si>
  <si>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</si>
  <si>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</si>
  <si>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</si>
  <si>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</si>
  <si>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</si>
  <si>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</si>
  <si>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</si>
  <si>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</si>
  <si>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</si>
  <si>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</si>
  <si>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</si>
  <si>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</si>
  <si>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</si>
  <si>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</si>
  <si>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</si>
  <si>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</si>
  <si>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</si>
  <si>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</si>
  <si>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</si>
  <si>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</si>
  <si>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</si>
  <si>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</si>
  <si>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</si>
  <si>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</si>
  <si>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</si>
  <si>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</si>
  <si>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</si>
  <si>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</si>
  <si>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</si>
  <si>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</si>
  <si>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</si>
  <si>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</si>
  <si>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</si>
  <si>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</si>
  <si>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</si>
  <si>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</si>
  <si>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</si>
  <si>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</si>
  <si>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</si>
  <si>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</si>
  <si>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</si>
  <si>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</si>
  <si>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</si>
  <si>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</si>
  <si>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</si>
  <si>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</si>
  <si>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</si>
  <si>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</si>
  <si>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</si>
  <si>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</si>
  <si>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_data_</t>
    </r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</si>
  <si>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</si>
  <si>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stage_hints</t>
  </si>
  <si>
    <t>quest_id</t>
    <phoneticPr fontId="5"/>
  </si>
  <si>
    <t>hint_id</t>
    <phoneticPr fontId="5"/>
  </si>
  <si>
    <t>floor_id</t>
    <phoneticPr fontId="5"/>
  </si>
  <si>
    <t>hint_type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</si>
  <si>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</si>
  <si>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</t>
    <phoneticPr fontId="5"/>
  </si>
  <si>
    <t>filename</t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</si>
  <si>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</si>
  <si>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</si>
  <si>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</si>
  <si>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</si>
  <si>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</si>
  <si>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</si>
  <si>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</si>
  <si>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</si>
  <si>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</si>
  <si>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</si>
  <si>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ja</t>
    <phoneticPr fontId="5"/>
  </si>
  <si>
    <t>NULL</t>
    <phoneticPr fontId="5"/>
  </si>
  <si>
    <t>2015-6</t>
    <phoneticPr fontId="5"/>
  </si>
  <si>
    <t>[effect:nothing]</t>
    <phoneticPr fontId="5"/>
  </si>
  <si>
    <t>寅</t>
    <rPh sb="0" eb="1">
      <t>トラ</t>
    </rPh>
    <phoneticPr fontId="5"/>
  </si>
  <si>
    <t>辰</t>
    <rPh sb="0" eb="1">
      <t>🐲</t>
    </rPh>
    <phoneticPr fontId="5"/>
  </si>
  <si>
    <t>午</t>
    <rPh sb="0" eb="1">
      <t>ウマ</t>
    </rPh>
    <phoneticPr fontId="5"/>
  </si>
  <si>
    <t>null</t>
    <phoneticPr fontId="5"/>
  </si>
  <si>
    <t>old</t>
    <phoneticPr fontId="5"/>
  </si>
  <si>
    <t>unit</t>
  </si>
  <si>
    <t>null</t>
    <phoneticPr fontId="5"/>
  </si>
  <si>
    <t>&lt;タマゴシステムを 起動します&gt;</t>
    <rPh sb="10" eb="12">
      <t>キドウ</t>
    </rPh>
    <phoneticPr fontId="5"/>
  </si>
  <si>
    <t>ワンワン！</t>
    <phoneticPr fontId="5"/>
  </si>
  <si>
    <t>子 丑 寅 卯 辰 巳 午 未 申 酉 戌 亥</t>
    <rPh sb="0" eb="23">
      <t>ネウシ</t>
    </rPh>
    <phoneticPr fontId="5"/>
  </si>
  <si>
    <t>[effect:rush, count:1, val:1]</t>
    <phoneticPr fontId="5"/>
  </si>
  <si>
    <t>ヒツジが 見当たらぬぞ！</t>
    <rPh sb="5" eb="7">
      <t>ミア</t>
    </rPh>
    <phoneticPr fontId="5"/>
  </si>
  <si>
    <t>[effect:rush, count:3, val:0.33]</t>
    <phoneticPr fontId="5"/>
  </si>
  <si>
    <t>如意棒の 3連撃！</t>
    <rPh sb="0" eb="3">
      <t>ニョイボウ</t>
    </rPh>
    <rPh sb="6" eb="8">
      <t>レンゲキ</t>
    </rPh>
    <phoneticPr fontId="5"/>
  </si>
  <si>
    <t>翻訳「ジンギスカン うまかった！」</t>
    <rPh sb="0" eb="2">
      <t>ホンヤク</t>
    </rPh>
    <phoneticPr fontId="5"/>
  </si>
  <si>
    <t>ヒツジ…いないでゴザル！</t>
    <phoneticPr fontId="5"/>
  </si>
  <si>
    <t>complete</t>
  </si>
  <si>
    <t>old</t>
  </si>
  <si>
    <t>3ターンの間 攻撃を受けるとカウンター！</t>
    <rPh sb="5" eb="6">
      <t>アイダ</t>
    </rPh>
    <rPh sb="7" eb="9">
      <t>コウゲキ</t>
    </rPh>
    <rPh sb="10" eb="11">
      <t>ウ</t>
    </rPh>
    <phoneticPr fontId="5"/>
  </si>
  <si>
    <t>全体に攻撃！</t>
    <rPh sb="0" eb="2">
      <t>ゼンタイ</t>
    </rPh>
    <rPh sb="3" eb="5">
      <t>コウゲキ</t>
    </rPh>
    <phoneticPr fontId="5"/>
  </si>
  <si>
    <t>[effect:spread, val:0.5]</t>
    <phoneticPr fontId="5"/>
  </si>
  <si>
    <t>この特別クエストでは
期間限定ユニット「勘兵衛」が必ずドロップ！
集めた勘兵衛のバグを上げて
バグボーナスを狙いましょう！</t>
    <rPh sb="2" eb="4">
      <t>トクベツ</t>
    </rPh>
    <rPh sb="11" eb="15">
      <t>キカンゲンテイ</t>
    </rPh>
    <rPh sb="20" eb="23">
      <t>カンベエ</t>
    </rPh>
    <rPh sb="25" eb="26">
      <t>カナラ</t>
    </rPh>
    <rPh sb="34" eb="35">
      <t>アツ</t>
    </rPh>
    <rPh sb="37" eb="40">
      <t>カンベエ</t>
    </rPh>
    <rPh sb="44" eb="45">
      <t>ア</t>
    </rPh>
    <rPh sb="55" eb="56">
      <t>ネラ</t>
    </rPh>
    <phoneticPr fontId="5"/>
  </si>
  <si>
    <t>…羊殿は いずこ！？</t>
    <rPh sb="1" eb="3">
      <t>ヒツジドノ</t>
    </rPh>
    <phoneticPr fontId="5"/>
  </si>
  <si>
    <t>&lt;干支の順番は コチラですよ&gt;</t>
    <rPh sb="1" eb="3">
      <t>エト</t>
    </rPh>
    <rPh sb="4" eb="6">
      <t>ジュンバン</t>
    </rPh>
    <phoneticPr fontId="5"/>
  </si>
  <si>
    <t>マーチ 宴が楽しみ！</t>
    <rPh sb="4" eb="5">
      <t>ウタゲ</t>
    </rPh>
    <rPh sb="6" eb="7">
      <t>タノ</t>
    </rPh>
    <phoneticPr fontId="5"/>
  </si>
  <si>
    <t>[effect:fix_speed, target:myself, turn:1]</t>
    <phoneticPr fontId="5"/>
  </si>
  <si>
    <t>攻撃頻度が 1ターンにUP</t>
    <rPh sb="0" eb="2">
      <t>コウゲキ</t>
    </rPh>
    <rPh sb="2" eb="4">
      <t>ヒンド</t>
    </rPh>
    <phoneticPr fontId="5"/>
  </si>
  <si>
    <t>[effect:heal, target:myself, val:1.0, animation:enemy_heal]</t>
    <phoneticPr fontId="5"/>
  </si>
  <si>
    <t>寅</t>
    <rPh sb="0" eb="1">
      <t>トラ</t>
    </rPh>
    <phoneticPr fontId="5"/>
  </si>
  <si>
    <t>モー 順番守ろうよ</t>
    <rPh sb="3" eb="5">
      <t>ジュンバンヌ</t>
    </rPh>
    <rPh sb="5" eb="6">
      <t>マモ</t>
    </rPh>
    <phoneticPr fontId="5"/>
  </si>
  <si>
    <t>勘兵衛のバグを上げよう！</t>
    <rPh sb="0" eb="4">
      <t>カンベ</t>
    </rPh>
    <rPh sb="7" eb="8">
      <t>ア</t>
    </rPh>
    <phoneticPr fontId="5"/>
  </si>
  <si>
    <t>[effect:enemy_counter, target:myself, invoke_condition:unit_all, counter_target:attacker, turn:3, val:1, animation:enemy_counter]</t>
    <phoneticPr fontId="5"/>
  </si>
  <si>
    <t>[effect:critical, val:1]</t>
    <phoneticPr fontId="5"/>
  </si>
  <si>
    <t>干支の順が 完成できない！</t>
    <rPh sb="0" eb="2">
      <t>エト</t>
    </rPh>
    <rPh sb="3" eb="4">
      <t>ジュンバン</t>
    </rPh>
    <rPh sb="6" eb="8">
      <t>カンセイ</t>
    </rPh>
    <phoneticPr fontId="5"/>
  </si>
  <si>
    <t>ガガ…干支ノ順ニ 撃破セヨ！</t>
    <rPh sb="3" eb="5">
      <t>エト</t>
    </rPh>
    <rPh sb="6" eb="7">
      <t>ジュン</t>
    </rPh>
    <rPh sb="9" eb="11">
      <t>ゲキハ</t>
    </rPh>
    <phoneticPr fontId="5"/>
  </si>
  <si>
    <t>HPが全回復！</t>
    <rPh sb="3" eb="6">
      <t>ゼンカイフク</t>
    </rPh>
    <phoneticPr fontId="5"/>
  </si>
  <si>
    <t>「干支の順に集合せよ さすれば宴が開かれん」</t>
    <rPh sb="1" eb="3">
      <t>エト</t>
    </rPh>
    <rPh sb="4" eb="5">
      <t>ジュン</t>
    </rPh>
    <rPh sb="6" eb="8">
      <t>シュウゴウ</t>
    </rPh>
    <rPh sb="15" eb="16">
      <t>ウタゲ</t>
    </rPh>
    <rPh sb="17" eb="18">
      <t>ヒラ</t>
    </rPh>
    <phoneticPr fontId="5"/>
  </si>
  <si>
    <t>すると 宴が開かれる という噂だ</t>
    <rPh sb="4" eb="5">
      <t>ウタゲ</t>
    </rPh>
    <rPh sb="6" eb="7">
      <t>ヒラ</t>
    </rPh>
    <rPh sb="14" eb="15">
      <t>ウワサ</t>
    </rPh>
    <phoneticPr fontId="5"/>
  </si>
  <si>
    <t>宴には ノンビリ向かお</t>
    <rPh sb="0" eb="1">
      <t>ウタゲ</t>
    </rPh>
    <rPh sb="8" eb="9">
      <t>ム</t>
    </rPh>
    <phoneticPr fontId="5"/>
  </si>
  <si>
    <t>丑</t>
    <rPh sb="0" eb="1">
      <t>ウシ</t>
    </rPh>
    <phoneticPr fontId="5"/>
  </si>
  <si>
    <t>マーチの順番 先なのに！</t>
    <rPh sb="4" eb="6">
      <t>ジュンバン</t>
    </rPh>
    <rPh sb="7" eb="8">
      <t>サキ</t>
    </rPh>
    <phoneticPr fontId="5"/>
  </si>
  <si>
    <t>ALICEに 羊ユニットはいない！</t>
    <rPh sb="7" eb="8">
      <t>ヒツジ</t>
    </rPh>
    <phoneticPr fontId="5"/>
  </si>
  <si>
    <t>勘兵衛はカジノ好き！</t>
    <rPh sb="0" eb="3">
      <t>カンベエ</t>
    </rPh>
    <rPh sb="7" eb="8">
      <t>ズ</t>
    </rPh>
    <phoneticPr fontId="5"/>
  </si>
  <si>
    <t>failure</t>
  </si>
  <si>
    <t>干支の順に 倒していこう！</t>
    <rPh sb="0" eb="2">
      <t>エト</t>
    </rPh>
    <rPh sb="3" eb="4">
      <t>ジュン</t>
    </rPh>
    <rPh sb="6" eb="7">
      <t>タオ</t>
    </rPh>
    <phoneticPr fontId="5"/>
  </si>
  <si>
    <t>子 丑 寅 卯 辰 巳 午 未 申 酉 戌 亥
現代の漢字では：
ネズミ→牛→虎→兎→龍→蛇→馬
→羊→猿→鳥→犬→猪</t>
    <rPh sb="0" eb="23">
      <t>ネウシ</t>
    </rPh>
    <rPh sb="25" eb="27">
      <t>ゲンダイ</t>
    </rPh>
    <rPh sb="28" eb="30">
      <t>カンジ</t>
    </rPh>
    <rPh sb="38" eb="39">
      <t>ウシ</t>
    </rPh>
    <rPh sb="40" eb="41">
      <t>トラ</t>
    </rPh>
    <rPh sb="42" eb="43">
      <t>ウサギ</t>
    </rPh>
    <rPh sb="44" eb="45">
      <t>リュウ</t>
    </rPh>
    <rPh sb="46" eb="47">
      <t>ヘビ</t>
    </rPh>
    <rPh sb="48" eb="49">
      <t>ウマ</t>
    </rPh>
    <rPh sb="51" eb="52">
      <t>ヒツジ</t>
    </rPh>
    <rPh sb="53" eb="54">
      <t>サル</t>
    </rPh>
    <rPh sb="55" eb="56">
      <t>トリ</t>
    </rPh>
    <rPh sb="57" eb="58">
      <t>イヌ</t>
    </rPh>
    <rPh sb="59" eb="60">
      <t>イノシシ</t>
    </rPh>
    <phoneticPr fontId="5"/>
  </si>
  <si>
    <t>干支の順って…？</t>
    <rPh sb="0" eb="2">
      <t>エト</t>
    </rPh>
    <rPh sb="3" eb="4">
      <t>ジュン</t>
    </rPh>
    <phoneticPr fontId="5"/>
  </si>
  <si>
    <t>この特別クエストに登場するユニットは
干支の順に集合しようとしています。
ターゲットして順番通りに倒しましょう！</t>
    <rPh sb="2" eb="4">
      <t>トクベツ</t>
    </rPh>
    <rPh sb="9" eb="11">
      <t>トウジョウ</t>
    </rPh>
    <rPh sb="19" eb="21">
      <t>エト</t>
    </rPh>
    <rPh sb="22" eb="23">
      <t>ジュン</t>
    </rPh>
    <rPh sb="24" eb="26">
      <t>シュウゴウ</t>
    </rPh>
    <rPh sb="45" eb="48">
      <t>ジュンバンドオ</t>
    </rPh>
    <rPh sb="50" eb="51">
      <t>タオ</t>
    </rPh>
    <phoneticPr fontId="5"/>
  </si>
  <si>
    <t>このアタイを 差し置いてぇ</t>
    <rPh sb="7" eb="8">
      <t>サ</t>
    </rPh>
    <rPh sb="9" eb="10">
      <t>オ</t>
    </rPh>
    <phoneticPr fontId="5"/>
  </si>
  <si>
    <t>何かのタマゴが ドロップする！</t>
    <rPh sb="0" eb="1">
      <t>ナニ</t>
    </rPh>
    <phoneticPr fontId="5"/>
  </si>
  <si>
    <t>この特別クエストでは
期間限定ユニット「勘兵衛」が必ずドロップ！
賭け好き勘兵衛はゴールドカジノで大活躍！</t>
    <rPh sb="2" eb="4">
      <t>トクベツ</t>
    </rPh>
    <rPh sb="11" eb="15">
      <t>キカンゲンテイ</t>
    </rPh>
    <rPh sb="20" eb="23">
      <t>カンベエ</t>
    </rPh>
    <rPh sb="25" eb="26">
      <t>カナラ</t>
    </rPh>
    <rPh sb="34" eb="35">
      <t>カ</t>
    </rPh>
    <rPh sb="36" eb="37">
      <t>ズ</t>
    </rPh>
    <rPh sb="38" eb="41">
      <t>カンベエ</t>
    </rPh>
    <rPh sb="50" eb="53">
      <t>ダイカツヤク</t>
    </rPh>
    <phoneticPr fontId="5"/>
  </si>
  <si>
    <t>謎のメッセージに導かれ ユニット達が大集結
だが、羊ユニットがみつからず
宴が開かれることはなかった…
次の年末こそは…？</t>
    <rPh sb="0" eb="1">
      <t>ナゾ</t>
    </rPh>
    <rPh sb="8" eb="9">
      <t>ミチビ</t>
    </rPh>
    <rPh sb="16" eb="17">
      <t>タチ</t>
    </rPh>
    <rPh sb="18" eb="19">
      <t>ダイ</t>
    </rPh>
    <rPh sb="19" eb="21">
      <t>シュウケツ</t>
    </rPh>
    <rPh sb="26" eb="27">
      <t>ヒツジ</t>
    </rPh>
    <rPh sb="38" eb="39">
      <t>ウタゲ</t>
    </rPh>
    <rPh sb="40" eb="41">
      <t>ヒラ</t>
    </rPh>
    <rPh sb="54" eb="55">
      <t>ツギ</t>
    </rPh>
    <rPh sb="56" eb="58">
      <t>ネンマツ</t>
    </rPh>
    <phoneticPr fontId="5"/>
  </si>
  <si>
    <t>ハッピー！？</t>
    <phoneticPr fontId="5"/>
  </si>
  <si>
    <t>ALICEの世界も お祭り騒ぎだ</t>
  </si>
  <si>
    <t>今年も 幸せそうだ</t>
  </si>
  <si>
    <t>そこら中に 書きまくっている</t>
  </si>
  <si>
    <t>書き初めなら
　　お任せを〜</t>
    <rPh sb="0" eb="1">
      <t>カ</t>
    </rPh>
    <rPh sb="2" eb="3">
      <t>ゾ</t>
    </rPh>
    <rPh sb="10" eb="11">
      <t>マカ</t>
    </rPh>
    <phoneticPr fontId="5"/>
  </si>
  <si>
    <t>あけましてー</t>
    <phoneticPr fontId="5"/>
  </si>
  <si>
    <t>おめでとうございます！</t>
    <phoneticPr fontId="5"/>
  </si>
  <si>
    <t>クラフィは 今年も成長するクヮ！</t>
    <rPh sb="6" eb="8">
      <t>コトシ</t>
    </rPh>
    <rPh sb="9" eb="11">
      <t>セイチョウ</t>
    </rPh>
    <phoneticPr fontId="5"/>
  </si>
  <si>
    <t>謹グヮ新年！</t>
    <rPh sb="0" eb="5">
      <t>キン</t>
    </rPh>
    <phoneticPr fontId="5"/>
  </si>
  <si>
    <t>今年も よろしくお願いします！</t>
    <rPh sb="0" eb="2">
      <t>コトシ</t>
    </rPh>
    <rPh sb="4" eb="15">
      <t>ヨロシク</t>
    </rPh>
    <phoneticPr fontId="5"/>
  </si>
  <si>
    <t>なにとぞ ご期待ください！</t>
    <rPh sb="6" eb="8">
      <t>キタイ</t>
    </rPh>
    <phoneticPr fontId="5"/>
  </si>
  <si>
    <t>新年 明けまして おめでとうございます！</t>
    <rPh sb="0" eb="2">
      <t>シンネン</t>
    </rPh>
    <rPh sb="3" eb="4">
      <t>ア</t>
    </rPh>
    <phoneticPr fontId="5"/>
  </si>
  <si>
    <t>null</t>
    <phoneticPr fontId="5"/>
  </si>
  <si>
    <t>初詣に 参るのじゃ！</t>
    <rPh sb="0" eb="2">
      <t>ハツモウデ</t>
    </rPh>
    <rPh sb="4" eb="5">
      <t>マイ</t>
    </rPh>
    <phoneticPr fontId="5"/>
  </si>
  <si>
    <t>ハッピー！！</t>
    <phoneticPr fontId="5"/>
  </si>
  <si>
    <t>( ﾟДﾟ)ﾉ⌒◇┃奉納┃</t>
    <phoneticPr fontId="5"/>
  </si>
  <si>
    <t>道行くアバターにも 落書きしている</t>
    <rPh sb="0" eb="2">
      <t>ミチユ</t>
    </rPh>
    <rPh sb="10" eb="12">
      <t>ラクガ</t>
    </rPh>
    <phoneticPr fontId="5"/>
  </si>
  <si>
    <t>スキありっ</t>
    <phoneticPr fontId="5"/>
  </si>
  <si>
    <t>（早く 次に行こうピョ！）</t>
    <rPh sb="1" eb="2">
      <t>ハヤ</t>
    </rPh>
    <rPh sb="4" eb="5">
      <t>ツギ</t>
    </rPh>
    <rPh sb="6" eb="7">
      <t>イ</t>
    </rPh>
    <phoneticPr fontId="5"/>
  </si>
  <si>
    <t>ユニットを倒して 先に進もう！</t>
    <rPh sb="5" eb="6">
      <t>タオ</t>
    </rPh>
    <rPh sb="9" eb="10">
      <t>サキ</t>
    </rPh>
    <rPh sb="11" eb="12">
      <t>スス</t>
    </rPh>
    <phoneticPr fontId="5"/>
  </si>
  <si>
    <t>（早く 次に行こうクヮ！）</t>
    <rPh sb="1" eb="2">
      <t>ハヤ</t>
    </rPh>
    <rPh sb="4" eb="5">
      <t>ツギ</t>
    </rPh>
    <rPh sb="6" eb="7">
      <t>イ</t>
    </rPh>
    <phoneticPr fontId="5"/>
  </si>
  <si>
    <t>さて 帰って 花札じゃ</t>
    <rPh sb="3" eb="4">
      <t>カエ</t>
    </rPh>
    <rPh sb="7" eb="9">
      <t>ハナフダ</t>
    </rPh>
    <phoneticPr fontId="5"/>
  </si>
  <si>
    <t>ハッピー！！！</t>
    <phoneticPr fontId="5"/>
  </si>
  <si>
    <t>null</t>
    <phoneticPr fontId="5"/>
  </si>
  <si>
    <t>[effect:fix_speed, target:myself, turn:1][effect:hungup, target:unit_all, turn:-1, rate:1]</t>
    <phoneticPr fontId="5"/>
  </si>
  <si>
    <t>[effect:fix_speed, target:myself, turn:1][effect:force_change_block, new_block:block_yellow, target:block_all, count:46, val:0][effect:force_change_block, new_block:crack_bomb, target:block_all, color:block_heart, count:1, val:46, animation:change_block]</t>
    <phoneticPr fontId="5"/>
  </si>
  <si>
    <t>[effect:kamikaze, val:0]</t>
  </si>
  <si>
    <t>[effect:kamikaze, val:0]</t>
    <phoneticPr fontId="5"/>
  </si>
  <si>
    <t>[effect:fix_speed, target:myself, turn:1]</t>
    <phoneticPr fontId="5"/>
  </si>
  <si>
    <t>次は どいつじゃ！</t>
    <rPh sb="0" eb="1">
      <t>ツギ</t>
    </rPh>
    <phoneticPr fontId="5"/>
  </si>
  <si>
    <t>そそくさと 去ってゆく</t>
    <rPh sb="6" eb="7">
      <t>サ</t>
    </rPh>
    <phoneticPr fontId="5"/>
  </si>
  <si>
    <t>やっぱり 幸せそうだ</t>
    <phoneticPr fontId="5"/>
  </si>
  <si>
    <t>幸せそうに 去ってゆく</t>
    <rPh sb="0" eb="1">
      <t>シアワ</t>
    </rPh>
    <rPh sb="6" eb="7">
      <t>サ</t>
    </rPh>
    <phoneticPr fontId="5"/>
  </si>
  <si>
    <t>獲物を求めて 去ってゆく</t>
    <rPh sb="0" eb="2">
      <t>エモノ</t>
    </rPh>
    <rPh sb="3" eb="4">
      <t>モト</t>
    </rPh>
    <rPh sb="7" eb="8">
      <t>サ</t>
    </rPh>
    <phoneticPr fontId="5"/>
  </si>
  <si>
    <t>[effect:fix_speed, target:myself, turn:1][effect:force_change_block, new_block:crack_bomb, target:block_all, color:block_yellow, count:1, val:46, animation:change_block]</t>
    <phoneticPr fontId="5"/>
  </si>
  <si>
    <t>[effect:fix_speed, target:myself, turn:1][effect:dark, target:unit_all, turn:1]</t>
    <phoneticPr fontId="5"/>
  </si>
  <si>
    <t>お賽銭を 投げ入れた！</t>
    <rPh sb="1" eb="3">
      <t>サイセン</t>
    </rPh>
    <rPh sb="5" eb="6">
      <t>ナ</t>
    </rPh>
    <rPh sb="7" eb="8">
      <t>イ</t>
    </rPh>
    <phoneticPr fontId="5"/>
  </si>
  <si>
    <t>2016年も クラファーの皆様にとって
素晴らしい一年で ありますように！</t>
    <rPh sb="4" eb="5">
      <t>ネン</t>
    </rPh>
    <rPh sb="13" eb="15">
      <t>ミナサマ</t>
    </rPh>
    <rPh sb="20" eb="22">
      <t>スバ</t>
    </rPh>
    <rPh sb="25" eb="27">
      <t>イチネン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</si>
</sst>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108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7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2" fillId="0" borderId="7" xfId="615" applyBorder="1"/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13" fillId="7" borderId="0" xfId="0" applyFont="1" applyFill="1" applyAlignment="1">
      <alignment horizontal="center"/>
    </xf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56" fontId="16" fillId="15" borderId="7" xfId="0" applyNumberFormat="1" applyFont="1" applyFill="1" applyBorder="1" applyAlignment="1">
      <alignment horizontal="center"/>
    </xf>
    <xf numFmtId="0" fontId="0" fillId="15" borderId="7" xfId="0" applyFill="1" applyBorder="1"/>
    <xf numFmtId="0" fontId="13" fillId="7" borderId="0" xfId="0" applyFont="1" applyFill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49" fontId="0" fillId="13" borderId="7" xfId="0" applyNumberFormat="1" applyFill="1" applyBorder="1"/>
    <xf numFmtId="0" fontId="6" fillId="0" borderId="9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31" fillId="0" borderId="7" xfId="0" applyFont="1" applyFill="1" applyBorder="1" applyAlignment="1">
      <alignment wrapText="1"/>
    </xf>
    <xf numFmtId="0" fontId="0" fillId="0" borderId="7" xfId="0" applyFill="1" applyBorder="1"/>
    <xf numFmtId="0" fontId="28" fillId="3" borderId="7" xfId="0" applyFont="1" applyFill="1" applyBorder="1"/>
    <xf numFmtId="0" fontId="11" fillId="0" borderId="7" xfId="0" applyFont="1" applyBorder="1" applyAlignment="1">
      <alignment vertical="center"/>
    </xf>
    <xf numFmtId="0" fontId="4" fillId="13" borderId="1" xfId="0" applyFont="1" applyFill="1" applyBorder="1" applyAlignment="1">
      <alignment vertical="center"/>
    </xf>
    <xf numFmtId="0" fontId="0" fillId="13" borderId="7" xfId="0" applyFill="1" applyBorder="1"/>
  </cellXfs>
  <cellStyles count="1088">
    <cellStyle name="" xfId="629"/>
    <cellStyle name="_" xfId="630"/>
    <cellStyle name="__" xfId="631"/>
    <cellStyle name="__÷" xfId="632"/>
    <cellStyle name="«¢" xfId="633"/>
    <cellStyle name="`FbN Z" xfId="634"/>
    <cellStyle name="^Cg" xfId="635"/>
    <cellStyle name="©oµ 1" xfId="636"/>
    <cellStyle name="©oµ 2" xfId="637"/>
    <cellStyle name="©oµ 3" xfId="638"/>
    <cellStyle name="©oµ 4" xfId="639"/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à¾¶" xfId="658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Ç¢" xfId="665"/>
    <cellStyle name="Ê" xfId="666"/>
    <cellStyle name="Excel Built-in Normal" xfId="428"/>
    <cellStyle name="N Z" xfId="667"/>
    <cellStyle name="o_" xfId="668"/>
    <cellStyle name="oÍ" xfId="669"/>
    <cellStyle name="üÍ" xfId="670"/>
    <cellStyle name="v" xfId="671"/>
    <cellStyle name="vZ" xfId="672"/>
    <cellStyle name="x¶" xfId="673"/>
    <cellStyle name="x÷" xfId="674"/>
    <cellStyle name="ýo_ 1" xfId="67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桁区切り 2" xfId="429"/>
    <cellStyle name="桁区切り 2 2" xfId="628"/>
    <cellStyle name="青字強調" xfId="430"/>
    <cellStyle name="赤字強調" xfId="431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無題1" xfId="435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2.xml"/><Relationship Id="rId12" Type="http://schemas.openxmlformats.org/officeDocument/2006/relationships/externalLink" Target="externalLinks/externalLink3.xml"/><Relationship Id="rId13" Type="http://schemas.openxmlformats.org/officeDocument/2006/relationships/externalLink" Target="externalLinks/externalLink4.xml"/><Relationship Id="rId14" Type="http://schemas.openxmlformats.org/officeDocument/2006/relationships/externalLink" Target="externalLinks/externalLink5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quest_schedules"/>
      <sheetName val="guerilla_quests"/>
      <sheetName val="noon_guerilla_times"/>
      <sheetName val="night_guerilla_times"/>
      <sheetName val="quest_bonus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attribute_red</v>
          </cell>
          <cell r="H1" t="str">
            <v>attribute_blue</v>
          </cell>
          <cell r="I1" t="str">
            <v>attribute_green</v>
          </cell>
          <cell r="J1" t="str">
            <v>attribute_yellow</v>
          </cell>
          <cell r="K1" t="str">
            <v>story</v>
          </cell>
          <cell r="L1" t="str">
            <v>story文字数</v>
          </cell>
          <cell r="M1" t="str">
            <v>位置付け</v>
          </cell>
          <cell r="N1" t="str">
            <v>備考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11211</v>
          </cell>
        </row>
        <row r="67">
          <cell r="A67">
            <v>11212</v>
          </cell>
        </row>
        <row r="68">
          <cell r="A68">
            <v>11213</v>
          </cell>
        </row>
        <row r="69">
          <cell r="A69">
            <v>11214</v>
          </cell>
        </row>
        <row r="70">
          <cell r="A70">
            <v>11215</v>
          </cell>
        </row>
        <row r="71">
          <cell r="A71">
            <v>11216</v>
          </cell>
        </row>
        <row r="72">
          <cell r="A72">
            <v>11217</v>
          </cell>
        </row>
        <row r="73">
          <cell r="A73">
            <v>12001</v>
          </cell>
        </row>
        <row r="74">
          <cell r="A74">
            <v>12002</v>
          </cell>
        </row>
        <row r="75">
          <cell r="A75">
            <v>12003</v>
          </cell>
        </row>
        <row r="76">
          <cell r="A76">
            <v>11210</v>
          </cell>
        </row>
        <row r="77">
          <cell r="A77">
            <v>13001</v>
          </cell>
        </row>
        <row r="78">
          <cell r="A78">
            <v>20001</v>
          </cell>
        </row>
        <row r="79">
          <cell r="A79">
            <v>20002</v>
          </cell>
        </row>
        <row r="80">
          <cell r="A80">
            <v>20003</v>
          </cell>
        </row>
        <row r="81">
          <cell r="A81">
            <v>20004</v>
          </cell>
        </row>
        <row r="82">
          <cell r="A82">
            <v>20005</v>
          </cell>
        </row>
        <row r="83">
          <cell r="A83">
            <v>20006</v>
          </cell>
        </row>
        <row r="84">
          <cell r="A84">
            <v>20007</v>
          </cell>
        </row>
        <row r="85">
          <cell r="A85">
            <v>20008</v>
          </cell>
        </row>
        <row r="86">
          <cell r="A86">
            <v>20009</v>
          </cell>
        </row>
        <row r="87">
          <cell r="A87">
            <v>20010</v>
          </cell>
        </row>
        <row r="88">
          <cell r="A88">
            <v>20011</v>
          </cell>
        </row>
        <row r="89">
          <cell r="A89">
            <v>20012</v>
          </cell>
        </row>
        <row r="90">
          <cell r="A90">
            <v>30001</v>
          </cell>
        </row>
        <row r="91">
          <cell r="A91">
            <v>30002</v>
          </cell>
        </row>
        <row r="92">
          <cell r="A92">
            <v>30003</v>
          </cell>
        </row>
        <row r="93">
          <cell r="A93">
            <v>30004</v>
          </cell>
        </row>
        <row r="94">
          <cell r="A94">
            <v>30005</v>
          </cell>
        </row>
        <row r="95">
          <cell r="A95">
            <v>30006</v>
          </cell>
        </row>
        <row r="96">
          <cell r="A96">
            <v>30007</v>
          </cell>
        </row>
        <row r="97">
          <cell r="A97">
            <v>30008</v>
          </cell>
        </row>
        <row r="98">
          <cell r="A98">
            <v>30009</v>
          </cell>
        </row>
        <row r="99">
          <cell r="A99">
            <v>30010</v>
          </cell>
        </row>
        <row r="100">
          <cell r="A100">
            <v>30011</v>
          </cell>
        </row>
        <row r="101">
          <cell r="A101">
            <v>30012</v>
          </cell>
        </row>
        <row r="102">
          <cell r="A102">
            <v>30013</v>
          </cell>
        </row>
        <row r="103">
          <cell r="A103">
            <v>30014</v>
          </cell>
        </row>
        <row r="104">
          <cell r="A104">
            <v>30015</v>
          </cell>
        </row>
        <row r="105">
          <cell r="A105">
            <v>30016</v>
          </cell>
        </row>
        <row r="106">
          <cell r="A106">
            <v>30017</v>
          </cell>
        </row>
        <row r="107">
          <cell r="A107">
            <v>30018</v>
          </cell>
        </row>
        <row r="108">
          <cell r="A108">
            <v>30019</v>
          </cell>
        </row>
        <row r="109">
          <cell r="A109">
            <v>30020</v>
          </cell>
        </row>
        <row r="110">
          <cell r="A110">
            <v>30021</v>
          </cell>
        </row>
        <row r="111">
          <cell r="A111">
            <v>40001</v>
          </cell>
        </row>
        <row r="112">
          <cell r="A112">
            <v>40002</v>
          </cell>
        </row>
        <row r="113">
          <cell r="A113">
            <v>40003</v>
          </cell>
        </row>
        <row r="114">
          <cell r="A114">
            <v>40004</v>
          </cell>
        </row>
        <row r="115">
          <cell r="A115">
            <v>40005</v>
          </cell>
        </row>
        <row r="116">
          <cell r="A116">
            <v>40006</v>
          </cell>
        </row>
        <row r="117">
          <cell r="A117">
            <v>50001</v>
          </cell>
        </row>
        <row r="118">
          <cell r="A118">
            <v>65535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continue_limit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11002_1</v>
          </cell>
        </row>
        <row r="200">
          <cell r="A200" t="str">
            <v>11002_2</v>
          </cell>
        </row>
        <row r="201">
          <cell r="A201" t="str">
            <v>11002_3</v>
          </cell>
        </row>
        <row r="202">
          <cell r="A202" t="str">
            <v>11003_1</v>
          </cell>
        </row>
        <row r="203">
          <cell r="A203" t="str">
            <v>11003_2</v>
          </cell>
        </row>
        <row r="204">
          <cell r="A204" t="str">
            <v>11003_3</v>
          </cell>
        </row>
        <row r="205">
          <cell r="A205" t="str">
            <v>11004_1</v>
          </cell>
        </row>
        <row r="206">
          <cell r="A206" t="str">
            <v>11004_2</v>
          </cell>
        </row>
        <row r="207">
          <cell r="A207" t="str">
            <v>11004_3</v>
          </cell>
        </row>
        <row r="208">
          <cell r="A208" t="str">
            <v>11005_1</v>
          </cell>
        </row>
        <row r="209">
          <cell r="A209" t="str">
            <v>11005_2</v>
          </cell>
        </row>
        <row r="210">
          <cell r="A210" t="str">
            <v>11005_3</v>
          </cell>
        </row>
        <row r="211">
          <cell r="A211" t="str">
            <v>11005_4</v>
          </cell>
        </row>
        <row r="212">
          <cell r="A212" t="str">
            <v>11006_1</v>
          </cell>
        </row>
        <row r="213">
          <cell r="A213" t="str">
            <v>11006_2</v>
          </cell>
        </row>
        <row r="214">
          <cell r="A214" t="str">
            <v>11006_3</v>
          </cell>
        </row>
        <row r="215">
          <cell r="A215" t="str">
            <v>11101_1</v>
          </cell>
        </row>
        <row r="216">
          <cell r="A216" t="str">
            <v>11101_2</v>
          </cell>
        </row>
        <row r="217">
          <cell r="A217" t="str">
            <v>11101_3</v>
          </cell>
        </row>
        <row r="218">
          <cell r="A218" t="str">
            <v>11102_1</v>
          </cell>
        </row>
        <row r="219">
          <cell r="A219" t="str">
            <v>11102_2</v>
          </cell>
        </row>
        <row r="220">
          <cell r="A220" t="str">
            <v>11102_3</v>
          </cell>
        </row>
        <row r="221">
          <cell r="A221" t="str">
            <v>11103_1</v>
          </cell>
        </row>
        <row r="222">
          <cell r="A222" t="str">
            <v>11103_2</v>
          </cell>
        </row>
        <row r="223">
          <cell r="A223" t="str">
            <v>11103_3</v>
          </cell>
        </row>
        <row r="224">
          <cell r="A224" t="str">
            <v>11104_1</v>
          </cell>
        </row>
        <row r="225">
          <cell r="A225" t="str">
            <v>11104_2</v>
          </cell>
        </row>
        <row r="226">
          <cell r="A226" t="str">
            <v>11104_3</v>
          </cell>
        </row>
        <row r="227">
          <cell r="A227" t="str">
            <v>11105_1</v>
          </cell>
        </row>
        <row r="228">
          <cell r="A228" t="str">
            <v>11105_2</v>
          </cell>
        </row>
        <row r="229">
          <cell r="A229" t="str">
            <v>11105_3</v>
          </cell>
        </row>
        <row r="230">
          <cell r="A230" t="str">
            <v>11105_4</v>
          </cell>
        </row>
        <row r="231">
          <cell r="A231" t="str">
            <v>11106_1</v>
          </cell>
        </row>
        <row r="232">
          <cell r="A232" t="str">
            <v>11106_2</v>
          </cell>
        </row>
        <row r="233">
          <cell r="A233" t="str">
            <v>11106_3</v>
          </cell>
        </row>
        <row r="234">
          <cell r="A234" t="str">
            <v>11206_1</v>
          </cell>
        </row>
        <row r="235">
          <cell r="A235" t="str">
            <v>11206_2</v>
          </cell>
        </row>
        <row r="236">
          <cell r="A236" t="str">
            <v>11206_3</v>
          </cell>
        </row>
        <row r="237">
          <cell r="A237" t="str">
            <v>11016_1</v>
          </cell>
        </row>
        <row r="238">
          <cell r="A238" t="str">
            <v>11207_1</v>
          </cell>
        </row>
        <row r="239">
          <cell r="A239" t="str">
            <v>11207_2</v>
          </cell>
        </row>
        <row r="240">
          <cell r="A240" t="str">
            <v>11208_1</v>
          </cell>
        </row>
        <row r="241">
          <cell r="A241" t="str">
            <v>11208_2</v>
          </cell>
        </row>
        <row r="242">
          <cell r="A242" t="str">
            <v>11209_1</v>
          </cell>
        </row>
        <row r="243">
          <cell r="A243" t="str">
            <v>11209_2</v>
          </cell>
        </row>
        <row r="244">
          <cell r="A244" t="str">
            <v>11210_1</v>
          </cell>
        </row>
        <row r="245">
          <cell r="A245" t="str">
            <v>11210_2</v>
          </cell>
        </row>
        <row r="246">
          <cell r="A246" t="str">
            <v>11210_3</v>
          </cell>
        </row>
        <row r="247">
          <cell r="A247" t="str">
            <v>11210_4</v>
          </cell>
        </row>
        <row r="248">
          <cell r="A248" t="str">
            <v>11211_1</v>
          </cell>
        </row>
        <row r="249">
          <cell r="A249" t="str">
            <v>11211_2</v>
          </cell>
        </row>
        <row r="250">
          <cell r="A250" t="str">
            <v>11211_3</v>
          </cell>
        </row>
        <row r="251">
          <cell r="A251" t="str">
            <v>11211_4</v>
          </cell>
        </row>
        <row r="252">
          <cell r="A252" t="str">
            <v>11212_1</v>
          </cell>
        </row>
        <row r="253">
          <cell r="A253" t="str">
            <v>11213_1</v>
          </cell>
        </row>
        <row r="254">
          <cell r="A254" t="str">
            <v>11214_1</v>
          </cell>
        </row>
        <row r="255">
          <cell r="A255" t="str">
            <v>11214_2</v>
          </cell>
        </row>
        <row r="256">
          <cell r="A256" t="str">
            <v>11214_3</v>
          </cell>
        </row>
        <row r="257">
          <cell r="A257" t="str">
            <v>11215_1</v>
          </cell>
        </row>
        <row r="258">
          <cell r="A258" t="str">
            <v>11216_1</v>
          </cell>
        </row>
        <row r="259">
          <cell r="A259" t="str">
            <v>11217_1</v>
          </cell>
        </row>
        <row r="260">
          <cell r="A260" t="str">
            <v>12001_1</v>
          </cell>
        </row>
        <row r="261">
          <cell r="A261" t="str">
            <v>12001_2</v>
          </cell>
        </row>
        <row r="262">
          <cell r="A262" t="str">
            <v>12001_3</v>
          </cell>
        </row>
        <row r="263">
          <cell r="A263" t="str">
            <v>12002_3</v>
          </cell>
        </row>
        <row r="264">
          <cell r="A264" t="str">
            <v>12002_2</v>
          </cell>
        </row>
        <row r="265">
          <cell r="A265" t="str">
            <v>12002_1</v>
          </cell>
        </row>
        <row r="266">
          <cell r="A266" t="str">
            <v>12003_1</v>
          </cell>
        </row>
        <row r="267">
          <cell r="A267" t="str">
            <v>12003_2</v>
          </cell>
        </row>
        <row r="268">
          <cell r="A268" t="str">
            <v>12003_3</v>
          </cell>
        </row>
        <row r="269">
          <cell r="A269" t="str">
            <v>12003_4</v>
          </cell>
        </row>
        <row r="270">
          <cell r="A270" t="str">
            <v>13001_1</v>
          </cell>
        </row>
        <row r="271">
          <cell r="A271" t="str">
            <v>13001_2</v>
          </cell>
        </row>
        <row r="272">
          <cell r="A272" t="str">
            <v>13001_3</v>
          </cell>
        </row>
        <row r="273">
          <cell r="A273" t="str">
            <v>13001_4</v>
          </cell>
        </row>
        <row r="274">
          <cell r="A274" t="str">
            <v>13001_5</v>
          </cell>
        </row>
        <row r="275">
          <cell r="A275" t="str">
            <v>13001_6</v>
          </cell>
        </row>
        <row r="276">
          <cell r="A276" t="str">
            <v>13001_7</v>
          </cell>
        </row>
        <row r="277">
          <cell r="A277" t="str">
            <v>13001_8</v>
          </cell>
        </row>
        <row r="278">
          <cell r="A278" t="str">
            <v>13001_9</v>
          </cell>
        </row>
        <row r="279">
          <cell r="A279" t="str">
            <v>13001_10</v>
          </cell>
        </row>
        <row r="280">
          <cell r="A280" t="str">
            <v>13001_11</v>
          </cell>
        </row>
        <row r="281">
          <cell r="A281" t="str">
            <v>13001_12</v>
          </cell>
        </row>
        <row r="282">
          <cell r="A282" t="str">
            <v>13001_13</v>
          </cell>
        </row>
        <row r="283">
          <cell r="A283" t="str">
            <v>13001_14</v>
          </cell>
        </row>
        <row r="284">
          <cell r="A284" t="str">
            <v>13001_15</v>
          </cell>
        </row>
        <row r="285">
          <cell r="A285" t="str">
            <v>13001_16</v>
          </cell>
        </row>
        <row r="286">
          <cell r="A286" t="str">
            <v>13001_17</v>
          </cell>
        </row>
        <row r="287">
          <cell r="A287" t="str">
            <v>13001_18</v>
          </cell>
        </row>
        <row r="288">
          <cell r="A288" t="str">
            <v>13001_19</v>
          </cell>
        </row>
        <row r="289">
          <cell r="A289" t="str">
            <v>13001_20</v>
          </cell>
        </row>
        <row r="290">
          <cell r="A290" t="str">
            <v>13001_21</v>
          </cell>
        </row>
        <row r="291">
          <cell r="A291" t="str">
            <v>13001_22</v>
          </cell>
        </row>
        <row r="292">
          <cell r="A292" t="str">
            <v>13001_23</v>
          </cell>
        </row>
        <row r="293">
          <cell r="A293" t="str">
            <v>13001_24</v>
          </cell>
        </row>
        <row r="294">
          <cell r="A294" t="str">
            <v>13001_25</v>
          </cell>
        </row>
        <row r="295">
          <cell r="A295" t="str">
            <v>20001_1</v>
          </cell>
        </row>
        <row r="296">
          <cell r="A296" t="str">
            <v>20001_2</v>
          </cell>
        </row>
        <row r="297">
          <cell r="A297" t="str">
            <v>20001_3</v>
          </cell>
        </row>
        <row r="298">
          <cell r="A298" t="str">
            <v>20002_1</v>
          </cell>
        </row>
        <row r="299">
          <cell r="A299" t="str">
            <v>20002_2</v>
          </cell>
        </row>
        <row r="300">
          <cell r="A300" t="str">
            <v>20002_3</v>
          </cell>
        </row>
        <row r="301">
          <cell r="A301" t="str">
            <v>20003_1</v>
          </cell>
        </row>
        <row r="302">
          <cell r="A302" t="str">
            <v>20003_2</v>
          </cell>
        </row>
        <row r="303">
          <cell r="A303" t="str">
            <v>20003_3</v>
          </cell>
        </row>
        <row r="304">
          <cell r="A304" t="str">
            <v>20004_1</v>
          </cell>
        </row>
        <row r="305">
          <cell r="A305" t="str">
            <v>20004_2</v>
          </cell>
        </row>
        <row r="306">
          <cell r="A306" t="str">
            <v>20004_3</v>
          </cell>
        </row>
        <row r="307">
          <cell r="A307" t="str">
            <v>20005_1</v>
          </cell>
        </row>
        <row r="308">
          <cell r="A308" t="str">
            <v>20005_2</v>
          </cell>
        </row>
        <row r="309">
          <cell r="A309" t="str">
            <v>20005_3</v>
          </cell>
        </row>
        <row r="310">
          <cell r="A310" t="str">
            <v>20006_1</v>
          </cell>
        </row>
        <row r="311">
          <cell r="A311" t="str">
            <v>20006_2</v>
          </cell>
        </row>
        <row r="312">
          <cell r="A312" t="str">
            <v>20006_3</v>
          </cell>
        </row>
        <row r="313">
          <cell r="A313" t="str">
            <v>20007_1</v>
          </cell>
        </row>
        <row r="314">
          <cell r="A314" t="str">
            <v>20007_2</v>
          </cell>
        </row>
        <row r="315">
          <cell r="A315" t="str">
            <v>20007_3</v>
          </cell>
        </row>
        <row r="316">
          <cell r="A316" t="str">
            <v>20008_1</v>
          </cell>
        </row>
        <row r="317">
          <cell r="A317" t="str">
            <v>20008_2</v>
          </cell>
        </row>
        <row r="318">
          <cell r="A318" t="str">
            <v>20008_3</v>
          </cell>
        </row>
        <row r="319">
          <cell r="A319" t="str">
            <v>20009_1</v>
          </cell>
        </row>
        <row r="320">
          <cell r="A320" t="str">
            <v>20009_2</v>
          </cell>
        </row>
        <row r="321">
          <cell r="A321" t="str">
            <v>20009_3</v>
          </cell>
        </row>
        <row r="322">
          <cell r="A322" t="str">
            <v>20010_1</v>
          </cell>
        </row>
        <row r="323">
          <cell r="A323" t="str">
            <v>20010_2</v>
          </cell>
        </row>
        <row r="324">
          <cell r="A324" t="str">
            <v>20010_3</v>
          </cell>
        </row>
        <row r="325">
          <cell r="A325" t="str">
            <v>20011_1</v>
          </cell>
        </row>
        <row r="326">
          <cell r="A326" t="str">
            <v>20011_2</v>
          </cell>
        </row>
        <row r="327">
          <cell r="A327" t="str">
            <v>20011_3</v>
          </cell>
        </row>
        <row r="328">
          <cell r="A328" t="str">
            <v>20012_1</v>
          </cell>
        </row>
        <row r="329">
          <cell r="A329" t="str">
            <v>20012_2</v>
          </cell>
        </row>
        <row r="330">
          <cell r="A330" t="str">
            <v>20012_3</v>
          </cell>
        </row>
        <row r="331">
          <cell r="A331" t="str">
            <v>30001_1</v>
          </cell>
        </row>
        <row r="332">
          <cell r="A332" t="str">
            <v>30001_2</v>
          </cell>
        </row>
        <row r="333">
          <cell r="A333" t="str">
            <v>30001_3</v>
          </cell>
        </row>
        <row r="334">
          <cell r="A334" t="str">
            <v>30002_1</v>
          </cell>
        </row>
        <row r="335">
          <cell r="A335" t="str">
            <v>30002_2</v>
          </cell>
        </row>
        <row r="336">
          <cell r="A336" t="str">
            <v>30002_3</v>
          </cell>
        </row>
        <row r="337">
          <cell r="A337" t="str">
            <v>30003_1</v>
          </cell>
        </row>
        <row r="338">
          <cell r="A338" t="str">
            <v>30003_2</v>
          </cell>
        </row>
        <row r="339">
          <cell r="A339" t="str">
            <v>30003_3</v>
          </cell>
        </row>
        <row r="340">
          <cell r="A340" t="str">
            <v>30004_1</v>
          </cell>
        </row>
        <row r="341">
          <cell r="A341" t="str">
            <v>30004_2</v>
          </cell>
        </row>
        <row r="342">
          <cell r="A342" t="str">
            <v>30004_3</v>
          </cell>
        </row>
        <row r="343">
          <cell r="A343" t="str">
            <v>30005_1</v>
          </cell>
        </row>
        <row r="344">
          <cell r="A344" t="str">
            <v>30005_2</v>
          </cell>
        </row>
        <row r="345">
          <cell r="A345" t="str">
            <v>30005_3</v>
          </cell>
        </row>
        <row r="346">
          <cell r="A346" t="str">
            <v>30006_1</v>
          </cell>
        </row>
        <row r="347">
          <cell r="A347" t="str">
            <v>30006_2</v>
          </cell>
        </row>
        <row r="348">
          <cell r="A348" t="str">
            <v>30006_3</v>
          </cell>
        </row>
        <row r="349">
          <cell r="A349" t="str">
            <v>30007_1</v>
          </cell>
        </row>
        <row r="350">
          <cell r="A350" t="str">
            <v>30007_2</v>
          </cell>
        </row>
        <row r="351">
          <cell r="A351" t="str">
            <v>30007_3</v>
          </cell>
        </row>
        <row r="352">
          <cell r="A352" t="str">
            <v>30008_1</v>
          </cell>
        </row>
        <row r="353">
          <cell r="A353" t="str">
            <v>30008_2</v>
          </cell>
        </row>
        <row r="354">
          <cell r="A354" t="str">
            <v>30008_3</v>
          </cell>
        </row>
        <row r="355">
          <cell r="A355" t="str">
            <v>30009_3</v>
          </cell>
        </row>
        <row r="356">
          <cell r="A356" t="str">
            <v>30009_1</v>
          </cell>
        </row>
        <row r="357">
          <cell r="A357" t="str">
            <v>30009_2</v>
          </cell>
        </row>
        <row r="358">
          <cell r="A358" t="str">
            <v>30010_1</v>
          </cell>
        </row>
        <row r="359">
          <cell r="A359" t="str">
            <v>30010_2</v>
          </cell>
        </row>
        <row r="360">
          <cell r="A360" t="str">
            <v>30010_3</v>
          </cell>
        </row>
        <row r="361">
          <cell r="A361" t="str">
            <v>30011_1</v>
          </cell>
        </row>
        <row r="362">
          <cell r="A362" t="str">
            <v>30011_2</v>
          </cell>
        </row>
        <row r="363">
          <cell r="A363" t="str">
            <v>30011_3</v>
          </cell>
        </row>
        <row r="364">
          <cell r="A364" t="str">
            <v>30012_1</v>
          </cell>
        </row>
        <row r="365">
          <cell r="A365" t="str">
            <v>30012_2</v>
          </cell>
        </row>
        <row r="366">
          <cell r="A366" t="str">
            <v>30012_3</v>
          </cell>
        </row>
        <row r="367">
          <cell r="A367" t="str">
            <v>30013_1</v>
          </cell>
        </row>
        <row r="368">
          <cell r="A368" t="str">
            <v>30013_2</v>
          </cell>
        </row>
        <row r="369">
          <cell r="A369" t="str">
            <v>30014_1</v>
          </cell>
        </row>
        <row r="370">
          <cell r="A370" t="str">
            <v>30014_2</v>
          </cell>
        </row>
        <row r="371">
          <cell r="A371" t="str">
            <v>30015_1</v>
          </cell>
        </row>
        <row r="372">
          <cell r="A372" t="str">
            <v>30015_2</v>
          </cell>
        </row>
        <row r="373">
          <cell r="A373" t="str">
            <v>30016_1</v>
          </cell>
        </row>
        <row r="374">
          <cell r="A374" t="str">
            <v>30016_2</v>
          </cell>
        </row>
        <row r="375">
          <cell r="A375" t="str">
            <v>30017_1</v>
          </cell>
        </row>
        <row r="376">
          <cell r="A376" t="str">
            <v>30017_2</v>
          </cell>
        </row>
        <row r="377">
          <cell r="A377" t="str">
            <v>30018_1</v>
          </cell>
        </row>
        <row r="378">
          <cell r="A378" t="str">
            <v>30018_2</v>
          </cell>
        </row>
        <row r="379">
          <cell r="A379" t="str">
            <v>30019_1</v>
          </cell>
        </row>
        <row r="380">
          <cell r="A380" t="str">
            <v>30019_2</v>
          </cell>
        </row>
        <row r="381">
          <cell r="A381" t="str">
            <v>30020_1</v>
          </cell>
        </row>
        <row r="382">
          <cell r="A382" t="str">
            <v>30020_2</v>
          </cell>
        </row>
        <row r="383">
          <cell r="A383" t="str">
            <v>30021_1</v>
          </cell>
        </row>
        <row r="384">
          <cell r="A384" t="str">
            <v>30021_2</v>
          </cell>
        </row>
        <row r="385">
          <cell r="A385" t="str">
            <v>30021_3</v>
          </cell>
        </row>
        <row r="386">
          <cell r="A386" t="str">
            <v>40001_1</v>
          </cell>
        </row>
        <row r="387">
          <cell r="A387" t="str">
            <v>40002_1</v>
          </cell>
        </row>
        <row r="388">
          <cell r="A388" t="str">
            <v>40002_2</v>
          </cell>
        </row>
        <row r="389">
          <cell r="A389" t="str">
            <v>40002_3</v>
          </cell>
        </row>
        <row r="390">
          <cell r="A390" t="str">
            <v>40003_1</v>
          </cell>
        </row>
        <row r="391">
          <cell r="A391" t="str">
            <v>40004_1</v>
          </cell>
        </row>
        <row r="392">
          <cell r="A392" t="str">
            <v>40005_1</v>
          </cell>
        </row>
        <row r="393">
          <cell r="A393" t="str">
            <v>40006_1</v>
          </cell>
        </row>
        <row r="394">
          <cell r="A394" t="str">
            <v>50001_1</v>
          </cell>
        </row>
        <row r="395">
          <cell r="A395" t="str">
            <v>65535_1</v>
          </cell>
        </row>
        <row r="396">
          <cell r="A396" t="str">
            <v>65535_2</v>
          </cell>
        </row>
        <row r="397">
          <cell r="A397" t="str">
            <v>65535_3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</sheetData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1"/>
  <sheetViews>
    <sheetView workbookViewId="0">
      <selection activeCell="A11" sqref="A11"/>
    </sheetView>
  </sheetViews>
  <sheetFormatPr baseColWidth="12" defaultRowHeight="18" x14ac:dyDescent="0"/>
  <cols>
    <col min="2" max="2" width="18.1640625" bestFit="1" customWidth="1"/>
    <col min="5" max="5" width="26.83203125" bestFit="1" customWidth="1"/>
    <col min="6" max="6" width="22.1640625" bestFit="1" customWidth="1"/>
  </cols>
  <sheetData>
    <row r="1" spans="1:30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>
      <c r="A2" s="61" t="s">
        <v>208</v>
      </c>
      <c r="B2" s="57" t="s">
        <v>107</v>
      </c>
      <c r="C2" s="98" t="s">
        <v>202</v>
      </c>
      <c r="D2" s="57" t="s">
        <v>108</v>
      </c>
      <c r="E2" s="56" t="str">
        <f>B2&amp;C2&amp;D2</f>
        <v>floors_2015-6.tmp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>
      <c r="A3" s="61" t="s">
        <v>208</v>
      </c>
      <c r="B3" s="57" t="s">
        <v>110</v>
      </c>
      <c r="C3" s="98" t="str">
        <f>C$2</f>
        <v>2015-6</v>
      </c>
      <c r="D3" s="57" t="s">
        <v>108</v>
      </c>
      <c r="E3" s="56" t="str">
        <f>B3&amp;C3&amp;D3</f>
        <v>enemy_habitats_2015-6.tmp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178</v>
      </c>
    </row>
    <row r="4" spans="1:30">
      <c r="A4" s="61" t="s">
        <v>208</v>
      </c>
      <c r="B4" s="57" t="s">
        <v>112</v>
      </c>
      <c r="C4" s="98" t="str">
        <f t="shared" ref="C4:C11" si="0">C$2</f>
        <v>2015-6</v>
      </c>
      <c r="D4" s="57" t="s">
        <v>108</v>
      </c>
      <c r="E4" s="56" t="str">
        <f>B4&amp;C4&amp;D4</f>
        <v>enemy_habitat_S_2015-6.tmp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>
      <c r="A5" s="61" t="s">
        <v>208</v>
      </c>
      <c r="B5" s="57" t="s">
        <v>114</v>
      </c>
      <c r="C5" s="98" t="str">
        <f t="shared" si="0"/>
        <v>2015-6</v>
      </c>
      <c r="D5" s="57" t="s">
        <v>108</v>
      </c>
      <c r="E5" s="56" t="str">
        <f>B5&amp;C5&amp;D5</f>
        <v>enemy_skill_sets_2015-6.tmp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>
      <c r="A6" s="61" t="s">
        <v>208</v>
      </c>
      <c r="B6" s="57" t="s">
        <v>116</v>
      </c>
      <c r="C6" s="98" t="str">
        <f t="shared" si="0"/>
        <v>2015-6</v>
      </c>
      <c r="D6" s="57" t="s">
        <v>117</v>
      </c>
      <c r="E6" s="56" t="str">
        <f t="shared" ref="E6:E11" si="1">B6&amp;C6&amp;D6</f>
        <v>enemy_skills_tmp_2015-6.tmp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>
      <c r="A7" s="61" t="s">
        <v>208</v>
      </c>
      <c r="B7" s="57" t="s">
        <v>118</v>
      </c>
      <c r="C7" s="98" t="str">
        <f t="shared" si="0"/>
        <v>2015-6</v>
      </c>
      <c r="D7" s="57" t="s">
        <v>108</v>
      </c>
      <c r="E7" s="56" t="str">
        <f>B7&amp;C7&amp;D7</f>
        <v>enemy_skills_i18n_2015-6.tmp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>
      <c r="A8" s="61" t="s">
        <v>208</v>
      </c>
      <c r="B8" s="57" t="s">
        <v>120</v>
      </c>
      <c r="C8" s="98" t="str">
        <f t="shared" si="0"/>
        <v>2015-6</v>
      </c>
      <c r="D8" s="57" t="s">
        <v>121</v>
      </c>
      <c r="E8" s="56" t="str">
        <f t="shared" si="1"/>
        <v>enemy_skill_triggers_2015-6.tmp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>
      <c r="A9" s="61" t="s">
        <v>208</v>
      </c>
      <c r="B9" s="67" t="s">
        <v>177</v>
      </c>
      <c r="C9" s="98" t="str">
        <f t="shared" si="0"/>
        <v>2015-6</v>
      </c>
      <c r="D9" s="67" t="s">
        <v>171</v>
      </c>
      <c r="E9" s="68" t="str">
        <f t="shared" si="1"/>
        <v>stage_bug_bonuses_2015-6.tmp</v>
      </c>
      <c r="F9" s="67" t="s">
        <v>172</v>
      </c>
      <c r="G9" s="64" t="s">
        <v>151</v>
      </c>
      <c r="H9" s="64" t="s">
        <v>173</v>
      </c>
      <c r="I9" s="64" t="s">
        <v>174</v>
      </c>
      <c r="J9" s="66" t="s">
        <v>175</v>
      </c>
      <c r="K9" s="64" t="s">
        <v>176</v>
      </c>
      <c r="L9" s="64" t="s">
        <v>157</v>
      </c>
      <c r="M9" s="64" t="s">
        <v>158</v>
      </c>
      <c r="N9" s="64" t="s">
        <v>159</v>
      </c>
      <c r="O9" s="64" t="s">
        <v>160</v>
      </c>
      <c r="P9" s="64" t="s">
        <v>161</v>
      </c>
      <c r="Q9" s="64" t="s">
        <v>162</v>
      </c>
      <c r="R9" s="64" t="s">
        <v>163</v>
      </c>
      <c r="S9" s="64" t="s">
        <v>164</v>
      </c>
      <c r="T9" s="64" t="s">
        <v>165</v>
      </c>
      <c r="U9" s="64" t="s">
        <v>166</v>
      </c>
      <c r="V9" s="64" t="s">
        <v>167</v>
      </c>
      <c r="W9" s="64" t="s">
        <v>168</v>
      </c>
    </row>
    <row r="10" spans="1:30" s="77" customFormat="1">
      <c r="A10" s="61" t="s">
        <v>221</v>
      </c>
      <c r="B10" s="67" t="s">
        <v>180</v>
      </c>
      <c r="C10" s="98" t="str">
        <f t="shared" si="0"/>
        <v>2015-6</v>
      </c>
      <c r="D10" s="67" t="s">
        <v>181</v>
      </c>
      <c r="E10" s="68" t="str">
        <f t="shared" si="1"/>
        <v>stage_hints_data_2015-6.tmp</v>
      </c>
      <c r="F10" s="73" t="s">
        <v>182</v>
      </c>
      <c r="G10" s="74" t="s">
        <v>183</v>
      </c>
      <c r="H10" s="74" t="s">
        <v>173</v>
      </c>
      <c r="I10" s="75" t="s">
        <v>184</v>
      </c>
      <c r="J10" s="66" t="s">
        <v>185</v>
      </c>
      <c r="K10" s="76" t="s">
        <v>186</v>
      </c>
    </row>
    <row r="11" spans="1:30" s="77" customFormat="1">
      <c r="A11" s="61" t="s">
        <v>221</v>
      </c>
      <c r="B11" s="67" t="s">
        <v>187</v>
      </c>
      <c r="C11" s="98" t="str">
        <f t="shared" si="0"/>
        <v>2015-6</v>
      </c>
      <c r="D11" s="67" t="s">
        <v>181</v>
      </c>
      <c r="E11" s="68" t="str">
        <f t="shared" si="1"/>
        <v>stage_hints_i18n_2015-6.tmp</v>
      </c>
      <c r="F11" s="73" t="s">
        <v>182</v>
      </c>
      <c r="G11" s="75" t="s">
        <v>184</v>
      </c>
      <c r="H11" s="78" t="s">
        <v>127</v>
      </c>
      <c r="I11" s="74" t="s">
        <v>188</v>
      </c>
      <c r="J11" s="79" t="s">
        <v>189</v>
      </c>
      <c r="K11" s="76" t="s">
        <v>190</v>
      </c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8"/>
  <sheetViews>
    <sheetView showGridLines="0" workbookViewId="0">
      <pane ySplit="1" topLeftCell="A2" activePane="bottomLeft" state="frozen"/>
      <selection activeCell="V2" sqref="V2:X34"/>
      <selection pane="bottomLeft" activeCell="L7" sqref="L7"/>
    </sheetView>
  </sheetViews>
  <sheetFormatPr baseColWidth="12" defaultColWidth="13" defaultRowHeight="21" customHeight="1" outlineLevelCol="1" x14ac:dyDescent="0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>
      <c r="A2" s="16" t="str">
        <f t="shared" ref="A2:A7" si="0">G2&amp;"-"&amp;I2</f>
        <v>11216_1-1</v>
      </c>
      <c r="B2" s="16" t="str">
        <f>IF(COUNTIF(enemy_habitats!$H:$H,A2),"OK","NG")</f>
        <v>OK</v>
      </c>
      <c r="C2" s="7">
        <v>11216</v>
      </c>
      <c r="D2" s="11" t="str">
        <f ca="1">VLOOKUP($C2,OFFSET([2]quests!$A$1,0,0,COUNTA([2]quests!$A:$A),MATCH(D$1,[2]quests!$1:$1,0)-MATCH($C$1,[2]quests!$1:$1,0)+1),MATCH(D$1,[2]quests!$1:$1,0)-MATCH($C$1,[2]quests!$1:$1,0)+1,FALSE)</f>
        <v>年越し★特別クエスト</v>
      </c>
      <c r="E2" s="18" t="str">
        <f ca="1">VLOOKUP($C2,OFFSET([2]quests!$A$1,0,0,COUNTA([2]quests!$A:$A),MATCH(E$1,[2]quests!$1:$1,0)-MATCH($C$1,[2]quests!$1:$1,0)+1),MATCH(E$1,[2]quests!$1:$1,0)-MATCH($C$1,[2]quests!$1:$1,0)+1,FALSE)</f>
        <v>2015年年越しクエスト</v>
      </c>
      <c r="F2" s="21">
        <v>1</v>
      </c>
      <c r="G2" s="23" t="str">
        <f t="shared" ref="G2:G7" si="1">C2&amp;"_"&amp;F2</f>
        <v>11216_1</v>
      </c>
      <c r="H2" s="15" t="str">
        <f ca="1">VLOOKUP($G2,OFFSET([2]stages!$A$1,0,0,COUNTA([2]stages!$A:$A),MATCH(H$1,[2]stages!$2:$2,0)-MATCH($G$1,[2]stages!$2:$2,0)+1),MATCH(H$1,[2]stages!$2:$2,0)-MATCH($G$1,[2]stages!$2:$2,0)+1,FALSE)</f>
        <v>【上級】年を越える宴（ハートなし）</v>
      </c>
      <c r="I2" s="21">
        <v>1</v>
      </c>
      <c r="J2" s="12">
        <v>15</v>
      </c>
      <c r="K2" s="12">
        <v>15</v>
      </c>
    </row>
    <row r="3" spans="1:11" ht="21" customHeight="1">
      <c r="A3" s="16" t="str">
        <f t="shared" si="0"/>
        <v>11216_1-2</v>
      </c>
      <c r="B3" s="16" t="str">
        <f>IF(COUNTIF(enemy_habitats!$H:$H,A3),"OK","NG")</f>
        <v>OK</v>
      </c>
      <c r="C3" s="7">
        <v>11216</v>
      </c>
      <c r="D3" s="11" t="str">
        <f ca="1">VLOOKUP($C3,OFFSET([2]quests!$A$1,0,0,COUNTA([2]quests!$A:$A),MATCH(D$1,[2]quests!$1:$1,0)-MATCH($C$1,[2]quests!$1:$1,0)+1),MATCH(D$1,[2]quests!$1:$1,0)-MATCH($C$1,[2]quests!$1:$1,0)+1,FALSE)</f>
        <v>年越し★特別クエスト</v>
      </c>
      <c r="E3" s="18" t="str">
        <f ca="1">VLOOKUP($C3,OFFSET([2]quests!$A$1,0,0,COUNTA([2]quests!$A:$A),MATCH(E$1,[2]quests!$1:$1,0)-MATCH($C$1,[2]quests!$1:$1,0)+1),MATCH(E$1,[2]quests!$1:$1,0)-MATCH($C$1,[2]quests!$1:$1,0)+1,FALSE)</f>
        <v>2015年年越しクエスト</v>
      </c>
      <c r="F3" s="21">
        <v>1</v>
      </c>
      <c r="G3" s="23" t="str">
        <f t="shared" si="1"/>
        <v>11216_1</v>
      </c>
      <c r="H3" s="15" t="str">
        <f ca="1">VLOOKUP($G3,OFFSET([2]stages!$A$1,0,0,COUNTA([2]stages!$A:$A),MATCH(H$1,[2]stages!$2:$2,0)-MATCH($G$1,[2]stages!$2:$2,0)+1),MATCH(H$1,[2]stages!$2:$2,0)-MATCH($G$1,[2]stages!$2:$2,0)+1,FALSE)</f>
        <v>【上級】年を越える宴（ハートなし）</v>
      </c>
      <c r="I3" s="21">
        <v>2</v>
      </c>
      <c r="J3" s="12">
        <v>35</v>
      </c>
      <c r="K3" s="12">
        <v>35</v>
      </c>
    </row>
    <row r="4" spans="1:11" ht="21" customHeight="1">
      <c r="A4" s="16" t="str">
        <f t="shared" si="0"/>
        <v>11216_1-3</v>
      </c>
      <c r="B4" s="16" t="str">
        <f>IF(COUNTIF(enemy_habitats!$H:$H,A4),"OK","NG")</f>
        <v>OK</v>
      </c>
      <c r="C4" s="7">
        <v>11216</v>
      </c>
      <c r="D4" s="11" t="str">
        <f ca="1">VLOOKUP($C4,OFFSET([2]quests!$A$1,0,0,COUNTA([2]quests!$A:$A),MATCH(D$1,[2]quests!$1:$1,0)-MATCH($C$1,[2]quests!$1:$1,0)+1),MATCH(D$1,[2]quests!$1:$1,0)-MATCH($C$1,[2]quests!$1:$1,0)+1,FALSE)</f>
        <v>年越し★特別クエスト</v>
      </c>
      <c r="E4" s="18" t="str">
        <f ca="1">VLOOKUP($C4,OFFSET([2]quests!$A$1,0,0,COUNTA([2]quests!$A:$A),MATCH(E$1,[2]quests!$1:$1,0)-MATCH($C$1,[2]quests!$1:$1,0)+1),MATCH(E$1,[2]quests!$1:$1,0)-MATCH($C$1,[2]quests!$1:$1,0)+1,FALSE)</f>
        <v>2015年年越しクエスト</v>
      </c>
      <c r="F4" s="21">
        <v>1</v>
      </c>
      <c r="G4" s="23" t="str">
        <f t="shared" si="1"/>
        <v>11216_1</v>
      </c>
      <c r="H4" s="15" t="str">
        <f ca="1">VLOOKUP($G4,OFFSET([2]stages!$A$1,0,0,COUNTA([2]stages!$A:$A),MATCH(H$1,[2]stages!$2:$2,0)-MATCH($G$1,[2]stages!$2:$2,0)+1),MATCH(H$1,[2]stages!$2:$2,0)-MATCH($G$1,[2]stages!$2:$2,0)+1,FALSE)</f>
        <v>【上級】年を越える宴（ハートなし）</v>
      </c>
      <c r="I4" s="21">
        <v>3</v>
      </c>
      <c r="J4" s="12">
        <v>35</v>
      </c>
      <c r="K4" s="12">
        <v>35</v>
      </c>
    </row>
    <row r="5" spans="1:11" ht="21" customHeight="1">
      <c r="A5" s="16" t="str">
        <f t="shared" si="0"/>
        <v>11216_1-4</v>
      </c>
      <c r="B5" s="16" t="str">
        <f>IF(COUNTIF(enemy_habitats!$H:$H,A5),"OK","NG")</f>
        <v>OK</v>
      </c>
      <c r="C5" s="7">
        <v>11216</v>
      </c>
      <c r="D5" s="11" t="str">
        <f ca="1">VLOOKUP($C5,OFFSET([2]quests!$A$1,0,0,COUNTA([2]quests!$A:$A),MATCH(D$1,[2]quests!$1:$1,0)-MATCH($C$1,[2]quests!$1:$1,0)+1),MATCH(D$1,[2]quests!$1:$1,0)-MATCH($C$1,[2]quests!$1:$1,0)+1,FALSE)</f>
        <v>年越し★特別クエスト</v>
      </c>
      <c r="E5" s="18" t="str">
        <f ca="1">VLOOKUP($C5,OFFSET([2]quests!$A$1,0,0,COUNTA([2]quests!$A:$A),MATCH(E$1,[2]quests!$1:$1,0)-MATCH($C$1,[2]quests!$1:$1,0)+1),MATCH(E$1,[2]quests!$1:$1,0)-MATCH($C$1,[2]quests!$1:$1,0)+1,FALSE)</f>
        <v>2015年年越しクエスト</v>
      </c>
      <c r="F5" s="21">
        <v>1</v>
      </c>
      <c r="G5" s="23" t="str">
        <f t="shared" si="1"/>
        <v>11216_1</v>
      </c>
      <c r="H5" s="15" t="str">
        <f ca="1">VLOOKUP($G5,OFFSET([2]stages!$A$1,0,0,COUNTA([2]stages!$A:$A),MATCH(H$1,[2]stages!$2:$2,0)-MATCH($G$1,[2]stages!$2:$2,0)+1),MATCH(H$1,[2]stages!$2:$2,0)-MATCH($G$1,[2]stages!$2:$2,0)+1,FALSE)</f>
        <v>【上級】年を越える宴（ハートなし）</v>
      </c>
      <c r="I5" s="21">
        <v>4</v>
      </c>
      <c r="J5" s="12">
        <v>40</v>
      </c>
      <c r="K5" s="12">
        <v>40</v>
      </c>
    </row>
    <row r="6" spans="1:11" ht="21" customHeight="1">
      <c r="A6" s="16" t="str">
        <f t="shared" si="0"/>
        <v>11216_1-5</v>
      </c>
      <c r="B6" s="16" t="str">
        <f>IF(COUNTIF(enemy_habitats!$H:$H,A6),"OK","NG")</f>
        <v>OK</v>
      </c>
      <c r="C6" s="7">
        <v>11216</v>
      </c>
      <c r="D6" s="11" t="str">
        <f ca="1">VLOOKUP($C6,OFFSET([2]quests!$A$1,0,0,COUNTA([2]quests!$A:$A),MATCH(D$1,[2]quests!$1:$1,0)-MATCH($C$1,[2]quests!$1:$1,0)+1),MATCH(D$1,[2]quests!$1:$1,0)-MATCH($C$1,[2]quests!$1:$1,0)+1,FALSE)</f>
        <v>年越し★特別クエスト</v>
      </c>
      <c r="E6" s="18" t="str">
        <f ca="1">VLOOKUP($C6,OFFSET([2]quests!$A$1,0,0,COUNTA([2]quests!$A:$A),MATCH(E$1,[2]quests!$1:$1,0)-MATCH($C$1,[2]quests!$1:$1,0)+1),MATCH(E$1,[2]quests!$1:$1,0)-MATCH($C$1,[2]quests!$1:$1,0)+1,FALSE)</f>
        <v>2015年年越しクエスト</v>
      </c>
      <c r="F6" s="21">
        <v>1</v>
      </c>
      <c r="G6" s="23" t="str">
        <f t="shared" si="1"/>
        <v>11216_1</v>
      </c>
      <c r="H6" s="15" t="str">
        <f ca="1">VLOOKUP($G6,OFFSET([2]stages!$A$1,0,0,COUNTA([2]stages!$A:$A),MATCH(H$1,[2]stages!$2:$2,0)-MATCH($G$1,[2]stages!$2:$2,0)+1),MATCH(H$1,[2]stages!$2:$2,0)-MATCH($G$1,[2]stages!$2:$2,0)+1,FALSE)</f>
        <v>【上級】年を越える宴（ハートなし）</v>
      </c>
      <c r="I6" s="21">
        <v>5</v>
      </c>
      <c r="J6" s="12">
        <v>70</v>
      </c>
      <c r="K6" s="12">
        <v>70</v>
      </c>
    </row>
    <row r="7" spans="1:11" ht="21" customHeight="1">
      <c r="A7" s="16" t="str">
        <f t="shared" si="0"/>
        <v>11217_1-1</v>
      </c>
      <c r="B7" s="16" t="str">
        <f>IF(COUNTIF(enemy_habitats!$H:$H,A7),"OK","NG")</f>
        <v>OK</v>
      </c>
      <c r="C7" s="7">
        <v>11217</v>
      </c>
      <c r="D7" s="11" t="str">
        <f ca="1">VLOOKUP($C7,OFFSET([2]quests!$A$1,0,0,COUNTA([2]quests!$A:$A),MATCH(D$1,[2]quests!$1:$1,0)-MATCH($C$1,[2]quests!$1:$1,0)+1),MATCH(D$1,[2]quests!$1:$1,0)-MATCH($C$1,[2]quests!$1:$1,0)+1,FALSE)</f>
        <v>年明け★特別クエスト</v>
      </c>
      <c r="E7" s="18" t="str">
        <f ca="1">VLOOKUP($C7,OFFSET([2]quests!$A$1,0,0,COUNTA([2]quests!$A:$A),MATCH(E$1,[2]quests!$1:$1,0)-MATCH($C$1,[2]quests!$1:$1,0)+1),MATCH(E$1,[2]quests!$1:$1,0)-MATCH($C$1,[2]quests!$1:$1,0)+1,FALSE)</f>
        <v>2016年あけおめクエスト</v>
      </c>
      <c r="F7" s="21">
        <v>1</v>
      </c>
      <c r="G7" s="23" t="str">
        <f t="shared" si="1"/>
        <v>11217_1</v>
      </c>
      <c r="H7" s="15" t="str">
        <f ca="1">VLOOKUP($G7,OFFSET([2]stages!$A$1,0,0,COUNTA([2]stages!$A:$A),MATCH(H$1,[2]stages!$2:$2,0)-MATCH($G$1,[2]stages!$2:$2,0)+1),MATCH(H$1,[2]stages!$2:$2,0)-MATCH($G$1,[2]stages!$2:$2,0)+1,FALSE)</f>
        <v>あけおめダックのお年玉</v>
      </c>
      <c r="I7" s="21">
        <v>1</v>
      </c>
      <c r="J7" s="12">
        <v>60</v>
      </c>
      <c r="K7" s="12">
        <v>60</v>
      </c>
    </row>
    <row r="8" spans="1:11" ht="21" customHeight="1">
      <c r="A8" s="16" t="str">
        <f t="shared" ref="A8" si="2">G8&amp;"-"&amp;I8</f>
        <v>11217_1-2</v>
      </c>
      <c r="B8" s="16" t="str">
        <f>IF(COUNTIF(enemy_habitats!$H:$H,A8),"OK","NG")</f>
        <v>OK</v>
      </c>
      <c r="C8" s="7">
        <v>11217</v>
      </c>
      <c r="D8" s="11" t="str">
        <f ca="1">VLOOKUP($C8,OFFSET([2]quests!$A$1,0,0,COUNTA([2]quests!$A:$A),MATCH(D$1,[2]quests!$1:$1,0)-MATCH($C$1,[2]quests!$1:$1,0)+1),MATCH(D$1,[2]quests!$1:$1,0)-MATCH($C$1,[2]quests!$1:$1,0)+1,FALSE)</f>
        <v>年明け★特別クエスト</v>
      </c>
      <c r="E8" s="18" t="str">
        <f ca="1">VLOOKUP($C8,OFFSET([2]quests!$A$1,0,0,COUNTA([2]quests!$A:$A),MATCH(E$1,[2]quests!$1:$1,0)-MATCH($C$1,[2]quests!$1:$1,0)+1),MATCH(E$1,[2]quests!$1:$1,0)-MATCH($C$1,[2]quests!$1:$1,0)+1,FALSE)</f>
        <v>2016年あけおめクエスト</v>
      </c>
      <c r="F8" s="21">
        <v>1</v>
      </c>
      <c r="G8" s="23" t="str">
        <f t="shared" ref="G8" si="3">C8&amp;"_"&amp;F8</f>
        <v>11217_1</v>
      </c>
      <c r="H8" s="15" t="str">
        <f ca="1">VLOOKUP($G8,OFFSET([2]stages!$A$1,0,0,COUNTA([2]stages!$A:$A),MATCH(H$1,[2]stages!$2:$2,0)-MATCH($G$1,[2]stages!$2:$2,0)+1),MATCH(H$1,[2]stages!$2:$2,0)-MATCH($G$1,[2]stages!$2:$2,0)+1,FALSE)</f>
        <v>あけおめダックのお年玉</v>
      </c>
      <c r="I8" s="21">
        <v>2</v>
      </c>
      <c r="J8" s="12">
        <v>45</v>
      </c>
      <c r="K8" s="12">
        <v>45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20"/>
  <sheetViews>
    <sheetView showGridLines="0" tabSelected="1" zoomScale="75" zoomScaleNormal="75" zoomScalePageLayoutView="75" workbookViewId="0">
      <pane xSplit="17" ySplit="1" topLeftCell="AB3" activePane="bottomRight" state="frozen"/>
      <selection pane="topRight" activeCell="N1" sqref="N1"/>
      <selection pane="bottomLeft" activeCell="A2" sqref="A2"/>
      <selection pane="bottomRight" activeCell="AF15" sqref="AF15"/>
    </sheetView>
  </sheetViews>
  <sheetFormatPr baseColWidth="12" defaultColWidth="13" defaultRowHeight="21" customHeight="1" outlineLevelCol="1" x14ac:dyDescent="0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179</v>
      </c>
    </row>
    <row r="2" spans="1:40" ht="21" customHeight="1">
      <c r="A2" s="16" t="str">
        <f t="shared" ref="A2:A15" si="0">B2&amp;"_"&amp;C2&amp;"-"&amp;G2&amp;"/"&amp;L2&amp;"&lt;lv"&amp;R2&amp;"&gt;s"&amp;AA2</f>
        <v>11216_1-1/1&lt;lv32&gt;s1</v>
      </c>
      <c r="B2" s="22">
        <v>11216</v>
      </c>
      <c r="C2" s="21">
        <v>1</v>
      </c>
      <c r="D2" s="2" t="str">
        <f t="shared" ref="D2:D15" si="1">B2&amp;"_"&amp;C2</f>
        <v>11216_1</v>
      </c>
      <c r="E2" s="4" t="str">
        <f ca="1">VLOOKUP($B2,OFFSET([2]quests!$A$1,0,0,COUNTA([2]quests!$A:$A),MATCH(E$1,[2]quests!$1:$1,0)-MATCH($B$1,[2]quests!$1:$1,0)+1),MATCH(E$1,[2]quests!$1:$1,0)-MATCH($B$1,[2]quests!$1:$1,0)+1,FALSE)</f>
        <v>年越し★特別クエスト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【上級】年を越える宴（ハートなし）</v>
      </c>
      <c r="G2" s="21">
        <v>1</v>
      </c>
      <c r="H2" s="15" t="str">
        <f t="shared" ref="H2:H15" si="2">B2&amp;"_"&amp;C2&amp;"-"&amp;G2</f>
        <v>11216_1-1</v>
      </c>
      <c r="I2" s="4">
        <f ca="1">VLOOKUP($H2,OFFSET(floors!$A$1,0,0,COUNTA(floors!$A:$A),MATCH(I$1,floors!$1:$1,0)-MATCH($H$1,floors!$1:$1,0)+1),MATCH(I$1,floors!$1:$1,0)-MATCH($H$1,floors!$1:$1,0)+1,FALSE)</f>
        <v>15</v>
      </c>
      <c r="J2" s="4">
        <f ca="1">VLOOKUP($H2,OFFSET(floors!$A$1,0,0,COUNTA(floors!$A:$A),MATCH(J$1,floors!$1:$1,0)-MATCH($H$1,floors!$1:$1,0)+1),MATCH(J$1,floors!$1:$1,0)-MATCH($H$1,floors!$1:$1,0)+1,FALSE)</f>
        <v>15</v>
      </c>
      <c r="K2" s="38" t="s">
        <v>53</v>
      </c>
      <c r="L2" s="20">
        <v>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ジェリー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32</v>
      </c>
      <c r="S2" s="25">
        <v>1</v>
      </c>
      <c r="T2" s="25">
        <v>1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すると 宴が開かれる という噂だ</v>
      </c>
      <c r="W2" s="62">
        <v>112161100</v>
      </c>
      <c r="X2" s="6">
        <v>1</v>
      </c>
      <c r="Y2" s="6">
        <v>0</v>
      </c>
      <c r="Z2" s="6">
        <v>0</v>
      </c>
      <c r="AA2" s="99">
        <v>1</v>
      </c>
      <c r="AB2" s="24">
        <f t="shared" ref="AB2:AB15" si="3">L2</f>
        <v>1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Drop1T</v>
      </c>
      <c r="AF2" s="7">
        <v>1</v>
      </c>
      <c r="AG2" s="24">
        <f t="shared" ref="AG2:AG15" ca="1" si="4">AD2</f>
        <v>1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>
      <c r="A3" s="16" t="str">
        <f t="shared" si="0"/>
        <v>11216_1-2/68&lt;lv32&gt;s2</v>
      </c>
      <c r="B3" s="22">
        <v>11216</v>
      </c>
      <c r="C3" s="21">
        <v>1</v>
      </c>
      <c r="D3" s="2" t="str">
        <f t="shared" si="1"/>
        <v>11216_1</v>
      </c>
      <c r="E3" s="4" t="str">
        <f ca="1">VLOOKUP($B3,OFFSET([2]quests!$A$1,0,0,COUNTA([2]quests!$A:$A),MATCH(E$1,[2]quests!$1:$1,0)-MATCH($B$1,[2]quests!$1:$1,0)+1),MATCH(E$1,[2]quests!$1:$1,0)-MATCH($B$1,[2]quests!$1:$1,0)+1,FALSE)</f>
        <v>年越し★特別クエスト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【上級】年を越える宴（ハートなし）</v>
      </c>
      <c r="G3" s="21">
        <v>2</v>
      </c>
      <c r="H3" s="15" t="str">
        <f t="shared" si="2"/>
        <v>11216_1-2</v>
      </c>
      <c r="I3" s="4">
        <f ca="1">VLOOKUP($H3,OFFSET(floors!$A$1,0,0,COUNTA(floors!$A:$A),MATCH(I$1,floors!$1:$1,0)-MATCH($H$1,floors!$1:$1,0)+1),MATCH(I$1,floors!$1:$1,0)-MATCH($H$1,floors!$1:$1,0)+1,FALSE)</f>
        <v>35</v>
      </c>
      <c r="J3" s="4">
        <f ca="1">VLOOKUP($H3,OFFSET(floors!$A$1,0,0,COUNTA(floors!$A:$A),MATCH(J$1,floors!$1:$1,0)-MATCH($H$1,floors!$1:$1,0)+1),MATCH(J$1,floors!$1:$1,0)-MATCH($H$1,floors!$1:$1,0)+1,FALSE)</f>
        <v>35</v>
      </c>
      <c r="K3" s="38" t="s">
        <v>53</v>
      </c>
      <c r="L3" s="20">
        <v>68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ストール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32</v>
      </c>
      <c r="S3" s="25">
        <v>2.2000000000000002</v>
      </c>
      <c r="T3" s="25">
        <v>0.5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HPが全回復！</v>
      </c>
      <c r="W3" s="62">
        <v>112161200</v>
      </c>
      <c r="X3" s="6">
        <v>1</v>
      </c>
      <c r="Y3" s="6">
        <v>0</v>
      </c>
      <c r="Z3" s="6">
        <v>0</v>
      </c>
      <c r="AA3" s="99">
        <v>2</v>
      </c>
      <c r="AB3" s="24">
        <f t="shared" si="3"/>
        <v>68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ストール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Drop1S</v>
      </c>
      <c r="AF3" s="7">
        <v>1</v>
      </c>
      <c r="AG3" s="24">
        <f t="shared" ca="1" si="4"/>
        <v>2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>
      <c r="A4" s="16" t="str">
        <f t="shared" si="0"/>
        <v>11216_1-2/94&lt;lv32&gt;s2</v>
      </c>
      <c r="B4" s="22">
        <v>11216</v>
      </c>
      <c r="C4" s="21">
        <v>1</v>
      </c>
      <c r="D4" s="2" t="str">
        <f t="shared" si="1"/>
        <v>11216_1</v>
      </c>
      <c r="E4" s="4" t="str">
        <f ca="1">VLOOKUP($B4,OFFSET([2]quests!$A$1,0,0,COUNTA([2]quests!$A:$A),MATCH(E$1,[2]quests!$1:$1,0)-MATCH($B$1,[2]quests!$1:$1,0)+1),MATCH(E$1,[2]quests!$1:$1,0)-MATCH($B$1,[2]quests!$1:$1,0)+1,FALSE)</f>
        <v>年越し★特別クエスト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【上級】年を越える宴（ハートなし）</v>
      </c>
      <c r="G4" s="21">
        <v>2</v>
      </c>
      <c r="H4" s="15" t="str">
        <f t="shared" si="2"/>
        <v>11216_1-2</v>
      </c>
      <c r="I4" s="4">
        <f ca="1">VLOOKUP($H4,OFFSET(floors!$A$1,0,0,COUNTA(floors!$A:$A),MATCH(I$1,floors!$1:$1,0)-MATCH($H$1,floors!$1:$1,0)+1),MATCH(I$1,floors!$1:$1,0)-MATCH($H$1,floors!$1:$1,0)+1,FALSE)</f>
        <v>35</v>
      </c>
      <c r="J4" s="4">
        <f ca="1">VLOOKUP($H4,OFFSET(floors!$A$1,0,0,COUNTA(floors!$A:$A),MATCH(J$1,floors!$1:$1,0)-MATCH($H$1,floors!$1:$1,0)+1),MATCH(J$1,floors!$1:$1,0)-MATCH($H$1,floors!$1:$1,0)+1,FALSE)</f>
        <v>35</v>
      </c>
      <c r="K4" s="38" t="s">
        <v>53</v>
      </c>
      <c r="L4" s="20">
        <v>94</v>
      </c>
      <c r="M4" s="17" t="str">
        <f ca="1">VLOOKUP($L4,OFFSET([3]enemies!$A$1,0,0,COUNTA([3]enemies!$A:$A),MATCH(M$1,[3]enemies!$1:$1,0)-MATCH($L$1,[3]enemies!$1:$1,0)+1),MATCH(M$1,[3]enemies!$1:$1,0)-MATCH($L$1,[3]enemies!$1:$1,0)+1,FALSE)</f>
        <v>白虎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32</v>
      </c>
      <c r="S4" s="25">
        <v>0.6</v>
      </c>
      <c r="T4" s="25">
        <v>0.1</v>
      </c>
      <c r="U4" s="5">
        <v>0</v>
      </c>
      <c r="V4" s="4" t="e">
        <f ca="1">VLOOKUP($W4,OFFSET(enemy_skill_sets!$B$1,0,0,COUNTA(enemy_skill_sets!$B:$B),MATCH(M$1,enemy_skill_sets!$1:$1,0)-MATCH($W$1,enemy_skill_sets!$1:$1,0)+2),MATCH(M$1,enemy_skill_sets!$1:$1,0)-MATCH($W$1,enemy_skill_sets!$1:$1,0)+2,FALSE)</f>
        <v>#N/A</v>
      </c>
      <c r="W4" s="62">
        <v>0</v>
      </c>
      <c r="X4" s="6">
        <v>1</v>
      </c>
      <c r="Y4" s="6">
        <v>0</v>
      </c>
      <c r="Z4" s="6">
        <v>0</v>
      </c>
      <c r="AA4" s="99">
        <v>2</v>
      </c>
      <c r="AB4" s="24">
        <f t="shared" si="3"/>
        <v>94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白虎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3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Drop2N</v>
      </c>
      <c r="AF4" s="7">
        <v>1</v>
      </c>
      <c r="AG4" s="24">
        <f t="shared" ca="1" si="4"/>
        <v>3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>
      <c r="A5" s="16" t="str">
        <f t="shared" ref="A5" ca="1" si="5">B5&amp;"_"&amp;C5&amp;"-"&amp;G5&amp;"/"&amp;L5&amp;"&lt;lv"&amp;R5&amp;"&gt;s"&amp;AA5</f>
        <v>11216_1-3/59&lt;lv32&gt;s2</v>
      </c>
      <c r="B5" s="22">
        <v>11216</v>
      </c>
      <c r="C5" s="21">
        <v>1</v>
      </c>
      <c r="D5" s="2" t="str">
        <f t="shared" ref="D5" si="6">B5&amp;"_"&amp;C5</f>
        <v>11216_1</v>
      </c>
      <c r="E5" s="4" t="str">
        <f ca="1">VLOOKUP($B5,OFFSET([2]quests!$A$1,0,0,COUNTA([2]quests!$A:$A),MATCH(E$1,[2]quests!$1:$1,0)-MATCH($B$1,[2]quests!$1:$1,0)+1),MATCH(E$1,[2]quests!$1:$1,0)-MATCH($B$1,[2]quests!$1:$1,0)+1,FALSE)</f>
        <v>年越し★特別クエスト</v>
      </c>
      <c r="F5" s="4" t="str">
        <f ca="1">VLOOKUP($D5,OFFSET([2]stages!$A$1,0,0,COUNTA([2]stages!$A:$A),MATCH(F$1,[2]stages!$2:$2,0)-MATCH($D$1,[2]stages!$2:$2,0)+1),MATCH(F$1,[2]stages!$2:$2,0)-MATCH($D$1,[2]stages!$2:$2,0)+1,FALSE)</f>
        <v>【上級】年を越える宴（ハートなし）</v>
      </c>
      <c r="G5" s="21">
        <v>3</v>
      </c>
      <c r="H5" s="15" t="str">
        <f t="shared" ref="H5" si="7">B5&amp;"_"&amp;C5&amp;"-"&amp;G5</f>
        <v>11216_1-3</v>
      </c>
      <c r="I5" s="4">
        <f ca="1">VLOOKUP($H5,OFFSET(floors!$A$1,0,0,COUNTA(floors!$A:$A),MATCH(I$1,floors!$1:$1,0)-MATCH($H$1,floors!$1:$1,0)+1),MATCH(I$1,floors!$1:$1,0)-MATCH($H$1,floors!$1:$1,0)+1,FALSE)</f>
        <v>35</v>
      </c>
      <c r="J5" s="4">
        <f ca="1">VLOOKUP($H5,OFFSET(floors!$A$1,0,0,COUNTA(floors!$A:$A),MATCH(J$1,floors!$1:$1,0)-MATCH($H$1,floors!$1:$1,0)+1),MATCH(J$1,floors!$1:$1,0)-MATCH($H$1,floors!$1:$1,0)+1,FALSE)</f>
        <v>35</v>
      </c>
      <c r="K5" s="38" t="s">
        <v>53</v>
      </c>
      <c r="L5" s="20">
        <v>59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マーチ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32</v>
      </c>
      <c r="S5" s="25">
        <v>4</v>
      </c>
      <c r="T5" s="25">
        <v>1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全体に攻撃！</v>
      </c>
      <c r="W5" s="62">
        <v>112161310</v>
      </c>
      <c r="X5" s="6">
        <v>0</v>
      </c>
      <c r="Y5" s="6">
        <v>25</v>
      </c>
      <c r="Z5" s="6">
        <v>2</v>
      </c>
      <c r="AA5" s="99">
        <f ca="1">VLOOKUP($L5,OFFSET([3]enemies!$A$1,0,0,COUNTA([3]enemies!$A:$A),MATCH(AA$1,[3]enemies!$1:$1,0)-MATCH($L$1,[3]enemies!$1:$1,0)+1),MATCH(AA$1,[3]enemies!$1:$1,0)-MATCH($L$1,[3]enemies!$1:$1,0)+1,FALSE)</f>
        <v>2</v>
      </c>
      <c r="AB5" s="24">
        <f t="shared" ref="AB5" si="8">L5</f>
        <v>59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マーチ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2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Drop1N</v>
      </c>
      <c r="AF5" s="7">
        <v>1</v>
      </c>
      <c r="AG5" s="24">
        <f t="shared" ref="AG5" ca="1" si="9">AD5</f>
        <v>2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>
      <c r="A6" s="16" t="str">
        <f t="shared" ca="1" si="0"/>
        <v>11216_1-3/330&lt;lv1&gt;s2</v>
      </c>
      <c r="B6" s="22">
        <v>11216</v>
      </c>
      <c r="C6" s="21">
        <v>1</v>
      </c>
      <c r="D6" s="2" t="str">
        <f t="shared" si="1"/>
        <v>11216_1</v>
      </c>
      <c r="E6" s="4" t="str">
        <f ca="1">VLOOKUP($B6,OFFSET([2]quests!$A$1,0,0,COUNTA([2]quests!$A:$A),MATCH(E$1,[2]quests!$1:$1,0)-MATCH($B$1,[2]quests!$1:$1,0)+1),MATCH(E$1,[2]quests!$1:$1,0)-MATCH($B$1,[2]quests!$1:$1,0)+1,FALSE)</f>
        <v>年越し★特別クエスト</v>
      </c>
      <c r="F6" s="4" t="str">
        <f ca="1">VLOOKUP($D6,OFFSET([2]stages!$A$1,0,0,COUNTA([2]stages!$A:$A),MATCH(F$1,[2]stages!$2:$2,0)-MATCH($D$1,[2]stages!$2:$2,0)+1),MATCH(F$1,[2]stages!$2:$2,0)-MATCH($D$1,[2]stages!$2:$2,0)+1,FALSE)</f>
        <v>【上級】年を越える宴（ハートなし）</v>
      </c>
      <c r="G6" s="21">
        <v>3</v>
      </c>
      <c r="H6" s="15" t="str">
        <f t="shared" si="2"/>
        <v>11216_1-3</v>
      </c>
      <c r="I6" s="4">
        <f ca="1">VLOOKUP($H6,OFFSET(floors!$A$1,0,0,COUNTA(floors!$A:$A),MATCH(I$1,floors!$1:$1,0)-MATCH($H$1,floors!$1:$1,0)+1),MATCH(I$1,floors!$1:$1,0)-MATCH($H$1,floors!$1:$1,0)+1,FALSE)</f>
        <v>35</v>
      </c>
      <c r="J6" s="4">
        <f ca="1">VLOOKUP($H6,OFFSET(floors!$A$1,0,0,COUNTA(floors!$A:$A),MATCH(J$1,floors!$1:$1,0)-MATCH($H$1,floors!$1:$1,0)+1),MATCH(J$1,floors!$1:$1,0)-MATCH($H$1,floors!$1:$1,0)+1,FALSE)</f>
        <v>35</v>
      </c>
      <c r="K6" s="38">
        <v>1</v>
      </c>
      <c r="L6" s="20">
        <v>330</v>
      </c>
      <c r="M6" s="17" t="str">
        <f ca="1">VLOOKUP($L6,OFFSET([3]enemies!$A$1,0,0,COUNTA([3]enemies!$A:$A),MATCH(M$1,[3]enemies!$1:$1,0)-MATCH($L$1,[3]enemies!$1:$1,0)+1),MATCH(M$1,[3]enemies!$1:$1,0)-MATCH($L$1,[3]enemies!$1:$1,0)+1,FALSE)</f>
        <v>UsagiChan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PremiumSSS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1</v>
      </c>
      <c r="S6" s="25">
        <v>3</v>
      </c>
      <c r="T6" s="25">
        <v>3.5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子 丑 寅 卯 辰 巳 午 未 申 酉 戌 亥</v>
      </c>
      <c r="W6" s="62">
        <v>112161300</v>
      </c>
      <c r="X6" s="6">
        <v>0</v>
      </c>
      <c r="Y6" s="6">
        <v>25</v>
      </c>
      <c r="Z6" s="6">
        <v>2</v>
      </c>
      <c r="AA6" s="99">
        <f ca="1">VLOOKUP($L6,OFFSET([3]enemies!$A$1,0,0,COUNTA([3]enemies!$A:$A),MATCH(AA$1,[3]enemies!$1:$1,0)-MATCH($L$1,[3]enemies!$1:$1,0)+1),MATCH(AA$1,[3]enemies!$1:$1,0)-MATCH($L$1,[3]enemies!$1:$1,0)+1,FALSE)</f>
        <v>2</v>
      </c>
      <c r="AB6" s="7">
        <v>122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生命の果実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3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" s="7">
        <v>1</v>
      </c>
      <c r="AG6" s="24">
        <f t="shared" ca="1" si="4"/>
        <v>3</v>
      </c>
      <c r="AH6" s="8">
        <v>100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>
      <c r="A7" s="16" t="str">
        <f t="shared" ref="A7" ca="1" si="10">B7&amp;"_"&amp;C7&amp;"-"&amp;G7&amp;"/"&amp;L7&amp;"&lt;lv"&amp;R7&amp;"&gt;s"&amp;AA7</f>
        <v>11216_1-3/330&lt;lv2&gt;s2</v>
      </c>
      <c r="B7" s="22">
        <v>11216</v>
      </c>
      <c r="C7" s="21">
        <v>1</v>
      </c>
      <c r="D7" s="2" t="str">
        <f t="shared" ref="D7" si="11">B7&amp;"_"&amp;C7</f>
        <v>11216_1</v>
      </c>
      <c r="E7" s="4" t="str">
        <f ca="1">VLOOKUP($B7,OFFSET([2]quests!$A$1,0,0,COUNTA([2]quests!$A:$A),MATCH(E$1,[2]quests!$1:$1,0)-MATCH($B$1,[2]quests!$1:$1,0)+1),MATCH(E$1,[2]quests!$1:$1,0)-MATCH($B$1,[2]quests!$1:$1,0)+1,FALSE)</f>
        <v>年越し★特別クエスト</v>
      </c>
      <c r="F7" s="4" t="str">
        <f ca="1">VLOOKUP($D7,OFFSET([2]stages!$A$1,0,0,COUNTA([2]stages!$A:$A),MATCH(F$1,[2]stages!$2:$2,0)-MATCH($D$1,[2]stages!$2:$2,0)+1),MATCH(F$1,[2]stages!$2:$2,0)-MATCH($D$1,[2]stages!$2:$2,0)+1,FALSE)</f>
        <v>【上級】年を越える宴（ハートなし）</v>
      </c>
      <c r="G7" s="21">
        <v>3</v>
      </c>
      <c r="H7" s="15" t="str">
        <f t="shared" ref="H7" si="12">B7&amp;"_"&amp;C7&amp;"-"&amp;G7</f>
        <v>11216_1-3</v>
      </c>
      <c r="I7" s="4">
        <f ca="1">VLOOKUP($H7,OFFSET(floors!$A$1,0,0,COUNTA(floors!$A:$A),MATCH(I$1,floors!$1:$1,0)-MATCH($H$1,floors!$1:$1,0)+1),MATCH(I$1,floors!$1:$1,0)-MATCH($H$1,floors!$1:$1,0)+1,FALSE)</f>
        <v>35</v>
      </c>
      <c r="J7" s="4">
        <f ca="1">VLOOKUP($H7,OFFSET(floors!$A$1,0,0,COUNTA(floors!$A:$A),MATCH(J$1,floors!$1:$1,0)-MATCH($H$1,floors!$1:$1,0)+1),MATCH(J$1,floors!$1:$1,0)-MATCH($H$1,floors!$1:$1,0)+1,FALSE)</f>
        <v>35</v>
      </c>
      <c r="K7" s="38">
        <v>2</v>
      </c>
      <c r="L7" s="20">
        <v>330</v>
      </c>
      <c r="M7" s="17" t="str">
        <f ca="1">VLOOKUP($L7,OFFSET([3]enemies!$A$1,0,0,COUNTA([3]enemies!$A:$A),MATCH(M$1,[3]enemies!$1:$1,0)-MATCH($L$1,[3]enemies!$1:$1,0)+1),MATCH(M$1,[3]enemies!$1:$1,0)-MATCH($L$1,[3]enemies!$1:$1,0)+1,FALSE)</f>
        <v>UsagiChan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PremiumSSS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2</v>
      </c>
      <c r="S7" s="25">
        <v>3</v>
      </c>
      <c r="T7" s="25">
        <v>3.5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子 丑 寅 卯 辰 巳 午 未 申 酉 戌 亥</v>
      </c>
      <c r="W7" s="62">
        <v>112161300</v>
      </c>
      <c r="X7" s="6">
        <v>0</v>
      </c>
      <c r="Y7" s="6">
        <v>25</v>
      </c>
      <c r="Z7" s="6">
        <v>2</v>
      </c>
      <c r="AA7" s="99">
        <f ca="1">VLOOKUP($L7,OFFSET([3]enemies!$A$1,0,0,COUNTA([3]enemies!$A:$A),MATCH(AA$1,[3]enemies!$1:$1,0)-MATCH($L$1,[3]enemies!$1:$1,0)+1),MATCH(AA$1,[3]enemies!$1:$1,0)-MATCH($L$1,[3]enemies!$1:$1,0)+1,FALSE)</f>
        <v>2</v>
      </c>
      <c r="AB7" s="7">
        <v>123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癒しの果実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3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" s="7">
        <v>1</v>
      </c>
      <c r="AG7" s="24">
        <f t="shared" ref="AG7" ca="1" si="13">AD7</f>
        <v>3</v>
      </c>
      <c r="AH7" s="8">
        <v>100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>
      <c r="A8" s="16" t="str">
        <f t="shared" ref="A8" ca="1" si="14">B8&amp;"_"&amp;C8&amp;"-"&amp;G8&amp;"/"&amp;L8&amp;"&lt;lv"&amp;R8&amp;"&gt;s"&amp;AA8</f>
        <v>11216_1-3/330&lt;lv3&gt;s2</v>
      </c>
      <c r="B8" s="22">
        <v>11216</v>
      </c>
      <c r="C8" s="21">
        <v>1</v>
      </c>
      <c r="D8" s="2" t="str">
        <f t="shared" ref="D8" si="15">B8&amp;"_"&amp;C8</f>
        <v>11216_1</v>
      </c>
      <c r="E8" s="4" t="str">
        <f ca="1">VLOOKUP($B8,OFFSET([2]quests!$A$1,0,0,COUNTA([2]quests!$A:$A),MATCH(E$1,[2]quests!$1:$1,0)-MATCH($B$1,[2]quests!$1:$1,0)+1),MATCH(E$1,[2]quests!$1:$1,0)-MATCH($B$1,[2]quests!$1:$1,0)+1,FALSE)</f>
        <v>年越し★特別クエスト</v>
      </c>
      <c r="F8" s="4" t="str">
        <f ca="1">VLOOKUP($D8,OFFSET([2]stages!$A$1,0,0,COUNTA([2]stages!$A:$A),MATCH(F$1,[2]stages!$2:$2,0)-MATCH($D$1,[2]stages!$2:$2,0)+1),MATCH(F$1,[2]stages!$2:$2,0)-MATCH($D$1,[2]stages!$2:$2,0)+1,FALSE)</f>
        <v>【上級】年を越える宴（ハートなし）</v>
      </c>
      <c r="G8" s="21">
        <v>3</v>
      </c>
      <c r="H8" s="15" t="str">
        <f t="shared" ref="H8" si="16">B8&amp;"_"&amp;C8&amp;"-"&amp;G8</f>
        <v>11216_1-3</v>
      </c>
      <c r="I8" s="4">
        <f ca="1">VLOOKUP($H8,OFFSET(floors!$A$1,0,0,COUNTA(floors!$A:$A),MATCH(I$1,floors!$1:$1,0)-MATCH($H$1,floors!$1:$1,0)+1),MATCH(I$1,floors!$1:$1,0)-MATCH($H$1,floors!$1:$1,0)+1,FALSE)</f>
        <v>35</v>
      </c>
      <c r="J8" s="4">
        <f ca="1">VLOOKUP($H8,OFFSET(floors!$A$1,0,0,COUNTA(floors!$A:$A),MATCH(J$1,floors!$1:$1,0)-MATCH($H$1,floors!$1:$1,0)+1),MATCH(J$1,floors!$1:$1,0)-MATCH($H$1,floors!$1:$1,0)+1,FALSE)</f>
        <v>35</v>
      </c>
      <c r="K8" s="38">
        <v>3</v>
      </c>
      <c r="L8" s="20">
        <v>330</v>
      </c>
      <c r="M8" s="17" t="str">
        <f ca="1">VLOOKUP($L8,OFFSET([3]enemies!$A$1,0,0,COUNTA([3]enemies!$A:$A),MATCH(M$1,[3]enemies!$1:$1,0)-MATCH($L$1,[3]enemies!$1:$1,0)+1),MATCH(M$1,[3]enemies!$1:$1,0)-MATCH($L$1,[3]enemies!$1:$1,0)+1,FALSE)</f>
        <v>UsagiChan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PremiumSSS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3</v>
      </c>
      <c r="S8" s="25">
        <v>3</v>
      </c>
      <c r="T8" s="25">
        <v>3.5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子 丑 寅 卯 辰 巳 午 未 申 酉 戌 亥</v>
      </c>
      <c r="W8" s="62">
        <v>112161300</v>
      </c>
      <c r="X8" s="6">
        <v>0</v>
      </c>
      <c r="Y8" s="6">
        <v>25</v>
      </c>
      <c r="Z8" s="6">
        <v>2</v>
      </c>
      <c r="AA8" s="99">
        <f ca="1">VLOOKUP($L8,OFFSET([3]enemies!$A$1,0,0,COUNTA([3]enemies!$A:$A),MATCH(AA$1,[3]enemies!$1:$1,0)-MATCH($L$1,[3]enemies!$1:$1,0)+1),MATCH(AA$1,[3]enemies!$1:$1,0)-MATCH($L$1,[3]enemies!$1:$1,0)+1,FALSE)</f>
        <v>2</v>
      </c>
      <c r="AB8" s="7">
        <v>121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攻めの果実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3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" s="7">
        <v>1</v>
      </c>
      <c r="AG8" s="24">
        <f t="shared" ref="AG8" ca="1" si="17">AD8</f>
        <v>3</v>
      </c>
      <c r="AH8" s="8">
        <v>100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  <row r="9" spans="1:40" ht="21" customHeight="1">
      <c r="A9" s="16" t="str">
        <f t="shared" si="0"/>
        <v>11216_1-3/91&lt;lv32&gt;s4</v>
      </c>
      <c r="B9" s="22">
        <v>11216</v>
      </c>
      <c r="C9" s="21">
        <v>1</v>
      </c>
      <c r="D9" s="2" t="str">
        <f t="shared" si="1"/>
        <v>11216_1</v>
      </c>
      <c r="E9" s="4" t="str">
        <f ca="1">VLOOKUP($B9,OFFSET([2]quests!$A$1,0,0,COUNTA([2]quests!$A:$A),MATCH(E$1,[2]quests!$1:$1,0)-MATCH($B$1,[2]quests!$1:$1,0)+1),MATCH(E$1,[2]quests!$1:$1,0)-MATCH($B$1,[2]quests!$1:$1,0)+1,FALSE)</f>
        <v>年越し★特別クエスト</v>
      </c>
      <c r="F9" s="4" t="str">
        <f ca="1">VLOOKUP($D9,OFFSET([2]stages!$A$1,0,0,COUNTA([2]stages!$A:$A),MATCH(F$1,[2]stages!$2:$2,0)-MATCH($D$1,[2]stages!$2:$2,0)+1),MATCH(F$1,[2]stages!$2:$2,0)-MATCH($D$1,[2]stages!$2:$2,0)+1,FALSE)</f>
        <v>【上級】年を越える宴（ハートなし）</v>
      </c>
      <c r="G9" s="21">
        <v>3</v>
      </c>
      <c r="H9" s="15" t="str">
        <f t="shared" si="2"/>
        <v>11216_1-3</v>
      </c>
      <c r="I9" s="4">
        <f ca="1">VLOOKUP($H9,OFFSET(floors!$A$1,0,0,COUNTA(floors!$A:$A),MATCH(I$1,floors!$1:$1,0)-MATCH($H$1,floors!$1:$1,0)+1),MATCH(I$1,floors!$1:$1,0)-MATCH($H$1,floors!$1:$1,0)+1,FALSE)</f>
        <v>35</v>
      </c>
      <c r="J9" s="4">
        <f ca="1">VLOOKUP($H9,OFFSET(floors!$A$1,0,0,COUNTA(floors!$A:$A),MATCH(J$1,floors!$1:$1,0)-MATCH($H$1,floors!$1:$1,0)+1),MATCH(J$1,floors!$1:$1,0)-MATCH($H$1,floors!$1:$1,0)+1,FALSE)</f>
        <v>35</v>
      </c>
      <c r="K9" s="38" t="s">
        <v>53</v>
      </c>
      <c r="L9" s="20">
        <v>91</v>
      </c>
      <c r="M9" s="17" t="str">
        <f ca="1">VLOOKUP($L9,OFFSET([3]enemies!$A$1,0,0,COUNTA([3]enemies!$A:$A),MATCH(M$1,[3]enemies!$1:$1,0)-MATCH($L$1,[3]enemies!$1:$1,0)+1),MATCH(M$1,[3]enemies!$1:$1,0)-MATCH($L$1,[3]enemies!$1:$1,0)+1,FALSE)</f>
        <v>青龍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Drop2N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dragon</v>
      </c>
      <c r="Q9" s="17">
        <f ca="1">VLOOKUP($L9,OFFSET([3]enemies!$A$1,0,0,COUNTA([3]enemies!$A:$A),MATCH(Q$1,[3]enemies!$1:$1,0)-MATCH($L$1,[3]enemies!$1:$1,0)+1),MATCH(Q$1,[3]enemies!$1:$1,0)-MATCH($L$1,[3]enemies!$1:$1,0)+1,FALSE)</f>
        <v>20</v>
      </c>
      <c r="R9" s="5">
        <v>32</v>
      </c>
      <c r="S9" s="25">
        <v>0.5</v>
      </c>
      <c r="T9" s="25">
        <v>0.6</v>
      </c>
      <c r="U9" s="5">
        <v>0</v>
      </c>
      <c r="V9" s="4" t="e">
        <f ca="1">VLOOKUP($W9,OFFSET(enemy_skill_sets!$B$1,0,0,COUNTA(enemy_skill_sets!$B:$B),MATCH(M$1,enemy_skill_sets!$1:$1,0)-MATCH($W$1,enemy_skill_sets!$1:$1,0)+2),MATCH(M$1,enemy_skill_sets!$1:$1,0)-MATCH($W$1,enemy_skill_sets!$1:$1,0)+2,FALSE)</f>
        <v>#N/A</v>
      </c>
      <c r="W9" s="62">
        <v>0</v>
      </c>
      <c r="X9" s="6">
        <v>1</v>
      </c>
      <c r="Y9" s="6">
        <v>0</v>
      </c>
      <c r="Z9" s="6">
        <v>1</v>
      </c>
      <c r="AA9" s="99">
        <v>4</v>
      </c>
      <c r="AB9" s="24">
        <f t="shared" si="3"/>
        <v>91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青龍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3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Drop2N</v>
      </c>
      <c r="AF9" s="7">
        <v>1</v>
      </c>
      <c r="AG9" s="24">
        <f t="shared" ca="1" si="4"/>
        <v>3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9">
        <v>1</v>
      </c>
    </row>
    <row r="10" spans="1:40" ht="21" customHeight="1">
      <c r="A10" s="16" t="str">
        <f t="shared" ca="1" si="0"/>
        <v>11216_1-4/383&lt;lv32&gt;s3</v>
      </c>
      <c r="B10" s="22">
        <v>11216</v>
      </c>
      <c r="C10" s="21">
        <v>1</v>
      </c>
      <c r="D10" s="2" t="str">
        <f t="shared" si="1"/>
        <v>11216_1</v>
      </c>
      <c r="E10" s="4" t="str">
        <f ca="1">VLOOKUP($B10,OFFSET([2]quests!$A$1,0,0,COUNTA([2]quests!$A:$A),MATCH(E$1,[2]quests!$1:$1,0)-MATCH($B$1,[2]quests!$1:$1,0)+1),MATCH(E$1,[2]quests!$1:$1,0)-MATCH($B$1,[2]quests!$1:$1,0)+1,FALSE)</f>
        <v>年越し★特別クエスト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【上級】年を越える宴（ハートなし）</v>
      </c>
      <c r="G10" s="21">
        <v>4</v>
      </c>
      <c r="H10" s="15" t="str">
        <f t="shared" si="2"/>
        <v>11216_1-4</v>
      </c>
      <c r="I10" s="4">
        <f ca="1">VLOOKUP($H10,OFFSET(floors!$A$1,0,0,COUNTA(floors!$A:$A),MATCH(I$1,floors!$1:$1,0)-MATCH($H$1,floors!$1:$1,0)+1),MATCH(I$1,floors!$1:$1,0)-MATCH($H$1,floors!$1:$1,0)+1,FALSE)</f>
        <v>40</v>
      </c>
      <c r="J10" s="4">
        <f ca="1">VLOOKUP($H10,OFFSET(floors!$A$1,0,0,COUNTA(floors!$A:$A),MATCH(J$1,floors!$1:$1,0)-MATCH($H$1,floors!$1:$1,0)+1),MATCH(J$1,floors!$1:$1,0)-MATCH($H$1,floors!$1:$1,0)+1,FALSE)</f>
        <v>40</v>
      </c>
      <c r="K10" s="38" t="s">
        <v>53</v>
      </c>
      <c r="L10" s="20">
        <v>383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酒宴の蟒蛇 ヤマタノオロチ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PremiumSS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dragon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32</v>
      </c>
      <c r="S10" s="25">
        <v>0.4</v>
      </c>
      <c r="T10" s="25">
        <v>0.6</v>
      </c>
      <c r="U10" s="5">
        <v>0</v>
      </c>
      <c r="V10" s="4" t="str">
        <f ca="1">VLOOKUP($W10,OFFSET(enemy_skill_sets!$B$1,0,0,COUNTA(enemy_skill_sets!$B:$B),MATCH(M$1,enemy_skill_sets!$1:$1,0)-MATCH($W$1,enemy_skill_sets!$1:$1,0)+2),MATCH(M$1,enemy_skill_sets!$1:$1,0)-MATCH($W$1,enemy_skill_sets!$1:$1,0)+2,FALSE)</f>
        <v>3ターンの間 攻撃を受けるとカウンター！</v>
      </c>
      <c r="W10" s="62">
        <v>112161400</v>
      </c>
      <c r="X10" s="6">
        <v>1</v>
      </c>
      <c r="Y10" s="6">
        <v>0</v>
      </c>
      <c r="Z10" s="6">
        <v>0</v>
      </c>
      <c r="AA10" s="99">
        <f ca="1">VLOOKUP($L10,OFFSET([3]enemies!$A$1,0,0,COUNTA([3]enemies!$A:$A),MATCH(AA$1,[3]enemies!$1:$1,0)-MATCH($L$1,[3]enemies!$1:$1,0)+1),MATCH(AA$1,[3]enemies!$1:$1,0)-MATCH($L$1,[3]enemies!$1:$1,0)+1,FALSE)</f>
        <v>3</v>
      </c>
      <c r="AB10" s="24">
        <f t="shared" si="3"/>
        <v>383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酒宴の蟒蛇 ヤマタノオロチ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4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10" s="7">
        <v>1</v>
      </c>
      <c r="AG10" s="24">
        <f t="shared" ca="1" si="4"/>
        <v>4</v>
      </c>
      <c r="AH10" s="8">
        <v>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9">
        <v>1</v>
      </c>
    </row>
    <row r="11" spans="1:40" ht="21" customHeight="1">
      <c r="A11" s="16" t="str">
        <f t="shared" si="0"/>
        <v>11216_1-4/264&lt;lv32&gt;s1</v>
      </c>
      <c r="B11" s="22">
        <v>11216</v>
      </c>
      <c r="C11" s="21">
        <v>1</v>
      </c>
      <c r="D11" s="2" t="str">
        <f t="shared" si="1"/>
        <v>11216_1</v>
      </c>
      <c r="E11" s="4" t="str">
        <f ca="1">VLOOKUP($B11,OFFSET([2]quests!$A$1,0,0,COUNTA([2]quests!$A:$A),MATCH(E$1,[2]quests!$1:$1,0)-MATCH($B$1,[2]quests!$1:$1,0)+1),MATCH(E$1,[2]quests!$1:$1,0)-MATCH($B$1,[2]quests!$1:$1,0)+1,FALSE)</f>
        <v>年越し★特別クエスト</v>
      </c>
      <c r="F11" s="4" t="str">
        <f ca="1">VLOOKUP($D11,OFFSET([2]stages!$A$1,0,0,COUNTA([2]stages!$A:$A),MATCH(F$1,[2]stages!$2:$2,0)-MATCH($D$1,[2]stages!$2:$2,0)+1),MATCH(F$1,[2]stages!$2:$2,0)-MATCH($D$1,[2]stages!$2:$2,0)+1,FALSE)</f>
        <v>【上級】年を越える宴（ハートなし）</v>
      </c>
      <c r="G11" s="21">
        <v>4</v>
      </c>
      <c r="H11" s="15" t="str">
        <f t="shared" si="2"/>
        <v>11216_1-4</v>
      </c>
      <c r="I11" s="4">
        <f ca="1">VLOOKUP($H11,OFFSET(floors!$A$1,0,0,COUNTA(floors!$A:$A),MATCH(I$1,floors!$1:$1,0)-MATCH($H$1,floors!$1:$1,0)+1),MATCH(I$1,floors!$1:$1,0)-MATCH($H$1,floors!$1:$1,0)+1,FALSE)</f>
        <v>40</v>
      </c>
      <c r="J11" s="4">
        <f ca="1">VLOOKUP($H11,OFFSET(floors!$A$1,0,0,COUNTA(floors!$A:$A),MATCH(J$1,floors!$1:$1,0)-MATCH($H$1,floors!$1:$1,0)+1),MATCH(J$1,floors!$1:$1,0)-MATCH($H$1,floors!$1:$1,0)+1,FALSE)</f>
        <v>40</v>
      </c>
      <c r="K11" s="38" t="s">
        <v>53</v>
      </c>
      <c r="L11" s="20">
        <v>264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ユニコーン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Drop2W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7">
        <f ca="1">VLOOKUP($L11,OFFSET([3]enemies!$A$1,0,0,COUNTA([3]enemies!$A:$A),MATCH(Q$1,[3]enemies!$1:$1,0)-MATCH($L$1,[3]enemies!$1:$1,0)+1),MATCH(Q$1,[3]enemies!$1:$1,0)-MATCH($L$1,[3]enemies!$1:$1,0)+1,FALSE)</f>
        <v>20</v>
      </c>
      <c r="R11" s="5">
        <v>32</v>
      </c>
      <c r="S11" s="25">
        <v>0.5</v>
      </c>
      <c r="T11" s="25">
        <v>0.6</v>
      </c>
      <c r="U11" s="5">
        <v>0</v>
      </c>
      <c r="V11" s="4" t="e">
        <f ca="1">VLOOKUP($W11,OFFSET(enemy_skill_sets!$B$1,0,0,COUNTA(enemy_skill_sets!$B:$B),MATCH(M$1,enemy_skill_sets!$1:$1,0)-MATCH($W$1,enemy_skill_sets!$1:$1,0)+2),MATCH(M$1,enemy_skill_sets!$1:$1,0)-MATCH($W$1,enemy_skill_sets!$1:$1,0)+2,FALSE)</f>
        <v>#N/A</v>
      </c>
      <c r="W11" s="62">
        <v>0</v>
      </c>
      <c r="X11" s="6">
        <v>1</v>
      </c>
      <c r="Y11" s="6">
        <v>0</v>
      </c>
      <c r="Z11" s="6">
        <v>0</v>
      </c>
      <c r="AA11" s="99">
        <v>1</v>
      </c>
      <c r="AB11" s="24">
        <f t="shared" si="3"/>
        <v>264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ユニコーン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3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Drop2W</v>
      </c>
      <c r="AF11" s="7">
        <v>1</v>
      </c>
      <c r="AG11" s="24">
        <f t="shared" ca="1" si="4"/>
        <v>3</v>
      </c>
      <c r="AH11" s="8">
        <v>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9">
        <v>1</v>
      </c>
    </row>
    <row r="12" spans="1:40" ht="21" customHeight="1">
      <c r="A12" s="16" t="str">
        <f t="shared" ref="A12" ca="1" si="18">B12&amp;"_"&amp;C12&amp;"-"&amp;G12&amp;"/"&amp;L12&amp;"&lt;lv"&amp;R12&amp;"&gt;s"&amp;AA12</f>
        <v>11216_1-5/33&lt;lv32&gt;s2</v>
      </c>
      <c r="B12" s="22">
        <v>11216</v>
      </c>
      <c r="C12" s="21">
        <v>1</v>
      </c>
      <c r="D12" s="2" t="str">
        <f t="shared" ref="D12" si="19">B12&amp;"_"&amp;C12</f>
        <v>11216_1</v>
      </c>
      <c r="E12" s="4" t="str">
        <f ca="1">VLOOKUP($B12,OFFSET([2]quests!$A$1,0,0,COUNTA([2]quests!$A:$A),MATCH(E$1,[2]quests!$1:$1,0)-MATCH($B$1,[2]quests!$1:$1,0)+1),MATCH(E$1,[2]quests!$1:$1,0)-MATCH($B$1,[2]quests!$1:$1,0)+1,FALSE)</f>
        <v>年越し★特別クエスト</v>
      </c>
      <c r="F12" s="4" t="str">
        <f ca="1">VLOOKUP($D12,OFFSET([2]stages!$A$1,0,0,COUNTA([2]stages!$A:$A),MATCH(F$1,[2]stages!$2:$2,0)-MATCH($D$1,[2]stages!$2:$2,0)+1),MATCH(F$1,[2]stages!$2:$2,0)-MATCH($D$1,[2]stages!$2:$2,0)+1,FALSE)</f>
        <v>【上級】年を越える宴（ハートなし）</v>
      </c>
      <c r="G12" s="21">
        <v>5</v>
      </c>
      <c r="H12" s="15" t="str">
        <f t="shared" ref="H12" si="20">B12&amp;"_"&amp;C12&amp;"-"&amp;G12</f>
        <v>11216_1-5</v>
      </c>
      <c r="I12" s="4">
        <f ca="1">VLOOKUP($H12,OFFSET(floors!$A$1,0,0,COUNTA(floors!$A:$A),MATCH(I$1,floors!$1:$1,0)-MATCH($H$1,floors!$1:$1,0)+1),MATCH(I$1,floors!$1:$1,0)-MATCH($H$1,floors!$1:$1,0)+1,FALSE)</f>
        <v>70</v>
      </c>
      <c r="J12" s="4">
        <f ca="1">VLOOKUP($H12,OFFSET(floors!$A$1,0,0,COUNTA(floors!$A:$A),MATCH(J$1,floors!$1:$1,0)-MATCH($H$1,floors!$1:$1,0)+1),MATCH(J$1,floors!$1:$1,0)-MATCH($H$1,floors!$1:$1,0)+1,FALSE)</f>
        <v>70</v>
      </c>
      <c r="K12" s="38" t="s">
        <v>53</v>
      </c>
      <c r="L12" s="20">
        <v>33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ゴクウ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32</v>
      </c>
      <c r="S12" s="25">
        <v>1</v>
      </c>
      <c r="T12" s="25">
        <v>0.6</v>
      </c>
      <c r="U12" s="5">
        <v>0</v>
      </c>
      <c r="V12" s="4" t="e">
        <f ca="1">VLOOKUP($W12,OFFSET(enemy_skill_sets!$B$1,0,0,COUNTA(enemy_skill_sets!$B:$B),MATCH(M$1,enemy_skill_sets!$1:$1,0)-MATCH($W$1,enemy_skill_sets!$1:$1,0)+2),MATCH(M$1,enemy_skill_sets!$1:$1,0)-MATCH($W$1,enemy_skill_sets!$1:$1,0)+2,FALSE)</f>
        <v>#N/A</v>
      </c>
      <c r="W12" s="62">
        <v>0</v>
      </c>
      <c r="X12" s="6">
        <v>1</v>
      </c>
      <c r="Y12" s="6">
        <v>0</v>
      </c>
      <c r="Z12" s="6">
        <v>0</v>
      </c>
      <c r="AA12" s="99">
        <f ca="1">VLOOKUP($L12,OFFSET([3]enemies!$A$1,0,0,COUNTA([3]enemies!$A:$A),MATCH(AA$1,[3]enemies!$1:$1,0)-MATCH($L$1,[3]enemies!$1:$1,0)+1),MATCH(AA$1,[3]enemies!$1:$1,0)-MATCH($L$1,[3]enemies!$1:$1,0)+1,FALSE)</f>
        <v>2</v>
      </c>
      <c r="AB12" s="24">
        <f t="shared" ref="AB12" si="21">L12</f>
        <v>33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ゴクウ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2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Drop1S</v>
      </c>
      <c r="AF12" s="7">
        <v>1</v>
      </c>
      <c r="AG12" s="24">
        <f t="shared" ref="AG12" ca="1" si="22">AD12</f>
        <v>2</v>
      </c>
      <c r="AH12" s="8">
        <v>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69">
        <v>1</v>
      </c>
    </row>
    <row r="13" spans="1:40" ht="21" customHeight="1">
      <c r="A13" s="16" t="str">
        <f t="shared" ref="A13" si="23">B13&amp;"_"&amp;C13&amp;"-"&amp;G13&amp;"/"&amp;L13&amp;"&lt;lv"&amp;R13&amp;"&gt;s"&amp;AA13</f>
        <v>11216_1-5/85&lt;lv32&gt;s3</v>
      </c>
      <c r="B13" s="22">
        <v>11216</v>
      </c>
      <c r="C13" s="21">
        <v>1</v>
      </c>
      <c r="D13" s="2" t="str">
        <f t="shared" ref="D13" si="24">B13&amp;"_"&amp;C13</f>
        <v>11216_1</v>
      </c>
      <c r="E13" s="4" t="str">
        <f ca="1">VLOOKUP($B13,OFFSET([2]quests!$A$1,0,0,COUNTA([2]quests!$A:$A),MATCH(E$1,[2]quests!$1:$1,0)-MATCH($B$1,[2]quests!$1:$1,0)+1),MATCH(E$1,[2]quests!$1:$1,0)-MATCH($B$1,[2]quests!$1:$1,0)+1,FALSE)</f>
        <v>年越し★特別クエスト</v>
      </c>
      <c r="F13" s="4" t="str">
        <f ca="1">VLOOKUP($D13,OFFSET([2]stages!$A$1,0,0,COUNTA([2]stages!$A:$A),MATCH(F$1,[2]stages!$2:$2,0)-MATCH($D$1,[2]stages!$2:$2,0)+1),MATCH(F$1,[2]stages!$2:$2,0)-MATCH($D$1,[2]stages!$2:$2,0)+1,FALSE)</f>
        <v>【上級】年を越える宴（ハートなし）</v>
      </c>
      <c r="G13" s="21">
        <v>5</v>
      </c>
      <c r="H13" s="15" t="str">
        <f t="shared" ref="H13" si="25">B13&amp;"_"&amp;C13&amp;"-"&amp;G13</f>
        <v>11216_1-5</v>
      </c>
      <c r="I13" s="4">
        <f ca="1">VLOOKUP($H13,OFFSET(floors!$A$1,0,0,COUNTA(floors!$A:$A),MATCH(I$1,floors!$1:$1,0)-MATCH($H$1,floors!$1:$1,0)+1),MATCH(I$1,floors!$1:$1,0)-MATCH($H$1,floors!$1:$1,0)+1,FALSE)</f>
        <v>70</v>
      </c>
      <c r="J13" s="4">
        <f ca="1">VLOOKUP($H13,OFFSET(floors!$A$1,0,0,COUNTA(floors!$A:$A),MATCH(J$1,floors!$1:$1,0)-MATCH($H$1,floors!$1:$1,0)+1),MATCH(J$1,floors!$1:$1,0)-MATCH($H$1,floors!$1:$1,0)+1,FALSE)</f>
        <v>70</v>
      </c>
      <c r="K13" s="38" t="s">
        <v>53</v>
      </c>
      <c r="L13" s="20">
        <v>85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朱雀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Drop2N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7">
        <f ca="1">VLOOKUP($L13,OFFSET([3]enemies!$A$1,0,0,COUNTA([3]enemies!$A:$A),MATCH(Q$1,[3]enemies!$1:$1,0)-MATCH($L$1,[3]enemies!$1:$1,0)+1),MATCH(Q$1,[3]enemies!$1:$1,0)-MATCH($L$1,[3]enemies!$1:$1,0)+1,FALSE)</f>
        <v>20</v>
      </c>
      <c r="R13" s="5">
        <v>32</v>
      </c>
      <c r="S13" s="25">
        <v>0.6</v>
      </c>
      <c r="T13" s="25">
        <v>1</v>
      </c>
      <c r="U13" s="5">
        <v>0</v>
      </c>
      <c r="V13" s="4" t="str">
        <f ca="1">VLOOKUP($W13,OFFSET(enemy_skill_sets!$B$1,0,0,COUNTA(enemy_skill_sets!$B:$B),MATCH(M$1,enemy_skill_sets!$1:$1,0)-MATCH($W$1,enemy_skill_sets!$1:$1,0)+2),MATCH(M$1,enemy_skill_sets!$1:$1,0)-MATCH($W$1,enemy_skill_sets!$1:$1,0)+2,FALSE)</f>
        <v>干支の順が 完成できない！</v>
      </c>
      <c r="W13" s="62">
        <v>112161510</v>
      </c>
      <c r="X13" s="6">
        <v>1</v>
      </c>
      <c r="Y13" s="6">
        <v>0</v>
      </c>
      <c r="Z13" s="6">
        <v>1</v>
      </c>
      <c r="AA13" s="99">
        <v>3</v>
      </c>
      <c r="AB13" s="24">
        <f t="shared" ref="AB13" si="26">L13</f>
        <v>85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朱雀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3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Drop2N</v>
      </c>
      <c r="AF13" s="7">
        <v>1</v>
      </c>
      <c r="AG13" s="24">
        <f t="shared" ref="AG13" ca="1" si="27">AD13</f>
        <v>3</v>
      </c>
      <c r="AH13" s="8">
        <v>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69">
        <v>1</v>
      </c>
    </row>
    <row r="14" spans="1:40" ht="21" customHeight="1">
      <c r="A14" s="16" t="str">
        <f t="shared" ref="A14" si="28">B14&amp;"_"&amp;C14&amp;"-"&amp;G14&amp;"/"&amp;L14&amp;"&lt;lv"&amp;R14&amp;"&gt;s"&amp;AA14</f>
        <v>11216_1-5/25&lt;lv32&gt;s2</v>
      </c>
      <c r="B14" s="22">
        <v>11216</v>
      </c>
      <c r="C14" s="21">
        <v>1</v>
      </c>
      <c r="D14" s="2" t="str">
        <f t="shared" ref="D14" si="29">B14&amp;"_"&amp;C14</f>
        <v>11216_1</v>
      </c>
      <c r="E14" s="4" t="str">
        <f ca="1">VLOOKUP($B14,OFFSET([2]quests!$A$1,0,0,COUNTA([2]quests!$A:$A),MATCH(E$1,[2]quests!$1:$1,0)-MATCH($B$1,[2]quests!$1:$1,0)+1),MATCH(E$1,[2]quests!$1:$1,0)-MATCH($B$1,[2]quests!$1:$1,0)+1,FALSE)</f>
        <v>年越し★特別クエスト</v>
      </c>
      <c r="F14" s="4" t="str">
        <f ca="1">VLOOKUP($D14,OFFSET([2]stages!$A$1,0,0,COUNTA([2]stages!$A:$A),MATCH(F$1,[2]stages!$2:$2,0)-MATCH($D$1,[2]stages!$2:$2,0)+1),MATCH(F$1,[2]stages!$2:$2,0)-MATCH($D$1,[2]stages!$2:$2,0)+1,FALSE)</f>
        <v>【上級】年を越える宴（ハートなし）</v>
      </c>
      <c r="G14" s="21">
        <v>5</v>
      </c>
      <c r="H14" s="15" t="str">
        <f t="shared" ref="H14" si="30">B14&amp;"_"&amp;C14&amp;"-"&amp;G14</f>
        <v>11216_1-5</v>
      </c>
      <c r="I14" s="4">
        <f ca="1">VLOOKUP($H14,OFFSET(floors!$A$1,0,0,COUNTA(floors!$A:$A),MATCH(I$1,floors!$1:$1,0)-MATCH($H$1,floors!$1:$1,0)+1),MATCH(I$1,floors!$1:$1,0)-MATCH($H$1,floors!$1:$1,0)+1,FALSE)</f>
        <v>70</v>
      </c>
      <c r="J14" s="4">
        <f ca="1">VLOOKUP($H14,OFFSET(floors!$A$1,0,0,COUNTA(floors!$A:$A),MATCH(J$1,floors!$1:$1,0)-MATCH($H$1,floors!$1:$1,0)+1),MATCH(J$1,floors!$1:$1,0)-MATCH($H$1,floors!$1:$1,0)+1,FALSE)</f>
        <v>70</v>
      </c>
      <c r="K14" s="38" t="s">
        <v>53</v>
      </c>
      <c r="L14" s="20">
        <v>25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ハチ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blue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Drop1N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32</v>
      </c>
      <c r="S14" s="25">
        <v>1</v>
      </c>
      <c r="T14" s="25">
        <v>0.6</v>
      </c>
      <c r="U14" s="5">
        <v>0</v>
      </c>
      <c r="V14" s="4" t="e">
        <f ca="1">VLOOKUP($W14,OFFSET(enemy_skill_sets!$B$1,0,0,COUNTA(enemy_skill_sets!$B:$B),MATCH(M$1,enemy_skill_sets!$1:$1,0)-MATCH($W$1,enemy_skill_sets!$1:$1,0)+2),MATCH(M$1,enemy_skill_sets!$1:$1,0)-MATCH($W$1,enemy_skill_sets!$1:$1,0)+2,FALSE)</f>
        <v>#N/A</v>
      </c>
      <c r="W14" s="62">
        <v>0</v>
      </c>
      <c r="X14" s="6">
        <v>1</v>
      </c>
      <c r="Y14" s="6">
        <v>0</v>
      </c>
      <c r="Z14" s="6">
        <v>0</v>
      </c>
      <c r="AA14" s="99">
        <v>2</v>
      </c>
      <c r="AB14" s="24">
        <f t="shared" ref="AB14" si="31">L14</f>
        <v>25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ハチ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1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Drop1N</v>
      </c>
      <c r="AF14" s="7">
        <v>1</v>
      </c>
      <c r="AG14" s="24">
        <f t="shared" ref="AG14" ca="1" si="32">AD14</f>
        <v>1</v>
      </c>
      <c r="AH14" s="8">
        <v>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  <c r="AN14" s="69">
        <v>1</v>
      </c>
    </row>
    <row r="15" spans="1:40" ht="21" customHeight="1">
      <c r="A15" s="16" t="str">
        <f t="shared" ca="1" si="0"/>
        <v>11216_1-5/376&lt;lv32&gt;s3</v>
      </c>
      <c r="B15" s="22">
        <v>11216</v>
      </c>
      <c r="C15" s="21">
        <v>1</v>
      </c>
      <c r="D15" s="2" t="str">
        <f t="shared" si="1"/>
        <v>11216_1</v>
      </c>
      <c r="E15" s="4" t="str">
        <f ca="1">VLOOKUP($B15,OFFSET([2]quests!$A$1,0,0,COUNTA([2]quests!$A:$A),MATCH(E$1,[2]quests!$1:$1,0)-MATCH($B$1,[2]quests!$1:$1,0)+1),MATCH(E$1,[2]quests!$1:$1,0)-MATCH($B$1,[2]quests!$1:$1,0)+1,FALSE)</f>
        <v>年越し★特別クエスト</v>
      </c>
      <c r="F15" s="4" t="str">
        <f ca="1">VLOOKUP($D15,OFFSET([2]stages!$A$1,0,0,COUNTA([2]stages!$A:$A),MATCH(F$1,[2]stages!$2:$2,0)-MATCH($D$1,[2]stages!$2:$2,0)+1),MATCH(F$1,[2]stages!$2:$2,0)-MATCH($D$1,[2]stages!$2:$2,0)+1,FALSE)</f>
        <v>【上級】年を越える宴（ハートなし）</v>
      </c>
      <c r="G15" s="21">
        <v>5</v>
      </c>
      <c r="H15" s="15" t="str">
        <f t="shared" si="2"/>
        <v>11216_1-5</v>
      </c>
      <c r="I15" s="4">
        <f ca="1">VLOOKUP($H15,OFFSET(floors!$A$1,0,0,COUNTA(floors!$A:$A),MATCH(I$1,floors!$1:$1,0)-MATCH($H$1,floors!$1:$1,0)+1),MATCH(I$1,floors!$1:$1,0)-MATCH($H$1,floors!$1:$1,0)+1,FALSE)</f>
        <v>70</v>
      </c>
      <c r="J15" s="4">
        <f ca="1">VLOOKUP($H15,OFFSET(floors!$A$1,0,0,COUNTA(floors!$A:$A),MATCH(J$1,floors!$1:$1,0)-MATCH($H$1,floors!$1:$1,0)+1),MATCH(J$1,floors!$1:$1,0)-MATCH($H$1,floors!$1:$1,0)+1,FALSE)</f>
        <v>70</v>
      </c>
      <c r="K15" s="38" t="s">
        <v>53</v>
      </c>
      <c r="L15" s="20">
        <v>376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勘兵衛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yellow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Drop1S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17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32</v>
      </c>
      <c r="S15" s="25">
        <v>1</v>
      </c>
      <c r="T15" s="25">
        <v>0.9</v>
      </c>
      <c r="U15" s="5">
        <v>0</v>
      </c>
      <c r="V15" s="4" t="str">
        <f ca="1">VLOOKUP($W15,OFFSET(enemy_skill_sets!$B$1,0,0,COUNTA(enemy_skill_sets!$B:$B),MATCH(M$1,enemy_skill_sets!$1:$1,0)-MATCH($W$1,enemy_skill_sets!$1:$1,0)+2),MATCH(M$1,enemy_skill_sets!$1:$1,0)-MATCH($W$1,enemy_skill_sets!$1:$1,0)+2,FALSE)</f>
        <v>ALICEに 羊ユニットはいない！</v>
      </c>
      <c r="W15" s="62">
        <v>112161530</v>
      </c>
      <c r="X15" s="6">
        <v>1</v>
      </c>
      <c r="Y15" s="6">
        <v>0</v>
      </c>
      <c r="Z15" s="6">
        <v>1</v>
      </c>
      <c r="AA15" s="99">
        <f ca="1">VLOOKUP($L15,OFFSET([3]enemies!$A$1,0,0,COUNTA([3]enemies!$A:$A),MATCH(AA$1,[3]enemies!$1:$1,0)-MATCH($L$1,[3]enemies!$1:$1,0)+1),MATCH(AA$1,[3]enemies!$1:$1,0)-MATCH($L$1,[3]enemies!$1:$1,0)+1,FALSE)</f>
        <v>3</v>
      </c>
      <c r="AB15" s="24">
        <f t="shared" si="3"/>
        <v>376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勘兵衛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3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Drop1S</v>
      </c>
      <c r="AF15" s="105">
        <v>40</v>
      </c>
      <c r="AG15" s="24">
        <f t="shared" ca="1" si="4"/>
        <v>3</v>
      </c>
      <c r="AH15" s="8">
        <v>100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69">
        <v>1</v>
      </c>
    </row>
    <row r="16" spans="1:40" ht="21" customHeight="1">
      <c r="A16" s="16" t="str">
        <f t="shared" ref="A16" si="33">B16&amp;"_"&amp;C16&amp;"-"&amp;G16&amp;"/"&amp;L16&amp;"&lt;lv"&amp;R16&amp;"&gt;s"&amp;AA16</f>
        <v>11217_1-1/140&lt;lv71&gt;s1</v>
      </c>
      <c r="B16" s="22">
        <v>11217</v>
      </c>
      <c r="C16" s="21">
        <v>1</v>
      </c>
      <c r="D16" s="2" t="str">
        <f t="shared" ref="D16" si="34">B16&amp;"_"&amp;C16</f>
        <v>11217_1</v>
      </c>
      <c r="E16" s="4" t="str">
        <f ca="1">VLOOKUP($B16,OFFSET([2]quests!$A$1,0,0,COUNTA([2]quests!$A:$A),MATCH(E$1,[2]quests!$1:$1,0)-MATCH($B$1,[2]quests!$1:$1,0)+1),MATCH(E$1,[2]quests!$1:$1,0)-MATCH($B$1,[2]quests!$1:$1,0)+1,FALSE)</f>
        <v>年明け★特別クエスト</v>
      </c>
      <c r="F16" s="4" t="str">
        <f ca="1">VLOOKUP($D16,OFFSET([2]stages!$A$1,0,0,COUNTA([2]stages!$A:$A),MATCH(F$1,[2]stages!$2:$2,0)-MATCH($D$1,[2]stages!$2:$2,0)+1),MATCH(F$1,[2]stages!$2:$2,0)-MATCH($D$1,[2]stages!$2:$2,0)+1,FALSE)</f>
        <v>あけおめダックのお年玉</v>
      </c>
      <c r="G16" s="21">
        <v>1</v>
      </c>
      <c r="H16" s="15" t="str">
        <f t="shared" ref="H16" si="35">B16&amp;"_"&amp;C16&amp;"-"&amp;G16</f>
        <v>11217_1-1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 t="s">
        <v>53</v>
      </c>
      <c r="L16" s="20">
        <v>140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秋祭のタマモ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yellow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PremiumW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animal</v>
      </c>
      <c r="Q16" s="17">
        <f ca="1">VLOOKUP($L16,OFFSET([3]enemies!$A$1,0,0,COUNTA([3]enemies!$A:$A),MATCH(Q$1,[3]enemies!$1:$1,0)-MATCH($L$1,[3]enemies!$1:$1,0)+1),MATCH(Q$1,[3]enemies!$1:$1,0)-MATCH($L$1,[3]enemies!$1:$1,0)+1,FALSE)</f>
        <v>20</v>
      </c>
      <c r="R16" s="5">
        <v>71</v>
      </c>
      <c r="S16" s="25">
        <v>0.1</v>
      </c>
      <c r="T16" s="25">
        <v>0.1</v>
      </c>
      <c r="U16" s="5">
        <v>0</v>
      </c>
      <c r="V16" s="4" t="str">
        <f ca="1">VLOOKUP($W16,OFFSET(enemy_skill_sets!$B$1,0,0,COUNTA(enemy_skill_sets!$B:$B),MATCH(M$1,enemy_skill_sets!$1:$1,0)-MATCH($W$1,enemy_skill_sets!$1:$1,0)+2),MATCH(M$1,enemy_skill_sets!$1:$1,0)-MATCH($W$1,enemy_skill_sets!$1:$1,0)+2,FALSE)</f>
        <v>ALICEの世界も お祭り騒ぎだ</v>
      </c>
      <c r="W16" s="62">
        <v>112171100</v>
      </c>
      <c r="X16" s="6">
        <v>1</v>
      </c>
      <c r="Y16" s="6">
        <v>0</v>
      </c>
      <c r="Z16" s="6">
        <v>2</v>
      </c>
      <c r="AA16" s="99">
        <v>1</v>
      </c>
      <c r="AB16" s="24">
        <f t="shared" ref="AB16" si="36">L16</f>
        <v>140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秋祭のタマモ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3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6" s="7">
        <v>1</v>
      </c>
      <c r="AG16" s="24">
        <f t="shared" ref="AG16" ca="1" si="37">AD16</f>
        <v>3</v>
      </c>
      <c r="AH16" s="8">
        <v>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69">
        <v>1</v>
      </c>
    </row>
    <row r="17" spans="1:40" ht="21" customHeight="1">
      <c r="A17" s="16" t="str">
        <f t="shared" ref="A17" si="38">B17&amp;"_"&amp;C17&amp;"-"&amp;G17&amp;"/"&amp;L17&amp;"&lt;lv"&amp;R17&amp;"&gt;s"&amp;AA17</f>
        <v>11217_1-1/79&lt;lv63&gt;s1</v>
      </c>
      <c r="B17" s="22">
        <v>11217</v>
      </c>
      <c r="C17" s="21">
        <v>1</v>
      </c>
      <c r="D17" s="2" t="str">
        <f t="shared" ref="D17" si="39">B17&amp;"_"&amp;C17</f>
        <v>11217_1</v>
      </c>
      <c r="E17" s="4" t="str">
        <f ca="1">VLOOKUP($B17,OFFSET([2]quests!$A$1,0,0,COUNTA([2]quests!$A:$A),MATCH(E$1,[2]quests!$1:$1,0)-MATCH($B$1,[2]quests!$1:$1,0)+1),MATCH(E$1,[2]quests!$1:$1,0)-MATCH($B$1,[2]quests!$1:$1,0)+1,FALSE)</f>
        <v>年明け★特別クエスト</v>
      </c>
      <c r="F17" s="4" t="str">
        <f ca="1">VLOOKUP($D17,OFFSET([2]stages!$A$1,0,0,COUNTA([2]stages!$A:$A),MATCH(F$1,[2]stages!$2:$2,0)-MATCH($D$1,[2]stages!$2:$2,0)+1),MATCH(F$1,[2]stages!$2:$2,0)-MATCH($D$1,[2]stages!$2:$2,0)+1,FALSE)</f>
        <v>あけおめダックのお年玉</v>
      </c>
      <c r="G17" s="21">
        <v>1</v>
      </c>
      <c r="H17" s="15" t="str">
        <f t="shared" ref="H17" si="40">B17&amp;"_"&amp;C17&amp;"-"&amp;G17</f>
        <v>11217_1-1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 t="s">
        <v>53</v>
      </c>
      <c r="L17" s="20">
        <v>79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ハッピー100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green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PremiumW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unknown</v>
      </c>
      <c r="Q17" s="17">
        <f ca="1">VLOOKUP($L17,OFFSET([3]enemies!$A$1,0,0,COUNTA([3]enemies!$A:$A),MATCH(Q$1,[3]enemies!$1:$1,0)-MATCH($L$1,[3]enemies!$1:$1,0)+1),MATCH(Q$1,[3]enemies!$1:$1,0)-MATCH($L$1,[3]enemies!$1:$1,0)+1,FALSE)</f>
        <v>20</v>
      </c>
      <c r="R17" s="5">
        <v>63</v>
      </c>
      <c r="S17" s="25">
        <v>0.1</v>
      </c>
      <c r="T17" s="25">
        <v>0.1</v>
      </c>
      <c r="U17" s="5">
        <v>0</v>
      </c>
      <c r="V17" s="4" t="str">
        <f ca="1">VLOOKUP($W17,OFFSET(enemy_skill_sets!$B$1,0,0,COUNTA(enemy_skill_sets!$B:$B),MATCH(M$1,enemy_skill_sets!$1:$1,0)-MATCH($W$1,enemy_skill_sets!$1:$1,0)+2),MATCH(M$1,enemy_skill_sets!$1:$1,0)-MATCH($W$1,enemy_skill_sets!$1:$1,0)+2,FALSE)</f>
        <v>今年も 幸せそうだ</v>
      </c>
      <c r="W17" s="62">
        <v>112171110</v>
      </c>
      <c r="X17" s="6">
        <v>1</v>
      </c>
      <c r="Y17" s="6">
        <v>0</v>
      </c>
      <c r="Z17" s="6">
        <v>1</v>
      </c>
      <c r="AA17" s="99">
        <v>1</v>
      </c>
      <c r="AB17" s="24">
        <f t="shared" ref="AB17" si="41">L17</f>
        <v>79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ハッピー100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3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7" s="7">
        <v>1</v>
      </c>
      <c r="AG17" s="24">
        <f t="shared" ref="AG17" ca="1" si="42">AD17</f>
        <v>3</v>
      </c>
      <c r="AH17" s="8">
        <v>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  <c r="AN17" s="69">
        <v>1</v>
      </c>
    </row>
    <row r="18" spans="1:40" ht="21" customHeight="1">
      <c r="A18" s="16" t="str">
        <f t="shared" ref="A18:A19" si="43">B18&amp;"_"&amp;C18&amp;"-"&amp;G18&amp;"/"&amp;L18&amp;"&lt;lv"&amp;R18&amp;"&gt;s"&amp;AA18</f>
        <v>11217_1-1/45&lt;lv80&gt;s1</v>
      </c>
      <c r="B18" s="22">
        <v>11217</v>
      </c>
      <c r="C18" s="21">
        <v>1</v>
      </c>
      <c r="D18" s="2" t="str">
        <f t="shared" ref="D18:D19" si="44">B18&amp;"_"&amp;C18</f>
        <v>11217_1</v>
      </c>
      <c r="E18" s="4" t="str">
        <f ca="1">VLOOKUP($B18,OFFSET([2]quests!$A$1,0,0,COUNTA([2]quests!$A:$A),MATCH(E$1,[2]quests!$1:$1,0)-MATCH($B$1,[2]quests!$1:$1,0)+1),MATCH(E$1,[2]quests!$1:$1,0)-MATCH($B$1,[2]quests!$1:$1,0)+1,FALSE)</f>
        <v>年明け★特別クエスト</v>
      </c>
      <c r="F18" s="4" t="str">
        <f ca="1">VLOOKUP($D18,OFFSET([2]stages!$A$1,0,0,COUNTA([2]stages!$A:$A),MATCH(F$1,[2]stages!$2:$2,0)-MATCH($D$1,[2]stages!$2:$2,0)+1),MATCH(F$1,[2]stages!$2:$2,0)-MATCH($D$1,[2]stages!$2:$2,0)+1,FALSE)</f>
        <v>あけおめダックのお年玉</v>
      </c>
      <c r="G18" s="21">
        <v>1</v>
      </c>
      <c r="H18" s="15" t="str">
        <f t="shared" ref="H18:H19" si="45">B18&amp;"_"&amp;C18&amp;"-"&amp;G18</f>
        <v>11217_1-1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8" t="s">
        <v>53</v>
      </c>
      <c r="L18" s="20">
        <v>45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ショウイン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blue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Drop1N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animal</v>
      </c>
      <c r="Q18" s="17">
        <f ca="1">VLOOKUP($L18,OFFSET([3]enemies!$A$1,0,0,COUNTA([3]enemies!$A:$A),MATCH(Q$1,[3]enemies!$1:$1,0)-MATCH($L$1,[3]enemies!$1:$1,0)+1),MATCH(Q$1,[3]enemies!$1:$1,0)-MATCH($L$1,[3]enemies!$1:$1,0)+1,FALSE)</f>
        <v>15</v>
      </c>
      <c r="R18" s="5">
        <v>80</v>
      </c>
      <c r="S18" s="25">
        <v>0.1</v>
      </c>
      <c r="T18" s="25">
        <v>0.1</v>
      </c>
      <c r="U18" s="5">
        <v>0</v>
      </c>
      <c r="V18" s="4" t="str">
        <f ca="1">VLOOKUP($W18,OFFSET(enemy_skill_sets!$B$1,0,0,COUNTA(enemy_skill_sets!$B:$B),MATCH(M$1,enemy_skill_sets!$1:$1,0)-MATCH($W$1,enemy_skill_sets!$1:$1,0)+2),MATCH(M$1,enemy_skill_sets!$1:$1,0)-MATCH($W$1,enemy_skill_sets!$1:$1,0)+2,FALSE)</f>
        <v>そこら中に 書きまくっている</v>
      </c>
      <c r="W18" s="62">
        <v>112171120</v>
      </c>
      <c r="X18" s="6">
        <v>1</v>
      </c>
      <c r="Y18" s="6">
        <v>0</v>
      </c>
      <c r="Z18" s="6">
        <v>0</v>
      </c>
      <c r="AA18" s="99">
        <v>1</v>
      </c>
      <c r="AB18" s="24">
        <f t="shared" ref="AB18:AB19" si="46">L18</f>
        <v>45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ショウイン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2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Drop1N</v>
      </c>
      <c r="AF18" s="7">
        <v>1</v>
      </c>
      <c r="AG18" s="24">
        <f t="shared" ref="AG18:AG19" ca="1" si="47">AD18</f>
        <v>2</v>
      </c>
      <c r="AH18" s="8">
        <v>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  <c r="AN18" s="69">
        <v>1</v>
      </c>
    </row>
    <row r="19" spans="1:40" ht="21" customHeight="1">
      <c r="A19" s="16" t="str">
        <f t="shared" si="43"/>
        <v>11217_1-2/117&lt;lv1&gt;s9</v>
      </c>
      <c r="B19" s="22">
        <v>11217</v>
      </c>
      <c r="C19" s="21">
        <v>1</v>
      </c>
      <c r="D19" s="2" t="str">
        <f t="shared" si="44"/>
        <v>11217_1</v>
      </c>
      <c r="E19" s="4" t="str">
        <f ca="1">VLOOKUP($B19,OFFSET([2]quests!$A$1,0,0,COUNTA([2]quests!$A:$A),MATCH(E$1,[2]quests!$1:$1,0)-MATCH($B$1,[2]quests!$1:$1,0)+1),MATCH(E$1,[2]quests!$1:$1,0)-MATCH($B$1,[2]quests!$1:$1,0)+1,FALSE)</f>
        <v>年明け★特別クエスト</v>
      </c>
      <c r="F19" s="4" t="str">
        <f ca="1">VLOOKUP($D19,OFFSET([2]stages!$A$1,0,0,COUNTA([2]stages!$A:$A),MATCH(F$1,[2]stages!$2:$2,0)-MATCH($D$1,[2]stages!$2:$2,0)+1),MATCH(F$1,[2]stages!$2:$2,0)-MATCH($D$1,[2]stages!$2:$2,0)+1,FALSE)</f>
        <v>あけおめダックのお年玉</v>
      </c>
      <c r="G19" s="21">
        <v>2</v>
      </c>
      <c r="H19" s="15" t="str">
        <f t="shared" si="45"/>
        <v>11217_1-2</v>
      </c>
      <c r="I19" s="4">
        <f ca="1">VLOOKUP($H19,OFFSET(floors!$A$1,0,0,COUNTA(floors!$A:$A),MATCH(I$1,floors!$1:$1,0)-MATCH($H$1,floors!$1:$1,0)+1),MATCH(I$1,floors!$1:$1,0)-MATCH($H$1,floors!$1:$1,0)+1,FALSE)</f>
        <v>45</v>
      </c>
      <c r="J19" s="4">
        <f ca="1">VLOOKUP($H19,OFFSET(floors!$A$1,0,0,COUNTA(floors!$A:$A),MATCH(J$1,floors!$1:$1,0)-MATCH($H$1,floors!$1:$1,0)+1),MATCH(J$1,floors!$1:$1,0)-MATCH($H$1,floors!$1:$1,0)+1,FALSE)</f>
        <v>45</v>
      </c>
      <c r="K19" s="38" t="s">
        <v>268</v>
      </c>
      <c r="L19" s="20">
        <v>117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ゴールドピヨピヨ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yellow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Material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unknown</v>
      </c>
      <c r="Q19" s="17">
        <f ca="1">VLOOKUP($L19,OFFSET([3]enemies!$A$1,0,0,COUNTA([3]enemies!$A:$A),MATCH(Q$1,[3]enemies!$1:$1,0)-MATCH($L$1,[3]enemies!$1:$1,0)+1),MATCH(Q$1,[3]enemies!$1:$1,0)-MATCH($L$1,[3]enemies!$1:$1,0)+1,FALSE)</f>
        <v>15</v>
      </c>
      <c r="R19" s="5">
        <v>1</v>
      </c>
      <c r="S19" s="25">
        <v>1</v>
      </c>
      <c r="T19" s="25">
        <v>0.1</v>
      </c>
      <c r="U19" s="5">
        <v>0</v>
      </c>
      <c r="V19" s="4" t="e">
        <f ca="1">VLOOKUP($W19,OFFSET(enemy_skill_sets!$B$1,0,0,COUNTA(enemy_skill_sets!$B:$B),MATCH(M$1,enemy_skill_sets!$1:$1,0)-MATCH($W$1,enemy_skill_sets!$1:$1,0)+2),MATCH(M$1,enemy_skill_sets!$1:$1,0)-MATCH($W$1,enemy_skill_sets!$1:$1,0)+2,FALSE)</f>
        <v>#N/A</v>
      </c>
      <c r="W19" s="62">
        <v>0</v>
      </c>
      <c r="X19" s="6">
        <v>0</v>
      </c>
      <c r="Y19" s="6">
        <v>100</v>
      </c>
      <c r="Z19" s="6">
        <v>0</v>
      </c>
      <c r="AA19" s="99">
        <v>9</v>
      </c>
      <c r="AB19" s="24">
        <f t="shared" si="46"/>
        <v>117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ゴールドピヨピヨ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3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9" s="7">
        <v>1</v>
      </c>
      <c r="AG19" s="24">
        <f t="shared" ca="1" si="47"/>
        <v>3</v>
      </c>
      <c r="AH19" s="8">
        <v>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  <c r="AN19" s="69">
        <v>1</v>
      </c>
    </row>
    <row r="20" spans="1:40" ht="21" customHeight="1">
      <c r="A20" s="16" t="str">
        <f t="shared" ref="A20" si="48">B20&amp;"_"&amp;C20&amp;"-"&amp;G20&amp;"/"&amp;L20&amp;"&lt;lv"&amp;R20&amp;"&gt;s"&amp;AA20</f>
        <v>11217_1-2/117&lt;lv2&gt;s1</v>
      </c>
      <c r="B20" s="22">
        <v>11217</v>
      </c>
      <c r="C20" s="21">
        <v>1</v>
      </c>
      <c r="D20" s="2" t="str">
        <f t="shared" ref="D20" si="49">B20&amp;"_"&amp;C20</f>
        <v>11217_1</v>
      </c>
      <c r="E20" s="4" t="str">
        <f ca="1">VLOOKUP($B20,OFFSET([2]quests!$A$1,0,0,COUNTA([2]quests!$A:$A),MATCH(E$1,[2]quests!$1:$1,0)-MATCH($B$1,[2]quests!$1:$1,0)+1),MATCH(E$1,[2]quests!$1:$1,0)-MATCH($B$1,[2]quests!$1:$1,0)+1,FALSE)</f>
        <v>年明け★特別クエスト</v>
      </c>
      <c r="F20" s="4" t="str">
        <f ca="1">VLOOKUP($D20,OFFSET([2]stages!$A$1,0,0,COUNTA([2]stages!$A:$A),MATCH(F$1,[2]stages!$2:$2,0)-MATCH($D$1,[2]stages!$2:$2,0)+1),MATCH(F$1,[2]stages!$2:$2,0)-MATCH($D$1,[2]stages!$2:$2,0)+1,FALSE)</f>
        <v>あけおめダックのお年玉</v>
      </c>
      <c r="G20" s="21">
        <v>2</v>
      </c>
      <c r="H20" s="15" t="str">
        <f t="shared" ref="H20" si="50">B20&amp;"_"&amp;C20&amp;"-"&amp;G20</f>
        <v>11217_1-2</v>
      </c>
      <c r="I20" s="4">
        <f ca="1">VLOOKUP($H20,OFFSET(floors!$A$1,0,0,COUNTA(floors!$A:$A),MATCH(I$1,floors!$1:$1,0)-MATCH($H$1,floors!$1:$1,0)+1),MATCH(I$1,floors!$1:$1,0)-MATCH($H$1,floors!$1:$1,0)+1,FALSE)</f>
        <v>45</v>
      </c>
      <c r="J20" s="4">
        <f ca="1">VLOOKUP($H20,OFFSET(floors!$A$1,0,0,COUNTA(floors!$A:$A),MATCH(J$1,floors!$1:$1,0)-MATCH($H$1,floors!$1:$1,0)+1),MATCH(J$1,floors!$1:$1,0)-MATCH($H$1,floors!$1:$1,0)+1,FALSE)</f>
        <v>45</v>
      </c>
      <c r="K20" s="38">
        <v>1</v>
      </c>
      <c r="L20" s="20">
        <v>117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ゴールドピヨピヨ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yellow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Material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unknown</v>
      </c>
      <c r="Q20" s="17">
        <f ca="1">VLOOKUP($L20,OFFSET([3]enemies!$A$1,0,0,COUNTA([3]enemies!$A:$A),MATCH(Q$1,[3]enemies!$1:$1,0)-MATCH($L$1,[3]enemies!$1:$1,0)+1),MATCH(Q$1,[3]enemies!$1:$1,0)-MATCH($L$1,[3]enemies!$1:$1,0)+1,FALSE)</f>
        <v>15</v>
      </c>
      <c r="R20" s="5">
        <v>2</v>
      </c>
      <c r="S20" s="25">
        <v>1</v>
      </c>
      <c r="T20" s="25">
        <v>0.1</v>
      </c>
      <c r="U20" s="5">
        <v>0</v>
      </c>
      <c r="V20" s="4" t="str">
        <f ca="1">VLOOKUP($W20,OFFSET(enemy_skill_sets!$B$1,0,0,COUNTA(enemy_skill_sets!$B:$B),MATCH(M$1,enemy_skill_sets!$1:$1,0)-MATCH($W$1,enemy_skill_sets!$1:$1,0)+2),MATCH(M$1,enemy_skill_sets!$1:$1,0)-MATCH($W$1,enemy_skill_sets!$1:$1,0)+2,FALSE)</f>
        <v>おめでとうございます！</v>
      </c>
      <c r="W20" s="62">
        <v>112171130</v>
      </c>
      <c r="X20" s="6">
        <v>1</v>
      </c>
      <c r="Y20" s="6">
        <v>0</v>
      </c>
      <c r="Z20" s="6">
        <v>1</v>
      </c>
      <c r="AA20" s="99">
        <v>1</v>
      </c>
      <c r="AB20" s="7">
        <v>524</v>
      </c>
      <c r="AC20" s="4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あけおめダック</v>
      </c>
      <c r="AD20" s="4">
        <f ca="1">VLOOKUP($AB20,OFFSET([4]characters!$A$1,0,0,COUNTA([4]characters!$A:$A),MATCH(AD$1,[4]characters!$1:$1,0)-MATCH("character_id",[4]characters!$1:$1,0)+1),MATCH(AD$1,[4]characters!$1:$1,0)-MATCH("character_id",[4]characters!$1:$1,0)+1,FALSE)</f>
        <v>5</v>
      </c>
      <c r="AE20" s="4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0" s="7">
        <v>1</v>
      </c>
      <c r="AG20" s="24">
        <f t="shared" ref="AG20" ca="1" si="51">AD20</f>
        <v>5</v>
      </c>
      <c r="AH20" s="8">
        <v>100</v>
      </c>
      <c r="AI20" s="7">
        <v>0</v>
      </c>
      <c r="AJ20" s="7">
        <v>0</v>
      </c>
      <c r="AK20" s="7">
        <v>0</v>
      </c>
      <c r="AL20" s="7">
        <v>0</v>
      </c>
      <c r="AM20" s="7">
        <v>1</v>
      </c>
      <c r="AN20" s="69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7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U7" sqref="U7"/>
    </sheetView>
  </sheetViews>
  <sheetFormatPr baseColWidth="12" defaultColWidth="13" defaultRowHeight="21" customHeight="1" outlineLevelCol="1" x14ac:dyDescent="0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.5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>
      <c r="A2" s="16" t="str">
        <f t="shared" ref="A2:A7" si="0">B2&amp;"_"&amp;C2&amp;"-"&amp;G2&amp;"/"&amp;M2&amp;"&lt;lv"&amp;S2&amp;"&gt;sq"&amp;K2&amp;"st"&amp;L2</f>
        <v>11216_1-3/330&lt;lv1&gt;sq1st2</v>
      </c>
      <c r="B2" s="22">
        <v>11216</v>
      </c>
      <c r="C2" s="21">
        <v>1</v>
      </c>
      <c r="D2" s="2" t="str">
        <f t="shared" ref="D2:D7" si="1">B2&amp;"_"&amp;C2</f>
        <v>11216_1</v>
      </c>
      <c r="E2" s="4" t="str">
        <f ca="1">VLOOKUP($B2,OFFSET([2]quests!$A$1,0,0,COUNTA([2]quests!$A:$A),MATCH(E$1,[2]quests!$1:$1,0)-MATCH($B$1,[2]quests!$1:$1,0)+1),MATCH(E$1,[2]quests!$1:$1,0)-MATCH($B$1,[2]quests!$1:$1,0)+1,FALSE)</f>
        <v>年越し★特別クエスト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【上級】年を越える宴（ハートなし）</v>
      </c>
      <c r="G2" s="21">
        <v>3</v>
      </c>
      <c r="H2" s="15" t="str">
        <f t="shared" ref="H2:H7" si="2">B2&amp;"_"&amp;C2&amp;"-"&amp;G2</f>
        <v>11216_1-3</v>
      </c>
      <c r="I2" s="4">
        <f ca="1">VLOOKUP($H2,OFFSET(floors!$A$1,0,0,COUNTA(floors!$A:$A),MATCH(I$1,floors!$1:$1,0)-MATCH($H$1,floors!$1:$1,0)+1),MATCH(I$1,floors!$1:$1,0)-MATCH($H$1,floors!$1:$1,0)+1,FALSE)</f>
        <v>35</v>
      </c>
      <c r="J2" s="4">
        <f ca="1">VLOOKUP($H2,OFFSET(floors!$A$1,0,0,COUNTA(floors!$A:$A),MATCH(J$1,floors!$1:$1,0)-MATCH($H$1,floors!$1:$1,0)+1),MATCH(J$1,floors!$1:$1,0)-MATCH($H$1,floors!$1:$1,0)+1,FALSE)</f>
        <v>35</v>
      </c>
      <c r="K2" s="38">
        <v>1</v>
      </c>
      <c r="L2" s="38">
        <v>2</v>
      </c>
      <c r="M2" s="20">
        <v>330</v>
      </c>
      <c r="N2" s="17" t="str">
        <f ca="1">VLOOKUP($M2,OFFSET([3]enemies!$A$1,0,0,COUNTA([3]enemies!$A:$A),MATCH(N$1,[3]enemies!$1:$1,0)-MATCH($M$1,[3]enemies!$1:$1,0)+1),MATCH(N$1,[3]enemies!$1:$1,0)-MATCH($M$1,[3]enemies!$1:$1,0)+1,FALSE)</f>
        <v>UsagiChan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15</v>
      </c>
      <c r="S2" s="5">
        <v>1</v>
      </c>
      <c r="T2" s="25">
        <v>1</v>
      </c>
      <c r="U2" s="25">
        <v>1</v>
      </c>
      <c r="V2" s="5">
        <v>0</v>
      </c>
      <c r="W2" s="4" t="str">
        <f ca="1">VLOOKUP($X2,OFFSET(enemy_skill_sets!$B$1,0,0,COUNTA(enemy_skill_sets!$B:$B),MATCH(N$1,enemy_skill_sets!$1:$1,0)-MATCH($X$1,enemy_skill_sets!$1:$1,0)+2),MATCH(N$1,enemy_skill_sets!$1:$1,0)-MATCH($X$1,enemy_skill_sets!$1:$1,0)+2,FALSE)</f>
        <v>何かのタマゴが ドロップする！</v>
      </c>
      <c r="X2" s="62">
        <v>112161309</v>
      </c>
      <c r="Y2" s="70">
        <f ca="1">VLOOKUP($M2,OFFSET([3]enemies!$A$1,0,0,COUNTA([3]enemies!$A:$A),MATCH(Y$1,[3]enemies!$1:$1,0)-MATCH($M$1,[3]enemies!$1:$1,0)+1),MATCH(Y$1,[3]enemies!$1:$1,0)-MATCH($M$1,[3]enemies!$1:$1,0)+1,FALSE)</f>
        <v>2</v>
      </c>
    </row>
    <row r="3" spans="1:25" ht="21" customHeight="1">
      <c r="A3" s="16" t="str">
        <f t="shared" si="0"/>
        <v>11216_1-3/330&lt;lv1&gt;sq2st2</v>
      </c>
      <c r="B3" s="22">
        <v>11216</v>
      </c>
      <c r="C3" s="21">
        <v>1</v>
      </c>
      <c r="D3" s="2" t="str">
        <f t="shared" si="1"/>
        <v>11216_1</v>
      </c>
      <c r="E3" s="4" t="str">
        <f ca="1">VLOOKUP($B3,OFFSET([2]quests!$A$1,0,0,COUNTA([2]quests!$A:$A),MATCH(E$1,[2]quests!$1:$1,0)-MATCH($B$1,[2]quests!$1:$1,0)+1),MATCH(E$1,[2]quests!$1:$1,0)-MATCH($B$1,[2]quests!$1:$1,0)+1,FALSE)</f>
        <v>年越し★特別クエスト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【上級】年を越える宴（ハートなし）</v>
      </c>
      <c r="G3" s="21">
        <v>3</v>
      </c>
      <c r="H3" s="15" t="str">
        <f t="shared" si="2"/>
        <v>11216_1-3</v>
      </c>
      <c r="I3" s="4">
        <f ca="1">VLOOKUP($H3,OFFSET(floors!$A$1,0,0,COUNTA(floors!$A:$A),MATCH(I$1,floors!$1:$1,0)-MATCH($H$1,floors!$1:$1,0)+1),MATCH(I$1,floors!$1:$1,0)-MATCH($H$1,floors!$1:$1,0)+1,FALSE)</f>
        <v>35</v>
      </c>
      <c r="J3" s="4">
        <f ca="1">VLOOKUP($H3,OFFSET(floors!$A$1,0,0,COUNTA(floors!$A:$A),MATCH(J$1,floors!$1:$1,0)-MATCH($H$1,floors!$1:$1,0)+1),MATCH(J$1,floors!$1:$1,0)-MATCH($H$1,floors!$1:$1,0)+1,FALSE)</f>
        <v>35</v>
      </c>
      <c r="K3" s="38">
        <v>2</v>
      </c>
      <c r="L3" s="38">
        <v>2</v>
      </c>
      <c r="M3" s="20">
        <v>330</v>
      </c>
      <c r="N3" s="17" t="str">
        <f ca="1">VLOOKUP($M3,OFFSET([3]enemies!$A$1,0,0,COUNTA([3]enemies!$A:$A),MATCH(N$1,[3]enemies!$1:$1,0)-MATCH($M$1,[3]enemies!$1:$1,0)+1),MATCH(N$1,[3]enemies!$1:$1,0)-MATCH($M$1,[3]enemies!$1:$1,0)+1,FALSE)</f>
        <v>UsagiChan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7">
        <f ca="1">VLOOKUP($M3,OFFSET([3]enemies!$A$1,0,0,COUNTA([3]enemies!$A:$A),MATCH(R$1,[3]enemies!$1:$1,0)-MATCH($M$1,[3]enemies!$1:$1,0)+1),MATCH(R$1,[3]enemies!$1:$1,0)-MATCH($M$1,[3]enemies!$1:$1,0)+1,FALSE)</f>
        <v>15</v>
      </c>
      <c r="S3" s="5">
        <v>1</v>
      </c>
      <c r="T3" s="25">
        <v>1</v>
      </c>
      <c r="U3" s="25">
        <v>1</v>
      </c>
      <c r="V3" s="5">
        <v>0</v>
      </c>
      <c r="W3" s="4" t="str">
        <f ca="1">VLOOKUP($X3,OFFSET(enemy_skill_sets!$B$1,0,0,COUNTA(enemy_skill_sets!$B:$B),MATCH(N$1,enemy_skill_sets!$1:$1,0)-MATCH($X$1,enemy_skill_sets!$1:$1,0)+2),MATCH(N$1,enemy_skill_sets!$1:$1,0)-MATCH($X$1,enemy_skill_sets!$1:$1,0)+2,FALSE)</f>
        <v>何かのタマゴが ドロップする！</v>
      </c>
      <c r="X3" s="62">
        <v>112161309</v>
      </c>
      <c r="Y3" s="70">
        <f ca="1">VLOOKUP($M3,OFFSET([3]enemies!$A$1,0,0,COUNTA([3]enemies!$A:$A),MATCH(Y$1,[3]enemies!$1:$1,0)-MATCH($M$1,[3]enemies!$1:$1,0)+1),MATCH(Y$1,[3]enemies!$1:$1,0)-MATCH($M$1,[3]enemies!$1:$1,0)+1,FALSE)</f>
        <v>2</v>
      </c>
    </row>
    <row r="4" spans="1:25" ht="21" customHeight="1">
      <c r="A4" s="16" t="str">
        <f t="shared" si="0"/>
        <v>11216_1-3/330&lt;lv1&gt;sq3st2</v>
      </c>
      <c r="B4" s="22">
        <v>11216</v>
      </c>
      <c r="C4" s="21">
        <v>1</v>
      </c>
      <c r="D4" s="2" t="str">
        <f t="shared" si="1"/>
        <v>11216_1</v>
      </c>
      <c r="E4" s="4" t="str">
        <f ca="1">VLOOKUP($B4,OFFSET([2]quests!$A$1,0,0,COUNTA([2]quests!$A:$A),MATCH(E$1,[2]quests!$1:$1,0)-MATCH($B$1,[2]quests!$1:$1,0)+1),MATCH(E$1,[2]quests!$1:$1,0)-MATCH($B$1,[2]quests!$1:$1,0)+1,FALSE)</f>
        <v>年越し★特別クエスト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【上級】年を越える宴（ハートなし）</v>
      </c>
      <c r="G4" s="21">
        <v>3</v>
      </c>
      <c r="H4" s="15" t="str">
        <f t="shared" si="2"/>
        <v>11216_1-3</v>
      </c>
      <c r="I4" s="4">
        <f ca="1">VLOOKUP($H4,OFFSET(floors!$A$1,0,0,COUNTA(floors!$A:$A),MATCH(I$1,floors!$1:$1,0)-MATCH($H$1,floors!$1:$1,0)+1),MATCH(I$1,floors!$1:$1,0)-MATCH($H$1,floors!$1:$1,0)+1,FALSE)</f>
        <v>35</v>
      </c>
      <c r="J4" s="4">
        <f ca="1">VLOOKUP($H4,OFFSET(floors!$A$1,0,0,COUNTA(floors!$A:$A),MATCH(J$1,floors!$1:$1,0)-MATCH($H$1,floors!$1:$1,0)+1),MATCH(J$1,floors!$1:$1,0)-MATCH($H$1,floors!$1:$1,0)+1,FALSE)</f>
        <v>35</v>
      </c>
      <c r="K4" s="38">
        <v>3</v>
      </c>
      <c r="L4" s="38">
        <v>2</v>
      </c>
      <c r="M4" s="20">
        <v>330</v>
      </c>
      <c r="N4" s="17" t="str">
        <f ca="1">VLOOKUP($M4,OFFSET([3]enemies!$A$1,0,0,COUNTA([3]enemies!$A:$A),MATCH(N$1,[3]enemies!$1:$1,0)-MATCH($M$1,[3]enemies!$1:$1,0)+1),MATCH(N$1,[3]enemies!$1:$1,0)-MATCH($M$1,[3]enemies!$1:$1,0)+1,FALSE)</f>
        <v>UsagiChan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7">
        <f ca="1">VLOOKUP($M4,OFFSET([3]enemies!$A$1,0,0,COUNTA([3]enemies!$A:$A),MATCH(R$1,[3]enemies!$1:$1,0)-MATCH($M$1,[3]enemies!$1:$1,0)+1),MATCH(R$1,[3]enemies!$1:$1,0)-MATCH($M$1,[3]enemies!$1:$1,0)+1,FALSE)</f>
        <v>15</v>
      </c>
      <c r="S4" s="5">
        <v>1</v>
      </c>
      <c r="T4" s="25">
        <v>1</v>
      </c>
      <c r="U4" s="25">
        <v>1</v>
      </c>
      <c r="V4" s="5">
        <v>0</v>
      </c>
      <c r="W4" s="4" t="str">
        <f ca="1">VLOOKUP($X4,OFFSET(enemy_skill_sets!$B$1,0,0,COUNTA(enemy_skill_sets!$B:$B),MATCH(N$1,enemy_skill_sets!$1:$1,0)-MATCH($X$1,enemy_skill_sets!$1:$1,0)+2),MATCH(N$1,enemy_skill_sets!$1:$1,0)-MATCH($X$1,enemy_skill_sets!$1:$1,0)+2,FALSE)</f>
        <v>何かのタマゴが ドロップする！</v>
      </c>
      <c r="X4" s="62">
        <v>112161309</v>
      </c>
      <c r="Y4" s="70">
        <f ca="1">VLOOKUP($M4,OFFSET([3]enemies!$A$1,0,0,COUNTA([3]enemies!$A:$A),MATCH(Y$1,[3]enemies!$1:$1,0)-MATCH($M$1,[3]enemies!$1:$1,0)+1),MATCH(Y$1,[3]enemies!$1:$1,0)-MATCH($M$1,[3]enemies!$1:$1,0)+1,FALSE)</f>
        <v>2</v>
      </c>
    </row>
    <row r="5" spans="1:25" ht="21" customHeight="1">
      <c r="A5" s="16" t="str">
        <f t="shared" si="0"/>
        <v>11216_1-5/377&lt;lv1&gt;sq1st2</v>
      </c>
      <c r="B5" s="22">
        <v>11216</v>
      </c>
      <c r="C5" s="21">
        <v>1</v>
      </c>
      <c r="D5" s="2" t="str">
        <f t="shared" si="1"/>
        <v>11216_1</v>
      </c>
      <c r="E5" s="4" t="str">
        <f ca="1">VLOOKUP($B5,OFFSET([2]quests!$A$1,0,0,COUNTA([2]quests!$A:$A),MATCH(E$1,[2]quests!$1:$1,0)-MATCH($B$1,[2]quests!$1:$1,0)+1),MATCH(E$1,[2]quests!$1:$1,0)-MATCH($B$1,[2]quests!$1:$1,0)+1,FALSE)</f>
        <v>年越し★特別クエスト</v>
      </c>
      <c r="F5" s="4" t="str">
        <f ca="1">VLOOKUP($D5,OFFSET([2]stages!$A$1,0,0,COUNTA([2]stages!$A:$A),MATCH(F$1,[2]stages!$2:$2,0)-MATCH($D$1,[2]stages!$2:$2,0)+1),MATCH(F$1,[2]stages!$2:$2,0)-MATCH($D$1,[2]stages!$2:$2,0)+1,FALSE)</f>
        <v>【上級】年を越える宴（ハートなし）</v>
      </c>
      <c r="G5" s="21">
        <v>5</v>
      </c>
      <c r="H5" s="15" t="str">
        <f t="shared" si="2"/>
        <v>11216_1-5</v>
      </c>
      <c r="I5" s="4">
        <f ca="1">VLOOKUP($H5,OFFSET(floors!$A$1,0,0,COUNTA(floors!$A:$A),MATCH(I$1,floors!$1:$1,0)-MATCH($H$1,floors!$1:$1,0)+1),MATCH(I$1,floors!$1:$1,0)-MATCH($H$1,floors!$1:$1,0)+1,FALSE)</f>
        <v>70</v>
      </c>
      <c r="J5" s="4">
        <f ca="1">VLOOKUP($H5,OFFSET(floors!$A$1,0,0,COUNTA(floors!$A:$A),MATCH(J$1,floors!$1:$1,0)-MATCH($H$1,floors!$1:$1,0)+1),MATCH(J$1,floors!$1:$1,0)-MATCH($H$1,floors!$1:$1,0)+1,FALSE)</f>
        <v>70</v>
      </c>
      <c r="K5" s="38">
        <v>1</v>
      </c>
      <c r="L5" s="38">
        <v>2</v>
      </c>
      <c r="M5" s="20">
        <v>377</v>
      </c>
      <c r="N5" s="17" t="str">
        <f ca="1">VLOOKUP($M5,OFFSET([3]enemies!$A$1,0,0,COUNTA([3]enemies!$A:$A),MATCH(N$1,[3]enemies!$1:$1,0)-MATCH($M$1,[3]enemies!$1:$1,0)+1),MATCH(N$1,[3]enemies!$1:$1,0)-MATCH($M$1,[3]enemies!$1:$1,0)+1,FALSE)</f>
        <v>光明鹿剣 勘兵衛</v>
      </c>
      <c r="O5" s="17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Drop1S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animal</v>
      </c>
      <c r="R5" s="17">
        <f ca="1">VLOOKUP($M5,OFFSET([3]enemies!$A$1,0,0,COUNTA([3]enemies!$A:$A),MATCH(R$1,[3]enemies!$1:$1,0)-MATCH($M$1,[3]enemies!$1:$1,0)+1),MATCH(R$1,[3]enemies!$1:$1,0)-MATCH($M$1,[3]enemies!$1:$1,0)+1,FALSE)</f>
        <v>30</v>
      </c>
      <c r="S5" s="5">
        <v>1</v>
      </c>
      <c r="T5" s="25">
        <v>1</v>
      </c>
      <c r="U5" s="25">
        <v>1</v>
      </c>
      <c r="V5" s="5">
        <v>0</v>
      </c>
      <c r="W5" s="4" t="str">
        <f ca="1">VLOOKUP($X5,OFFSET(enemy_skill_sets!$B$1,0,0,COUNTA(enemy_skill_sets!$B:$B),MATCH(N$1,enemy_skill_sets!$1:$1,0)-MATCH($X$1,enemy_skill_sets!$1:$1,0)+2),MATCH(N$1,enemy_skill_sets!$1:$1,0)-MATCH($X$1,enemy_skill_sets!$1:$1,0)+2,FALSE)</f>
        <v>何かのタマゴが ドロップする！</v>
      </c>
      <c r="X5" s="62">
        <v>112161309</v>
      </c>
      <c r="Y5" s="70">
        <f ca="1">VLOOKUP($M5,OFFSET([3]enemies!$A$1,0,0,COUNTA([3]enemies!$A:$A),MATCH(Y$1,[3]enemies!$1:$1,0)-MATCH($M$1,[3]enemies!$1:$1,0)+1),MATCH(Y$1,[3]enemies!$1:$1,0)-MATCH($M$1,[3]enemies!$1:$1,0)+1,FALSE)</f>
        <v>3</v>
      </c>
    </row>
    <row r="6" spans="1:25" ht="21" customHeight="1">
      <c r="A6" s="16" t="str">
        <f t="shared" si="0"/>
        <v>11217_1-2/119&lt;lv1&gt;sq1st2</v>
      </c>
      <c r="B6" s="22">
        <v>11217</v>
      </c>
      <c r="C6" s="21">
        <v>1</v>
      </c>
      <c r="D6" s="2" t="str">
        <f t="shared" si="1"/>
        <v>11217_1</v>
      </c>
      <c r="E6" s="4" t="str">
        <f ca="1">VLOOKUP($B6,OFFSET([2]quests!$A$1,0,0,COUNTA([2]quests!$A:$A),MATCH(E$1,[2]quests!$1:$1,0)-MATCH($B$1,[2]quests!$1:$1,0)+1),MATCH(E$1,[2]quests!$1:$1,0)-MATCH($B$1,[2]quests!$1:$1,0)+1,FALSE)</f>
        <v>年明け★特別クエスト</v>
      </c>
      <c r="F6" s="4" t="str">
        <f ca="1">VLOOKUP($D6,OFFSET([2]stages!$A$1,0,0,COUNTA([2]stages!$A:$A),MATCH(F$1,[2]stages!$2:$2,0)-MATCH($D$1,[2]stages!$2:$2,0)+1),MATCH(F$1,[2]stages!$2:$2,0)-MATCH($D$1,[2]stages!$2:$2,0)+1,FALSE)</f>
        <v>あけおめダックのお年玉</v>
      </c>
      <c r="G6" s="21">
        <v>2</v>
      </c>
      <c r="H6" s="15" t="str">
        <f t="shared" si="2"/>
        <v>11217_1-2</v>
      </c>
      <c r="I6" s="4">
        <f ca="1">VLOOKUP($H6,OFFSET(floors!$A$1,0,0,COUNTA(floors!$A:$A),MATCH(I$1,floors!$1:$1,0)-MATCH($H$1,floors!$1:$1,0)+1),MATCH(I$1,floors!$1:$1,0)-MATCH($H$1,floors!$1:$1,0)+1,FALSE)</f>
        <v>45</v>
      </c>
      <c r="J6" s="4">
        <f ca="1">VLOOKUP($H6,OFFSET(floors!$A$1,0,0,COUNTA(floors!$A:$A),MATCH(J$1,floors!$1:$1,0)-MATCH($H$1,floors!$1:$1,0)+1),MATCH(J$1,floors!$1:$1,0)-MATCH($H$1,floors!$1:$1,0)+1,FALSE)</f>
        <v>45</v>
      </c>
      <c r="K6" s="38">
        <v>1</v>
      </c>
      <c r="L6" s="38">
        <v>2</v>
      </c>
      <c r="M6" s="20">
        <v>119</v>
      </c>
      <c r="N6" s="17" t="str">
        <f ca="1">VLOOKUP($M6,OFFSET([3]enemies!$A$1,0,0,COUNTA([3]enemies!$A:$A),MATCH(N$1,[3]enemies!$1:$1,0)-MATCH($M$1,[3]enemies!$1:$1,0)+1),MATCH(N$1,[3]enemies!$1:$1,0)-MATCH($M$1,[3]enemies!$1:$1,0)+1,FALSE)</f>
        <v>ゴールドダック</v>
      </c>
      <c r="O6" s="17" t="str">
        <f ca="1">VLOOKUP($M6,OFFSET([3]enemies!$A$1,0,0,COUNTA([3]enemies!$A:$A),MATCH(O$1,[3]enemies!$1:$1,0)-MATCH($M$1,[3]enemies!$1:$1,0)+1),MATCH(O$1,[3]enemies!$1:$1,0)-MATCH($M$1,[3]enemies!$1:$1,0)+1,FALSE)</f>
        <v>yellow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Material</v>
      </c>
      <c r="Q6" s="17" t="str">
        <f ca="1">VLOOKUP($M6,OFFSET([3]enemies!$A$1,0,0,COUNTA([3]enemies!$A:$A),MATCH(Q$1,[3]enemies!$1:$1,0)-MATCH($M$1,[3]enemies!$1:$1,0)+1),MATCH(Q$1,[3]enemies!$1:$1,0)-MATCH($M$1,[3]enemies!$1:$1,0)+1,FALSE)</f>
        <v>unknown</v>
      </c>
      <c r="R6" s="17">
        <f ca="1">VLOOKUP($M6,OFFSET([3]enemies!$A$1,0,0,COUNTA([3]enemies!$A:$A),MATCH(R$1,[3]enemies!$1:$1,0)-MATCH($M$1,[3]enemies!$1:$1,0)+1),MATCH(R$1,[3]enemies!$1:$1,0)-MATCH($M$1,[3]enemies!$1:$1,0)+1,FALSE)</f>
        <v>20</v>
      </c>
      <c r="S6" s="5">
        <v>1</v>
      </c>
      <c r="T6" s="25">
        <v>1</v>
      </c>
      <c r="U6" s="25">
        <v>0.1</v>
      </c>
      <c r="V6" s="5">
        <v>0</v>
      </c>
      <c r="W6" s="4" t="str">
        <f ca="1">VLOOKUP($X6,OFFSET(enemy_skill_sets!$B$1,0,0,COUNTA(enemy_skill_sets!$B:$B),MATCH(N$1,enemy_skill_sets!$1:$1,0)-MATCH($X$1,enemy_skill_sets!$1:$1,0)+2),MATCH(N$1,enemy_skill_sets!$1:$1,0)-MATCH($X$1,enemy_skill_sets!$1:$1,0)+2,FALSE)</f>
        <v>なにとぞ ご期待ください！</v>
      </c>
      <c r="X6" s="62">
        <v>112171140</v>
      </c>
      <c r="Y6" s="70">
        <f ca="1">VLOOKUP($M6,OFFSET([3]enemies!$A$1,0,0,COUNTA([3]enemies!$A:$A),MATCH(Y$1,[3]enemies!$1:$1,0)-MATCH($M$1,[3]enemies!$1:$1,0)+1),MATCH(Y$1,[3]enemies!$1:$1,0)-MATCH($M$1,[3]enemies!$1:$1,0)+1,FALSE)</f>
        <v>3</v>
      </c>
    </row>
    <row r="7" spans="1:25" ht="21" customHeight="1">
      <c r="A7" s="16" t="str">
        <f t="shared" si="0"/>
        <v>11217_1-2/524&lt;lv1&gt;sq1st3</v>
      </c>
      <c r="B7" s="22">
        <v>11217</v>
      </c>
      <c r="C7" s="21">
        <v>1</v>
      </c>
      <c r="D7" s="2" t="str">
        <f t="shared" si="1"/>
        <v>11217_1</v>
      </c>
      <c r="E7" s="4" t="str">
        <f ca="1">VLOOKUP($B7,OFFSET([2]quests!$A$1,0,0,COUNTA([2]quests!$A:$A),MATCH(E$1,[2]quests!$1:$1,0)-MATCH($B$1,[2]quests!$1:$1,0)+1),MATCH(E$1,[2]quests!$1:$1,0)-MATCH($B$1,[2]quests!$1:$1,0)+1,FALSE)</f>
        <v>年明け★特別クエスト</v>
      </c>
      <c r="F7" s="4" t="str">
        <f ca="1">VLOOKUP($D7,OFFSET([2]stages!$A$1,0,0,COUNTA([2]stages!$A:$A),MATCH(F$1,[2]stages!$2:$2,0)-MATCH($D$1,[2]stages!$2:$2,0)+1),MATCH(F$1,[2]stages!$2:$2,0)-MATCH($D$1,[2]stages!$2:$2,0)+1,FALSE)</f>
        <v>あけおめダックのお年玉</v>
      </c>
      <c r="G7" s="21">
        <v>2</v>
      </c>
      <c r="H7" s="15" t="str">
        <f t="shared" si="2"/>
        <v>11217_1-2</v>
      </c>
      <c r="I7" s="4">
        <f ca="1">VLOOKUP($H7,OFFSET(floors!$A$1,0,0,COUNTA(floors!$A:$A),MATCH(I$1,floors!$1:$1,0)-MATCH($H$1,floors!$1:$1,0)+1),MATCH(I$1,floors!$1:$1,0)-MATCH($H$1,floors!$1:$1,0)+1,FALSE)</f>
        <v>45</v>
      </c>
      <c r="J7" s="4">
        <f ca="1">VLOOKUP($H7,OFFSET(floors!$A$1,0,0,COUNTA(floors!$A:$A),MATCH(J$1,floors!$1:$1,0)-MATCH($H$1,floors!$1:$1,0)+1),MATCH(J$1,floors!$1:$1,0)-MATCH($H$1,floors!$1:$1,0)+1,FALSE)</f>
        <v>45</v>
      </c>
      <c r="K7" s="38">
        <v>1</v>
      </c>
      <c r="L7" s="38">
        <v>3</v>
      </c>
      <c r="M7" s="20">
        <v>524</v>
      </c>
      <c r="N7" s="17" t="str">
        <f ca="1">VLOOKUP($M7,OFFSET([3]enemies!$A$1,0,0,COUNTA([3]enemies!$A:$A),MATCH(N$1,[3]enemies!$1:$1,0)-MATCH($M$1,[3]enemies!$1:$1,0)+1),MATCH(N$1,[3]enemies!$1:$1,0)-MATCH($M$1,[3]enemies!$1:$1,0)+1,FALSE)</f>
        <v>あけおめダック</v>
      </c>
      <c r="O7" s="17" t="str">
        <f ca="1">VLOOKUP($M7,OFFSET([3]enemies!$A$1,0,0,COUNTA([3]enemies!$A:$A),MATCH(O$1,[3]enemies!$1:$1,0)-MATCH($M$1,[3]enemies!$1:$1,0)+1),MATCH(O$1,[3]enemies!$1:$1,0)-MATCH($M$1,[3]enemies!$1:$1,0)+1,FALSE)</f>
        <v>yellow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Material</v>
      </c>
      <c r="Q7" s="17" t="str">
        <f ca="1">VLOOKUP($M7,OFFSET([3]enemies!$A$1,0,0,COUNTA([3]enemies!$A:$A),MATCH(Q$1,[3]enemies!$1:$1,0)-MATCH($M$1,[3]enemies!$1:$1,0)+1),MATCH(Q$1,[3]enemies!$1:$1,0)-MATCH($M$1,[3]enemies!$1:$1,0)+1,FALSE)</f>
        <v>unknown</v>
      </c>
      <c r="R7" s="17">
        <f ca="1">VLOOKUP($M7,OFFSET([3]enemies!$A$1,0,0,COUNTA([3]enemies!$A:$A),MATCH(R$1,[3]enemies!$1:$1,0)-MATCH($M$1,[3]enemies!$1:$1,0)+1),MATCH(R$1,[3]enemies!$1:$1,0)-MATCH($M$1,[3]enemies!$1:$1,0)+1,FALSE)</f>
        <v>20</v>
      </c>
      <c r="S7" s="5">
        <v>1</v>
      </c>
      <c r="T7" s="25">
        <v>1</v>
      </c>
      <c r="U7" s="25">
        <v>0.1</v>
      </c>
      <c r="V7" s="5">
        <v>0</v>
      </c>
      <c r="W7" s="4" t="str">
        <f ca="1">VLOOKUP($X7,OFFSET(enemy_skill_sets!$B$1,0,0,COUNTA(enemy_skill_sets!$B:$B),MATCH(N$1,enemy_skill_sets!$1:$1,0)-MATCH($X$1,enemy_skill_sets!$1:$1,0)+2),MATCH(N$1,enemy_skill_sets!$1:$1,0)-MATCH($X$1,enemy_skill_sets!$1:$1,0)+2,FALSE)</f>
        <v>今年も よろしくお願いします！</v>
      </c>
      <c r="X7" s="62">
        <v>112171150</v>
      </c>
      <c r="Y7" s="70">
        <f ca="1">VLOOKUP($M7,OFFSET([3]enemies!$A$1,0,0,COUNTA([3]enemies!$A:$A),MATCH(Y$1,[3]enemies!$1:$1,0)-MATCH($M$1,[3]enemies!$1:$1,0)+1),MATCH(Y$1,[3]enemies!$1:$1,0)-MATCH($M$1,[3]enemies!$1:$1,0)+1,FALSE)</f>
        <v>3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9"/>
  <sheetViews>
    <sheetView showGridLines="0" zoomScale="75" zoomScaleNormal="75" zoomScalePageLayoutView="75" workbookViewId="0">
      <pane xSplit="5" ySplit="1" topLeftCell="F13" activePane="bottomRight" state="frozen"/>
      <selection pane="topRight"/>
      <selection pane="bottomLeft"/>
      <selection pane="bottomRight" activeCell="C26" sqref="C26"/>
    </sheetView>
  </sheetViews>
  <sheetFormatPr baseColWidth="12" defaultColWidth="12.83203125" defaultRowHeight="21" customHeight="1" outlineLevelCol="1" x14ac:dyDescent="0"/>
  <cols>
    <col min="1" max="1" width="11.33203125" style="39" bestFit="1" customWidth="1"/>
    <col min="2" max="3" width="11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>
      <c r="A2" s="39" t="str">
        <f t="shared" ref="A2" si="0">B2&amp;"_"&amp;C2</f>
        <v>112161100_112161100</v>
      </c>
      <c r="B2" s="62">
        <v>112161100</v>
      </c>
      <c r="C2" s="62">
        <v>112161100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ガガ…干支ノ順ニ 撃破セヨ！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すると 宴が開かれる という噂だ</v>
      </c>
      <c r="F2" s="62">
        <v>112161100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>
      <c r="A3" s="39" t="str">
        <f t="shared" ref="A3:A4" si="1">B3&amp;"_"&amp;C3</f>
        <v>112161200_112161200</v>
      </c>
      <c r="B3" s="62">
        <v>112161200</v>
      </c>
      <c r="C3" s="62">
        <v>112161200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モー 順番守ろうよ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HPが全回復！</v>
      </c>
      <c r="F3" s="62">
        <v>112161200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94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>
      <c r="A4" s="39" t="str">
        <f t="shared" si="1"/>
        <v>112161210_112161210</v>
      </c>
      <c r="B4" s="62">
        <v>112161210</v>
      </c>
      <c r="C4" s="62">
        <v>112161210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寅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寅</v>
      </c>
      <c r="F4" s="62">
        <v>112161210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>
      <c r="A5" s="39" t="str">
        <f t="shared" ref="A5:A10" si="2">B5&amp;"_"&amp;C5</f>
        <v>112161300_112161300</v>
      </c>
      <c r="B5" s="62">
        <v>112161300</v>
      </c>
      <c r="C5" s="62">
        <v>112161300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&lt;干支の順番は コチラですよ&gt;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子 丑 寅 卯 辰 巳 午 未 申 酉 戌 亥</v>
      </c>
      <c r="F5" s="62">
        <v>112161300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91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>
      <c r="A6" s="39" t="str">
        <f t="shared" ref="A6" si="3">B6&amp;"_"&amp;C6</f>
        <v>112161309_112161309</v>
      </c>
      <c r="B6" s="62">
        <v>112161309</v>
      </c>
      <c r="C6" s="62">
        <v>112161309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&lt;タマゴシステムを 起動します&gt;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何かのタマゴが ドロップする！</v>
      </c>
      <c r="F6" s="62">
        <v>112161309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>
      <c r="A7" s="39" t="str">
        <f t="shared" ref="A7" si="4">B7&amp;"_"&amp;C7</f>
        <v>112161310_112161310</v>
      </c>
      <c r="B7" s="62">
        <v>112161310</v>
      </c>
      <c r="C7" s="62">
        <v>112161310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マーチの順番 先なのに！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全体に攻撃！</v>
      </c>
      <c r="F7" s="62">
        <v>112161300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91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>
      <c r="A8" s="39" t="str">
        <f t="shared" si="2"/>
        <v>112161320_112161320</v>
      </c>
      <c r="B8" s="62">
        <v>112161320</v>
      </c>
      <c r="C8" s="62">
        <v>112161320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辰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辰</v>
      </c>
      <c r="F8" s="62">
        <v>112161320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>
      <c r="A9" s="39" t="str">
        <f t="shared" si="2"/>
        <v>112161400_112161400</v>
      </c>
      <c r="B9" s="62">
        <v>112161400</v>
      </c>
      <c r="C9" s="62">
        <v>112161400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このアタイを 差し置いてぇ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3ターンの間 攻撃を受けるとカウンター！</v>
      </c>
      <c r="F9" s="62">
        <v>112161400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264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>
      <c r="A10" s="39" t="str">
        <f t="shared" si="2"/>
        <v>112161410_112161410</v>
      </c>
      <c r="B10" s="62">
        <v>112161410</v>
      </c>
      <c r="C10" s="62">
        <v>112161410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午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午</v>
      </c>
      <c r="F10" s="62">
        <v>112161410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>
      <c r="A11" s="39" t="str">
        <f t="shared" ref="A11" si="5">B11&amp;"_"&amp;C11</f>
        <v>112161500_112161500</v>
      </c>
      <c r="B11" s="62">
        <v>112161500</v>
      </c>
      <c r="C11" s="62">
        <v>112161500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ヒツジ…いないでゴザル！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如意棒の 3連撃！</v>
      </c>
      <c r="F11" s="62">
        <v>112161500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>
      <c r="A12" s="39" t="str">
        <f t="shared" ref="A12:A13" si="6">B12&amp;"_"&amp;C12</f>
        <v>112161510_112161510</v>
      </c>
      <c r="B12" s="62">
        <v>112161510</v>
      </c>
      <c r="C12" s="62">
        <v>112161510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ヒツジが 見当たらぬぞ！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干支の順が 完成できない！</v>
      </c>
      <c r="F12" s="62">
        <v>112161510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>
      <c r="A13" s="39" t="str">
        <f t="shared" si="6"/>
        <v>112161520_112161520</v>
      </c>
      <c r="B13" s="62">
        <v>112161520</v>
      </c>
      <c r="C13" s="62">
        <v>112161520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ワンワン！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翻訳「ジンギスカン うまかった！」</v>
      </c>
      <c r="F13" s="62">
        <v>112161520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>
      <c r="A14" s="39" t="str">
        <f t="shared" ref="A14" si="7">B14&amp;"_"&amp;C14</f>
        <v>112161530_112161530</v>
      </c>
      <c r="B14" s="62">
        <v>112161530</v>
      </c>
      <c r="C14" s="62">
        <v>112161530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…羊殿は いずこ！？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ALICEに 羊ユニットはいない！</v>
      </c>
      <c r="F14" s="62">
        <v>112161530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>
      <c r="A15" s="39" t="str">
        <f t="shared" ref="A15" si="8">B15&amp;"_"&amp;C15</f>
        <v>112171100_112171100</v>
      </c>
      <c r="B15" s="62">
        <v>112171100</v>
      </c>
      <c r="C15" s="62">
        <v>112171100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初詣に 参るのじゃ！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ALICEの世界も お祭り騒ぎだ</v>
      </c>
      <c r="F15" s="62">
        <v>112171100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>
      <c r="A16" s="39" t="str">
        <f t="shared" ref="A16" si="9">B16&amp;"_"&amp;C16</f>
        <v>112171100_112171101</v>
      </c>
      <c r="B16" s="62">
        <v>112171100</v>
      </c>
      <c r="C16" s="62">
        <v>112171101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( ﾟДﾟ)ﾉ⌒◇┃奉納┃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お賽銭を 投げ入れた！</v>
      </c>
      <c r="F16" s="62">
        <v>112171101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>
      <c r="A17" s="39" t="str">
        <f t="shared" ref="A17" si="10">B17&amp;"_"&amp;C17</f>
        <v>112171100_112171109</v>
      </c>
      <c r="B17" s="62">
        <v>112171100</v>
      </c>
      <c r="C17" s="62">
        <v>112171109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さて 帰って 花札じゃ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そそくさと 去ってゆく</v>
      </c>
      <c r="F17" s="62">
        <v>112171109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>
      <c r="A18" s="39" t="str">
        <f t="shared" ref="A18:A21" si="11">B18&amp;"_"&amp;C18</f>
        <v>112171110_112171110</v>
      </c>
      <c r="B18" s="62">
        <v>112171110</v>
      </c>
      <c r="C18" s="62">
        <v>112171110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ハッピー！？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今年も 幸せそうだ</v>
      </c>
      <c r="F18" s="62">
        <v>112171100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>
      <c r="A19" s="39" t="str">
        <f t="shared" ref="A19" si="12">B19&amp;"_"&amp;C19</f>
        <v>112171110_112171111</v>
      </c>
      <c r="B19" s="62">
        <v>112171110</v>
      </c>
      <c r="C19" s="62">
        <v>112171111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ハッピー！！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やっぱり 幸せそうだ</v>
      </c>
      <c r="F19" s="62">
        <v>112171101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>
      <c r="A20" s="39" t="str">
        <f t="shared" ref="A20" si="13">B20&amp;"_"&amp;C20</f>
        <v>112171110_112171119</v>
      </c>
      <c r="B20" s="62">
        <v>112171110</v>
      </c>
      <c r="C20" s="62">
        <v>112171119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ハッピー！！！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幸せそうに 去ってゆく</v>
      </c>
      <c r="F20" s="62">
        <v>112171109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>
      <c r="A21" s="39" t="str">
        <f t="shared" si="11"/>
        <v>112171120_112171120</v>
      </c>
      <c r="B21" s="62">
        <v>112171120</v>
      </c>
      <c r="C21" s="62">
        <v>112171120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書き初めなら_x000D_　　お任せを〜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そこら中に 書きまくっている</v>
      </c>
      <c r="F21" s="62">
        <v>112171100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>
      <c r="A22" s="39" t="str">
        <f t="shared" ref="A22" si="14">B22&amp;"_"&amp;C22</f>
        <v>112171120_112171121</v>
      </c>
      <c r="B22" s="62">
        <v>112171120</v>
      </c>
      <c r="C22" s="62">
        <v>112171121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スキありっ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道行くアバターにも 落書きしている</v>
      </c>
      <c r="F22" s="62">
        <v>112171101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>
      <c r="A23" s="39" t="str">
        <f t="shared" ref="A23" si="15">B23&amp;"_"&amp;C23</f>
        <v>112171120_112171129</v>
      </c>
      <c r="B23" s="62">
        <v>112171120</v>
      </c>
      <c r="C23" s="62">
        <v>112171129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次は どいつじゃ！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獲物を求めて 去ってゆく</v>
      </c>
      <c r="F23" s="62">
        <v>112171109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>
      <c r="A24" s="39" t="str">
        <f t="shared" ref="A24:A27" si="16">B24&amp;"_"&amp;C24</f>
        <v>112171130_112171130</v>
      </c>
      <c r="B24" s="62">
        <v>112171130</v>
      </c>
      <c r="C24" s="62">
        <v>112171130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あけましてー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おめでとうございます！</v>
      </c>
      <c r="F24" s="62">
        <v>112171100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>
      <c r="A25" s="39" t="str">
        <f t="shared" ref="A25" si="17">B25&amp;"_"&amp;C25</f>
        <v>112171130_112171131</v>
      </c>
      <c r="B25" s="62">
        <v>112171130</v>
      </c>
      <c r="C25" s="62">
        <v>112171131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（早く 次に行こうピョ！）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ユニットを倒して 先に進もう！</v>
      </c>
      <c r="F25" s="62">
        <v>112171108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>
      <c r="A26" s="39" t="str">
        <f t="shared" ref="A26" si="18">B26&amp;"_"&amp;C26</f>
        <v>112171131_112171131</v>
      </c>
      <c r="B26" s="62">
        <v>112171131</v>
      </c>
      <c r="C26" s="62">
        <v>112171131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（早く 次に行こうピョ！）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ユニットを倒して 先に進もう！</v>
      </c>
      <c r="F26" s="62">
        <v>112171108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>
      <c r="A27" s="39" t="str">
        <f t="shared" si="16"/>
        <v>112171140_112171140</v>
      </c>
      <c r="B27" s="62">
        <v>112171140</v>
      </c>
      <c r="C27" s="62">
        <v>112171140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クラフィは 今年も成長するクヮ！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なにとぞ ご期待ください！</v>
      </c>
      <c r="F27" s="62">
        <v>112171100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>
      <c r="A28" s="39" t="str">
        <f t="shared" ref="A28" si="19">B28&amp;"_"&amp;C28</f>
        <v>112171140_112171141</v>
      </c>
      <c r="B28" s="62">
        <v>112171140</v>
      </c>
      <c r="C28" s="62">
        <v>112171141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（早く 次に行こうクヮ！）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ユニットを倒して 先に進もう！</v>
      </c>
      <c r="F28" s="62">
        <v>112171108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>
      <c r="A29" s="39" t="str">
        <f t="shared" ref="A29" si="20">B29&amp;"_"&amp;C29</f>
        <v>112171150_112171150</v>
      </c>
      <c r="B29" s="62">
        <v>112171150</v>
      </c>
      <c r="C29" s="62">
        <v>112171150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謹グヮ新年！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今年も よろしくお願いします！</v>
      </c>
      <c r="F29" s="62">
        <v>112171100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0"/>
  <sheetViews>
    <sheetView showGridLines="0" zoomScale="75" zoomScaleNormal="75" zoomScalePageLayoutView="75" workbookViewId="0">
      <pane ySplit="1" topLeftCell="A13" activePane="bottomLeft" state="frozenSplit"/>
      <selection pane="bottomLeft" activeCell="F24" sqref="F24"/>
    </sheetView>
  </sheetViews>
  <sheetFormatPr baseColWidth="12" defaultColWidth="12.83203125" defaultRowHeight="21" customHeight="1" outlineLevelCol="1" x14ac:dyDescent="0"/>
  <cols>
    <col min="1" max="1" width="12.83203125" style="49"/>
    <col min="2" max="2" width="67.1640625" style="49" customWidth="1"/>
    <col min="3" max="4" width="12.83203125" style="49"/>
    <col min="5" max="5" width="27.5" style="49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>
      <c r="A2" s="62">
        <v>112161100</v>
      </c>
      <c r="B2" s="47" t="s">
        <v>203</v>
      </c>
      <c r="C2" s="50">
        <v>3</v>
      </c>
      <c r="D2" s="50" t="s">
        <v>128</v>
      </c>
      <c r="E2" s="51" t="s">
        <v>238</v>
      </c>
      <c r="F2" s="51" t="s">
        <v>241</v>
      </c>
      <c r="G2" s="63" t="str">
        <f t="shared" ref="G2:G13" si="0">IFERROR(LEFT(B2,FIND("],",B2)),B2)</f>
        <v>[effect:nothing]</v>
      </c>
      <c r="H2" s="63">
        <f t="shared" ref="H2:H13" si="1">FIND("effect:",G2)+7</f>
        <v>9</v>
      </c>
      <c r="I2" s="63">
        <f t="shared" ref="I2:I13" si="2">IFERROR(FIND(",",G2),LEN(G2))</f>
        <v>16</v>
      </c>
      <c r="J2" s="63" t="e">
        <f t="shared" ref="J2:J13" si="3">FIND("target:",G2)+7</f>
        <v>#VALUE!</v>
      </c>
      <c r="K2" s="63" t="e">
        <f t="shared" ref="K2:K13" si="4">FIND(",",G2,I2+1)</f>
        <v>#VALUE!</v>
      </c>
      <c r="L2" s="63" t="str">
        <f>IFERROR(VLOOKUP(MID(G2,J2,K2-J2),[5]skilldef!$C:$D,2,FALSE),"-") &amp; " / " &amp; IFERROR(VLOOKUP(MID(G2,H2,I2-H2),[5]skilldef!$A:$B,2,FALSE),"-")</f>
        <v>- / 何もしない</v>
      </c>
      <c r="M2" s="63" t="str">
        <f t="shared" ref="M2:M13" si="5">IFERROR(RIGHT(B2,LEN(B2)-FIND("],",B2)-1),"none")</f>
        <v>none</v>
      </c>
      <c r="N2" s="48" t="str">
        <f>IFERROR(LEFT(M2,FIND("],",M2)+S40),M2)</f>
        <v>none</v>
      </c>
      <c r="O2" s="63" t="e">
        <f t="shared" ref="O2:O13" si="6">FIND("effect:",N2)+7</f>
        <v>#VALUE!</v>
      </c>
      <c r="P2" s="63">
        <f t="shared" ref="P2:P13" si="7">IFERROR(FIND(",",N2),LEN(N2))</f>
        <v>4</v>
      </c>
      <c r="Q2" s="63" t="e">
        <f t="shared" ref="Q2:Q13" si="8">FIND("target:",N2)+7</f>
        <v>#VALUE!</v>
      </c>
      <c r="R2" s="63" t="e">
        <f t="shared" ref="R2:R13" si="9">FIND(",",N2,P2+1)</f>
        <v>#VALUE!</v>
      </c>
      <c r="S2" s="63" t="str">
        <f>IFERROR(VLOOKUP(MID(N2,Q2,R2-Q2),[5]skilldef!$C:$D,2,FALSE),"-") &amp; " / " &amp; IFERROR(VLOOKUP(MID(N2,O2,P2-O2),[5]skilldef!$A:$B,2,FALSE),"-")</f>
        <v>- / -</v>
      </c>
      <c r="T2" s="48" t="str">
        <f t="shared" ref="T2:T13" si="10">IFERROR(RIGHT(M2,LEN(M2)-FIND("],",M2)-1),"none")</f>
        <v>none</v>
      </c>
      <c r="U2" s="63" t="e">
        <f t="shared" ref="U2:U13" si="11">FIND("effect:",T2)+7</f>
        <v>#VALUE!</v>
      </c>
      <c r="V2" s="63">
        <f t="shared" ref="V2:V13" si="12">IFERROR(FIND(",",T2),LEN(T2))</f>
        <v>4</v>
      </c>
      <c r="W2" s="63" t="e">
        <f t="shared" ref="W2:W13" si="13">FIND("target:",T2)+7</f>
        <v>#VALUE!</v>
      </c>
      <c r="X2" s="63" t="e">
        <f t="shared" ref="X2:X13" si="14">FIND(",",T2,V2+1)</f>
        <v>#VALUE!</v>
      </c>
      <c r="Y2" s="63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1" customHeight="1">
      <c r="A3" s="62">
        <v>112161200</v>
      </c>
      <c r="B3" s="47" t="s">
        <v>231</v>
      </c>
      <c r="C3" s="50">
        <v>3</v>
      </c>
      <c r="D3" s="50" t="s">
        <v>128</v>
      </c>
      <c r="E3" s="51" t="s">
        <v>233</v>
      </c>
      <c r="F3" s="51" t="s">
        <v>239</v>
      </c>
      <c r="G3" s="63" t="str">
        <f t="shared" si="0"/>
        <v>[effect:heal, target:myself, val:1.0, animation:enemy_heal]</v>
      </c>
      <c r="H3" s="63">
        <f t="shared" si="1"/>
        <v>9</v>
      </c>
      <c r="I3" s="63">
        <f t="shared" si="2"/>
        <v>13</v>
      </c>
      <c r="J3" s="63">
        <f t="shared" si="3"/>
        <v>22</v>
      </c>
      <c r="K3" s="63">
        <f t="shared" si="4"/>
        <v>28</v>
      </c>
      <c r="L3" s="63" t="str">
        <f>IFERROR(VLOOKUP(MID(G3,J3,K3-J3),[5]skilldef!$C:$D,2,FALSE),"-") &amp; " / " &amp; IFERROR(VLOOKUP(MID(G3,H3,I3-H3),[5]skilldef!$A:$B,2,FALSE),"-")</f>
        <v>自分自身に / 回復</v>
      </c>
      <c r="M3" s="63" t="str">
        <f t="shared" si="5"/>
        <v>none</v>
      </c>
      <c r="N3" s="48" t="str">
        <f>IFERROR(LEFT(M3,FIND("],",M3)+S41),M3)</f>
        <v>none</v>
      </c>
      <c r="O3" s="63" t="e">
        <f t="shared" si="6"/>
        <v>#VALUE!</v>
      </c>
      <c r="P3" s="63">
        <f t="shared" si="7"/>
        <v>4</v>
      </c>
      <c r="Q3" s="63" t="e">
        <f t="shared" si="8"/>
        <v>#VALUE!</v>
      </c>
      <c r="R3" s="63" t="e">
        <f t="shared" si="9"/>
        <v>#VALUE!</v>
      </c>
      <c r="S3" s="63" t="str">
        <f>IFERROR(VLOOKUP(MID(N3,Q3,R3-Q3),[5]skilldef!$C:$D,2,FALSE),"-") &amp; " / " &amp; IFERROR(VLOOKUP(MID(N3,O3,P3-O3),[5]skilldef!$A:$B,2,FALSE),"-")</f>
        <v>- / -</v>
      </c>
      <c r="T3" s="48" t="str">
        <f t="shared" si="10"/>
        <v>none</v>
      </c>
      <c r="U3" s="63" t="e">
        <f t="shared" si="11"/>
        <v>#VALUE!</v>
      </c>
      <c r="V3" s="63">
        <f t="shared" si="12"/>
        <v>4</v>
      </c>
      <c r="W3" s="63" t="e">
        <f t="shared" si="13"/>
        <v>#VALUE!</v>
      </c>
      <c r="X3" s="63" t="e">
        <f t="shared" si="14"/>
        <v>#VALUE!</v>
      </c>
      <c r="Y3" s="63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1" customHeight="1">
      <c r="A4" s="62">
        <v>112161201</v>
      </c>
      <c r="B4" s="47" t="s">
        <v>229</v>
      </c>
      <c r="C4" s="50">
        <v>3</v>
      </c>
      <c r="D4" s="50" t="s">
        <v>128</v>
      </c>
      <c r="E4" s="51" t="s">
        <v>242</v>
      </c>
      <c r="F4" s="51" t="s">
        <v>243</v>
      </c>
      <c r="G4" s="63" t="str">
        <f t="shared" ref="G4" si="15">IFERROR(LEFT(B4,FIND("],",B4)),B4)</f>
        <v>[effect:fix_speed, target:myself, turn:1]</v>
      </c>
      <c r="H4" s="63">
        <f t="shared" ref="H4" si="16">FIND("effect:",G4)+7</f>
        <v>9</v>
      </c>
      <c r="I4" s="63">
        <f t="shared" ref="I4" si="17">IFERROR(FIND(",",G4),LEN(G4))</f>
        <v>18</v>
      </c>
      <c r="J4" s="63">
        <f t="shared" ref="J4" si="18">FIND("target:",G4)+7</f>
        <v>27</v>
      </c>
      <c r="K4" s="63">
        <f t="shared" ref="K4" si="19">FIND(",",G4,I4+1)</f>
        <v>33</v>
      </c>
      <c r="L4" s="63" t="str">
        <f>IFERROR(VLOOKUP(MID(G4,J4,K4-J4),[5]skilldef!$C:$D,2,FALSE),"-") &amp; " / " &amp; IFERROR(VLOOKUP(MID(G4,H4,I4-H4),[5]skilldef!$A:$B,2,FALSE),"-")</f>
        <v>自分自身に / 行動値設定</v>
      </c>
      <c r="M4" s="63" t="str">
        <f t="shared" ref="M4" si="20">IFERROR(RIGHT(B4,LEN(B4)-FIND("],",B4)-1),"none")</f>
        <v>none</v>
      </c>
      <c r="N4" s="48" t="str">
        <f>IFERROR(LEFT(M4,FIND("],",M4)+S42),M4)</f>
        <v>none</v>
      </c>
      <c r="O4" s="63" t="e">
        <f t="shared" ref="O4" si="21">FIND("effect:",N4)+7</f>
        <v>#VALUE!</v>
      </c>
      <c r="P4" s="63">
        <f t="shared" ref="P4" si="22">IFERROR(FIND(",",N4),LEN(N4))</f>
        <v>4</v>
      </c>
      <c r="Q4" s="63" t="e">
        <f t="shared" ref="Q4" si="23">FIND("target:",N4)+7</f>
        <v>#VALUE!</v>
      </c>
      <c r="R4" s="63" t="e">
        <f t="shared" ref="R4" si="24">FIND(",",N4,P4+1)</f>
        <v>#VALUE!</v>
      </c>
      <c r="S4" s="63" t="str">
        <f>IFERROR(VLOOKUP(MID(N4,Q4,R4-Q4),[5]skilldef!$C:$D,2,FALSE),"-") &amp; " / " &amp; IFERROR(VLOOKUP(MID(N4,O4,P4-O4),[5]skilldef!$A:$B,2,FALSE),"-")</f>
        <v>- / -</v>
      </c>
      <c r="T4" s="48" t="str">
        <f t="shared" ref="T4" si="25">IFERROR(RIGHT(M4,LEN(M4)-FIND("],",M4)-1),"none")</f>
        <v>none</v>
      </c>
      <c r="U4" s="63" t="e">
        <f t="shared" ref="U4" si="26">FIND("effect:",T4)+7</f>
        <v>#VALUE!</v>
      </c>
      <c r="V4" s="63">
        <f t="shared" ref="V4" si="27">IFERROR(FIND(",",T4),LEN(T4))</f>
        <v>4</v>
      </c>
      <c r="W4" s="63" t="e">
        <f t="shared" ref="W4" si="28">FIND("target:",T4)+7</f>
        <v>#VALUE!</v>
      </c>
      <c r="X4" s="63" t="e">
        <f t="shared" ref="X4" si="29">FIND(",",T4,V4+1)</f>
        <v>#VALUE!</v>
      </c>
      <c r="Y4" s="63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1" customHeight="1">
      <c r="A5" s="62">
        <v>112161210</v>
      </c>
      <c r="B5" s="47" t="s">
        <v>203</v>
      </c>
      <c r="C5" s="50">
        <v>3</v>
      </c>
      <c r="D5" s="50" t="s">
        <v>128</v>
      </c>
      <c r="E5" s="51" t="s">
        <v>232</v>
      </c>
      <c r="F5" s="51" t="s">
        <v>204</v>
      </c>
      <c r="G5" s="63" t="str">
        <f t="shared" si="0"/>
        <v>[effect:nothing]</v>
      </c>
      <c r="H5" s="63">
        <f t="shared" si="1"/>
        <v>9</v>
      </c>
      <c r="I5" s="63">
        <f t="shared" si="2"/>
        <v>16</v>
      </c>
      <c r="J5" s="63" t="e">
        <f t="shared" si="3"/>
        <v>#VALUE!</v>
      </c>
      <c r="K5" s="63" t="e">
        <f t="shared" si="4"/>
        <v>#VALUE!</v>
      </c>
      <c r="L5" s="63" t="str">
        <f>IFERROR(VLOOKUP(MID(G5,J5,K5-J5),[5]skilldef!$C:$D,2,FALSE),"-") &amp; " / " &amp; IFERROR(VLOOKUP(MID(G5,H5,I5-H5),[5]skilldef!$A:$B,2,FALSE),"-")</f>
        <v>- / 何もしない</v>
      </c>
      <c r="M5" s="63" t="str">
        <f t="shared" si="5"/>
        <v>none</v>
      </c>
      <c r="N5" s="48" t="str">
        <f>IFERROR(LEFT(M5,FIND("],",M5)+S42),M5)</f>
        <v>none</v>
      </c>
      <c r="O5" s="63" t="e">
        <f t="shared" si="6"/>
        <v>#VALUE!</v>
      </c>
      <c r="P5" s="63">
        <f t="shared" si="7"/>
        <v>4</v>
      </c>
      <c r="Q5" s="63" t="e">
        <f t="shared" si="8"/>
        <v>#VALUE!</v>
      </c>
      <c r="R5" s="63" t="e">
        <f t="shared" si="9"/>
        <v>#VALUE!</v>
      </c>
      <c r="S5" s="63" t="str">
        <f>IFERROR(VLOOKUP(MID(N5,Q5,R5-Q5),[5]skilldef!$C:$D,2,FALSE),"-") &amp; " / " &amp; IFERROR(VLOOKUP(MID(N5,O5,P5-O5),[5]skilldef!$A:$B,2,FALSE),"-")</f>
        <v>- / -</v>
      </c>
      <c r="T5" s="48" t="str">
        <f t="shared" si="10"/>
        <v>none</v>
      </c>
      <c r="U5" s="63" t="e">
        <f t="shared" si="11"/>
        <v>#VALUE!</v>
      </c>
      <c r="V5" s="63">
        <f t="shared" si="12"/>
        <v>4</v>
      </c>
      <c r="W5" s="63" t="e">
        <f t="shared" si="13"/>
        <v>#VALUE!</v>
      </c>
      <c r="X5" s="63" t="e">
        <f t="shared" si="14"/>
        <v>#VALUE!</v>
      </c>
      <c r="Y5" s="63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21" customHeight="1">
      <c r="A6" s="62">
        <v>112161300</v>
      </c>
      <c r="B6" s="47" t="s">
        <v>203</v>
      </c>
      <c r="C6" s="50">
        <v>3</v>
      </c>
      <c r="D6" s="50" t="s">
        <v>128</v>
      </c>
      <c r="E6" s="51" t="s">
        <v>227</v>
      </c>
      <c r="F6" s="51" t="s">
        <v>213</v>
      </c>
      <c r="G6" s="63" t="str">
        <f t="shared" si="0"/>
        <v>[effect:nothing]</v>
      </c>
      <c r="H6" s="63">
        <f t="shared" si="1"/>
        <v>9</v>
      </c>
      <c r="I6" s="63">
        <f t="shared" si="2"/>
        <v>16</v>
      </c>
      <c r="J6" s="63" t="e">
        <f t="shared" si="3"/>
        <v>#VALUE!</v>
      </c>
      <c r="K6" s="63" t="e">
        <f t="shared" si="4"/>
        <v>#VALUE!</v>
      </c>
      <c r="L6" s="63" t="str">
        <f>IFERROR(VLOOKUP(MID(G6,J6,K6-J6),[5]skilldef!$C:$D,2,FALSE),"-") &amp; " / " &amp; IFERROR(VLOOKUP(MID(G6,H6,I6-H6),[5]skilldef!$A:$B,2,FALSE),"-")</f>
        <v>- / 何もしない</v>
      </c>
      <c r="M6" s="63" t="str">
        <f t="shared" si="5"/>
        <v>none</v>
      </c>
      <c r="N6" s="48" t="str">
        <f>IFERROR(LEFT(M6,FIND("],",M6)+S43),M6)</f>
        <v>none</v>
      </c>
      <c r="O6" s="63" t="e">
        <f t="shared" si="6"/>
        <v>#VALUE!</v>
      </c>
      <c r="P6" s="63">
        <f t="shared" si="7"/>
        <v>4</v>
      </c>
      <c r="Q6" s="63" t="e">
        <f t="shared" si="8"/>
        <v>#VALUE!</v>
      </c>
      <c r="R6" s="63" t="e">
        <f t="shared" si="9"/>
        <v>#VALUE!</v>
      </c>
      <c r="S6" s="63" t="str">
        <f>IFERROR(VLOOKUP(MID(N6,Q6,R6-Q6),[5]skilldef!$C:$D,2,FALSE),"-") &amp; " / " &amp; IFERROR(VLOOKUP(MID(N6,O6,P6-O6),[5]skilldef!$A:$B,2,FALSE),"-")</f>
        <v>- / -</v>
      </c>
      <c r="T6" s="48" t="str">
        <f t="shared" si="10"/>
        <v>none</v>
      </c>
      <c r="U6" s="63" t="e">
        <f t="shared" si="11"/>
        <v>#VALUE!</v>
      </c>
      <c r="V6" s="63">
        <f t="shared" si="12"/>
        <v>4</v>
      </c>
      <c r="W6" s="63" t="e">
        <f t="shared" si="13"/>
        <v>#VALUE!</v>
      </c>
      <c r="X6" s="63" t="e">
        <f t="shared" si="14"/>
        <v>#VALUE!</v>
      </c>
      <c r="Y6" s="63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>
      <c r="A7" s="62">
        <v>112161309</v>
      </c>
      <c r="B7" s="47" t="s">
        <v>283</v>
      </c>
      <c r="C7" s="50">
        <v>3</v>
      </c>
      <c r="D7" s="50" t="s">
        <v>128</v>
      </c>
      <c r="E7" s="51" t="s">
        <v>211</v>
      </c>
      <c r="F7" s="51" t="s">
        <v>253</v>
      </c>
      <c r="G7" s="63" t="str">
        <f t="shared" ref="G7:G8" si="30">IFERROR(LEFT(B7,FIND("],",B7)),B7)</f>
        <v>[effect:kamikaze, val:0]</v>
      </c>
      <c r="H7" s="63">
        <f t="shared" si="1"/>
        <v>9</v>
      </c>
      <c r="I7" s="63">
        <f t="shared" ref="I7:I8" si="31">IFERROR(FIND(",",G7),LEN(G7))</f>
        <v>17</v>
      </c>
      <c r="J7" s="63" t="e">
        <f t="shared" ref="J7:J8" si="32">FIND("target:",G7)+7</f>
        <v>#VALUE!</v>
      </c>
      <c r="K7" s="63" t="e">
        <f t="shared" ref="K7:K8" si="33">FIND(",",G7,I7+1)</f>
        <v>#VALUE!</v>
      </c>
      <c r="L7" s="63" t="str">
        <f>IFERROR(VLOOKUP(MID(G7,J7,K7-J7),[5]skilldef!$C:$D,2,FALSE),"-") &amp; " / " &amp; IFERROR(VLOOKUP(MID(G7,H7,I7-H7),[5]skilldef!$A:$B,2,FALSE),"-")</f>
        <v>- / 自爆</v>
      </c>
      <c r="M7" s="63" t="str">
        <f t="shared" ref="M7:M8" si="34">IFERROR(RIGHT(B7,LEN(B7)-FIND("],",B7)-1),"none")</f>
        <v>none</v>
      </c>
      <c r="N7" s="48" t="str">
        <f>IFERROR(LEFT(M7,FIND("],",M7)+S44),M7)</f>
        <v>none</v>
      </c>
      <c r="O7" s="63" t="e">
        <f t="shared" si="6"/>
        <v>#VALUE!</v>
      </c>
      <c r="P7" s="63">
        <f t="shared" ref="P7:P8" si="35">IFERROR(FIND(",",N7),LEN(N7))</f>
        <v>4</v>
      </c>
      <c r="Q7" s="63" t="e">
        <f t="shared" ref="Q7:Q8" si="36">FIND("target:",N7)+7</f>
        <v>#VALUE!</v>
      </c>
      <c r="R7" s="63" t="e">
        <f t="shared" ref="R7:R8" si="37">FIND(",",N7,P7+1)</f>
        <v>#VALUE!</v>
      </c>
      <c r="S7" s="63" t="str">
        <f>IFERROR(VLOOKUP(MID(N7,Q7,R7-Q7),[5]skilldef!$C:$D,2,FALSE),"-") &amp; " / " &amp; IFERROR(VLOOKUP(MID(N7,O7,P7-O7),[5]skilldef!$A:$B,2,FALSE),"-")</f>
        <v>- / -</v>
      </c>
      <c r="T7" s="48" t="str">
        <f t="shared" ref="T7:T8" si="38">IFERROR(RIGHT(M7,LEN(M7)-FIND("],",M7)-1),"none")</f>
        <v>none</v>
      </c>
      <c r="U7" s="63" t="e">
        <f t="shared" si="11"/>
        <v>#VALUE!</v>
      </c>
      <c r="V7" s="63">
        <f t="shared" ref="V7:V8" si="39">IFERROR(FIND(",",T7),LEN(T7))</f>
        <v>4</v>
      </c>
      <c r="W7" s="63" t="e">
        <f t="shared" ref="W7:W8" si="40">FIND("target:",T7)+7</f>
        <v>#VALUE!</v>
      </c>
      <c r="X7" s="63" t="e">
        <f t="shared" ref="X7:X8" si="41">FIND(",",T7,V7+1)</f>
        <v>#VALUE!</v>
      </c>
      <c r="Y7" s="63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>
      <c r="A8" s="62">
        <v>112161310</v>
      </c>
      <c r="B8" s="47" t="s">
        <v>224</v>
      </c>
      <c r="C8" s="50">
        <v>3</v>
      </c>
      <c r="D8" s="50" t="s">
        <v>128</v>
      </c>
      <c r="E8" s="51" t="s">
        <v>244</v>
      </c>
      <c r="F8" s="51" t="s">
        <v>223</v>
      </c>
      <c r="G8" s="63" t="str">
        <f t="shared" si="30"/>
        <v>[effect:spread, val:0.5]</v>
      </c>
      <c r="H8" s="63">
        <f t="shared" ref="H8:H9" si="42">FIND("effect:",G8)+7</f>
        <v>9</v>
      </c>
      <c r="I8" s="63">
        <f t="shared" si="31"/>
        <v>15</v>
      </c>
      <c r="J8" s="63" t="e">
        <f t="shared" si="32"/>
        <v>#VALUE!</v>
      </c>
      <c r="K8" s="63" t="e">
        <f t="shared" si="33"/>
        <v>#VALUE!</v>
      </c>
      <c r="L8" s="63" t="str">
        <f>IFERROR(VLOOKUP(MID(G8,J8,K8-J8),[5]skilldef!$C:$D,2,FALSE),"-") &amp; " / " &amp; IFERROR(VLOOKUP(MID(G8,H8,I8-H8),[5]skilldef!$A:$B,2,FALSE),"-")</f>
        <v>- / 全体攻撃</v>
      </c>
      <c r="M8" s="63" t="str">
        <f t="shared" si="34"/>
        <v>none</v>
      </c>
      <c r="N8" s="48" t="str">
        <f>IFERROR(LEFT(M8,FIND("],",M8)+S45),M8)</f>
        <v>none</v>
      </c>
      <c r="O8" s="63" t="e">
        <f t="shared" ref="O8:O9" si="43">FIND("effect:",N8)+7</f>
        <v>#VALUE!</v>
      </c>
      <c r="P8" s="63">
        <f t="shared" si="35"/>
        <v>4</v>
      </c>
      <c r="Q8" s="63" t="e">
        <f t="shared" si="36"/>
        <v>#VALUE!</v>
      </c>
      <c r="R8" s="63" t="e">
        <f t="shared" si="37"/>
        <v>#VALUE!</v>
      </c>
      <c r="S8" s="63" t="str">
        <f>IFERROR(VLOOKUP(MID(N8,Q8,R8-Q8),[5]skilldef!$C:$D,2,FALSE),"-") &amp; " / " &amp; IFERROR(VLOOKUP(MID(N8,O8,P8-O8),[5]skilldef!$A:$B,2,FALSE),"-")</f>
        <v>- / -</v>
      </c>
      <c r="T8" s="48" t="str">
        <f t="shared" si="38"/>
        <v>none</v>
      </c>
      <c r="U8" s="63" t="e">
        <f t="shared" ref="U8:U9" si="44">FIND("effect:",T8)+7</f>
        <v>#VALUE!</v>
      </c>
      <c r="V8" s="63">
        <f t="shared" si="39"/>
        <v>4</v>
      </c>
      <c r="W8" s="63" t="e">
        <f t="shared" si="40"/>
        <v>#VALUE!</v>
      </c>
      <c r="X8" s="63" t="e">
        <f t="shared" si="41"/>
        <v>#VALUE!</v>
      </c>
      <c r="Y8" s="63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>
      <c r="A9" s="62">
        <v>112161311</v>
      </c>
      <c r="B9" s="47" t="s">
        <v>229</v>
      </c>
      <c r="C9" s="50">
        <v>3</v>
      </c>
      <c r="D9" s="50" t="s">
        <v>128</v>
      </c>
      <c r="E9" s="51" t="s">
        <v>228</v>
      </c>
      <c r="F9" s="51" t="s">
        <v>230</v>
      </c>
      <c r="G9" s="63" t="str">
        <f t="shared" ref="G9" si="45">IFERROR(LEFT(B9,FIND("],",B9)),B9)</f>
        <v>[effect:fix_speed, target:myself, turn:1]</v>
      </c>
      <c r="H9" s="63">
        <f t="shared" si="42"/>
        <v>9</v>
      </c>
      <c r="I9" s="63">
        <f t="shared" ref="I9" si="46">IFERROR(FIND(",",G9),LEN(G9))</f>
        <v>18</v>
      </c>
      <c r="J9" s="63">
        <f t="shared" ref="J9" si="47">FIND("target:",G9)+7</f>
        <v>27</v>
      </c>
      <c r="K9" s="63">
        <f t="shared" ref="K9" si="48">FIND(",",G9,I9+1)</f>
        <v>33</v>
      </c>
      <c r="L9" s="63" t="str">
        <f>IFERROR(VLOOKUP(MID(G9,J9,K9-J9),[5]skilldef!$C:$D,2,FALSE),"-") &amp; " / " &amp; IFERROR(VLOOKUP(MID(G9,H9,I9-H9),[5]skilldef!$A:$B,2,FALSE),"-")</f>
        <v>自分自身に / 行動値設定</v>
      </c>
      <c r="M9" s="63" t="str">
        <f t="shared" ref="M9" si="49">IFERROR(RIGHT(B9,LEN(B9)-FIND("],",B9)-1),"none")</f>
        <v>none</v>
      </c>
      <c r="N9" s="48" t="str">
        <f>IFERROR(LEFT(M9,FIND("],",M9)+S46),M9)</f>
        <v>none</v>
      </c>
      <c r="O9" s="63" t="e">
        <f t="shared" si="43"/>
        <v>#VALUE!</v>
      </c>
      <c r="P9" s="63">
        <f t="shared" ref="P9" si="50">IFERROR(FIND(",",N9),LEN(N9))</f>
        <v>4</v>
      </c>
      <c r="Q9" s="63" t="e">
        <f t="shared" ref="Q9" si="51">FIND("target:",N9)+7</f>
        <v>#VALUE!</v>
      </c>
      <c r="R9" s="63" t="e">
        <f t="shared" ref="R9" si="52">FIND(",",N9,P9+1)</f>
        <v>#VALUE!</v>
      </c>
      <c r="S9" s="63" t="str">
        <f>IFERROR(VLOOKUP(MID(N9,Q9,R9-Q9),[5]skilldef!$C:$D,2,FALSE),"-") &amp; " / " &amp; IFERROR(VLOOKUP(MID(N9,O9,P9-O9),[5]skilldef!$A:$B,2,FALSE),"-")</f>
        <v>- / -</v>
      </c>
      <c r="T9" s="48" t="str">
        <f t="shared" ref="T9" si="53">IFERROR(RIGHT(M9,LEN(M9)-FIND("],",M9)-1),"none")</f>
        <v>none</v>
      </c>
      <c r="U9" s="63" t="e">
        <f t="shared" si="44"/>
        <v>#VALUE!</v>
      </c>
      <c r="V9" s="63">
        <f t="shared" ref="V9" si="54">IFERROR(FIND(",",T9),LEN(T9))</f>
        <v>4</v>
      </c>
      <c r="W9" s="63" t="e">
        <f t="shared" ref="W9" si="55">FIND("target:",T9)+7</f>
        <v>#VALUE!</v>
      </c>
      <c r="X9" s="63" t="e">
        <f t="shared" ref="X9" si="56">FIND(",",T9,V9+1)</f>
        <v>#VALUE!</v>
      </c>
      <c r="Y9" s="63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1" customHeight="1">
      <c r="A10" s="62">
        <v>112161320</v>
      </c>
      <c r="B10" s="47" t="s">
        <v>214</v>
      </c>
      <c r="C10" s="50">
        <v>3</v>
      </c>
      <c r="D10" s="50" t="s">
        <v>128</v>
      </c>
      <c r="E10" s="51" t="s">
        <v>205</v>
      </c>
      <c r="F10" s="51" t="s">
        <v>205</v>
      </c>
      <c r="G10" s="63" t="str">
        <f t="shared" si="0"/>
        <v>[effect:rush, count:1, val:1]</v>
      </c>
      <c r="H10" s="63">
        <f t="shared" si="1"/>
        <v>9</v>
      </c>
      <c r="I10" s="63">
        <f t="shared" si="2"/>
        <v>13</v>
      </c>
      <c r="J10" s="63" t="e">
        <f t="shared" si="3"/>
        <v>#VALUE!</v>
      </c>
      <c r="K10" s="63">
        <f t="shared" si="4"/>
        <v>22</v>
      </c>
      <c r="L10" s="63" t="str">
        <f>IFERROR(VLOOKUP(MID(G10,J10,K10-J10),[5]skilldef!$C:$D,2,FALSE),"-") &amp; " / " &amp; IFERROR(VLOOKUP(MID(G10,H10,I10-H10),[5]skilldef!$A:$B,2,FALSE),"-")</f>
        <v>- / 連続攻撃</v>
      </c>
      <c r="M10" s="63" t="str">
        <f t="shared" si="5"/>
        <v>none</v>
      </c>
      <c r="N10" s="48" t="str">
        <f t="shared" ref="N10:N19" si="57">IFERROR(LEFT(M10,FIND("],",M10)+S44),M10)</f>
        <v>none</v>
      </c>
      <c r="O10" s="63" t="e">
        <f t="shared" si="6"/>
        <v>#VALUE!</v>
      </c>
      <c r="P10" s="63">
        <f t="shared" si="7"/>
        <v>4</v>
      </c>
      <c r="Q10" s="63" t="e">
        <f t="shared" si="8"/>
        <v>#VALUE!</v>
      </c>
      <c r="R10" s="63" t="e">
        <f t="shared" si="9"/>
        <v>#VALUE!</v>
      </c>
      <c r="S10" s="63" t="str">
        <f>IFERROR(VLOOKUP(MID(N10,Q10,R10-Q10),[5]skilldef!$C:$D,2,FALSE),"-") &amp; " / " &amp; IFERROR(VLOOKUP(MID(N10,O10,P10-O10),[5]skilldef!$A:$B,2,FALSE),"-")</f>
        <v>- / -</v>
      </c>
      <c r="T10" s="48" t="str">
        <f t="shared" si="10"/>
        <v>none</v>
      </c>
      <c r="U10" s="63" t="e">
        <f t="shared" si="11"/>
        <v>#VALUE!</v>
      </c>
      <c r="V10" s="63">
        <f t="shared" si="12"/>
        <v>4</v>
      </c>
      <c r="W10" s="63" t="e">
        <f t="shared" si="13"/>
        <v>#VALUE!</v>
      </c>
      <c r="X10" s="63" t="e">
        <f t="shared" si="14"/>
        <v>#VALUE!</v>
      </c>
      <c r="Y10" s="63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21" customHeight="1">
      <c r="A11" s="62">
        <v>112161400</v>
      </c>
      <c r="B11" s="47" t="s">
        <v>235</v>
      </c>
      <c r="C11" s="50">
        <v>3</v>
      </c>
      <c r="D11" s="50" t="s">
        <v>128</v>
      </c>
      <c r="E11" s="51" t="s">
        <v>252</v>
      </c>
      <c r="F11" s="51" t="s">
        <v>222</v>
      </c>
      <c r="G11" s="63" t="str">
        <f t="shared" si="0"/>
        <v>[effect:enemy_counter, target:myself, invoke_condition:unit_all, counter_target:attacker, turn:3, val:1, animation:enemy_counter]</v>
      </c>
      <c r="H11" s="63">
        <f t="shared" si="1"/>
        <v>9</v>
      </c>
      <c r="I11" s="63">
        <f t="shared" si="2"/>
        <v>22</v>
      </c>
      <c r="J11" s="63">
        <f t="shared" si="3"/>
        <v>31</v>
      </c>
      <c r="K11" s="63">
        <f t="shared" si="4"/>
        <v>37</v>
      </c>
      <c r="L11" s="63" t="str">
        <f>IFERROR(VLOOKUP(MID(G11,J11,K11-J11),[5]skilldef!$C:$D,2,FALSE),"-") &amp; " / " &amp; IFERROR(VLOOKUP(MID(G11,H11,I11-H11),[5]skilldef!$A:$B,2,FALSE),"-")</f>
        <v>自分自身に / カウンター</v>
      </c>
      <c r="M11" s="63" t="str">
        <f t="shared" si="5"/>
        <v>none</v>
      </c>
      <c r="N11" s="48" t="str">
        <f t="shared" si="57"/>
        <v>none</v>
      </c>
      <c r="O11" s="63" t="e">
        <f t="shared" si="6"/>
        <v>#VALUE!</v>
      </c>
      <c r="P11" s="63">
        <f t="shared" si="7"/>
        <v>4</v>
      </c>
      <c r="Q11" s="63" t="e">
        <f t="shared" si="8"/>
        <v>#VALUE!</v>
      </c>
      <c r="R11" s="63" t="e">
        <f t="shared" si="9"/>
        <v>#VALUE!</v>
      </c>
      <c r="S11" s="63" t="str">
        <f>IFERROR(VLOOKUP(MID(N11,Q11,R11-Q11),[5]skilldef!$C:$D,2,FALSE),"-") &amp; " / " &amp; IFERROR(VLOOKUP(MID(N11,O11,P11-O11),[5]skilldef!$A:$B,2,FALSE),"-")</f>
        <v>- / -</v>
      </c>
      <c r="T11" s="48" t="str">
        <f t="shared" si="10"/>
        <v>none</v>
      </c>
      <c r="U11" s="63" t="e">
        <f t="shared" si="11"/>
        <v>#VALUE!</v>
      </c>
      <c r="V11" s="63">
        <f t="shared" si="12"/>
        <v>4</v>
      </c>
      <c r="W11" s="63" t="e">
        <f t="shared" si="13"/>
        <v>#VALUE!</v>
      </c>
      <c r="X11" s="63" t="e">
        <f t="shared" si="14"/>
        <v>#VALUE!</v>
      </c>
      <c r="Y11" s="63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21" customHeight="1">
      <c r="A12" s="62">
        <v>112161410</v>
      </c>
      <c r="B12" s="47" t="s">
        <v>214</v>
      </c>
      <c r="C12" s="50">
        <v>3</v>
      </c>
      <c r="D12" s="50" t="s">
        <v>128</v>
      </c>
      <c r="E12" s="51" t="s">
        <v>206</v>
      </c>
      <c r="F12" s="51" t="s">
        <v>206</v>
      </c>
      <c r="G12" s="63" t="str">
        <f t="shared" si="0"/>
        <v>[effect:rush, count:1, val:1]</v>
      </c>
      <c r="H12" s="63">
        <f t="shared" si="1"/>
        <v>9</v>
      </c>
      <c r="I12" s="63">
        <f t="shared" si="2"/>
        <v>13</v>
      </c>
      <c r="J12" s="63" t="e">
        <f t="shared" si="3"/>
        <v>#VALUE!</v>
      </c>
      <c r="K12" s="63">
        <f t="shared" si="4"/>
        <v>22</v>
      </c>
      <c r="L12" s="63" t="str">
        <f>IFERROR(VLOOKUP(MID(G12,J12,K12-J12),[5]skilldef!$C:$D,2,FALSE),"-") &amp; " / " &amp; IFERROR(VLOOKUP(MID(G12,H12,I12-H12),[5]skilldef!$A:$B,2,FALSE),"-")</f>
        <v>- / 連続攻撃</v>
      </c>
      <c r="M12" s="63" t="str">
        <f t="shared" si="5"/>
        <v>none</v>
      </c>
      <c r="N12" s="48" t="str">
        <f t="shared" si="57"/>
        <v>none</v>
      </c>
      <c r="O12" s="63" t="e">
        <f t="shared" si="6"/>
        <v>#VALUE!</v>
      </c>
      <c r="P12" s="63">
        <f t="shared" si="7"/>
        <v>4</v>
      </c>
      <c r="Q12" s="63" t="e">
        <f t="shared" si="8"/>
        <v>#VALUE!</v>
      </c>
      <c r="R12" s="63" t="e">
        <f t="shared" si="9"/>
        <v>#VALUE!</v>
      </c>
      <c r="S12" s="63" t="str">
        <f>IFERROR(VLOOKUP(MID(N12,Q12,R12-Q12),[5]skilldef!$C:$D,2,FALSE),"-") &amp; " / " &amp; IFERROR(VLOOKUP(MID(N12,O12,P12-O12),[5]skilldef!$A:$B,2,FALSE),"-")</f>
        <v>- / -</v>
      </c>
      <c r="T12" s="48" t="str">
        <f t="shared" si="10"/>
        <v>none</v>
      </c>
      <c r="U12" s="63" t="e">
        <f t="shared" si="11"/>
        <v>#VALUE!</v>
      </c>
      <c r="V12" s="63">
        <f t="shared" si="12"/>
        <v>4</v>
      </c>
      <c r="W12" s="63" t="e">
        <f t="shared" si="13"/>
        <v>#VALUE!</v>
      </c>
      <c r="X12" s="63" t="e">
        <f t="shared" si="14"/>
        <v>#VALUE!</v>
      </c>
      <c r="Y12" s="63" t="str">
        <f>IFERROR(VLOOKUP(MID(T12,W12,X12-W12),[5]skilldef!$C:$D,2,FALSE),"-") &amp; " / " &amp; IFERROR(VLOOKUP(MID(T12,U12,V12-U12),[5]skilldef!$A:$B,2,FALSE),"-")</f>
        <v>- / -</v>
      </c>
      <c r="Z12" s="50"/>
      <c r="AA12" s="52"/>
      <c r="AB12" s="50"/>
    </row>
    <row r="13" spans="1:28" ht="21" customHeight="1">
      <c r="A13" s="62">
        <v>112161500</v>
      </c>
      <c r="B13" s="47" t="s">
        <v>216</v>
      </c>
      <c r="C13" s="50">
        <v>3</v>
      </c>
      <c r="D13" s="50" t="s">
        <v>128</v>
      </c>
      <c r="E13" s="51" t="s">
        <v>219</v>
      </c>
      <c r="F13" s="51" t="s">
        <v>217</v>
      </c>
      <c r="G13" s="63" t="str">
        <f t="shared" si="0"/>
        <v>[effect:rush, count:3, val:0.33]</v>
      </c>
      <c r="H13" s="63">
        <f t="shared" si="1"/>
        <v>9</v>
      </c>
      <c r="I13" s="63">
        <f t="shared" si="2"/>
        <v>13</v>
      </c>
      <c r="J13" s="63" t="e">
        <f t="shared" si="3"/>
        <v>#VALUE!</v>
      </c>
      <c r="K13" s="63">
        <f t="shared" si="4"/>
        <v>22</v>
      </c>
      <c r="L13" s="63" t="str">
        <f>IFERROR(VLOOKUP(MID(G13,J13,K13-J13),[5]skilldef!$C:$D,2,FALSE),"-") &amp; " / " &amp; IFERROR(VLOOKUP(MID(G13,H13,I13-H13),[5]skilldef!$A:$B,2,FALSE),"-")</f>
        <v>- / 連続攻撃</v>
      </c>
      <c r="M13" s="63" t="str">
        <f t="shared" si="5"/>
        <v>none</v>
      </c>
      <c r="N13" s="48" t="str">
        <f t="shared" si="57"/>
        <v>none</v>
      </c>
      <c r="O13" s="63" t="e">
        <f t="shared" si="6"/>
        <v>#VALUE!</v>
      </c>
      <c r="P13" s="63">
        <f t="shared" si="7"/>
        <v>4</v>
      </c>
      <c r="Q13" s="63" t="e">
        <f t="shared" si="8"/>
        <v>#VALUE!</v>
      </c>
      <c r="R13" s="63" t="e">
        <f t="shared" si="9"/>
        <v>#VALUE!</v>
      </c>
      <c r="S13" s="63" t="str">
        <f>IFERROR(VLOOKUP(MID(N13,Q13,R13-Q13),[5]skilldef!$C:$D,2,FALSE),"-") &amp; " / " &amp; IFERROR(VLOOKUP(MID(N13,O13,P13-O13),[5]skilldef!$A:$B,2,FALSE),"-")</f>
        <v>- / -</v>
      </c>
      <c r="T13" s="48" t="str">
        <f t="shared" si="10"/>
        <v>none</v>
      </c>
      <c r="U13" s="63" t="e">
        <f t="shared" si="11"/>
        <v>#VALUE!</v>
      </c>
      <c r="V13" s="63">
        <f t="shared" si="12"/>
        <v>4</v>
      </c>
      <c r="W13" s="63" t="e">
        <f t="shared" si="13"/>
        <v>#VALUE!</v>
      </c>
      <c r="X13" s="63" t="e">
        <f t="shared" si="14"/>
        <v>#VALUE!</v>
      </c>
      <c r="Y13" s="63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</row>
    <row r="14" spans="1:28" ht="21" customHeight="1">
      <c r="A14" s="62">
        <v>112161510</v>
      </c>
      <c r="B14" s="47" t="s">
        <v>236</v>
      </c>
      <c r="C14" s="50">
        <v>3</v>
      </c>
      <c r="D14" s="50" t="s">
        <v>128</v>
      </c>
      <c r="E14" s="51" t="s">
        <v>215</v>
      </c>
      <c r="F14" s="51" t="s">
        <v>237</v>
      </c>
      <c r="G14" s="63" t="str">
        <f t="shared" ref="G14:G15" si="58">IFERROR(LEFT(B14,FIND("],",B14)),B14)</f>
        <v>[effect:critical, val:1]</v>
      </c>
      <c r="H14" s="63">
        <f t="shared" ref="H14:H15" si="59">FIND("effect:",G14)+7</f>
        <v>9</v>
      </c>
      <c r="I14" s="63">
        <f t="shared" ref="I14:I15" si="60">IFERROR(FIND(",",G14),LEN(G14))</f>
        <v>17</v>
      </c>
      <c r="J14" s="63" t="e">
        <f t="shared" ref="J14:J15" si="61">FIND("target:",G14)+7</f>
        <v>#VALUE!</v>
      </c>
      <c r="K14" s="63" t="e">
        <f t="shared" ref="K14:K15" si="62">FIND(",",G14,I14+1)</f>
        <v>#VALUE!</v>
      </c>
      <c r="L14" s="63" t="str">
        <f>IFERROR(VLOOKUP(MID(G14,J14,K14-J14),[5]skilldef!$C:$D,2,FALSE),"-") &amp; " / " &amp; IFERROR(VLOOKUP(MID(G14,H14,I14-H14),[5]skilldef!$A:$B,2,FALSE),"-")</f>
        <v>- / 大攻撃</v>
      </c>
      <c r="M14" s="63" t="str">
        <f t="shared" ref="M14:M15" si="63">IFERROR(RIGHT(B14,LEN(B14)-FIND("],",B14)-1),"none")</f>
        <v>none</v>
      </c>
      <c r="N14" s="48" t="str">
        <f t="shared" si="57"/>
        <v>none</v>
      </c>
      <c r="O14" s="63" t="e">
        <f t="shared" ref="O14:O15" si="64">FIND("effect:",N14)+7</f>
        <v>#VALUE!</v>
      </c>
      <c r="P14" s="63">
        <f t="shared" ref="P14:P15" si="65">IFERROR(FIND(",",N14),LEN(N14))</f>
        <v>4</v>
      </c>
      <c r="Q14" s="63" t="e">
        <f t="shared" ref="Q14:Q15" si="66">FIND("target:",N14)+7</f>
        <v>#VALUE!</v>
      </c>
      <c r="R14" s="63" t="e">
        <f t="shared" ref="R14:R15" si="67">FIND(",",N14,P14+1)</f>
        <v>#VALUE!</v>
      </c>
      <c r="S14" s="63" t="str">
        <f>IFERROR(VLOOKUP(MID(N14,Q14,R14-Q14),[5]skilldef!$C:$D,2,FALSE),"-") &amp; " / " &amp; IFERROR(VLOOKUP(MID(N14,O14,P14-O14),[5]skilldef!$A:$B,2,FALSE),"-")</f>
        <v>- / -</v>
      </c>
      <c r="T14" s="48" t="str">
        <f t="shared" ref="T14:T15" si="68">IFERROR(RIGHT(M14,LEN(M14)-FIND("],",M14)-1),"none")</f>
        <v>none</v>
      </c>
      <c r="U14" s="63" t="e">
        <f t="shared" ref="U14:U15" si="69">FIND("effect:",T14)+7</f>
        <v>#VALUE!</v>
      </c>
      <c r="V14" s="63">
        <f t="shared" ref="V14:V15" si="70">IFERROR(FIND(",",T14),LEN(T14))</f>
        <v>4</v>
      </c>
      <c r="W14" s="63" t="e">
        <f t="shared" ref="W14:W15" si="71">FIND("target:",T14)+7</f>
        <v>#VALUE!</v>
      </c>
      <c r="X14" s="63" t="e">
        <f t="shared" ref="X14:X15" si="72">FIND(",",T14,V14+1)</f>
        <v>#VALUE!</v>
      </c>
      <c r="Y14" s="63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21" customHeight="1">
      <c r="A15" s="62">
        <v>112161520</v>
      </c>
      <c r="B15" s="47" t="s">
        <v>203</v>
      </c>
      <c r="C15" s="50">
        <v>3</v>
      </c>
      <c r="D15" s="50" t="s">
        <v>128</v>
      </c>
      <c r="E15" s="51" t="s">
        <v>212</v>
      </c>
      <c r="F15" s="51" t="s">
        <v>218</v>
      </c>
      <c r="G15" s="63" t="str">
        <f t="shared" si="58"/>
        <v>[effect:nothing]</v>
      </c>
      <c r="H15" s="63">
        <f t="shared" si="59"/>
        <v>9</v>
      </c>
      <c r="I15" s="63">
        <f t="shared" si="60"/>
        <v>16</v>
      </c>
      <c r="J15" s="63" t="e">
        <f t="shared" si="61"/>
        <v>#VALUE!</v>
      </c>
      <c r="K15" s="63" t="e">
        <f t="shared" si="62"/>
        <v>#VALUE!</v>
      </c>
      <c r="L15" s="63" t="str">
        <f>IFERROR(VLOOKUP(MID(G15,J15,K15-J15),[5]skilldef!$C:$D,2,FALSE),"-") &amp; " / " &amp; IFERROR(VLOOKUP(MID(G15,H15,I15-H15),[5]skilldef!$A:$B,2,FALSE),"-")</f>
        <v>- / 何もしない</v>
      </c>
      <c r="M15" s="63" t="str">
        <f t="shared" si="63"/>
        <v>none</v>
      </c>
      <c r="N15" s="48" t="str">
        <f t="shared" si="57"/>
        <v>none</v>
      </c>
      <c r="O15" s="63" t="e">
        <f t="shared" si="64"/>
        <v>#VALUE!</v>
      </c>
      <c r="P15" s="63">
        <f t="shared" si="65"/>
        <v>4</v>
      </c>
      <c r="Q15" s="63" t="e">
        <f t="shared" si="66"/>
        <v>#VALUE!</v>
      </c>
      <c r="R15" s="63" t="e">
        <f t="shared" si="67"/>
        <v>#VALUE!</v>
      </c>
      <c r="S15" s="63" t="str">
        <f>IFERROR(VLOOKUP(MID(N15,Q15,R15-Q15),[5]skilldef!$C:$D,2,FALSE),"-") &amp; " / " &amp; IFERROR(VLOOKUP(MID(N15,O15,P15-O15),[5]skilldef!$A:$B,2,FALSE),"-")</f>
        <v>- / -</v>
      </c>
      <c r="T15" s="48" t="str">
        <f t="shared" si="68"/>
        <v>none</v>
      </c>
      <c r="U15" s="63" t="e">
        <f t="shared" si="69"/>
        <v>#VALUE!</v>
      </c>
      <c r="V15" s="63">
        <f t="shared" si="70"/>
        <v>4</v>
      </c>
      <c r="W15" s="63" t="e">
        <f t="shared" si="71"/>
        <v>#VALUE!</v>
      </c>
      <c r="X15" s="63" t="e">
        <f t="shared" si="72"/>
        <v>#VALUE!</v>
      </c>
      <c r="Y15" s="63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21" customHeight="1">
      <c r="A16" s="62">
        <v>112161530</v>
      </c>
      <c r="B16" s="47" t="s">
        <v>203</v>
      </c>
      <c r="C16" s="50">
        <v>3</v>
      </c>
      <c r="D16" s="50" t="s">
        <v>128</v>
      </c>
      <c r="E16" s="51" t="s">
        <v>226</v>
      </c>
      <c r="F16" s="51" t="s">
        <v>245</v>
      </c>
      <c r="G16" s="63" t="str">
        <f t="shared" ref="G16" si="73">IFERROR(LEFT(B16,FIND("],",B16)),B16)</f>
        <v>[effect:nothing]</v>
      </c>
      <c r="H16" s="63">
        <f t="shared" ref="H16" si="74">FIND("effect:",G16)+7</f>
        <v>9</v>
      </c>
      <c r="I16" s="63">
        <f t="shared" ref="I16" si="75">IFERROR(FIND(",",G16),LEN(G16))</f>
        <v>16</v>
      </c>
      <c r="J16" s="63" t="e">
        <f t="shared" ref="J16" si="76">FIND("target:",G16)+7</f>
        <v>#VALUE!</v>
      </c>
      <c r="K16" s="63" t="e">
        <f t="shared" ref="K16" si="77">FIND(",",G16,I16+1)</f>
        <v>#VALUE!</v>
      </c>
      <c r="L16" s="63" t="str">
        <f>IFERROR(VLOOKUP(MID(G16,J16,K16-J16),[5]skilldef!$C:$D,2,FALSE),"-") &amp; " / " &amp; IFERROR(VLOOKUP(MID(G16,H16,I16-H16),[5]skilldef!$A:$B,2,FALSE),"-")</f>
        <v>- / 何もしない</v>
      </c>
      <c r="M16" s="63" t="str">
        <f t="shared" ref="M16" si="78">IFERROR(RIGHT(B16,LEN(B16)-FIND("],",B16)-1),"none")</f>
        <v>none</v>
      </c>
      <c r="N16" s="48" t="str">
        <f t="shared" si="57"/>
        <v>none</v>
      </c>
      <c r="O16" s="63" t="e">
        <f t="shared" ref="O16" si="79">FIND("effect:",N16)+7</f>
        <v>#VALUE!</v>
      </c>
      <c r="P16" s="63">
        <f t="shared" ref="P16" si="80">IFERROR(FIND(",",N16),LEN(N16))</f>
        <v>4</v>
      </c>
      <c r="Q16" s="63" t="e">
        <f t="shared" ref="Q16" si="81">FIND("target:",N16)+7</f>
        <v>#VALUE!</v>
      </c>
      <c r="R16" s="63" t="e">
        <f t="shared" ref="R16" si="82">FIND(",",N16,P16+1)</f>
        <v>#VALUE!</v>
      </c>
      <c r="S16" s="63" t="str">
        <f>IFERROR(VLOOKUP(MID(N16,Q16,R16-Q16),[5]skilldef!$C:$D,2,FALSE),"-") &amp; " / " &amp; IFERROR(VLOOKUP(MID(N16,O16,P16-O16),[5]skilldef!$A:$B,2,FALSE),"-")</f>
        <v>- / -</v>
      </c>
      <c r="T16" s="48" t="str">
        <f t="shared" ref="T16" si="83">IFERROR(RIGHT(M16,LEN(M16)-FIND("],",M16)-1),"none")</f>
        <v>none</v>
      </c>
      <c r="U16" s="63" t="e">
        <f t="shared" ref="U16" si="84">FIND("effect:",T16)+7</f>
        <v>#VALUE!</v>
      </c>
      <c r="V16" s="63">
        <f t="shared" ref="V16" si="85">IFERROR(FIND(",",T16),LEN(T16))</f>
        <v>4</v>
      </c>
      <c r="W16" s="63" t="e">
        <f t="shared" ref="W16" si="86">FIND("target:",T16)+7</f>
        <v>#VALUE!</v>
      </c>
      <c r="X16" s="63" t="e">
        <f t="shared" ref="X16" si="87">FIND(",",T16,V16+1)</f>
        <v>#VALUE!</v>
      </c>
      <c r="Y16" s="63" t="str">
        <f>IFERROR(VLOOKUP(MID(T16,W16,X16-W16),[5]skilldef!$C:$D,2,FALSE),"-") &amp; " / " &amp; IFERROR(VLOOKUP(MID(T16,U16,V16-U16),[5]skilldef!$A:$B,2,FALSE),"-")</f>
        <v>- / -</v>
      </c>
      <c r="Z16" s="50"/>
      <c r="AA16" s="52"/>
      <c r="AB16" s="50"/>
    </row>
    <row r="17" spans="1:28" ht="21" customHeight="1">
      <c r="A17" s="62">
        <v>112171100</v>
      </c>
      <c r="B17" s="47" t="s">
        <v>280</v>
      </c>
      <c r="C17" s="50">
        <v>3</v>
      </c>
      <c r="D17" s="50" t="s">
        <v>128</v>
      </c>
      <c r="E17" s="51" t="s">
        <v>269</v>
      </c>
      <c r="F17" s="51" t="s">
        <v>257</v>
      </c>
      <c r="G17" s="63" t="str">
        <f t="shared" ref="G17" si="88">IFERROR(LEFT(B17,FIND("],",B17)),B17)</f>
        <v>[effect:fix_speed, target:myself, turn:1][effect:hungup, target:unit_all, turn:-1, rate:1]</v>
      </c>
      <c r="H17" s="63">
        <f t="shared" ref="H17" si="89">FIND("effect:",G17)+7</f>
        <v>9</v>
      </c>
      <c r="I17" s="63">
        <f t="shared" ref="I17" si="90">IFERROR(FIND(",",G17),LEN(G17))</f>
        <v>18</v>
      </c>
      <c r="J17" s="63">
        <f t="shared" ref="J17" si="91">FIND("target:",G17)+7</f>
        <v>27</v>
      </c>
      <c r="K17" s="63">
        <f t="shared" ref="K17" si="92">FIND(",",G17,I17+1)</f>
        <v>33</v>
      </c>
      <c r="L17" s="63" t="str">
        <f>IFERROR(VLOOKUP(MID(G17,J17,K17-J17),[5]skilldef!$C:$D,2,FALSE),"-") &amp; " / " &amp; IFERROR(VLOOKUP(MID(G17,H17,I17-H17),[5]skilldef!$A:$B,2,FALSE),"-")</f>
        <v>自分自身に / 行動値設定</v>
      </c>
      <c r="M17" s="63" t="str">
        <f t="shared" ref="M17" si="93">IFERROR(RIGHT(B17,LEN(B17)-FIND("],",B17)-1),"none")</f>
        <v>none</v>
      </c>
      <c r="N17" s="48" t="str">
        <f t="shared" si="57"/>
        <v>none</v>
      </c>
      <c r="O17" s="63" t="e">
        <f t="shared" ref="O17" si="94">FIND("effect:",N17)+7</f>
        <v>#VALUE!</v>
      </c>
      <c r="P17" s="63">
        <f t="shared" ref="P17" si="95">IFERROR(FIND(",",N17),LEN(N17))</f>
        <v>4</v>
      </c>
      <c r="Q17" s="63" t="e">
        <f t="shared" ref="Q17" si="96">FIND("target:",N17)+7</f>
        <v>#VALUE!</v>
      </c>
      <c r="R17" s="63" t="e">
        <f t="shared" ref="R17" si="97">FIND(",",N17,P17+1)</f>
        <v>#VALUE!</v>
      </c>
      <c r="S17" s="63" t="str">
        <f>IFERROR(VLOOKUP(MID(N17,Q17,R17-Q17),[5]skilldef!$C:$D,2,FALSE),"-") &amp; " / " &amp; IFERROR(VLOOKUP(MID(N17,O17,P17-O17),[5]skilldef!$A:$B,2,FALSE),"-")</f>
        <v>- / -</v>
      </c>
      <c r="T17" s="48" t="str">
        <f t="shared" ref="T17" si="98">IFERROR(RIGHT(M17,LEN(M17)-FIND("],",M17)-1),"none")</f>
        <v>none</v>
      </c>
      <c r="U17" s="63" t="e">
        <f t="shared" ref="U17" si="99">FIND("effect:",T17)+7</f>
        <v>#VALUE!</v>
      </c>
      <c r="V17" s="63">
        <f t="shared" ref="V17" si="100">IFERROR(FIND(",",T17),LEN(T17))</f>
        <v>4</v>
      </c>
      <c r="W17" s="63" t="e">
        <f t="shared" ref="W17" si="101">FIND("target:",T17)+7</f>
        <v>#VALUE!</v>
      </c>
      <c r="X17" s="63" t="e">
        <f t="shared" ref="X17" si="102">FIND(",",T17,V17+1)</f>
        <v>#VALUE!</v>
      </c>
      <c r="Y17" s="63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</row>
    <row r="18" spans="1:28" ht="21" customHeight="1">
      <c r="A18" s="62">
        <v>112171101</v>
      </c>
      <c r="B18" s="47" t="s">
        <v>290</v>
      </c>
      <c r="C18" s="50">
        <v>3</v>
      </c>
      <c r="D18" s="50" t="s">
        <v>128</v>
      </c>
      <c r="E18" s="51" t="s">
        <v>271</v>
      </c>
      <c r="F18" s="51" t="s">
        <v>292</v>
      </c>
      <c r="G18" s="63" t="str">
        <f t="shared" ref="G18" si="103">IFERROR(LEFT(B18,FIND("],",B18)),B18)</f>
        <v>[effect:fix_speed, target:myself, turn:1][effect:force_change_block, new_block:crack_bomb, target:block_all, color:block_yellow, count:1, val:46, animation:change_block]</v>
      </c>
      <c r="H18" s="63">
        <f t="shared" ref="H18" si="104">FIND("effect:",G18)+7</f>
        <v>9</v>
      </c>
      <c r="I18" s="63">
        <f t="shared" ref="I18" si="105">IFERROR(FIND(",",G18),LEN(G18))</f>
        <v>18</v>
      </c>
      <c r="J18" s="63">
        <f t="shared" ref="J18" si="106">FIND("target:",G18)+7</f>
        <v>27</v>
      </c>
      <c r="K18" s="63">
        <f t="shared" ref="K18" si="107">FIND(",",G18,I18+1)</f>
        <v>33</v>
      </c>
      <c r="L18" s="63" t="str">
        <f>IFERROR(VLOOKUP(MID(G18,J18,K18-J18),[5]skilldef!$C:$D,2,FALSE),"-") &amp; " / " &amp; IFERROR(VLOOKUP(MID(G18,H18,I18-H18),[5]skilldef!$A:$B,2,FALSE),"-")</f>
        <v>自分自身に / 行動値設定</v>
      </c>
      <c r="M18" s="63" t="str">
        <f t="shared" ref="M18" si="108">IFERROR(RIGHT(B18,LEN(B18)-FIND("],",B18)-1),"none")</f>
        <v>none</v>
      </c>
      <c r="N18" s="48" t="str">
        <f t="shared" si="57"/>
        <v>none</v>
      </c>
      <c r="O18" s="63" t="e">
        <f t="shared" ref="O18" si="109">FIND("effect:",N18)+7</f>
        <v>#VALUE!</v>
      </c>
      <c r="P18" s="63">
        <f t="shared" ref="P18" si="110">IFERROR(FIND(",",N18),LEN(N18))</f>
        <v>4</v>
      </c>
      <c r="Q18" s="63" t="e">
        <f t="shared" ref="Q18" si="111">FIND("target:",N18)+7</f>
        <v>#VALUE!</v>
      </c>
      <c r="R18" s="63" t="e">
        <f t="shared" ref="R18" si="112">FIND(",",N18,P18+1)</f>
        <v>#VALUE!</v>
      </c>
      <c r="S18" s="63" t="str">
        <f>IFERROR(VLOOKUP(MID(N18,Q18,R18-Q18),[5]skilldef!$C:$D,2,FALSE),"-") &amp; " / " &amp; IFERROR(VLOOKUP(MID(N18,O18,P18-O18),[5]skilldef!$A:$B,2,FALSE),"-")</f>
        <v>- / -</v>
      </c>
      <c r="T18" s="48" t="str">
        <f t="shared" ref="T18" si="113">IFERROR(RIGHT(M18,LEN(M18)-FIND("],",M18)-1),"none")</f>
        <v>none</v>
      </c>
      <c r="U18" s="63" t="e">
        <f t="shared" ref="U18" si="114">FIND("effect:",T18)+7</f>
        <v>#VALUE!</v>
      </c>
      <c r="V18" s="63">
        <f t="shared" ref="V18" si="115">IFERROR(FIND(",",T18),LEN(T18))</f>
        <v>4</v>
      </c>
      <c r="W18" s="63" t="e">
        <f t="shared" ref="W18" si="116">FIND("target:",T18)+7</f>
        <v>#VALUE!</v>
      </c>
      <c r="X18" s="63" t="e">
        <f t="shared" ref="X18" si="117">FIND(",",T18,V18+1)</f>
        <v>#VALUE!</v>
      </c>
      <c r="Y18" s="63" t="str">
        <f>IFERROR(VLOOKUP(MID(T18,W18,X18-W18),[5]skilldef!$C:$D,2,FALSE),"-") &amp; " / " &amp; IFERROR(VLOOKUP(MID(T18,U18,V18-U18),[5]skilldef!$A:$B,2,FALSE),"-")</f>
        <v>- / -</v>
      </c>
      <c r="Z18" s="50"/>
      <c r="AA18" s="52"/>
      <c r="AB18" s="50"/>
    </row>
    <row r="19" spans="1:28" ht="21" customHeight="1">
      <c r="A19" s="62">
        <v>112171109</v>
      </c>
      <c r="B19" s="47" t="s">
        <v>283</v>
      </c>
      <c r="C19" s="50">
        <v>3</v>
      </c>
      <c r="D19" s="50" t="s">
        <v>128</v>
      </c>
      <c r="E19" s="51" t="s">
        <v>277</v>
      </c>
      <c r="F19" s="51" t="s">
        <v>286</v>
      </c>
      <c r="G19" s="63" t="str">
        <f t="shared" ref="G19" si="118">IFERROR(LEFT(B19,FIND("],",B19)),B19)</f>
        <v>[effect:kamikaze, val:0]</v>
      </c>
      <c r="H19" s="63">
        <f t="shared" ref="H19" si="119">FIND("effect:",G19)+7</f>
        <v>9</v>
      </c>
      <c r="I19" s="63">
        <f t="shared" ref="I19" si="120">IFERROR(FIND(",",G19),LEN(G19))</f>
        <v>17</v>
      </c>
      <c r="J19" s="63" t="e">
        <f t="shared" ref="J19" si="121">FIND("target:",G19)+7</f>
        <v>#VALUE!</v>
      </c>
      <c r="K19" s="63" t="e">
        <f t="shared" ref="K19" si="122">FIND(",",G19,I19+1)</f>
        <v>#VALUE!</v>
      </c>
      <c r="L19" s="63" t="str">
        <f>IFERROR(VLOOKUP(MID(G19,J19,K19-J19),[5]skilldef!$C:$D,2,FALSE),"-") &amp; " / " &amp; IFERROR(VLOOKUP(MID(G19,H19,I19-H19),[5]skilldef!$A:$B,2,FALSE),"-")</f>
        <v>- / 自爆</v>
      </c>
      <c r="M19" s="63" t="str">
        <f t="shared" ref="M19" si="123">IFERROR(RIGHT(B19,LEN(B19)-FIND("],",B19)-1),"none")</f>
        <v>none</v>
      </c>
      <c r="N19" s="48" t="str">
        <f t="shared" si="57"/>
        <v>none</v>
      </c>
      <c r="O19" s="63" t="e">
        <f t="shared" ref="O19" si="124">FIND("effect:",N19)+7</f>
        <v>#VALUE!</v>
      </c>
      <c r="P19" s="63">
        <f t="shared" ref="P19" si="125">IFERROR(FIND(",",N19),LEN(N19))</f>
        <v>4</v>
      </c>
      <c r="Q19" s="63" t="e">
        <f t="shared" ref="Q19" si="126">FIND("target:",N19)+7</f>
        <v>#VALUE!</v>
      </c>
      <c r="R19" s="63" t="e">
        <f t="shared" ref="R19" si="127">FIND(",",N19,P19+1)</f>
        <v>#VALUE!</v>
      </c>
      <c r="S19" s="63" t="str">
        <f>IFERROR(VLOOKUP(MID(N19,Q19,R19-Q19),[5]skilldef!$C:$D,2,FALSE),"-") &amp; " / " &amp; IFERROR(VLOOKUP(MID(N19,O19,P19-O19),[5]skilldef!$A:$B,2,FALSE),"-")</f>
        <v>- / -</v>
      </c>
      <c r="T19" s="48" t="str">
        <f t="shared" ref="T19" si="128">IFERROR(RIGHT(M19,LEN(M19)-FIND("],",M19)-1),"none")</f>
        <v>none</v>
      </c>
      <c r="U19" s="63" t="e">
        <f t="shared" ref="U19" si="129">FIND("effect:",T19)+7</f>
        <v>#VALUE!</v>
      </c>
      <c r="V19" s="63">
        <f t="shared" ref="V19" si="130">IFERROR(FIND(",",T19),LEN(T19))</f>
        <v>4</v>
      </c>
      <c r="W19" s="63" t="e">
        <f t="shared" ref="W19" si="131">FIND("target:",T19)+7</f>
        <v>#VALUE!</v>
      </c>
      <c r="X19" s="63" t="e">
        <f t="shared" ref="X19" si="132">FIND(",",T19,V19+1)</f>
        <v>#VALUE!</v>
      </c>
      <c r="Y19" s="63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21" customHeight="1">
      <c r="A20" s="62">
        <v>112171110</v>
      </c>
      <c r="B20" s="47" t="s">
        <v>229</v>
      </c>
      <c r="C20" s="50">
        <v>3</v>
      </c>
      <c r="D20" s="50" t="s">
        <v>128</v>
      </c>
      <c r="E20" s="51" t="s">
        <v>256</v>
      </c>
      <c r="F20" s="51" t="s">
        <v>258</v>
      </c>
      <c r="G20" s="63" t="str">
        <f t="shared" ref="G20:G23" si="133">IFERROR(LEFT(B20,FIND("],",B20)),B20)</f>
        <v>[effect:fix_speed, target:myself, turn:1]</v>
      </c>
      <c r="H20" s="63">
        <f t="shared" ref="H20:H23" si="134">FIND("effect:",G20)+7</f>
        <v>9</v>
      </c>
      <c r="I20" s="63">
        <f t="shared" ref="I20:I23" si="135">IFERROR(FIND(",",G20),LEN(G20))</f>
        <v>18</v>
      </c>
      <c r="J20" s="63">
        <f t="shared" ref="J20:J23" si="136">FIND("target:",G20)+7</f>
        <v>27</v>
      </c>
      <c r="K20" s="63">
        <f t="shared" ref="K20:K23" si="137">FIND(",",G20,I20+1)</f>
        <v>33</v>
      </c>
      <c r="L20" s="63" t="str">
        <f>IFERROR(VLOOKUP(MID(G20,J20,K20-J20),[5]skilldef!$C:$D,2,FALSE),"-") &amp; " / " &amp; IFERROR(VLOOKUP(MID(G20,H20,I20-H20),[5]skilldef!$A:$B,2,FALSE),"-")</f>
        <v>自分自身に / 行動値設定</v>
      </c>
      <c r="M20" s="63" t="str">
        <f t="shared" ref="M20:M23" si="138">IFERROR(RIGHT(B20,LEN(B20)-FIND("],",B20)-1),"none")</f>
        <v>none</v>
      </c>
      <c r="N20" s="48" t="str">
        <f>IFERROR(LEFT(M20,FIND("],",M20)+S52),M20)</f>
        <v>none</v>
      </c>
      <c r="O20" s="63" t="e">
        <f t="shared" ref="O20:O23" si="139">FIND("effect:",N20)+7</f>
        <v>#VALUE!</v>
      </c>
      <c r="P20" s="63">
        <f t="shared" ref="P20:P23" si="140">IFERROR(FIND(",",N20),LEN(N20))</f>
        <v>4</v>
      </c>
      <c r="Q20" s="63" t="e">
        <f t="shared" ref="Q20:Q23" si="141">FIND("target:",N20)+7</f>
        <v>#VALUE!</v>
      </c>
      <c r="R20" s="63" t="e">
        <f t="shared" ref="R20:R23" si="142">FIND(",",N20,P20+1)</f>
        <v>#VALUE!</v>
      </c>
      <c r="S20" s="63" t="str">
        <f>IFERROR(VLOOKUP(MID(N20,Q20,R20-Q20),[5]skilldef!$C:$D,2,FALSE),"-") &amp; " / " &amp; IFERROR(VLOOKUP(MID(N20,O20,P20-O20),[5]skilldef!$A:$B,2,FALSE),"-")</f>
        <v>- / -</v>
      </c>
      <c r="T20" s="48" t="str">
        <f t="shared" ref="T20:T23" si="143">IFERROR(RIGHT(M20,LEN(M20)-FIND("],",M20)-1),"none")</f>
        <v>none</v>
      </c>
      <c r="U20" s="63" t="e">
        <f t="shared" ref="U20:U23" si="144">FIND("effect:",T20)+7</f>
        <v>#VALUE!</v>
      </c>
      <c r="V20" s="63">
        <f t="shared" ref="V20:V23" si="145">IFERROR(FIND(",",T20),LEN(T20))</f>
        <v>4</v>
      </c>
      <c r="W20" s="63" t="e">
        <f t="shared" ref="W20:W23" si="146">FIND("target:",T20)+7</f>
        <v>#VALUE!</v>
      </c>
      <c r="X20" s="63" t="e">
        <f t="shared" ref="X20:X23" si="147">FIND(",",T20,V20+1)</f>
        <v>#VALUE!</v>
      </c>
      <c r="Y20" s="63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21" customHeight="1">
      <c r="A21" s="62">
        <v>112171111</v>
      </c>
      <c r="B21" s="47" t="s">
        <v>284</v>
      </c>
      <c r="C21" s="50">
        <v>3</v>
      </c>
      <c r="D21" s="50" t="s">
        <v>128</v>
      </c>
      <c r="E21" s="51" t="s">
        <v>270</v>
      </c>
      <c r="F21" s="51" t="s">
        <v>287</v>
      </c>
      <c r="G21" s="63" t="str">
        <f t="shared" ref="G21" si="148">IFERROR(LEFT(B21,FIND("],",B21)),B21)</f>
        <v>[effect:fix_speed, target:myself, turn:1]</v>
      </c>
      <c r="H21" s="63">
        <f t="shared" ref="H21" si="149">FIND("effect:",G21)+7</f>
        <v>9</v>
      </c>
      <c r="I21" s="63">
        <f t="shared" ref="I21" si="150">IFERROR(FIND(",",G21),LEN(G21))</f>
        <v>18</v>
      </c>
      <c r="J21" s="63">
        <f t="shared" ref="J21" si="151">FIND("target:",G21)+7</f>
        <v>27</v>
      </c>
      <c r="K21" s="63">
        <f t="shared" ref="K21" si="152">FIND(",",G21,I21+1)</f>
        <v>33</v>
      </c>
      <c r="L21" s="63" t="str">
        <f>IFERROR(VLOOKUP(MID(G21,J21,K21-J21),[5]skilldef!$C:$D,2,FALSE),"-") &amp; " / " &amp; IFERROR(VLOOKUP(MID(G21,H21,I21-H21),[5]skilldef!$A:$B,2,FALSE),"-")</f>
        <v>自分自身に / 行動値設定</v>
      </c>
      <c r="M21" s="63" t="str">
        <f t="shared" ref="M21" si="153">IFERROR(RIGHT(B21,LEN(B21)-FIND("],",B21)-1),"none")</f>
        <v>none</v>
      </c>
      <c r="N21" s="48" t="str">
        <f>IFERROR(LEFT(M21,FIND("],",M21)+S53),M21)</f>
        <v>none</v>
      </c>
      <c r="O21" s="63" t="e">
        <f t="shared" ref="O21" si="154">FIND("effect:",N21)+7</f>
        <v>#VALUE!</v>
      </c>
      <c r="P21" s="63">
        <f t="shared" ref="P21" si="155">IFERROR(FIND(",",N21),LEN(N21))</f>
        <v>4</v>
      </c>
      <c r="Q21" s="63" t="e">
        <f t="shared" ref="Q21" si="156">FIND("target:",N21)+7</f>
        <v>#VALUE!</v>
      </c>
      <c r="R21" s="63" t="e">
        <f t="shared" ref="R21" si="157">FIND(",",N21,P21+1)</f>
        <v>#VALUE!</v>
      </c>
      <c r="S21" s="63" t="str">
        <f>IFERROR(VLOOKUP(MID(N21,Q21,R21-Q21),[5]skilldef!$C:$D,2,FALSE),"-") &amp; " / " &amp; IFERROR(VLOOKUP(MID(N21,O21,P21-O21),[5]skilldef!$A:$B,2,FALSE),"-")</f>
        <v>- / -</v>
      </c>
      <c r="T21" s="48" t="str">
        <f t="shared" ref="T21" si="158">IFERROR(RIGHT(M21,LEN(M21)-FIND("],",M21)-1),"none")</f>
        <v>none</v>
      </c>
      <c r="U21" s="63" t="e">
        <f t="shared" ref="U21" si="159">FIND("effect:",T21)+7</f>
        <v>#VALUE!</v>
      </c>
      <c r="V21" s="63">
        <f t="shared" ref="V21" si="160">IFERROR(FIND(",",T21),LEN(T21))</f>
        <v>4</v>
      </c>
      <c r="W21" s="63" t="e">
        <f t="shared" ref="W21" si="161">FIND("target:",T21)+7</f>
        <v>#VALUE!</v>
      </c>
      <c r="X21" s="63" t="e">
        <f t="shared" ref="X21" si="162">FIND(",",T21,V21+1)</f>
        <v>#VALUE!</v>
      </c>
      <c r="Y21" s="63" t="str">
        <f>IFERROR(VLOOKUP(MID(T21,W21,X21-W21),[5]skilldef!$C:$D,2,FALSE),"-") &amp; " / " &amp; IFERROR(VLOOKUP(MID(T21,U21,V21-U21),[5]skilldef!$A:$B,2,FALSE),"-")</f>
        <v>- / -</v>
      </c>
      <c r="Z21" s="50"/>
      <c r="AA21" s="52"/>
      <c r="AB21" s="50"/>
    </row>
    <row r="22" spans="1:28" ht="21" customHeight="1">
      <c r="A22" s="62">
        <v>112171119</v>
      </c>
      <c r="B22" s="47" t="s">
        <v>283</v>
      </c>
      <c r="C22" s="50">
        <v>3</v>
      </c>
      <c r="D22" s="50" t="s">
        <v>128</v>
      </c>
      <c r="E22" s="51" t="s">
        <v>278</v>
      </c>
      <c r="F22" s="51" t="s">
        <v>288</v>
      </c>
      <c r="G22" s="63" t="str">
        <f t="shared" ref="G22" si="163">IFERROR(LEFT(B22,FIND("],",B22)),B22)</f>
        <v>[effect:kamikaze, val:0]</v>
      </c>
      <c r="H22" s="63">
        <f t="shared" ref="H22" si="164">FIND("effect:",G22)+7</f>
        <v>9</v>
      </c>
      <c r="I22" s="63">
        <f t="shared" ref="I22" si="165">IFERROR(FIND(",",G22),LEN(G22))</f>
        <v>17</v>
      </c>
      <c r="J22" s="63" t="e">
        <f t="shared" ref="J22" si="166">FIND("target:",G22)+7</f>
        <v>#VALUE!</v>
      </c>
      <c r="K22" s="63" t="e">
        <f t="shared" ref="K22" si="167">FIND(",",G22,I22+1)</f>
        <v>#VALUE!</v>
      </c>
      <c r="L22" s="63" t="str">
        <f>IFERROR(VLOOKUP(MID(G22,J22,K22-J22),[5]skilldef!$C:$D,2,FALSE),"-") &amp; " / " &amp; IFERROR(VLOOKUP(MID(G22,H22,I22-H22),[5]skilldef!$A:$B,2,FALSE),"-")</f>
        <v>- / 自爆</v>
      </c>
      <c r="M22" s="63" t="str">
        <f t="shared" ref="M22" si="168">IFERROR(RIGHT(B22,LEN(B22)-FIND("],",B22)-1),"none")</f>
        <v>none</v>
      </c>
      <c r="N22" s="48" t="str">
        <f>IFERROR(LEFT(M22,FIND("],",M22)+S54),M22)</f>
        <v>none</v>
      </c>
      <c r="O22" s="63" t="e">
        <f t="shared" ref="O22" si="169">FIND("effect:",N22)+7</f>
        <v>#VALUE!</v>
      </c>
      <c r="P22" s="63">
        <f t="shared" ref="P22" si="170">IFERROR(FIND(",",N22),LEN(N22))</f>
        <v>4</v>
      </c>
      <c r="Q22" s="63" t="e">
        <f t="shared" ref="Q22" si="171">FIND("target:",N22)+7</f>
        <v>#VALUE!</v>
      </c>
      <c r="R22" s="63" t="e">
        <f t="shared" ref="R22" si="172">FIND(",",N22,P22+1)</f>
        <v>#VALUE!</v>
      </c>
      <c r="S22" s="63" t="str">
        <f>IFERROR(VLOOKUP(MID(N22,Q22,R22-Q22),[5]skilldef!$C:$D,2,FALSE),"-") &amp; " / " &amp; IFERROR(VLOOKUP(MID(N22,O22,P22-O22),[5]skilldef!$A:$B,2,FALSE),"-")</f>
        <v>- / -</v>
      </c>
      <c r="T22" s="48" t="str">
        <f t="shared" ref="T22" si="173">IFERROR(RIGHT(M22,LEN(M22)-FIND("],",M22)-1),"none")</f>
        <v>none</v>
      </c>
      <c r="U22" s="63" t="e">
        <f t="shared" ref="U22" si="174">FIND("effect:",T22)+7</f>
        <v>#VALUE!</v>
      </c>
      <c r="V22" s="63">
        <f t="shared" ref="V22" si="175">IFERROR(FIND(",",T22),LEN(T22))</f>
        <v>4</v>
      </c>
      <c r="W22" s="63" t="e">
        <f t="shared" ref="W22" si="176">FIND("target:",T22)+7</f>
        <v>#VALUE!</v>
      </c>
      <c r="X22" s="63" t="e">
        <f t="shared" ref="X22" si="177">FIND(",",T22,V22+1)</f>
        <v>#VALUE!</v>
      </c>
      <c r="Y22" s="63" t="str">
        <f>IFERROR(VLOOKUP(MID(T22,W22,X22-W22),[5]skilldef!$C:$D,2,FALSE),"-") &amp; " / " &amp; IFERROR(VLOOKUP(MID(T22,U22,V22-U22),[5]skilldef!$A:$B,2,FALSE),"-")</f>
        <v>- / -</v>
      </c>
      <c r="Z22" s="50"/>
      <c r="AA22" s="52"/>
      <c r="AB22" s="50"/>
    </row>
    <row r="23" spans="1:28" ht="21" customHeight="1">
      <c r="A23" s="62">
        <v>112171120</v>
      </c>
      <c r="B23" s="47" t="s">
        <v>229</v>
      </c>
      <c r="C23" s="50">
        <v>3</v>
      </c>
      <c r="D23" s="50" t="s">
        <v>128</v>
      </c>
      <c r="E23" s="51" t="s">
        <v>260</v>
      </c>
      <c r="F23" s="51" t="s">
        <v>259</v>
      </c>
      <c r="G23" s="63" t="str">
        <f t="shared" si="133"/>
        <v>[effect:fix_speed, target:myself, turn:1]</v>
      </c>
      <c r="H23" s="63">
        <f t="shared" si="134"/>
        <v>9</v>
      </c>
      <c r="I23" s="63">
        <f t="shared" si="135"/>
        <v>18</v>
      </c>
      <c r="J23" s="63">
        <f t="shared" si="136"/>
        <v>27</v>
      </c>
      <c r="K23" s="63">
        <f t="shared" si="137"/>
        <v>33</v>
      </c>
      <c r="L23" s="63" t="str">
        <f>IFERROR(VLOOKUP(MID(G23,J23,K23-J23),[5]skilldef!$C:$D,2,FALSE),"-") &amp; " / " &amp; IFERROR(VLOOKUP(MID(G23,H23,I23-H23),[5]skilldef!$A:$B,2,FALSE),"-")</f>
        <v>自分自身に / 行動値設定</v>
      </c>
      <c r="M23" s="63" t="str">
        <f t="shared" si="138"/>
        <v>none</v>
      </c>
      <c r="N23" s="48" t="str">
        <f>IFERROR(LEFT(M23,FIND("],",M23)+S53),M23)</f>
        <v>none</v>
      </c>
      <c r="O23" s="63" t="e">
        <f t="shared" si="139"/>
        <v>#VALUE!</v>
      </c>
      <c r="P23" s="63">
        <f t="shared" si="140"/>
        <v>4</v>
      </c>
      <c r="Q23" s="63" t="e">
        <f t="shared" si="141"/>
        <v>#VALUE!</v>
      </c>
      <c r="R23" s="63" t="e">
        <f t="shared" si="142"/>
        <v>#VALUE!</v>
      </c>
      <c r="S23" s="63" t="str">
        <f>IFERROR(VLOOKUP(MID(N23,Q23,R23-Q23),[5]skilldef!$C:$D,2,FALSE),"-") &amp; " / " &amp; IFERROR(VLOOKUP(MID(N23,O23,P23-O23),[5]skilldef!$A:$B,2,FALSE),"-")</f>
        <v>- / -</v>
      </c>
      <c r="T23" s="48" t="str">
        <f t="shared" si="143"/>
        <v>none</v>
      </c>
      <c r="U23" s="63" t="e">
        <f t="shared" si="144"/>
        <v>#VALUE!</v>
      </c>
      <c r="V23" s="63">
        <f t="shared" si="145"/>
        <v>4</v>
      </c>
      <c r="W23" s="63" t="e">
        <f t="shared" si="146"/>
        <v>#VALUE!</v>
      </c>
      <c r="X23" s="63" t="e">
        <f t="shared" si="147"/>
        <v>#VALUE!</v>
      </c>
      <c r="Y23" s="63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</row>
    <row r="24" spans="1:28" ht="21" customHeight="1">
      <c r="A24" s="62">
        <v>112171121</v>
      </c>
      <c r="B24" s="47" t="s">
        <v>291</v>
      </c>
      <c r="C24" s="50">
        <v>3</v>
      </c>
      <c r="D24" s="50" t="s">
        <v>128</v>
      </c>
      <c r="E24" s="51" t="s">
        <v>273</v>
      </c>
      <c r="F24" s="51" t="s">
        <v>272</v>
      </c>
      <c r="G24" s="63" t="str">
        <f t="shared" ref="G24:G25" si="178">IFERROR(LEFT(B24,FIND("],",B24)),B24)</f>
        <v>[effect:fix_speed, target:myself, turn:1][effect:dark, target:unit_all, turn:1]</v>
      </c>
      <c r="H24" s="63">
        <f t="shared" ref="H24:H25" si="179">FIND("effect:",G24)+7</f>
        <v>9</v>
      </c>
      <c r="I24" s="63">
        <f t="shared" ref="I24:I25" si="180">IFERROR(FIND(",",G24),LEN(G24))</f>
        <v>18</v>
      </c>
      <c r="J24" s="63">
        <f t="shared" ref="J24:J25" si="181">FIND("target:",G24)+7</f>
        <v>27</v>
      </c>
      <c r="K24" s="63">
        <f t="shared" ref="K24:K25" si="182">FIND(",",G24,I24+1)</f>
        <v>33</v>
      </c>
      <c r="L24" s="63" t="str">
        <f>IFERROR(VLOOKUP(MID(G24,J24,K24-J24),[5]skilldef!$C:$D,2,FALSE),"-") &amp; " / " &amp; IFERROR(VLOOKUP(MID(G24,H24,I24-H24),[5]skilldef!$A:$B,2,FALSE),"-")</f>
        <v>自分自身に / 行動値設定</v>
      </c>
      <c r="M24" s="63" t="str">
        <f t="shared" ref="M24:M25" si="183">IFERROR(RIGHT(B24,LEN(B24)-FIND("],",B24)-1),"none")</f>
        <v>none</v>
      </c>
      <c r="N24" s="48" t="str">
        <f>IFERROR(LEFT(M24,FIND("],",M24)+S54),M24)</f>
        <v>none</v>
      </c>
      <c r="O24" s="63" t="e">
        <f t="shared" ref="O24:O25" si="184">FIND("effect:",N24)+7</f>
        <v>#VALUE!</v>
      </c>
      <c r="P24" s="63">
        <f t="shared" ref="P24:P25" si="185">IFERROR(FIND(",",N24),LEN(N24))</f>
        <v>4</v>
      </c>
      <c r="Q24" s="63" t="e">
        <f t="shared" ref="Q24:Q25" si="186">FIND("target:",N24)+7</f>
        <v>#VALUE!</v>
      </c>
      <c r="R24" s="63" t="e">
        <f t="shared" ref="R24:R25" si="187">FIND(",",N24,P24+1)</f>
        <v>#VALUE!</v>
      </c>
      <c r="S24" s="63" t="str">
        <f>IFERROR(VLOOKUP(MID(N24,Q24,R24-Q24),[5]skilldef!$C:$D,2,FALSE),"-") &amp; " / " &amp; IFERROR(VLOOKUP(MID(N24,O24,P24-O24),[5]skilldef!$A:$B,2,FALSE),"-")</f>
        <v>- / -</v>
      </c>
      <c r="T24" s="48" t="str">
        <f t="shared" ref="T24:T25" si="188">IFERROR(RIGHT(M24,LEN(M24)-FIND("],",M24)-1),"none")</f>
        <v>none</v>
      </c>
      <c r="U24" s="63" t="e">
        <f t="shared" ref="U24:U25" si="189">FIND("effect:",T24)+7</f>
        <v>#VALUE!</v>
      </c>
      <c r="V24" s="63">
        <f t="shared" ref="V24:V25" si="190">IFERROR(FIND(",",T24),LEN(T24))</f>
        <v>4</v>
      </c>
      <c r="W24" s="63" t="e">
        <f t="shared" ref="W24:W25" si="191">FIND("target:",T24)+7</f>
        <v>#VALUE!</v>
      </c>
      <c r="X24" s="63" t="e">
        <f t="shared" ref="X24:X25" si="192">FIND(",",T24,V24+1)</f>
        <v>#VALUE!</v>
      </c>
      <c r="Y24" s="63" t="str">
        <f>IFERROR(VLOOKUP(MID(T24,W24,X24-W24),[5]skilldef!$C:$D,2,FALSE),"-") &amp; " / " &amp; IFERROR(VLOOKUP(MID(T24,U24,V24-U24),[5]skilldef!$A:$B,2,FALSE),"-")</f>
        <v>- / -</v>
      </c>
      <c r="Z24" s="50"/>
      <c r="AA24" s="52"/>
      <c r="AB24" s="50"/>
    </row>
    <row r="25" spans="1:28" ht="21" customHeight="1">
      <c r="A25" s="62">
        <v>112171129</v>
      </c>
      <c r="B25" s="47" t="s">
        <v>283</v>
      </c>
      <c r="C25" s="50">
        <v>3</v>
      </c>
      <c r="D25" s="50" t="s">
        <v>128</v>
      </c>
      <c r="E25" s="51" t="s">
        <v>285</v>
      </c>
      <c r="F25" s="51" t="s">
        <v>289</v>
      </c>
      <c r="G25" s="63" t="str">
        <f t="shared" si="178"/>
        <v>[effect:kamikaze, val:0]</v>
      </c>
      <c r="H25" s="63">
        <f t="shared" si="179"/>
        <v>9</v>
      </c>
      <c r="I25" s="63">
        <f t="shared" si="180"/>
        <v>17</v>
      </c>
      <c r="J25" s="63" t="e">
        <f t="shared" si="181"/>
        <v>#VALUE!</v>
      </c>
      <c r="K25" s="63" t="e">
        <f t="shared" si="182"/>
        <v>#VALUE!</v>
      </c>
      <c r="L25" s="63" t="str">
        <f>IFERROR(VLOOKUP(MID(G25,J25,K25-J25),[5]skilldef!$C:$D,2,FALSE),"-") &amp; " / " &amp; IFERROR(VLOOKUP(MID(G25,H25,I25-H25),[5]skilldef!$A:$B,2,FALSE),"-")</f>
        <v>- / 自爆</v>
      </c>
      <c r="M25" s="63" t="str">
        <f t="shared" si="183"/>
        <v>none</v>
      </c>
      <c r="N25" s="48" t="str">
        <f>IFERROR(LEFT(M25,FIND("],",M25)+S57),M25)</f>
        <v>none</v>
      </c>
      <c r="O25" s="63" t="e">
        <f t="shared" si="184"/>
        <v>#VALUE!</v>
      </c>
      <c r="P25" s="63">
        <f t="shared" si="185"/>
        <v>4</v>
      </c>
      <c r="Q25" s="63" t="e">
        <f t="shared" si="186"/>
        <v>#VALUE!</v>
      </c>
      <c r="R25" s="63" t="e">
        <f t="shared" si="187"/>
        <v>#VALUE!</v>
      </c>
      <c r="S25" s="63" t="str">
        <f>IFERROR(VLOOKUP(MID(N25,Q25,R25-Q25),[5]skilldef!$C:$D,2,FALSE),"-") &amp; " / " &amp; IFERROR(VLOOKUP(MID(N25,O25,P25-O25),[5]skilldef!$A:$B,2,FALSE),"-")</f>
        <v>- / -</v>
      </c>
      <c r="T25" s="48" t="str">
        <f t="shared" si="188"/>
        <v>none</v>
      </c>
      <c r="U25" s="63" t="e">
        <f t="shared" si="189"/>
        <v>#VALUE!</v>
      </c>
      <c r="V25" s="63">
        <f t="shared" si="190"/>
        <v>4</v>
      </c>
      <c r="W25" s="63" t="e">
        <f t="shared" si="191"/>
        <v>#VALUE!</v>
      </c>
      <c r="X25" s="63" t="e">
        <f t="shared" si="192"/>
        <v>#VALUE!</v>
      </c>
      <c r="Y25" s="63" t="str">
        <f>IFERROR(VLOOKUP(MID(T25,W25,X25-W25),[5]skilldef!$C:$D,2,FALSE),"-") &amp; " / " &amp; IFERROR(VLOOKUP(MID(T25,U25,V25-U25),[5]skilldef!$A:$B,2,FALSE),"-")</f>
        <v>- / -</v>
      </c>
      <c r="Z25" s="50"/>
      <c r="AA25" s="52"/>
      <c r="AB25" s="50"/>
    </row>
    <row r="26" spans="1:28" ht="21" customHeight="1">
      <c r="A26" s="62">
        <v>112171130</v>
      </c>
      <c r="B26" s="47" t="s">
        <v>229</v>
      </c>
      <c r="C26" s="50">
        <v>3</v>
      </c>
      <c r="D26" s="50" t="s">
        <v>128</v>
      </c>
      <c r="E26" s="51" t="s">
        <v>261</v>
      </c>
      <c r="F26" s="51" t="s">
        <v>262</v>
      </c>
      <c r="G26" s="63" t="str">
        <f t="shared" ref="G26:G28" si="193">IFERROR(LEFT(B26,FIND("],",B26)),B26)</f>
        <v>[effect:fix_speed, target:myself, turn:1]</v>
      </c>
      <c r="H26" s="63">
        <f t="shared" ref="H26:H28" si="194">FIND("effect:",G26)+7</f>
        <v>9</v>
      </c>
      <c r="I26" s="63">
        <f t="shared" ref="I26:I28" si="195">IFERROR(FIND(",",G26),LEN(G26))</f>
        <v>18</v>
      </c>
      <c r="J26" s="63">
        <f t="shared" ref="J26:J28" si="196">FIND("target:",G26)+7</f>
        <v>27</v>
      </c>
      <c r="K26" s="63">
        <f t="shared" ref="K26:K28" si="197">FIND(",",G26,I26+1)</f>
        <v>33</v>
      </c>
      <c r="L26" s="63" t="str">
        <f>IFERROR(VLOOKUP(MID(G26,J26,K26-J26),[5]skilldef!$C:$D,2,FALSE),"-") &amp; " / " &amp; IFERROR(VLOOKUP(MID(G26,H26,I26-H26),[5]skilldef!$A:$B,2,FALSE),"-")</f>
        <v>自分自身に / 行動値設定</v>
      </c>
      <c r="M26" s="63" t="str">
        <f t="shared" ref="M26:M28" si="198">IFERROR(RIGHT(B26,LEN(B26)-FIND("],",B26)-1),"none")</f>
        <v>none</v>
      </c>
      <c r="N26" s="48" t="str">
        <f>IFERROR(LEFT(M26,FIND("],",M26)+S54),M26)</f>
        <v>none</v>
      </c>
      <c r="O26" s="63" t="e">
        <f t="shared" ref="O26:O28" si="199">FIND("effect:",N26)+7</f>
        <v>#VALUE!</v>
      </c>
      <c r="P26" s="63">
        <f t="shared" ref="P26:P28" si="200">IFERROR(FIND(",",N26),LEN(N26))</f>
        <v>4</v>
      </c>
      <c r="Q26" s="63" t="e">
        <f t="shared" ref="Q26:Q28" si="201">FIND("target:",N26)+7</f>
        <v>#VALUE!</v>
      </c>
      <c r="R26" s="63" t="e">
        <f t="shared" ref="R26:R28" si="202">FIND(",",N26,P26+1)</f>
        <v>#VALUE!</v>
      </c>
      <c r="S26" s="63" t="str">
        <f>IFERROR(VLOOKUP(MID(N26,Q26,R26-Q26),[5]skilldef!$C:$D,2,FALSE),"-") &amp; " / " &amp; IFERROR(VLOOKUP(MID(N26,O26,P26-O26),[5]skilldef!$A:$B,2,FALSE),"-")</f>
        <v>- / -</v>
      </c>
      <c r="T26" s="48" t="str">
        <f t="shared" ref="T26:T28" si="203">IFERROR(RIGHT(M26,LEN(M26)-FIND("],",M26)-1),"none")</f>
        <v>none</v>
      </c>
      <c r="U26" s="63" t="e">
        <f t="shared" ref="U26:U28" si="204">FIND("effect:",T26)+7</f>
        <v>#VALUE!</v>
      </c>
      <c r="V26" s="63">
        <f t="shared" ref="V26:V28" si="205">IFERROR(FIND(",",T26),LEN(T26))</f>
        <v>4</v>
      </c>
      <c r="W26" s="63" t="e">
        <f t="shared" ref="W26:W28" si="206">FIND("target:",T26)+7</f>
        <v>#VALUE!</v>
      </c>
      <c r="X26" s="63" t="e">
        <f t="shared" ref="X26:X28" si="207">FIND(",",T26,V26+1)</f>
        <v>#VALUE!</v>
      </c>
      <c r="Y26" s="63" t="str">
        <f>IFERROR(VLOOKUP(MID(T26,W26,X26-W26),[5]skilldef!$C:$D,2,FALSE),"-") &amp; " / " &amp; IFERROR(VLOOKUP(MID(T26,U26,V26-U26),[5]skilldef!$A:$B,2,FALSE),"-")</f>
        <v>- / -</v>
      </c>
      <c r="Z26" s="50"/>
      <c r="AA26" s="52"/>
      <c r="AB26" s="50"/>
    </row>
    <row r="27" spans="1:28" ht="21" customHeight="1">
      <c r="A27" s="62">
        <v>112171131</v>
      </c>
      <c r="B27" s="47" t="s">
        <v>229</v>
      </c>
      <c r="C27" s="50">
        <v>3</v>
      </c>
      <c r="D27" s="50" t="s">
        <v>128</v>
      </c>
      <c r="E27" s="51" t="s">
        <v>274</v>
      </c>
      <c r="F27" s="51" t="s">
        <v>275</v>
      </c>
      <c r="G27" s="63" t="str">
        <f t="shared" ref="G27" si="208">IFERROR(LEFT(B27,FIND("],",B27)),B27)</f>
        <v>[effect:fix_speed, target:myself, turn:1]</v>
      </c>
      <c r="H27" s="63">
        <f t="shared" ref="H27" si="209">FIND("effect:",G27)+7</f>
        <v>9</v>
      </c>
      <c r="I27" s="63">
        <f t="shared" ref="I27" si="210">IFERROR(FIND(",",G27),LEN(G27))</f>
        <v>18</v>
      </c>
      <c r="J27" s="63">
        <f t="shared" ref="J27" si="211">FIND("target:",G27)+7</f>
        <v>27</v>
      </c>
      <c r="K27" s="63">
        <f t="shared" ref="K27" si="212">FIND(",",G27,I27+1)</f>
        <v>33</v>
      </c>
      <c r="L27" s="63" t="str">
        <f>IFERROR(VLOOKUP(MID(G27,J27,K27-J27),[5]skilldef!$C:$D,2,FALSE),"-") &amp; " / " &amp; IFERROR(VLOOKUP(MID(G27,H27,I27-H27),[5]skilldef!$A:$B,2,FALSE),"-")</f>
        <v>自分自身に / 行動値設定</v>
      </c>
      <c r="M27" s="63" t="str">
        <f t="shared" ref="M27" si="213">IFERROR(RIGHT(B27,LEN(B27)-FIND("],",B27)-1),"none")</f>
        <v>none</v>
      </c>
      <c r="N27" s="48" t="str">
        <f>IFERROR(LEFT(M27,FIND("],",M27)+S55),M27)</f>
        <v>none</v>
      </c>
      <c r="O27" s="63" t="e">
        <f t="shared" ref="O27" si="214">FIND("effect:",N27)+7</f>
        <v>#VALUE!</v>
      </c>
      <c r="P27" s="63">
        <f t="shared" ref="P27" si="215">IFERROR(FIND(",",N27),LEN(N27))</f>
        <v>4</v>
      </c>
      <c r="Q27" s="63" t="e">
        <f t="shared" ref="Q27" si="216">FIND("target:",N27)+7</f>
        <v>#VALUE!</v>
      </c>
      <c r="R27" s="63" t="e">
        <f t="shared" ref="R27" si="217">FIND(",",N27,P27+1)</f>
        <v>#VALUE!</v>
      </c>
      <c r="S27" s="63" t="str">
        <f>IFERROR(VLOOKUP(MID(N27,Q27,R27-Q27),[5]skilldef!$C:$D,2,FALSE),"-") &amp; " / " &amp; IFERROR(VLOOKUP(MID(N27,O27,P27-O27),[5]skilldef!$A:$B,2,FALSE),"-")</f>
        <v>- / -</v>
      </c>
      <c r="T27" s="48" t="str">
        <f t="shared" ref="T27" si="218">IFERROR(RIGHT(M27,LEN(M27)-FIND("],",M27)-1),"none")</f>
        <v>none</v>
      </c>
      <c r="U27" s="63" t="e">
        <f t="shared" ref="U27" si="219">FIND("effect:",T27)+7</f>
        <v>#VALUE!</v>
      </c>
      <c r="V27" s="63">
        <f t="shared" ref="V27" si="220">IFERROR(FIND(",",T27),LEN(T27))</f>
        <v>4</v>
      </c>
      <c r="W27" s="63" t="e">
        <f t="shared" ref="W27" si="221">FIND("target:",T27)+7</f>
        <v>#VALUE!</v>
      </c>
      <c r="X27" s="63" t="e">
        <f t="shared" ref="X27" si="222">FIND(",",T27,V27+1)</f>
        <v>#VALUE!</v>
      </c>
      <c r="Y27" s="63" t="str">
        <f>IFERROR(VLOOKUP(MID(T27,W27,X27-W27),[5]skilldef!$C:$D,2,FALSE),"-") &amp; " / " &amp; IFERROR(VLOOKUP(MID(T27,U27,V27-U27),[5]skilldef!$A:$B,2,FALSE),"-")</f>
        <v>- / -</v>
      </c>
      <c r="Z27" s="50"/>
      <c r="AA27" s="52"/>
      <c r="AB27" s="50"/>
    </row>
    <row r="28" spans="1:28" ht="21" customHeight="1">
      <c r="A28" s="62">
        <v>112171140</v>
      </c>
      <c r="B28" s="47" t="s">
        <v>281</v>
      </c>
      <c r="C28" s="50">
        <v>3</v>
      </c>
      <c r="D28" s="50" t="s">
        <v>128</v>
      </c>
      <c r="E28" s="51" t="s">
        <v>263</v>
      </c>
      <c r="F28" s="51" t="s">
        <v>266</v>
      </c>
      <c r="G28" s="63" t="str">
        <f t="shared" si="193"/>
        <v>[effect:fix_speed, target:myself, turn:1][effect:force_change_block, new_block:block_yellow, target:block_all, count:46, val:0][effect:force_change_block, new_block:crack_bomb, target:block_all, color:block_heart, count:1, val:46, animation:change_block]</v>
      </c>
      <c r="H28" s="63">
        <f t="shared" si="194"/>
        <v>9</v>
      </c>
      <c r="I28" s="63">
        <f t="shared" si="195"/>
        <v>18</v>
      </c>
      <c r="J28" s="63">
        <f t="shared" si="196"/>
        <v>27</v>
      </c>
      <c r="K28" s="63">
        <f t="shared" si="197"/>
        <v>33</v>
      </c>
      <c r="L28" s="63" t="str">
        <f>IFERROR(VLOOKUP(MID(G28,J28,K28-J28),[5]skilldef!$C:$D,2,FALSE),"-") &amp; " / " &amp; IFERROR(VLOOKUP(MID(G28,H28,I28-H28),[5]skilldef!$A:$B,2,FALSE),"-")</f>
        <v>自分自身に / 行動値設定</v>
      </c>
      <c r="M28" s="63" t="str">
        <f t="shared" si="198"/>
        <v>none</v>
      </c>
      <c r="N28" s="48" t="str">
        <f>IFERROR(LEFT(M28,FIND("],",M28)+S55),M28)</f>
        <v>none</v>
      </c>
      <c r="O28" s="63" t="e">
        <f t="shared" si="199"/>
        <v>#VALUE!</v>
      </c>
      <c r="P28" s="63">
        <f t="shared" si="200"/>
        <v>4</v>
      </c>
      <c r="Q28" s="63" t="e">
        <f t="shared" si="201"/>
        <v>#VALUE!</v>
      </c>
      <c r="R28" s="63" t="e">
        <f t="shared" si="202"/>
        <v>#VALUE!</v>
      </c>
      <c r="S28" s="63" t="str">
        <f>IFERROR(VLOOKUP(MID(N28,Q28,R28-Q28),[5]skilldef!$C:$D,2,FALSE),"-") &amp; " / " &amp; IFERROR(VLOOKUP(MID(N28,O28,P28-O28),[5]skilldef!$A:$B,2,FALSE),"-")</f>
        <v>- / -</v>
      </c>
      <c r="T28" s="48" t="str">
        <f t="shared" si="203"/>
        <v>none</v>
      </c>
      <c r="U28" s="63" t="e">
        <f t="shared" si="204"/>
        <v>#VALUE!</v>
      </c>
      <c r="V28" s="63">
        <f t="shared" si="205"/>
        <v>4</v>
      </c>
      <c r="W28" s="63" t="e">
        <f t="shared" si="206"/>
        <v>#VALUE!</v>
      </c>
      <c r="X28" s="63" t="e">
        <f t="shared" si="207"/>
        <v>#VALUE!</v>
      </c>
      <c r="Y28" s="63" t="str">
        <f>IFERROR(VLOOKUP(MID(T28,W28,X28-W28),[5]skilldef!$C:$D,2,FALSE),"-") &amp; " / " &amp; IFERROR(VLOOKUP(MID(T28,U28,V28-U28),[5]skilldef!$A:$B,2,FALSE),"-")</f>
        <v>- / -</v>
      </c>
      <c r="Z28" s="50"/>
      <c r="AA28" s="52"/>
      <c r="AB28" s="50"/>
    </row>
    <row r="29" spans="1:28" ht="21" customHeight="1">
      <c r="A29" s="62">
        <v>112171141</v>
      </c>
      <c r="B29" s="47" t="s">
        <v>229</v>
      </c>
      <c r="C29" s="50">
        <v>3</v>
      </c>
      <c r="D29" s="50" t="s">
        <v>128</v>
      </c>
      <c r="E29" s="51" t="s">
        <v>276</v>
      </c>
      <c r="F29" s="51" t="s">
        <v>275</v>
      </c>
      <c r="G29" s="63" t="str">
        <f t="shared" ref="G29" si="223">IFERROR(LEFT(B29,FIND("],",B29)),B29)</f>
        <v>[effect:fix_speed, target:myself, turn:1]</v>
      </c>
      <c r="H29" s="63">
        <f t="shared" ref="H29" si="224">FIND("effect:",G29)+7</f>
        <v>9</v>
      </c>
      <c r="I29" s="63">
        <f t="shared" ref="I29" si="225">IFERROR(FIND(",",G29),LEN(G29))</f>
        <v>18</v>
      </c>
      <c r="J29" s="63">
        <f t="shared" ref="J29" si="226">FIND("target:",G29)+7</f>
        <v>27</v>
      </c>
      <c r="K29" s="63">
        <f t="shared" ref="K29" si="227">FIND(",",G29,I29+1)</f>
        <v>33</v>
      </c>
      <c r="L29" s="63" t="str">
        <f>IFERROR(VLOOKUP(MID(G29,J29,K29-J29),[5]skilldef!$C:$D,2,FALSE),"-") &amp; " / " &amp; IFERROR(VLOOKUP(MID(G29,H29,I29-H29),[5]skilldef!$A:$B,2,FALSE),"-")</f>
        <v>自分自身に / 行動値設定</v>
      </c>
      <c r="M29" s="63" t="str">
        <f t="shared" ref="M29" si="228">IFERROR(RIGHT(B29,LEN(B29)-FIND("],",B29)-1),"none")</f>
        <v>none</v>
      </c>
      <c r="N29" s="48" t="str">
        <f>IFERROR(LEFT(M29,FIND("],",M29)+S56),M29)</f>
        <v>none</v>
      </c>
      <c r="O29" s="63" t="e">
        <f t="shared" ref="O29" si="229">FIND("effect:",N29)+7</f>
        <v>#VALUE!</v>
      </c>
      <c r="P29" s="63">
        <f t="shared" ref="P29" si="230">IFERROR(FIND(",",N29),LEN(N29))</f>
        <v>4</v>
      </c>
      <c r="Q29" s="63" t="e">
        <f t="shared" ref="Q29" si="231">FIND("target:",N29)+7</f>
        <v>#VALUE!</v>
      </c>
      <c r="R29" s="63" t="e">
        <f t="shared" ref="R29" si="232">FIND(",",N29,P29+1)</f>
        <v>#VALUE!</v>
      </c>
      <c r="S29" s="63" t="str">
        <f>IFERROR(VLOOKUP(MID(N29,Q29,R29-Q29),[5]skilldef!$C:$D,2,FALSE),"-") &amp; " / " &amp; IFERROR(VLOOKUP(MID(N29,O29,P29-O29),[5]skilldef!$A:$B,2,FALSE),"-")</f>
        <v>- / -</v>
      </c>
      <c r="T29" s="48" t="str">
        <f t="shared" ref="T29" si="233">IFERROR(RIGHT(M29,LEN(M29)-FIND("],",M29)-1),"none")</f>
        <v>none</v>
      </c>
      <c r="U29" s="63" t="e">
        <f t="shared" ref="U29" si="234">FIND("effect:",T29)+7</f>
        <v>#VALUE!</v>
      </c>
      <c r="V29" s="63">
        <f t="shared" ref="V29" si="235">IFERROR(FIND(",",T29),LEN(T29))</f>
        <v>4</v>
      </c>
      <c r="W29" s="63" t="e">
        <f t="shared" ref="W29" si="236">FIND("target:",T29)+7</f>
        <v>#VALUE!</v>
      </c>
      <c r="X29" s="63" t="e">
        <f t="shared" ref="X29" si="237">FIND(",",T29,V29+1)</f>
        <v>#VALUE!</v>
      </c>
      <c r="Y29" s="63" t="str">
        <f>IFERROR(VLOOKUP(MID(T29,W29,X29-W29),[5]skilldef!$C:$D,2,FALSE),"-") &amp; " / " &amp; IFERROR(VLOOKUP(MID(T29,U29,V29-U29),[5]skilldef!$A:$B,2,FALSE),"-")</f>
        <v>- / -</v>
      </c>
      <c r="Z29" s="50"/>
      <c r="AA29" s="52"/>
      <c r="AB29" s="50"/>
    </row>
    <row r="30" spans="1:28" ht="21" customHeight="1">
      <c r="A30" s="62">
        <v>112171150</v>
      </c>
      <c r="B30" s="104" t="s">
        <v>282</v>
      </c>
      <c r="C30" s="50">
        <v>3</v>
      </c>
      <c r="D30" s="50" t="s">
        <v>128</v>
      </c>
      <c r="E30" s="51" t="s">
        <v>264</v>
      </c>
      <c r="F30" s="51" t="s">
        <v>265</v>
      </c>
      <c r="G30" s="63" t="str">
        <f t="shared" ref="G30" si="238">IFERROR(LEFT(B30,FIND("],",B30)),B30)</f>
        <v>[effect:kamikaze, val:0]</v>
      </c>
      <c r="H30" s="63">
        <f t="shared" ref="H30" si="239">FIND("effect:",G30)+7</f>
        <v>9</v>
      </c>
      <c r="I30" s="63">
        <f t="shared" ref="I30" si="240">IFERROR(FIND(",",G30),LEN(G30))</f>
        <v>17</v>
      </c>
      <c r="J30" s="63" t="e">
        <f t="shared" ref="J30" si="241">FIND("target:",G30)+7</f>
        <v>#VALUE!</v>
      </c>
      <c r="K30" s="63" t="e">
        <f t="shared" ref="K30" si="242">FIND(",",G30,I30+1)</f>
        <v>#VALUE!</v>
      </c>
      <c r="L30" s="63" t="str">
        <f>IFERROR(VLOOKUP(MID(G30,J30,K30-J30),[5]skilldef!$C:$D,2,FALSE),"-") &amp; " / " &amp; IFERROR(VLOOKUP(MID(G30,H30,I30-H30),[5]skilldef!$A:$B,2,FALSE),"-")</f>
        <v>- / 自爆</v>
      </c>
      <c r="M30" s="63" t="str">
        <f t="shared" ref="M30" si="243">IFERROR(RIGHT(B30,LEN(B30)-FIND("],",B30)-1),"none")</f>
        <v>none</v>
      </c>
      <c r="N30" s="48" t="str">
        <f>IFERROR(LEFT(M30,FIND("],",M30)+S56),M30)</f>
        <v>none</v>
      </c>
      <c r="O30" s="63" t="e">
        <f t="shared" ref="O30" si="244">FIND("effect:",N30)+7</f>
        <v>#VALUE!</v>
      </c>
      <c r="P30" s="63">
        <f t="shared" ref="P30" si="245">IFERROR(FIND(",",N30),LEN(N30))</f>
        <v>4</v>
      </c>
      <c r="Q30" s="63" t="e">
        <f t="shared" ref="Q30" si="246">FIND("target:",N30)+7</f>
        <v>#VALUE!</v>
      </c>
      <c r="R30" s="63" t="e">
        <f t="shared" ref="R30" si="247">FIND(",",N30,P30+1)</f>
        <v>#VALUE!</v>
      </c>
      <c r="S30" s="63" t="str">
        <f>IFERROR(VLOOKUP(MID(N30,Q30,R30-Q30),[5]skilldef!$C:$D,2,FALSE),"-") &amp; " / " &amp; IFERROR(VLOOKUP(MID(N30,O30,P30-O30),[5]skilldef!$A:$B,2,FALSE),"-")</f>
        <v>- / -</v>
      </c>
      <c r="T30" s="48" t="str">
        <f t="shared" ref="T30" si="248">IFERROR(RIGHT(M30,LEN(M30)-FIND("],",M30)-1),"none")</f>
        <v>none</v>
      </c>
      <c r="U30" s="63" t="e">
        <f t="shared" ref="U30" si="249">FIND("effect:",T30)+7</f>
        <v>#VALUE!</v>
      </c>
      <c r="V30" s="63">
        <f t="shared" ref="V30" si="250">IFERROR(FIND(",",T30),LEN(T30))</f>
        <v>4</v>
      </c>
      <c r="W30" s="63" t="e">
        <f t="shared" ref="W30" si="251">FIND("target:",T30)+7</f>
        <v>#VALUE!</v>
      </c>
      <c r="X30" s="63" t="e">
        <f t="shared" ref="X30" si="252">FIND(",",T30,V30+1)</f>
        <v>#VALUE!</v>
      </c>
      <c r="Y30" s="63" t="str">
        <f>IFERROR(VLOOKUP(MID(T30,W30,X30-W30),[5]skilldef!$C:$D,2,FALSE),"-") &amp; " / " &amp; IFERROR(VLOOKUP(MID(T30,U30,V30-U30),[5]skilldef!$A:$B,2,FALSE),"-")</f>
        <v>- / -</v>
      </c>
      <c r="Z30" s="50"/>
      <c r="AA30" s="52"/>
      <c r="AB30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8"/>
  <sheetViews>
    <sheetView showGridLines="0" zoomScale="75" zoomScaleNormal="75" zoomScalePageLayoutView="75" workbookViewId="0">
      <pane ySplit="1" topLeftCell="A2" activePane="bottomLeft" state="frozenSplit"/>
      <selection pane="bottomLeft" activeCell="G17" sqref="G17"/>
    </sheetView>
  </sheetViews>
  <sheetFormatPr baseColWidth="12" defaultColWidth="12.83203125" defaultRowHeight="21" customHeight="1" x14ac:dyDescent="0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>
      <c r="A2" s="62">
        <v>112161100</v>
      </c>
      <c r="B2" s="47">
        <v>1</v>
      </c>
      <c r="C2" s="47" t="s">
        <v>89</v>
      </c>
      <c r="D2" s="47">
        <v>100</v>
      </c>
      <c r="E2" s="47" t="s">
        <v>207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>
      <c r="A3" s="62">
        <v>112161200</v>
      </c>
      <c r="B3" s="47">
        <v>0</v>
      </c>
      <c r="C3" s="47" t="s">
        <v>53</v>
      </c>
      <c r="D3" s="47">
        <v>100</v>
      </c>
      <c r="E3" s="47" t="s">
        <v>207</v>
      </c>
      <c r="F3" s="47" t="s">
        <v>53</v>
      </c>
      <c r="G3" s="47">
        <v>1</v>
      </c>
      <c r="H3" s="47" t="s">
        <v>53</v>
      </c>
      <c r="I3" s="47">
        <v>94</v>
      </c>
      <c r="J3" s="48">
        <f t="shared" ref="J3:J4" si="1">D3</f>
        <v>100</v>
      </c>
    </row>
    <row r="4" spans="1:11" ht="21" customHeight="1">
      <c r="A4" s="62">
        <v>112161210</v>
      </c>
      <c r="B4" s="47">
        <v>0</v>
      </c>
      <c r="C4" s="47" t="s">
        <v>53</v>
      </c>
      <c r="D4" s="47">
        <v>100</v>
      </c>
      <c r="E4" s="47" t="s">
        <v>207</v>
      </c>
      <c r="F4" s="47" t="s">
        <v>53</v>
      </c>
      <c r="G4" s="47">
        <v>1</v>
      </c>
      <c r="H4" s="47" t="s">
        <v>53</v>
      </c>
      <c r="I4" s="47" t="s">
        <v>53</v>
      </c>
      <c r="J4" s="48">
        <f t="shared" si="1"/>
        <v>100</v>
      </c>
    </row>
    <row r="5" spans="1:11" ht="21" customHeight="1">
      <c r="A5" s="62">
        <v>112161300</v>
      </c>
      <c r="B5" s="47">
        <v>0</v>
      </c>
      <c r="C5" s="47" t="s">
        <v>53</v>
      </c>
      <c r="D5" s="47">
        <v>100</v>
      </c>
      <c r="E5" s="47" t="s">
        <v>207</v>
      </c>
      <c r="F5" s="47" t="s">
        <v>53</v>
      </c>
      <c r="G5" s="47">
        <v>1</v>
      </c>
      <c r="H5" s="47" t="s">
        <v>53</v>
      </c>
      <c r="I5" s="47">
        <v>91</v>
      </c>
      <c r="J5" s="48">
        <f t="shared" ref="J5:J10" si="2">D5</f>
        <v>100</v>
      </c>
    </row>
    <row r="6" spans="1:11" ht="21" customHeight="1">
      <c r="A6" s="62">
        <v>112161309</v>
      </c>
      <c r="B6" s="47">
        <v>1</v>
      </c>
      <c r="C6" s="47" t="s">
        <v>53</v>
      </c>
      <c r="D6" s="47">
        <v>100</v>
      </c>
      <c r="E6" s="47" t="s">
        <v>53</v>
      </c>
      <c r="F6" s="47" t="s">
        <v>53</v>
      </c>
      <c r="G6" s="47">
        <v>1</v>
      </c>
      <c r="H6" s="47" t="s">
        <v>53</v>
      </c>
      <c r="I6" s="47" t="s">
        <v>210</v>
      </c>
      <c r="J6" s="48">
        <f t="shared" ref="J6" si="3">D6</f>
        <v>100</v>
      </c>
    </row>
    <row r="7" spans="1:11" ht="21" customHeight="1">
      <c r="A7" s="62">
        <v>112161310</v>
      </c>
      <c r="B7" s="47">
        <v>0</v>
      </c>
      <c r="C7" s="47" t="s">
        <v>53</v>
      </c>
      <c r="D7" s="47">
        <v>100</v>
      </c>
      <c r="E7" s="47" t="s">
        <v>207</v>
      </c>
      <c r="F7" s="47" t="s">
        <v>53</v>
      </c>
      <c r="G7" s="47">
        <v>1</v>
      </c>
      <c r="H7" s="47" t="s">
        <v>53</v>
      </c>
      <c r="I7" s="47" t="s">
        <v>53</v>
      </c>
      <c r="J7" s="48">
        <f t="shared" si="2"/>
        <v>100</v>
      </c>
    </row>
    <row r="8" spans="1:11" ht="21" customHeight="1">
      <c r="A8" s="62">
        <v>112161320</v>
      </c>
      <c r="B8" s="47">
        <v>0</v>
      </c>
      <c r="C8" s="47" t="s">
        <v>53</v>
      </c>
      <c r="D8" s="47">
        <v>100</v>
      </c>
      <c r="E8" s="47" t="s">
        <v>53</v>
      </c>
      <c r="F8" s="47" t="s">
        <v>53</v>
      </c>
      <c r="G8" s="47">
        <v>1</v>
      </c>
      <c r="H8" s="47" t="s">
        <v>53</v>
      </c>
      <c r="I8" s="47" t="s">
        <v>53</v>
      </c>
      <c r="J8" s="48">
        <f t="shared" ref="J8" si="4">D8</f>
        <v>100</v>
      </c>
    </row>
    <row r="9" spans="1:11" ht="21" customHeight="1">
      <c r="A9" s="62">
        <v>112161400</v>
      </c>
      <c r="B9" s="47">
        <v>0</v>
      </c>
      <c r="C9" s="47" t="s">
        <v>53</v>
      </c>
      <c r="D9" s="47">
        <v>100</v>
      </c>
      <c r="E9" s="47" t="s">
        <v>207</v>
      </c>
      <c r="F9" s="47" t="s">
        <v>53</v>
      </c>
      <c r="G9" s="47">
        <v>1</v>
      </c>
      <c r="H9" s="47" t="s">
        <v>53</v>
      </c>
      <c r="I9" s="47">
        <v>264</v>
      </c>
      <c r="J9" s="48">
        <f t="shared" si="2"/>
        <v>100</v>
      </c>
    </row>
    <row r="10" spans="1:11" ht="21" customHeight="1">
      <c r="A10" s="62">
        <v>112161410</v>
      </c>
      <c r="B10" s="47">
        <v>0</v>
      </c>
      <c r="C10" s="47" t="s">
        <v>53</v>
      </c>
      <c r="D10" s="47">
        <v>100</v>
      </c>
      <c r="E10" s="47" t="s">
        <v>207</v>
      </c>
      <c r="F10" s="47" t="s">
        <v>53</v>
      </c>
      <c r="G10" s="47">
        <v>1</v>
      </c>
      <c r="H10" s="47" t="s">
        <v>53</v>
      </c>
      <c r="I10" s="47" t="s">
        <v>53</v>
      </c>
      <c r="J10" s="48">
        <f t="shared" si="2"/>
        <v>100</v>
      </c>
    </row>
    <row r="11" spans="1:11" ht="21" customHeight="1">
      <c r="A11" s="62">
        <v>112161500</v>
      </c>
      <c r="B11" s="47">
        <v>0</v>
      </c>
      <c r="C11" s="47" t="s">
        <v>53</v>
      </c>
      <c r="D11" s="47">
        <v>100</v>
      </c>
      <c r="E11" s="47" t="s">
        <v>207</v>
      </c>
      <c r="F11" s="47" t="s">
        <v>53</v>
      </c>
      <c r="G11" s="47">
        <v>1</v>
      </c>
      <c r="H11" s="47" t="s">
        <v>53</v>
      </c>
      <c r="I11" s="47" t="s">
        <v>53</v>
      </c>
      <c r="J11" s="48">
        <f t="shared" ref="J11" si="5">D11</f>
        <v>100</v>
      </c>
    </row>
    <row r="12" spans="1:11" ht="21" customHeight="1">
      <c r="A12" s="62">
        <v>112161510</v>
      </c>
      <c r="B12" s="47">
        <v>0</v>
      </c>
      <c r="C12" s="47" t="s">
        <v>53</v>
      </c>
      <c r="D12" s="47">
        <v>100</v>
      </c>
      <c r="E12" s="47" t="s">
        <v>53</v>
      </c>
      <c r="F12" s="47" t="s">
        <v>53</v>
      </c>
      <c r="G12" s="47">
        <v>1</v>
      </c>
      <c r="H12" s="47" t="s">
        <v>53</v>
      </c>
      <c r="I12" s="47" t="s">
        <v>53</v>
      </c>
      <c r="J12" s="48">
        <f t="shared" ref="J12:J13" si="6">D12</f>
        <v>100</v>
      </c>
    </row>
    <row r="13" spans="1:11" ht="21" customHeight="1">
      <c r="A13" s="62">
        <v>112161520</v>
      </c>
      <c r="B13" s="47">
        <v>0</v>
      </c>
      <c r="C13" s="47" t="s">
        <v>53</v>
      </c>
      <c r="D13" s="47">
        <v>100</v>
      </c>
      <c r="E13" s="47" t="s">
        <v>53</v>
      </c>
      <c r="F13" s="47" t="s">
        <v>53</v>
      </c>
      <c r="G13" s="47">
        <v>1</v>
      </c>
      <c r="H13" s="47" t="s">
        <v>53</v>
      </c>
      <c r="I13" s="47" t="s">
        <v>53</v>
      </c>
      <c r="J13" s="48">
        <f t="shared" si="6"/>
        <v>100</v>
      </c>
    </row>
    <row r="14" spans="1:11" ht="21" customHeight="1">
      <c r="A14" s="62">
        <v>112161530</v>
      </c>
      <c r="B14" s="47">
        <v>1</v>
      </c>
      <c r="C14" s="47" t="s">
        <v>53</v>
      </c>
      <c r="D14" s="47">
        <v>100</v>
      </c>
      <c r="E14" s="47" t="s">
        <v>53</v>
      </c>
      <c r="F14" s="47" t="s">
        <v>53</v>
      </c>
      <c r="G14" s="47">
        <v>1</v>
      </c>
      <c r="H14" s="47" t="s">
        <v>53</v>
      </c>
      <c r="I14" s="47" t="s">
        <v>53</v>
      </c>
      <c r="J14" s="48">
        <f t="shared" ref="J14" si="7">D14</f>
        <v>100</v>
      </c>
    </row>
    <row r="15" spans="1:11" ht="21" customHeight="1">
      <c r="A15" s="62">
        <v>112171100</v>
      </c>
      <c r="B15" s="47">
        <v>1</v>
      </c>
      <c r="C15" s="47">
        <v>3</v>
      </c>
      <c r="D15" s="47">
        <v>100</v>
      </c>
      <c r="E15" s="47" t="s">
        <v>53</v>
      </c>
      <c r="F15" s="47" t="s">
        <v>53</v>
      </c>
      <c r="G15" s="47">
        <v>1</v>
      </c>
      <c r="H15" s="47" t="s">
        <v>53</v>
      </c>
      <c r="I15" s="47" t="s">
        <v>53</v>
      </c>
      <c r="J15" s="48">
        <f t="shared" ref="J15" si="8">D15</f>
        <v>100</v>
      </c>
    </row>
    <row r="16" spans="1:11" ht="21" customHeight="1">
      <c r="A16" s="62">
        <v>112171101</v>
      </c>
      <c r="B16" s="47">
        <v>0</v>
      </c>
      <c r="C16" s="47">
        <v>2</v>
      </c>
      <c r="D16" s="47">
        <v>100</v>
      </c>
      <c r="E16" s="47" t="s">
        <v>53</v>
      </c>
      <c r="F16" s="47" t="s">
        <v>53</v>
      </c>
      <c r="G16" s="47">
        <v>1</v>
      </c>
      <c r="H16" s="47" t="s">
        <v>53</v>
      </c>
      <c r="I16" s="47" t="s">
        <v>53</v>
      </c>
      <c r="J16" s="48">
        <f t="shared" ref="J16:J17" si="9">D16</f>
        <v>100</v>
      </c>
    </row>
    <row r="17" spans="1:10" ht="21" customHeight="1">
      <c r="A17" s="62">
        <v>112171108</v>
      </c>
      <c r="B17" s="47">
        <v>0</v>
      </c>
      <c r="C17" s="47">
        <v>1</v>
      </c>
      <c r="D17" s="47">
        <v>100</v>
      </c>
      <c r="E17" s="47" t="s">
        <v>53</v>
      </c>
      <c r="F17" s="47" t="s">
        <v>53</v>
      </c>
      <c r="G17" s="47" t="s">
        <v>279</v>
      </c>
      <c r="H17" s="47" t="s">
        <v>53</v>
      </c>
      <c r="I17" s="47" t="s">
        <v>53</v>
      </c>
      <c r="J17" s="48">
        <f t="shared" si="9"/>
        <v>100</v>
      </c>
    </row>
    <row r="18" spans="1:10" ht="21" customHeight="1">
      <c r="A18" s="62">
        <v>112171109</v>
      </c>
      <c r="B18" s="47">
        <v>0</v>
      </c>
      <c r="C18" s="47">
        <v>1</v>
      </c>
      <c r="D18" s="47">
        <v>100</v>
      </c>
      <c r="E18" s="47" t="s">
        <v>53</v>
      </c>
      <c r="F18" s="47" t="s">
        <v>53</v>
      </c>
      <c r="G18" s="47">
        <v>1</v>
      </c>
      <c r="H18" s="47" t="s">
        <v>53</v>
      </c>
      <c r="I18" s="47" t="s">
        <v>53</v>
      </c>
      <c r="J18" s="48">
        <f t="shared" ref="J18" si="10">D18</f>
        <v>100</v>
      </c>
    </row>
  </sheetData>
  <autoFilter ref="A1:G1"/>
  <phoneticPr fontId="5"/>
  <conditionalFormatting sqref="K19:K1048576 K1:K2">
    <cfRule type="duplicateValues" dxfId="16" priority="17"/>
  </conditionalFormatting>
  <conditionalFormatting sqref="K3">
    <cfRule type="duplicateValues" dxfId="15" priority="16"/>
  </conditionalFormatting>
  <conditionalFormatting sqref="K4">
    <cfRule type="duplicateValues" dxfId="14" priority="15"/>
  </conditionalFormatting>
  <conditionalFormatting sqref="K5">
    <cfRule type="duplicateValues" dxfId="13" priority="14"/>
  </conditionalFormatting>
  <conditionalFormatting sqref="K7">
    <cfRule type="duplicateValues" dxfId="12" priority="13"/>
  </conditionalFormatting>
  <conditionalFormatting sqref="K9">
    <cfRule type="duplicateValues" dxfId="11" priority="12"/>
  </conditionalFormatting>
  <conditionalFormatting sqref="K10">
    <cfRule type="duplicateValues" dxfId="10" priority="11"/>
  </conditionalFormatting>
  <conditionalFormatting sqref="K11">
    <cfRule type="duplicateValues" dxfId="9" priority="10"/>
  </conditionalFormatting>
  <conditionalFormatting sqref="K6">
    <cfRule type="duplicateValues" dxfId="8" priority="9"/>
  </conditionalFormatting>
  <conditionalFormatting sqref="K12">
    <cfRule type="duplicateValues" dxfId="7" priority="8"/>
  </conditionalFormatting>
  <conditionalFormatting sqref="K13">
    <cfRule type="duplicateValues" dxfId="6" priority="7"/>
  </conditionalFormatting>
  <conditionalFormatting sqref="K14">
    <cfRule type="duplicateValues" dxfId="5" priority="6"/>
  </conditionalFormatting>
  <conditionalFormatting sqref="K8">
    <cfRule type="duplicateValues" dxfId="4" priority="5"/>
  </conditionalFormatting>
  <conditionalFormatting sqref="K15">
    <cfRule type="duplicateValues" dxfId="3" priority="4"/>
  </conditionalFormatting>
  <conditionalFormatting sqref="K16">
    <cfRule type="duplicateValues" dxfId="2" priority="3"/>
  </conditionalFormatting>
  <conditionalFormatting sqref="K18">
    <cfRule type="duplicateValues" dxfId="1" priority="2"/>
  </conditionalFormatting>
  <conditionalFormatting sqref="K17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I2" sqref="I2"/>
    </sheetView>
  </sheetViews>
  <sheetFormatPr baseColWidth="12" defaultRowHeight="18" x14ac:dyDescent="0"/>
  <cols>
    <col min="17" max="18" width="19" bestFit="1" customWidth="1"/>
  </cols>
  <sheetData>
    <row r="1" spans="1:18">
      <c r="A1" s="64" t="s">
        <v>151</v>
      </c>
      <c r="B1" s="64" t="s">
        <v>152</v>
      </c>
      <c r="C1" s="65" t="s">
        <v>153</v>
      </c>
      <c r="D1" s="72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>
      <c r="A2" s="57">
        <f>floors!C2</f>
        <v>11216</v>
      </c>
      <c r="B2" s="57">
        <v>1</v>
      </c>
      <c r="C2" s="71" t="str">
        <f>A2&amp; "_"&amp;B2</f>
        <v>11216_1</v>
      </c>
      <c r="D2" s="11" t="str">
        <f ca="1">VLOOKUP($C2,OFFSET([2]stages!$A$1,0,0,COUNTA([2]stages!$A:$A),MATCH(D$1,[2]stages!$2:$2,0)-MATCH($C$1,[2]stages!$2:$2,0)+1),MATCH(D$1,[2]stages!$2:$2,0)-MATCH($C$1,[2]stages!$2:$2,0)+1,FALSE)</f>
        <v>multionly</v>
      </c>
      <c r="E2" s="57">
        <v>1</v>
      </c>
      <c r="F2" s="57" t="s">
        <v>209</v>
      </c>
      <c r="G2" s="57">
        <v>376</v>
      </c>
      <c r="H2" s="57">
        <v>1</v>
      </c>
      <c r="I2" s="106">
        <v>40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102">
        <v>1</v>
      </c>
      <c r="P2" s="57">
        <v>100</v>
      </c>
      <c r="Q2" s="57" t="s">
        <v>169</v>
      </c>
      <c r="R2" s="57" t="s">
        <v>170</v>
      </c>
    </row>
    <row r="3" spans="1:18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18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18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</sheetData>
  <phoneticPr fontId="5"/>
  <dataValidations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P7"/>
  <sheetViews>
    <sheetView showGridLines="0" workbookViewId="0">
      <pane ySplit="1" topLeftCell="A2" activePane="bottomLeft" state="frozen"/>
      <selection pane="bottomLeft" activeCell="N7" sqref="N7"/>
    </sheetView>
  </sheetViews>
  <sheetFormatPr baseColWidth="12" defaultColWidth="13" defaultRowHeight="18" outlineLevelCol="1" x14ac:dyDescent="0"/>
  <cols>
    <col min="2" max="2" width="13" style="95"/>
    <col min="3" max="3" width="13" collapsed="1"/>
    <col min="4" max="4" width="17" hidden="1" customWidth="1" outlineLevel="1"/>
    <col min="5" max="5" width="18.83203125" hidden="1" customWidth="1" outlineLevel="1"/>
    <col min="6" max="6" width="13" collapsed="1"/>
    <col min="7" max="7" width="22.5" hidden="1" customWidth="1" outlineLevel="1"/>
    <col min="8" max="8" width="22" hidden="1" customWidth="1" outlineLevel="1"/>
    <col min="9" max="9" width="22" customWidth="1"/>
    <col min="10" max="10" width="11.1640625" bestFit="1" customWidth="1"/>
    <col min="11" max="12" width="11.1640625" customWidth="1"/>
    <col min="13" max="13" width="22.1640625" bestFit="1" customWidth="1"/>
    <col min="14" max="14" width="34" customWidth="1"/>
  </cols>
  <sheetData>
    <row r="1" spans="1:16">
      <c r="A1" s="80" t="s">
        <v>60</v>
      </c>
      <c r="B1" s="81" t="s">
        <v>191</v>
      </c>
      <c r="C1" s="74" t="s">
        <v>192</v>
      </c>
      <c r="D1" s="82" t="s">
        <v>193</v>
      </c>
      <c r="E1" s="82" t="s">
        <v>33</v>
      </c>
      <c r="F1" s="74" t="s">
        <v>194</v>
      </c>
      <c r="G1" s="82" t="s">
        <v>195</v>
      </c>
      <c r="H1" s="82" t="s">
        <v>33</v>
      </c>
      <c r="I1" s="74" t="s">
        <v>196</v>
      </c>
      <c r="J1" s="96" t="s">
        <v>197</v>
      </c>
      <c r="K1" s="83" t="s">
        <v>198</v>
      </c>
      <c r="L1" s="84" t="s">
        <v>127</v>
      </c>
      <c r="M1" s="84" t="s">
        <v>190</v>
      </c>
      <c r="N1" s="85" t="s">
        <v>188</v>
      </c>
      <c r="O1" s="86" t="s">
        <v>199</v>
      </c>
    </row>
    <row r="2" spans="1:16" ht="81">
      <c r="A2" s="87" t="str">
        <f t="shared" ref="A2" si="0">C2&amp;"_"&amp;F2&amp;"_"&amp;J2</f>
        <v>11216_1_1</v>
      </c>
      <c r="B2" s="88" t="s">
        <v>220</v>
      </c>
      <c r="C2" s="103">
        <f>floors!$C$2</f>
        <v>11216</v>
      </c>
      <c r="D2" s="90" t="str">
        <f ca="1">VLOOKUP($C2,OFFSET([2]quests!$A$1,0,0,COUNTA([2]quests!$A:$A),MATCH(D$1,[2]quests!$1:$1,0)-MATCH($C$1,[2]quests!$1:$1,0)+1),MATCH(D$1,[2]quests!$1:$1,0)-MATCH($C$1,[2]quests!$1:$1,0)+1,FALSE)</f>
        <v>年越し★特別クエスト</v>
      </c>
      <c r="E2" s="90" t="str">
        <f ca="1">VLOOKUP($C2,OFFSET([2]quests!$A$1,0,0,COUNTA([2]quests!$A:$A),MATCH(E$1,[2]quests!$1:$1,0)-MATCH($C$1,[2]quests!$1:$1,0)+1),MATCH(E$1,[2]quests!$1:$1,0)-MATCH($C$1,[2]quests!$1:$1,0)+1,FALSE)</f>
        <v>2015年年越しクエスト</v>
      </c>
      <c r="F2" s="91">
        <v>1</v>
      </c>
      <c r="G2" s="90" t="str">
        <f ca="1">VLOOKUP($C2&amp;"_"&amp;$F2,OFFSET([2]stages!$A$1,0,0,COUNTA([2]stages!$A:$A),MATCH(G$1,[2]stages!$2:$2,0)-MATCH("temp_stage",[2]stages!$2:$2,0)+1),MATCH(G$1,[2]stages!$2:$2,0)-MATCH("temp_stage",[2]stages!$2:$2,0)+1,FALSE)</f>
        <v>【上級】年を越える宴（ハートなし）</v>
      </c>
      <c r="H2" s="90" t="str">
        <f ca="1">VLOOKUP($C2&amp;"_"&amp;$F2,OFFSET([2]stages!$A$1,0,0,COUNTA([2]stages!$A:$A),MATCH(H$1,[2]stages!$2:$2,0)-MATCH("temp_stage",[2]stages!$2:$2,0)+1),MATCH(H$1,[2]stages!$2:$2,0)-MATCH("temp_stage",[2]stages!$2:$2,0)+1,FALSE)</f>
        <v>2015年年越しクエスト</v>
      </c>
      <c r="I2" s="92">
        <v>0</v>
      </c>
      <c r="J2" s="97">
        <f t="shared" ref="J2:J7" si="1">ROW()-1</f>
        <v>1</v>
      </c>
      <c r="K2" s="93" t="str">
        <f t="shared" ref="K2:K7" si="2">C2&amp;TEXT(J2,"00")</f>
        <v>1121601</v>
      </c>
      <c r="L2" s="91" t="s">
        <v>200</v>
      </c>
      <c r="M2" s="101" t="s">
        <v>240</v>
      </c>
      <c r="N2" s="100" t="s">
        <v>255</v>
      </c>
      <c r="O2" s="57" t="s">
        <v>201</v>
      </c>
      <c r="P2">
        <f t="shared" ref="P2:P7" si="3">LEN(N2)</f>
        <v>63</v>
      </c>
    </row>
    <row r="3" spans="1:16" ht="68">
      <c r="A3" s="87" t="str">
        <f t="shared" ref="A3" si="4">C3&amp;"_"&amp;F3&amp;"_"&amp;J3</f>
        <v>11216_1_2</v>
      </c>
      <c r="B3" s="88" t="s">
        <v>220</v>
      </c>
      <c r="C3" s="103">
        <f>floors!$C$2</f>
        <v>11216</v>
      </c>
      <c r="D3" s="90" t="str">
        <f ca="1">VLOOKUP($C3,OFFSET([2]quests!$A$1,0,0,COUNTA([2]quests!$A:$A),MATCH(D$1,[2]quests!$1:$1,0)-MATCH($C$1,[2]quests!$1:$1,0)+1),MATCH(D$1,[2]quests!$1:$1,0)-MATCH($C$1,[2]quests!$1:$1,0)+1,FALSE)</f>
        <v>年越し★特別クエスト</v>
      </c>
      <c r="E3" s="90" t="str">
        <f ca="1">VLOOKUP($C3,OFFSET([2]quests!$A$1,0,0,COUNTA([2]quests!$A:$A),MATCH(E$1,[2]quests!$1:$1,0)-MATCH($C$1,[2]quests!$1:$1,0)+1),MATCH(E$1,[2]quests!$1:$1,0)-MATCH($C$1,[2]quests!$1:$1,0)+1,FALSE)</f>
        <v>2015年年越しクエスト</v>
      </c>
      <c r="F3" s="91">
        <v>1</v>
      </c>
      <c r="G3" s="90" t="str">
        <f ca="1">VLOOKUP($C3&amp;"_"&amp;$F3,OFFSET([2]stages!$A$1,0,0,COUNTA([2]stages!$A:$A),MATCH(G$1,[2]stages!$2:$2,0)-MATCH("temp_stage",[2]stages!$2:$2,0)+1),MATCH(G$1,[2]stages!$2:$2,0)-MATCH("temp_stage",[2]stages!$2:$2,0)+1,FALSE)</f>
        <v>【上級】年を越える宴（ハートなし）</v>
      </c>
      <c r="H3" s="90" t="str">
        <f ca="1">VLOOKUP($C3&amp;"_"&amp;$F3,OFFSET([2]stages!$A$1,0,0,COUNTA([2]stages!$A:$A),MATCH(H$1,[2]stages!$2:$2,0)-MATCH("temp_stage",[2]stages!$2:$2,0)+1),MATCH(H$1,[2]stages!$2:$2,0)-MATCH("temp_stage",[2]stages!$2:$2,0)+1,FALSE)</f>
        <v>2015年年越しクエスト</v>
      </c>
      <c r="I3" s="92">
        <v>0</v>
      </c>
      <c r="J3" s="97">
        <f t="shared" si="1"/>
        <v>2</v>
      </c>
      <c r="K3" s="93" t="str">
        <f t="shared" si="2"/>
        <v>1121602</v>
      </c>
      <c r="L3" s="91" t="s">
        <v>200</v>
      </c>
      <c r="M3" s="94" t="s">
        <v>234</v>
      </c>
      <c r="N3" s="100" t="s">
        <v>225</v>
      </c>
      <c r="O3" s="57" t="s">
        <v>201</v>
      </c>
      <c r="P3">
        <f t="shared" si="3"/>
        <v>62</v>
      </c>
    </row>
    <row r="4" spans="1:16" ht="55">
      <c r="A4" s="87" t="str">
        <f t="shared" ref="A4" si="5">C4&amp;"_"&amp;F4&amp;"_"&amp;J4</f>
        <v>11216_1_3</v>
      </c>
      <c r="B4" s="88" t="s">
        <v>220</v>
      </c>
      <c r="C4" s="103">
        <f>floors!$C$2</f>
        <v>11216</v>
      </c>
      <c r="D4" s="90" t="str">
        <f ca="1">VLOOKUP($C4,OFFSET([2]quests!$A$1,0,0,COUNTA([2]quests!$A:$A),MATCH(D$1,[2]quests!$1:$1,0)-MATCH($C$1,[2]quests!$1:$1,0)+1),MATCH(D$1,[2]quests!$1:$1,0)-MATCH($C$1,[2]quests!$1:$1,0)+1,FALSE)</f>
        <v>年越し★特別クエスト</v>
      </c>
      <c r="E4" s="90" t="str">
        <f ca="1">VLOOKUP($C4,OFFSET([2]quests!$A$1,0,0,COUNTA([2]quests!$A:$A),MATCH(E$1,[2]quests!$1:$1,0)-MATCH($C$1,[2]quests!$1:$1,0)+1),MATCH(E$1,[2]quests!$1:$1,0)-MATCH($C$1,[2]quests!$1:$1,0)+1,FALSE)</f>
        <v>2015年年越しクエスト</v>
      </c>
      <c r="F4" s="91">
        <v>1</v>
      </c>
      <c r="G4" s="90" t="str">
        <f ca="1">VLOOKUP($C4&amp;"_"&amp;$F4,OFFSET([2]stages!$A$1,0,0,COUNTA([2]stages!$A:$A),MATCH(G$1,[2]stages!$2:$2,0)-MATCH("temp_stage",[2]stages!$2:$2,0)+1),MATCH(G$1,[2]stages!$2:$2,0)-MATCH("temp_stage",[2]stages!$2:$2,0)+1,FALSE)</f>
        <v>【上級】年を越える宴（ハートなし）</v>
      </c>
      <c r="H4" s="90" t="str">
        <f ca="1">VLOOKUP($C4&amp;"_"&amp;$F4,OFFSET([2]stages!$A$1,0,0,COUNTA([2]stages!$A:$A),MATCH(H$1,[2]stages!$2:$2,0)-MATCH("temp_stage",[2]stages!$2:$2,0)+1),MATCH(H$1,[2]stages!$2:$2,0)-MATCH("temp_stage",[2]stages!$2:$2,0)+1,FALSE)</f>
        <v>2015年年越しクエスト</v>
      </c>
      <c r="I4" s="92">
        <v>0</v>
      </c>
      <c r="J4" s="97">
        <f t="shared" si="1"/>
        <v>3</v>
      </c>
      <c r="K4" s="93" t="str">
        <f t="shared" si="2"/>
        <v>1121603</v>
      </c>
      <c r="L4" s="91" t="s">
        <v>200</v>
      </c>
      <c r="M4" s="94" t="s">
        <v>246</v>
      </c>
      <c r="N4" s="100" t="s">
        <v>254</v>
      </c>
      <c r="O4" s="57" t="s">
        <v>201</v>
      </c>
      <c r="P4">
        <f t="shared" si="3"/>
        <v>54</v>
      </c>
    </row>
    <row r="5" spans="1:16" ht="55">
      <c r="A5" s="87" t="str">
        <f t="shared" ref="A5" si="6">C5&amp;"_"&amp;F5&amp;"_"&amp;J5</f>
        <v>11216_1_4</v>
      </c>
      <c r="B5" s="88" t="s">
        <v>247</v>
      </c>
      <c r="C5" s="103">
        <f>floors!$C$2</f>
        <v>11216</v>
      </c>
      <c r="D5" s="90" t="str">
        <f ca="1">VLOOKUP($C5,OFFSET([2]quests!$A$1,0,0,COUNTA([2]quests!$A:$A),MATCH(D$1,[2]quests!$1:$1,0)-MATCH($C$1,[2]quests!$1:$1,0)+1),MATCH(D$1,[2]quests!$1:$1,0)-MATCH($C$1,[2]quests!$1:$1,0)+1,FALSE)</f>
        <v>年越し★特別クエスト</v>
      </c>
      <c r="E5" s="90" t="str">
        <f ca="1">VLOOKUP($C5,OFFSET([2]quests!$A$1,0,0,COUNTA([2]quests!$A:$A),MATCH(E$1,[2]quests!$1:$1,0)-MATCH($C$1,[2]quests!$1:$1,0)+1),MATCH(E$1,[2]quests!$1:$1,0)-MATCH($C$1,[2]quests!$1:$1,0)+1,FALSE)</f>
        <v>2015年年越しクエスト</v>
      </c>
      <c r="F5" s="91">
        <v>1</v>
      </c>
      <c r="G5" s="90" t="str">
        <f ca="1">VLOOKUP($C5&amp;"_"&amp;$F5,OFFSET([2]stages!$A$1,0,0,COUNTA([2]stages!$A:$A),MATCH(G$1,[2]stages!$2:$2,0)-MATCH("temp_stage",[2]stages!$2:$2,0)+1),MATCH(G$1,[2]stages!$2:$2,0)-MATCH("temp_stage",[2]stages!$2:$2,0)+1,FALSE)</f>
        <v>【上級】年を越える宴（ハートなし）</v>
      </c>
      <c r="H5" s="90" t="str">
        <f ca="1">VLOOKUP($C5&amp;"_"&amp;$F5,OFFSET([2]stages!$A$1,0,0,COUNTA([2]stages!$A:$A),MATCH(H$1,[2]stages!$2:$2,0)-MATCH("temp_stage",[2]stages!$2:$2,0)+1),MATCH(H$1,[2]stages!$2:$2,0)-MATCH("temp_stage",[2]stages!$2:$2,0)+1,FALSE)</f>
        <v>2015年年越しクエスト</v>
      </c>
      <c r="I5" s="92">
        <v>0</v>
      </c>
      <c r="J5" s="97">
        <f t="shared" si="1"/>
        <v>4</v>
      </c>
      <c r="K5" s="93" t="str">
        <f t="shared" si="2"/>
        <v>1121604</v>
      </c>
      <c r="L5" s="91" t="s">
        <v>200</v>
      </c>
      <c r="M5" s="94" t="s">
        <v>248</v>
      </c>
      <c r="N5" s="100" t="s">
        <v>251</v>
      </c>
      <c r="O5" s="57" t="s">
        <v>201</v>
      </c>
      <c r="P5">
        <f t="shared" si="3"/>
        <v>57</v>
      </c>
    </row>
    <row r="6" spans="1:16" ht="66">
      <c r="A6" s="87" t="str">
        <f t="shared" ref="A6:A7" si="7">C6&amp;"_"&amp;F6&amp;"_"&amp;J6</f>
        <v>11216_1_5</v>
      </c>
      <c r="B6" s="88" t="s">
        <v>247</v>
      </c>
      <c r="C6" s="103">
        <f>floors!$C$2</f>
        <v>11216</v>
      </c>
      <c r="D6" s="90" t="str">
        <f ca="1">VLOOKUP($C6,OFFSET([2]quests!$A$1,0,0,COUNTA([2]quests!$A:$A),MATCH(D$1,[2]quests!$1:$1,0)-MATCH($C$1,[2]quests!$1:$1,0)+1),MATCH(D$1,[2]quests!$1:$1,0)-MATCH($C$1,[2]quests!$1:$1,0)+1,FALSE)</f>
        <v>年越し★特別クエスト</v>
      </c>
      <c r="E6" s="90" t="str">
        <f ca="1">VLOOKUP($C6,OFFSET([2]quests!$A$1,0,0,COUNTA([2]quests!$A:$A),MATCH(E$1,[2]quests!$1:$1,0)-MATCH($C$1,[2]quests!$1:$1,0)+1),MATCH(E$1,[2]quests!$1:$1,0)-MATCH($C$1,[2]quests!$1:$1,0)+1,FALSE)</f>
        <v>2015年年越しクエスト</v>
      </c>
      <c r="F6" s="91">
        <v>1</v>
      </c>
      <c r="G6" s="90" t="str">
        <f ca="1">VLOOKUP($C6&amp;"_"&amp;$F6,OFFSET([2]stages!$A$1,0,0,COUNTA([2]stages!$A:$A),MATCH(G$1,[2]stages!$2:$2,0)-MATCH("temp_stage",[2]stages!$2:$2,0)+1),MATCH(G$1,[2]stages!$2:$2,0)-MATCH("temp_stage",[2]stages!$2:$2,0)+1,FALSE)</f>
        <v>【上級】年を越える宴（ハートなし）</v>
      </c>
      <c r="H6" s="90" t="str">
        <f ca="1">VLOOKUP($C6&amp;"_"&amp;$F6,OFFSET([2]stages!$A$1,0,0,COUNTA([2]stages!$A:$A),MATCH(H$1,[2]stages!$2:$2,0)-MATCH("temp_stage",[2]stages!$2:$2,0)+1),MATCH(H$1,[2]stages!$2:$2,0)-MATCH("temp_stage",[2]stages!$2:$2,0)+1,FALSE)</f>
        <v>2015年年越しクエスト</v>
      </c>
      <c r="I6" s="92">
        <v>0</v>
      </c>
      <c r="J6" s="97">
        <f t="shared" si="1"/>
        <v>5</v>
      </c>
      <c r="K6" s="93" t="str">
        <f t="shared" si="2"/>
        <v>1121605</v>
      </c>
      <c r="L6" s="91" t="s">
        <v>200</v>
      </c>
      <c r="M6" s="94" t="s">
        <v>250</v>
      </c>
      <c r="N6" s="51" t="s">
        <v>249</v>
      </c>
      <c r="O6" s="57" t="s">
        <v>201</v>
      </c>
      <c r="P6">
        <f t="shared" si="3"/>
        <v>60</v>
      </c>
    </row>
    <row r="7" spans="1:16" ht="29">
      <c r="A7" s="87" t="str">
        <f t="shared" si="7"/>
        <v>11217_1_6</v>
      </c>
      <c r="B7" s="88" t="s">
        <v>220</v>
      </c>
      <c r="C7" s="89">
        <v>11217</v>
      </c>
      <c r="D7" s="90" t="str">
        <f ca="1">VLOOKUP($C7,OFFSET([2]quests!$A$1,0,0,COUNTA([2]quests!$A:$A),MATCH(D$1,[2]quests!$1:$1,0)-MATCH($C$1,[2]quests!$1:$1,0)+1),MATCH(D$1,[2]quests!$1:$1,0)-MATCH($C$1,[2]quests!$1:$1,0)+1,FALSE)</f>
        <v>年明け★特別クエスト</v>
      </c>
      <c r="E7" s="90" t="str">
        <f ca="1">VLOOKUP($C7,OFFSET([2]quests!$A$1,0,0,COUNTA([2]quests!$A:$A),MATCH(E$1,[2]quests!$1:$1,0)-MATCH($C$1,[2]quests!$1:$1,0)+1),MATCH(E$1,[2]quests!$1:$1,0)-MATCH($C$1,[2]quests!$1:$1,0)+1,FALSE)</f>
        <v>2016年あけおめクエスト</v>
      </c>
      <c r="F7" s="91">
        <v>1</v>
      </c>
      <c r="G7" s="90" t="str">
        <f ca="1">VLOOKUP($C7&amp;"_"&amp;$F7,OFFSET([2]stages!$A$1,0,0,COUNTA([2]stages!$A:$A),MATCH(G$1,[2]stages!$2:$2,0)-MATCH("temp_stage",[2]stages!$2:$2,0)+1),MATCH(G$1,[2]stages!$2:$2,0)-MATCH("temp_stage",[2]stages!$2:$2,0)+1,FALSE)</f>
        <v>あけおめダックのお年玉</v>
      </c>
      <c r="H7" s="90" t="str">
        <f ca="1">VLOOKUP($C7&amp;"_"&amp;$F7,OFFSET([2]stages!$A$1,0,0,COUNTA([2]stages!$A:$A),MATCH(H$1,[2]stages!$2:$2,0)-MATCH("temp_stage",[2]stages!$2:$2,0)+1),MATCH(H$1,[2]stages!$2:$2,0)-MATCH("temp_stage",[2]stages!$2:$2,0)+1,FALSE)</f>
        <v>2016年あけおめクエスト</v>
      </c>
      <c r="I7" s="92">
        <v>0</v>
      </c>
      <c r="J7" s="97">
        <f t="shared" si="1"/>
        <v>6</v>
      </c>
      <c r="K7" s="93" t="str">
        <f t="shared" si="2"/>
        <v>1121706</v>
      </c>
      <c r="L7" s="91" t="s">
        <v>128</v>
      </c>
      <c r="M7" s="101" t="s">
        <v>267</v>
      </c>
      <c r="N7" s="100" t="s">
        <v>293</v>
      </c>
      <c r="O7" s="57" t="s">
        <v>201</v>
      </c>
      <c r="P7">
        <f t="shared" si="3"/>
        <v>37</v>
      </c>
    </row>
  </sheetData>
  <phoneticPr fontId="5"/>
  <dataValidations count="1">
    <dataValidation type="list" allowBlank="1" showInputMessage="1" showErrorMessage="1" sqref="B2:B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Yoshizawa Yosuke</cp:lastModifiedBy>
  <dcterms:created xsi:type="dcterms:W3CDTF">2015-01-30T13:36:44Z</dcterms:created>
  <dcterms:modified xsi:type="dcterms:W3CDTF">2015-12-23T12:01:37Z</dcterms:modified>
</cp:coreProperties>
</file>