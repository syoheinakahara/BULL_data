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agashirashuntakashi/BULL_data/master_excel/"/>
    </mc:Choice>
  </mc:AlternateContent>
  <bookViews>
    <workbookView xWindow="840" yWindow="2820" windowWidth="37560" windowHeight="117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1" l="1"/>
  <c r="U6" i="1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S11" i="1"/>
  <c r="S12" i="1"/>
  <c r="S10" i="1"/>
  <c r="S6" i="1"/>
  <c r="S5" i="1"/>
  <c r="S3" i="1"/>
  <c r="S2" i="1"/>
  <c r="S4" i="1"/>
  <c r="V3" i="7"/>
  <c r="V2" i="7"/>
  <c r="U7" i="1"/>
  <c r="U13" i="1"/>
  <c r="J34" i="11"/>
  <c r="M54" i="10"/>
  <c r="T54" i="10"/>
  <c r="W54" i="10"/>
  <c r="V54" i="10"/>
  <c r="X54" i="10"/>
  <c r="U54" i="10"/>
  <c r="Y54" i="10"/>
  <c r="M63" i="10"/>
  <c r="N63" i="10"/>
  <c r="Q63" i="10"/>
  <c r="P63" i="10"/>
  <c r="R63" i="10"/>
  <c r="O63" i="10"/>
  <c r="S63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26" i="10"/>
  <c r="T26" i="10"/>
  <c r="W26" i="10"/>
  <c r="V26" i="10"/>
  <c r="X26" i="10"/>
  <c r="U26" i="10"/>
  <c r="Y26" i="10"/>
  <c r="M36" i="10"/>
  <c r="M45" i="10"/>
  <c r="M56" i="10"/>
  <c r="N56" i="10"/>
  <c r="Q56" i="10"/>
  <c r="P56" i="10"/>
  <c r="R56" i="10"/>
  <c r="O56" i="10"/>
  <c r="S56" i="10"/>
  <c r="N45" i="10"/>
  <c r="Q45" i="10"/>
  <c r="P45" i="10"/>
  <c r="R45" i="10"/>
  <c r="O45" i="10"/>
  <c r="S45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G27" i="10"/>
  <c r="H27" i="10"/>
  <c r="I27" i="10"/>
  <c r="J27" i="10"/>
  <c r="K27" i="10"/>
  <c r="L27" i="10"/>
  <c r="M27" i="10"/>
  <c r="M38" i="10"/>
  <c r="M47" i="10"/>
  <c r="M58" i="10"/>
  <c r="N58" i="10"/>
  <c r="Q58" i="10"/>
  <c r="P58" i="10"/>
  <c r="R58" i="10"/>
  <c r="O58" i="10"/>
  <c r="S58" i="10"/>
  <c r="N47" i="10"/>
  <c r="Q47" i="10"/>
  <c r="P47" i="10"/>
  <c r="R47" i="10"/>
  <c r="O47" i="10"/>
  <c r="S47" i="10"/>
  <c r="N38" i="10"/>
  <c r="Q38" i="10"/>
  <c r="P38" i="10"/>
  <c r="R38" i="10"/>
  <c r="O38" i="10"/>
  <c r="S38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J25" i="11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21" i="10"/>
  <c r="T21" i="10"/>
  <c r="W21" i="10"/>
  <c r="V21" i="10"/>
  <c r="X21" i="10"/>
  <c r="U21" i="10"/>
  <c r="Y21" i="10"/>
  <c r="M31" i="10"/>
  <c r="M41" i="10"/>
  <c r="M50" i="10"/>
  <c r="N50" i="10"/>
  <c r="Q50" i="10"/>
  <c r="P50" i="10"/>
  <c r="R50" i="10"/>
  <c r="O50" i="10"/>
  <c r="S50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G20" i="10"/>
  <c r="H20" i="10"/>
  <c r="I20" i="10"/>
  <c r="J20" i="10"/>
  <c r="K20" i="10"/>
  <c r="L20" i="10"/>
  <c r="M20" i="10"/>
  <c r="M33" i="10"/>
  <c r="M43" i="10"/>
  <c r="M52" i="10"/>
  <c r="M65" i="10"/>
  <c r="N65" i="10"/>
  <c r="Q65" i="10"/>
  <c r="P65" i="10"/>
  <c r="R65" i="10"/>
  <c r="O65" i="10"/>
  <c r="S65" i="10"/>
  <c r="N52" i="10"/>
  <c r="Q52" i="10"/>
  <c r="P52" i="10"/>
  <c r="R52" i="10"/>
  <c r="O52" i="10"/>
  <c r="S52" i="10"/>
  <c r="N43" i="10"/>
  <c r="Q43" i="10"/>
  <c r="P43" i="10"/>
  <c r="R43" i="10"/>
  <c r="O43" i="10"/>
  <c r="S43" i="10"/>
  <c r="N33" i="10"/>
  <c r="Q33" i="10"/>
  <c r="P33" i="10"/>
  <c r="R33" i="10"/>
  <c r="O33" i="10"/>
  <c r="S33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S13" i="1"/>
  <c r="S8" i="1"/>
  <c r="T3" i="7"/>
  <c r="T2" i="7"/>
  <c r="S7" i="1"/>
  <c r="H46" i="9"/>
  <c r="J27" i="11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28" i="10"/>
  <c r="T28" i="10"/>
  <c r="W28" i="10"/>
  <c r="V28" i="10"/>
  <c r="X28" i="10"/>
  <c r="U28" i="10"/>
  <c r="Y28" i="10"/>
  <c r="M37" i="10"/>
  <c r="M46" i="10"/>
  <c r="M57" i="10"/>
  <c r="N57" i="10"/>
  <c r="Q57" i="10"/>
  <c r="P57" i="10"/>
  <c r="R57" i="10"/>
  <c r="O57" i="10"/>
  <c r="S57" i="10"/>
  <c r="N46" i="10"/>
  <c r="Q46" i="10"/>
  <c r="P46" i="10"/>
  <c r="R46" i="10"/>
  <c r="O46" i="10"/>
  <c r="S46" i="10"/>
  <c r="N37" i="10"/>
  <c r="Q37" i="10"/>
  <c r="P37" i="10"/>
  <c r="R37" i="10"/>
  <c r="O37" i="10"/>
  <c r="S37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G29" i="10"/>
  <c r="H29" i="10"/>
  <c r="I29" i="10"/>
  <c r="J29" i="10"/>
  <c r="K29" i="10"/>
  <c r="L29" i="10"/>
  <c r="M29" i="10"/>
  <c r="M39" i="10"/>
  <c r="M48" i="10"/>
  <c r="M60" i="10"/>
  <c r="N60" i="10"/>
  <c r="Q60" i="10"/>
  <c r="P60" i="10"/>
  <c r="R60" i="10"/>
  <c r="O60" i="10"/>
  <c r="S60" i="10"/>
  <c r="N48" i="10"/>
  <c r="Q48" i="10"/>
  <c r="P48" i="10"/>
  <c r="R48" i="10"/>
  <c r="O48" i="10"/>
  <c r="S48" i="10"/>
  <c r="N39" i="10"/>
  <c r="Q39" i="10"/>
  <c r="P39" i="10"/>
  <c r="R39" i="10"/>
  <c r="O39" i="10"/>
  <c r="S3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W3" i="7"/>
  <c r="W2" i="7"/>
  <c r="V13" i="1"/>
  <c r="O26" i="9"/>
  <c r="N26" i="9"/>
  <c r="M26" i="9"/>
  <c r="L26" i="9"/>
  <c r="K26" i="9"/>
  <c r="J26" i="9"/>
  <c r="I26" i="9"/>
  <c r="H26" i="9"/>
  <c r="G26" i="9"/>
  <c r="O25" i="9"/>
  <c r="N25" i="9"/>
  <c r="M25" i="9"/>
  <c r="L25" i="9"/>
  <c r="K25" i="9"/>
  <c r="J25" i="9"/>
  <c r="I25" i="9"/>
  <c r="H25" i="9"/>
  <c r="G25" i="9"/>
  <c r="O24" i="9"/>
  <c r="N24" i="9"/>
  <c r="M24" i="9"/>
  <c r="L24" i="9"/>
  <c r="K24" i="9"/>
  <c r="J24" i="9"/>
  <c r="I24" i="9"/>
  <c r="H24" i="9"/>
  <c r="G24" i="9"/>
  <c r="O23" i="9"/>
  <c r="N23" i="9"/>
  <c r="M23" i="9"/>
  <c r="L23" i="9"/>
  <c r="K23" i="9"/>
  <c r="J23" i="9"/>
  <c r="I23" i="9"/>
  <c r="H23" i="9"/>
  <c r="G23" i="9"/>
  <c r="O22" i="9"/>
  <c r="N22" i="9"/>
  <c r="M22" i="9"/>
  <c r="L22" i="9"/>
  <c r="K22" i="9"/>
  <c r="J22" i="9"/>
  <c r="I22" i="9"/>
  <c r="H22" i="9"/>
  <c r="G22" i="9"/>
  <c r="O21" i="9"/>
  <c r="N21" i="9"/>
  <c r="M21" i="9"/>
  <c r="L21" i="9"/>
  <c r="K21" i="9"/>
  <c r="J21" i="9"/>
  <c r="I21" i="9"/>
  <c r="H21" i="9"/>
  <c r="G21" i="9"/>
  <c r="N27" i="9"/>
  <c r="N28" i="9"/>
  <c r="N29" i="9"/>
  <c r="N30" i="9"/>
  <c r="N31" i="9"/>
  <c r="L27" i="9"/>
  <c r="L28" i="9"/>
  <c r="L29" i="9"/>
  <c r="L30" i="9"/>
  <c r="L31" i="9"/>
  <c r="U3" i="7"/>
  <c r="U2" i="7"/>
  <c r="J12" i="11"/>
  <c r="O42" i="9"/>
  <c r="N42" i="9"/>
  <c r="M42" i="9"/>
  <c r="L42" i="9"/>
  <c r="K42" i="9"/>
  <c r="J42" i="9"/>
  <c r="I42" i="9"/>
  <c r="H42" i="9"/>
  <c r="G42" i="9"/>
  <c r="E42" i="9"/>
  <c r="D42" i="9"/>
  <c r="A42" i="9"/>
  <c r="A41" i="9"/>
  <c r="D41" i="9"/>
  <c r="E41" i="9"/>
  <c r="G41" i="9"/>
  <c r="H41" i="9"/>
  <c r="I41" i="9"/>
  <c r="J41" i="9"/>
  <c r="K41" i="9"/>
  <c r="L41" i="9"/>
  <c r="M41" i="9"/>
  <c r="N41" i="9"/>
  <c r="J11" i="11"/>
  <c r="O41" i="9"/>
  <c r="J33" i="11"/>
  <c r="O31" i="9"/>
  <c r="M31" i="9"/>
  <c r="K31" i="9"/>
  <c r="J31" i="9"/>
  <c r="I31" i="9"/>
  <c r="H31" i="9"/>
  <c r="G31" i="9"/>
  <c r="E31" i="9"/>
  <c r="D31" i="9"/>
  <c r="A31" i="9"/>
  <c r="A22" i="9"/>
  <c r="D22" i="9"/>
  <c r="E22" i="9"/>
  <c r="J22" i="11"/>
  <c r="H2" i="9"/>
  <c r="H3" i="9"/>
  <c r="H6" i="9"/>
  <c r="H7" i="9"/>
  <c r="H8" i="9"/>
  <c r="H9" i="9"/>
  <c r="H10" i="9"/>
  <c r="T13" i="1"/>
  <c r="T12" i="1"/>
  <c r="T11" i="1"/>
  <c r="T10" i="1"/>
  <c r="T9" i="1"/>
  <c r="T8" i="1"/>
  <c r="V7" i="1"/>
  <c r="V6" i="1"/>
  <c r="V5" i="1"/>
  <c r="U4" i="1"/>
  <c r="V4" i="1"/>
  <c r="V3" i="1"/>
  <c r="V2" i="1"/>
  <c r="T7" i="1"/>
  <c r="T6" i="1"/>
  <c r="T5" i="1"/>
  <c r="T4" i="1"/>
  <c r="T3" i="1"/>
  <c r="T2" i="1"/>
  <c r="J32" i="11"/>
  <c r="J31" i="11"/>
  <c r="J30" i="11"/>
  <c r="J29" i="11"/>
  <c r="J28" i="11"/>
  <c r="J26" i="11"/>
  <c r="O55" i="9"/>
  <c r="N55" i="9"/>
  <c r="M55" i="9"/>
  <c r="L55" i="9"/>
  <c r="K55" i="9"/>
  <c r="J55" i="9"/>
  <c r="I55" i="9"/>
  <c r="H55" i="9"/>
  <c r="G55" i="9"/>
  <c r="E55" i="9"/>
  <c r="D55" i="9"/>
  <c r="A55" i="9"/>
  <c r="J24" i="11"/>
  <c r="O54" i="9"/>
  <c r="N54" i="9"/>
  <c r="M54" i="9"/>
  <c r="L54" i="9"/>
  <c r="K54" i="9"/>
  <c r="J54" i="9"/>
  <c r="I54" i="9"/>
  <c r="H54" i="9"/>
  <c r="G54" i="9"/>
  <c r="E54" i="9"/>
  <c r="D54" i="9"/>
  <c r="A54" i="9"/>
  <c r="J23" i="11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J21" i="11"/>
  <c r="O51" i="9"/>
  <c r="N51" i="9"/>
  <c r="M51" i="9"/>
  <c r="L51" i="9"/>
  <c r="K51" i="9"/>
  <c r="J51" i="9"/>
  <c r="I51" i="9"/>
  <c r="H51" i="9"/>
  <c r="G51" i="9"/>
  <c r="E51" i="9"/>
  <c r="D51" i="9"/>
  <c r="A51" i="9"/>
  <c r="J20" i="11"/>
  <c r="O50" i="9"/>
  <c r="N50" i="9"/>
  <c r="M50" i="9"/>
  <c r="L50" i="9"/>
  <c r="K50" i="9"/>
  <c r="J50" i="9"/>
  <c r="I50" i="9"/>
  <c r="H50" i="9"/>
  <c r="G50" i="9"/>
  <c r="E50" i="9"/>
  <c r="D50" i="9"/>
  <c r="A50" i="9"/>
  <c r="J19" i="11"/>
  <c r="O49" i="9"/>
  <c r="N49" i="9"/>
  <c r="M49" i="9"/>
  <c r="L49" i="9"/>
  <c r="K49" i="9"/>
  <c r="J49" i="9"/>
  <c r="I49" i="9"/>
  <c r="H49" i="9"/>
  <c r="G49" i="9"/>
  <c r="E49" i="9"/>
  <c r="D49" i="9"/>
  <c r="A49" i="9"/>
  <c r="J18" i="11"/>
  <c r="O48" i="9"/>
  <c r="N48" i="9"/>
  <c r="M48" i="9"/>
  <c r="L48" i="9"/>
  <c r="K48" i="9"/>
  <c r="J48" i="9"/>
  <c r="I48" i="9"/>
  <c r="H48" i="9"/>
  <c r="G48" i="9"/>
  <c r="E48" i="9"/>
  <c r="D48" i="9"/>
  <c r="A48" i="9"/>
  <c r="J17" i="11"/>
  <c r="O47" i="9"/>
  <c r="N47" i="9"/>
  <c r="M47" i="9"/>
  <c r="L47" i="9"/>
  <c r="K47" i="9"/>
  <c r="J47" i="9"/>
  <c r="I47" i="9"/>
  <c r="H47" i="9"/>
  <c r="G47" i="9"/>
  <c r="E47" i="9"/>
  <c r="D47" i="9"/>
  <c r="A47" i="9"/>
  <c r="J16" i="11"/>
  <c r="O46" i="9"/>
  <c r="N46" i="9"/>
  <c r="M46" i="9"/>
  <c r="L46" i="9"/>
  <c r="K46" i="9"/>
  <c r="J46" i="9"/>
  <c r="I46" i="9"/>
  <c r="G46" i="9"/>
  <c r="E46" i="9"/>
  <c r="D46" i="9"/>
  <c r="A46" i="9"/>
  <c r="J15" i="11"/>
  <c r="O45" i="9"/>
  <c r="N45" i="9"/>
  <c r="M45" i="9"/>
  <c r="L45" i="9"/>
  <c r="K45" i="9"/>
  <c r="J45" i="9"/>
  <c r="I45" i="9"/>
  <c r="H45" i="9"/>
  <c r="G45" i="9"/>
  <c r="E45" i="9"/>
  <c r="D45" i="9"/>
  <c r="A45" i="9"/>
  <c r="J14" i="11"/>
  <c r="O44" i="9"/>
  <c r="N44" i="9"/>
  <c r="M44" i="9"/>
  <c r="L44" i="9"/>
  <c r="K44" i="9"/>
  <c r="J44" i="9"/>
  <c r="I44" i="9"/>
  <c r="H44" i="9"/>
  <c r="G44" i="9"/>
  <c r="E44" i="9"/>
  <c r="D44" i="9"/>
  <c r="A44" i="9"/>
  <c r="J13" i="11"/>
  <c r="O43" i="9"/>
  <c r="N43" i="9"/>
  <c r="M43" i="9"/>
  <c r="L43" i="9"/>
  <c r="K43" i="9"/>
  <c r="J43" i="9"/>
  <c r="I43" i="9"/>
  <c r="H43" i="9"/>
  <c r="G43" i="9"/>
  <c r="E43" i="9"/>
  <c r="D43" i="9"/>
  <c r="A43" i="9"/>
  <c r="J10" i="11"/>
  <c r="O40" i="9"/>
  <c r="N40" i="9"/>
  <c r="M40" i="9"/>
  <c r="L40" i="9"/>
  <c r="K40" i="9"/>
  <c r="J40" i="9"/>
  <c r="I40" i="9"/>
  <c r="H40" i="9"/>
  <c r="G40" i="9"/>
  <c r="E40" i="9"/>
  <c r="D40" i="9"/>
  <c r="A40" i="9"/>
  <c r="J9" i="11"/>
  <c r="O39" i="9"/>
  <c r="N39" i="9"/>
  <c r="M39" i="9"/>
  <c r="L39" i="9"/>
  <c r="K39" i="9"/>
  <c r="J39" i="9"/>
  <c r="I39" i="9"/>
  <c r="H39" i="9"/>
  <c r="G39" i="9"/>
  <c r="E39" i="9"/>
  <c r="D39" i="9"/>
  <c r="A39" i="9"/>
  <c r="J8" i="11"/>
  <c r="O38" i="9"/>
  <c r="N38" i="9"/>
  <c r="M38" i="9"/>
  <c r="L38" i="9"/>
  <c r="K38" i="9"/>
  <c r="J38" i="9"/>
  <c r="I38" i="9"/>
  <c r="H38" i="9"/>
  <c r="G38" i="9"/>
  <c r="E38" i="9"/>
  <c r="D38" i="9"/>
  <c r="A38" i="9"/>
  <c r="J7" i="11"/>
  <c r="O37" i="9"/>
  <c r="N37" i="9"/>
  <c r="M37" i="9"/>
  <c r="L37" i="9"/>
  <c r="K37" i="9"/>
  <c r="J37" i="9"/>
  <c r="I37" i="9"/>
  <c r="H37" i="9"/>
  <c r="G37" i="9"/>
  <c r="E37" i="9"/>
  <c r="D37" i="9"/>
  <c r="A37" i="9"/>
  <c r="J6" i="11"/>
  <c r="O36" i="9"/>
  <c r="N36" i="9"/>
  <c r="M36" i="9"/>
  <c r="L36" i="9"/>
  <c r="K36" i="9"/>
  <c r="J36" i="9"/>
  <c r="I36" i="9"/>
  <c r="H36" i="9"/>
  <c r="G36" i="9"/>
  <c r="E36" i="9"/>
  <c r="D36" i="9"/>
  <c r="A36" i="9"/>
  <c r="J5" i="11"/>
  <c r="O35" i="9"/>
  <c r="N35" i="9"/>
  <c r="M35" i="9"/>
  <c r="L35" i="9"/>
  <c r="K35" i="9"/>
  <c r="J35" i="9"/>
  <c r="I35" i="9"/>
  <c r="H35" i="9"/>
  <c r="G35" i="9"/>
  <c r="E35" i="9"/>
  <c r="D35" i="9"/>
  <c r="A35" i="9"/>
  <c r="J4" i="11"/>
  <c r="O34" i="9"/>
  <c r="N34" i="9"/>
  <c r="M34" i="9"/>
  <c r="L34" i="9"/>
  <c r="K34" i="9"/>
  <c r="J34" i="9"/>
  <c r="I34" i="9"/>
  <c r="H34" i="9"/>
  <c r="G34" i="9"/>
  <c r="E34" i="9"/>
  <c r="D34" i="9"/>
  <c r="A34" i="9"/>
  <c r="J3" i="11"/>
  <c r="O33" i="9"/>
  <c r="N33" i="9"/>
  <c r="M33" i="9"/>
  <c r="L33" i="9"/>
  <c r="K33" i="9"/>
  <c r="J33" i="9"/>
  <c r="I33" i="9"/>
  <c r="H33" i="9"/>
  <c r="G33" i="9"/>
  <c r="E33" i="9"/>
  <c r="D33" i="9"/>
  <c r="A33" i="9"/>
  <c r="J2" i="11"/>
  <c r="O32" i="9"/>
  <c r="N32" i="9"/>
  <c r="M32" i="9"/>
  <c r="L32" i="9"/>
  <c r="K32" i="9"/>
  <c r="J32" i="9"/>
  <c r="I32" i="9"/>
  <c r="H32" i="9"/>
  <c r="G32" i="9"/>
  <c r="E32" i="9"/>
  <c r="D32" i="9"/>
  <c r="A32" i="9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8" i="10"/>
  <c r="W58" i="10"/>
  <c r="V58" i="10"/>
  <c r="X58" i="10"/>
  <c r="U58" i="10"/>
  <c r="Y58" i="10"/>
  <c r="G58" i="10"/>
  <c r="J58" i="10"/>
  <c r="I58" i="10"/>
  <c r="K58" i="10"/>
  <c r="H58" i="10"/>
  <c r="L58" i="10"/>
  <c r="T57" i="10"/>
  <c r="W57" i="10"/>
  <c r="V57" i="10"/>
  <c r="X57" i="10"/>
  <c r="U57" i="10"/>
  <c r="Y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Y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J3" i="7"/>
  <c r="I3" i="7"/>
  <c r="D3" i="7"/>
  <c r="F3" i="7"/>
  <c r="E3" i="7"/>
  <c r="A3" i="7"/>
  <c r="AD13" i="1"/>
  <c r="AF13" i="1"/>
  <c r="AI13" i="1"/>
  <c r="AG13" i="1"/>
  <c r="AE13" i="1"/>
  <c r="E12" i="9"/>
  <c r="X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11" i="9"/>
  <c r="X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E5" i="9"/>
  <c r="X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E2" i="9"/>
  <c r="AD9" i="1"/>
  <c r="AF9" i="1"/>
  <c r="AI9" i="1"/>
  <c r="AG9" i="1"/>
  <c r="AE9" i="1"/>
  <c r="AC9" i="1"/>
  <c r="X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AC8" i="1"/>
  <c r="X8" i="1"/>
  <c r="V8" i="1"/>
  <c r="Q8" i="1"/>
  <c r="P8" i="1"/>
  <c r="O8" i="1"/>
  <c r="N8" i="1"/>
  <c r="M8" i="1"/>
  <c r="H8" i="1"/>
  <c r="J8" i="1"/>
  <c r="I8" i="1"/>
  <c r="D8" i="1"/>
  <c r="F8" i="1"/>
  <c r="E8" i="1"/>
  <c r="A8" i="1"/>
  <c r="X2" i="1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0" i="9"/>
  <c r="M30" i="9"/>
  <c r="K30" i="9"/>
  <c r="J30" i="9"/>
  <c r="I30" i="9"/>
  <c r="H30" i="9"/>
  <c r="G30" i="9"/>
  <c r="E30" i="9"/>
  <c r="D30" i="9"/>
  <c r="A30" i="9"/>
  <c r="O29" i="9"/>
  <c r="M29" i="9"/>
  <c r="K29" i="9"/>
  <c r="J29" i="9"/>
  <c r="I29" i="9"/>
  <c r="H29" i="9"/>
  <c r="G29" i="9"/>
  <c r="E29" i="9"/>
  <c r="D29" i="9"/>
  <c r="A29" i="9"/>
  <c r="O28" i="9"/>
  <c r="M28" i="9"/>
  <c r="K28" i="9"/>
  <c r="J28" i="9"/>
  <c r="I28" i="9"/>
  <c r="H28" i="9"/>
  <c r="G28" i="9"/>
  <c r="E28" i="9"/>
  <c r="D28" i="9"/>
  <c r="A28" i="9"/>
  <c r="O27" i="9"/>
  <c r="M27" i="9"/>
  <c r="K27" i="9"/>
  <c r="J27" i="9"/>
  <c r="I27" i="9"/>
  <c r="H27" i="9"/>
  <c r="G27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D12" i="9"/>
  <c r="A12" i="9"/>
  <c r="O11" i="9"/>
  <c r="N11" i="9"/>
  <c r="M11" i="9"/>
  <c r="L11" i="9"/>
  <c r="K11" i="9"/>
  <c r="J11" i="9"/>
  <c r="I11" i="9"/>
  <c r="H11" i="9"/>
  <c r="G11" i="9"/>
  <c r="D11" i="9"/>
  <c r="A11" i="9"/>
  <c r="O10" i="9"/>
  <c r="N10" i="9"/>
  <c r="M10" i="9"/>
  <c r="L10" i="9"/>
  <c r="K10" i="9"/>
  <c r="J10" i="9"/>
  <c r="I10" i="9"/>
  <c r="G10" i="9"/>
  <c r="E10" i="9"/>
  <c r="D10" i="9"/>
  <c r="A10" i="9"/>
  <c r="O9" i="9"/>
  <c r="N9" i="9"/>
  <c r="M9" i="9"/>
  <c r="L9" i="9"/>
  <c r="K9" i="9"/>
  <c r="J9" i="9"/>
  <c r="I9" i="9"/>
  <c r="G9" i="9"/>
  <c r="E9" i="9"/>
  <c r="D9" i="9"/>
  <c r="A9" i="9"/>
  <c r="O8" i="9"/>
  <c r="N8" i="9"/>
  <c r="M8" i="9"/>
  <c r="L8" i="9"/>
  <c r="K8" i="9"/>
  <c r="J8" i="9"/>
  <c r="I8" i="9"/>
  <c r="G8" i="9"/>
  <c r="E8" i="9"/>
  <c r="D8" i="9"/>
  <c r="A8" i="9"/>
  <c r="O7" i="9"/>
  <c r="N7" i="9"/>
  <c r="M7" i="9"/>
  <c r="L7" i="9"/>
  <c r="K7" i="9"/>
  <c r="J7" i="9"/>
  <c r="I7" i="9"/>
  <c r="G7" i="9"/>
  <c r="E7" i="9"/>
  <c r="D7" i="9"/>
  <c r="A7" i="9"/>
  <c r="O6" i="9"/>
  <c r="N6" i="9"/>
  <c r="M6" i="9"/>
  <c r="L6" i="9"/>
  <c r="K6" i="9"/>
  <c r="J6" i="9"/>
  <c r="I6" i="9"/>
  <c r="G6" i="9"/>
  <c r="E6" i="9"/>
  <c r="D6" i="9"/>
  <c r="A6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G3" i="9"/>
  <c r="E3" i="9"/>
  <c r="D3" i="9"/>
  <c r="A3" i="9"/>
  <c r="AD7" i="1"/>
  <c r="AF7" i="1"/>
  <c r="AI7" i="1"/>
  <c r="AG7" i="1"/>
  <c r="AE7" i="1"/>
  <c r="X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Q4" i="1"/>
  <c r="P4" i="1"/>
  <c r="O4" i="1"/>
  <c r="N4" i="1"/>
  <c r="M4" i="1"/>
  <c r="H4" i="1"/>
  <c r="J4" i="1"/>
  <c r="I4" i="1"/>
  <c r="D4" i="1"/>
  <c r="F4" i="1"/>
  <c r="E4" i="1"/>
  <c r="A4" i="1"/>
  <c r="H7" i="2"/>
  <c r="E7" i="2"/>
  <c r="D7" i="2"/>
  <c r="H2" i="1"/>
  <c r="H3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O2" i="9"/>
  <c r="N2" i="9"/>
  <c r="M2" i="9"/>
  <c r="L2" i="9"/>
  <c r="K2" i="9"/>
  <c r="J2" i="9"/>
  <c r="I2" i="9"/>
  <c r="G2" i="9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<sst xmlns="http://schemas.openxmlformats.org/spreadsheetml/2006/main" count="1312" uniqueCount="363">
  <si>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</si>
  <si>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</si>
  <si>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</si>
  <si>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</si>
  <si>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</si>
  <si>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</si>
  <si>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</si>
  <si>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</si>
  <si>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</si>
  <si>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</si>
  <si>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</si>
  <si>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</si>
  <si>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</si>
  <si>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</si>
  <si>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</si>
  <si>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</si>
  <si>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</si>
  <si>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</si>
  <si>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</si>
  <si>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</si>
  <si>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</si>
  <si>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</si>
  <si>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</si>
  <si>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</si>
  <si>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</si>
  <si>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</si>
  <si>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</si>
  <si>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</si>
  <si>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</si>
  <si>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</si>
  <si>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</si>
  <si>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</si>
  <si>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</si>
  <si>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</si>
  <si>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</si>
  <si>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</si>
  <si>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</si>
  <si>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</si>
  <si>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</si>
  <si>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</si>
  <si>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</si>
  <si>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</si>
  <si>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</si>
  <si>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</si>
  <si>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</si>
  <si>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</si>
  <si>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</si>
  <si>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</si>
  <si>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</si>
  <si>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</si>
  <si>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</si>
  <si>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</si>
  <si>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</si>
  <si>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</si>
  <si>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</si>
  <si>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</si>
  <si>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</si>
  <si>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</si>
  <si>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</si>
  <si>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</si>
  <si>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</si>
  <si>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</si>
  <si>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</si>
  <si>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</si>
  <si>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</si>
  <si>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</si>
  <si>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</si>
  <si>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</si>
  <si>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</si>
  <si>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</si>
  <si>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</si>
  <si>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</si>
  <si>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</si>
  <si>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</si>
  <si>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</si>
  <si>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</si>
  <si>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</si>
  <si>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</si>
  <si>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</si>
  <si>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</si>
  <si>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</si>
  <si>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</si>
  <si>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</si>
  <si>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</si>
  <si>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</si>
  <si>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</si>
  <si>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</si>
  <si>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</si>
  <si>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</si>
  <si>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</si>
  <si>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</si>
  <si>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</si>
  <si>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</si>
  <si>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</si>
  <si>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</si>
  <si>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</si>
  <si>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</si>
  <si>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</si>
  <si>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</si>
  <si>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</si>
  <si>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</si>
  <si>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</si>
  <si>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</si>
  <si>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</si>
  <si>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</si>
  <si>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</si>
  <si>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</si>
  <si>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</si>
  <si>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</si>
  <si>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</si>
  <si>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</si>
  <si>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</si>
  <si>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</si>
  <si>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</si>
  <si>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</si>
  <si>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</si>
  <si>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</si>
  <si>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</si>
  <si>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</si>
  <si>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</si>
  <si>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</si>
  <si>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</si>
  <si>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</si>
  <si>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</si>
  <si>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</si>
  <si>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</si>
  <si>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</si>
  <si>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</si>
  <si>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</si>
  <si>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</si>
  <si>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</si>
  <si>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</si>
  <si>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</si>
  <si>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</si>
  <si>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</si>
  <si>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</si>
  <si>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</si>
  <si>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</si>
  <si>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</si>
  <si>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</si>
  <si>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</si>
  <si>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</si>
  <si>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</si>
  <si>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</si>
  <si>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</si>
  <si>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</si>
  <si>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</si>
  <si>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</si>
  <si>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</si>
  <si>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</si>
  <si>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</si>
  <si>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</si>
  <si>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</si>
  <si>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</si>
  <si>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</si>
  <si>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</si>
  <si>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</si>
  <si>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</si>
  <si>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</si>
  <si>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</si>
  <si>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</si>
  <si>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</si>
  <si>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</si>
  <si>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</si>
  <si>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</si>
  <si>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</si>
  <si>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</si>
  <si>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</si>
  <si>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</si>
  <si>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</si>
  <si>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</si>
  <si>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</si>
  <si>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</si>
  <si>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</si>
  <si>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</si>
  <si>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</si>
  <si>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</si>
  <si>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</si>
  <si>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</si>
  <si>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</si>
  <si>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</si>
  <si>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</si>
  <si>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</si>
  <si>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</si>
  <si>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</si>
  <si>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</si>
  <si>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</si>
  <si>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</si>
  <si>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</si>
  <si>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</si>
  <si>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</si>
  <si>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</si>
  <si>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</si>
  <si>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</si>
  <si>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</si>
  <si>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</si>
  <si>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</si>
  <si>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</si>
  <si>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</si>
  <si>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</si>
  <si>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</si>
  <si>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</si>
  <si>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</si>
  <si>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</si>
  <si>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</si>
  <si>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</si>
  <si>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</si>
  <si>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</si>
  <si>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</si>
  <si>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</si>
  <si>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</si>
  <si>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</si>
  <si>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</si>
  <si>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</si>
  <si>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</si>
  <si>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</si>
  <si>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</si>
  <si>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</si>
  <si>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</si>
  <si>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</si>
  <si>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</si>
  <si>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</si>
  <si>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</si>
  <si>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</si>
  <si>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</si>
  <si>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</si>
  <si>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</si>
  <si>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</si>
  <si>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</si>
  <si>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</si>
  <si>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</si>
  <si>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</si>
  <si>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</si>
  <si>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</si>
  <si>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</si>
  <si>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</si>
  <si>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</si>
  <si>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</si>
  <si>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</si>
  <si>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</si>
  <si>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</si>
  <si>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</si>
  <si>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</si>
  <si>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</si>
  <si>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</si>
  <si>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</si>
  <si>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</si>
  <si>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</si>
  <si>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</si>
  <si>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</si>
  <si>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</si>
  <si>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</si>
  <si>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</si>
  <si>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</si>
  <si>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</si>
  <si>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</si>
  <si>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</si>
  <si>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</si>
  <si>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</si>
  <si>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</si>
  <si>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</si>
  <si>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</si>
  <si>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</si>
  <si>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</si>
  <si>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</si>
  <si>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</si>
  <si>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</si>
  <si>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[effect:enemy_message, val1:1.2, val2:1.2],[effect:tolerance, target:myself, turn:-1, count:-1, tolerance_effect:all, animation:enemy_tolerance],[effect:fix_speed, target:myself, turn:1]</t>
    <phoneticPr fontId="5"/>
  </si>
  <si>
    <t>ショート</t>
    <phoneticPr fontId="5"/>
  </si>
  <si>
    <t>盛り下げ</t>
    <rPh sb="0" eb="1">
      <t>モリサg</t>
    </rPh>
    <phoneticPr fontId="5"/>
  </si>
  <si>
    <t>封印</t>
    <phoneticPr fontId="5"/>
  </si>
  <si>
    <t>クリティカル&amp;回復妨害</t>
    <rPh sb="7" eb="11">
      <t>カイフk</t>
    </rPh>
    <phoneticPr fontId="5"/>
  </si>
  <si>
    <t>2ターンスキルバインド</t>
    <phoneticPr fontId="5"/>
  </si>
  <si>
    <t>防御力超大UP</t>
    <rPh sb="0" eb="3">
      <t>ボ</t>
    </rPh>
    <rPh sb="3" eb="4">
      <t>ty</t>
    </rPh>
    <rPh sb="4" eb="5">
      <t>ダ</t>
    </rPh>
    <phoneticPr fontId="5"/>
  </si>
  <si>
    <t>防御力DOWN</t>
    <rPh sb="0" eb="3">
      <t>ボ</t>
    </rPh>
    <phoneticPr fontId="5"/>
  </si>
  <si>
    <t>単体攻撃+ハートパネルプロテクト(最大2個)</t>
    <rPh sb="0" eb="4">
      <t>タンタ</t>
    </rPh>
    <rPh sb="17" eb="19">
      <t>サイダ</t>
    </rPh>
    <rPh sb="20" eb="21">
      <t>k</t>
    </rPh>
    <phoneticPr fontId="5"/>
  </si>
  <si>
    <t>残りHPの50％ダメージ</t>
    <rPh sb="0" eb="1">
      <t>ノコr</t>
    </rPh>
    <phoneticPr fontId="5"/>
  </si>
  <si>
    <t>攻撃力10％DOWN</t>
    <rPh sb="0" eb="3">
      <t>コウゲk</t>
    </rPh>
    <phoneticPr fontId="5"/>
  </si>
  <si>
    <t>緑パネルをダメージパネルに(最大2個)変換</t>
    <rPh sb="0" eb="1">
      <t>ミドr</t>
    </rPh>
    <phoneticPr fontId="5"/>
  </si>
  <si>
    <t>緑パネルをお邪魔パネルに(最大2個)変換</t>
    <rPh sb="0" eb="1">
      <t>ミドr</t>
    </rPh>
    <phoneticPr fontId="5"/>
  </si>
  <si>
    <t>緑色パネルと青色パネルをダメージパネル(最大1個ずつ)に変換</t>
    <phoneticPr fontId="5"/>
  </si>
  <si>
    <t>緑色パネルと赤色パネルをお邪魔パネル(最大1個ずつ)に変換</t>
    <phoneticPr fontId="5"/>
  </si>
  <si>
    <t>[effect:enemy_message, val1:1.3, val2:1.2, dead_type:suicide]</t>
    <phoneticPr fontId="5"/>
  </si>
  <si>
    <t>単体攻撃+ハートパネルプロテクト(最大1個)</t>
    <rPh sb="0" eb="4">
      <t>タンタ</t>
    </rPh>
    <rPh sb="17" eb="19">
      <t>サイダ</t>
    </rPh>
    <rPh sb="20" eb="21">
      <t>k</t>
    </rPh>
    <phoneticPr fontId="5"/>
  </si>
  <si>
    <t>1ターンスキルバインド</t>
    <phoneticPr fontId="5"/>
  </si>
  <si>
    <t>防御力大UP</t>
    <rPh sb="0" eb="3">
      <t>ボ</t>
    </rPh>
    <rPh sb="3" eb="4">
      <t>ダ</t>
    </rPh>
    <phoneticPr fontId="5"/>
  </si>
  <si>
    <t>緑パネルをダメージパネルに(最大1個)変換</t>
    <rPh sb="0" eb="1">
      <t>ミドr</t>
    </rPh>
    <phoneticPr fontId="5"/>
  </si>
  <si>
    <t>緑パネルをお邪魔パネルに(最大1個)変換</t>
    <rPh sb="0" eb="1">
      <t>ミドr</t>
    </rPh>
    <phoneticPr fontId="5"/>
  </si>
  <si>
    <t>青色パネルをダメージパネル(最大1個)に変換</t>
    <rPh sb="17" eb="18">
      <t>k</t>
    </rPh>
    <phoneticPr fontId="5"/>
  </si>
  <si>
    <t>赤色パネルをお邪魔パネル(最大1個)に変換</t>
    <phoneticPr fontId="5"/>
  </si>
  <si>
    <t>old</t>
  </si>
  <si>
    <t>状態異常耐性+攻撃力50％DOWN</t>
    <rPh sb="0" eb="6">
      <t>ジョウタ</t>
    </rPh>
    <phoneticPr fontId="5"/>
  </si>
  <si>
    <t>ビビっている</t>
    <phoneticPr fontId="5"/>
  </si>
  <si>
    <t>[effect:enemy_message, val1:1.2, val2:1.2],[effect:enhance_enemy, target:myself, turn:-1, status:defense, val:7500, calc:add, animation:enemy_enhance_defense]</t>
    <phoneticPr fontId="5"/>
  </si>
  <si>
    <t>[effect:enemy_message, val1:1.2, val2:1.2],[effect:enhance_enemy, target:myself, turn:-1, status:defense, val:5000, calc:add, animation:enemy_enhance_defense]</t>
    <phoneticPr fontId="5"/>
  </si>
  <si>
    <t>[effect:enemy_message, val1:1.2, val2:1.2],[effect:enhance_enemy, target:myself, turn:-1, status:defense, val:2500, calc:add, animation:enemy_enhance_defense]</t>
    <phoneticPr fontId="5"/>
  </si>
  <si>
    <t>[effect:enemy_message, val1:1.2, val2:1.2],[effect:enhance_enemy, target:myself, turn:-1, status:defense, val:0, calc:add, animation:enemy_enhance_defense]</t>
    <phoneticPr fontId="5"/>
  </si>
  <si>
    <t>[effect:enemy_message, val1:1.2, val2:1.2],[effect:tolerance, target:myself, turn:-1, count:-1, tolerance_effect:all, animation:enemy_tolerance],[effect:attack_break, target:enemy_all, turn:-1, val:0.5, calc:mul, animation:attack_break03],[effect:fix_speed, target:myself, turn:1]</t>
    <phoneticPr fontId="5"/>
  </si>
  <si>
    <t>[effect:enemy_message, val1:1.2, val2:1.2],[effect:force_change_block, new_block:damage, target:block_green, count:2, val:0.08, animation:change_block]</t>
    <phoneticPr fontId="5"/>
  </si>
  <si>
    <t>[effect:enemy_message, val1:1.2, val2:1.2],[effect:attack_break, target:enemy_all, turn:-1, val:0.1, calc:mul, animation:attack_break03],[effect:fix_speed, target:myself, turn:1]</t>
    <phoneticPr fontId="5"/>
  </si>
  <si>
    <t>[effect:enemy_message, val1:1.2, val2:1.2],[effect:force_change_block, new_block:damage, target:block_green, count:1, val:0.08 animation:change_block],[effect:force_change_block, new_block:damage, target:block_blue, count:1, val:0.08 animation:change_block]</t>
    <phoneticPr fontId="5"/>
  </si>
  <si>
    <t>[effect:enemy_message, val1:1.2, val2:1.2, dead_type:suicide]</t>
  </si>
  <si>
    <t>[effect:enemy_message, val1:1.2, val2:1.2, dead_type:suicide]</t>
    <phoneticPr fontId="5"/>
  </si>
  <si>
    <t>[effect:enemy_message, val1:1.3, val2:1.2, dead_type:suicide]</t>
  </si>
  <si>
    <t>[effect:enemy_message, val1:1.2, val2:1.2],[effect:enhance_enemy, target:myself, turn:-1, status:defense, val:3750, calc:add, animation:enemy_enhance_defense]</t>
    <phoneticPr fontId="5"/>
  </si>
  <si>
    <t>[effect:enemy_message, val1:1.2, val2:1.2],[effect:enhance_enemy, target:myself, turn:-1, status:defense, val:1250, calc:add, animation:enemy_enhance_defense]</t>
    <phoneticPr fontId="5"/>
  </si>
  <si>
    <t>[effect:enemy_message, val1:1.2, val2:1.2],[effect:force_change_block, new_block:jammer, target:block_green, count:1, val:0, animation:change_block]</t>
  </si>
  <si>
    <t>だ、誰だ・・オマエラ・・</t>
    <rPh sb="2" eb="3">
      <t>ダレd</t>
    </rPh>
    <phoneticPr fontId="5"/>
  </si>
  <si>
    <t>怖くなんかないぞ・・</t>
    <rPh sb="0" eb="1">
      <t>コワk</t>
    </rPh>
    <phoneticPr fontId="5"/>
  </si>
  <si>
    <t>く、来るなら来やがれ・・</t>
    <rPh sb="2" eb="3">
      <t>クルn</t>
    </rPh>
    <rPh sb="6" eb="7">
      <t>キヤガr</t>
    </rPh>
    <phoneticPr fontId="5"/>
  </si>
  <si>
    <t>てめえら、調子にのるな！</t>
    <rPh sb="5" eb="7">
      <t>チョ</t>
    </rPh>
    <phoneticPr fontId="5"/>
  </si>
  <si>
    <t>[effect:enemy_message, val1:1.2, val2:1.2],[effect:force_change_block, new_block:damage, target:block_green, count:1, val:0.09, animation:change_block]</t>
    <phoneticPr fontId="5"/>
  </si>
  <si>
    <t>[effect:enemy_message, val1:1.2, val2:1.2],[effect:force_change_block, new_block:damage, target:block_blue, count:1, val:0.09, animation:change_block]</t>
    <phoneticPr fontId="5"/>
  </si>
  <si>
    <t>[effect:enemy_message, val1:1.2, val2:1.2],[effect:hungup, target:unit_all, turn:1, rate:1, animation:hungup01]</t>
    <phoneticPr fontId="5"/>
  </si>
  <si>
    <t>[effect:enemy_message, val1:1.2, val2:1.2],[effect:force_change_block, new_block:jammer, target:block_green, count:2, val:0, animation:change_block]</t>
    <phoneticPr fontId="5"/>
  </si>
  <si>
    <t>[effect:enemy_message, val1:1.2, val2:1.2],[effect:force_change_block, new_block:jammer, target:block_green, count:1, val:0, animation:change_block],[effect:force_change_block, new_block:jammer, target:block_red, count:1, val:0, animation:change_block]</t>
    <phoneticPr fontId="5"/>
  </si>
  <si>
    <t>[effect:enemy_message, val1:1.2, val2:1.2],[effect:force_change_block, new_block:jammer, target:block_red, count:1, val:0, animation:change_block]</t>
    <phoneticPr fontId="5"/>
  </si>
  <si>
    <t>ブヒィーーーーー！！</t>
    <phoneticPr fontId="5"/>
  </si>
  <si>
    <t>これでも持っていけ！</t>
    <rPh sb="4" eb="5">
      <t>モッt</t>
    </rPh>
    <phoneticPr fontId="5"/>
  </si>
  <si>
    <t>ブチ切れ</t>
    <phoneticPr fontId="5"/>
  </si>
  <si>
    <t>ブヒィーーーーー！！</t>
    <phoneticPr fontId="5"/>
  </si>
  <si>
    <t>[effect:enemy_message, val1:1.2, val2:1.2],[effect:damage_gravity, val:0.5, animation:fevergauge_down]</t>
    <phoneticPr fontId="5"/>
  </si>
  <si>
    <t>張り切っているが、ショート寸前</t>
    <rPh sb="0" eb="1">
      <t>ハリキッt</t>
    </rPh>
    <phoneticPr fontId="5"/>
  </si>
  <si>
    <t>[effect:enemy_message, val1:1.5, val2:1.2],[effect:enhance_enemy, target:myself, turn:-1, status:defense, val:10000, calc:add, animation:enemy_enhance_defense]</t>
    <phoneticPr fontId="5"/>
  </si>
  <si>
    <t>4回連続攻撃</t>
    <phoneticPr fontId="5"/>
  </si>
  <si>
    <t>カルテットターン</t>
    <phoneticPr fontId="5"/>
  </si>
  <si>
    <t>2回連続攻撃</t>
    <phoneticPr fontId="5"/>
  </si>
  <si>
    <t>ブヒ連弾！！</t>
    <rPh sb="2" eb="4">
      <t>レンd</t>
    </rPh>
    <phoneticPr fontId="5"/>
  </si>
  <si>
    <t>[effect:enemy_message, val1:1.2, val2:1.2],[effect:rush, count:4, val:0.1]</t>
    <phoneticPr fontId="5"/>
  </si>
  <si>
    <t>[effect:enemy_message, val1:1.2, val2:1.2],[effect:hungup, target:unit_all, turn:2, rate:1, animation:hungup01]</t>
    <phoneticPr fontId="5"/>
  </si>
  <si>
    <t>そ、そんな・・・</t>
    <phoneticPr fontId="5"/>
  </si>
  <si>
    <t>暴走</t>
    <rPh sb="0" eb="2">
      <t>ボウソ</t>
    </rPh>
    <phoneticPr fontId="5"/>
  </si>
  <si>
    <t>お邪魔します</t>
    <phoneticPr fontId="5"/>
  </si>
  <si>
    <t>すまんのぅ</t>
    <phoneticPr fontId="5"/>
  </si>
  <si>
    <t>[effect:enemy_message, val1:1.2, val2:1.2],[effect:rush, count:2, val:1.0]</t>
    <phoneticPr fontId="5"/>
  </si>
  <si>
    <t>[effect:enemy_message, val1:1.2, val2:1.2],[effect:attack_break, target:unit_all, turn:3, val:0.2, calc:mul, animation:attack_break01]</t>
    <phoneticPr fontId="5"/>
  </si>
  <si>
    <t>3ターン全ユニットの攻撃力20％DOWN</t>
    <rPh sb="4" eb="5">
      <t>ゼンb</t>
    </rPh>
    <rPh sb="10" eb="13">
      <t>コウゲk</t>
    </rPh>
    <phoneticPr fontId="5"/>
  </si>
  <si>
    <t>[effect:enemy_message, val1:1.2, val2:1.2],[effect:critical, val:1.1, animation:enemy_critical],[effect:panel_freeze, target:normal, color:block_heart, count:2]</t>
    <phoneticPr fontId="5"/>
  </si>
  <si>
    <t>[effect:enemy_message, val1:1.2, val2:1.2],[effect:attack_break, target:unit_all, turn:3, val:0.1, calc:mul, animation:attack_break01]</t>
    <phoneticPr fontId="5"/>
  </si>
  <si>
    <t>3ターン全ユニットの攻撃力10％DOWN</t>
    <rPh sb="4" eb="5">
      <t>ゼンb</t>
    </rPh>
    <rPh sb="10" eb="13">
      <t>コウゲk</t>
    </rPh>
    <phoneticPr fontId="5"/>
  </si>
  <si>
    <t>単体攻撃+緑パネルプロテクト(最大2個)</t>
    <rPh sb="0" eb="4">
      <t>タンタイ</t>
    </rPh>
    <rPh sb="5" eb="6">
      <t>ミドr</t>
    </rPh>
    <phoneticPr fontId="5"/>
  </si>
  <si>
    <t>単体攻撃+緑＆ハートパネルプロテクト(最大1個ずつ)</t>
    <rPh sb="0" eb="4">
      <t>タンタ</t>
    </rPh>
    <rPh sb="19" eb="21">
      <t>サイダ</t>
    </rPh>
    <phoneticPr fontId="5"/>
  </si>
  <si>
    <t>単体攻撃緑+パネルプロテクト(最大1個)</t>
    <rPh sb="0" eb="4">
      <t>タンタイコウ</t>
    </rPh>
    <rPh sb="4" eb="5">
      <t>ミドr</t>
    </rPh>
    <phoneticPr fontId="5"/>
  </si>
  <si>
    <t>単体攻撃+ハートパネルプロテクト(最大1個ずつ)</t>
    <rPh sb="0" eb="4">
      <t>タンタ</t>
    </rPh>
    <rPh sb="17" eb="19">
      <t>サイダ</t>
    </rPh>
    <phoneticPr fontId="5"/>
  </si>
  <si>
    <t>[effect:enemy_message, val1:1.2, val2:1.2],[effect:panel_freeze, target:normal, color:block_green, count:1],[effect:rush, count:1, val:0.5],[effect:rush, count:1, val:0.5]</t>
    <phoneticPr fontId="5"/>
  </si>
  <si>
    <t>[effect:enemy_message, val1:1.2, val2:1.2],[effect:panel_freeze, target:normal, color:block_green, count:2],[effect:rush, count:1, val:0.8]</t>
    <phoneticPr fontId="5"/>
  </si>
  <si>
    <t>[effect:enemy_message, val1:1.2, val2:1.2],[effect:panel_freeze, target:normal, color:block_heart, count:1],[effect:rush, count:1, val:0.8]</t>
    <phoneticPr fontId="5"/>
  </si>
  <si>
    <t>[effect:enemy_message, val1:1.2, val2:1.2],[effect:rush, count:4, val:0.1]</t>
    <phoneticPr fontId="5"/>
  </si>
  <si>
    <t>[effect:enemy_message, val1:1.2, val2:1.2],[effect:rush, count:2, val:1.5]</t>
    <phoneticPr fontId="5"/>
  </si>
  <si>
    <t>[effect:critical, val:0.5, animation:enemy_critical]</t>
  </si>
  <si>
    <t>攻撃力50％DOWN</t>
    <rPh sb="0" eb="3">
      <t>コウゲk</t>
    </rPh>
    <phoneticPr fontId="5"/>
  </si>
  <si>
    <t>[effect:enemy_message, val1:1.2, val2:1.2],[effect:attack_break, target:enemy_all, turn:-1, val:0.5, calc:mul, animation:attack_break03],[effect:fix_speed, target:myself, turn:1]</t>
    <phoneticPr fontId="5"/>
  </si>
  <si>
    <t>[effect:enemy_message, val1:1.2, val2:1.2],[effect:critical, val:0.8, animation:enemy_critical],[effect:panel_freeze, target:normal, color:block_heart, count:2]</t>
    <phoneticPr fontId="5"/>
  </si>
  <si>
    <t>[effect:enemy_message, val1:1.2, val2:1.2],[effect:rush, count:2, val:1.2]</t>
    <phoneticPr fontId="5"/>
  </si>
  <si>
    <t>[effect:enemy_message, val1:1.2, val2:1.2],[effect:damage_gravity, val:0.5, animation:fevergauge_down]</t>
    <phoneticPr fontId="5"/>
  </si>
  <si>
    <t>[effect:enemy_message, val1:1.2, val2:1.2],[effect:damage_gravity, val:0.5, animation:fevergauge_down]</t>
    <phoneticPr fontId="5"/>
  </si>
  <si>
    <t>攻撃力UP</t>
    <rPh sb="0" eb="3">
      <t>コウゲk</t>
    </rPh>
    <phoneticPr fontId="5"/>
  </si>
  <si>
    <t>[effect:enemy_message, val1:1.2, val2:1.2],[effect:enhance_enemy, target:myself, turn:-1, status:attack, val:0.3, calc:mul, animation:enemy_enhance_attack]</t>
    <phoneticPr fontId="5"/>
  </si>
  <si>
    <t>[effect:enemy_message, val1:1.2, val2:1.2],[effect:enhance_enemy, target:myself, turn:-1, status:attack, val:0.4, calc:mul, animation:enemy_enhance_attack]</t>
    <phoneticPr fontId="5"/>
  </si>
  <si>
    <t>[effect:enemy_message, val1:1.2, val2:1.2],[effect:rush, count:2, val:0.6]</t>
    <phoneticPr fontId="5"/>
  </si>
  <si>
    <t>[effect:enemy_message, val1:1.2, val2:1.2],[effect:damage_gravity, val:0.6, animation:fevergauge_down]</t>
    <phoneticPr fontId="5"/>
  </si>
  <si>
    <t>残りHPの60％ダメージ</t>
    <rPh sb="0" eb="1">
      <t>ノコr</t>
    </rPh>
    <phoneticPr fontId="5"/>
  </si>
  <si>
    <t>[effect:enemy_message, val1:1.2, val2:1.2],[effect:panel_freeze, target:normal, color:block_green, count:1],[effect:panel_freeze, target:normal, color:block_heart, count:1],[effect:rush, count:1, val:0.3]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</si>
</sst>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7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3"/>
      <color rgb="FFFF0000"/>
      <name val="ＭＳ Ｐゴシック"/>
      <family val="3"/>
      <charset val="128"/>
      <scheme val="minor"/>
    </font>
    <font>
      <sz val="13"/>
      <color rgb="FF00B0F0"/>
      <name val="ＭＳ Ｐゴシック"/>
      <family val="3"/>
      <charset val="128"/>
      <scheme val="minor"/>
    </font>
    <font>
      <sz val="13"/>
      <color rgb="FF0070C0"/>
      <name val="ＭＳ Ｐゴシック"/>
      <family val="3"/>
      <charset val="128"/>
      <scheme val="minor"/>
    </font>
    <font>
      <sz val="13"/>
      <color rgb="FFC00000"/>
      <name val="ＭＳ Ｐゴシック"/>
      <family val="3"/>
      <charset val="128"/>
      <scheme val="minor"/>
    </font>
    <font>
      <sz val="14.4"/>
      <color theme="1"/>
      <name val="Arial"/>
    </font>
    <font>
      <sz val="13"/>
      <color rgb="FFFFFF00"/>
      <name val="ＭＳ Ｐゴシック"/>
      <family val="3"/>
      <charset val="128"/>
      <scheme val="minor"/>
    </font>
    <font>
      <sz val="13"/>
      <color rgb="FF00B050"/>
      <name val="ＭＳ Ｐゴシック"/>
      <family val="3"/>
      <charset val="128"/>
      <scheme val="minor"/>
    </font>
    <font>
      <sz val="10"/>
      <color rgb="FFFFFF00"/>
      <name val="ＭＳ Ｐゴシック"/>
      <family val="3"/>
      <charset val="128"/>
      <scheme val="minor"/>
    </font>
    <font>
      <sz val="10"/>
      <color rgb="FFC00000"/>
      <name val="ＭＳ Ｐゴシック"/>
      <family val="3"/>
      <charset val="128"/>
      <scheme val="minor"/>
    </font>
    <font>
      <sz val="10"/>
      <color rgb="FF002060"/>
      <name val="ＭＳ Ｐゴシック"/>
      <family val="3"/>
      <charset val="128"/>
      <scheme val="minor"/>
    </font>
    <font>
      <sz val="10"/>
      <color rgb="FF00B0F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3"/>
      <color rgb="FFFFC000"/>
      <name val="ＭＳ Ｐゴシック"/>
      <family val="3"/>
      <charset val="128"/>
      <scheme val="minor"/>
    </font>
    <font>
      <sz val="13"/>
      <color rgb="FF92D050"/>
      <name val="ＭＳ Ｐゴシック"/>
      <family val="3"/>
      <charset val="128"/>
      <scheme val="minor"/>
    </font>
    <font>
      <sz val="13"/>
      <color rgb="FF7030A0"/>
      <name val="ＭＳ Ｐゴシック"/>
      <family val="3"/>
      <charset val="128"/>
      <scheme val="minor"/>
    </font>
    <font>
      <sz val="10"/>
      <color rgb="FFFFC000"/>
      <name val="ＭＳ Ｐゴシック"/>
      <family val="3"/>
      <charset val="128"/>
      <scheme val="minor"/>
    </font>
    <font>
      <sz val="10"/>
      <color rgb="FF92D050"/>
      <name val="ＭＳ Ｐゴシック"/>
      <family val="3"/>
      <charset val="128"/>
      <scheme val="minor"/>
    </font>
    <font>
      <sz val="10"/>
      <color rgb="FF00B050"/>
      <name val="ＭＳ Ｐゴシック"/>
      <family val="3"/>
      <charset val="128"/>
      <scheme val="minor"/>
    </font>
    <font>
      <sz val="13"/>
      <color theme="1"/>
      <name val="ＭＳ Ｐゴシック"/>
      <family val="3"/>
      <charset val="128"/>
      <scheme val="minor"/>
    </font>
    <font>
      <sz val="14"/>
      <color rgb="FF0000FF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11" fillId="0" borderId="7" xfId="0" applyFont="1" applyBorder="1"/>
    <xf numFmtId="0" fontId="52" fillId="0" borderId="7" xfId="0" applyFont="1" applyBorder="1" applyAlignment="1">
      <alignment vertical="center"/>
    </xf>
    <xf numFmtId="0" fontId="53" fillId="0" borderId="7" xfId="0" applyFont="1" applyBorder="1"/>
    <xf numFmtId="0" fontId="54" fillId="0" borderId="7" xfId="0" applyFont="1" applyBorder="1"/>
    <xf numFmtId="0" fontId="55" fillId="0" borderId="7" xfId="0" applyFont="1" applyBorder="1"/>
    <xf numFmtId="0" fontId="56" fillId="0" borderId="7" xfId="0" applyFont="1" applyBorder="1"/>
    <xf numFmtId="0" fontId="11" fillId="0" borderId="10" xfId="0" applyFont="1" applyBorder="1" applyAlignment="1">
      <alignment horizontal="left" vertical="center" wrapText="1"/>
    </xf>
    <xf numFmtId="0" fontId="57" fillId="0" borderId="0" xfId="0" applyFont="1"/>
    <xf numFmtId="0" fontId="58" fillId="0" borderId="7" xfId="0" applyFont="1" applyBorder="1"/>
    <xf numFmtId="0" fontId="59" fillId="0" borderId="7" xfId="0" applyFont="1" applyBorder="1"/>
    <xf numFmtId="0" fontId="60" fillId="0" borderId="7" xfId="0" applyFont="1" applyBorder="1" applyAlignment="1">
      <alignment vertical="center"/>
    </xf>
    <xf numFmtId="0" fontId="61" fillId="0" borderId="7" xfId="0" applyFont="1" applyBorder="1" applyAlignment="1">
      <alignment vertical="center"/>
    </xf>
    <xf numFmtId="0" fontId="62" fillId="0" borderId="7" xfId="0" applyFont="1" applyBorder="1" applyAlignment="1">
      <alignment vertical="center"/>
    </xf>
    <xf numFmtId="0" fontId="63" fillId="0" borderId="7" xfId="0" applyFont="1" applyBorder="1" applyAlignment="1">
      <alignment vertical="center"/>
    </xf>
    <xf numFmtId="0" fontId="64" fillId="0" borderId="7" xfId="0" applyFont="1" applyBorder="1" applyAlignment="1">
      <alignment vertical="center"/>
    </xf>
    <xf numFmtId="0" fontId="65" fillId="0" borderId="7" xfId="0" applyFont="1" applyBorder="1"/>
    <xf numFmtId="0" fontId="66" fillId="0" borderId="7" xfId="0" applyFont="1" applyBorder="1"/>
    <xf numFmtId="0" fontId="67" fillId="0" borderId="7" xfId="0" applyFont="1" applyBorder="1"/>
    <xf numFmtId="0" fontId="16" fillId="0" borderId="0" xfId="0" applyFont="1"/>
    <xf numFmtId="0" fontId="68" fillId="0" borderId="7" xfId="0" applyFont="1" applyBorder="1" applyAlignment="1">
      <alignment vertical="center"/>
    </xf>
    <xf numFmtId="0" fontId="69" fillId="0" borderId="7" xfId="0" applyFont="1" applyBorder="1" applyAlignment="1">
      <alignment vertical="center"/>
    </xf>
    <xf numFmtId="0" fontId="70" fillId="0" borderId="7" xfId="0" applyFont="1" applyBorder="1" applyAlignment="1">
      <alignment vertical="center"/>
    </xf>
    <xf numFmtId="0" fontId="64" fillId="7" borderId="0" xfId="0" applyFont="1" applyFill="1" applyAlignment="1">
      <alignment vertical="center"/>
    </xf>
    <xf numFmtId="0" fontId="64" fillId="0" borderId="0" xfId="0" applyFont="1" applyAlignment="1">
      <alignment vertical="center"/>
    </xf>
    <xf numFmtId="0" fontId="71" fillId="0" borderId="7" xfId="0" applyFont="1" applyBorder="1"/>
    <xf numFmtId="0" fontId="72" fillId="0" borderId="0" xfId="0" applyFont="1"/>
  </cellXfs>
  <cellStyles count="70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赤字強調" xfId="431"/>
    <cellStyle name="青字強調" xfId="43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47013</v>
          </cell>
        </row>
        <row r="282">
          <cell r="A282">
            <v>49001</v>
          </cell>
        </row>
        <row r="283">
          <cell r="A283">
            <v>49002</v>
          </cell>
        </row>
        <row r="284">
          <cell r="A284">
            <v>49003</v>
          </cell>
        </row>
        <row r="285">
          <cell r="A285">
            <v>49004</v>
          </cell>
        </row>
        <row r="286">
          <cell r="A286">
            <v>49005</v>
          </cell>
        </row>
        <row r="287">
          <cell r="A287">
            <v>49006</v>
          </cell>
        </row>
        <row r="288">
          <cell r="A288">
            <v>49007</v>
          </cell>
        </row>
        <row r="289">
          <cell r="A289">
            <v>49008</v>
          </cell>
        </row>
        <row r="290">
          <cell r="A290">
            <v>49009</v>
          </cell>
        </row>
        <row r="291">
          <cell r="A291">
            <v>49010</v>
          </cell>
        </row>
        <row r="292">
          <cell r="A292">
            <v>49011</v>
          </cell>
        </row>
        <row r="293">
          <cell r="A293">
            <v>49012</v>
          </cell>
        </row>
        <row r="294">
          <cell r="A294">
            <v>49013</v>
          </cell>
        </row>
        <row r="295">
          <cell r="A295">
            <v>49014</v>
          </cell>
        </row>
        <row r="296">
          <cell r="A296">
            <v>49015</v>
          </cell>
        </row>
        <row r="297">
          <cell r="A297">
            <v>50001</v>
          </cell>
        </row>
        <row r="298">
          <cell r="A298">
            <v>50002</v>
          </cell>
        </row>
        <row r="299">
          <cell r="A299">
            <v>50003</v>
          </cell>
        </row>
        <row r="300">
          <cell r="A300">
            <v>50004</v>
          </cell>
        </row>
        <row r="301">
          <cell r="A301">
            <v>50005</v>
          </cell>
        </row>
        <row r="302">
          <cell r="A302">
            <v>50006</v>
          </cell>
        </row>
        <row r="303">
          <cell r="A303">
            <v>50007</v>
          </cell>
        </row>
        <row r="304">
          <cell r="A304">
            <v>50008</v>
          </cell>
        </row>
        <row r="305">
          <cell r="A305">
            <v>50009</v>
          </cell>
        </row>
        <row r="306">
          <cell r="A306">
            <v>50010</v>
          </cell>
        </row>
        <row r="307">
          <cell r="A307">
            <v>50011</v>
          </cell>
        </row>
        <row r="308">
          <cell r="A308">
            <v>50012</v>
          </cell>
        </row>
        <row r="309">
          <cell r="A309">
            <v>50013</v>
          </cell>
        </row>
        <row r="310">
          <cell r="A310">
            <v>50014</v>
          </cell>
        </row>
        <row r="311">
          <cell r="A311">
            <v>50015</v>
          </cell>
        </row>
        <row r="312">
          <cell r="A312">
            <v>51001</v>
          </cell>
        </row>
        <row r="313">
          <cell r="A313">
            <v>51002</v>
          </cell>
        </row>
        <row r="314">
          <cell r="A314">
            <v>58001</v>
          </cell>
        </row>
        <row r="315">
          <cell r="A315">
            <v>59001</v>
          </cell>
        </row>
        <row r="316">
          <cell r="A316">
            <v>59002</v>
          </cell>
        </row>
        <row r="317">
          <cell r="A317">
            <v>60001</v>
          </cell>
        </row>
        <row r="318">
          <cell r="A318">
            <v>60002</v>
          </cell>
        </row>
        <row r="319">
          <cell r="A319">
            <v>60003</v>
          </cell>
        </row>
        <row r="320">
          <cell r="A320">
            <v>60004</v>
          </cell>
        </row>
        <row r="321">
          <cell r="A321">
            <v>60005</v>
          </cell>
        </row>
        <row r="322">
          <cell r="A322">
            <v>60006</v>
          </cell>
        </row>
        <row r="323">
          <cell r="A323">
            <v>60007</v>
          </cell>
        </row>
        <row r="324">
          <cell r="A324">
            <v>60010</v>
          </cell>
        </row>
        <row r="325">
          <cell r="A325">
            <v>60011</v>
          </cell>
        </row>
        <row r="326">
          <cell r="A326">
            <v>61011</v>
          </cell>
        </row>
        <row r="327">
          <cell r="A327">
            <v>60012</v>
          </cell>
        </row>
        <row r="328">
          <cell r="A328">
            <v>60013</v>
          </cell>
        </row>
        <row r="329">
          <cell r="A329">
            <v>60014</v>
          </cell>
        </row>
        <row r="330">
          <cell r="A330">
            <v>60015</v>
          </cell>
        </row>
        <row r="331">
          <cell r="A331">
            <v>60016</v>
          </cell>
        </row>
        <row r="332">
          <cell r="A332">
            <v>60017</v>
          </cell>
        </row>
        <row r="333">
          <cell r="A333">
            <v>60018</v>
          </cell>
        </row>
        <row r="334">
          <cell r="A334">
            <v>60019</v>
          </cell>
        </row>
        <row r="335">
          <cell r="A335">
            <v>60020</v>
          </cell>
        </row>
        <row r="336">
          <cell r="A336">
            <v>60025</v>
          </cell>
        </row>
        <row r="337">
          <cell r="A337">
            <v>60026</v>
          </cell>
        </row>
        <row r="338">
          <cell r="A338">
            <v>60027</v>
          </cell>
        </row>
        <row r="339">
          <cell r="A339">
            <v>60028</v>
          </cell>
        </row>
        <row r="340">
          <cell r="A340">
            <v>60029</v>
          </cell>
        </row>
        <row r="341">
          <cell r="A341">
            <v>65523</v>
          </cell>
        </row>
        <row r="342">
          <cell r="A342">
            <v>65524</v>
          </cell>
        </row>
        <row r="343">
          <cell r="A343">
            <v>65525</v>
          </cell>
        </row>
        <row r="344">
          <cell r="A344">
            <v>65526</v>
          </cell>
        </row>
        <row r="345">
          <cell r="A345">
            <v>65527</v>
          </cell>
        </row>
        <row r="346">
          <cell r="A346">
            <v>65528</v>
          </cell>
        </row>
        <row r="347">
          <cell r="A347">
            <v>65529</v>
          </cell>
        </row>
        <row r="348">
          <cell r="A348">
            <v>65530</v>
          </cell>
        </row>
        <row r="349">
          <cell r="A349">
            <v>65531</v>
          </cell>
        </row>
        <row r="350">
          <cell r="A350">
            <v>65532</v>
          </cell>
        </row>
        <row r="351">
          <cell r="A351">
            <v>65533</v>
          </cell>
        </row>
        <row r="352">
          <cell r="A352">
            <v>65534</v>
          </cell>
        </row>
        <row r="353">
          <cell r="A353">
            <v>65535</v>
          </cell>
        </row>
        <row r="354">
          <cell r="A354">
            <v>60021</v>
          </cell>
        </row>
        <row r="355">
          <cell r="A355">
            <v>60022</v>
          </cell>
        </row>
        <row r="356">
          <cell r="A356">
            <v>60023</v>
          </cell>
        </row>
        <row r="357">
          <cell r="A35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47013_1</v>
          </cell>
        </row>
        <row r="862">
          <cell r="A862" t="str">
            <v>47013_2</v>
          </cell>
        </row>
        <row r="863">
          <cell r="A863" t="str">
            <v>48001_1</v>
          </cell>
        </row>
        <row r="864">
          <cell r="A864" t="str">
            <v>48002_1</v>
          </cell>
        </row>
        <row r="865">
          <cell r="A865" t="str">
            <v>48002_2</v>
          </cell>
        </row>
        <row r="866">
          <cell r="A866" t="str">
            <v>48002_3</v>
          </cell>
        </row>
        <row r="867">
          <cell r="A867" t="str">
            <v>48003_1</v>
          </cell>
        </row>
        <row r="868">
          <cell r="A868" t="str">
            <v>48003_2</v>
          </cell>
        </row>
        <row r="869">
          <cell r="A869" t="str">
            <v>48004_1</v>
          </cell>
        </row>
        <row r="870">
          <cell r="A870" t="str">
            <v>48004_2</v>
          </cell>
        </row>
        <row r="871">
          <cell r="A871" t="str">
            <v>48005_1</v>
          </cell>
        </row>
        <row r="872">
          <cell r="A872" t="str">
            <v>48005_2</v>
          </cell>
        </row>
        <row r="873">
          <cell r="A873" t="str">
            <v>48006_1</v>
          </cell>
        </row>
        <row r="874">
          <cell r="A874" t="str">
            <v>48006_2</v>
          </cell>
        </row>
        <row r="875">
          <cell r="A875" t="str">
            <v>48007_1</v>
          </cell>
        </row>
        <row r="876">
          <cell r="A876" t="str">
            <v>48007_2</v>
          </cell>
        </row>
        <row r="877">
          <cell r="A877" t="str">
            <v>48008_1</v>
          </cell>
        </row>
        <row r="878">
          <cell r="A878" t="str">
            <v>48008_2</v>
          </cell>
        </row>
        <row r="879">
          <cell r="A879" t="str">
            <v>48009_1</v>
          </cell>
        </row>
        <row r="880">
          <cell r="A880" t="str">
            <v>48009_2</v>
          </cell>
        </row>
        <row r="881">
          <cell r="A881" t="str">
            <v>48010_1</v>
          </cell>
        </row>
        <row r="882">
          <cell r="A882" t="str">
            <v>48011_1</v>
          </cell>
        </row>
        <row r="883">
          <cell r="A883" t="str">
            <v>48011_2</v>
          </cell>
        </row>
        <row r="884">
          <cell r="A884" t="str">
            <v>48012_1</v>
          </cell>
        </row>
        <row r="885">
          <cell r="A885" t="str">
            <v>48012_2</v>
          </cell>
        </row>
        <row r="886">
          <cell r="A886" t="str">
            <v>48501_1</v>
          </cell>
        </row>
        <row r="887">
          <cell r="A887" t="str">
            <v>48501_2</v>
          </cell>
        </row>
        <row r="888">
          <cell r="A888" t="str">
            <v>48502_1</v>
          </cell>
        </row>
        <row r="889">
          <cell r="A889" t="str">
            <v>48502_2</v>
          </cell>
        </row>
        <row r="890">
          <cell r="A890" t="str">
            <v>48701_1</v>
          </cell>
        </row>
        <row r="891">
          <cell r="A891" t="str">
            <v>48701_2</v>
          </cell>
        </row>
        <row r="892">
          <cell r="A892" t="str">
            <v>48702_1</v>
          </cell>
        </row>
        <row r="893">
          <cell r="A893" t="str">
            <v>48702_2</v>
          </cell>
        </row>
        <row r="894">
          <cell r="A894" t="str">
            <v>49001_1</v>
          </cell>
        </row>
        <row r="895">
          <cell r="A895" t="str">
            <v>49002_1</v>
          </cell>
        </row>
        <row r="896">
          <cell r="A896" t="str">
            <v>49002_2</v>
          </cell>
        </row>
        <row r="897">
          <cell r="A897" t="str">
            <v>49003_1</v>
          </cell>
        </row>
        <row r="898">
          <cell r="A898" t="str">
            <v>49003_2</v>
          </cell>
        </row>
        <row r="899">
          <cell r="A899" t="str">
            <v>49004_1</v>
          </cell>
        </row>
        <row r="900">
          <cell r="A900" t="str">
            <v>49004_2</v>
          </cell>
        </row>
        <row r="901">
          <cell r="A901" t="str">
            <v>49004_3</v>
          </cell>
        </row>
        <row r="902">
          <cell r="A902" t="str">
            <v>49005_1</v>
          </cell>
        </row>
        <row r="903">
          <cell r="A903" t="str">
            <v>49006_1</v>
          </cell>
        </row>
        <row r="904">
          <cell r="A904" t="str">
            <v>49006_2</v>
          </cell>
        </row>
        <row r="905">
          <cell r="A905" t="str">
            <v>49007_1</v>
          </cell>
        </row>
        <row r="906">
          <cell r="A906" t="str">
            <v>49007_2</v>
          </cell>
        </row>
        <row r="907">
          <cell r="A907" t="str">
            <v>49007_3</v>
          </cell>
        </row>
        <row r="908">
          <cell r="A908" t="str">
            <v>49008_1</v>
          </cell>
        </row>
        <row r="909">
          <cell r="A909" t="str">
            <v>49009_1</v>
          </cell>
        </row>
        <row r="910">
          <cell r="A910" t="str">
            <v>49010_1</v>
          </cell>
        </row>
        <row r="911">
          <cell r="A911" t="str">
            <v>49011_1</v>
          </cell>
        </row>
        <row r="912">
          <cell r="A912" t="str">
            <v>49012_1</v>
          </cell>
        </row>
        <row r="913">
          <cell r="A913" t="str">
            <v>49013_1</v>
          </cell>
        </row>
        <row r="914">
          <cell r="A914" t="str">
            <v>49014_1</v>
          </cell>
        </row>
        <row r="915">
          <cell r="A915" t="str">
            <v>49014_2</v>
          </cell>
        </row>
        <row r="916">
          <cell r="A916" t="str">
            <v>49015_1</v>
          </cell>
        </row>
        <row r="917">
          <cell r="A917" t="str">
            <v>49015_2</v>
          </cell>
        </row>
        <row r="918">
          <cell r="A918" t="str">
            <v>49015_3</v>
          </cell>
        </row>
        <row r="919">
          <cell r="A919" t="str">
            <v>50001_1</v>
          </cell>
        </row>
        <row r="920">
          <cell r="A920" t="str">
            <v>50002_1</v>
          </cell>
        </row>
        <row r="921">
          <cell r="A921" t="str">
            <v>50003_1</v>
          </cell>
        </row>
        <row r="922">
          <cell r="A922" t="str">
            <v>50004_1</v>
          </cell>
        </row>
        <row r="923">
          <cell r="A923" t="str">
            <v>50005_1</v>
          </cell>
        </row>
        <row r="924">
          <cell r="A924" t="str">
            <v>50006_1</v>
          </cell>
        </row>
        <row r="925">
          <cell r="A925" t="str">
            <v>50007_1</v>
          </cell>
        </row>
        <row r="926">
          <cell r="A926" t="str">
            <v>50008_1</v>
          </cell>
        </row>
        <row r="927">
          <cell r="A927" t="str">
            <v>50009_1</v>
          </cell>
        </row>
        <row r="928">
          <cell r="A928" t="str">
            <v>50010_1</v>
          </cell>
        </row>
        <row r="929">
          <cell r="A929" t="str">
            <v>50011_1</v>
          </cell>
        </row>
        <row r="930">
          <cell r="A930" t="str">
            <v>50012_1</v>
          </cell>
        </row>
        <row r="931">
          <cell r="A931" t="str">
            <v>50013_1</v>
          </cell>
        </row>
        <row r="932">
          <cell r="A932" t="str">
            <v>50014_1</v>
          </cell>
        </row>
        <row r="933">
          <cell r="A933" t="str">
            <v>50015_1</v>
          </cell>
        </row>
        <row r="934">
          <cell r="A934" t="str">
            <v>51001_1</v>
          </cell>
        </row>
        <row r="935">
          <cell r="A935" t="str">
            <v>51002_1</v>
          </cell>
        </row>
        <row r="936">
          <cell r="A936" t="str">
            <v>58001_1</v>
          </cell>
        </row>
        <row r="937">
          <cell r="A937" t="str">
            <v>59001_1</v>
          </cell>
        </row>
        <row r="938">
          <cell r="A938" t="str">
            <v>59002_1</v>
          </cell>
        </row>
        <row r="939">
          <cell r="A939" t="str">
            <v>60001_1</v>
          </cell>
        </row>
        <row r="940">
          <cell r="A940" t="str">
            <v>60002_1</v>
          </cell>
        </row>
        <row r="941">
          <cell r="A941" t="str">
            <v>60002_2</v>
          </cell>
        </row>
        <row r="942">
          <cell r="A942" t="str">
            <v>60003_1</v>
          </cell>
        </row>
        <row r="943">
          <cell r="A943" t="str">
            <v>60003_2</v>
          </cell>
        </row>
        <row r="944">
          <cell r="A944" t="str">
            <v>60003_3</v>
          </cell>
        </row>
        <row r="945">
          <cell r="A945" t="str">
            <v>60004_1</v>
          </cell>
        </row>
        <row r="946">
          <cell r="A946" t="str">
            <v>60005_1</v>
          </cell>
        </row>
        <row r="947">
          <cell r="A947" t="str">
            <v>60006_1</v>
          </cell>
        </row>
        <row r="948">
          <cell r="A948" t="str">
            <v>60006_2</v>
          </cell>
        </row>
        <row r="949">
          <cell r="A949" t="str">
            <v>60006_3</v>
          </cell>
        </row>
        <row r="950">
          <cell r="A950" t="str">
            <v>60007_1</v>
          </cell>
        </row>
        <row r="951">
          <cell r="A951" t="str">
            <v>60007_2</v>
          </cell>
        </row>
        <row r="952">
          <cell r="A952" t="str">
            <v>60007_3</v>
          </cell>
        </row>
        <row r="953">
          <cell r="A953" t="str">
            <v>60010_1</v>
          </cell>
        </row>
        <row r="954">
          <cell r="A954" t="str">
            <v>60011_1</v>
          </cell>
        </row>
        <row r="955">
          <cell r="A955" t="str">
            <v>60011_2</v>
          </cell>
        </row>
        <row r="956">
          <cell r="A956" t="str">
            <v>60012_1</v>
          </cell>
        </row>
        <row r="957">
          <cell r="A957" t="str">
            <v>60013_1</v>
          </cell>
        </row>
        <row r="958">
          <cell r="A958" t="str">
            <v>60013_2</v>
          </cell>
        </row>
        <row r="959">
          <cell r="A959" t="str">
            <v>60013_3</v>
          </cell>
        </row>
        <row r="960">
          <cell r="A960" t="str">
            <v>60014_1</v>
          </cell>
        </row>
        <row r="961">
          <cell r="A961" t="str">
            <v>60015_1</v>
          </cell>
        </row>
        <row r="962">
          <cell r="A962" t="str">
            <v>60016_1</v>
          </cell>
        </row>
        <row r="963">
          <cell r="A963" t="str">
            <v>60017_1</v>
          </cell>
        </row>
        <row r="964">
          <cell r="A964" t="str">
            <v>60018_1</v>
          </cell>
        </row>
        <row r="965">
          <cell r="A965" t="str">
            <v>60019_1</v>
          </cell>
        </row>
        <row r="966">
          <cell r="A966" t="str">
            <v>60020_1</v>
          </cell>
        </row>
        <row r="967">
          <cell r="A967" t="str">
            <v>60021_3</v>
          </cell>
        </row>
        <row r="968">
          <cell r="A968" t="str">
            <v>60022_3</v>
          </cell>
        </row>
        <row r="969">
          <cell r="A969" t="str">
            <v>60023_3</v>
          </cell>
        </row>
        <row r="970">
          <cell r="A970" t="str">
            <v>60024_3</v>
          </cell>
        </row>
        <row r="971">
          <cell r="A971" t="str">
            <v>60025_1</v>
          </cell>
        </row>
        <row r="972">
          <cell r="A972" t="str">
            <v>60026_1</v>
          </cell>
        </row>
        <row r="973">
          <cell r="A973" t="str">
            <v>61011_1</v>
          </cell>
        </row>
        <row r="974">
          <cell r="A974" t="str">
            <v>60027_1</v>
          </cell>
        </row>
        <row r="975">
          <cell r="A975" t="str">
            <v>60028_1</v>
          </cell>
        </row>
        <row r="976">
          <cell r="A976" t="str">
            <v>60029_1</v>
          </cell>
        </row>
        <row r="977">
          <cell r="A977" t="str">
            <v>65523_1</v>
          </cell>
        </row>
        <row r="978">
          <cell r="A978" t="str">
            <v>65523_2</v>
          </cell>
        </row>
        <row r="979">
          <cell r="A979" t="str">
            <v>65523_3</v>
          </cell>
        </row>
        <row r="980">
          <cell r="A980" t="str">
            <v>65524_1</v>
          </cell>
        </row>
        <row r="981">
          <cell r="A981" t="str">
            <v>65524_2</v>
          </cell>
        </row>
        <row r="982">
          <cell r="A982" t="str">
            <v>65525_1</v>
          </cell>
        </row>
        <row r="983">
          <cell r="A983" t="str">
            <v>65526_1</v>
          </cell>
        </row>
        <row r="984">
          <cell r="A984" t="str">
            <v>65526_2</v>
          </cell>
        </row>
        <row r="985">
          <cell r="A985" t="str">
            <v>65527_1</v>
          </cell>
        </row>
        <row r="986">
          <cell r="A986" t="str">
            <v>65528_1</v>
          </cell>
        </row>
        <row r="987">
          <cell r="A987" t="str">
            <v>65529_1</v>
          </cell>
        </row>
        <row r="988">
          <cell r="A988" t="str">
            <v>65530_1</v>
          </cell>
        </row>
        <row r="989">
          <cell r="A989" t="str">
            <v>65531_1</v>
          </cell>
        </row>
        <row r="990">
          <cell r="A990" t="str">
            <v>65531_2</v>
          </cell>
        </row>
        <row r="991">
          <cell r="A991" t="str">
            <v>65532_1</v>
          </cell>
        </row>
        <row r="992">
          <cell r="A992" t="str">
            <v>65532_2</v>
          </cell>
        </row>
        <row r="993">
          <cell r="A993" t="str">
            <v>65533_1</v>
          </cell>
        </row>
        <row r="994">
          <cell r="A994" t="str">
            <v>65533_2</v>
          </cell>
        </row>
        <row r="995">
          <cell r="A995" t="str">
            <v>65534_1</v>
          </cell>
        </row>
        <row r="996">
          <cell r="A996" t="str">
            <v>65534_2</v>
          </cell>
        </row>
        <row r="997">
          <cell r="A997" t="str">
            <v>65535_1</v>
          </cell>
        </row>
        <row r="998">
          <cell r="A998" t="str">
            <v>65535_2</v>
          </cell>
        </row>
        <row r="999">
          <cell r="A999" t="str">
            <v>65535_3</v>
          </cell>
        </row>
        <row r="1000">
          <cell r="A1000" t="str">
            <v>65535_4</v>
          </cell>
        </row>
        <row r="1001">
          <cell r="A1001" t="str">
            <v>65535_5</v>
          </cell>
        </row>
        <row r="1002">
          <cell r="A1002" t="str">
            <v>65535_6</v>
          </cell>
        </row>
        <row r="1003">
          <cell r="A1003" t="str">
            <v>65535_7</v>
          </cell>
        </row>
        <row r="1004">
          <cell r="A1004" t="str">
            <v>65535_8</v>
          </cell>
        </row>
        <row r="1005">
          <cell r="A1005" t="str">
            <v>65535_9</v>
          </cell>
        </row>
        <row r="1006">
          <cell r="A100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6" sqref="E6"/>
    </sheetView>
  </sheetViews>
  <sheetFormatPr baseColWidth="12" defaultRowHeight="15" x14ac:dyDescent="0.15"/>
  <cols>
    <col min="2" max="2" width="27.83203125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290</v>
      </c>
      <c r="B2" s="57" t="s">
        <v>106</v>
      </c>
      <c r="C2" s="62">
        <v>65524</v>
      </c>
      <c r="D2" s="57" t="s">
        <v>107</v>
      </c>
      <c r="E2" s="56" t="str">
        <f>B2&amp;C2&amp;D2</f>
        <v>floors_65524.tmp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290</v>
      </c>
      <c r="B3" s="57" t="s">
        <v>109</v>
      </c>
      <c r="C3" s="62">
        <f>C$2</f>
        <v>65524</v>
      </c>
      <c r="D3" s="57" t="s">
        <v>107</v>
      </c>
      <c r="E3" s="56" t="str">
        <f>B3&amp;C3&amp;D3</f>
        <v>enemy_habitats_65524.tmp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290</v>
      </c>
      <c r="B4" s="57" t="s">
        <v>111</v>
      </c>
      <c r="C4" s="62">
        <f t="shared" ref="C4:C13" si="0">C$2</f>
        <v>65524</v>
      </c>
      <c r="D4" s="57" t="s">
        <v>107</v>
      </c>
      <c r="E4" s="56" t="str">
        <f>B4&amp;C4&amp;D4</f>
        <v>enemy_habitat_S_65524.tmp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290</v>
      </c>
      <c r="B5" s="57" t="s">
        <v>113</v>
      </c>
      <c r="C5" s="62">
        <f t="shared" si="0"/>
        <v>65524</v>
      </c>
      <c r="D5" s="57" t="s">
        <v>107</v>
      </c>
      <c r="E5" s="56" t="str">
        <f>B5&amp;C5&amp;D5</f>
        <v>enemy_skill_sets_65524.tmp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290</v>
      </c>
      <c r="B6" s="57" t="s">
        <v>115</v>
      </c>
      <c r="C6" s="62">
        <f t="shared" si="0"/>
        <v>65524</v>
      </c>
      <c r="D6" s="57" t="s">
        <v>116</v>
      </c>
      <c r="E6" s="56" t="str">
        <f t="shared" ref="E6:E10" si="1">B6&amp;C6&amp;D6</f>
        <v>enemy_skills_tmp_65524.tmp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290</v>
      </c>
      <c r="B7" s="57" t="s">
        <v>117</v>
      </c>
      <c r="C7" s="62">
        <f t="shared" si="0"/>
        <v>65524</v>
      </c>
      <c r="D7" s="57" t="s">
        <v>107</v>
      </c>
      <c r="E7" s="56" t="str">
        <f>B7&amp;C7&amp;D7</f>
        <v>enemy_skills_i18n_65524.tmp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290</v>
      </c>
      <c r="B8" s="57" t="s">
        <v>119</v>
      </c>
      <c r="C8" s="62">
        <f t="shared" si="0"/>
        <v>65524</v>
      </c>
      <c r="D8" s="57" t="s">
        <v>120</v>
      </c>
      <c r="E8" s="56" t="str">
        <f t="shared" si="1"/>
        <v>enemy_skill_triggers_65524.tmp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188</v>
      </c>
      <c r="B9" s="67" t="s">
        <v>178</v>
      </c>
      <c r="C9" s="62">
        <f t="shared" si="0"/>
        <v>65524</v>
      </c>
      <c r="D9" s="67" t="s">
        <v>172</v>
      </c>
      <c r="E9" s="68" t="str">
        <f t="shared" si="1"/>
        <v>stage_bug_bonuses_65524.tmp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7" t="s">
        <v>202</v>
      </c>
      <c r="C10" s="62">
        <f>C$2</f>
        <v>65524</v>
      </c>
      <c r="D10" s="67" t="s">
        <v>181</v>
      </c>
      <c r="E10" s="68" t="str">
        <f t="shared" si="1"/>
        <v>stage_hints_data_c_65524.tmp</v>
      </c>
      <c r="F10" s="67" t="s">
        <v>211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5" customFormat="1" x14ac:dyDescent="0.15">
      <c r="A11" s="61" t="s">
        <v>188</v>
      </c>
      <c r="B11" s="67" t="s">
        <v>203</v>
      </c>
      <c r="C11" s="62">
        <f t="shared" si="0"/>
        <v>65524</v>
      </c>
      <c r="D11" s="67" t="s">
        <v>172</v>
      </c>
      <c r="E11" s="68" t="str">
        <f t="shared" ref="E11:E13" si="2">B11&amp;C11&amp;D11</f>
        <v>stage_hints_data_f_65524.tmp</v>
      </c>
      <c r="F11" s="67" t="s">
        <v>213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5" customFormat="1" x14ac:dyDescent="0.15">
      <c r="A12" s="67" t="s">
        <v>204</v>
      </c>
      <c r="B12" s="67" t="s">
        <v>205</v>
      </c>
      <c r="C12" s="62">
        <f t="shared" si="0"/>
        <v>65524</v>
      </c>
      <c r="D12" s="67" t="s">
        <v>172</v>
      </c>
      <c r="E12" s="68" t="str">
        <f t="shared" si="2"/>
        <v>stage_hints_i18n_65524.tmp</v>
      </c>
      <c r="F12" s="67" t="s">
        <v>214</v>
      </c>
      <c r="G12" s="74" t="s">
        <v>206</v>
      </c>
      <c r="H12" s="96" t="s">
        <v>207</v>
      </c>
      <c r="I12" s="73" t="s">
        <v>208</v>
      </c>
      <c r="J12" s="105" t="s">
        <v>209</v>
      </c>
      <c r="K12" s="66" t="s">
        <v>210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5" customFormat="1" x14ac:dyDescent="0.15">
      <c r="A13" s="67" t="s">
        <v>262</v>
      </c>
      <c r="B13" s="67" t="s">
        <v>261</v>
      </c>
      <c r="C13" s="62">
        <f t="shared" si="0"/>
        <v>65524</v>
      </c>
      <c r="D13" s="67" t="s">
        <v>242</v>
      </c>
      <c r="E13" s="68" t="str">
        <f t="shared" si="2"/>
        <v>stage_bonuses_65524.tmp</v>
      </c>
      <c r="F13" s="67" t="s">
        <v>241</v>
      </c>
      <c r="G13" s="73" t="s">
        <v>243</v>
      </c>
      <c r="H13" s="73" t="s">
        <v>244</v>
      </c>
      <c r="I13" s="73" t="s">
        <v>245</v>
      </c>
      <c r="J13" s="73" t="s">
        <v>246</v>
      </c>
      <c r="K13" s="73" t="s">
        <v>247</v>
      </c>
      <c r="L13" s="73" t="s">
        <v>248</v>
      </c>
      <c r="M13" s="73" t="s">
        <v>249</v>
      </c>
      <c r="N13" s="73" t="s">
        <v>250</v>
      </c>
      <c r="O13" s="73" t="s">
        <v>251</v>
      </c>
      <c r="P13" s="73" t="s">
        <v>252</v>
      </c>
      <c r="Q13" s="73" t="s">
        <v>253</v>
      </c>
      <c r="R13" s="73" t="s">
        <v>254</v>
      </c>
      <c r="S13" s="73" t="s">
        <v>255</v>
      </c>
      <c r="T13" s="73" t="s">
        <v>256</v>
      </c>
      <c r="U13" s="73" t="s">
        <v>257</v>
      </c>
      <c r="V13" s="73" t="s">
        <v>258</v>
      </c>
      <c r="W13" s="73" t="s">
        <v>259</v>
      </c>
      <c r="X13" s="73" t="s">
        <v>260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F7" sqref="F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65524_1-1</v>
      </c>
      <c r="B2" s="16" t="str">
        <f>IF(COUNTIF(enemy_habitats!$H:$H,A2),"OK","NG")</f>
        <v>OK</v>
      </c>
      <c r="C2" s="7">
        <v>65524</v>
      </c>
      <c r="D2" s="11" t="str">
        <f ca="1">VLOOKUP($C2,OFFSET([2]quests!$A$1,0,0,COUNTA([2]quests!$A:$A),MATCH(D$1,[2]quests!$1:$1,0)-MATCH($C$1,[2]quests!$1:$1,0)+1),MATCH(D$1,[2]quests!$1:$1,0)-MATCH($C$1,[2]quests!$1:$1,0)+1,FALSE)</f>
        <v>【LB田頭】検証クエスト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童話シリーズ　超級</v>
      </c>
      <c r="F2" s="21">
        <v>1</v>
      </c>
      <c r="G2" s="23" t="str">
        <f t="shared" ref="G2:G7" si="1">C2&amp;"_"&amp;F2</f>
        <v>65524_1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【上級】スリーピギーズ（仮）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65524_1-2</v>
      </c>
      <c r="B3" s="16" t="str">
        <f>IF(COUNTIF(enemy_habitats!$H:$H,A3),"OK","NG")</f>
        <v>OK</v>
      </c>
      <c r="C3" s="7">
        <v>65524</v>
      </c>
      <c r="D3" s="11" t="str">
        <f ca="1">VLOOKUP($C3,OFFSET([2]quests!$A$1,0,0,COUNTA([2]quests!$A:$A),MATCH(D$1,[2]quests!$1:$1,0)-MATCH($C$1,[2]quests!$1:$1,0)+1),MATCH(D$1,[2]quests!$1:$1,0)-MATCH($C$1,[2]quests!$1:$1,0)+1,FALSE)</f>
        <v>【LB田頭】検証クエスト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童話シリーズ　超級</v>
      </c>
      <c r="F3" s="21">
        <v>1</v>
      </c>
      <c r="G3" s="23" t="str">
        <f t="shared" si="1"/>
        <v>65524_1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【上級】スリーピギーズ（仮）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65524_1-3</v>
      </c>
      <c r="B4" s="16" t="str">
        <f>IF(COUNTIF(enemy_habitats!$H:$H,A4),"OK","NG")</f>
        <v>OK</v>
      </c>
      <c r="C4" s="7">
        <v>65524</v>
      </c>
      <c r="D4" s="11" t="str">
        <f ca="1">VLOOKUP($C4,OFFSET([2]quests!$A$1,0,0,COUNTA([2]quests!$A:$A),MATCH(D$1,[2]quests!$1:$1,0)-MATCH($C$1,[2]quests!$1:$1,0)+1),MATCH(D$1,[2]quests!$1:$1,0)-MATCH($C$1,[2]quests!$1:$1,0)+1,FALSE)</f>
        <v>【LB田頭】検証クエスト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童話シリーズ　超級</v>
      </c>
      <c r="F4" s="21">
        <v>1</v>
      </c>
      <c r="G4" s="23" t="str">
        <f t="shared" si="1"/>
        <v>65524_1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【上級】スリーピギーズ（仮）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65524_2-1</v>
      </c>
      <c r="B5" s="16" t="str">
        <f>IF(COUNTIF(enemy_habitats!$H:$H,A5),"OK","NG")</f>
        <v>OK</v>
      </c>
      <c r="C5" s="7">
        <v>65524</v>
      </c>
      <c r="D5" s="11" t="str">
        <f ca="1">VLOOKUP($C5,OFFSET([2]quests!$A$1,0,0,COUNTA([2]quests!$A:$A),MATCH(D$1,[2]quests!$1:$1,0)-MATCH($C$1,[2]quests!$1:$1,0)+1),MATCH(D$1,[2]quests!$1:$1,0)-MATCH($C$1,[2]quests!$1:$1,0)+1,FALSE)</f>
        <v>【LB田頭】検証クエスト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童話シリーズ　超級</v>
      </c>
      <c r="F5" s="21">
        <v>2</v>
      </c>
      <c r="G5" s="23" t="str">
        <f t="shared" si="1"/>
        <v>65524_2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【超級】スリーピギーズ（仮）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65524_2-2</v>
      </c>
      <c r="B6" s="16" t="str">
        <f>IF(COUNTIF(enemy_habitats!$H:$H,A6),"OK","NG")</f>
        <v>OK</v>
      </c>
      <c r="C6" s="7">
        <v>65524</v>
      </c>
      <c r="D6" s="11" t="str">
        <f ca="1">VLOOKUP($C6,OFFSET([2]quests!$A$1,0,0,COUNTA([2]quests!$A:$A),MATCH(D$1,[2]quests!$1:$1,0)-MATCH($C$1,[2]quests!$1:$1,0)+1),MATCH(D$1,[2]quests!$1:$1,0)-MATCH($C$1,[2]quests!$1:$1,0)+1,FALSE)</f>
        <v>【LB田頭】検証クエスト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童話シリーズ　超級</v>
      </c>
      <c r="F6" s="21">
        <v>2</v>
      </c>
      <c r="G6" s="23" t="str">
        <f t="shared" si="1"/>
        <v>65524_2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【超級】スリーピギーズ（仮）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65524_2-3</v>
      </c>
      <c r="B7" s="16" t="str">
        <f>IF(COUNTIF(enemy_habitats!$H:$H,A7),"OK","NG")</f>
        <v>OK</v>
      </c>
      <c r="C7" s="7">
        <v>65524</v>
      </c>
      <c r="D7" s="11" t="str">
        <f ca="1">VLOOKUP($C7,OFFSET([2]quests!$A$1,0,0,COUNTA([2]quests!$A:$A),MATCH(D$1,[2]quests!$1:$1,0)-MATCH($C$1,[2]quests!$1:$1,0)+1),MATCH(D$1,[2]quests!$1:$1,0)-MATCH($C$1,[2]quests!$1:$1,0)+1,FALSE)</f>
        <v>【LB田頭】検証クエスト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童話シリーズ　超級</v>
      </c>
      <c r="F7" s="21">
        <v>2</v>
      </c>
      <c r="G7" s="23" t="str">
        <f t="shared" si="1"/>
        <v>65524_2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【超級】スリーピギーズ（仮）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V7" sqref="V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9.16406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6" t="s">
        <v>263</v>
      </c>
      <c r="U1" s="26" t="s">
        <v>50</v>
      </c>
      <c r="V1" s="106" t="s">
        <v>264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3" ca="1" si="0">B2&amp;"_"&amp;C2&amp;"-"&amp;G2&amp;"/"&amp;L2&amp;"&lt;lv"&amp;R2&amp;"&gt;s"&amp;AC2</f>
        <v>65524_2-1/48&lt;lv60&gt;s1</v>
      </c>
      <c r="B2" s="22">
        <v>65524</v>
      </c>
      <c r="C2" s="21">
        <v>2</v>
      </c>
      <c r="D2" s="2" t="str">
        <f t="shared" ref="D2:D13" si="1">B2&amp;"_"&amp;C2</f>
        <v>65524_2</v>
      </c>
      <c r="E2" s="4" t="str">
        <f ca="1">VLOOKUP($B2,OFFSET([2]quests!$A$1,0,0,COUNTA([2]quests!$A:$A),MATCH(E$1,[2]quests!$1:$1,0)-MATCH($B$1,[2]quests!$1:$1,0)+1),MATCH(E$1,[2]quests!$1:$1,0)-MATCH($B$1,[2]quests!$1:$1,0)+1,FALSE)</f>
        <v>【LB田頭】検証クエスト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【超級】スリーピギーズ（仮）</v>
      </c>
      <c r="G2" s="21">
        <v>1</v>
      </c>
      <c r="H2" s="15" t="str">
        <f t="shared" ref="H2:H13" si="2">B2&amp;"_"&amp;C2&amp;"-"&amp;G2</f>
        <v>65524_2-1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109">
        <v>48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サンダーステップのヒロ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60</v>
      </c>
      <c r="S2" s="25">
        <f>30000/39132</f>
        <v>0.76663600122661757</v>
      </c>
      <c r="T2" s="107">
        <f>39132*S2</f>
        <v>30000</v>
      </c>
      <c r="U2" s="25">
        <v>1.2104095218882389</v>
      </c>
      <c r="V2" s="107">
        <f>4957*U2</f>
        <v>6000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単体攻撃+ハートパネルプロテクト(最大2個)</v>
      </c>
      <c r="Y2" s="4">
        <v>65524001</v>
      </c>
      <c r="Z2" s="6">
        <v>1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1</v>
      </c>
      <c r="AD2" s="24">
        <f t="shared" ref="AD2:AD13" si="3">L2</f>
        <v>48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サンダーステップのヒロ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13" ca="1" si="4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ca="1" si="0"/>
        <v>65524_2-1/48&lt;lv59&gt;s1</v>
      </c>
      <c r="B3" s="22">
        <v>65524</v>
      </c>
      <c r="C3" s="21">
        <v>2</v>
      </c>
      <c r="D3" s="2" t="str">
        <f t="shared" si="1"/>
        <v>65524_2</v>
      </c>
      <c r="E3" s="4" t="str">
        <f ca="1">VLOOKUP($B3,OFFSET([2]quests!$A$1,0,0,COUNTA([2]quests!$A:$A),MATCH(E$1,[2]quests!$1:$1,0)-MATCH($B$1,[2]quests!$1:$1,0)+1),MATCH(E$1,[2]quests!$1:$1,0)-MATCH($B$1,[2]quests!$1:$1,0)+1,FALSE)</f>
        <v>【LB田頭】検証クエスト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【超級】スリーピギーズ（仮）</v>
      </c>
      <c r="G3" s="21">
        <v>1</v>
      </c>
      <c r="H3" s="15" t="str">
        <f t="shared" si="2"/>
        <v>65524_2-1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109">
        <v>48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サンダーステップのヒロ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59</v>
      </c>
      <c r="S3" s="25">
        <f>30000/39132</f>
        <v>0.76663600122661757</v>
      </c>
      <c r="T3" s="107">
        <f>39132*S3</f>
        <v>30000</v>
      </c>
      <c r="U3" s="25">
        <v>1.2104095218882389</v>
      </c>
      <c r="V3" s="107">
        <f>5039*U3</f>
        <v>6099.2535807948361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単体攻撃+ハートパネルプロテクト(最大2個)</v>
      </c>
      <c r="Y3" s="4">
        <v>65524001</v>
      </c>
      <c r="Z3" s="6">
        <v>1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1</v>
      </c>
      <c r="AD3" s="24">
        <f t="shared" si="3"/>
        <v>48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サンダーステップのヒロ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65524_2-2/32&lt;lv60&gt;s1</v>
      </c>
      <c r="B4" s="22">
        <v>65524</v>
      </c>
      <c r="C4" s="21">
        <v>2</v>
      </c>
      <c r="D4" s="2" t="str">
        <f t="shared" si="1"/>
        <v>65524_2</v>
      </c>
      <c r="E4" s="4" t="str">
        <f ca="1">VLOOKUP($B4,OFFSET([2]quests!$A$1,0,0,COUNTA([2]quests!$A:$A),MATCH(E$1,[2]quests!$1:$1,0)-MATCH($B$1,[2]quests!$1:$1,0)+1),MATCH(E$1,[2]quests!$1:$1,0)-MATCH($B$1,[2]quests!$1:$1,0)+1,FALSE)</f>
        <v>【LB田頭】検証クエスト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【超級】スリーピギーズ（仮）</v>
      </c>
      <c r="G4" s="21">
        <v>2</v>
      </c>
      <c r="H4" s="15" t="str">
        <f t="shared" si="2"/>
        <v>65524_2-2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109">
        <v>32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沈黙のジャミング マービー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5">
        <f>100000/10849</f>
        <v>9.2174393953359761</v>
      </c>
      <c r="T4" s="107">
        <f>10849*S4</f>
        <v>100000</v>
      </c>
      <c r="U4" s="25">
        <f>6000/5032</f>
        <v>1.192368839427663</v>
      </c>
      <c r="V4" s="107">
        <f>5032*U4</f>
        <v>6000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防御力超大UP</v>
      </c>
      <c r="Y4" s="4">
        <v>65524002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32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沈黙のジャミング マービー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65524_2-2/8&lt;lv60&gt;s1</v>
      </c>
      <c r="B5" s="22">
        <v>65524</v>
      </c>
      <c r="C5" s="21">
        <v>2</v>
      </c>
      <c r="D5" s="2" t="str">
        <f t="shared" si="1"/>
        <v>65524_2</v>
      </c>
      <c r="E5" s="4" t="str">
        <f ca="1">VLOOKUP($B5,OFFSET([2]quests!$A$1,0,0,COUNTA([2]quests!$A:$A),MATCH(E$1,[2]quests!$1:$1,0)-MATCH($B$1,[2]quests!$1:$1,0)+1),MATCH(E$1,[2]quests!$1:$1,0)-MATCH($B$1,[2]quests!$1:$1,0)+1,FALSE)</f>
        <v>【LB田頭】検証クエスト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【超級】スリーピギーズ（仮）</v>
      </c>
      <c r="G5" s="21">
        <v>2</v>
      </c>
      <c r="H5" s="15" t="str">
        <f t="shared" si="2"/>
        <v>65524_2-2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109">
        <v>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ハイボルテージ エレキポット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60</v>
      </c>
      <c r="S5" s="25">
        <f>25000/11858</f>
        <v>2.1082813290605498</v>
      </c>
      <c r="T5" s="107">
        <f>11858*S5</f>
        <v>25000</v>
      </c>
      <c r="U5" s="25">
        <f>2500/3658</f>
        <v>0.68343357025697105</v>
      </c>
      <c r="V5" s="107">
        <f>3658*U5</f>
        <v>2500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3ターン全ユニットの攻撃力20％DOWN</v>
      </c>
      <c r="Y5" s="4">
        <v>65524003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ハイボルテージ エレキポット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Drop1T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65524_2-2/8&lt;lv59&gt;s1</v>
      </c>
      <c r="B6" s="22">
        <v>65524</v>
      </c>
      <c r="C6" s="21">
        <v>2</v>
      </c>
      <c r="D6" s="2" t="str">
        <f t="shared" si="1"/>
        <v>65524_2</v>
      </c>
      <c r="E6" s="4" t="str">
        <f ca="1">VLOOKUP($B6,OFFSET([2]quests!$A$1,0,0,COUNTA([2]quests!$A:$A),MATCH(E$1,[2]quests!$1:$1,0)-MATCH($B$1,[2]quests!$1:$1,0)+1),MATCH(E$1,[2]quests!$1:$1,0)-MATCH($B$1,[2]quests!$1:$1,0)+1,FALSE)</f>
        <v>【LB田頭】検証クエスト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【超級】スリーピギーズ（仮）</v>
      </c>
      <c r="G6" s="21">
        <v>2</v>
      </c>
      <c r="H6" s="15" t="str">
        <f t="shared" si="2"/>
        <v>65524_2-2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109">
        <v>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ハイボルテージ エレキポット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59</v>
      </c>
      <c r="S6" s="25">
        <f>25000/12054</f>
        <v>2.0740003318400531</v>
      </c>
      <c r="T6" s="107">
        <f>12054*S6</f>
        <v>25000</v>
      </c>
      <c r="U6" s="25">
        <f>2500/3718</f>
        <v>0.67240451855836469</v>
      </c>
      <c r="V6" s="107">
        <f>3718*U6</f>
        <v>2500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3ターン全ユニットの攻撃力20％DOWN</v>
      </c>
      <c r="Y6" s="4">
        <v>65524003</v>
      </c>
      <c r="Z6" s="6">
        <v>1</v>
      </c>
      <c r="AA6" s="6">
        <v>100</v>
      </c>
      <c r="AB6" s="6">
        <v>0</v>
      </c>
      <c r="AC6" s="17">
        <v>1</v>
      </c>
      <c r="AD6" s="24">
        <f t="shared" si="3"/>
        <v>8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ハイボルテージ エレキポット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4">
        <f t="shared" ca="1" si="4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65524_2-3/1373&lt;lv100&gt;s1</v>
      </c>
      <c r="B7" s="22">
        <v>65524</v>
      </c>
      <c r="C7" s="21">
        <v>2</v>
      </c>
      <c r="D7" s="2" t="str">
        <f t="shared" si="1"/>
        <v>65524_2</v>
      </c>
      <c r="E7" s="4" t="str">
        <f ca="1">VLOOKUP($B7,OFFSET([2]quests!$A$1,0,0,COUNTA([2]quests!$A:$A),MATCH(E$1,[2]quests!$1:$1,0)-MATCH($B$1,[2]quests!$1:$1,0)+1),MATCH(E$1,[2]quests!$1:$1,0)-MATCH($B$1,[2]quests!$1:$1,0)+1,FALSE)</f>
        <v>【LB田頭】検証クエスト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【超級】スリーピギーズ（仮）</v>
      </c>
      <c r="G7" s="21">
        <v>3</v>
      </c>
      <c r="H7" s="15" t="str">
        <f t="shared" si="2"/>
        <v>65524_2-3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109">
        <v>1373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スリー・ピギーズ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100</v>
      </c>
      <c r="S7" s="25">
        <f>200000/129311</f>
        <v>1.5466588302619266</v>
      </c>
      <c r="T7" s="107">
        <f>129311*S7</f>
        <v>200000</v>
      </c>
      <c r="U7" s="25">
        <f>6666/11435</f>
        <v>0.58294709226060337</v>
      </c>
      <c r="V7" s="107">
        <f>11435*U7</f>
        <v>6666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状態異常耐性+攻撃力50％DOWN</v>
      </c>
      <c r="Y7" s="4">
        <v>65524004</v>
      </c>
      <c r="Z7" s="6">
        <v>1</v>
      </c>
      <c r="AA7" s="6">
        <v>100</v>
      </c>
      <c r="AB7" s="6">
        <v>1</v>
      </c>
      <c r="AC7" s="17">
        <v>1</v>
      </c>
      <c r="AD7" s="24">
        <f t="shared" si="3"/>
        <v>1373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ca="1" si="0"/>
        <v>65524_1-1/48&lt;lv30&gt;s1</v>
      </c>
      <c r="B8" s="22">
        <v>65524</v>
      </c>
      <c r="C8" s="21">
        <v>1</v>
      </c>
      <c r="D8" s="2" t="str">
        <f t="shared" si="1"/>
        <v>65524_1</v>
      </c>
      <c r="E8" s="4" t="str">
        <f ca="1">VLOOKUP($B8,OFFSET([2]quests!$A$1,0,0,COUNTA([2]quests!$A:$A),MATCH(E$1,[2]quests!$1:$1,0)-MATCH($B$1,[2]quests!$1:$1,0)+1),MATCH(E$1,[2]quests!$1:$1,0)-MATCH($B$1,[2]quests!$1:$1,0)+1,FALSE)</f>
        <v>【LB田頭】検証クエスト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【上級】スリーピギーズ（仮）</v>
      </c>
      <c r="G8" s="21">
        <v>1</v>
      </c>
      <c r="H8" s="15" t="str">
        <f t="shared" si="2"/>
        <v>65524_1-1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109">
        <v>48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サンダーステップのヒロ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30</v>
      </c>
      <c r="S8" s="25">
        <f>15000/20375</f>
        <v>0.73619631901840488</v>
      </c>
      <c r="T8" s="107">
        <f>20375*S8</f>
        <v>15000</v>
      </c>
      <c r="U8" s="25">
        <v>1</v>
      </c>
      <c r="V8" s="10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4692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単体攻撃+ハートパネルプロテクト(最大1個)</v>
      </c>
      <c r="Y8" s="4">
        <v>65524006</v>
      </c>
      <c r="Z8" s="6">
        <v>1</v>
      </c>
      <c r="AA8" s="6">
        <v>100</v>
      </c>
      <c r="AB8" s="6">
        <v>0</v>
      </c>
      <c r="AC8" s="17">
        <f ca="1">VLOOKUP($L8,OFFSET([3]enemies!$A$1,0,0,COUNTA([3]enemies!$A:$A),MATCH(AC$1,[3]enemies!$1:$1,0)-MATCH($L$1,[3]enemies!$1:$1,0)+1),MATCH(AC$1,[3]enemies!$1:$1,0)-MATCH($L$1,[3]enemies!$1:$1,0)+1,FALSE)</f>
        <v>1</v>
      </c>
      <c r="AD8" s="24">
        <f t="shared" si="3"/>
        <v>48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サンダーステップのヒロ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4">
        <f t="shared" ca="1" si="4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ca="1" si="0"/>
        <v>65524_1-1/48&lt;lv31&gt;s1</v>
      </c>
      <c r="B9" s="22">
        <v>65524</v>
      </c>
      <c r="C9" s="21">
        <v>1</v>
      </c>
      <c r="D9" s="2" t="str">
        <f t="shared" si="1"/>
        <v>65524_1</v>
      </c>
      <c r="E9" s="4" t="str">
        <f ca="1">VLOOKUP($B9,OFFSET([2]quests!$A$1,0,0,COUNTA([2]quests!$A:$A),MATCH(E$1,[2]quests!$1:$1,0)-MATCH($B$1,[2]quests!$1:$1,0)+1),MATCH(E$1,[2]quests!$1:$1,0)-MATCH($B$1,[2]quests!$1:$1,0)+1,FALSE)</f>
        <v>【LB田頭】検証クエスト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【上級】スリーピギーズ（仮）</v>
      </c>
      <c r="G9" s="21">
        <v>1</v>
      </c>
      <c r="H9" s="15" t="str">
        <f t="shared" si="2"/>
        <v>65524_1-1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109">
        <v>48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サンダーステップのヒロ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31</v>
      </c>
      <c r="S9" s="25">
        <v>0.71357214214357068</v>
      </c>
      <c r="T9" s="107">
        <f>21021*S9</f>
        <v>15000</v>
      </c>
      <c r="U9" s="25">
        <v>1</v>
      </c>
      <c r="V9" s="10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4841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単体攻撃+ハートパネルプロテクト(最大1個)</v>
      </c>
      <c r="Y9" s="4">
        <v>65524006</v>
      </c>
      <c r="Z9" s="6">
        <v>1</v>
      </c>
      <c r="AA9" s="6">
        <v>100</v>
      </c>
      <c r="AB9" s="6">
        <v>0</v>
      </c>
      <c r="AC9" s="17">
        <f ca="1">VLOOKUP($L9,OFFSET([3]enemies!$A$1,0,0,COUNTA([3]enemies!$A:$A),MATCH(AC$1,[3]enemies!$1:$1,0)-MATCH($L$1,[3]enemies!$1:$1,0)+1),MATCH(AC$1,[3]enemies!$1:$1,0)-MATCH($L$1,[3]enemies!$1:$1,0)+1,FALSE)</f>
        <v>1</v>
      </c>
      <c r="AD9" s="24">
        <f t="shared" si="3"/>
        <v>48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サンダーステップのヒロ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4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65524_1-2/32&lt;lv30&gt;s1</v>
      </c>
      <c r="B10" s="22">
        <v>65524</v>
      </c>
      <c r="C10" s="21">
        <v>1</v>
      </c>
      <c r="D10" s="2" t="str">
        <f t="shared" si="1"/>
        <v>65524_1</v>
      </c>
      <c r="E10" s="4" t="str">
        <f ca="1">VLOOKUP($B10,OFFSET([2]quests!$A$1,0,0,COUNTA([2]quests!$A:$A),MATCH(E$1,[2]quests!$1:$1,0)-MATCH($B$1,[2]quests!$1:$1,0)+1),MATCH(E$1,[2]quests!$1:$1,0)-MATCH($B$1,[2]quests!$1:$1,0)+1,FALSE)</f>
        <v>【LB田頭】検証クエスト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【上級】スリーピギーズ（仮）</v>
      </c>
      <c r="G10" s="21">
        <v>2</v>
      </c>
      <c r="H10" s="15" t="str">
        <f t="shared" si="2"/>
        <v>65524_1-2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109">
        <v>32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沈黙のジャミング マービー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30</v>
      </c>
      <c r="S10" s="25">
        <f>50000/5557</f>
        <v>8.9976606082418567</v>
      </c>
      <c r="T10" s="107">
        <f>5557*S10</f>
        <v>50000</v>
      </c>
      <c r="U10" s="25">
        <v>1</v>
      </c>
      <c r="V10" s="107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1718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防御力大UP</v>
      </c>
      <c r="Y10" s="4">
        <v>65524007</v>
      </c>
      <c r="Z10" s="6">
        <v>1</v>
      </c>
      <c r="AA10" s="6">
        <v>100</v>
      </c>
      <c r="AB10" s="6">
        <v>0</v>
      </c>
      <c r="AC10" s="17">
        <v>1</v>
      </c>
      <c r="AD10" s="24">
        <f t="shared" si="3"/>
        <v>32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沈黙のジャミング マービー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ca="1" si="4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65524_1-2/8&lt;lv31&gt;s1</v>
      </c>
      <c r="B11" s="22">
        <v>65524</v>
      </c>
      <c r="C11" s="21">
        <v>1</v>
      </c>
      <c r="D11" s="2" t="str">
        <f t="shared" si="1"/>
        <v>65524_1</v>
      </c>
      <c r="E11" s="4" t="str">
        <f ca="1">VLOOKUP($B11,OFFSET([2]quests!$A$1,0,0,COUNTA([2]quests!$A:$A),MATCH(E$1,[2]quests!$1:$1,0)-MATCH($B$1,[2]quests!$1:$1,0)+1),MATCH(E$1,[2]quests!$1:$1,0)-MATCH($B$1,[2]quests!$1:$1,0)+1,FALSE)</f>
        <v>【LB田頭】検証クエスト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【上級】スリーピギーズ（仮）</v>
      </c>
      <c r="G11" s="21">
        <v>2</v>
      </c>
      <c r="H11" s="15" t="str">
        <f t="shared" si="2"/>
        <v>65524_1-2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109">
        <v>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ハイボルテージ エレキポット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31</v>
      </c>
      <c r="S11" s="25">
        <f>15000/6174</f>
        <v>2.4295432458697763</v>
      </c>
      <c r="T11" s="107">
        <f>6174*S11</f>
        <v>14999.999999999998</v>
      </c>
      <c r="U11" s="25">
        <v>1</v>
      </c>
      <c r="V11" s="10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2619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3ターン全ユニットの攻撃力10％DOWN</v>
      </c>
      <c r="Y11" s="4">
        <v>65524008</v>
      </c>
      <c r="Z11" s="6">
        <v>1</v>
      </c>
      <c r="AA11" s="6">
        <v>100</v>
      </c>
      <c r="AB11" s="6">
        <v>0</v>
      </c>
      <c r="AC11" s="17">
        <v>1</v>
      </c>
      <c r="AD11" s="24">
        <f t="shared" si="3"/>
        <v>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ハイボルテージ エレキポット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Drop1T</v>
      </c>
      <c r="AH11" s="7">
        <v>1</v>
      </c>
      <c r="AI11" s="24">
        <f t="shared" ca="1" si="4"/>
        <v>2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65524_1-2/8&lt;lv30&gt;s1</v>
      </c>
      <c r="B12" s="22">
        <v>65524</v>
      </c>
      <c r="C12" s="21">
        <v>1</v>
      </c>
      <c r="D12" s="2" t="str">
        <f t="shared" si="1"/>
        <v>65524_1</v>
      </c>
      <c r="E12" s="4" t="str">
        <f ca="1">VLOOKUP($B12,OFFSET([2]quests!$A$1,0,0,COUNTA([2]quests!$A:$A),MATCH(E$1,[2]quests!$1:$1,0)-MATCH($B$1,[2]quests!$1:$1,0)+1),MATCH(E$1,[2]quests!$1:$1,0)-MATCH($B$1,[2]quests!$1:$1,0)+1,FALSE)</f>
        <v>【LB田頭】検証クエスト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【上級】スリーピギーズ（仮）</v>
      </c>
      <c r="G12" s="21">
        <v>2</v>
      </c>
      <c r="H12" s="15" t="str">
        <f t="shared" si="2"/>
        <v>65524_1-2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109">
        <v>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ハイボルテージ エレキポット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30</v>
      </c>
      <c r="S12" s="25">
        <f>15000/6370</f>
        <v>2.3547880690737832</v>
      </c>
      <c r="T12" s="107">
        <f>6370*S12</f>
        <v>15000</v>
      </c>
      <c r="U12" s="25">
        <v>1</v>
      </c>
      <c r="V12" s="107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2539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3ターン全ユニットの攻撃力10％DOWN</v>
      </c>
      <c r="Y12" s="4">
        <v>65524008</v>
      </c>
      <c r="Z12" s="6">
        <v>1</v>
      </c>
      <c r="AA12" s="6">
        <v>100</v>
      </c>
      <c r="AB12" s="6">
        <v>0</v>
      </c>
      <c r="AC12" s="17">
        <v>1</v>
      </c>
      <c r="AD12" s="24">
        <f t="shared" si="3"/>
        <v>8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ハイボルテージ エレキポット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2" s="7">
        <v>1</v>
      </c>
      <c r="AI12" s="24">
        <f t="shared" ca="1" si="4"/>
        <v>2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0"/>
        <v>65524_1-3/1373&lt;lv80&gt;s1</v>
      </c>
      <c r="B13" s="22">
        <v>65524</v>
      </c>
      <c r="C13" s="21">
        <v>1</v>
      </c>
      <c r="D13" s="2" t="str">
        <f t="shared" si="1"/>
        <v>65524_1</v>
      </c>
      <c r="E13" s="4" t="str">
        <f ca="1">VLOOKUP($B13,OFFSET([2]quests!$A$1,0,0,COUNTA([2]quests!$A:$A),MATCH(E$1,[2]quests!$1:$1,0)-MATCH($B$1,[2]quests!$1:$1,0)+1),MATCH(E$1,[2]quests!$1:$1,0)-MATCH($B$1,[2]quests!$1:$1,0)+1,FALSE)</f>
        <v>【LB田頭】検証クエスト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【上級】スリーピギーズ（仮）</v>
      </c>
      <c r="G13" s="21">
        <v>3</v>
      </c>
      <c r="H13" s="15" t="str">
        <f t="shared" si="2"/>
        <v>65524_1-3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1</v>
      </c>
      <c r="L13" s="109">
        <v>1373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スリー・ピギーズ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80</v>
      </c>
      <c r="S13" s="25">
        <f>100000/78351</f>
        <v>1.2763078965169556</v>
      </c>
      <c r="T13" s="107">
        <f>78351*S13</f>
        <v>99999.999999999985</v>
      </c>
      <c r="U13" s="25">
        <f>3333/6929</f>
        <v>0.48102179246644539</v>
      </c>
      <c r="V13" s="107">
        <f>6929*U13</f>
        <v>3333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状態異常耐性+攻撃力50％DOWN</v>
      </c>
      <c r="Y13" s="4">
        <v>65524009</v>
      </c>
      <c r="Z13" s="6">
        <v>1</v>
      </c>
      <c r="AA13" s="6">
        <v>100</v>
      </c>
      <c r="AB13" s="6">
        <v>1</v>
      </c>
      <c r="AC13" s="17">
        <v>1</v>
      </c>
      <c r="AD13" s="24">
        <f t="shared" si="3"/>
        <v>1373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スリー・ピギーズ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ca="1" si="4"/>
        <v>4</v>
      </c>
      <c r="AJ13" s="8">
        <v>100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3" sqref="S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6" t="s">
        <v>263</v>
      </c>
      <c r="V1" s="26" t="s">
        <v>50</v>
      </c>
      <c r="W1" s="106" t="s">
        <v>264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65524_2-3/1374&lt;lv100&gt;sq1st2</v>
      </c>
      <c r="B2" s="22">
        <v>65524</v>
      </c>
      <c r="C2" s="21">
        <v>2</v>
      </c>
      <c r="D2" s="2" t="str">
        <f>B2&amp;"_"&amp;C2</f>
        <v>65524_2</v>
      </c>
      <c r="E2" s="4" t="str">
        <f ca="1">VLOOKUP($B2,OFFSET([2]quests!$A$1,0,0,COUNTA([2]quests!$A:$A),MATCH(E$1,[2]quests!$1:$1,0)-MATCH($B$1,[2]quests!$1:$1,0)+1),MATCH(E$1,[2]quests!$1:$1,0)-MATCH($B$1,[2]quests!$1:$1,0)+1,FALSE)</f>
        <v>【LB田頭】検証クエスト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【超級】スリーピギーズ（仮）</v>
      </c>
      <c r="G2" s="21">
        <v>3</v>
      </c>
      <c r="H2" s="15" t="str">
        <f>B2&amp;"_"&amp;C2&amp;"-"&amp;G2</f>
        <v>65524_2-3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1374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一級建築兄弟 スリー・ピギーズ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100</v>
      </c>
      <c r="T2" s="25">
        <f>200000/129311</f>
        <v>1.5466588302619266</v>
      </c>
      <c r="U2" s="107">
        <f>129311*T2</f>
        <v>200000</v>
      </c>
      <c r="V2" s="25">
        <f>6666/11435</f>
        <v>0.58294709226060337</v>
      </c>
      <c r="W2" s="107">
        <f>11435*V2</f>
        <v>6666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65524005</v>
      </c>
      <c r="AA2" s="7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65524_1-3/1374&lt;lv80&gt;sq1st2</v>
      </c>
      <c r="B3" s="22">
        <v>65524</v>
      </c>
      <c r="C3" s="21">
        <v>1</v>
      </c>
      <c r="D3" s="2" t="str">
        <f>B3&amp;"_"&amp;C3</f>
        <v>65524_1</v>
      </c>
      <c r="E3" s="4" t="str">
        <f ca="1">VLOOKUP($B3,OFFSET([2]quests!$A$1,0,0,COUNTA([2]quests!$A:$A),MATCH(E$1,[2]quests!$1:$1,0)-MATCH($B$1,[2]quests!$1:$1,0)+1),MATCH(E$1,[2]quests!$1:$1,0)-MATCH($B$1,[2]quests!$1:$1,0)+1,FALSE)</f>
        <v>【LB田頭】検証クエスト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【上級】スリーピギーズ（仮）</v>
      </c>
      <c r="G3" s="21">
        <v>3</v>
      </c>
      <c r="H3" s="15" t="str">
        <f>B3&amp;"_"&amp;C3&amp;"-"&amp;G3</f>
        <v>65524_1-3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1374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一級建築兄弟 スリー・ピギーズ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f>100000/78351</f>
        <v>1.2763078965169556</v>
      </c>
      <c r="U3" s="107">
        <f>78351*T3</f>
        <v>99999.999999999985</v>
      </c>
      <c r="V3" s="25">
        <f>3333/6929</f>
        <v>0.48102179246644539</v>
      </c>
      <c r="W3" s="107">
        <f>6929*V3</f>
        <v>3333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65524010</v>
      </c>
      <c r="AA3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7"/>
  <sheetViews>
    <sheetView showGridLines="0" workbookViewId="0">
      <pane xSplit="5" ySplit="1" topLeftCell="F19" activePane="bottomRight" state="frozen"/>
      <selection pane="topRight"/>
      <selection pane="bottomLeft"/>
      <selection pane="bottomRight" activeCell="H60" sqref="H6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65524001_65524001</v>
      </c>
      <c r="B2" s="47">
        <v>65524001</v>
      </c>
      <c r="C2" s="120">
        <v>65524001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クリティカル&amp;回復妨害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単体攻撃+ハートパネルプロテクト(最大2個)</v>
      </c>
      <c r="F2" s="115">
        <v>65524001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0" si="1">B3&amp;"_"&amp;C3</f>
        <v>65524001_65524002</v>
      </c>
      <c r="B3" s="47">
        <v>65524001</v>
      </c>
      <c r="C3" s="120">
        <v>65524002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封印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2ターンスキルバインド</v>
      </c>
      <c r="F3" s="115">
        <v>65524002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65524001_65524003</v>
      </c>
      <c r="B4" s="47">
        <v>65524001</v>
      </c>
      <c r="C4" s="120">
        <v>65524003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カルテットターン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" s="115">
        <v>65524003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65524002_65524004</v>
      </c>
      <c r="B5" s="110">
        <v>65524002</v>
      </c>
      <c r="C5" s="121">
        <v>65524004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張り切っているが、ショート寸前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防御力超大UP</v>
      </c>
      <c r="F5" s="112">
        <v>65524004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65524002_65524005</v>
      </c>
      <c r="B6" s="110">
        <v>65524002</v>
      </c>
      <c r="C6" s="121">
        <v>65524005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ショート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6" s="112">
        <v>65524005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65524002_65524006</v>
      </c>
      <c r="B7" s="110">
        <v>65524002</v>
      </c>
      <c r="C7" s="121">
        <v>65524006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ショート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7" s="112">
        <v>65524006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65524002_65524007</v>
      </c>
      <c r="B8" s="110">
        <v>65524002</v>
      </c>
      <c r="C8" s="121">
        <v>65524007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ショート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8" s="112">
        <v>65524007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65524002_65524008</v>
      </c>
      <c r="B9" s="110">
        <v>65524002</v>
      </c>
      <c r="C9" s="121">
        <v>65524008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ショート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9" s="112">
        <v>65524008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65524002_65524009</v>
      </c>
      <c r="B10" s="110">
        <v>65524002</v>
      </c>
      <c r="C10" s="121">
        <v>65524009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暴走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10" s="112">
        <v>65524009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65524003_65524010</v>
      </c>
      <c r="B11" s="47">
        <v>65524003</v>
      </c>
      <c r="C11" s="111">
        <v>65524010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盛り下げ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3ターン全ユニットの攻撃力20％DOWN</v>
      </c>
      <c r="F11" s="125">
        <v>65524010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65524004_65524011</v>
      </c>
      <c r="B12" s="47">
        <v>65524004</v>
      </c>
      <c r="C12" s="122">
        <v>65524011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だ、誰だ・・オマエラ・・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12" s="118">
        <v>65524011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65524004_65524012</v>
      </c>
      <c r="B13" s="47">
        <v>65524004</v>
      </c>
      <c r="C13" s="123">
        <v>65524012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怖くなんかないぞ・・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13" s="126">
        <v>65524012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65524004_65524013</v>
      </c>
      <c r="B14" s="47">
        <v>65524004</v>
      </c>
      <c r="C14" s="123">
        <v>65524013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怖くなんかないぞ・・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14" s="126">
        <v>65524013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65524004_65524014</v>
      </c>
      <c r="B15" s="47">
        <v>65524004</v>
      </c>
      <c r="C15" s="124">
        <v>65524014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く、来るなら来やがれ・・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15" s="119">
        <v>65524014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65524004_65524015</v>
      </c>
      <c r="B16" s="47">
        <v>65524004</v>
      </c>
      <c r="C16" s="124">
        <v>65524015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く、来るなら来やがれ・・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16" s="119">
        <v>65524015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65524004_65524016</v>
      </c>
      <c r="B17" s="47">
        <v>65524004</v>
      </c>
      <c r="C17" s="124">
        <v>65524016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く、来るなら来やがれ・・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17" s="119">
        <v>65524016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65524004_65524017</v>
      </c>
      <c r="B18" s="47">
        <v>65524004</v>
      </c>
      <c r="C18" s="120">
        <v>65524017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これでも持っていけ！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緑パネルをダメージパネルに(最大2個)変換</v>
      </c>
      <c r="F18" s="113">
        <v>65524017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65524004_65524018</v>
      </c>
      <c r="B19" s="47">
        <v>65524004</v>
      </c>
      <c r="C19" s="120">
        <v>65524018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お邪魔します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緑パネルをお邪魔パネルに(最大2個)変換</v>
      </c>
      <c r="F19" s="113">
        <v>65524018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65524004_65524019</v>
      </c>
      <c r="B20" s="47">
        <v>65524004</v>
      </c>
      <c r="C20" s="120">
        <v>65524019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すまんのぅ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単体攻撃+緑パネルプロテクト(最大2個)</v>
      </c>
      <c r="F20" s="113">
        <v>65524019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65524004_65524020</v>
      </c>
      <c r="B21" s="47">
        <v>65524004</v>
      </c>
      <c r="C21" s="120">
        <v>65524020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ブヒ連弾！！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1" s="113">
        <v>65524020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65524005_65524021</v>
      </c>
      <c r="B22" s="47">
        <v>65524005</v>
      </c>
      <c r="C22" s="111">
        <v>65524021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ビビっている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攻撃力10％DOWN</v>
      </c>
      <c r="F22" s="114">
        <v>65524021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65524005_65524022</v>
      </c>
      <c r="B23" s="47">
        <v>65524005</v>
      </c>
      <c r="C23" s="111">
        <v>65524022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これでも持っていけ！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緑色パネルと青色パネルをダメージパネル(最大1個ずつ)に変換</v>
      </c>
      <c r="F23" s="114">
        <v>65524022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65524005_65524023</v>
      </c>
      <c r="B24" s="47">
        <v>65524005</v>
      </c>
      <c r="C24" s="111">
        <v>65524023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お邪魔します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緑色パネルと赤色パネルをお邪魔パネル(最大1個ずつ)に変換</v>
      </c>
      <c r="F24" s="114">
        <v>65524023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65524005_65524024</v>
      </c>
      <c r="B25" s="47">
        <v>65524005</v>
      </c>
      <c r="C25" s="111">
        <v>65524024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すまんのぅ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単体攻撃+緑＆ハートパネルプロテクト(最大1個ずつ)</v>
      </c>
      <c r="F25" s="114">
        <v>65524024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65524005_65524025</v>
      </c>
      <c r="B26" s="47">
        <v>65524005</v>
      </c>
      <c r="C26" s="111">
        <v>65524025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ブヒ連弾！！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6" s="114">
        <v>65524025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65524005_65524026</v>
      </c>
      <c r="B27" s="47">
        <v>65524005</v>
      </c>
      <c r="C27" s="111">
        <v>65524026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てめえら、調子にのるな！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攻撃力UP</v>
      </c>
      <c r="F27" s="114">
        <v>65524026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65524005_65524027</v>
      </c>
      <c r="B28" s="47">
        <v>65524005</v>
      </c>
      <c r="C28" s="111">
        <v>65524027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ブチ切れ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残りHPの60％ダメージ</v>
      </c>
      <c r="F28" s="114">
        <v>65524027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65524005_65524028</v>
      </c>
      <c r="B29" s="47">
        <v>65524005</v>
      </c>
      <c r="C29" s="111">
        <v>65524028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29" s="134">
        <v>65524028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65524005_65524029</v>
      </c>
      <c r="B30" s="47">
        <v>65524005</v>
      </c>
      <c r="C30" s="111">
        <v>65524029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30" s="127">
        <v>65524029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" si="2">B31&amp;"_"&amp;C31</f>
        <v>65524005_65524030</v>
      </c>
      <c r="B31" s="47">
        <v>65524005</v>
      </c>
      <c r="C31" s="111">
        <v>65524030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31" s="127">
        <v>65524030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:A55" si="3">B32&amp;"_"&amp;C32</f>
        <v>65524005_65524031</v>
      </c>
      <c r="B32" s="47">
        <v>65524005</v>
      </c>
      <c r="C32" s="111">
        <v>65524031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32" s="115">
        <v>65524031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65524005_65524032</v>
      </c>
      <c r="B33" s="47">
        <v>65524005</v>
      </c>
      <c r="C33" s="111">
        <v>65524032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33" s="115">
        <v>65524032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65524005_65524033</v>
      </c>
      <c r="B34" s="47">
        <v>65524005</v>
      </c>
      <c r="C34" s="111">
        <v>65524033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34" s="115">
        <v>65524033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65524006_65524101</v>
      </c>
      <c r="B35" s="110">
        <v>65524006</v>
      </c>
      <c r="C35" s="121">
        <v>65524101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クリティカル&amp;回復妨害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単体攻撃+ハートパネルプロテクト(最大1個)</v>
      </c>
      <c r="F35" s="115">
        <v>65524001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65524006_65524102</v>
      </c>
      <c r="B36" s="110">
        <v>65524006</v>
      </c>
      <c r="C36" s="121">
        <v>65524102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封印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1ターンスキルバインド</v>
      </c>
      <c r="F36" s="115">
        <v>65524002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65524006_65524103</v>
      </c>
      <c r="B37" s="110">
        <v>65524006</v>
      </c>
      <c r="C37" s="121">
        <v>65524103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カルテットターン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7" s="115">
        <v>65524003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65524007_65524104</v>
      </c>
      <c r="B38" s="110">
        <v>65524007</v>
      </c>
      <c r="C38" s="111">
        <v>65524104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張り切っているが、ショート寸前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防御力大UP</v>
      </c>
      <c r="F38" s="112">
        <v>65524004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65524007_65524105</v>
      </c>
      <c r="B39" s="110">
        <v>65524007</v>
      </c>
      <c r="C39" s="111">
        <v>65524105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ショート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39" s="112">
        <v>65524005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65524007_65524106</v>
      </c>
      <c r="B40" s="110">
        <v>65524007</v>
      </c>
      <c r="C40" s="111">
        <v>65524106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ショート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40" s="112">
        <v>65524006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2" customHeight="1" x14ac:dyDescent="0.15">
      <c r="A41" s="39" t="str">
        <f t="shared" si="3"/>
        <v>65524007_65524107</v>
      </c>
      <c r="B41" s="47">
        <v>65524007</v>
      </c>
      <c r="C41" s="111">
        <v>65524107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ショート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41" s="112">
        <v>65524007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4">B42&amp;"_"&amp;C42</f>
        <v>65524007_65524108</v>
      </c>
      <c r="B42" s="47">
        <v>65524007</v>
      </c>
      <c r="C42" s="111">
        <v>65524108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ショート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防御力DOWN</v>
      </c>
      <c r="F42" s="112">
        <v>65524008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65524007_65524109</v>
      </c>
      <c r="B43" s="47">
        <v>65524007</v>
      </c>
      <c r="C43" s="111">
        <v>65524109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暴走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43" s="112">
        <v>65524009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65524008_65524110</v>
      </c>
      <c r="B44" s="47">
        <v>65524008</v>
      </c>
      <c r="C44" s="129">
        <v>65524110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盛り下げ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3ターン全ユニットの攻撃力10％DOWN</v>
      </c>
      <c r="F44" s="125">
        <v>65524010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65524009_65524111</v>
      </c>
      <c r="B45" s="47">
        <v>65524009</v>
      </c>
      <c r="C45" s="120">
        <v>65524111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だ、誰だ・・オマエラ・・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45" s="118">
        <v>65524011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3"/>
        <v>65524009_65524112</v>
      </c>
      <c r="B46" s="47">
        <v>65524009</v>
      </c>
      <c r="C46" s="120">
        <v>65524112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怖くなんかないぞ・・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46" s="126">
        <v>65524012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3"/>
        <v>65524009_65524113</v>
      </c>
      <c r="B47" s="47">
        <v>65524009</v>
      </c>
      <c r="C47" s="120">
        <v>65524113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怖くなんかないぞ・・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47" s="126">
        <v>65524013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3"/>
        <v>65524009_65524114</v>
      </c>
      <c r="B48" s="47">
        <v>65524009</v>
      </c>
      <c r="C48" s="120">
        <v>65524114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く、来るなら来やがれ・・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48" s="119">
        <v>65524014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3"/>
        <v>65524009_65524115</v>
      </c>
      <c r="B49" s="47">
        <v>65524009</v>
      </c>
      <c r="C49" s="120">
        <v>65524115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く、来るなら来やがれ・・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49" s="119">
        <v>65524015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3"/>
        <v>65524009_65524116</v>
      </c>
      <c r="B50" s="47">
        <v>65524009</v>
      </c>
      <c r="C50" s="120">
        <v>65524116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く、来るなら来やがれ・・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状態異常耐性+攻撃力50％DOWN</v>
      </c>
      <c r="F50" s="119">
        <v>65524016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3"/>
        <v>65524009_65524117</v>
      </c>
      <c r="B51" s="47">
        <v>65524009</v>
      </c>
      <c r="C51" s="130">
        <v>65524117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これでも持っていけ！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緑パネルをダメージパネルに(最大1個)変換</v>
      </c>
      <c r="F51" s="113">
        <v>65524017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3"/>
        <v>65524009_65524118</v>
      </c>
      <c r="B52" s="47">
        <v>65524009</v>
      </c>
      <c r="C52" s="130">
        <v>65524118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お邪魔します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緑パネルをお邪魔パネルに(最大1個)変換</v>
      </c>
      <c r="F52" s="113">
        <v>65524018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3"/>
        <v>65524009_65524119</v>
      </c>
      <c r="B53" s="47">
        <v>65524009</v>
      </c>
      <c r="C53" s="130">
        <v>65524119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すまんのぅ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単体攻撃緑+パネルプロテクト(最大1個)</v>
      </c>
      <c r="F53" s="113">
        <v>65524019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3"/>
        <v>65524009_65524120</v>
      </c>
      <c r="B54" s="47">
        <v>65524009</v>
      </c>
      <c r="C54" s="131">
        <v>65524120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ブヒ連弾！！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4" s="113">
        <v>65524020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3"/>
        <v>65524010_65524121</v>
      </c>
      <c r="B55" s="47">
        <v>65524010</v>
      </c>
      <c r="C55" s="131">
        <v>65524121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ビビっている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攻撃力50％DOWN</v>
      </c>
      <c r="F55" s="114">
        <v>65524021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:A67" si="5">B56&amp;"_"&amp;C56</f>
        <v>65524010_65524122</v>
      </c>
      <c r="B56" s="47">
        <v>65524010</v>
      </c>
      <c r="C56" s="131">
        <v>65524122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これでも持っていけ！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青色パネルをダメージパネル(最大1個)に変換</v>
      </c>
      <c r="F56" s="114">
        <v>65524022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5"/>
        <v>65524010_65524123</v>
      </c>
      <c r="B57" s="47">
        <v>65524010</v>
      </c>
      <c r="C57" s="131">
        <v>65524123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お邪魔します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赤色パネルをお邪魔パネル(最大1個)に変換</v>
      </c>
      <c r="F57" s="114">
        <v>65524023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5"/>
        <v>65524010_65524124</v>
      </c>
      <c r="B58" s="47">
        <v>65524010</v>
      </c>
      <c r="C58" s="131">
        <v>65524124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すまんのぅ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単体攻撃+ハートパネルプロテクト(最大1個ずつ)</v>
      </c>
      <c r="F58" s="114">
        <v>65524024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5"/>
        <v>65524010_65524125</v>
      </c>
      <c r="B59" s="47">
        <v>65524010</v>
      </c>
      <c r="C59" s="131">
        <v>65524125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ブヒ連弾！！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9" s="114">
        <v>65524025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5"/>
        <v>65524010_65524126</v>
      </c>
      <c r="B60" s="47">
        <v>65524010</v>
      </c>
      <c r="C60" s="131">
        <v>65524126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てめえら、調子にのるな！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攻撃力UP</v>
      </c>
      <c r="F60" s="114">
        <v>65524026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5"/>
        <v>65524010_65524127</v>
      </c>
      <c r="B61" s="47">
        <v>65524010</v>
      </c>
      <c r="C61" s="131">
        <v>65524127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ブチ切れ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残りHPの50％ダメージ</v>
      </c>
      <c r="F61" s="114">
        <v>65524027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5"/>
        <v>65524010_65524128</v>
      </c>
      <c r="B62" s="47">
        <v>65524010</v>
      </c>
      <c r="C62" s="131">
        <v>65524128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62" s="134">
        <v>65524028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5"/>
        <v>65524010_65524129</v>
      </c>
      <c r="B63" s="47">
        <v>65524010</v>
      </c>
      <c r="C63" s="131">
        <v>65524129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63" s="127">
        <v>65524029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5"/>
        <v>65524010_65524130</v>
      </c>
      <c r="B64" s="47">
        <v>65524010</v>
      </c>
      <c r="C64" s="131">
        <v>65524130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64" s="127">
        <v>65524030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5"/>
        <v>65524010_65524131</v>
      </c>
      <c r="B65" s="47">
        <v>65524010</v>
      </c>
      <c r="C65" s="131">
        <v>65524131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65" s="115">
        <v>65524031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5"/>
        <v>65524010_65524132</v>
      </c>
      <c r="B66" s="47">
        <v>65524010</v>
      </c>
      <c r="C66" s="131">
        <v>65524132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66" s="115">
        <v>65524032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5"/>
        <v>65524010_65524133</v>
      </c>
      <c r="B67" s="47">
        <v>65524010</v>
      </c>
      <c r="C67" s="131">
        <v>65524133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そ、そんな・・・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ブヒィーーーーー！！</v>
      </c>
      <c r="F67" s="115">
        <v>65524033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1"/>
  <sheetViews>
    <sheetView showGridLines="0" workbookViewId="0">
      <pane ySplit="1" topLeftCell="A23" activePane="bottomLeft" state="frozenSplit"/>
      <selection pane="bottomLeft" activeCell="B26" sqref="B2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7.5" style="49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20">
        <v>65524001</v>
      </c>
      <c r="B2" s="47" t="s">
        <v>352</v>
      </c>
      <c r="C2" s="50">
        <v>1</v>
      </c>
      <c r="D2" s="50" t="s">
        <v>127</v>
      </c>
      <c r="E2" s="51" t="s">
        <v>271</v>
      </c>
      <c r="F2" s="51" t="s">
        <v>275</v>
      </c>
      <c r="G2" s="63" t="str">
        <f t="shared" ref="G2:G35" si="0">IFERROR(LEFT(B2,FIND("],",B2)),B2)</f>
        <v>[effect:enemy_message, val1:1.2, val2:1.2]</v>
      </c>
      <c r="H2" s="63">
        <f t="shared" ref="H2:H35" si="1">FIND("effect:",G2)+7</f>
        <v>9</v>
      </c>
      <c r="I2" s="63">
        <f t="shared" ref="I2:I35" si="2">IFERROR(FIND(",",G2),LEN(G2))</f>
        <v>22</v>
      </c>
      <c r="J2" s="63" t="e">
        <f t="shared" ref="J2:J35" si="3">FIND("target:",G2)+7</f>
        <v>#VALUE!</v>
      </c>
      <c r="K2" s="63">
        <f t="shared" ref="K2:K35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35" si="5">IFERROR(RIGHT(B2,LEN(B2)-FIND("],",B2)-1),"none")</f>
        <v>[effect:critical, val:0.8, animation:enemy_critical],[effect:panel_freeze, target:normal, color:block_heart, count:2]</v>
      </c>
      <c r="N2" s="48" t="str">
        <f>IFERROR(LEFT(M2,FIND("],",M2)+#REF!),M2)</f>
        <v>[effect:critical, val:0.8, animation:enemy_critical],[effect:panel_freeze, target:normal, color:block_heart, count:2]</v>
      </c>
      <c r="O2" s="63">
        <f t="shared" ref="O2:O35" si="6">FIND("effect:",N2)+7</f>
        <v>9</v>
      </c>
      <c r="P2" s="63">
        <f t="shared" ref="P2:P35" si="7">IFERROR(FIND(",",N2),LEN(N2))</f>
        <v>17</v>
      </c>
      <c r="Q2" s="63">
        <f t="shared" ref="Q2:Q35" si="8">FIND("target:",N2)+7</f>
        <v>83</v>
      </c>
      <c r="R2" s="63">
        <f t="shared" ref="R2:R35" si="9">FIND(",",N2,P2+1)</f>
        <v>26</v>
      </c>
      <c r="S2" s="63" t="str">
        <f>IFERROR(VLOOKUP(MID(N2,Q2,R2-Q2),[6]skilldef!$C:$D,2,FALSE),"-") &amp; " / " &amp; IFERROR(VLOOKUP(MID(N2,O2,P2-O2),[6]skilldef!$A:$B,2,FALSE),"-")</f>
        <v>- / 大攻撃</v>
      </c>
      <c r="T2" s="48" t="str">
        <f t="shared" ref="T2:T35" si="10">IFERROR(RIGHT(M2,LEN(M2)-FIND("],",M2)-1),"none")</f>
        <v>[effect:panel_freeze, target:normal, color:block_heart, count:2]</v>
      </c>
      <c r="U2" s="63">
        <f t="shared" ref="U2:U35" si="11">FIND("effect:",T2)+7</f>
        <v>9</v>
      </c>
      <c r="V2" s="63">
        <f t="shared" ref="V2:V35" si="12">IFERROR(FIND(",",T2),LEN(T2))</f>
        <v>21</v>
      </c>
      <c r="W2" s="63">
        <f t="shared" ref="W2:W35" si="13">FIND("target:",T2)+7</f>
        <v>30</v>
      </c>
      <c r="X2" s="63">
        <f t="shared" ref="X2:X35" si="14">FIND(",",T2,V2+1)</f>
        <v>36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20">
        <v>65524002</v>
      </c>
      <c r="B3" s="47" t="s">
        <v>329</v>
      </c>
      <c r="C3" s="50">
        <v>1</v>
      </c>
      <c r="D3" s="50" t="s">
        <v>127</v>
      </c>
      <c r="E3" s="51" t="s">
        <v>270</v>
      </c>
      <c r="F3" s="51" t="s">
        <v>272</v>
      </c>
      <c r="G3" s="63" t="str">
        <f t="shared" si="0"/>
        <v>[effect:enemy_message, val1:1.2, val2:1.2]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si="5"/>
        <v>[effect:hungup, target:unit_all, turn:2, rate:1, animation:hungup01]</v>
      </c>
      <c r="N3" s="48" t="str">
        <f t="shared" ref="N3:N10" si="15">IFERROR(LEFT(M3,FIND("],",M3)+S12),M3)</f>
        <v>[effect:hungup, target:unit_all, turn:2, rate:1, animation:hungup01]</v>
      </c>
      <c r="O3" s="63">
        <f t="shared" si="6"/>
        <v>9</v>
      </c>
      <c r="P3" s="63">
        <f t="shared" si="7"/>
        <v>15</v>
      </c>
      <c r="Q3" s="63">
        <f t="shared" si="8"/>
        <v>24</v>
      </c>
      <c r="R3" s="63">
        <f t="shared" si="9"/>
        <v>32</v>
      </c>
      <c r="S3" s="63" t="str">
        <f>IFERROR(VLOOKUP(MID(N3,Q3,R3-Q3),[6]skilldef!$C:$D,2,FALSE),"-") &amp; " / " &amp; IFERROR(VLOOKUP(MID(N3,O3,P3-O3),[6]skilldef!$A:$B,2,FALSE),"-")</f>
        <v>味方全体に / ハングアップ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120">
        <v>65524003</v>
      </c>
      <c r="B4" s="47" t="s">
        <v>328</v>
      </c>
      <c r="C4" s="50">
        <v>1</v>
      </c>
      <c r="D4" s="50" t="s">
        <v>127</v>
      </c>
      <c r="E4" s="116" t="s">
        <v>325</v>
      </c>
      <c r="F4" s="116" t="s">
        <v>324</v>
      </c>
      <c r="G4" s="63" t="str">
        <f t="shared" si="0"/>
        <v>[effect:enemy_message, val1:1.2, val2:1.2]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[effect:rush, count:4, val:0.1]</v>
      </c>
      <c r="N4" s="48" t="str">
        <f t="shared" si="15"/>
        <v>[effect:rush, count:4, val:0.1]</v>
      </c>
      <c r="O4" s="63">
        <f t="shared" si="6"/>
        <v>9</v>
      </c>
      <c r="P4" s="63">
        <f t="shared" si="7"/>
        <v>13</v>
      </c>
      <c r="Q4" s="63" t="e">
        <f t="shared" si="8"/>
        <v>#VALUE!</v>
      </c>
      <c r="R4" s="63">
        <f t="shared" si="9"/>
        <v>22</v>
      </c>
      <c r="S4" s="63" t="str">
        <f>IFERROR(VLOOKUP(MID(N4,Q4,R4-Q4),[6]skilldef!$C:$D,2,FALSE),"-") &amp; " / " &amp; IFERROR(VLOOKUP(MID(N4,O4,P4-O4),[6]skilldef!$A:$B,2,FALSE),"-")</f>
        <v>- / 連続攻撃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38" customHeight="1" x14ac:dyDescent="0.15">
      <c r="A5" s="121">
        <v>65524004</v>
      </c>
      <c r="B5" s="47" t="s">
        <v>323</v>
      </c>
      <c r="C5" s="50">
        <v>1</v>
      </c>
      <c r="D5" s="50" t="s">
        <v>127</v>
      </c>
      <c r="E5" s="116" t="s">
        <v>322</v>
      </c>
      <c r="F5" s="116" t="s">
        <v>273</v>
      </c>
      <c r="G5" s="63" t="str">
        <f t="shared" si="0"/>
        <v>[effect:enemy_message, val1:1.5,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[effect:enhance_enemy, target:myself, turn:-1, status:defense, val:10000, calc:add, animation:enemy_enhance_defense]</v>
      </c>
      <c r="N5" s="48" t="str">
        <f t="shared" si="15"/>
        <v>[effect:enhance_enemy, target:myself, turn:-1, status:defense, val:10000, calc:add, animation:enemy_enhance_defense]</v>
      </c>
      <c r="O5" s="63">
        <f t="shared" si="6"/>
        <v>9</v>
      </c>
      <c r="P5" s="63">
        <f t="shared" si="7"/>
        <v>22</v>
      </c>
      <c r="Q5" s="63">
        <f t="shared" si="8"/>
        <v>31</v>
      </c>
      <c r="R5" s="63">
        <f t="shared" si="9"/>
        <v>37</v>
      </c>
      <c r="S5" s="63" t="str">
        <f>IFERROR(VLOOKUP(MID(N5,Q5,R5-Q5),[6]skilldef!$C:$D,2,FALSE),"-") &amp; " / " &amp; IFERROR(VLOOKUP(MID(N5,O5,P5-O5),[6]skilldef!$A:$B,2,FALSE),"-")</f>
        <v>自分自身に / ステータス強化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21">
        <v>65524005</v>
      </c>
      <c r="B6" s="47" t="s">
        <v>293</v>
      </c>
      <c r="C6" s="50">
        <v>1</v>
      </c>
      <c r="D6" s="50" t="s">
        <v>127</v>
      </c>
      <c r="E6" s="116" t="s">
        <v>268</v>
      </c>
      <c r="F6" s="116" t="s">
        <v>274</v>
      </c>
      <c r="G6" s="63" t="str">
        <f t="shared" si="0"/>
        <v>[effect:enemy_message, val1:1.2, val2:1.2]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[effect:enhance_enemy, target:myself, turn:-1, status:defense, val:7500, calc:add, animation:enemy_enhance_defense]</v>
      </c>
      <c r="N6" s="48" t="str">
        <f t="shared" si="15"/>
        <v>[effect:enhance_enemy, target:myself, turn:-1, status:defense, val:7500, calc:add, animation:enemy_enhance_defense]</v>
      </c>
      <c r="O6" s="63">
        <f t="shared" si="6"/>
        <v>9</v>
      </c>
      <c r="P6" s="63">
        <f t="shared" si="7"/>
        <v>22</v>
      </c>
      <c r="Q6" s="63">
        <f t="shared" si="8"/>
        <v>31</v>
      </c>
      <c r="R6" s="63">
        <f t="shared" si="9"/>
        <v>37</v>
      </c>
      <c r="S6" s="63" t="str">
        <f>IFERROR(VLOOKUP(MID(N6,Q6,R6-Q6),[6]skilldef!$C:$D,2,FALSE),"-") &amp; " / " &amp; IFERROR(VLOOKUP(MID(N6,O6,P6-O6),[6]skilldef!$A:$B,2,FALSE),"-")</f>
        <v>自分自身に / ステータス強化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21">
        <v>65524006</v>
      </c>
      <c r="B7" s="47" t="s">
        <v>294</v>
      </c>
      <c r="C7" s="50">
        <v>1</v>
      </c>
      <c r="D7" s="50" t="s">
        <v>127</v>
      </c>
      <c r="E7" s="116" t="s">
        <v>268</v>
      </c>
      <c r="F7" s="116" t="s">
        <v>274</v>
      </c>
      <c r="G7" s="63" t="str">
        <f t="shared" si="0"/>
        <v>[effect:enemy_message, val1:1.2, val2:1.2]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[effect:enhance_enemy, target:myself, turn:-1, status:defense, val:5000, calc:add, animation:enemy_enhance_defense]</v>
      </c>
      <c r="N7" s="48" t="str">
        <f t="shared" si="15"/>
        <v>[effect:enhance_enemy, target:myself, turn:-1, status:defense, val:5000, calc:add, animation:enemy_enhance_defense]</v>
      </c>
      <c r="O7" s="63">
        <f t="shared" si="6"/>
        <v>9</v>
      </c>
      <c r="P7" s="63">
        <f t="shared" si="7"/>
        <v>22</v>
      </c>
      <c r="Q7" s="63">
        <f t="shared" si="8"/>
        <v>31</v>
      </c>
      <c r="R7" s="63">
        <f t="shared" si="9"/>
        <v>37</v>
      </c>
      <c r="S7" s="63" t="str">
        <f>IFERROR(VLOOKUP(MID(N7,Q7,R7-Q7),[6]skilldef!$C:$D,2,FALSE),"-") &amp; " / " &amp; IFERROR(VLOOKUP(MID(N7,O7,P7-O7),[6]skilldef!$A:$B,2,FALSE),"-")</f>
        <v>自分自身に / ステータス強化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21">
        <v>65524007</v>
      </c>
      <c r="B8" s="47" t="s">
        <v>295</v>
      </c>
      <c r="C8" s="50">
        <v>1</v>
      </c>
      <c r="D8" s="50" t="s">
        <v>127</v>
      </c>
      <c r="E8" s="116" t="s">
        <v>268</v>
      </c>
      <c r="F8" s="116" t="s">
        <v>274</v>
      </c>
      <c r="G8" s="63" t="str">
        <f t="shared" si="0"/>
        <v>[effect:enemy_message, val1:1.2, val2:1.2]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[effect:enhance_enemy, target:myself, turn:-1, status:defense, val:2500, calc:add, animation:enemy_enhance_defense]</v>
      </c>
      <c r="N8" s="48" t="str">
        <f t="shared" si="15"/>
        <v>[effect:enhance_enemy, target:myself, turn:-1, status:defense, val:2500, calc:add, animation:enemy_enhance_defense]</v>
      </c>
      <c r="O8" s="63">
        <f t="shared" si="6"/>
        <v>9</v>
      </c>
      <c r="P8" s="63">
        <f t="shared" si="7"/>
        <v>22</v>
      </c>
      <c r="Q8" s="63">
        <f t="shared" si="8"/>
        <v>31</v>
      </c>
      <c r="R8" s="63">
        <f t="shared" si="9"/>
        <v>37</v>
      </c>
      <c r="S8" s="63" t="str">
        <f>IFERROR(VLOOKUP(MID(N8,Q8,R8-Q8),[6]skilldef!$C:$D,2,FALSE),"-") &amp; " / " &amp; IFERROR(VLOOKUP(MID(N8,O8,P8-O8),[6]skilldef!$A:$B,2,FALSE),"-")</f>
        <v>自分自身に / ステータス強化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21">
        <v>65524008</v>
      </c>
      <c r="B9" s="47" t="s">
        <v>296</v>
      </c>
      <c r="C9" s="50">
        <v>1</v>
      </c>
      <c r="D9" s="50" t="s">
        <v>127</v>
      </c>
      <c r="E9" s="116" t="s">
        <v>268</v>
      </c>
      <c r="F9" s="116" t="s">
        <v>274</v>
      </c>
      <c r="G9" s="63" t="str">
        <f t="shared" si="0"/>
        <v>[effect:enemy_message, val1:1.2, val2:1.2]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[effect:enhance_enemy, target:myself, turn:-1, status:defense, val:0, calc:add, animation:enemy_enhance_defense]</v>
      </c>
      <c r="N9" s="48" t="str">
        <f t="shared" si="15"/>
        <v>[effect:enhance_enemy, target:myself, turn:-1, status:defense, val:0, calc:add, animation:enemy_enhance_defense]</v>
      </c>
      <c r="O9" s="63">
        <f t="shared" si="6"/>
        <v>9</v>
      </c>
      <c r="P9" s="63">
        <f t="shared" si="7"/>
        <v>22</v>
      </c>
      <c r="Q9" s="63">
        <f t="shared" si="8"/>
        <v>31</v>
      </c>
      <c r="R9" s="63">
        <f t="shared" si="9"/>
        <v>37</v>
      </c>
      <c r="S9" s="63" t="str">
        <f>IFERROR(VLOOKUP(MID(N9,Q9,R9-Q9),[6]skilldef!$C:$D,2,FALSE),"-") &amp; " / " &amp; IFERROR(VLOOKUP(MID(N9,O9,P9-O9),[6]skilldef!$A:$B,2,FALSE),"-")</f>
        <v>自分自身に / ステータス強化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121">
        <v>65524009</v>
      </c>
      <c r="B10" s="47" t="s">
        <v>354</v>
      </c>
      <c r="C10" s="50">
        <v>1</v>
      </c>
      <c r="D10" s="50" t="s">
        <v>127</v>
      </c>
      <c r="E10" s="116" t="s">
        <v>331</v>
      </c>
      <c r="F10" s="116" t="s">
        <v>276</v>
      </c>
      <c r="G10" s="63" t="str">
        <f t="shared" si="0"/>
        <v>[effect:enemy_message, val1:1.2, val2:1.2]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[effect:damage_gravity, val:0.5, animation:fevergauge_down]</v>
      </c>
      <c r="N10" s="48" t="str">
        <f t="shared" si="15"/>
        <v>[effect:damage_gravity, val:0.5, animation:fevergauge_down]</v>
      </c>
      <c r="O10" s="63">
        <f t="shared" si="6"/>
        <v>9</v>
      </c>
      <c r="P10" s="63">
        <f t="shared" si="7"/>
        <v>23</v>
      </c>
      <c r="Q10" s="63" t="e">
        <f t="shared" si="8"/>
        <v>#VALUE!</v>
      </c>
      <c r="R10" s="63">
        <f t="shared" si="9"/>
        <v>32</v>
      </c>
      <c r="S10" s="63" t="str">
        <f>IFERROR(VLOOKUP(MID(N10,Q10,R10-Q10),[6]skilldef!$C:$D,2,FALSE),"-") &amp; " / " &amp; IFERROR(VLOOKUP(MID(N10,O10,P10-O10),[6]skilldef!$A:$B,2,FALSE),"-")</f>
        <v>- / 割合ダメージ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111">
        <v>65524010</v>
      </c>
      <c r="B11" s="128" t="s">
        <v>335</v>
      </c>
      <c r="C11" s="50">
        <v>1</v>
      </c>
      <c r="D11" s="50" t="s">
        <v>127</v>
      </c>
      <c r="E11" s="116" t="s">
        <v>269</v>
      </c>
      <c r="F11" s="116" t="s">
        <v>336</v>
      </c>
      <c r="G11" s="63" t="str">
        <f t="shared" si="0"/>
        <v>[effect:enemy_message, val1:1.2, val2:1.2]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[effect:attack_break, target:unit_all, turn:3, val:0.2, calc:mul, animation:attack_break01]</v>
      </c>
      <c r="N11" s="48" t="str">
        <f>IFERROR(LEFT(M11,FIND("],",M11)+S20),M11)</f>
        <v>[effect:attack_break, target:unit_all, turn:3, val:0.2, calc:mul, animation:attack_break01]</v>
      </c>
      <c r="O11" s="63">
        <f t="shared" si="6"/>
        <v>9</v>
      </c>
      <c r="P11" s="63">
        <f t="shared" si="7"/>
        <v>21</v>
      </c>
      <c r="Q11" s="63">
        <f t="shared" si="8"/>
        <v>30</v>
      </c>
      <c r="R11" s="63">
        <f t="shared" si="9"/>
        <v>38</v>
      </c>
      <c r="S11" s="63" t="str">
        <f>IFERROR(VLOOKUP(MID(N11,Q11,R11-Q11),[6]skilldef!$C:$D,2,FALSE),"-") &amp; " / " &amp; IFERROR(VLOOKUP(MID(N11,O11,P11-O11),[6]skilldef!$A:$B,2,FALSE),"-")</f>
        <v>味方全体に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22">
        <v>65524011</v>
      </c>
      <c r="B12" s="47" t="s">
        <v>297</v>
      </c>
      <c r="C12" s="50">
        <v>1</v>
      </c>
      <c r="D12" s="50" t="s">
        <v>127</v>
      </c>
      <c r="E12" s="116" t="s">
        <v>307</v>
      </c>
      <c r="F12" s="116" t="s">
        <v>291</v>
      </c>
      <c r="G12" s="63" t="str">
        <f t="shared" si="0"/>
        <v>[effect:enemy_message, val1:1.2, val2:1.2]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12" s="48" t="str">
        <f>IFERROR(LEFT(M12,FIND("],",M12)+S23),M12)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12" s="63">
        <f t="shared" si="6"/>
        <v>9</v>
      </c>
      <c r="P12" s="63">
        <f t="shared" si="7"/>
        <v>18</v>
      </c>
      <c r="Q12" s="63">
        <f t="shared" si="8"/>
        <v>27</v>
      </c>
      <c r="R12" s="63">
        <f t="shared" si="9"/>
        <v>33</v>
      </c>
      <c r="S12" s="63" t="str">
        <f>IFERROR(VLOOKUP(MID(N12,Q12,R12-Q12),[6]skilldef!$C:$D,2,FALSE),"-") &amp; " / " &amp; IFERROR(VLOOKUP(MID(N12,O12,P12-O12),[6]skilldef!$A:$B,2,FALSE),"-")</f>
        <v>自分自身に / 状態異常耐性</v>
      </c>
      <c r="T12" s="48" t="str">
        <f t="shared" si="10"/>
        <v>[effect:attack_break, target:enemy_all, turn:-1, val:0.5, calc:mul, animation:attack_break03],[effect:fix_speed, target:myself, turn:1]</v>
      </c>
      <c r="U12" s="63">
        <f t="shared" si="11"/>
        <v>9</v>
      </c>
      <c r="V12" s="63">
        <f t="shared" si="12"/>
        <v>21</v>
      </c>
      <c r="W12" s="63">
        <f t="shared" si="13"/>
        <v>30</v>
      </c>
      <c r="X12" s="63">
        <f t="shared" si="14"/>
        <v>39</v>
      </c>
      <c r="Y12" s="63" t="str">
        <f>IFERROR(VLOOKUP(MID(T12,W12,X12-W12),[6]skilldef!$C:$D,2,FALSE),"-") &amp; " / " &amp; IFERROR(VLOOKUP(MID(T12,U12,V12-U12),[6]skilldef!$A:$B,2,FALSE),"-")</f>
        <v>敵全体に / -</v>
      </c>
      <c r="Z12" s="50"/>
      <c r="AA12" s="52"/>
      <c r="AB12" s="50"/>
    </row>
    <row r="13" spans="1:28" ht="21" customHeight="1" x14ac:dyDescent="0.15">
      <c r="A13" s="123">
        <v>65524012</v>
      </c>
      <c r="B13" s="47" t="s">
        <v>297</v>
      </c>
      <c r="C13" s="50">
        <v>1</v>
      </c>
      <c r="D13" s="50" t="s">
        <v>127</v>
      </c>
      <c r="E13" s="116" t="s">
        <v>308</v>
      </c>
      <c r="F13" s="116" t="s">
        <v>291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13" s="48" t="str">
        <f>IFERROR(LEFT(M13,FIND("],",M13)+S24),M13)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13" s="63">
        <f t="shared" si="6"/>
        <v>9</v>
      </c>
      <c r="P13" s="63">
        <f t="shared" si="7"/>
        <v>18</v>
      </c>
      <c r="Q13" s="63">
        <f t="shared" si="8"/>
        <v>27</v>
      </c>
      <c r="R13" s="63">
        <f t="shared" si="9"/>
        <v>33</v>
      </c>
      <c r="S13" s="63" t="str">
        <f>IFERROR(VLOOKUP(MID(N13,Q13,R13-Q13),[6]skilldef!$C:$D,2,FALSE),"-") &amp; " / " &amp; IFERROR(VLOOKUP(MID(N13,O13,P13-O13),[6]skilldef!$A:$B,2,FALSE),"-")</f>
        <v>自分自身に / 状態異常耐性</v>
      </c>
      <c r="T13" s="48" t="str">
        <f t="shared" si="10"/>
        <v>[effect:attack_break, target:enemy_all, turn:-1, val:0.5, calc:mul, animation:attack_break03],[effect:fix_speed, target:myself, turn:1]</v>
      </c>
      <c r="U13" s="63">
        <f t="shared" si="11"/>
        <v>9</v>
      </c>
      <c r="V13" s="63">
        <f t="shared" si="12"/>
        <v>21</v>
      </c>
      <c r="W13" s="63">
        <f t="shared" si="13"/>
        <v>30</v>
      </c>
      <c r="X13" s="63">
        <f t="shared" si="14"/>
        <v>39</v>
      </c>
      <c r="Y13" s="63" t="str">
        <f>IFERROR(VLOOKUP(MID(T13,W13,X13-W13),[6]skilldef!$C:$D,2,FALSE),"-") &amp; " / " &amp; IFERROR(VLOOKUP(MID(T13,U13,V13-U13),[6]skilldef!$A:$B,2,FALSE),"-")</f>
        <v>敵全体に / -</v>
      </c>
      <c r="Z13" s="50"/>
      <c r="AA13" s="52"/>
      <c r="AB13" s="50"/>
    </row>
    <row r="14" spans="1:28" ht="21" customHeight="1" x14ac:dyDescent="0.15">
      <c r="A14" s="123">
        <v>65524013</v>
      </c>
      <c r="B14" s="47" t="s">
        <v>297</v>
      </c>
      <c r="C14" s="50">
        <v>1</v>
      </c>
      <c r="D14" s="50" t="s">
        <v>127</v>
      </c>
      <c r="E14" s="116" t="s">
        <v>308</v>
      </c>
      <c r="F14" s="116" t="s">
        <v>291</v>
      </c>
      <c r="G14" s="63" t="str">
        <f t="shared" si="0"/>
        <v>[effect:enemy_message, val1:1.2, val2:1.2]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14" s="48" t="str">
        <f>IFERROR(LEFT(M14,FIND("],",M14)+S25),M14)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10"/>
        <v>[effect:attack_break, target:enemy_all, turn:-1, val:0.5, calc:mul, animation:attack_break03],[effect:fix_speed, target:myself, turn:1]</v>
      </c>
      <c r="U14" s="63">
        <f t="shared" si="11"/>
        <v>9</v>
      </c>
      <c r="V14" s="63">
        <f t="shared" si="12"/>
        <v>21</v>
      </c>
      <c r="W14" s="63">
        <f t="shared" si="13"/>
        <v>30</v>
      </c>
      <c r="X14" s="63">
        <f t="shared" si="14"/>
        <v>39</v>
      </c>
      <c r="Y14" s="63" t="str">
        <f>IFERROR(VLOOKUP(MID(T14,W14,X14-W14),[6]skilldef!$C:$D,2,FALSE),"-") &amp; " / " &amp; IFERROR(VLOOKUP(MID(T14,U14,V14-U14),[6]skilldef!$A:$B,2,FALSE),"-")</f>
        <v>敵全体に / -</v>
      </c>
      <c r="Z14" s="50"/>
      <c r="AA14" s="52"/>
      <c r="AB14" s="50"/>
    </row>
    <row r="15" spans="1:28" ht="21" customHeight="1" x14ac:dyDescent="0.15">
      <c r="A15" s="124">
        <v>65524014</v>
      </c>
      <c r="B15" s="47" t="s">
        <v>297</v>
      </c>
      <c r="C15" s="50">
        <v>1</v>
      </c>
      <c r="D15" s="50" t="s">
        <v>127</v>
      </c>
      <c r="E15" s="116" t="s">
        <v>309</v>
      </c>
      <c r="F15" s="116" t="s">
        <v>291</v>
      </c>
      <c r="G15" s="63" t="str">
        <f t="shared" si="0"/>
        <v>[effect:enemy_message, val1:1.2, val2:1.2]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15" s="48" t="str">
        <f>IFERROR(LEFT(M15,FIND("],",M15)+S27),M15)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15" s="63">
        <f t="shared" si="6"/>
        <v>9</v>
      </c>
      <c r="P15" s="63">
        <f t="shared" si="7"/>
        <v>18</v>
      </c>
      <c r="Q15" s="63">
        <f t="shared" si="8"/>
        <v>27</v>
      </c>
      <c r="R15" s="63">
        <f t="shared" si="9"/>
        <v>33</v>
      </c>
      <c r="S15" s="63" t="str">
        <f>IFERROR(VLOOKUP(MID(N15,Q15,R15-Q15),[6]skilldef!$C:$D,2,FALSE),"-") &amp; " / " &amp; IFERROR(VLOOKUP(MID(N15,O15,P15-O15),[6]skilldef!$A:$B,2,FALSE),"-")</f>
        <v>自分自身に / 状態異常耐性</v>
      </c>
      <c r="T15" s="48" t="str">
        <f t="shared" si="10"/>
        <v>[effect:attack_break, target:enemy_all, turn:-1, val:0.5, calc:mul, animation:attack_break03],[effect:fix_speed, target:myself, turn:1]</v>
      </c>
      <c r="U15" s="63">
        <f t="shared" si="11"/>
        <v>9</v>
      </c>
      <c r="V15" s="63">
        <f t="shared" si="12"/>
        <v>21</v>
      </c>
      <c r="W15" s="63">
        <f t="shared" si="13"/>
        <v>30</v>
      </c>
      <c r="X15" s="63">
        <f t="shared" si="14"/>
        <v>39</v>
      </c>
      <c r="Y15" s="63" t="str">
        <f>IFERROR(VLOOKUP(MID(T15,W15,X15-W15),[6]skilldef!$C:$D,2,FALSE),"-") &amp; " / " &amp; IFERROR(VLOOKUP(MID(T15,U15,V15-U15),[6]skilldef!$A:$B,2,FALSE),"-")</f>
        <v>敵全体に / -</v>
      </c>
      <c r="Z15" s="50"/>
      <c r="AA15" s="52"/>
      <c r="AB15" s="50"/>
    </row>
    <row r="16" spans="1:28" ht="21" customHeight="1" x14ac:dyDescent="0.15">
      <c r="A16" s="124">
        <v>65524015</v>
      </c>
      <c r="B16" s="47" t="s">
        <v>297</v>
      </c>
      <c r="C16" s="50">
        <v>1</v>
      </c>
      <c r="D16" s="50" t="s">
        <v>127</v>
      </c>
      <c r="E16" s="116" t="s">
        <v>309</v>
      </c>
      <c r="F16" s="116" t="s">
        <v>291</v>
      </c>
      <c r="G16" s="63" t="str">
        <f t="shared" si="0"/>
        <v>[effect:enemy_message, val1:1.2, val2:1.2]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16" s="48" t="str">
        <f>IFERROR(LEFT(M16,FIND("],",M16)+S29),M16)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16" s="63">
        <f t="shared" si="6"/>
        <v>9</v>
      </c>
      <c r="P16" s="63">
        <f t="shared" si="7"/>
        <v>18</v>
      </c>
      <c r="Q16" s="63">
        <f t="shared" si="8"/>
        <v>27</v>
      </c>
      <c r="R16" s="63">
        <f t="shared" si="9"/>
        <v>33</v>
      </c>
      <c r="S16" s="63" t="str">
        <f>IFERROR(VLOOKUP(MID(N16,Q16,R16-Q16),[6]skilldef!$C:$D,2,FALSE),"-") &amp; " / " &amp; IFERROR(VLOOKUP(MID(N16,O16,P16-O16),[6]skilldef!$A:$B,2,FALSE),"-")</f>
        <v>自分自身に / 状態異常耐性</v>
      </c>
      <c r="T16" s="48" t="str">
        <f t="shared" si="10"/>
        <v>[effect:attack_break, target:enemy_all, turn:-1, val:0.5, calc:mul, animation:attack_break03],[effect:fix_speed, target:myself, turn:1]</v>
      </c>
      <c r="U16" s="63">
        <f t="shared" si="11"/>
        <v>9</v>
      </c>
      <c r="V16" s="63">
        <f t="shared" si="12"/>
        <v>21</v>
      </c>
      <c r="W16" s="63">
        <f t="shared" si="13"/>
        <v>30</v>
      </c>
      <c r="X16" s="63">
        <f t="shared" si="14"/>
        <v>39</v>
      </c>
      <c r="Y16" s="63" t="str">
        <f>IFERROR(VLOOKUP(MID(T16,W16,X16-W16),[6]skilldef!$C:$D,2,FALSE),"-") &amp; " / " &amp; IFERROR(VLOOKUP(MID(T16,U16,V16-U16),[6]skilldef!$A:$B,2,FALSE),"-")</f>
        <v>敵全体に / -</v>
      </c>
      <c r="Z16" s="50"/>
      <c r="AA16" s="52"/>
      <c r="AB16" s="50"/>
    </row>
    <row r="17" spans="1:28" ht="21" customHeight="1" x14ac:dyDescent="0.15">
      <c r="A17" s="124">
        <v>65524016</v>
      </c>
      <c r="B17" s="47" t="s">
        <v>297</v>
      </c>
      <c r="C17" s="50">
        <v>1</v>
      </c>
      <c r="D17" s="50" t="s">
        <v>127</v>
      </c>
      <c r="E17" s="116" t="s">
        <v>309</v>
      </c>
      <c r="F17" s="116" t="s">
        <v>291</v>
      </c>
      <c r="G17" s="63" t="str">
        <f t="shared" si="0"/>
        <v>[effect:enemy_message, val1:1.2, val2:1.2]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17" s="48" t="str">
        <f>IFERROR(LEFT(M17,FIND("],",M17)+S30),M17)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17" s="63">
        <f t="shared" si="6"/>
        <v>9</v>
      </c>
      <c r="P17" s="63">
        <f t="shared" si="7"/>
        <v>18</v>
      </c>
      <c r="Q17" s="63">
        <f t="shared" si="8"/>
        <v>27</v>
      </c>
      <c r="R17" s="63">
        <f t="shared" si="9"/>
        <v>33</v>
      </c>
      <c r="S17" s="63" t="str">
        <f>IFERROR(VLOOKUP(MID(N17,Q17,R17-Q17),[6]skilldef!$C:$D,2,FALSE),"-") &amp; " / " &amp; IFERROR(VLOOKUP(MID(N17,O17,P17-O17),[6]skilldef!$A:$B,2,FALSE),"-")</f>
        <v>自分自身に / 状態異常耐性</v>
      </c>
      <c r="T17" s="48" t="str">
        <f t="shared" si="10"/>
        <v>[effect:attack_break, target:enemy_all, turn:-1, val:0.5, calc:mul, animation:attack_break03],[effect:fix_speed, target:myself, turn:1]</v>
      </c>
      <c r="U17" s="63">
        <f t="shared" si="11"/>
        <v>9</v>
      </c>
      <c r="V17" s="63">
        <f t="shared" si="12"/>
        <v>21</v>
      </c>
      <c r="W17" s="63">
        <f t="shared" si="13"/>
        <v>30</v>
      </c>
      <c r="X17" s="63">
        <f t="shared" si="14"/>
        <v>39</v>
      </c>
      <c r="Y17" s="63" t="str">
        <f>IFERROR(VLOOKUP(MID(T17,W17,X17-W17),[6]skilldef!$C:$D,2,FALSE),"-") &amp; " / " &amp; IFERROR(VLOOKUP(MID(T17,U17,V17-U17),[6]skilldef!$A:$B,2,FALSE),"-")</f>
        <v>敵全体に / -</v>
      </c>
      <c r="Z17" s="50"/>
      <c r="AA17" s="52"/>
      <c r="AB17" s="50"/>
    </row>
    <row r="18" spans="1:28" ht="21" customHeight="1" x14ac:dyDescent="0.15">
      <c r="A18" s="120">
        <v>65524017</v>
      </c>
      <c r="B18" s="47" t="s">
        <v>298</v>
      </c>
      <c r="C18" s="50">
        <v>1</v>
      </c>
      <c r="D18" s="50" t="s">
        <v>127</v>
      </c>
      <c r="E18" s="116" t="s">
        <v>318</v>
      </c>
      <c r="F18" s="116" t="s">
        <v>278</v>
      </c>
      <c r="G18" s="63" t="str">
        <f t="shared" si="0"/>
        <v>[effect:enemy_message, val1:1.2, val2:1.2]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[effect:force_change_block, new_block:damage, target:block_green, count:2, val:0.08, animation:change_block]</v>
      </c>
      <c r="N18" s="48" t="str">
        <f>IFERROR(LEFT(M18,FIND("],",M18)+S31),M18)</f>
        <v>[effect:force_change_block, new_block:damage, target:block_green, count:2, val:0.08, animation:change_block]</v>
      </c>
      <c r="O18" s="63">
        <f t="shared" si="6"/>
        <v>9</v>
      </c>
      <c r="P18" s="63">
        <f t="shared" si="7"/>
        <v>27</v>
      </c>
      <c r="Q18" s="63">
        <f t="shared" si="8"/>
        <v>54</v>
      </c>
      <c r="R18" s="63">
        <f t="shared" si="9"/>
        <v>45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20">
        <v>65524018</v>
      </c>
      <c r="B19" s="47" t="s">
        <v>314</v>
      </c>
      <c r="C19" s="50">
        <v>1</v>
      </c>
      <c r="D19" s="50" t="s">
        <v>127</v>
      </c>
      <c r="E19" s="116" t="s">
        <v>332</v>
      </c>
      <c r="F19" s="116" t="s">
        <v>279</v>
      </c>
      <c r="G19" s="63" t="str">
        <f t="shared" si="0"/>
        <v>[effect:enemy_message, val1:1.2, val2:1.2]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[effect:force_change_block, new_block:jammer, target:block_green, count:2, val:0, animation:change_block]</v>
      </c>
      <c r="N19" s="48" t="str">
        <f>IFERROR(LEFT(M19,FIND("],",M19)+S32),M19)</f>
        <v>[effect:force_change_block, new_block:jammer, target:block_green, count:2, val:0, animation:change_block]</v>
      </c>
      <c r="O19" s="63">
        <f t="shared" si="6"/>
        <v>9</v>
      </c>
      <c r="P19" s="63">
        <f t="shared" si="7"/>
        <v>27</v>
      </c>
      <c r="Q19" s="63">
        <f t="shared" si="8"/>
        <v>54</v>
      </c>
      <c r="R19" s="63">
        <f t="shared" si="9"/>
        <v>45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2" customHeight="1" x14ac:dyDescent="0.15">
      <c r="A20" s="120">
        <v>65524019</v>
      </c>
      <c r="B20" s="47" t="s">
        <v>345</v>
      </c>
      <c r="C20" s="50">
        <v>1</v>
      </c>
      <c r="D20" s="50" t="s">
        <v>127</v>
      </c>
      <c r="E20" s="116" t="s">
        <v>333</v>
      </c>
      <c r="F20" s="116" t="s">
        <v>340</v>
      </c>
      <c r="G20" s="63" t="str">
        <f t="shared" si="0"/>
        <v>[effect:enemy_message, val1:1.2, val2:1.2]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[effect:panel_freeze, target:normal, color:block_green, count:2],[effect:rush, count:1, val:0.8]</v>
      </c>
      <c r="N20" s="48" t="str">
        <f>IFERROR(LEFT(M20,FIND("],",M20)+S33),M20)</f>
        <v>[effect:panel_freeze, target:normal, color:block_green, count:2],[effect:rush, count:1, val:0.8]</v>
      </c>
      <c r="O20" s="63">
        <f t="shared" si="6"/>
        <v>9</v>
      </c>
      <c r="P20" s="63">
        <f t="shared" si="7"/>
        <v>21</v>
      </c>
      <c r="Q20" s="63">
        <f t="shared" si="8"/>
        <v>30</v>
      </c>
      <c r="R20" s="63">
        <f t="shared" si="9"/>
        <v>36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[effect:rush, count:1, val:0.8]</v>
      </c>
      <c r="U20" s="63">
        <f t="shared" si="11"/>
        <v>9</v>
      </c>
      <c r="V20" s="63">
        <f t="shared" si="12"/>
        <v>13</v>
      </c>
      <c r="W20" s="63" t="e">
        <f t="shared" si="13"/>
        <v>#VALUE!</v>
      </c>
      <c r="X20" s="63">
        <f t="shared" si="14"/>
        <v>22</v>
      </c>
      <c r="Y20" s="63" t="str">
        <f>IFERROR(VLOOKUP(MID(T20,W20,X20-W20),[6]skilldef!$C:$D,2,FALSE),"-") &amp; " / " &amp; IFERROR(VLOOKUP(MID(T20,U20,V20-U20),[6]skilldef!$A:$B,2,FALSE),"-")</f>
        <v>- / 連続攻撃</v>
      </c>
      <c r="Z20" s="50"/>
      <c r="AA20" s="52"/>
      <c r="AB20" s="50"/>
    </row>
    <row r="21" spans="1:28" ht="21" customHeight="1" x14ac:dyDescent="0.15">
      <c r="A21" s="120">
        <v>65524020</v>
      </c>
      <c r="B21" s="47" t="s">
        <v>334</v>
      </c>
      <c r="C21" s="50">
        <v>1</v>
      </c>
      <c r="D21" s="50" t="s">
        <v>127</v>
      </c>
      <c r="E21" s="116" t="s">
        <v>327</v>
      </c>
      <c r="F21" s="116" t="s">
        <v>326</v>
      </c>
      <c r="G21" s="63" t="str">
        <f t="shared" ref="G21" si="16">IFERROR(LEFT(B21,FIND("],",B21)),B21)</f>
        <v>[effect:enemy_message, val1:1.2, val2:1.2]</v>
      </c>
      <c r="H21" s="63">
        <f t="shared" ref="H21" si="17">FIND("effect:",G21)+7</f>
        <v>9</v>
      </c>
      <c r="I21" s="63">
        <f t="shared" ref="I21" si="18">IFERROR(FIND(",",G21),LEN(G21))</f>
        <v>22</v>
      </c>
      <c r="J21" s="63" t="e">
        <f t="shared" ref="J21" si="19">FIND("target:",G21)+7</f>
        <v>#VALUE!</v>
      </c>
      <c r="K21" s="63">
        <f t="shared" ref="K21" si="20">FIND(",",G21,I21+1)</f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ref="M21" si="21">IFERROR(RIGHT(B21,LEN(B21)-FIND("],",B21)-1),"none")</f>
        <v>[effect:rush, count:2, val:1.0]</v>
      </c>
      <c r="N21" s="48" t="str">
        <f t="shared" ref="N21" si="22">IFERROR(LEFT(M21,FIND("],",M21)+S31),M21)</f>
        <v>[effect:rush, count:2, val:1.0]</v>
      </c>
      <c r="O21" s="63">
        <f t="shared" ref="O21" si="23">FIND("effect:",N21)+7</f>
        <v>9</v>
      </c>
      <c r="P21" s="63">
        <f t="shared" ref="P21" si="24">IFERROR(FIND(",",N21),LEN(N21))</f>
        <v>13</v>
      </c>
      <c r="Q21" s="63" t="e">
        <f t="shared" ref="Q21" si="25">FIND("target:",N21)+7</f>
        <v>#VALUE!</v>
      </c>
      <c r="R21" s="63">
        <f t="shared" ref="R21" si="26">FIND(",",N21,P21+1)</f>
        <v>22</v>
      </c>
      <c r="S21" s="63" t="str">
        <f>IFERROR(VLOOKUP(MID(N21,Q21,R21-Q21),[6]skilldef!$C:$D,2,FALSE),"-") &amp; " / " &amp; IFERROR(VLOOKUP(MID(N21,O21,P21-O21),[6]skilldef!$A:$B,2,FALSE),"-")</f>
        <v>- / 連続攻撃</v>
      </c>
      <c r="T21" s="48" t="str">
        <f t="shared" ref="T21" si="27">IFERROR(RIGHT(M21,LEN(M21)-FIND("],",M21)-1),"none")</f>
        <v>none</v>
      </c>
      <c r="U21" s="63" t="e">
        <f t="shared" ref="U21" si="28">FIND("effect:",T21)+7</f>
        <v>#VALUE!</v>
      </c>
      <c r="V21" s="63">
        <f t="shared" ref="V21" si="29">IFERROR(FIND(",",T21),LEN(T21))</f>
        <v>4</v>
      </c>
      <c r="W21" s="63" t="e">
        <f t="shared" ref="W21" si="30">FIND("target:",T21)+7</f>
        <v>#VALUE!</v>
      </c>
      <c r="X21" s="63" t="e">
        <f t="shared" ref="X21" si="31">FIND(",",T21,V21+1)</f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11">
        <v>65524021</v>
      </c>
      <c r="B22" s="47" t="s">
        <v>299</v>
      </c>
      <c r="C22" s="50">
        <v>1</v>
      </c>
      <c r="D22" s="50" t="s">
        <v>127</v>
      </c>
      <c r="E22" s="116" t="s">
        <v>292</v>
      </c>
      <c r="F22" s="116" t="s">
        <v>277</v>
      </c>
      <c r="G22" s="63" t="str">
        <f t="shared" si="0"/>
        <v>[effect:enemy_message, val1:1.2, val2:1.2]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[effect:attack_break, target:enemy_all, turn:-1, val:0.1, calc:mul, animation:attack_break03],[effect:fix_speed, target:myself, turn:1]</v>
      </c>
      <c r="N22" s="48" t="str">
        <f>IFERROR(LEFT(M22,FIND("],",M22)+S34),M22)</f>
        <v>[effect:attack_break, target:enemy_all, turn:-1, val:0.1, calc:mul, animation:attack_break03],[effect:fix_speed, target:myself, turn:1]</v>
      </c>
      <c r="O22" s="63">
        <f t="shared" si="6"/>
        <v>9</v>
      </c>
      <c r="P22" s="63">
        <f t="shared" si="7"/>
        <v>21</v>
      </c>
      <c r="Q22" s="63">
        <f t="shared" si="8"/>
        <v>30</v>
      </c>
      <c r="R22" s="63">
        <f t="shared" si="9"/>
        <v>39</v>
      </c>
      <c r="S22" s="63" t="str">
        <f>IFERROR(VLOOKUP(MID(N22,Q22,R22-Q22),[6]skilldef!$C:$D,2,FALSE),"-") &amp; " / " &amp; IFERROR(VLOOKUP(MID(N22,O22,P22-O22),[6]skilldef!$A:$B,2,FALSE),"-")</f>
        <v>敵全体に / -</v>
      </c>
      <c r="T22" s="48" t="str">
        <f t="shared" si="10"/>
        <v>[effect:fix_speed, target:myself, turn:1]</v>
      </c>
      <c r="U22" s="63">
        <f t="shared" si="11"/>
        <v>9</v>
      </c>
      <c r="V22" s="63">
        <f t="shared" si="12"/>
        <v>18</v>
      </c>
      <c r="W22" s="63">
        <f t="shared" si="13"/>
        <v>27</v>
      </c>
      <c r="X22" s="63">
        <f t="shared" si="14"/>
        <v>33</v>
      </c>
      <c r="Y22" s="63" t="str">
        <f>IFERROR(VLOOKUP(MID(T22,W22,X22-W22),[6]skilldef!$C:$D,2,FALSE),"-") &amp; " / " &amp; IFERROR(VLOOKUP(MID(T22,U22,V22-U22),[6]skilldef!$A:$B,2,FALSE),"-")</f>
        <v>自分自身に / 行動値設定</v>
      </c>
      <c r="Z22" s="50"/>
      <c r="AA22" s="52"/>
      <c r="AB22" s="50"/>
    </row>
    <row r="23" spans="1:28" ht="31" customHeight="1" x14ac:dyDescent="0.15">
      <c r="A23" s="111">
        <v>65524022</v>
      </c>
      <c r="B23" s="47" t="s">
        <v>300</v>
      </c>
      <c r="C23" s="50">
        <v>1</v>
      </c>
      <c r="D23" s="50" t="s">
        <v>127</v>
      </c>
      <c r="E23" s="116" t="s">
        <v>318</v>
      </c>
      <c r="F23" s="116" t="s">
        <v>280</v>
      </c>
      <c r="G23" s="63" t="str">
        <f t="shared" si="0"/>
        <v>[effect:enemy_message, val1:1.2, val2:1.2]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[effect:force_change_block, new_block:damage, target:block_green, count:1, val:0.08 animation:change_block],[effect:force_change_block, new_block:damage, target:block_blue, count:1, val:0.08 animation:change_block]</v>
      </c>
      <c r="N23" s="48" t="str">
        <f>IFERROR(LEFT(M23,FIND("],",M23)+S35),M23)</f>
        <v>[effect:force_change_block, new_block:damage, target:block_green, count:1, val:0.08 animation:change_block],[effect:force_change_block, new_block:damage, target:block_blue, count:1, val:0.08 animation:change_block]</v>
      </c>
      <c r="O23" s="63">
        <f t="shared" si="6"/>
        <v>9</v>
      </c>
      <c r="P23" s="63">
        <f t="shared" si="7"/>
        <v>27</v>
      </c>
      <c r="Q23" s="63">
        <f t="shared" si="8"/>
        <v>54</v>
      </c>
      <c r="R23" s="63">
        <f t="shared" si="9"/>
        <v>45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[effect:force_change_block, new_block:damage, target:block_blue, count:1, val:0.08 animation:change_block]</v>
      </c>
      <c r="U23" s="63">
        <f t="shared" si="11"/>
        <v>9</v>
      </c>
      <c r="V23" s="63">
        <f t="shared" si="12"/>
        <v>27</v>
      </c>
      <c r="W23" s="63">
        <f t="shared" si="13"/>
        <v>54</v>
      </c>
      <c r="X23" s="63">
        <f t="shared" si="14"/>
        <v>45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31" customHeight="1" x14ac:dyDescent="0.15">
      <c r="A24" s="111">
        <v>65524023</v>
      </c>
      <c r="B24" s="47" t="s">
        <v>315</v>
      </c>
      <c r="C24" s="50">
        <v>1</v>
      </c>
      <c r="D24" s="50" t="s">
        <v>127</v>
      </c>
      <c r="E24" s="116" t="s">
        <v>332</v>
      </c>
      <c r="F24" s="116" t="s">
        <v>281</v>
      </c>
      <c r="G24" s="63" t="str">
        <f t="shared" si="0"/>
        <v>[effect:enemy_message, val1:1.2, val2:1.2]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[effect:force_change_block, new_block:jammer, target:block_green, count:1, val:0, animation:change_block],[effect:force_change_block, new_block:jammer, target:block_red, count:1, val:0, animation:change_block]</v>
      </c>
      <c r="N24" s="48" t="str">
        <f>IFERROR(LEFT(M24,FIND("],",M24)+S36),M24)</f>
        <v>[effect:force_change_block, new_block:jammer, target:block_green, count:1, val:0, animation:change_block],[effect:force_change_block, new_block:jammer, target:block_red, count:1, val:0, animation:change_block]</v>
      </c>
      <c r="O24" s="63">
        <f t="shared" si="6"/>
        <v>9</v>
      </c>
      <c r="P24" s="63">
        <f t="shared" si="7"/>
        <v>27</v>
      </c>
      <c r="Q24" s="63">
        <f t="shared" si="8"/>
        <v>54</v>
      </c>
      <c r="R24" s="63">
        <f t="shared" si="9"/>
        <v>45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[effect:force_change_block, new_block:jammer, target:block_red, count:1, val:0, animation:change_block]</v>
      </c>
      <c r="U24" s="63">
        <f t="shared" si="11"/>
        <v>9</v>
      </c>
      <c r="V24" s="63">
        <f t="shared" si="12"/>
        <v>27</v>
      </c>
      <c r="W24" s="63">
        <f t="shared" si="13"/>
        <v>54</v>
      </c>
      <c r="X24" s="63">
        <f t="shared" si="14"/>
        <v>45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32" customHeight="1" x14ac:dyDescent="0.15">
      <c r="A25" s="111">
        <v>65524024</v>
      </c>
      <c r="B25" s="47" t="s">
        <v>362</v>
      </c>
      <c r="C25" s="50">
        <v>1</v>
      </c>
      <c r="D25" s="50" t="s">
        <v>127</v>
      </c>
      <c r="E25" s="116" t="s">
        <v>333</v>
      </c>
      <c r="F25" s="116" t="s">
        <v>341</v>
      </c>
      <c r="G25" s="63" t="str">
        <f t="shared" si="0"/>
        <v>[effect:enemy_message, val1:1.2, val2:1.2]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[effect:panel_freeze, target:normal, color:block_green, count:1],[effect:panel_freeze, target:normal, color:block_heart, count:1],[effect:rush, count:1, val:0.3]</v>
      </c>
      <c r="N25" s="48" t="str">
        <f>IFERROR(LEFT(M25,FIND("],",M25)+S37),M25)</f>
        <v>[effect:panel_freeze, target:normal, color:block_green, count:1],[effect:panel_freeze, target:normal, color:block_heart, count:1],[effect:rush, count:1, val:0.3]</v>
      </c>
      <c r="O25" s="63">
        <f t="shared" si="6"/>
        <v>9</v>
      </c>
      <c r="P25" s="63">
        <f t="shared" si="7"/>
        <v>21</v>
      </c>
      <c r="Q25" s="63">
        <f t="shared" si="8"/>
        <v>30</v>
      </c>
      <c r="R25" s="63">
        <f t="shared" si="9"/>
        <v>36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[effect:panel_freeze, target:normal, color:block_heart, count:1],[effect:rush, count:1, val:0.3]</v>
      </c>
      <c r="U25" s="63">
        <f t="shared" si="11"/>
        <v>9</v>
      </c>
      <c r="V25" s="63">
        <f t="shared" si="12"/>
        <v>21</v>
      </c>
      <c r="W25" s="63">
        <f t="shared" si="13"/>
        <v>30</v>
      </c>
      <c r="X25" s="63">
        <f t="shared" si="14"/>
        <v>36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11">
        <v>65524025</v>
      </c>
      <c r="B26" s="47" t="s">
        <v>359</v>
      </c>
      <c r="C26" s="50">
        <v>1</v>
      </c>
      <c r="D26" s="50" t="s">
        <v>127</v>
      </c>
      <c r="E26" s="116" t="s">
        <v>327</v>
      </c>
      <c r="F26" s="116" t="s">
        <v>326</v>
      </c>
      <c r="G26" s="63" t="str">
        <f t="shared" si="0"/>
        <v>[effect:enemy_message, val1:1.2, val2:1.2]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[effect:rush, count:2, val:0.6]</v>
      </c>
      <c r="N26" s="48" t="str">
        <f t="shared" ref="N26" si="32">IFERROR(LEFT(M26,FIND("],",M26)+S36),M26)</f>
        <v>[effect:rush, count:2, val:0.6]</v>
      </c>
      <c r="O26" s="63">
        <f t="shared" si="6"/>
        <v>9</v>
      </c>
      <c r="P26" s="63">
        <f t="shared" si="7"/>
        <v>13</v>
      </c>
      <c r="Q26" s="63" t="e">
        <f t="shared" si="8"/>
        <v>#VALUE!</v>
      </c>
      <c r="R26" s="63">
        <f t="shared" si="9"/>
        <v>22</v>
      </c>
      <c r="S26" s="63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11">
        <v>65524026</v>
      </c>
      <c r="B27" s="47" t="s">
        <v>358</v>
      </c>
      <c r="C27" s="50">
        <v>1</v>
      </c>
      <c r="D27" s="50" t="s">
        <v>127</v>
      </c>
      <c r="E27" s="116" t="s">
        <v>310</v>
      </c>
      <c r="F27" s="116" t="s">
        <v>356</v>
      </c>
      <c r="G27" s="63" t="str">
        <f t="shared" si="0"/>
        <v>[effect:enemy_message, val1:1.2, val2:1.2]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[effect:enhance_enemy, target:myself, turn:-1, status:attack, val:0.4, calc:mul, animation:enemy_enhance_attack]</v>
      </c>
      <c r="N27" s="48" t="str">
        <f t="shared" ref="N27" si="33">IFERROR(LEFT(M27,FIND("],",M27)+S38),M27)</f>
        <v>[effect:enhance_enemy, target:myself, turn:-1, status:attack, val:0.4, calc:mul, animation:enemy_enhance_attack]</v>
      </c>
      <c r="O27" s="63">
        <f t="shared" si="6"/>
        <v>9</v>
      </c>
      <c r="P27" s="63">
        <f t="shared" si="7"/>
        <v>22</v>
      </c>
      <c r="Q27" s="63">
        <f t="shared" si="8"/>
        <v>31</v>
      </c>
      <c r="R27" s="63">
        <f t="shared" si="9"/>
        <v>37</v>
      </c>
      <c r="S27" s="63" t="str">
        <f>IFERROR(VLOOKUP(MID(N27,Q27,R27-Q27),[6]skilldef!$C:$D,2,FALSE),"-") &amp; " / " &amp; IFERROR(VLOOKUP(MID(N27,O27,P27-O27),[6]skilldef!$A:$B,2,FALSE),"-")</f>
        <v>自分自身に / ステータス強化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11">
        <v>65524027</v>
      </c>
      <c r="B28" s="47" t="s">
        <v>360</v>
      </c>
      <c r="C28" s="50">
        <v>1</v>
      </c>
      <c r="D28" s="50" t="s">
        <v>127</v>
      </c>
      <c r="E28" s="116" t="s">
        <v>319</v>
      </c>
      <c r="F28" s="116" t="s">
        <v>361</v>
      </c>
      <c r="G28" s="63" t="str">
        <f t="shared" ref="G28" si="34">IFERROR(LEFT(B28,FIND("],",B28)),B28)</f>
        <v>[effect:enemy_message, val1:1.2, val2:1.2]</v>
      </c>
      <c r="H28" s="63">
        <f t="shared" ref="H28" si="35">FIND("effect:",G28)+7</f>
        <v>9</v>
      </c>
      <c r="I28" s="63">
        <f t="shared" ref="I28" si="36">IFERROR(FIND(",",G28),LEN(G28))</f>
        <v>22</v>
      </c>
      <c r="J28" s="63" t="e">
        <f t="shared" ref="J28" si="37">FIND("target:",G28)+7</f>
        <v>#VALUE!</v>
      </c>
      <c r="K28" s="63">
        <f t="shared" ref="K28" si="38">FIND(",",G28,I28+1)</f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ref="M28" si="39">IFERROR(RIGHT(B28,LEN(B28)-FIND("],",B28)-1),"none")</f>
        <v>[effect:damage_gravity, val:0.6, animation:fevergauge_down]</v>
      </c>
      <c r="N28" s="48" t="str">
        <f t="shared" ref="N28" si="40">IFERROR(LEFT(M28,FIND("],",M28)+S37),M28)</f>
        <v>[effect:damage_gravity, val:0.6, animation:fevergauge_down]</v>
      </c>
      <c r="O28" s="63">
        <f t="shared" ref="O28" si="41">FIND("effect:",N28)+7</f>
        <v>9</v>
      </c>
      <c r="P28" s="63">
        <f t="shared" ref="P28" si="42">IFERROR(FIND(",",N28),LEN(N28))</f>
        <v>23</v>
      </c>
      <c r="Q28" s="63" t="e">
        <f t="shared" ref="Q28" si="43">FIND("target:",N28)+7</f>
        <v>#VALUE!</v>
      </c>
      <c r="R28" s="63">
        <f t="shared" ref="R28" si="44">FIND(",",N28,P28+1)</f>
        <v>32</v>
      </c>
      <c r="S28" s="63" t="str">
        <f>IFERROR(VLOOKUP(MID(N28,Q28,R28-Q28),[6]skilldef!$C:$D,2,FALSE),"-") &amp; " / " &amp; IFERROR(VLOOKUP(MID(N28,O28,P28-O28),[6]skilldef!$A:$B,2,FALSE),"-")</f>
        <v>- / 割合ダメージ</v>
      </c>
      <c r="T28" s="48" t="str">
        <f t="shared" ref="T28" si="45">IFERROR(RIGHT(M28,LEN(M28)-FIND("],",M28)-1),"none")</f>
        <v>none</v>
      </c>
      <c r="U28" s="63" t="e">
        <f t="shared" ref="U28" si="46">FIND("effect:",T28)+7</f>
        <v>#VALUE!</v>
      </c>
      <c r="V28" s="63">
        <f t="shared" ref="V28" si="47">IFERROR(FIND(",",T28),LEN(T28))</f>
        <v>4</v>
      </c>
      <c r="W28" s="63" t="e">
        <f t="shared" ref="W28" si="48">FIND("target:",T28)+7</f>
        <v>#VALUE!</v>
      </c>
      <c r="X28" s="63" t="e">
        <f t="shared" ref="X28" si="49">FIND(",",T28,V28+1)</f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111">
        <v>65524028</v>
      </c>
      <c r="B29" s="47" t="s">
        <v>302</v>
      </c>
      <c r="C29" s="50">
        <v>1</v>
      </c>
      <c r="D29" s="50" t="s">
        <v>127</v>
      </c>
      <c r="E29" s="116" t="s">
        <v>330</v>
      </c>
      <c r="F29" s="116" t="s">
        <v>317</v>
      </c>
      <c r="G29" s="63" t="str">
        <f t="shared" si="0"/>
        <v>[effect:enemy_message, val1:1.2, val2:1.2, dead_type:suicide]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>
        <f t="shared" si="4"/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si="5"/>
        <v>none</v>
      </c>
      <c r="N29" s="48" t="str">
        <f t="shared" ref="N29:N34" si="50">IFERROR(LEFT(M29,FIND("],",M29)+S39),M29)</f>
        <v>none</v>
      </c>
      <c r="O29" s="63" t="e">
        <f t="shared" si="6"/>
        <v>#VALUE!</v>
      </c>
      <c r="P29" s="63">
        <f t="shared" si="7"/>
        <v>4</v>
      </c>
      <c r="Q29" s="63" t="e">
        <f t="shared" si="8"/>
        <v>#VALUE!</v>
      </c>
      <c r="R29" s="63" t="e">
        <f t="shared" si="9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111">
        <v>65524029</v>
      </c>
      <c r="B30" s="47" t="s">
        <v>282</v>
      </c>
      <c r="C30" s="50">
        <v>1</v>
      </c>
      <c r="D30" s="50" t="s">
        <v>127</v>
      </c>
      <c r="E30" s="116" t="s">
        <v>330</v>
      </c>
      <c r="F30" s="116" t="s">
        <v>317</v>
      </c>
      <c r="G30" s="63" t="str">
        <f t="shared" si="0"/>
        <v>[effect:enemy_message, val1:1.3, val2:1.2, dead_type:suicide]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>none</v>
      </c>
      <c r="N30" s="48" t="str">
        <f t="shared" si="50"/>
        <v>none</v>
      </c>
      <c r="O30" s="63" t="e">
        <f t="shared" si="6"/>
        <v>#VALUE!</v>
      </c>
      <c r="P30" s="63">
        <f t="shared" si="7"/>
        <v>4</v>
      </c>
      <c r="Q30" s="63" t="e">
        <f t="shared" si="8"/>
        <v>#VALUE!</v>
      </c>
      <c r="R30" s="63" t="e">
        <f t="shared" si="9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111">
        <v>65524030</v>
      </c>
      <c r="B31" s="47" t="s">
        <v>282</v>
      </c>
      <c r="C31" s="50">
        <v>1</v>
      </c>
      <c r="D31" s="50" t="s">
        <v>127</v>
      </c>
      <c r="E31" s="116" t="s">
        <v>330</v>
      </c>
      <c r="F31" s="116" t="s">
        <v>317</v>
      </c>
      <c r="G31" s="63" t="str">
        <f t="shared" si="0"/>
        <v>[effect:enemy_message, val1:1.3, val2:1.2, dead_type:suicide]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5"/>
        <v>none</v>
      </c>
      <c r="N31" s="48" t="str">
        <f t="shared" si="50"/>
        <v>none</v>
      </c>
      <c r="O31" s="63" t="e">
        <f t="shared" si="6"/>
        <v>#VALUE!</v>
      </c>
      <c r="P31" s="63">
        <f t="shared" si="7"/>
        <v>4</v>
      </c>
      <c r="Q31" s="63" t="e">
        <f t="shared" si="8"/>
        <v>#VALUE!</v>
      </c>
      <c r="R31" s="63" t="e">
        <f t="shared" si="9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11">
        <v>65524031</v>
      </c>
      <c r="B32" s="47" t="s">
        <v>282</v>
      </c>
      <c r="C32" s="50">
        <v>1</v>
      </c>
      <c r="D32" s="50" t="s">
        <v>127</v>
      </c>
      <c r="E32" s="116" t="s">
        <v>330</v>
      </c>
      <c r="F32" s="116" t="s">
        <v>317</v>
      </c>
      <c r="G32" s="63" t="str">
        <f t="shared" si="0"/>
        <v>[effect:enemy_message, val1:1.3, val2:1.2, dead_type:suicide]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>none</v>
      </c>
      <c r="N32" s="48" t="str">
        <f t="shared" si="50"/>
        <v>none</v>
      </c>
      <c r="O32" s="63" t="e">
        <f t="shared" si="6"/>
        <v>#VALUE!</v>
      </c>
      <c r="P32" s="63">
        <f t="shared" si="7"/>
        <v>4</v>
      </c>
      <c r="Q32" s="63" t="e">
        <f t="shared" si="8"/>
        <v>#VALUE!</v>
      </c>
      <c r="R32" s="63" t="e">
        <f t="shared" si="9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0"/>
        <v>none</v>
      </c>
      <c r="U32" s="63" t="e">
        <f t="shared" si="11"/>
        <v>#VALUE!</v>
      </c>
      <c r="V32" s="63">
        <f t="shared" si="12"/>
        <v>4</v>
      </c>
      <c r="W32" s="63" t="e">
        <f t="shared" si="13"/>
        <v>#VALUE!</v>
      </c>
      <c r="X32" s="63" t="e">
        <f t="shared" si="14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11">
        <v>65524032</v>
      </c>
      <c r="B33" s="47" t="s">
        <v>282</v>
      </c>
      <c r="C33" s="50">
        <v>1</v>
      </c>
      <c r="D33" s="50" t="s">
        <v>127</v>
      </c>
      <c r="E33" s="116" t="s">
        <v>330</v>
      </c>
      <c r="F33" s="116" t="s">
        <v>317</v>
      </c>
      <c r="G33" s="63" t="str">
        <f t="shared" si="0"/>
        <v>[effect:enemy_message, val1:1.3, val2:1.2, dead_type:suicide]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>none</v>
      </c>
      <c r="N33" s="48" t="str">
        <f t="shared" si="50"/>
        <v>none</v>
      </c>
      <c r="O33" s="63" t="e">
        <f t="shared" si="6"/>
        <v>#VALUE!</v>
      </c>
      <c r="P33" s="63">
        <f t="shared" si="7"/>
        <v>4</v>
      </c>
      <c r="Q33" s="63" t="e">
        <f t="shared" si="8"/>
        <v>#VALUE!</v>
      </c>
      <c r="R33" s="63" t="e">
        <f t="shared" si="9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0"/>
        <v>none</v>
      </c>
      <c r="U33" s="63" t="e">
        <f t="shared" si="11"/>
        <v>#VALUE!</v>
      </c>
      <c r="V33" s="63">
        <f t="shared" si="12"/>
        <v>4</v>
      </c>
      <c r="W33" s="63" t="e">
        <f t="shared" si="13"/>
        <v>#VALUE!</v>
      </c>
      <c r="X33" s="63" t="e">
        <f t="shared" si="14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11">
        <v>65524033</v>
      </c>
      <c r="B34" s="47" t="s">
        <v>282</v>
      </c>
      <c r="C34" s="50">
        <v>1</v>
      </c>
      <c r="D34" s="50" t="s">
        <v>127</v>
      </c>
      <c r="E34" s="116" t="s">
        <v>330</v>
      </c>
      <c r="F34" s="116" t="s">
        <v>317</v>
      </c>
      <c r="G34" s="63" t="str">
        <f t="shared" si="0"/>
        <v>[effect:enemy_message, val1:1.3, val2:1.2, dead_type:suicide]</v>
      </c>
      <c r="H34" s="63">
        <f t="shared" si="1"/>
        <v>9</v>
      </c>
      <c r="I34" s="63">
        <f t="shared" si="2"/>
        <v>22</v>
      </c>
      <c r="J34" s="63" t="e">
        <f t="shared" si="3"/>
        <v>#VALUE!</v>
      </c>
      <c r="K34" s="63">
        <f t="shared" si="4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5"/>
        <v>none</v>
      </c>
      <c r="N34" s="48" t="str">
        <f t="shared" si="50"/>
        <v>none</v>
      </c>
      <c r="O34" s="63" t="e">
        <f t="shared" si="6"/>
        <v>#VALUE!</v>
      </c>
      <c r="P34" s="63">
        <f t="shared" si="7"/>
        <v>4</v>
      </c>
      <c r="Q34" s="63" t="e">
        <f t="shared" si="8"/>
        <v>#VALUE!</v>
      </c>
      <c r="R34" s="63" t="e">
        <f t="shared" si="9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>none</v>
      </c>
      <c r="U34" s="63" t="e">
        <f t="shared" si="11"/>
        <v>#VALUE!</v>
      </c>
      <c r="V34" s="63">
        <f t="shared" si="12"/>
        <v>4</v>
      </c>
      <c r="W34" s="63" t="e">
        <f t="shared" si="13"/>
        <v>#VALUE!</v>
      </c>
      <c r="X34" s="63" t="e">
        <f t="shared" si="14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21">
        <v>65524101</v>
      </c>
      <c r="B35" s="47" t="s">
        <v>337</v>
      </c>
      <c r="C35" s="50">
        <v>1</v>
      </c>
      <c r="D35" s="50" t="s">
        <v>127</v>
      </c>
      <c r="E35" s="51" t="s">
        <v>271</v>
      </c>
      <c r="F35" s="51" t="s">
        <v>283</v>
      </c>
      <c r="G35" s="63" t="str">
        <f t="shared" si="0"/>
        <v>[effect:enemy_message, val1:1.2, val2:1.2]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5"/>
        <v>[effect:critical, val:1.1, animation:enemy_critical],[effect:panel_freeze, target:normal, color:block_heart, count:2]</v>
      </c>
      <c r="N35" s="48" t="str">
        <f>IFERROR(LEFT(M35,FIND("],",M35)+#REF!),M35)</f>
        <v>[effect:critical, val:1.1, animation:enemy_critical],[effect:panel_freeze, target:normal, color:block_heart, count:2]</v>
      </c>
      <c r="O35" s="63">
        <f t="shared" si="6"/>
        <v>9</v>
      </c>
      <c r="P35" s="63">
        <f t="shared" si="7"/>
        <v>17</v>
      </c>
      <c r="Q35" s="63">
        <f t="shared" si="8"/>
        <v>83</v>
      </c>
      <c r="R35" s="63">
        <f t="shared" si="9"/>
        <v>26</v>
      </c>
      <c r="S35" s="63" t="str">
        <f>IFERROR(VLOOKUP(MID(N35,Q35,R35-Q35),[6]skilldef!$C:$D,2,FALSE),"-") &amp; " / " &amp; IFERROR(VLOOKUP(MID(N35,O35,P35-O35),[6]skilldef!$A:$B,2,FALSE),"-")</f>
        <v>- / 大攻撃</v>
      </c>
      <c r="T35" s="48" t="str">
        <f t="shared" si="10"/>
        <v>[effect:panel_freeze, target:normal, color:block_heart, count:2]</v>
      </c>
      <c r="U35" s="63">
        <f t="shared" si="11"/>
        <v>9</v>
      </c>
      <c r="V35" s="63">
        <f t="shared" si="12"/>
        <v>21</v>
      </c>
      <c r="W35" s="63">
        <f t="shared" si="13"/>
        <v>30</v>
      </c>
      <c r="X35" s="63">
        <f t="shared" si="14"/>
        <v>36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21">
        <v>65524102</v>
      </c>
      <c r="B36" s="47" t="s">
        <v>313</v>
      </c>
      <c r="C36" s="50">
        <v>1</v>
      </c>
      <c r="D36" s="50" t="s">
        <v>127</v>
      </c>
      <c r="E36" s="51" t="s">
        <v>270</v>
      </c>
      <c r="F36" s="51" t="s">
        <v>284</v>
      </c>
      <c r="G36" s="63" t="str">
        <f t="shared" ref="G36:G67" si="51">IFERROR(LEFT(B36,FIND("],",B36)),B36)</f>
        <v>[effect:enemy_message, val1:1.2, val2:1.2]</v>
      </c>
      <c r="H36" s="63">
        <f t="shared" ref="H36:H67" si="52">FIND("effect:",G36)+7</f>
        <v>9</v>
      </c>
      <c r="I36" s="63">
        <f t="shared" ref="I36:I67" si="53">IFERROR(FIND(",",G36),LEN(G36))</f>
        <v>22</v>
      </c>
      <c r="J36" s="63" t="e">
        <f t="shared" ref="J36:J67" si="54">FIND("target:",G36)+7</f>
        <v>#VALUE!</v>
      </c>
      <c r="K36" s="63">
        <f t="shared" ref="K36:K67" si="55">FIND(",",G36,I36+1)</f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ref="M36:M67" si="56">IFERROR(RIGHT(B36,LEN(B36)-FIND("],",B36)-1),"none")</f>
        <v>[effect:hungup, target:unit_all, turn:1, rate:1, animation:hungup01]</v>
      </c>
      <c r="N36" s="48" t="str">
        <f t="shared" ref="N36:N44" si="57">IFERROR(LEFT(M36,FIND("],",M36)+S45),M36)</f>
        <v>[effect:hungup, target:unit_all, turn:1, rate:1, animation:hungup01]</v>
      </c>
      <c r="O36" s="63">
        <f t="shared" ref="O36:O67" si="58">FIND("effect:",N36)+7</f>
        <v>9</v>
      </c>
      <c r="P36" s="63">
        <f t="shared" ref="P36:P67" si="59">IFERROR(FIND(",",N36),LEN(N36))</f>
        <v>15</v>
      </c>
      <c r="Q36" s="63">
        <f t="shared" ref="Q36:Q67" si="60">FIND("target:",N36)+7</f>
        <v>24</v>
      </c>
      <c r="R36" s="63">
        <f t="shared" ref="R36:R67" si="61">FIND(",",N36,P36+1)</f>
        <v>32</v>
      </c>
      <c r="S36" s="63" t="str">
        <f>IFERROR(VLOOKUP(MID(N36,Q36,R36-Q36),[6]skilldef!$C:$D,2,FALSE),"-") &amp; " / " &amp; IFERROR(VLOOKUP(MID(N36,O36,P36-O36),[6]skilldef!$A:$B,2,FALSE),"-")</f>
        <v>味方全体に / ハングアップ</v>
      </c>
      <c r="T36" s="48" t="str">
        <f t="shared" ref="T36:T67" si="62">IFERROR(RIGHT(M36,LEN(M36)-FIND("],",M36)-1),"none")</f>
        <v>none</v>
      </c>
      <c r="U36" s="63" t="e">
        <f t="shared" ref="U36:U67" si="63">FIND("effect:",T36)+7</f>
        <v>#VALUE!</v>
      </c>
      <c r="V36" s="63">
        <f t="shared" ref="V36:V67" si="64">IFERROR(FIND(",",T36),LEN(T36))</f>
        <v>4</v>
      </c>
      <c r="W36" s="63" t="e">
        <f t="shared" ref="W36:W67" si="65">FIND("target:",T36)+7</f>
        <v>#VALUE!</v>
      </c>
      <c r="X36" s="63" t="e">
        <f t="shared" ref="X36:X67" si="66"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121">
        <v>65524103</v>
      </c>
      <c r="B37" s="47" t="s">
        <v>347</v>
      </c>
      <c r="C37" s="50">
        <v>1</v>
      </c>
      <c r="D37" s="50" t="s">
        <v>127</v>
      </c>
      <c r="E37" s="116" t="s">
        <v>325</v>
      </c>
      <c r="F37" s="116" t="s">
        <v>324</v>
      </c>
      <c r="G37" s="63" t="str">
        <f t="shared" si="51"/>
        <v>[effect:enemy_message, val1:1.2, val2:1.2]</v>
      </c>
      <c r="H37" s="63">
        <f t="shared" si="52"/>
        <v>9</v>
      </c>
      <c r="I37" s="63">
        <f t="shared" si="53"/>
        <v>22</v>
      </c>
      <c r="J37" s="63" t="e">
        <f t="shared" si="54"/>
        <v>#VALUE!</v>
      </c>
      <c r="K37" s="63">
        <f t="shared" si="55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6"/>
        <v>[effect:rush, count:4, val:0.1]</v>
      </c>
      <c r="N37" s="48" t="str">
        <f t="shared" si="57"/>
        <v>[effect:rush, count:4, val:0.1]</v>
      </c>
      <c r="O37" s="63">
        <f t="shared" si="58"/>
        <v>9</v>
      </c>
      <c r="P37" s="63">
        <f t="shared" si="59"/>
        <v>13</v>
      </c>
      <c r="Q37" s="63" t="e">
        <f t="shared" si="60"/>
        <v>#VALUE!</v>
      </c>
      <c r="R37" s="63">
        <f t="shared" si="61"/>
        <v>22</v>
      </c>
      <c r="S37" s="63" t="str">
        <f>IFERROR(VLOOKUP(MID(N37,Q37,R37-Q37),[6]skilldef!$C:$D,2,FALSE),"-") &amp; " / " &amp; IFERROR(VLOOKUP(MID(N37,O37,P37-O37),[6]skilldef!$A:$B,2,FALSE),"-")</f>
        <v>- / 連続攻撃</v>
      </c>
      <c r="T37" s="48" t="str">
        <f t="shared" si="62"/>
        <v>none</v>
      </c>
      <c r="U37" s="63" t="e">
        <f t="shared" si="63"/>
        <v>#VALUE!</v>
      </c>
      <c r="V37" s="63">
        <f t="shared" si="64"/>
        <v>4</v>
      </c>
      <c r="W37" s="63" t="e">
        <f t="shared" si="65"/>
        <v>#VALUE!</v>
      </c>
      <c r="X37" s="63" t="e">
        <f t="shared" si="66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11">
        <v>65524104</v>
      </c>
      <c r="B38" s="47" t="s">
        <v>294</v>
      </c>
      <c r="C38" s="50">
        <v>1</v>
      </c>
      <c r="D38" s="50" t="s">
        <v>127</v>
      </c>
      <c r="E38" s="116" t="s">
        <v>322</v>
      </c>
      <c r="F38" s="116" t="s">
        <v>285</v>
      </c>
      <c r="G38" s="63" t="str">
        <f t="shared" si="51"/>
        <v>[effect:enemy_message, val1:1.2, val2:1.2]</v>
      </c>
      <c r="H38" s="63">
        <f t="shared" si="52"/>
        <v>9</v>
      </c>
      <c r="I38" s="63">
        <f t="shared" si="53"/>
        <v>22</v>
      </c>
      <c r="J38" s="63" t="e">
        <f t="shared" si="54"/>
        <v>#VALUE!</v>
      </c>
      <c r="K38" s="63">
        <f t="shared" si="55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56"/>
        <v>[effect:enhance_enemy, target:myself, turn:-1, status:defense, val:5000, calc:add, animation:enemy_enhance_defense]</v>
      </c>
      <c r="N38" s="48" t="str">
        <f t="shared" si="57"/>
        <v>[effect:enhance_enemy, target:myself, turn:-1, status:defense, val:5000, calc:add, animation:enemy_enhance_defense]</v>
      </c>
      <c r="O38" s="63">
        <f t="shared" si="58"/>
        <v>9</v>
      </c>
      <c r="P38" s="63">
        <f t="shared" si="59"/>
        <v>22</v>
      </c>
      <c r="Q38" s="63">
        <f t="shared" si="60"/>
        <v>31</v>
      </c>
      <c r="R38" s="63">
        <f t="shared" si="61"/>
        <v>37</v>
      </c>
      <c r="S38" s="63" t="str">
        <f>IFERROR(VLOOKUP(MID(N38,Q38,R38-Q38),[6]skilldef!$C:$D,2,FALSE),"-") &amp; " / " &amp; IFERROR(VLOOKUP(MID(N38,O38,P38-O38),[6]skilldef!$A:$B,2,FALSE),"-")</f>
        <v>自分自身に / ステータス強化</v>
      </c>
      <c r="T38" s="48" t="str">
        <f t="shared" si="62"/>
        <v>none</v>
      </c>
      <c r="U38" s="63" t="e">
        <f t="shared" si="63"/>
        <v>#VALUE!</v>
      </c>
      <c r="V38" s="63">
        <f t="shared" si="64"/>
        <v>4</v>
      </c>
      <c r="W38" s="63" t="e">
        <f t="shared" si="65"/>
        <v>#VALUE!</v>
      </c>
      <c r="X38" s="63" t="e">
        <f t="shared" si="66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11">
        <v>65524105</v>
      </c>
      <c r="B39" s="47" t="s">
        <v>304</v>
      </c>
      <c r="C39" s="50">
        <v>1</v>
      </c>
      <c r="D39" s="50" t="s">
        <v>127</v>
      </c>
      <c r="E39" s="116" t="s">
        <v>268</v>
      </c>
      <c r="F39" s="116" t="s">
        <v>274</v>
      </c>
      <c r="G39" s="63" t="str">
        <f t="shared" si="51"/>
        <v>[effect:enemy_message, val1:1.2, val2:1.2]</v>
      </c>
      <c r="H39" s="63">
        <f t="shared" si="52"/>
        <v>9</v>
      </c>
      <c r="I39" s="63">
        <f t="shared" si="53"/>
        <v>22</v>
      </c>
      <c r="J39" s="63" t="e">
        <f t="shared" si="54"/>
        <v>#VALUE!</v>
      </c>
      <c r="K39" s="63">
        <f t="shared" si="55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56"/>
        <v>[effect:enhance_enemy, target:myself, turn:-1, status:defense, val:3750, calc:add, animation:enemy_enhance_defense]</v>
      </c>
      <c r="N39" s="48" t="str">
        <f t="shared" si="57"/>
        <v>[effect:enhance_enemy, target:myself, turn:-1, status:defense, val:3750, calc:add, animation:enemy_enhance_defense]</v>
      </c>
      <c r="O39" s="63">
        <f t="shared" si="58"/>
        <v>9</v>
      </c>
      <c r="P39" s="63">
        <f t="shared" si="59"/>
        <v>22</v>
      </c>
      <c r="Q39" s="63">
        <f t="shared" si="60"/>
        <v>31</v>
      </c>
      <c r="R39" s="63">
        <f t="shared" si="61"/>
        <v>37</v>
      </c>
      <c r="S39" s="63" t="str">
        <f>IFERROR(VLOOKUP(MID(N39,Q39,R39-Q39),[6]skilldef!$C:$D,2,FALSE),"-") &amp; " / " &amp; IFERROR(VLOOKUP(MID(N39,O39,P39-O39),[6]skilldef!$A:$B,2,FALSE),"-")</f>
        <v>自分自身に / ステータス強化</v>
      </c>
      <c r="T39" s="48" t="str">
        <f t="shared" si="62"/>
        <v>none</v>
      </c>
      <c r="U39" s="63" t="e">
        <f t="shared" si="63"/>
        <v>#VALUE!</v>
      </c>
      <c r="V39" s="63">
        <f t="shared" si="64"/>
        <v>4</v>
      </c>
      <c r="W39" s="63" t="e">
        <f t="shared" si="65"/>
        <v>#VALUE!</v>
      </c>
      <c r="X39" s="63" t="e">
        <f t="shared" si="66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111">
        <v>65524106</v>
      </c>
      <c r="B40" s="47" t="s">
        <v>295</v>
      </c>
      <c r="C40" s="50">
        <v>1</v>
      </c>
      <c r="D40" s="50" t="s">
        <v>127</v>
      </c>
      <c r="E40" s="116" t="s">
        <v>268</v>
      </c>
      <c r="F40" s="116" t="s">
        <v>274</v>
      </c>
      <c r="G40" s="63" t="str">
        <f t="shared" si="51"/>
        <v>[effect:enemy_message, val1:1.2, val2:1.2]</v>
      </c>
      <c r="H40" s="63">
        <f t="shared" si="52"/>
        <v>9</v>
      </c>
      <c r="I40" s="63">
        <f t="shared" si="53"/>
        <v>22</v>
      </c>
      <c r="J40" s="63" t="e">
        <f t="shared" si="54"/>
        <v>#VALUE!</v>
      </c>
      <c r="K40" s="63">
        <f t="shared" si="55"/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56"/>
        <v>[effect:enhance_enemy, target:myself, turn:-1, status:defense, val:2500, calc:add, animation:enemy_enhance_defense]</v>
      </c>
      <c r="N40" s="48" t="str">
        <f t="shared" si="57"/>
        <v>[effect:enhance_enemy, target:myself, turn:-1, status:defense, val:2500, calc:add, animation:enemy_enhance_defense]</v>
      </c>
      <c r="O40" s="63">
        <f t="shared" si="58"/>
        <v>9</v>
      </c>
      <c r="P40" s="63">
        <f t="shared" si="59"/>
        <v>22</v>
      </c>
      <c r="Q40" s="63">
        <f t="shared" si="60"/>
        <v>31</v>
      </c>
      <c r="R40" s="63">
        <f t="shared" si="61"/>
        <v>37</v>
      </c>
      <c r="S40" s="63" t="str">
        <f>IFERROR(VLOOKUP(MID(N40,Q40,R40-Q40),[6]skilldef!$C:$D,2,FALSE),"-") &amp; " / " &amp; IFERROR(VLOOKUP(MID(N40,O40,P40-O40),[6]skilldef!$A:$B,2,FALSE),"-")</f>
        <v>自分自身に / ステータス強化</v>
      </c>
      <c r="T40" s="48" t="str">
        <f t="shared" si="62"/>
        <v>none</v>
      </c>
      <c r="U40" s="63" t="e">
        <f t="shared" si="63"/>
        <v>#VALUE!</v>
      </c>
      <c r="V40" s="63">
        <f t="shared" si="64"/>
        <v>4</v>
      </c>
      <c r="W40" s="63" t="e">
        <f t="shared" si="65"/>
        <v>#VALUE!</v>
      </c>
      <c r="X40" s="63" t="e">
        <f t="shared" si="66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11">
        <v>65524107</v>
      </c>
      <c r="B41" s="47" t="s">
        <v>305</v>
      </c>
      <c r="C41" s="50">
        <v>1</v>
      </c>
      <c r="D41" s="50" t="s">
        <v>127</v>
      </c>
      <c r="E41" s="116" t="s">
        <v>268</v>
      </c>
      <c r="F41" s="116" t="s">
        <v>274</v>
      </c>
      <c r="G41" s="63" t="str">
        <f t="shared" si="51"/>
        <v>[effect:enemy_message, val1:1.2, val2:1.2]</v>
      </c>
      <c r="H41" s="63">
        <f t="shared" si="52"/>
        <v>9</v>
      </c>
      <c r="I41" s="63">
        <f t="shared" si="53"/>
        <v>22</v>
      </c>
      <c r="J41" s="63" t="e">
        <f t="shared" si="54"/>
        <v>#VALUE!</v>
      </c>
      <c r="K41" s="63">
        <f t="shared" si="55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6"/>
        <v>[effect:enhance_enemy, target:myself, turn:-1, status:defense, val:1250, calc:add, animation:enemy_enhance_defense]</v>
      </c>
      <c r="N41" s="48" t="str">
        <f t="shared" si="57"/>
        <v>[effect:enhance_enemy, target:myself, turn:-1, status:defense, val:1250, calc:add, animation:enemy_enhance_defense]</v>
      </c>
      <c r="O41" s="63">
        <f t="shared" si="58"/>
        <v>9</v>
      </c>
      <c r="P41" s="63">
        <f t="shared" si="59"/>
        <v>22</v>
      </c>
      <c r="Q41" s="63">
        <f t="shared" si="60"/>
        <v>31</v>
      </c>
      <c r="R41" s="63">
        <f t="shared" si="61"/>
        <v>37</v>
      </c>
      <c r="S41" s="63" t="str">
        <f>IFERROR(VLOOKUP(MID(N41,Q41,R41-Q41),[6]skilldef!$C:$D,2,FALSE),"-") &amp; " / " &amp; IFERROR(VLOOKUP(MID(N41,O41,P41-O41),[6]skilldef!$A:$B,2,FALSE),"-")</f>
        <v>自分自身に / ステータス強化</v>
      </c>
      <c r="T41" s="48" t="str">
        <f t="shared" si="62"/>
        <v>none</v>
      </c>
      <c r="U41" s="63" t="e">
        <f t="shared" si="63"/>
        <v>#VALUE!</v>
      </c>
      <c r="V41" s="63">
        <f t="shared" si="64"/>
        <v>4</v>
      </c>
      <c r="W41" s="63" t="e">
        <f t="shared" si="65"/>
        <v>#VALUE!</v>
      </c>
      <c r="X41" s="63" t="e">
        <f t="shared" si="66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11">
        <v>65524108</v>
      </c>
      <c r="B42" s="47" t="s">
        <v>296</v>
      </c>
      <c r="C42" s="50">
        <v>1</v>
      </c>
      <c r="D42" s="50" t="s">
        <v>127</v>
      </c>
      <c r="E42" s="116" t="s">
        <v>268</v>
      </c>
      <c r="F42" s="116" t="s">
        <v>274</v>
      </c>
      <c r="G42" s="63" t="str">
        <f t="shared" si="51"/>
        <v>[effect:enemy_message, val1:1.2, val2:1.2]</v>
      </c>
      <c r="H42" s="63">
        <f t="shared" si="52"/>
        <v>9</v>
      </c>
      <c r="I42" s="63">
        <f t="shared" si="53"/>
        <v>22</v>
      </c>
      <c r="J42" s="63" t="e">
        <f t="shared" si="54"/>
        <v>#VALUE!</v>
      </c>
      <c r="K42" s="63">
        <f t="shared" si="55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6"/>
        <v>[effect:enhance_enemy, target:myself, turn:-1, status:defense, val:0, calc:add, animation:enemy_enhance_defense]</v>
      </c>
      <c r="N42" s="48" t="str">
        <f t="shared" si="57"/>
        <v>[effect:enhance_enemy, target:myself, turn:-1, status:defense, val:0, calc:add, animation:enemy_enhance_defense]</v>
      </c>
      <c r="O42" s="63">
        <f t="shared" si="58"/>
        <v>9</v>
      </c>
      <c r="P42" s="63">
        <f t="shared" si="59"/>
        <v>22</v>
      </c>
      <c r="Q42" s="63">
        <f t="shared" si="60"/>
        <v>31</v>
      </c>
      <c r="R42" s="63">
        <f t="shared" si="61"/>
        <v>37</v>
      </c>
      <c r="S42" s="63" t="str">
        <f>IFERROR(VLOOKUP(MID(N42,Q42,R42-Q42),[6]skilldef!$C:$D,2,FALSE),"-") &amp; " / " &amp; IFERROR(VLOOKUP(MID(N42,O42,P42-O42),[6]skilldef!$A:$B,2,FALSE),"-")</f>
        <v>自分自身に / ステータス強化</v>
      </c>
      <c r="T42" s="48" t="str">
        <f t="shared" si="62"/>
        <v>none</v>
      </c>
      <c r="U42" s="63" t="e">
        <f t="shared" si="63"/>
        <v>#VALUE!</v>
      </c>
      <c r="V42" s="63">
        <f t="shared" si="64"/>
        <v>4</v>
      </c>
      <c r="W42" s="63" t="e">
        <f t="shared" si="65"/>
        <v>#VALUE!</v>
      </c>
      <c r="X42" s="63" t="e">
        <f t="shared" si="66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111">
        <v>65524109</v>
      </c>
      <c r="B43" s="47" t="s">
        <v>321</v>
      </c>
      <c r="C43" s="50">
        <v>1</v>
      </c>
      <c r="D43" s="50" t="s">
        <v>127</v>
      </c>
      <c r="E43" s="116" t="s">
        <v>331</v>
      </c>
      <c r="F43" s="116" t="s">
        <v>276</v>
      </c>
      <c r="G43" s="63" t="str">
        <f t="shared" si="51"/>
        <v>[effect:enemy_message, val1:1.2, val2:1.2]</v>
      </c>
      <c r="H43" s="63">
        <f t="shared" si="52"/>
        <v>9</v>
      </c>
      <c r="I43" s="63">
        <f t="shared" si="53"/>
        <v>22</v>
      </c>
      <c r="J43" s="63" t="e">
        <f t="shared" si="54"/>
        <v>#VALUE!</v>
      </c>
      <c r="K43" s="63">
        <f t="shared" si="55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56"/>
        <v>[effect:damage_gravity, val:0.5, animation:fevergauge_down]</v>
      </c>
      <c r="N43" s="48" t="str">
        <f t="shared" si="57"/>
        <v>[effect:damage_gravity, val:0.5, animation:fevergauge_down]</v>
      </c>
      <c r="O43" s="63">
        <f t="shared" si="58"/>
        <v>9</v>
      </c>
      <c r="P43" s="63">
        <f t="shared" si="59"/>
        <v>23</v>
      </c>
      <c r="Q43" s="63" t="e">
        <f t="shared" si="60"/>
        <v>#VALUE!</v>
      </c>
      <c r="R43" s="63">
        <f t="shared" si="61"/>
        <v>32</v>
      </c>
      <c r="S43" s="63" t="str">
        <f>IFERROR(VLOOKUP(MID(N43,Q43,R43-Q43),[6]skilldef!$C:$D,2,FALSE),"-") &amp; " / " &amp; IFERROR(VLOOKUP(MID(N43,O43,P43-O43),[6]skilldef!$A:$B,2,FALSE),"-")</f>
        <v>- / 割合ダメージ</v>
      </c>
      <c r="T43" s="48" t="str">
        <f t="shared" si="62"/>
        <v>none</v>
      </c>
      <c r="U43" s="63" t="e">
        <f t="shared" si="63"/>
        <v>#VALUE!</v>
      </c>
      <c r="V43" s="63">
        <f t="shared" si="64"/>
        <v>4</v>
      </c>
      <c r="W43" s="63" t="e">
        <f t="shared" si="65"/>
        <v>#VALUE!</v>
      </c>
      <c r="X43" s="63" t="e">
        <f t="shared" si="66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29">
        <v>65524110</v>
      </c>
      <c r="B44" s="128" t="s">
        <v>338</v>
      </c>
      <c r="C44" s="50">
        <v>1</v>
      </c>
      <c r="D44" s="50" t="s">
        <v>127</v>
      </c>
      <c r="E44" s="116" t="s">
        <v>269</v>
      </c>
      <c r="F44" s="116" t="s">
        <v>339</v>
      </c>
      <c r="G44" s="63" t="str">
        <f t="shared" si="51"/>
        <v>[effect:enemy_message, val1:1.2, val2:1.2]</v>
      </c>
      <c r="H44" s="63">
        <f t="shared" si="52"/>
        <v>9</v>
      </c>
      <c r="I44" s="63">
        <f t="shared" si="53"/>
        <v>22</v>
      </c>
      <c r="J44" s="63" t="e">
        <f t="shared" si="54"/>
        <v>#VALUE!</v>
      </c>
      <c r="K44" s="63">
        <f t="shared" si="55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56"/>
        <v>[effect:attack_break, target:unit_all, turn:3, val:0.1, calc:mul, animation:attack_break01]</v>
      </c>
      <c r="N44" s="48" t="str">
        <f t="shared" si="57"/>
        <v>[effect:attack_break, target:unit_all, turn:3, val:0.1, calc:mul, animation:attack_break01]</v>
      </c>
      <c r="O44" s="63">
        <f t="shared" si="58"/>
        <v>9</v>
      </c>
      <c r="P44" s="63">
        <f t="shared" si="59"/>
        <v>21</v>
      </c>
      <c r="Q44" s="63">
        <f t="shared" si="60"/>
        <v>30</v>
      </c>
      <c r="R44" s="63">
        <f t="shared" si="61"/>
        <v>38</v>
      </c>
      <c r="S44" s="63" t="str">
        <f>IFERROR(VLOOKUP(MID(N44,Q44,R44-Q44),[6]skilldef!$C:$D,2,FALSE),"-") &amp; " / " &amp; IFERROR(VLOOKUP(MID(N44,O44,P44-O44),[6]skilldef!$A:$B,2,FALSE),"-")</f>
        <v>味方全体に / -</v>
      </c>
      <c r="T44" s="48" t="str">
        <f t="shared" si="62"/>
        <v>none</v>
      </c>
      <c r="U44" s="63" t="e">
        <f t="shared" si="63"/>
        <v>#VALUE!</v>
      </c>
      <c r="V44" s="63">
        <f t="shared" si="64"/>
        <v>4</v>
      </c>
      <c r="W44" s="63" t="e">
        <f t="shared" si="65"/>
        <v>#VALUE!</v>
      </c>
      <c r="X44" s="63" t="e">
        <f t="shared" si="66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20">
        <v>65524111</v>
      </c>
      <c r="B45" s="47" t="s">
        <v>297</v>
      </c>
      <c r="C45" s="50">
        <v>1</v>
      </c>
      <c r="D45" s="50" t="s">
        <v>127</v>
      </c>
      <c r="E45" s="116" t="s">
        <v>307</v>
      </c>
      <c r="F45" s="116" t="s">
        <v>291</v>
      </c>
      <c r="G45" s="63" t="str">
        <f t="shared" si="51"/>
        <v>[effect:enemy_message, val1:1.2, val2:1.2]</v>
      </c>
      <c r="H45" s="63">
        <f t="shared" si="52"/>
        <v>9</v>
      </c>
      <c r="I45" s="63">
        <f t="shared" si="53"/>
        <v>22</v>
      </c>
      <c r="J45" s="63" t="e">
        <f t="shared" si="54"/>
        <v>#VALUE!</v>
      </c>
      <c r="K45" s="63">
        <f t="shared" si="55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56"/>
        <v>[effect:tolerance, target:myself, turn:-1, count:-1, tolerance_effect:all, animation:enemy_tolerance],[effect:attack_break, target:enemy_all, turn:-1, val:0.5, calc:mul, animation:attack_break03],[effect:fix_speed, target:myself, turn:1]</v>
      </c>
      <c r="N45" s="48" t="str">
        <f>IFERROR(LEFT(M45,FIND("],",M45)+S56),M45)</f>
        <v>[effect:tolerance, target:myself, turn:-1, count:-1, tolerance_effect:all, animation:enemy_tolerance],[effect:attack_break, target:enemy_all, turn:-1, val:0.5, calc:mul, animation:attack_break03],[effect:fix_speed, target:myself, turn:1]</v>
      </c>
      <c r="O45" s="63">
        <f t="shared" si="58"/>
        <v>9</v>
      </c>
      <c r="P45" s="63">
        <f t="shared" si="59"/>
        <v>18</v>
      </c>
      <c r="Q45" s="63">
        <f t="shared" si="60"/>
        <v>27</v>
      </c>
      <c r="R45" s="63">
        <f t="shared" si="61"/>
        <v>33</v>
      </c>
      <c r="S45" s="63" t="str">
        <f>IFERROR(VLOOKUP(MID(N45,Q45,R45-Q45),[6]skilldef!$C:$D,2,FALSE),"-") &amp; " / " &amp; IFERROR(VLOOKUP(MID(N45,O45,P45-O45),[6]skilldef!$A:$B,2,FALSE),"-")</f>
        <v>自分自身に / 状態異常耐性</v>
      </c>
      <c r="T45" s="48" t="str">
        <f t="shared" si="62"/>
        <v>[effect:attack_break, target:enemy_all, turn:-1, val:0.5, calc:mul, animation:attack_break03],[effect:fix_speed, target:myself, turn:1]</v>
      </c>
      <c r="U45" s="63">
        <f t="shared" si="63"/>
        <v>9</v>
      </c>
      <c r="V45" s="63">
        <f t="shared" si="64"/>
        <v>21</v>
      </c>
      <c r="W45" s="63">
        <f t="shared" si="65"/>
        <v>30</v>
      </c>
      <c r="X45" s="63">
        <f t="shared" si="66"/>
        <v>39</v>
      </c>
      <c r="Y45" s="63" t="str">
        <f>IFERROR(VLOOKUP(MID(T45,W45,X45-W45),[6]skilldef!$C:$D,2,FALSE),"-") &amp; " / " &amp; IFERROR(VLOOKUP(MID(T45,U45,V45-U45),[6]skilldef!$A:$B,2,FALSE),"-")</f>
        <v>敵全体に / -</v>
      </c>
      <c r="Z45" s="50"/>
      <c r="AA45" s="52"/>
      <c r="AB45" s="50"/>
    </row>
    <row r="46" spans="1:28" ht="21" customHeight="1" x14ac:dyDescent="0.15">
      <c r="A46" s="120">
        <v>65524112</v>
      </c>
      <c r="B46" s="47" t="s">
        <v>267</v>
      </c>
      <c r="C46" s="50">
        <v>1</v>
      </c>
      <c r="D46" s="50" t="s">
        <v>127</v>
      </c>
      <c r="E46" s="116" t="s">
        <v>308</v>
      </c>
      <c r="F46" s="116" t="s">
        <v>291</v>
      </c>
      <c r="G46" s="63" t="str">
        <f t="shared" si="51"/>
        <v>[effect:enemy_message, val1:1.2, val2:1.2]</v>
      </c>
      <c r="H46" s="63">
        <f t="shared" si="52"/>
        <v>9</v>
      </c>
      <c r="I46" s="63">
        <f t="shared" si="53"/>
        <v>22</v>
      </c>
      <c r="J46" s="63" t="e">
        <f t="shared" si="54"/>
        <v>#VALUE!</v>
      </c>
      <c r="K46" s="63">
        <f t="shared" si="55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56"/>
        <v>[effect:tolerance, target:myself, turn:-1, count:-1, tolerance_effect:all, animation:enemy_tolerance],[effect:fix_speed, target:myself, turn:1]</v>
      </c>
      <c r="N46" s="48" t="str">
        <f>IFERROR(LEFT(M46,FIND("],",M46)+S57),M46)</f>
        <v>[effect:tolerance, target:myself, turn:-1, count:-1, tolerance_effect:all, animation:enemy_tolerance],[effect:fix_speed, target:myself, turn:1]</v>
      </c>
      <c r="O46" s="63">
        <f t="shared" si="58"/>
        <v>9</v>
      </c>
      <c r="P46" s="63">
        <f t="shared" si="59"/>
        <v>18</v>
      </c>
      <c r="Q46" s="63">
        <f t="shared" si="60"/>
        <v>27</v>
      </c>
      <c r="R46" s="63">
        <f t="shared" si="61"/>
        <v>33</v>
      </c>
      <c r="S46" s="63" t="str">
        <f>IFERROR(VLOOKUP(MID(N46,Q46,R46-Q46),[6]skilldef!$C:$D,2,FALSE),"-") &amp; " / " &amp; IFERROR(VLOOKUP(MID(N46,O46,P46-O46),[6]skilldef!$A:$B,2,FALSE),"-")</f>
        <v>自分自身に / 状態異常耐性</v>
      </c>
      <c r="T46" s="48" t="str">
        <f t="shared" si="62"/>
        <v>[effect:fix_speed, target:myself, turn:1]</v>
      </c>
      <c r="U46" s="63">
        <f t="shared" si="63"/>
        <v>9</v>
      </c>
      <c r="V46" s="63">
        <f t="shared" si="64"/>
        <v>18</v>
      </c>
      <c r="W46" s="63">
        <f t="shared" si="65"/>
        <v>27</v>
      </c>
      <c r="X46" s="63">
        <f t="shared" si="66"/>
        <v>33</v>
      </c>
      <c r="Y46" s="63" t="str">
        <f>IFERROR(VLOOKUP(MID(T46,W46,X46-W46),[6]skilldef!$C:$D,2,FALSE),"-") &amp; " / " &amp; IFERROR(VLOOKUP(MID(T46,U46,V46-U46),[6]skilldef!$A:$B,2,FALSE),"-")</f>
        <v>自分自身に / 行動値設定</v>
      </c>
      <c r="Z46" s="50"/>
      <c r="AA46" s="52"/>
      <c r="AB46" s="50"/>
    </row>
    <row r="47" spans="1:28" ht="21" customHeight="1" x14ac:dyDescent="0.15">
      <c r="A47" s="120">
        <v>65524113</v>
      </c>
      <c r="B47" s="47" t="s">
        <v>267</v>
      </c>
      <c r="C47" s="50">
        <v>1</v>
      </c>
      <c r="D47" s="50" t="s">
        <v>127</v>
      </c>
      <c r="E47" s="116" t="s">
        <v>308</v>
      </c>
      <c r="F47" s="116" t="s">
        <v>291</v>
      </c>
      <c r="G47" s="63" t="str">
        <f t="shared" si="51"/>
        <v>[effect:enemy_message, val1:1.2, val2:1.2]</v>
      </c>
      <c r="H47" s="63">
        <f t="shared" si="52"/>
        <v>9</v>
      </c>
      <c r="I47" s="63">
        <f t="shared" si="53"/>
        <v>22</v>
      </c>
      <c r="J47" s="63" t="e">
        <f t="shared" si="54"/>
        <v>#VALUE!</v>
      </c>
      <c r="K47" s="63">
        <f t="shared" si="55"/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56"/>
        <v>[effect:tolerance, target:myself, turn:-1, count:-1, tolerance_effect:all, animation:enemy_tolerance],[effect:fix_speed, target:myself, turn:1]</v>
      </c>
      <c r="N47" s="48" t="str">
        <f>IFERROR(LEFT(M47,FIND("],",M47)+S58),M47)</f>
        <v>[effect:tolerance, target:myself, turn:-1, count:-1, tolerance_effect:all, animation:enemy_tolerance],[effect:fix_speed, target:myself, turn:1]</v>
      </c>
      <c r="O47" s="63">
        <f t="shared" si="58"/>
        <v>9</v>
      </c>
      <c r="P47" s="63">
        <f t="shared" si="59"/>
        <v>18</v>
      </c>
      <c r="Q47" s="63">
        <f t="shared" si="60"/>
        <v>27</v>
      </c>
      <c r="R47" s="63">
        <f t="shared" si="61"/>
        <v>33</v>
      </c>
      <c r="S47" s="63" t="str">
        <f>IFERROR(VLOOKUP(MID(N47,Q47,R47-Q47),[6]skilldef!$C:$D,2,FALSE),"-") &amp; " / " &amp; IFERROR(VLOOKUP(MID(N47,O47,P47-O47),[6]skilldef!$A:$B,2,FALSE),"-")</f>
        <v>自分自身に / 状態異常耐性</v>
      </c>
      <c r="T47" s="48" t="str">
        <f t="shared" si="62"/>
        <v>[effect:fix_speed, target:myself, turn:1]</v>
      </c>
      <c r="U47" s="63">
        <f t="shared" si="63"/>
        <v>9</v>
      </c>
      <c r="V47" s="63">
        <f t="shared" si="64"/>
        <v>18</v>
      </c>
      <c r="W47" s="63">
        <f t="shared" si="65"/>
        <v>27</v>
      </c>
      <c r="X47" s="63">
        <f t="shared" si="66"/>
        <v>33</v>
      </c>
      <c r="Y47" s="63" t="str">
        <f>IFERROR(VLOOKUP(MID(T47,W47,X47-W47),[6]skilldef!$C:$D,2,FALSE),"-") &amp; " / " &amp; IFERROR(VLOOKUP(MID(T47,U47,V47-U47),[6]skilldef!$A:$B,2,FALSE),"-")</f>
        <v>自分自身に / 行動値設定</v>
      </c>
      <c r="Z47" s="50"/>
      <c r="AA47" s="52"/>
      <c r="AB47" s="50"/>
    </row>
    <row r="48" spans="1:28" ht="21" customHeight="1" x14ac:dyDescent="0.15">
      <c r="A48" s="120">
        <v>65524114</v>
      </c>
      <c r="B48" s="47" t="s">
        <v>267</v>
      </c>
      <c r="C48" s="50">
        <v>1</v>
      </c>
      <c r="D48" s="50" t="s">
        <v>127</v>
      </c>
      <c r="E48" s="116" t="s">
        <v>309</v>
      </c>
      <c r="F48" s="116" t="s">
        <v>291</v>
      </c>
      <c r="G48" s="63" t="str">
        <f t="shared" si="51"/>
        <v>[effect:enemy_message, val1:1.2, val2:1.2]</v>
      </c>
      <c r="H48" s="63">
        <f t="shared" si="52"/>
        <v>9</v>
      </c>
      <c r="I48" s="63">
        <f t="shared" si="53"/>
        <v>22</v>
      </c>
      <c r="J48" s="63" t="e">
        <f t="shared" si="54"/>
        <v>#VALUE!</v>
      </c>
      <c r="K48" s="63">
        <f t="shared" si="55"/>
        <v>32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56"/>
        <v>[effect:tolerance, target:myself, turn:-1, count:-1, tolerance_effect:all, animation:enemy_tolerance],[effect:fix_speed, target:myself, turn:1]</v>
      </c>
      <c r="N48" s="48" t="str">
        <f>IFERROR(LEFT(M48,FIND("],",M48)+S60),M48)</f>
        <v>[effect:tolerance, target:myself, turn:-1, count:-1, tolerance_effect:all, animation:enemy_tolerance],[effect:fix_speed, target:myself, turn:1]</v>
      </c>
      <c r="O48" s="63">
        <f t="shared" si="58"/>
        <v>9</v>
      </c>
      <c r="P48" s="63">
        <f t="shared" si="59"/>
        <v>18</v>
      </c>
      <c r="Q48" s="63">
        <f t="shared" si="60"/>
        <v>27</v>
      </c>
      <c r="R48" s="63">
        <f t="shared" si="61"/>
        <v>33</v>
      </c>
      <c r="S48" s="63" t="str">
        <f>IFERROR(VLOOKUP(MID(N48,Q48,R48-Q48),[6]skilldef!$C:$D,2,FALSE),"-") &amp; " / " &amp; IFERROR(VLOOKUP(MID(N48,O48,P48-O48),[6]skilldef!$A:$B,2,FALSE),"-")</f>
        <v>自分自身に / 状態異常耐性</v>
      </c>
      <c r="T48" s="48" t="str">
        <f t="shared" si="62"/>
        <v>[effect:fix_speed, target:myself, turn:1]</v>
      </c>
      <c r="U48" s="63">
        <f t="shared" si="63"/>
        <v>9</v>
      </c>
      <c r="V48" s="63">
        <f t="shared" si="64"/>
        <v>18</v>
      </c>
      <c r="W48" s="63">
        <f t="shared" si="65"/>
        <v>27</v>
      </c>
      <c r="X48" s="63">
        <f t="shared" si="66"/>
        <v>33</v>
      </c>
      <c r="Y48" s="63" t="str">
        <f>IFERROR(VLOOKUP(MID(T48,W48,X48-W48),[6]skilldef!$C:$D,2,FALSE),"-") &amp; " / " &amp; IFERROR(VLOOKUP(MID(T48,U48,V48-U48),[6]skilldef!$A:$B,2,FALSE),"-")</f>
        <v>自分自身に / 行動値設定</v>
      </c>
      <c r="Z48" s="50"/>
      <c r="AA48" s="52"/>
      <c r="AB48" s="50"/>
    </row>
    <row r="49" spans="1:28" ht="21" customHeight="1" x14ac:dyDescent="0.15">
      <c r="A49" s="120">
        <v>65524115</v>
      </c>
      <c r="B49" s="47" t="s">
        <v>267</v>
      </c>
      <c r="C49" s="50">
        <v>1</v>
      </c>
      <c r="D49" s="50" t="s">
        <v>127</v>
      </c>
      <c r="E49" s="116" t="s">
        <v>309</v>
      </c>
      <c r="F49" s="116" t="s">
        <v>291</v>
      </c>
      <c r="G49" s="63" t="str">
        <f t="shared" si="51"/>
        <v>[effect:enemy_message, val1:1.2, val2:1.2]</v>
      </c>
      <c r="H49" s="63">
        <f t="shared" si="52"/>
        <v>9</v>
      </c>
      <c r="I49" s="63">
        <f t="shared" si="53"/>
        <v>22</v>
      </c>
      <c r="J49" s="63" t="e">
        <f t="shared" si="54"/>
        <v>#VALUE!</v>
      </c>
      <c r="K49" s="63">
        <f t="shared" si="55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56"/>
        <v>[effect:tolerance, target:myself, turn:-1, count:-1, tolerance_effect:all, animation:enemy_tolerance],[effect:fix_speed, target:myself, turn:1]</v>
      </c>
      <c r="N49" s="48" t="str">
        <f>IFERROR(LEFT(M49,FIND("],",M49)+S62),M49)</f>
        <v>[effect:tolerance, target:myself, turn:-1, count:-1, tolerance_effect:all, animation:enemy_tolerance],[effect:fix_speed, target:myself, turn:1]</v>
      </c>
      <c r="O49" s="63">
        <f t="shared" si="58"/>
        <v>9</v>
      </c>
      <c r="P49" s="63">
        <f t="shared" si="59"/>
        <v>18</v>
      </c>
      <c r="Q49" s="63">
        <f t="shared" si="60"/>
        <v>27</v>
      </c>
      <c r="R49" s="63">
        <f t="shared" si="61"/>
        <v>33</v>
      </c>
      <c r="S49" s="63" t="str">
        <f>IFERROR(VLOOKUP(MID(N49,Q49,R49-Q49),[6]skilldef!$C:$D,2,FALSE),"-") &amp; " / " &amp; IFERROR(VLOOKUP(MID(N49,O49,P49-O49),[6]skilldef!$A:$B,2,FALSE),"-")</f>
        <v>自分自身に / 状態異常耐性</v>
      </c>
      <c r="T49" s="48" t="str">
        <f t="shared" si="62"/>
        <v>[effect:fix_speed, target:myself, turn:1]</v>
      </c>
      <c r="U49" s="63">
        <f t="shared" si="63"/>
        <v>9</v>
      </c>
      <c r="V49" s="63">
        <f t="shared" si="64"/>
        <v>18</v>
      </c>
      <c r="W49" s="63">
        <f t="shared" si="65"/>
        <v>27</v>
      </c>
      <c r="X49" s="63">
        <f t="shared" si="66"/>
        <v>33</v>
      </c>
      <c r="Y49" s="63" t="str">
        <f>IFERROR(VLOOKUP(MID(T49,W49,X49-W49),[6]skilldef!$C:$D,2,FALSE),"-") &amp; " / " &amp; IFERROR(VLOOKUP(MID(T49,U49,V49-U49),[6]skilldef!$A:$B,2,FALSE),"-")</f>
        <v>自分自身に / 行動値設定</v>
      </c>
      <c r="Z49" s="50"/>
      <c r="AA49" s="52"/>
      <c r="AB49" s="50"/>
    </row>
    <row r="50" spans="1:28" ht="21" customHeight="1" x14ac:dyDescent="0.15">
      <c r="A50" s="120">
        <v>65524116</v>
      </c>
      <c r="B50" s="47" t="s">
        <v>267</v>
      </c>
      <c r="C50" s="50">
        <v>1</v>
      </c>
      <c r="D50" s="50" t="s">
        <v>127</v>
      </c>
      <c r="E50" s="116" t="s">
        <v>309</v>
      </c>
      <c r="F50" s="116" t="s">
        <v>291</v>
      </c>
      <c r="G50" s="63" t="str">
        <f t="shared" si="51"/>
        <v>[effect:enemy_message, val1:1.2, val2:1.2]</v>
      </c>
      <c r="H50" s="63">
        <f t="shared" si="52"/>
        <v>9</v>
      </c>
      <c r="I50" s="63">
        <f t="shared" si="53"/>
        <v>22</v>
      </c>
      <c r="J50" s="63" t="e">
        <f t="shared" si="54"/>
        <v>#VALUE!</v>
      </c>
      <c r="K50" s="63">
        <f t="shared" si="55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56"/>
        <v>[effect:tolerance, target:myself, turn:-1, count:-1, tolerance_effect:all, animation:enemy_tolerance],[effect:fix_speed, target:myself, turn:1]</v>
      </c>
      <c r="N50" s="48" t="str">
        <f>IFERROR(LEFT(M50,FIND("],",M50)+S63),M50)</f>
        <v>[effect:tolerance, target:myself, turn:-1, count:-1, tolerance_effect:all, animation:enemy_tolerance],[effect:fix_speed, target:myself, turn:1]</v>
      </c>
      <c r="O50" s="63">
        <f t="shared" si="58"/>
        <v>9</v>
      </c>
      <c r="P50" s="63">
        <f t="shared" si="59"/>
        <v>18</v>
      </c>
      <c r="Q50" s="63">
        <f t="shared" si="60"/>
        <v>27</v>
      </c>
      <c r="R50" s="63">
        <f t="shared" si="61"/>
        <v>33</v>
      </c>
      <c r="S50" s="63" t="str">
        <f>IFERROR(VLOOKUP(MID(N50,Q50,R50-Q50),[6]skilldef!$C:$D,2,FALSE),"-") &amp; " / " &amp; IFERROR(VLOOKUP(MID(N50,O50,P50-O50),[6]skilldef!$A:$B,2,FALSE),"-")</f>
        <v>自分自身に / 状態異常耐性</v>
      </c>
      <c r="T50" s="48" t="str">
        <f t="shared" si="62"/>
        <v>[effect:fix_speed, target:myself, turn:1]</v>
      </c>
      <c r="U50" s="63">
        <f t="shared" si="63"/>
        <v>9</v>
      </c>
      <c r="V50" s="63">
        <f t="shared" si="64"/>
        <v>18</v>
      </c>
      <c r="W50" s="63">
        <f t="shared" si="65"/>
        <v>27</v>
      </c>
      <c r="X50" s="63">
        <f t="shared" si="66"/>
        <v>33</v>
      </c>
      <c r="Y50" s="63" t="str">
        <f>IFERROR(VLOOKUP(MID(T50,W50,X50-W50),[6]skilldef!$C:$D,2,FALSE),"-") &amp; " / " &amp; IFERROR(VLOOKUP(MID(T50,U50,V50-U50),[6]skilldef!$A:$B,2,FALSE),"-")</f>
        <v>自分自身に / 行動値設定</v>
      </c>
      <c r="Z50" s="50"/>
      <c r="AA50" s="52"/>
      <c r="AB50" s="50"/>
    </row>
    <row r="51" spans="1:28" ht="21" customHeight="1" x14ac:dyDescent="0.15">
      <c r="A51" s="130">
        <v>65524117</v>
      </c>
      <c r="B51" s="47" t="s">
        <v>311</v>
      </c>
      <c r="C51" s="50">
        <v>1</v>
      </c>
      <c r="D51" s="50" t="s">
        <v>127</v>
      </c>
      <c r="E51" s="116" t="s">
        <v>318</v>
      </c>
      <c r="F51" s="116" t="s">
        <v>286</v>
      </c>
      <c r="G51" s="63" t="str">
        <f t="shared" si="51"/>
        <v>[effect:enemy_message, val1:1.2, val2:1.2]</v>
      </c>
      <c r="H51" s="63">
        <f t="shared" si="52"/>
        <v>9</v>
      </c>
      <c r="I51" s="63">
        <f t="shared" si="53"/>
        <v>22</v>
      </c>
      <c r="J51" s="63" t="e">
        <f t="shared" si="54"/>
        <v>#VALUE!</v>
      </c>
      <c r="K51" s="63">
        <f t="shared" si="55"/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56"/>
        <v>[effect:force_change_block, new_block:damage, target:block_green, count:1, val:0.09, animation:change_block]</v>
      </c>
      <c r="N51" s="48" t="str">
        <f>IFERROR(LEFT(M51,FIND("],",M51)+S64),M51)</f>
        <v>[effect:force_change_block, new_block:damage, target:block_green, count:1, val:0.09, animation:change_block]</v>
      </c>
      <c r="O51" s="63">
        <f t="shared" si="58"/>
        <v>9</v>
      </c>
      <c r="P51" s="63">
        <f t="shared" si="59"/>
        <v>27</v>
      </c>
      <c r="Q51" s="63">
        <f t="shared" si="60"/>
        <v>54</v>
      </c>
      <c r="R51" s="63">
        <f t="shared" si="61"/>
        <v>45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62"/>
        <v>none</v>
      </c>
      <c r="U51" s="63" t="e">
        <f t="shared" si="63"/>
        <v>#VALUE!</v>
      </c>
      <c r="V51" s="63">
        <f t="shared" si="64"/>
        <v>4</v>
      </c>
      <c r="W51" s="63" t="e">
        <f t="shared" si="65"/>
        <v>#VALUE!</v>
      </c>
      <c r="X51" s="63" t="e">
        <f t="shared" si="66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30">
        <v>65524118</v>
      </c>
      <c r="B52" s="47" t="s">
        <v>306</v>
      </c>
      <c r="C52" s="50">
        <v>1</v>
      </c>
      <c r="D52" s="50" t="s">
        <v>127</v>
      </c>
      <c r="E52" s="116" t="s">
        <v>332</v>
      </c>
      <c r="F52" s="116" t="s">
        <v>287</v>
      </c>
      <c r="G52" s="63" t="str">
        <f t="shared" si="51"/>
        <v>[effect:enemy_message, val1:1.2, val2:1.2]</v>
      </c>
      <c r="H52" s="63">
        <f t="shared" si="52"/>
        <v>9</v>
      </c>
      <c r="I52" s="63">
        <f t="shared" si="53"/>
        <v>22</v>
      </c>
      <c r="J52" s="63" t="e">
        <f t="shared" si="54"/>
        <v>#VALUE!</v>
      </c>
      <c r="K52" s="63">
        <f t="shared" si="55"/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56"/>
        <v>[effect:force_change_block, new_block:jammer, target:block_green, count:1, val:0, animation:change_block]</v>
      </c>
      <c r="N52" s="48" t="str">
        <f>IFERROR(LEFT(M52,FIND("],",M52)+S65),M52)</f>
        <v>[effect:force_change_block, new_block:jammer, target:block_green, count:1, val:0, animation:change_block]</v>
      </c>
      <c r="O52" s="63">
        <f t="shared" si="58"/>
        <v>9</v>
      </c>
      <c r="P52" s="63">
        <f t="shared" si="59"/>
        <v>27</v>
      </c>
      <c r="Q52" s="63">
        <f t="shared" si="60"/>
        <v>54</v>
      </c>
      <c r="R52" s="63">
        <f t="shared" si="61"/>
        <v>45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62"/>
        <v>none</v>
      </c>
      <c r="U52" s="63" t="e">
        <f t="shared" si="63"/>
        <v>#VALUE!</v>
      </c>
      <c r="V52" s="63">
        <f t="shared" si="64"/>
        <v>4</v>
      </c>
      <c r="W52" s="63" t="e">
        <f t="shared" si="65"/>
        <v>#VALUE!</v>
      </c>
      <c r="X52" s="63" t="e">
        <f t="shared" si="66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130">
        <v>65524119</v>
      </c>
      <c r="B53" s="47" t="s">
        <v>344</v>
      </c>
      <c r="C53" s="50">
        <v>1</v>
      </c>
      <c r="D53" s="50" t="s">
        <v>127</v>
      </c>
      <c r="E53" s="116" t="s">
        <v>333</v>
      </c>
      <c r="F53" s="116" t="s">
        <v>342</v>
      </c>
      <c r="G53" s="63" t="str">
        <f t="shared" si="51"/>
        <v>[effect:enemy_message, val1:1.2, val2:1.2]</v>
      </c>
      <c r="H53" s="63">
        <f t="shared" si="52"/>
        <v>9</v>
      </c>
      <c r="I53" s="63">
        <f t="shared" si="53"/>
        <v>22</v>
      </c>
      <c r="J53" s="63" t="e">
        <f t="shared" si="54"/>
        <v>#VALUE!</v>
      </c>
      <c r="K53" s="63">
        <f t="shared" si="55"/>
        <v>32</v>
      </c>
      <c r="L53" s="63" t="str">
        <f>IFERROR(VLOOKUP(MID(G53,J53,K53-J53),[6]skilldef!$C:$D,2,FALSE),"-") &amp; " / " &amp; IFERROR(VLOOKUP(MID(G53,H53,I53-H53),[6]skilldef!$A:$B,2,FALSE),"-")</f>
        <v>- / -</v>
      </c>
      <c r="M53" s="63" t="str">
        <f t="shared" si="56"/>
        <v>[effect:panel_freeze, target:normal, color:block_green, count:1],[effect:rush, count:1, val:0.5],[effect:rush, count:1, val:0.5]</v>
      </c>
      <c r="N53" s="48" t="str">
        <f>IFERROR(LEFT(M53,FIND("],",M53)+S66),M53)</f>
        <v>[effect:panel_freeze, target:normal, color:block_green, count:1],[effect:rush, count:1, val:0.5],[effect:rush, count:1, val:0.5]</v>
      </c>
      <c r="O53" s="63">
        <f t="shared" si="58"/>
        <v>9</v>
      </c>
      <c r="P53" s="63">
        <f t="shared" si="59"/>
        <v>21</v>
      </c>
      <c r="Q53" s="63">
        <f t="shared" si="60"/>
        <v>30</v>
      </c>
      <c r="R53" s="63">
        <f t="shared" si="61"/>
        <v>36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62"/>
        <v>[effect:rush, count:1, val:0.5],[effect:rush, count:1, val:0.5]</v>
      </c>
      <c r="U53" s="63">
        <f t="shared" si="63"/>
        <v>9</v>
      </c>
      <c r="V53" s="63">
        <f t="shared" si="64"/>
        <v>13</v>
      </c>
      <c r="W53" s="63" t="e">
        <f t="shared" si="65"/>
        <v>#VALUE!</v>
      </c>
      <c r="X53" s="63">
        <f t="shared" si="66"/>
        <v>22</v>
      </c>
      <c r="Y53" s="63" t="str">
        <f>IFERROR(VLOOKUP(MID(T53,W53,X53-W53),[6]skilldef!$C:$D,2,FALSE),"-") &amp; " / " &amp; IFERROR(VLOOKUP(MID(T53,U53,V53-U53),[6]skilldef!$A:$B,2,FALSE),"-")</f>
        <v>- / 連続攻撃</v>
      </c>
      <c r="Z53" s="50"/>
      <c r="AA53" s="52"/>
      <c r="AB53" s="50"/>
    </row>
    <row r="54" spans="1:28" ht="21" customHeight="1" x14ac:dyDescent="0.15">
      <c r="A54" s="131">
        <v>65524120</v>
      </c>
      <c r="B54" s="47" t="s">
        <v>353</v>
      </c>
      <c r="C54" s="50">
        <v>1</v>
      </c>
      <c r="D54" s="50" t="s">
        <v>127</v>
      </c>
      <c r="E54" s="116" t="s">
        <v>327</v>
      </c>
      <c r="F54" s="116" t="s">
        <v>326</v>
      </c>
      <c r="G54" s="63" t="str">
        <f t="shared" ref="G54" si="67">IFERROR(LEFT(B54,FIND("],",B54)),B54)</f>
        <v>[effect:enemy_message, val1:1.2, val2:1.2]</v>
      </c>
      <c r="H54" s="63">
        <f t="shared" ref="H54" si="68">FIND("effect:",G54)+7</f>
        <v>9</v>
      </c>
      <c r="I54" s="63">
        <f t="shared" ref="I54" si="69">IFERROR(FIND(",",G54),LEN(G54))</f>
        <v>22</v>
      </c>
      <c r="J54" s="63" t="e">
        <f t="shared" ref="J54" si="70">FIND("target:",G54)+7</f>
        <v>#VALUE!</v>
      </c>
      <c r="K54" s="63">
        <f t="shared" ref="K54" si="71">FIND(",",G54,I54+1)</f>
        <v>32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ref="M54" si="72">IFERROR(RIGHT(B54,LEN(B54)-FIND("],",B54)-1),"none")</f>
        <v>[effect:rush, count:2, val:1.2]</v>
      </c>
      <c r="N54" s="48" t="str">
        <f t="shared" ref="N54" si="73">IFERROR(LEFT(M54,FIND("],",M54)+S63),M54)</f>
        <v>[effect:rush, count:2, val:1.2]</v>
      </c>
      <c r="O54" s="63">
        <f t="shared" ref="O54" si="74">FIND("effect:",N54)+7</f>
        <v>9</v>
      </c>
      <c r="P54" s="63">
        <f t="shared" ref="P54" si="75">IFERROR(FIND(",",N54),LEN(N54))</f>
        <v>13</v>
      </c>
      <c r="Q54" s="63" t="e">
        <f t="shared" ref="Q54" si="76">FIND("target:",N54)+7</f>
        <v>#VALUE!</v>
      </c>
      <c r="R54" s="63">
        <f t="shared" ref="R54" si="77">FIND(",",N54,P54+1)</f>
        <v>22</v>
      </c>
      <c r="S54" s="63" t="str">
        <f>IFERROR(VLOOKUP(MID(N54,Q54,R54-Q54),[6]skilldef!$C:$D,2,FALSE),"-") &amp; " / " &amp; IFERROR(VLOOKUP(MID(N54,O54,P54-O54),[6]skilldef!$A:$B,2,FALSE),"-")</f>
        <v>- / 連続攻撃</v>
      </c>
      <c r="T54" s="48" t="str">
        <f t="shared" ref="T54" si="78">IFERROR(RIGHT(M54,LEN(M54)-FIND("],",M54)-1),"none")</f>
        <v>none</v>
      </c>
      <c r="U54" s="63" t="e">
        <f t="shared" ref="U54" si="79">FIND("effect:",T54)+7</f>
        <v>#VALUE!</v>
      </c>
      <c r="V54" s="63">
        <f t="shared" ref="V54" si="80">IFERROR(FIND(",",T54),LEN(T54))</f>
        <v>4</v>
      </c>
      <c r="W54" s="63" t="e">
        <f t="shared" ref="W54" si="81">FIND("target:",T54)+7</f>
        <v>#VALUE!</v>
      </c>
      <c r="X54" s="63" t="e">
        <f t="shared" ref="X54" si="82">FIND(",",T54,V54+1)</f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31">
        <v>65524121</v>
      </c>
      <c r="B55" s="47" t="s">
        <v>351</v>
      </c>
      <c r="C55" s="50">
        <v>1</v>
      </c>
      <c r="D55" s="50" t="s">
        <v>127</v>
      </c>
      <c r="E55" s="116" t="s">
        <v>292</v>
      </c>
      <c r="F55" s="116" t="s">
        <v>350</v>
      </c>
      <c r="G55" s="63" t="str">
        <f t="shared" si="51"/>
        <v>[effect:enemy_message, val1:1.2, val2:1.2]</v>
      </c>
      <c r="H55" s="63">
        <f t="shared" si="52"/>
        <v>9</v>
      </c>
      <c r="I55" s="63">
        <f t="shared" si="53"/>
        <v>22</v>
      </c>
      <c r="J55" s="63" t="e">
        <f t="shared" si="54"/>
        <v>#VALUE!</v>
      </c>
      <c r="K55" s="63">
        <f t="shared" si="55"/>
        <v>32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56"/>
        <v>[effect:attack_break, target:enemy_all, turn:-1, val:0.5, calc:mul, animation:attack_break03],[effect:fix_speed, target:myself, turn:1]</v>
      </c>
      <c r="N55" s="48" t="str">
        <f>IFERROR(LEFT(M55,FIND("],",M55)+S67),M55)</f>
        <v>[effect:attack_break, target:enemy_all, turn:-1, val:0.5, calc:mul, animation:attack_break03],[effect:fix_speed, target:myself, turn:1]</v>
      </c>
      <c r="O55" s="63">
        <f t="shared" si="58"/>
        <v>9</v>
      </c>
      <c r="P55" s="63">
        <f t="shared" si="59"/>
        <v>21</v>
      </c>
      <c r="Q55" s="63">
        <f t="shared" si="60"/>
        <v>30</v>
      </c>
      <c r="R55" s="63">
        <f t="shared" si="61"/>
        <v>39</v>
      </c>
      <c r="S55" s="63" t="str">
        <f>IFERROR(VLOOKUP(MID(N55,Q55,R55-Q55),[6]skilldef!$C:$D,2,FALSE),"-") &amp; " / " &amp; IFERROR(VLOOKUP(MID(N55,O55,P55-O55),[6]skilldef!$A:$B,2,FALSE),"-")</f>
        <v>敵全体に / -</v>
      </c>
      <c r="T55" s="48" t="str">
        <f t="shared" si="62"/>
        <v>[effect:fix_speed, target:myself, turn:1]</v>
      </c>
      <c r="U55" s="63">
        <f t="shared" si="63"/>
        <v>9</v>
      </c>
      <c r="V55" s="63">
        <f t="shared" si="64"/>
        <v>18</v>
      </c>
      <c r="W55" s="63">
        <f t="shared" si="65"/>
        <v>27</v>
      </c>
      <c r="X55" s="63">
        <f t="shared" si="66"/>
        <v>33</v>
      </c>
      <c r="Y55" s="63" t="str">
        <f>IFERROR(VLOOKUP(MID(T55,W55,X55-W55),[6]skilldef!$C:$D,2,FALSE),"-") &amp; " / " &amp; IFERROR(VLOOKUP(MID(T55,U55,V55-U55),[6]skilldef!$A:$B,2,FALSE),"-")</f>
        <v>自分自身に / 行動値設定</v>
      </c>
      <c r="Z55" s="50"/>
      <c r="AA55" s="52"/>
      <c r="AB55" s="50"/>
    </row>
    <row r="56" spans="1:28" ht="21" customHeight="1" x14ac:dyDescent="0.15">
      <c r="A56" s="131">
        <v>65524122</v>
      </c>
      <c r="B56" s="47" t="s">
        <v>312</v>
      </c>
      <c r="C56" s="50">
        <v>1</v>
      </c>
      <c r="D56" s="50" t="s">
        <v>127</v>
      </c>
      <c r="E56" s="116" t="s">
        <v>318</v>
      </c>
      <c r="F56" s="116" t="s">
        <v>288</v>
      </c>
      <c r="G56" s="63" t="str">
        <f t="shared" si="51"/>
        <v>[effect:enemy_message, val1:1.2, val2:1.2]</v>
      </c>
      <c r="H56" s="63">
        <f t="shared" si="52"/>
        <v>9</v>
      </c>
      <c r="I56" s="63">
        <f t="shared" si="53"/>
        <v>22</v>
      </c>
      <c r="J56" s="63" t="e">
        <f t="shared" si="54"/>
        <v>#VALUE!</v>
      </c>
      <c r="K56" s="63">
        <f t="shared" si="55"/>
        <v>32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si="56"/>
        <v>[effect:force_change_block, new_block:damage, target:block_blue, count:1, val:0.09, animation:change_block]</v>
      </c>
      <c r="N56" s="48" t="str">
        <f>IFERROR(LEFT(M56,FIND("],",M56)+S68),M56)</f>
        <v>[effect:force_change_block, new_block:damage, target:block_blue, count:1, val:0.09, animation:change_block]</v>
      </c>
      <c r="O56" s="63">
        <f t="shared" si="58"/>
        <v>9</v>
      </c>
      <c r="P56" s="63">
        <f t="shared" si="59"/>
        <v>27</v>
      </c>
      <c r="Q56" s="63">
        <f t="shared" si="60"/>
        <v>54</v>
      </c>
      <c r="R56" s="63">
        <f t="shared" si="61"/>
        <v>45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62"/>
        <v>none</v>
      </c>
      <c r="U56" s="63" t="e">
        <f t="shared" si="63"/>
        <v>#VALUE!</v>
      </c>
      <c r="V56" s="63">
        <f t="shared" si="64"/>
        <v>4</v>
      </c>
      <c r="W56" s="63" t="e">
        <f t="shared" si="65"/>
        <v>#VALUE!</v>
      </c>
      <c r="X56" s="63" t="e">
        <f t="shared" si="66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131">
        <v>65524123</v>
      </c>
      <c r="B57" s="47" t="s">
        <v>316</v>
      </c>
      <c r="C57" s="50">
        <v>1</v>
      </c>
      <c r="D57" s="50" t="s">
        <v>127</v>
      </c>
      <c r="E57" s="116" t="s">
        <v>332</v>
      </c>
      <c r="F57" s="116" t="s">
        <v>289</v>
      </c>
      <c r="G57" s="63" t="str">
        <f t="shared" si="51"/>
        <v>[effect:enemy_message, val1:1.2, val2:1.2]</v>
      </c>
      <c r="H57" s="63">
        <f t="shared" si="52"/>
        <v>9</v>
      </c>
      <c r="I57" s="63">
        <f t="shared" si="53"/>
        <v>22</v>
      </c>
      <c r="J57" s="63" t="e">
        <f t="shared" si="54"/>
        <v>#VALUE!</v>
      </c>
      <c r="K57" s="63">
        <f t="shared" si="55"/>
        <v>32</v>
      </c>
      <c r="L57" s="63" t="str">
        <f>IFERROR(VLOOKUP(MID(G57,J57,K57-J57),[6]skilldef!$C:$D,2,FALSE),"-") &amp; " / " &amp; IFERROR(VLOOKUP(MID(G57,H57,I57-H57),[6]skilldef!$A:$B,2,FALSE),"-")</f>
        <v>- / -</v>
      </c>
      <c r="M57" s="63" t="str">
        <f t="shared" si="56"/>
        <v>[effect:force_change_block, new_block:jammer, target:block_red, count:1, val:0, animation:change_block]</v>
      </c>
      <c r="N57" s="48" t="str">
        <f>IFERROR(LEFT(M57,FIND("],",M57)+S69),M57)</f>
        <v>[effect:force_change_block, new_block:jammer, target:block_red, count:1, val:0, animation:change_block]</v>
      </c>
      <c r="O57" s="63">
        <f t="shared" si="58"/>
        <v>9</v>
      </c>
      <c r="P57" s="63">
        <f t="shared" si="59"/>
        <v>27</v>
      </c>
      <c r="Q57" s="63">
        <f t="shared" si="60"/>
        <v>54</v>
      </c>
      <c r="R57" s="63">
        <f t="shared" si="61"/>
        <v>45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62"/>
        <v>none</v>
      </c>
      <c r="U57" s="63" t="e">
        <f t="shared" si="63"/>
        <v>#VALUE!</v>
      </c>
      <c r="V57" s="63">
        <f t="shared" si="64"/>
        <v>4</v>
      </c>
      <c r="W57" s="63" t="e">
        <f t="shared" si="65"/>
        <v>#VALUE!</v>
      </c>
      <c r="X57" s="63" t="e">
        <f t="shared" si="66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131">
        <v>65524124</v>
      </c>
      <c r="B58" s="47" t="s">
        <v>346</v>
      </c>
      <c r="C58" s="50">
        <v>1</v>
      </c>
      <c r="D58" s="50" t="s">
        <v>127</v>
      </c>
      <c r="E58" s="116" t="s">
        <v>333</v>
      </c>
      <c r="F58" s="116" t="s">
        <v>343</v>
      </c>
      <c r="G58" s="63" t="str">
        <f t="shared" si="51"/>
        <v>[effect:enemy_message, val1:1.2, val2:1.2]</v>
      </c>
      <c r="H58" s="63">
        <f t="shared" si="52"/>
        <v>9</v>
      </c>
      <c r="I58" s="63">
        <f t="shared" si="53"/>
        <v>22</v>
      </c>
      <c r="J58" s="63" t="e">
        <f t="shared" si="54"/>
        <v>#VALUE!</v>
      </c>
      <c r="K58" s="63">
        <f t="shared" si="55"/>
        <v>32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si="56"/>
        <v>[effect:panel_freeze, target:normal, color:block_heart, count:1],[effect:rush, count:1, val:0.8]</v>
      </c>
      <c r="N58" s="48" t="str">
        <f>IFERROR(LEFT(M58,FIND("],",M58)+S70),M58)</f>
        <v>[effect:panel_freeze, target:normal, color:block_heart, count:1]</v>
      </c>
      <c r="O58" s="63">
        <f t="shared" si="58"/>
        <v>9</v>
      </c>
      <c r="P58" s="63">
        <f t="shared" si="59"/>
        <v>21</v>
      </c>
      <c r="Q58" s="63">
        <f t="shared" si="60"/>
        <v>30</v>
      </c>
      <c r="R58" s="63">
        <f t="shared" si="61"/>
        <v>36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62"/>
        <v>[effect:rush, count:1, val:0.8]</v>
      </c>
      <c r="U58" s="63">
        <f t="shared" si="63"/>
        <v>9</v>
      </c>
      <c r="V58" s="63">
        <f t="shared" si="64"/>
        <v>13</v>
      </c>
      <c r="W58" s="63" t="e">
        <f t="shared" si="65"/>
        <v>#VALUE!</v>
      </c>
      <c r="X58" s="63">
        <f t="shared" si="66"/>
        <v>22</v>
      </c>
      <c r="Y58" s="63" t="str">
        <f>IFERROR(VLOOKUP(MID(T58,W58,X58-W58),[6]skilldef!$C:$D,2,FALSE),"-") &amp; " / " &amp; IFERROR(VLOOKUP(MID(T58,U58,V58-U58),[6]skilldef!$A:$B,2,FALSE),"-")</f>
        <v>- / 連続攻撃</v>
      </c>
      <c r="Z58" s="50"/>
      <c r="AA58" s="52"/>
      <c r="AB58" s="50"/>
    </row>
    <row r="59" spans="1:28" ht="21" customHeight="1" x14ac:dyDescent="0.15">
      <c r="A59" s="131">
        <v>65524125</v>
      </c>
      <c r="B59" s="47" t="s">
        <v>348</v>
      </c>
      <c r="C59" s="50">
        <v>1</v>
      </c>
      <c r="D59" s="50" t="s">
        <v>127</v>
      </c>
      <c r="E59" s="116" t="s">
        <v>327</v>
      </c>
      <c r="F59" s="116" t="s">
        <v>326</v>
      </c>
      <c r="G59" s="63" t="str">
        <f t="shared" si="51"/>
        <v>[effect:enemy_message, val1:1.2, val2:1.2]</v>
      </c>
      <c r="H59" s="63">
        <f t="shared" si="52"/>
        <v>9</v>
      </c>
      <c r="I59" s="63">
        <f t="shared" si="53"/>
        <v>22</v>
      </c>
      <c r="J59" s="63" t="e">
        <f t="shared" si="54"/>
        <v>#VALUE!</v>
      </c>
      <c r="K59" s="63">
        <f t="shared" si="55"/>
        <v>32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si="56"/>
        <v>[effect:rush, count:2, val:1.5]</v>
      </c>
      <c r="N59" s="48" t="str">
        <f t="shared" ref="N59" si="83">IFERROR(LEFT(M59,FIND("],",M59)+S68),M59)</f>
        <v>[effect:rush, count:2, val:1.5]</v>
      </c>
      <c r="O59" s="63">
        <f t="shared" si="58"/>
        <v>9</v>
      </c>
      <c r="P59" s="63">
        <f t="shared" si="59"/>
        <v>13</v>
      </c>
      <c r="Q59" s="63" t="e">
        <f t="shared" si="60"/>
        <v>#VALUE!</v>
      </c>
      <c r="R59" s="63">
        <f t="shared" si="61"/>
        <v>22</v>
      </c>
      <c r="S59" s="63" t="str">
        <f>IFERROR(VLOOKUP(MID(N59,Q59,R59-Q59),[6]skilldef!$C:$D,2,FALSE),"-") &amp; " / " &amp; IFERROR(VLOOKUP(MID(N59,O59,P59-O59),[6]skilldef!$A:$B,2,FALSE),"-")</f>
        <v>- / 連続攻撃</v>
      </c>
      <c r="T59" s="48" t="str">
        <f t="shared" si="62"/>
        <v>none</v>
      </c>
      <c r="U59" s="63" t="e">
        <f t="shared" si="63"/>
        <v>#VALUE!</v>
      </c>
      <c r="V59" s="63">
        <f t="shared" si="64"/>
        <v>4</v>
      </c>
      <c r="W59" s="63" t="e">
        <f t="shared" si="65"/>
        <v>#VALUE!</v>
      </c>
      <c r="X59" s="63" t="e">
        <f t="shared" si="66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31">
        <v>65524126</v>
      </c>
      <c r="B60" s="47" t="s">
        <v>357</v>
      </c>
      <c r="C60" s="50">
        <v>1</v>
      </c>
      <c r="D60" s="50" t="s">
        <v>127</v>
      </c>
      <c r="E60" s="116" t="s">
        <v>310</v>
      </c>
      <c r="F60" s="116" t="s">
        <v>356</v>
      </c>
      <c r="G60" s="63" t="str">
        <f t="shared" si="51"/>
        <v>[effect:enemy_message, val1:1.2, val2:1.2]</v>
      </c>
      <c r="H60" s="63">
        <f t="shared" si="52"/>
        <v>9</v>
      </c>
      <c r="I60" s="63">
        <f t="shared" si="53"/>
        <v>22</v>
      </c>
      <c r="J60" s="63" t="e">
        <f t="shared" si="54"/>
        <v>#VALUE!</v>
      </c>
      <c r="K60" s="63">
        <f t="shared" si="55"/>
        <v>32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56"/>
        <v>[effect:enhance_enemy, target:myself, turn:-1, status:attack, val:0.3, calc:mul, animation:enemy_enhance_attack]</v>
      </c>
      <c r="N60" s="48" t="str">
        <f t="shared" ref="N60" si="84">IFERROR(LEFT(M60,FIND("],",M60)+S71),M60)</f>
        <v>[effect:enhance_enemy, target:myself, turn:-1, status:attack, val:0.3, calc:mul, animation:enemy_enhance_attack]</v>
      </c>
      <c r="O60" s="63">
        <f t="shared" si="58"/>
        <v>9</v>
      </c>
      <c r="P60" s="63">
        <f t="shared" si="59"/>
        <v>22</v>
      </c>
      <c r="Q60" s="63">
        <f t="shared" si="60"/>
        <v>31</v>
      </c>
      <c r="R60" s="63">
        <f t="shared" si="61"/>
        <v>37</v>
      </c>
      <c r="S60" s="63" t="str">
        <f>IFERROR(VLOOKUP(MID(N60,Q60,R60-Q60),[6]skilldef!$C:$D,2,FALSE),"-") &amp; " / " &amp; IFERROR(VLOOKUP(MID(N60,O60,P60-O60),[6]skilldef!$A:$B,2,FALSE),"-")</f>
        <v>自分自身に / ステータス強化</v>
      </c>
      <c r="T60" s="48" t="str">
        <f t="shared" si="62"/>
        <v>none</v>
      </c>
      <c r="U60" s="63" t="e">
        <f t="shared" si="63"/>
        <v>#VALUE!</v>
      </c>
      <c r="V60" s="63">
        <f t="shared" si="64"/>
        <v>4</v>
      </c>
      <c r="W60" s="63" t="e">
        <f t="shared" si="65"/>
        <v>#VALUE!</v>
      </c>
      <c r="X60" s="63" t="e">
        <f t="shared" si="66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 x14ac:dyDescent="0.15">
      <c r="A61" s="131">
        <v>65524127</v>
      </c>
      <c r="B61" s="47" t="s">
        <v>355</v>
      </c>
      <c r="C61" s="50">
        <v>1</v>
      </c>
      <c r="D61" s="50" t="s">
        <v>127</v>
      </c>
      <c r="E61" s="116" t="s">
        <v>319</v>
      </c>
      <c r="F61" s="116" t="s">
        <v>276</v>
      </c>
      <c r="G61" s="63" t="str">
        <f t="shared" si="51"/>
        <v>[effect:enemy_message, val1:1.2, val2:1.2]</v>
      </c>
      <c r="H61" s="63">
        <f t="shared" si="52"/>
        <v>9</v>
      </c>
      <c r="I61" s="63">
        <f t="shared" si="53"/>
        <v>22</v>
      </c>
      <c r="J61" s="63" t="e">
        <f t="shared" si="54"/>
        <v>#VALUE!</v>
      </c>
      <c r="K61" s="63">
        <f t="shared" si="55"/>
        <v>32</v>
      </c>
      <c r="L61" s="63" t="str">
        <f>IFERROR(VLOOKUP(MID(G61,J61,K61-J61),[6]skilldef!$C:$D,2,FALSE),"-") &amp; " / " &amp; IFERROR(VLOOKUP(MID(G61,H61,I61-H61),[6]skilldef!$A:$B,2,FALSE),"-")</f>
        <v>- / -</v>
      </c>
      <c r="M61" s="63" t="str">
        <f t="shared" si="56"/>
        <v>[effect:damage_gravity, val:0.5, animation:fevergauge_down]</v>
      </c>
      <c r="N61" s="48" t="str">
        <f t="shared" ref="N61" si="85">IFERROR(LEFT(M61,FIND("],",M61)+S70),M61)</f>
        <v>[effect:damage_gravity, val:0.5, animation:fevergauge_down]</v>
      </c>
      <c r="O61" s="63">
        <f t="shared" si="58"/>
        <v>9</v>
      </c>
      <c r="P61" s="63">
        <f t="shared" si="59"/>
        <v>23</v>
      </c>
      <c r="Q61" s="63" t="e">
        <f t="shared" si="60"/>
        <v>#VALUE!</v>
      </c>
      <c r="R61" s="63">
        <f t="shared" si="61"/>
        <v>32</v>
      </c>
      <c r="S61" s="63" t="str">
        <f>IFERROR(VLOOKUP(MID(N61,Q61,R61-Q61),[6]skilldef!$C:$D,2,FALSE),"-") &amp; " / " &amp; IFERROR(VLOOKUP(MID(N61,O61,P61-O61),[6]skilldef!$A:$B,2,FALSE),"-")</f>
        <v>- / 割合ダメージ</v>
      </c>
      <c r="T61" s="48" t="str">
        <f t="shared" si="62"/>
        <v>none</v>
      </c>
      <c r="U61" s="63" t="e">
        <f t="shared" si="63"/>
        <v>#VALUE!</v>
      </c>
      <c r="V61" s="63">
        <f t="shared" si="64"/>
        <v>4</v>
      </c>
      <c r="W61" s="63" t="e">
        <f t="shared" si="65"/>
        <v>#VALUE!</v>
      </c>
      <c r="X61" s="63" t="e">
        <f t="shared" si="66"/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131">
        <v>65524128</v>
      </c>
      <c r="B62" s="47" t="s">
        <v>301</v>
      </c>
      <c r="C62" s="50">
        <v>1</v>
      </c>
      <c r="D62" s="50" t="s">
        <v>127</v>
      </c>
      <c r="E62" s="116" t="s">
        <v>330</v>
      </c>
      <c r="F62" s="116" t="s">
        <v>320</v>
      </c>
      <c r="G62" s="63" t="str">
        <f t="shared" si="51"/>
        <v>[effect:enemy_message, val1:1.2, val2:1.2, dead_type:suicide]</v>
      </c>
      <c r="H62" s="63">
        <f t="shared" si="52"/>
        <v>9</v>
      </c>
      <c r="I62" s="63">
        <f t="shared" si="53"/>
        <v>22</v>
      </c>
      <c r="J62" s="63" t="e">
        <f t="shared" si="54"/>
        <v>#VALUE!</v>
      </c>
      <c r="K62" s="63">
        <f t="shared" si="55"/>
        <v>32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si="56"/>
        <v>none</v>
      </c>
      <c r="N62" s="48" t="str">
        <f t="shared" ref="N62:N67" si="86">IFERROR(LEFT(M62,FIND("],",M62)+S72),M62)</f>
        <v>none</v>
      </c>
      <c r="O62" s="63" t="e">
        <f t="shared" si="58"/>
        <v>#VALUE!</v>
      </c>
      <c r="P62" s="63">
        <f t="shared" si="59"/>
        <v>4</v>
      </c>
      <c r="Q62" s="63" t="e">
        <f t="shared" si="60"/>
        <v>#VALUE!</v>
      </c>
      <c r="R62" s="63" t="e">
        <f t="shared" si="61"/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62"/>
        <v>none</v>
      </c>
      <c r="U62" s="63" t="e">
        <f t="shared" si="63"/>
        <v>#VALUE!</v>
      </c>
      <c r="V62" s="63">
        <f t="shared" si="64"/>
        <v>4</v>
      </c>
      <c r="W62" s="63" t="e">
        <f t="shared" si="65"/>
        <v>#VALUE!</v>
      </c>
      <c r="X62" s="63" t="e">
        <f t="shared" si="66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131">
        <v>65524129</v>
      </c>
      <c r="B63" s="47" t="s">
        <v>303</v>
      </c>
      <c r="C63" s="50">
        <v>1</v>
      </c>
      <c r="D63" s="50" t="s">
        <v>127</v>
      </c>
      <c r="E63" s="116" t="s">
        <v>330</v>
      </c>
      <c r="F63" s="116" t="s">
        <v>317</v>
      </c>
      <c r="G63" s="63" t="str">
        <f t="shared" si="51"/>
        <v>[effect:enemy_message, val1:1.3, val2:1.2, dead_type:suicide]</v>
      </c>
      <c r="H63" s="63">
        <f t="shared" si="52"/>
        <v>9</v>
      </c>
      <c r="I63" s="63">
        <f t="shared" si="53"/>
        <v>22</v>
      </c>
      <c r="J63" s="63" t="e">
        <f t="shared" si="54"/>
        <v>#VALUE!</v>
      </c>
      <c r="K63" s="63">
        <f t="shared" si="55"/>
        <v>32</v>
      </c>
      <c r="L63" s="63" t="str">
        <f>IFERROR(VLOOKUP(MID(G63,J63,K63-J63),[6]skilldef!$C:$D,2,FALSE),"-") &amp; " / " &amp; IFERROR(VLOOKUP(MID(G63,H63,I63-H63),[6]skilldef!$A:$B,2,FALSE),"-")</f>
        <v>- / -</v>
      </c>
      <c r="M63" s="63" t="str">
        <f t="shared" si="56"/>
        <v>none</v>
      </c>
      <c r="N63" s="48" t="str">
        <f t="shared" si="86"/>
        <v>none</v>
      </c>
      <c r="O63" s="63" t="e">
        <f t="shared" si="58"/>
        <v>#VALUE!</v>
      </c>
      <c r="P63" s="63">
        <f t="shared" si="59"/>
        <v>4</v>
      </c>
      <c r="Q63" s="63" t="e">
        <f t="shared" si="60"/>
        <v>#VALUE!</v>
      </c>
      <c r="R63" s="63" t="e">
        <f t="shared" si="61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62"/>
        <v>none</v>
      </c>
      <c r="U63" s="63" t="e">
        <f t="shared" si="63"/>
        <v>#VALUE!</v>
      </c>
      <c r="V63" s="63">
        <f t="shared" si="64"/>
        <v>4</v>
      </c>
      <c r="W63" s="63" t="e">
        <f t="shared" si="65"/>
        <v>#VALUE!</v>
      </c>
      <c r="X63" s="63" t="e">
        <f t="shared" si="66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131">
        <v>65524130</v>
      </c>
      <c r="B64" s="47" t="s">
        <v>282</v>
      </c>
      <c r="C64" s="50">
        <v>1</v>
      </c>
      <c r="D64" s="50" t="s">
        <v>127</v>
      </c>
      <c r="E64" s="116" t="s">
        <v>330</v>
      </c>
      <c r="F64" s="116" t="s">
        <v>317</v>
      </c>
      <c r="G64" s="63" t="str">
        <f t="shared" si="51"/>
        <v>[effect:enemy_message, val1:1.3, val2:1.2, dead_type:suicide]</v>
      </c>
      <c r="H64" s="63">
        <f t="shared" si="52"/>
        <v>9</v>
      </c>
      <c r="I64" s="63">
        <f t="shared" si="53"/>
        <v>22</v>
      </c>
      <c r="J64" s="63" t="e">
        <f t="shared" si="54"/>
        <v>#VALUE!</v>
      </c>
      <c r="K64" s="63">
        <f t="shared" si="55"/>
        <v>32</v>
      </c>
      <c r="L64" s="63" t="str">
        <f>IFERROR(VLOOKUP(MID(G64,J64,K64-J64),[6]skilldef!$C:$D,2,FALSE),"-") &amp; " / " &amp; IFERROR(VLOOKUP(MID(G64,H64,I64-H64),[6]skilldef!$A:$B,2,FALSE),"-")</f>
        <v>- / -</v>
      </c>
      <c r="M64" s="63" t="str">
        <f t="shared" si="56"/>
        <v>none</v>
      </c>
      <c r="N64" s="48" t="str">
        <f t="shared" si="86"/>
        <v>none</v>
      </c>
      <c r="O64" s="63" t="e">
        <f t="shared" si="58"/>
        <v>#VALUE!</v>
      </c>
      <c r="P64" s="63">
        <f t="shared" si="59"/>
        <v>4</v>
      </c>
      <c r="Q64" s="63" t="e">
        <f t="shared" si="60"/>
        <v>#VALUE!</v>
      </c>
      <c r="R64" s="63" t="e">
        <f t="shared" si="61"/>
        <v>#VALUE!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si="62"/>
        <v>none</v>
      </c>
      <c r="U64" s="63" t="e">
        <f t="shared" si="63"/>
        <v>#VALUE!</v>
      </c>
      <c r="V64" s="63">
        <f t="shared" si="64"/>
        <v>4</v>
      </c>
      <c r="W64" s="63" t="e">
        <f t="shared" si="65"/>
        <v>#VALUE!</v>
      </c>
      <c r="X64" s="63" t="e">
        <f t="shared" si="66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131">
        <v>65524131</v>
      </c>
      <c r="B65" s="47" t="s">
        <v>282</v>
      </c>
      <c r="C65" s="50">
        <v>1</v>
      </c>
      <c r="D65" s="50" t="s">
        <v>127</v>
      </c>
      <c r="E65" s="116" t="s">
        <v>330</v>
      </c>
      <c r="F65" s="116" t="s">
        <v>317</v>
      </c>
      <c r="G65" s="63" t="str">
        <f t="shared" si="51"/>
        <v>[effect:enemy_message, val1:1.3, val2:1.2, dead_type:suicide]</v>
      </c>
      <c r="H65" s="63">
        <f t="shared" si="52"/>
        <v>9</v>
      </c>
      <c r="I65" s="63">
        <f t="shared" si="53"/>
        <v>22</v>
      </c>
      <c r="J65" s="63" t="e">
        <f t="shared" si="54"/>
        <v>#VALUE!</v>
      </c>
      <c r="K65" s="63">
        <f t="shared" si="55"/>
        <v>32</v>
      </c>
      <c r="L65" s="63" t="str">
        <f>IFERROR(VLOOKUP(MID(G65,J65,K65-J65),[6]skilldef!$C:$D,2,FALSE),"-") &amp; " / " &amp; IFERROR(VLOOKUP(MID(G65,H65,I65-H65),[6]skilldef!$A:$B,2,FALSE),"-")</f>
        <v>- / -</v>
      </c>
      <c r="M65" s="63" t="str">
        <f t="shared" si="56"/>
        <v>none</v>
      </c>
      <c r="N65" s="48" t="str">
        <f t="shared" si="86"/>
        <v>none</v>
      </c>
      <c r="O65" s="63" t="e">
        <f t="shared" si="58"/>
        <v>#VALUE!</v>
      </c>
      <c r="P65" s="63">
        <f t="shared" si="59"/>
        <v>4</v>
      </c>
      <c r="Q65" s="63" t="e">
        <f t="shared" si="60"/>
        <v>#VALUE!</v>
      </c>
      <c r="R65" s="63" t="e">
        <f t="shared" si="61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62"/>
        <v>none</v>
      </c>
      <c r="U65" s="63" t="e">
        <f t="shared" si="63"/>
        <v>#VALUE!</v>
      </c>
      <c r="V65" s="63">
        <f t="shared" si="64"/>
        <v>4</v>
      </c>
      <c r="W65" s="63" t="e">
        <f t="shared" si="65"/>
        <v>#VALUE!</v>
      </c>
      <c r="X65" s="63" t="e">
        <f t="shared" si="66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131">
        <v>65524132</v>
      </c>
      <c r="B66" s="47" t="s">
        <v>282</v>
      </c>
      <c r="C66" s="50">
        <v>1</v>
      </c>
      <c r="D66" s="50" t="s">
        <v>127</v>
      </c>
      <c r="E66" s="116" t="s">
        <v>330</v>
      </c>
      <c r="F66" s="116" t="s">
        <v>317</v>
      </c>
      <c r="G66" s="63" t="str">
        <f t="shared" si="51"/>
        <v>[effect:enemy_message, val1:1.3, val2:1.2, dead_type:suicide]</v>
      </c>
      <c r="H66" s="63">
        <f t="shared" si="52"/>
        <v>9</v>
      </c>
      <c r="I66" s="63">
        <f t="shared" si="53"/>
        <v>22</v>
      </c>
      <c r="J66" s="63" t="e">
        <f t="shared" si="54"/>
        <v>#VALUE!</v>
      </c>
      <c r="K66" s="63">
        <f t="shared" si="55"/>
        <v>32</v>
      </c>
      <c r="L66" s="63" t="str">
        <f>IFERROR(VLOOKUP(MID(G66,J66,K66-J66),[6]skilldef!$C:$D,2,FALSE),"-") &amp; " / " &amp; IFERROR(VLOOKUP(MID(G66,H66,I66-H66),[6]skilldef!$A:$B,2,FALSE),"-")</f>
        <v>- / -</v>
      </c>
      <c r="M66" s="63" t="str">
        <f t="shared" si="56"/>
        <v>none</v>
      </c>
      <c r="N66" s="48" t="str">
        <f t="shared" si="86"/>
        <v>none</v>
      </c>
      <c r="O66" s="63" t="e">
        <f t="shared" si="58"/>
        <v>#VALUE!</v>
      </c>
      <c r="P66" s="63">
        <f t="shared" si="59"/>
        <v>4</v>
      </c>
      <c r="Q66" s="63" t="e">
        <f t="shared" si="60"/>
        <v>#VALUE!</v>
      </c>
      <c r="R66" s="63" t="e">
        <f t="shared" si="61"/>
        <v>#VALUE!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si="62"/>
        <v>none</v>
      </c>
      <c r="U66" s="63" t="e">
        <f t="shared" si="63"/>
        <v>#VALUE!</v>
      </c>
      <c r="V66" s="63">
        <f t="shared" si="64"/>
        <v>4</v>
      </c>
      <c r="W66" s="63" t="e">
        <f t="shared" si="65"/>
        <v>#VALUE!</v>
      </c>
      <c r="X66" s="63" t="e">
        <f t="shared" si="66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131">
        <v>65524133</v>
      </c>
      <c r="B67" s="47" t="s">
        <v>282</v>
      </c>
      <c r="C67" s="50">
        <v>1</v>
      </c>
      <c r="D67" s="50" t="s">
        <v>127</v>
      </c>
      <c r="E67" s="116" t="s">
        <v>330</v>
      </c>
      <c r="F67" s="116" t="s">
        <v>317</v>
      </c>
      <c r="G67" s="63" t="str">
        <f t="shared" si="51"/>
        <v>[effect:enemy_message, val1:1.3, val2:1.2, dead_type:suicide]</v>
      </c>
      <c r="H67" s="63">
        <f t="shared" si="52"/>
        <v>9</v>
      </c>
      <c r="I67" s="63">
        <f t="shared" si="53"/>
        <v>22</v>
      </c>
      <c r="J67" s="63" t="e">
        <f t="shared" si="54"/>
        <v>#VALUE!</v>
      </c>
      <c r="K67" s="63">
        <f t="shared" si="55"/>
        <v>32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si="56"/>
        <v>none</v>
      </c>
      <c r="N67" s="48" t="str">
        <f t="shared" si="86"/>
        <v>none</v>
      </c>
      <c r="O67" s="63" t="e">
        <f t="shared" si="58"/>
        <v>#VALUE!</v>
      </c>
      <c r="P67" s="63">
        <f t="shared" si="59"/>
        <v>4</v>
      </c>
      <c r="Q67" s="63" t="e">
        <f t="shared" si="60"/>
        <v>#VALUE!</v>
      </c>
      <c r="R67" s="63" t="e">
        <f t="shared" si="61"/>
        <v>#VALUE!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62"/>
        <v>none</v>
      </c>
      <c r="U67" s="63" t="e">
        <f t="shared" si="63"/>
        <v>#VALUE!</v>
      </c>
      <c r="V67" s="63">
        <f t="shared" si="64"/>
        <v>4</v>
      </c>
      <c r="W67" s="63" t="e">
        <f t="shared" si="65"/>
        <v>#VALUE!</v>
      </c>
      <c r="X67" s="63" t="e">
        <f t="shared" si="66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9" spans="1:28" ht="21" customHeight="1" x14ac:dyDescent="0.15">
      <c r="B69" s="135"/>
    </row>
    <row r="70" spans="1:28" ht="21" customHeight="1" x14ac:dyDescent="0.2">
      <c r="B70" s="117"/>
    </row>
    <row r="71" spans="1:28" ht="21" customHeight="1" x14ac:dyDescent="0.15">
      <c r="B71" s="135" t="s">
        <v>349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4"/>
  <sheetViews>
    <sheetView showGridLines="0" workbookViewId="0">
      <pane ySplit="1" topLeftCell="A18" activePane="bottomLeft" state="frozenSplit"/>
      <selection pane="bottomLeft" activeCell="G28" sqref="G2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15">
        <v>65524001</v>
      </c>
      <c r="B2" s="47">
        <v>0</v>
      </c>
      <c r="C2" s="47">
        <v>100</v>
      </c>
      <c r="D2" s="47">
        <v>100</v>
      </c>
      <c r="E2" s="47" t="s">
        <v>266</v>
      </c>
      <c r="F2" s="47" t="s">
        <v>89</v>
      </c>
      <c r="G2" s="47" t="s">
        <v>53</v>
      </c>
      <c r="H2" s="47">
        <v>3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15">
        <v>65524002</v>
      </c>
      <c r="B3" s="47">
        <v>0</v>
      </c>
      <c r="C3" s="47">
        <v>150</v>
      </c>
      <c r="D3" s="47">
        <v>100</v>
      </c>
      <c r="E3" s="47" t="s">
        <v>266</v>
      </c>
      <c r="F3" s="47" t="s">
        <v>53</v>
      </c>
      <c r="G3" s="47" t="s">
        <v>53</v>
      </c>
      <c r="H3" s="47">
        <v>4</v>
      </c>
      <c r="I3" s="47" t="s">
        <v>53</v>
      </c>
      <c r="J3" s="48">
        <f t="shared" ref="J3:J22" si="1">D3</f>
        <v>100</v>
      </c>
    </row>
    <row r="4" spans="1:11" ht="21" customHeight="1" x14ac:dyDescent="0.15">
      <c r="A4" s="115">
        <v>65524003</v>
      </c>
      <c r="B4" s="47">
        <v>0</v>
      </c>
      <c r="C4" s="47">
        <v>20</v>
      </c>
      <c r="D4" s="47">
        <v>100</v>
      </c>
      <c r="E4" s="47" t="s">
        <v>266</v>
      </c>
      <c r="F4" s="47" t="s">
        <v>53</v>
      </c>
      <c r="G4" s="47" t="s">
        <v>53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112">
        <v>65524004</v>
      </c>
      <c r="B5" s="47">
        <v>1</v>
      </c>
      <c r="C5" s="47" t="s">
        <v>53</v>
      </c>
      <c r="D5" s="47">
        <v>100</v>
      </c>
      <c r="E5" s="47" t="s">
        <v>266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112">
        <v>65524005</v>
      </c>
      <c r="B6" s="47">
        <v>0</v>
      </c>
      <c r="C6" s="47">
        <v>80</v>
      </c>
      <c r="D6" s="47">
        <v>100</v>
      </c>
      <c r="E6" s="47" t="s">
        <v>266</v>
      </c>
      <c r="F6" s="47" t="s">
        <v>53</v>
      </c>
      <c r="G6" s="47">
        <v>1</v>
      </c>
      <c r="H6" s="47">
        <v>1</v>
      </c>
      <c r="I6" s="47" t="s">
        <v>53</v>
      </c>
      <c r="J6" s="48">
        <f t="shared" si="1"/>
        <v>100</v>
      </c>
    </row>
    <row r="7" spans="1:11" ht="21" customHeight="1" x14ac:dyDescent="0.15">
      <c r="A7" s="112">
        <v>65524006</v>
      </c>
      <c r="B7" s="47">
        <v>0</v>
      </c>
      <c r="C7" s="47">
        <v>90</v>
      </c>
      <c r="D7" s="47">
        <v>100</v>
      </c>
      <c r="E7" s="47" t="s">
        <v>266</v>
      </c>
      <c r="F7" s="47" t="s">
        <v>53</v>
      </c>
      <c r="G7" s="47">
        <v>1</v>
      </c>
      <c r="H7" s="47">
        <v>2</v>
      </c>
      <c r="I7" s="47" t="s">
        <v>53</v>
      </c>
      <c r="J7" s="48">
        <f t="shared" si="1"/>
        <v>100</v>
      </c>
    </row>
    <row r="8" spans="1:11" ht="21" customHeight="1" x14ac:dyDescent="0.15">
      <c r="A8" s="112">
        <v>65524007</v>
      </c>
      <c r="B8" s="47">
        <v>0</v>
      </c>
      <c r="C8" s="47">
        <v>100</v>
      </c>
      <c r="D8" s="47">
        <v>100</v>
      </c>
      <c r="E8" s="47" t="s">
        <v>266</v>
      </c>
      <c r="F8" s="47" t="s">
        <v>53</v>
      </c>
      <c r="G8" s="47">
        <v>1</v>
      </c>
      <c r="H8" s="47">
        <v>3</v>
      </c>
      <c r="I8" s="47" t="s">
        <v>53</v>
      </c>
      <c r="J8" s="48">
        <f t="shared" si="1"/>
        <v>100</v>
      </c>
    </row>
    <row r="9" spans="1:11" ht="21" customHeight="1" x14ac:dyDescent="0.15">
      <c r="A9" s="112">
        <v>65524008</v>
      </c>
      <c r="B9" s="47">
        <v>0</v>
      </c>
      <c r="C9" s="47">
        <v>110</v>
      </c>
      <c r="D9" s="47">
        <v>100</v>
      </c>
      <c r="E9" s="47" t="s">
        <v>266</v>
      </c>
      <c r="F9" s="47" t="s">
        <v>53</v>
      </c>
      <c r="G9" s="47">
        <v>1</v>
      </c>
      <c r="H9" s="47">
        <v>4</v>
      </c>
      <c r="I9" s="47" t="s">
        <v>53</v>
      </c>
      <c r="J9" s="48">
        <f t="shared" si="1"/>
        <v>100</v>
      </c>
    </row>
    <row r="10" spans="1:11" ht="21" customHeight="1" x14ac:dyDescent="0.15">
      <c r="A10" s="112">
        <v>65524009</v>
      </c>
      <c r="B10" s="47">
        <v>0</v>
      </c>
      <c r="C10" s="47">
        <v>500</v>
      </c>
      <c r="D10" s="47">
        <v>100</v>
      </c>
      <c r="E10" s="47" t="s">
        <v>266</v>
      </c>
      <c r="F10" s="47" t="s">
        <v>53</v>
      </c>
      <c r="G10" s="47">
        <v>1</v>
      </c>
      <c r="H10" s="47">
        <v>5</v>
      </c>
      <c r="I10" s="47" t="s">
        <v>53</v>
      </c>
      <c r="J10" s="48">
        <f t="shared" si="1"/>
        <v>100</v>
      </c>
    </row>
    <row r="11" spans="1:11" ht="21" customHeight="1" x14ac:dyDescent="0.15">
      <c r="A11" s="125">
        <v>65524010</v>
      </c>
      <c r="B11" s="47">
        <v>1</v>
      </c>
      <c r="C11" s="47" t="s">
        <v>53</v>
      </c>
      <c r="D11" s="47">
        <v>100</v>
      </c>
      <c r="E11" s="47" t="s">
        <v>266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1"/>
        <v>100</v>
      </c>
    </row>
    <row r="12" spans="1:11" ht="21" customHeight="1" x14ac:dyDescent="0.15">
      <c r="A12" s="118">
        <v>65524011</v>
      </c>
      <c r="B12" s="47">
        <v>1</v>
      </c>
      <c r="C12" s="47">
        <v>55</v>
      </c>
      <c r="D12" s="47">
        <v>100</v>
      </c>
      <c r="E12" s="47" t="s">
        <v>266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1"/>
        <v>100</v>
      </c>
    </row>
    <row r="13" spans="1:11" ht="21" customHeight="1" x14ac:dyDescent="0.15">
      <c r="A13" s="126">
        <v>65524012</v>
      </c>
      <c r="B13" s="47">
        <v>1</v>
      </c>
      <c r="C13" s="47">
        <v>56</v>
      </c>
      <c r="D13" s="47">
        <v>100</v>
      </c>
      <c r="E13" s="47" t="s">
        <v>266</v>
      </c>
      <c r="F13" s="47" t="s">
        <v>53</v>
      </c>
      <c r="G13" s="47">
        <v>1</v>
      </c>
      <c r="H13" s="47" t="s">
        <v>53</v>
      </c>
      <c r="I13" s="47">
        <v>294</v>
      </c>
      <c r="J13" s="48">
        <f t="shared" si="1"/>
        <v>100</v>
      </c>
    </row>
    <row r="14" spans="1:11" ht="21" customHeight="1" x14ac:dyDescent="0.15">
      <c r="A14" s="126">
        <v>65524013</v>
      </c>
      <c r="B14" s="47">
        <v>1</v>
      </c>
      <c r="C14" s="47">
        <v>70</v>
      </c>
      <c r="D14" s="47">
        <v>100</v>
      </c>
      <c r="E14" s="47" t="s">
        <v>266</v>
      </c>
      <c r="F14" s="47" t="s">
        <v>53</v>
      </c>
      <c r="G14" s="47">
        <v>1</v>
      </c>
      <c r="H14" s="47" t="s">
        <v>53</v>
      </c>
      <c r="I14" s="47">
        <v>295</v>
      </c>
      <c r="J14" s="48">
        <f t="shared" si="1"/>
        <v>100</v>
      </c>
    </row>
    <row r="15" spans="1:11" ht="21" customHeight="1" x14ac:dyDescent="0.15">
      <c r="A15" s="119">
        <v>65524014</v>
      </c>
      <c r="B15" s="47">
        <v>1</v>
      </c>
      <c r="C15" s="47">
        <v>80</v>
      </c>
      <c r="D15" s="47">
        <v>100</v>
      </c>
      <c r="E15" s="47" t="s">
        <v>266</v>
      </c>
      <c r="F15" s="47" t="s">
        <v>53</v>
      </c>
      <c r="G15" s="47">
        <v>1</v>
      </c>
      <c r="H15" s="47" t="s">
        <v>53</v>
      </c>
      <c r="I15" s="47">
        <v>130</v>
      </c>
      <c r="J15" s="48">
        <f t="shared" si="1"/>
        <v>100</v>
      </c>
    </row>
    <row r="16" spans="1:11" ht="21" customHeight="1" x14ac:dyDescent="0.15">
      <c r="A16" s="119">
        <v>65524015</v>
      </c>
      <c r="B16" s="47">
        <v>1</v>
      </c>
      <c r="C16" s="47">
        <v>90</v>
      </c>
      <c r="D16" s="47">
        <v>100</v>
      </c>
      <c r="E16" s="47" t="s">
        <v>266</v>
      </c>
      <c r="F16" s="47" t="s">
        <v>53</v>
      </c>
      <c r="G16" s="47">
        <v>1</v>
      </c>
      <c r="H16" s="47" t="s">
        <v>53</v>
      </c>
      <c r="I16" s="47">
        <v>131</v>
      </c>
      <c r="J16" s="48">
        <f t="shared" si="1"/>
        <v>100</v>
      </c>
    </row>
    <row r="17" spans="1:11" ht="21" customHeight="1" x14ac:dyDescent="0.15">
      <c r="A17" s="119">
        <v>65524016</v>
      </c>
      <c r="B17" s="47">
        <v>1</v>
      </c>
      <c r="C17" s="47">
        <v>100</v>
      </c>
      <c r="D17" s="47">
        <v>100</v>
      </c>
      <c r="E17" s="47" t="s">
        <v>266</v>
      </c>
      <c r="F17" s="47" t="s">
        <v>53</v>
      </c>
      <c r="G17" s="47">
        <v>1</v>
      </c>
      <c r="H17" s="47" t="s">
        <v>53</v>
      </c>
      <c r="I17" s="47">
        <v>562</v>
      </c>
      <c r="J17" s="48">
        <f t="shared" si="1"/>
        <v>100</v>
      </c>
    </row>
    <row r="18" spans="1:11" ht="21" customHeight="1" x14ac:dyDescent="0.15">
      <c r="A18" s="113">
        <v>65524017</v>
      </c>
      <c r="B18" s="47">
        <v>0</v>
      </c>
      <c r="C18" s="47">
        <v>80</v>
      </c>
      <c r="D18" s="47">
        <v>100</v>
      </c>
      <c r="E18" s="47" t="s">
        <v>266</v>
      </c>
      <c r="F18" s="47" t="s">
        <v>53</v>
      </c>
      <c r="G18" s="47" t="s">
        <v>53</v>
      </c>
      <c r="H18" s="47">
        <v>2</v>
      </c>
      <c r="I18" s="47" t="s">
        <v>53</v>
      </c>
      <c r="J18" s="48">
        <f t="shared" si="1"/>
        <v>100</v>
      </c>
    </row>
    <row r="19" spans="1:11" ht="21" customHeight="1" x14ac:dyDescent="0.15">
      <c r="A19" s="113">
        <v>65524018</v>
      </c>
      <c r="B19" s="47">
        <v>0</v>
      </c>
      <c r="C19" s="47">
        <v>90</v>
      </c>
      <c r="D19" s="47">
        <v>100</v>
      </c>
      <c r="E19" s="47" t="s">
        <v>266</v>
      </c>
      <c r="F19" s="47" t="s">
        <v>53</v>
      </c>
      <c r="G19" s="47" t="s">
        <v>53</v>
      </c>
      <c r="H19" s="47">
        <v>3</v>
      </c>
      <c r="I19" s="47" t="s">
        <v>53</v>
      </c>
      <c r="J19" s="48">
        <f t="shared" si="1"/>
        <v>100</v>
      </c>
    </row>
    <row r="20" spans="1:11" ht="21" customHeight="1" x14ac:dyDescent="0.15">
      <c r="A20" s="113">
        <v>65524019</v>
      </c>
      <c r="B20" s="47">
        <v>0</v>
      </c>
      <c r="C20" s="47">
        <v>100</v>
      </c>
      <c r="D20" s="47">
        <v>100</v>
      </c>
      <c r="E20" s="47" t="s">
        <v>266</v>
      </c>
      <c r="F20" s="47" t="s">
        <v>53</v>
      </c>
      <c r="G20" s="47" t="s">
        <v>53</v>
      </c>
      <c r="H20" s="47">
        <v>4</v>
      </c>
      <c r="I20" s="47" t="s">
        <v>53</v>
      </c>
      <c r="J20" s="48">
        <f t="shared" si="1"/>
        <v>100</v>
      </c>
    </row>
    <row r="21" spans="1:11" ht="21" customHeight="1" x14ac:dyDescent="0.15">
      <c r="A21" s="113">
        <v>65524020</v>
      </c>
      <c r="B21" s="47">
        <v>0</v>
      </c>
      <c r="C21" s="47">
        <v>50</v>
      </c>
      <c r="D21" s="47">
        <v>100</v>
      </c>
      <c r="E21" s="47" t="s">
        <v>266</v>
      </c>
      <c r="F21" s="47" t="s">
        <v>53</v>
      </c>
      <c r="G21" s="47" t="s">
        <v>53</v>
      </c>
      <c r="H21" s="47">
        <v>1</v>
      </c>
      <c r="I21" s="47" t="s">
        <v>53</v>
      </c>
      <c r="J21" s="48">
        <f t="shared" si="1"/>
        <v>100</v>
      </c>
    </row>
    <row r="22" spans="1:11" ht="21" customHeight="1" x14ac:dyDescent="0.15">
      <c r="A22" s="114">
        <v>65524021</v>
      </c>
      <c r="B22" s="47">
        <v>1</v>
      </c>
      <c r="C22" s="47">
        <v>300</v>
      </c>
      <c r="D22" s="47">
        <v>100</v>
      </c>
      <c r="E22" s="47" t="s">
        <v>266</v>
      </c>
      <c r="F22" s="47" t="s">
        <v>53</v>
      </c>
      <c r="G22" s="47">
        <v>1</v>
      </c>
      <c r="H22" s="47" t="s">
        <v>53</v>
      </c>
      <c r="I22" s="47" t="s">
        <v>53</v>
      </c>
      <c r="J22" s="48">
        <f t="shared" si="1"/>
        <v>100</v>
      </c>
    </row>
    <row r="23" spans="1:11" ht="21" customHeight="1" x14ac:dyDescent="0.15">
      <c r="A23" s="114">
        <v>65524022</v>
      </c>
      <c r="B23" s="47">
        <v>0</v>
      </c>
      <c r="C23" s="47">
        <v>80</v>
      </c>
      <c r="D23" s="47">
        <v>100</v>
      </c>
      <c r="E23" s="47" t="s">
        <v>266</v>
      </c>
      <c r="F23" s="47" t="s">
        <v>53</v>
      </c>
      <c r="G23" s="47" t="s">
        <v>53</v>
      </c>
      <c r="H23" s="47">
        <v>2</v>
      </c>
      <c r="I23" s="47" t="s">
        <v>53</v>
      </c>
      <c r="J23" s="48">
        <f t="shared" ref="J23:J25" si="2">D23</f>
        <v>100</v>
      </c>
    </row>
    <row r="24" spans="1:11" ht="21" customHeight="1" x14ac:dyDescent="0.15">
      <c r="A24" s="114">
        <v>65524023</v>
      </c>
      <c r="B24" s="47">
        <v>0</v>
      </c>
      <c r="C24" s="47">
        <v>90</v>
      </c>
      <c r="D24" s="47">
        <v>100</v>
      </c>
      <c r="E24" s="47" t="s">
        <v>266</v>
      </c>
      <c r="F24" s="47" t="s">
        <v>53</v>
      </c>
      <c r="G24" s="47" t="s">
        <v>53</v>
      </c>
      <c r="H24" s="47">
        <v>3</v>
      </c>
      <c r="I24" s="47" t="s">
        <v>53</v>
      </c>
      <c r="J24" s="48">
        <f t="shared" si="2"/>
        <v>100</v>
      </c>
    </row>
    <row r="25" spans="1:11" s="133" customFormat="1" ht="21" customHeight="1" x14ac:dyDescent="0.15">
      <c r="A25" s="114">
        <v>65524024</v>
      </c>
      <c r="B25" s="47">
        <v>0</v>
      </c>
      <c r="C25" s="47">
        <v>100</v>
      </c>
      <c r="D25" s="47">
        <v>100</v>
      </c>
      <c r="E25" s="47" t="s">
        <v>53</v>
      </c>
      <c r="F25" s="47" t="s">
        <v>53</v>
      </c>
      <c r="G25" s="47" t="s">
        <v>53</v>
      </c>
      <c r="H25" s="47">
        <v>4</v>
      </c>
      <c r="I25" s="47" t="s">
        <v>53</v>
      </c>
      <c r="J25" s="48">
        <f t="shared" si="2"/>
        <v>100</v>
      </c>
      <c r="K25" s="132"/>
    </row>
    <row r="26" spans="1:11" ht="21" customHeight="1" x14ac:dyDescent="0.15">
      <c r="A26" s="114">
        <v>65524025</v>
      </c>
      <c r="B26" s="47">
        <v>0</v>
      </c>
      <c r="C26" s="47">
        <v>50</v>
      </c>
      <c r="D26" s="47">
        <v>100</v>
      </c>
      <c r="E26" s="47" t="s">
        <v>53</v>
      </c>
      <c r="F26" s="47" t="s">
        <v>53</v>
      </c>
      <c r="G26" s="47" t="s">
        <v>53</v>
      </c>
      <c r="H26" s="47">
        <v>1</v>
      </c>
      <c r="I26" s="47" t="s">
        <v>53</v>
      </c>
      <c r="J26" s="48">
        <f t="shared" ref="J26:J30" si="3">D26</f>
        <v>100</v>
      </c>
    </row>
    <row r="27" spans="1:11" ht="21" customHeight="1" x14ac:dyDescent="0.15">
      <c r="A27" s="114">
        <v>65524026</v>
      </c>
      <c r="B27" s="47">
        <v>0</v>
      </c>
      <c r="C27" s="47">
        <v>500</v>
      </c>
      <c r="D27" s="47">
        <v>100</v>
      </c>
      <c r="E27" s="47">
        <v>20</v>
      </c>
      <c r="F27" s="47" t="s">
        <v>53</v>
      </c>
      <c r="G27" s="47">
        <v>1</v>
      </c>
      <c r="H27" s="47">
        <v>1</v>
      </c>
      <c r="I27" s="47" t="s">
        <v>53</v>
      </c>
      <c r="J27" s="48">
        <f t="shared" ref="J27" si="4">D27</f>
        <v>100</v>
      </c>
    </row>
    <row r="28" spans="1:11" ht="21" customHeight="1" x14ac:dyDescent="0.15">
      <c r="A28" s="114">
        <v>65524027</v>
      </c>
      <c r="B28" s="47">
        <v>0</v>
      </c>
      <c r="C28" s="47">
        <v>501</v>
      </c>
      <c r="D28" s="47">
        <v>100</v>
      </c>
      <c r="E28" s="47">
        <v>20</v>
      </c>
      <c r="F28" s="47" t="s">
        <v>53</v>
      </c>
      <c r="G28" s="47">
        <v>1</v>
      </c>
      <c r="H28" s="47">
        <v>2</v>
      </c>
      <c r="I28" s="47" t="s">
        <v>53</v>
      </c>
      <c r="J28" s="48">
        <f t="shared" si="3"/>
        <v>100</v>
      </c>
    </row>
    <row r="29" spans="1:11" ht="21" customHeight="1" x14ac:dyDescent="0.15">
      <c r="A29" s="134">
        <v>65524028</v>
      </c>
      <c r="B29" s="47">
        <v>0</v>
      </c>
      <c r="C29" s="47">
        <v>60</v>
      </c>
      <c r="D29" s="47">
        <v>100</v>
      </c>
      <c r="E29" s="47" t="s">
        <v>266</v>
      </c>
      <c r="F29" s="47" t="s">
        <v>53</v>
      </c>
      <c r="G29" s="47">
        <v>0</v>
      </c>
      <c r="H29" s="47" t="s">
        <v>53</v>
      </c>
      <c r="I29" s="47">
        <v>0</v>
      </c>
      <c r="J29" s="48">
        <f t="shared" si="3"/>
        <v>100</v>
      </c>
    </row>
    <row r="30" spans="1:11" ht="21" customHeight="1" x14ac:dyDescent="0.15">
      <c r="A30" s="127">
        <v>65524029</v>
      </c>
      <c r="B30" s="47">
        <v>0</v>
      </c>
      <c r="C30" s="47">
        <v>70</v>
      </c>
      <c r="D30" s="47">
        <v>100</v>
      </c>
      <c r="E30" s="47" t="s">
        <v>266</v>
      </c>
      <c r="F30" s="47" t="s">
        <v>53</v>
      </c>
      <c r="G30" s="47">
        <v>0</v>
      </c>
      <c r="H30" s="47" t="s">
        <v>53</v>
      </c>
      <c r="I30" s="47">
        <v>294</v>
      </c>
      <c r="J30" s="48">
        <f t="shared" si="3"/>
        <v>100</v>
      </c>
    </row>
    <row r="31" spans="1:11" ht="21" customHeight="1" x14ac:dyDescent="0.15">
      <c r="A31" s="127">
        <v>65524030</v>
      </c>
      <c r="B31" s="47">
        <v>0</v>
      </c>
      <c r="C31" s="47">
        <v>80</v>
      </c>
      <c r="D31" s="47">
        <v>100</v>
      </c>
      <c r="E31" s="47" t="s">
        <v>266</v>
      </c>
      <c r="F31" s="47" t="s">
        <v>53</v>
      </c>
      <c r="G31" s="47">
        <v>0</v>
      </c>
      <c r="H31" s="47" t="s">
        <v>53</v>
      </c>
      <c r="I31" s="47">
        <v>295</v>
      </c>
      <c r="J31" s="48">
        <f t="shared" ref="J31:J33" si="5">D31</f>
        <v>100</v>
      </c>
    </row>
    <row r="32" spans="1:11" ht="21" customHeight="1" x14ac:dyDescent="0.15">
      <c r="A32" s="115">
        <v>65524031</v>
      </c>
      <c r="B32" s="47">
        <v>0</v>
      </c>
      <c r="C32" s="47">
        <v>90</v>
      </c>
      <c r="D32" s="47">
        <v>100</v>
      </c>
      <c r="E32" s="47" t="s">
        <v>266</v>
      </c>
      <c r="F32" s="47" t="s">
        <v>53</v>
      </c>
      <c r="G32" s="47">
        <v>0</v>
      </c>
      <c r="H32" s="47" t="s">
        <v>53</v>
      </c>
      <c r="I32" s="47">
        <v>130</v>
      </c>
      <c r="J32" s="48">
        <f t="shared" si="5"/>
        <v>100</v>
      </c>
    </row>
    <row r="33" spans="1:10" ht="21" customHeight="1" x14ac:dyDescent="0.15">
      <c r="A33" s="115">
        <v>65524032</v>
      </c>
      <c r="B33" s="47">
        <v>0</v>
      </c>
      <c r="C33" s="47">
        <v>100</v>
      </c>
      <c r="D33" s="47">
        <v>100</v>
      </c>
      <c r="E33" s="47" t="s">
        <v>266</v>
      </c>
      <c r="F33" s="47" t="s">
        <v>53</v>
      </c>
      <c r="G33" s="47">
        <v>0</v>
      </c>
      <c r="H33" s="47" t="s">
        <v>53</v>
      </c>
      <c r="I33" s="47">
        <v>131</v>
      </c>
      <c r="J33" s="48">
        <f t="shared" si="5"/>
        <v>100</v>
      </c>
    </row>
    <row r="34" spans="1:10" ht="21" customHeight="1" x14ac:dyDescent="0.15">
      <c r="A34" s="115">
        <v>65524033</v>
      </c>
      <c r="B34" s="47">
        <v>0</v>
      </c>
      <c r="C34" s="47">
        <v>110</v>
      </c>
      <c r="D34" s="47">
        <v>100</v>
      </c>
      <c r="E34" s="47" t="s">
        <v>53</v>
      </c>
      <c r="F34" s="47" t="s">
        <v>53</v>
      </c>
      <c r="G34" s="47">
        <v>0</v>
      </c>
      <c r="H34" s="47" t="s">
        <v>53</v>
      </c>
      <c r="I34" s="47">
        <v>562</v>
      </c>
      <c r="J34" s="48">
        <f t="shared" ref="J34" si="6">D34</f>
        <v>100</v>
      </c>
    </row>
  </sheetData>
  <autoFilter ref="A1:G1"/>
  <phoneticPr fontId="5"/>
  <conditionalFormatting sqref="K35:K1048576 K1:K2">
    <cfRule type="duplicateValues" dxfId="32" priority="34"/>
  </conditionalFormatting>
  <conditionalFormatting sqref="K3">
    <cfRule type="duplicateValues" dxfId="31" priority="33"/>
  </conditionalFormatting>
  <conditionalFormatting sqref="K4">
    <cfRule type="duplicateValues" dxfId="30" priority="32"/>
  </conditionalFormatting>
  <conditionalFormatting sqref="K5">
    <cfRule type="duplicateValues" dxfId="29" priority="31"/>
  </conditionalFormatting>
  <conditionalFormatting sqref="K6">
    <cfRule type="duplicateValues" dxfId="28" priority="30"/>
  </conditionalFormatting>
  <conditionalFormatting sqref="K7">
    <cfRule type="duplicateValues" dxfId="27" priority="29"/>
  </conditionalFormatting>
  <conditionalFormatting sqref="K8">
    <cfRule type="duplicateValues" dxfId="26" priority="28"/>
  </conditionalFormatting>
  <conditionalFormatting sqref="K9">
    <cfRule type="duplicateValues" dxfId="25" priority="27"/>
  </conditionalFormatting>
  <conditionalFormatting sqref="K10">
    <cfRule type="duplicateValues" dxfId="24" priority="26"/>
  </conditionalFormatting>
  <conditionalFormatting sqref="K11">
    <cfRule type="duplicateValues" dxfId="23" priority="25"/>
  </conditionalFormatting>
  <conditionalFormatting sqref="K12">
    <cfRule type="duplicateValues" dxfId="22" priority="24"/>
  </conditionalFormatting>
  <conditionalFormatting sqref="K13">
    <cfRule type="duplicateValues" dxfId="21" priority="23"/>
  </conditionalFormatting>
  <conditionalFormatting sqref="K14">
    <cfRule type="duplicateValues" dxfId="20" priority="22"/>
  </conditionalFormatting>
  <conditionalFormatting sqref="K15">
    <cfRule type="duplicateValues" dxfId="19" priority="21"/>
  </conditionalFormatting>
  <conditionalFormatting sqref="K16">
    <cfRule type="duplicateValues" dxfId="18" priority="20"/>
  </conditionalFormatting>
  <conditionalFormatting sqref="K17">
    <cfRule type="duplicateValues" dxfId="17" priority="19"/>
  </conditionalFormatting>
  <conditionalFormatting sqref="K18">
    <cfRule type="duplicateValues" dxfId="16" priority="18"/>
  </conditionalFormatting>
  <conditionalFormatting sqref="K19">
    <cfRule type="duplicateValues" dxfId="15" priority="17"/>
  </conditionalFormatting>
  <conditionalFormatting sqref="K20">
    <cfRule type="duplicateValues" dxfId="14" priority="16"/>
  </conditionalFormatting>
  <conditionalFormatting sqref="K21">
    <cfRule type="duplicateValues" dxfId="13" priority="15"/>
  </conditionalFormatting>
  <conditionalFormatting sqref="K22">
    <cfRule type="duplicateValues" dxfId="12" priority="14"/>
  </conditionalFormatting>
  <conditionalFormatting sqref="K23">
    <cfRule type="duplicateValues" dxfId="11" priority="13"/>
  </conditionalFormatting>
  <conditionalFormatting sqref="K24">
    <cfRule type="duplicateValues" dxfId="10" priority="12"/>
  </conditionalFormatting>
  <conditionalFormatting sqref="K26">
    <cfRule type="duplicateValues" dxfId="9" priority="11"/>
  </conditionalFormatting>
  <conditionalFormatting sqref="K28">
    <cfRule type="duplicateValues" dxfId="8" priority="10"/>
  </conditionalFormatting>
  <conditionalFormatting sqref="K29">
    <cfRule type="duplicateValues" dxfId="7" priority="9"/>
  </conditionalFormatting>
  <conditionalFormatting sqref="K30">
    <cfRule type="duplicateValues" dxfId="6" priority="8"/>
  </conditionalFormatting>
  <conditionalFormatting sqref="K31">
    <cfRule type="duplicateValues" dxfId="5" priority="7"/>
  </conditionalFormatting>
  <conditionalFormatting sqref="K32">
    <cfRule type="duplicateValues" dxfId="4" priority="6"/>
  </conditionalFormatting>
  <conditionalFormatting sqref="K33">
    <cfRule type="duplicateValues" dxfId="3" priority="5"/>
  </conditionalFormatting>
  <conditionalFormatting sqref="K27">
    <cfRule type="duplicateValues" dxfId="2" priority="3"/>
  </conditionalFormatting>
  <conditionalFormatting sqref="K25">
    <cfRule type="duplicateValues" dxfId="1" priority="2"/>
  </conditionalFormatting>
  <conditionalFormatting sqref="K3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f>floors!C2</f>
        <v>65524</v>
      </c>
      <c r="B2" s="57">
        <v>1</v>
      </c>
      <c r="C2" s="71" t="str">
        <f>A2&amp; "_"&amp;B2</f>
        <v>65524_1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1000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2" t="s">
        <v>196</v>
      </c>
      <c r="J1" s="79" t="s">
        <v>126</v>
      </c>
      <c r="K1" s="78" t="s">
        <v>187</v>
      </c>
      <c r="L1" s="93" t="s">
        <v>186</v>
      </c>
      <c r="M1" s="80" t="s">
        <v>197</v>
      </c>
    </row>
    <row r="2" spans="1:13" x14ac:dyDescent="0.15">
      <c r="A2" s="81" t="s">
        <v>201</v>
      </c>
      <c r="B2" s="82">
        <f>floors!$C$2</f>
        <v>65524</v>
      </c>
      <c r="C2" s="83" t="str">
        <f ca="1">VLOOKUP($B2,OFFSET([2]quests!$A$1,0,0,COUNTA([2]quests!$A:$A),MATCH(C$1,[2]quests!$1:$1,0)-MATCH($B$1,[2]quests!$1:$1,0)+1),MATCH(C$1,[2]quests!$1:$1,0)-MATCH($B$1,[2]quests!$1:$1,0)+1,FALSE)</f>
        <v>【LB田頭】検証クエスト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童話シリーズ　超級</v>
      </c>
      <c r="E2" s="87" t="s">
        <v>215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0</v>
      </c>
      <c r="I2">
        <v>1</v>
      </c>
      <c r="J2" s="84" t="s">
        <v>199</v>
      </c>
      <c r="K2" s="94" t="str">
        <f>VLOOKUP(I2,[7]stage_hints!$A:$C,3,FALSE)</f>
        <v>長くつなげて大ダメージ</v>
      </c>
      <c r="L2" s="95" t="str">
        <f>VLOOKUP(I2,[7]stage_hints!$A:$D,4,FALSE)</f>
        <v>パネルを長くつなげるほど_x000D_大ダメージを与えることができます</v>
      </c>
      <c r="M2" s="57" t="s">
        <v>212</v>
      </c>
    </row>
    <row r="3" spans="1:13" x14ac:dyDescent="0.15">
      <c r="A3" s="81" t="s">
        <v>201</v>
      </c>
      <c r="B3" s="82">
        <f>floors!$C$2</f>
        <v>65524</v>
      </c>
      <c r="C3" s="83" t="str">
        <f ca="1">VLOOKUP($B3,OFFSET([2]quests!$A$1,0,0,COUNTA([2]quests!$A:$A),MATCH(C$1,[2]quests!$1:$1,0)-MATCH($B$1,[2]quests!$1:$1,0)+1),MATCH(C$1,[2]quests!$1:$1,0)-MATCH($B$1,[2]quests!$1:$1,0)+1,FALSE)</f>
        <v>【LB田頭】検証クエスト</v>
      </c>
      <c r="D3" s="83" t="str">
        <f ca="1">VLOOKUP($B3,OFFSET([2]quests!$A$1,0,0,COUNTA([2]quests!$A:$A),MATCH(D$1,[2]quests!$1:$1,0)-MATCH($B$1,[2]quests!$1:$1,0)+1),MATCH(D$1,[2]quests!$1:$1,0)-MATCH($B$1,[2]quests!$1:$1,0)+1,FALSE)</f>
        <v>童話シリーズ　超級</v>
      </c>
      <c r="E3" s="87" t="s">
        <v>215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5">
        <v>0</v>
      </c>
      <c r="I3">
        <v>2</v>
      </c>
      <c r="J3" s="84" t="s">
        <v>199</v>
      </c>
      <c r="K3" s="94" t="str">
        <f>VLOOKUP(I3,[7]stage_hints!$A:$C,3,FALSE)</f>
        <v>属性の相性</v>
      </c>
      <c r="L3" s="95" t="str">
        <f>VLOOKUP(I3,[7]stage_hints!$A:$D,4,FALSE)</f>
        <v>赤＞青　青＞黄　黄＞緑　緑＞赤_x000D_敵属性に最適なパーティがオススメです</v>
      </c>
      <c r="M3" s="57" t="s">
        <v>212</v>
      </c>
    </row>
    <row r="4" spans="1:13" x14ac:dyDescent="0.15">
      <c r="A4" s="81" t="s">
        <v>201</v>
      </c>
      <c r="B4" s="82">
        <f>floors!$C$2</f>
        <v>65524</v>
      </c>
      <c r="C4" s="83" t="str">
        <f ca="1">VLOOKUP($B4,OFFSET([2]quests!$A$1,0,0,COUNTA([2]quests!$A:$A),MATCH(C$1,[2]quests!$1:$1,0)-MATCH($B$1,[2]quests!$1:$1,0)+1),MATCH(C$1,[2]quests!$1:$1,0)-MATCH($B$1,[2]quests!$1:$1,0)+1,FALSE)</f>
        <v>【LB田頭】検証クエスト</v>
      </c>
      <c r="D4" s="83" t="str">
        <f ca="1">VLOOKUP($B4,OFFSET([2]quests!$A$1,0,0,COUNTA([2]quests!$A:$A),MATCH(D$1,[2]quests!$1:$1,0)-MATCH($B$1,[2]quests!$1:$1,0)+1),MATCH(D$1,[2]quests!$1:$1,0)-MATCH($B$1,[2]quests!$1:$1,0)+1,FALSE)</f>
        <v>童話シリーズ　超級</v>
      </c>
      <c r="E4" s="87" t="s">
        <v>215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5">
        <v>0</v>
      </c>
      <c r="I4">
        <v>3</v>
      </c>
      <c r="J4" s="84" t="s">
        <v>199</v>
      </c>
      <c r="K4" s="94" t="str">
        <f>VLOOKUP(I4,[7]stage_hints!$A:$C,3,FALSE)</f>
        <v>ターゲット</v>
      </c>
      <c r="L4" s="95" t="str">
        <f>VLOOKUP(I4,[7]stage_hints!$A:$D,4,FALSE)</f>
        <v>敵ユニットをタップすると_x000D_その敵を狙い撃ちできます</v>
      </c>
      <c r="M4" s="57" t="s">
        <v>212</v>
      </c>
    </row>
    <row r="5" spans="1:13" x14ac:dyDescent="0.15">
      <c r="A5" s="81" t="s">
        <v>201</v>
      </c>
      <c r="B5" s="82">
        <f>floors!$C$2</f>
        <v>65524</v>
      </c>
      <c r="C5" s="83" t="str">
        <f ca="1">VLOOKUP($B5,OFFSET([2]quests!$A$1,0,0,COUNTA([2]quests!$A:$A),MATCH(C$1,[2]quests!$1:$1,0)-MATCH($B$1,[2]quests!$1:$1,0)+1),MATCH(C$1,[2]quests!$1:$1,0)-MATCH($B$1,[2]quests!$1:$1,0)+1,FALSE)</f>
        <v>【LB田頭】検証クエスト</v>
      </c>
      <c r="D5" s="83" t="str">
        <f ca="1">VLOOKUP($B5,OFFSET([2]quests!$A$1,0,0,COUNTA([2]quests!$A:$A),MATCH(D$1,[2]quests!$1:$1,0)-MATCH($B$1,[2]quests!$1:$1,0)+1),MATCH(D$1,[2]quests!$1:$1,0)-MATCH($B$1,[2]quests!$1:$1,0)+1,FALSE)</f>
        <v>童話シリーズ　超級</v>
      </c>
      <c r="E5" s="87" t="s">
        <v>215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5">
        <v>0</v>
      </c>
      <c r="I5">
        <v>5</v>
      </c>
      <c r="J5" s="84" t="s">
        <v>199</v>
      </c>
      <c r="K5" s="94" t="str">
        <f>VLOOKUP(I5,[7]stage_hints!$A:$C,3,FALSE)</f>
        <v>ユニット強化でレベルアップ</v>
      </c>
      <c r="L5" s="95" t="str">
        <f>VLOOKUP(I5,[7]stage_hints!$A:$D,4,FALSE)</f>
        <v>「ユニット強化」でレベルアップすると_x000D_勝てない敵にも勝てるようになります</v>
      </c>
      <c r="M5" s="57" t="s">
        <v>212</v>
      </c>
    </row>
    <row r="6" spans="1:13" x14ac:dyDescent="0.15">
      <c r="A6" s="81" t="s">
        <v>201</v>
      </c>
      <c r="B6" s="82">
        <f>floors!$C$2</f>
        <v>65524</v>
      </c>
      <c r="C6" s="83" t="str">
        <f ca="1">VLOOKUP($B6,OFFSET([2]quests!$A$1,0,0,COUNTA([2]quests!$A:$A),MATCH(C$1,[2]quests!$1:$1,0)-MATCH($B$1,[2]quests!$1:$1,0)+1),MATCH(C$1,[2]quests!$1:$1,0)-MATCH($B$1,[2]quests!$1:$1,0)+1,FALSE)</f>
        <v>【LB田頭】検証クエスト</v>
      </c>
      <c r="D6" s="83" t="str">
        <f ca="1">VLOOKUP($B6,OFFSET([2]quests!$A$1,0,0,COUNTA([2]quests!$A:$A),MATCH(D$1,[2]quests!$1:$1,0)-MATCH($B$1,[2]quests!$1:$1,0)+1),MATCH(D$1,[2]quests!$1:$1,0)-MATCH($B$1,[2]quests!$1:$1,0)+1,FALSE)</f>
        <v>童話シリーズ　超級</v>
      </c>
      <c r="E6" s="87" t="s">
        <v>215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5">
        <v>0</v>
      </c>
      <c r="I6">
        <v>6</v>
      </c>
      <c r="J6" s="84" t="s">
        <v>199</v>
      </c>
      <c r="K6" s="94" t="str">
        <f>VLOOKUP(I6,[7]stage_hints!$A:$C,3,FALSE)</f>
        <v>ユニット強化の属性ボーナス</v>
      </c>
      <c r="L6" s="95" t="str">
        <f>VLOOKUP(I6,[7]stage_hints!$A:$D,4,FALSE)</f>
        <v>同属性ユニットを強化素材にすると_x000D_経験値が多くもらえます</v>
      </c>
      <c r="M6" s="57" t="s">
        <v>212</v>
      </c>
    </row>
    <row r="7" spans="1:13" x14ac:dyDescent="0.15">
      <c r="A7" s="81" t="s">
        <v>201</v>
      </c>
      <c r="B7" s="82">
        <f>floors!$C$2</f>
        <v>65524</v>
      </c>
      <c r="C7" s="83" t="str">
        <f ca="1">VLOOKUP($B7,OFFSET([2]quests!$A$1,0,0,COUNTA([2]quests!$A:$A),MATCH(C$1,[2]quests!$1:$1,0)-MATCH($B$1,[2]quests!$1:$1,0)+1),MATCH(C$1,[2]quests!$1:$1,0)-MATCH($B$1,[2]quests!$1:$1,0)+1,FALSE)</f>
        <v>【LB田頭】検証クエスト</v>
      </c>
      <c r="D7" s="83" t="str">
        <f ca="1">VLOOKUP($B7,OFFSET([2]quests!$A$1,0,0,COUNTA([2]quests!$A:$A),MATCH(D$1,[2]quests!$1:$1,0)-MATCH($B$1,[2]quests!$1:$1,0)+1),MATCH(D$1,[2]quests!$1:$1,0)-MATCH($B$1,[2]quests!$1:$1,0)+1,FALSE)</f>
        <v>童話シリーズ　超級</v>
      </c>
      <c r="E7" s="87" t="s">
        <v>215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5">
        <v>0</v>
      </c>
      <c r="I7">
        <v>7</v>
      </c>
      <c r="J7" s="84" t="s">
        <v>199</v>
      </c>
      <c r="K7" s="94" t="str">
        <f>VLOOKUP(I7,[7]stage_hints!$A:$C,3,FALSE)</f>
        <v>メタルダックで経験値を獲得</v>
      </c>
      <c r="L7" s="95" t="str">
        <f>VLOOKUP(I7,[7]stage_hints!$A:$D,4,FALSE)</f>
        <v>「メタルなアヒル」を強化素材にすると_x000D_大量の経験値がもらえます</v>
      </c>
      <c r="M7" s="57" t="s">
        <v>212</v>
      </c>
    </row>
    <row r="8" spans="1:13" x14ac:dyDescent="0.15">
      <c r="A8" s="81" t="s">
        <v>201</v>
      </c>
      <c r="B8" s="82">
        <f>floors!$C$2</f>
        <v>65524</v>
      </c>
      <c r="C8" s="83" t="str">
        <f ca="1">VLOOKUP($B8,OFFSET([2]quests!$A$1,0,0,COUNTA([2]quests!$A:$A),MATCH(C$1,[2]quests!$1:$1,0)-MATCH($B$1,[2]quests!$1:$1,0)+1),MATCH(C$1,[2]quests!$1:$1,0)-MATCH($B$1,[2]quests!$1:$1,0)+1,FALSE)</f>
        <v>【LB田頭】検証クエスト</v>
      </c>
      <c r="D8" s="83" t="str">
        <f ca="1">VLOOKUP($B8,OFFSET([2]quests!$A$1,0,0,COUNTA([2]quests!$A:$A),MATCH(D$1,[2]quests!$1:$1,0)-MATCH($B$1,[2]quests!$1:$1,0)+1),MATCH(D$1,[2]quests!$1:$1,0)-MATCH($B$1,[2]quests!$1:$1,0)+1,FALSE)</f>
        <v>童話シリーズ　超級</v>
      </c>
      <c r="E8" s="87" t="s">
        <v>215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5">
        <v>0</v>
      </c>
      <c r="I8">
        <v>8</v>
      </c>
      <c r="J8" s="84" t="s">
        <v>199</v>
      </c>
      <c r="K8" s="94" t="str">
        <f>VLOOKUP(I8,[7]stage_hints!$A:$C,3,FALSE)</f>
        <v>ゲリラクエストは要チェック</v>
      </c>
      <c r="L8" s="95" t="str">
        <f>VLOOKUP(I8,[7]stage_hints!$A:$D,4,FALSE)</f>
        <v>時間限定の「アヒル捕獲作戦」では_x000D_経験値素材ユニットが多く手に入ります</v>
      </c>
      <c r="M8" s="57" t="s">
        <v>212</v>
      </c>
    </row>
    <row r="9" spans="1:13" x14ac:dyDescent="0.15">
      <c r="A9" s="81" t="s">
        <v>201</v>
      </c>
      <c r="B9" s="82">
        <f>floors!$C$2</f>
        <v>65524</v>
      </c>
      <c r="C9" s="83" t="str">
        <f ca="1">VLOOKUP($B9,OFFSET([2]quests!$A$1,0,0,COUNTA([2]quests!$A:$A),MATCH(C$1,[2]quests!$1:$1,0)-MATCH($B$1,[2]quests!$1:$1,0)+1),MATCH(C$1,[2]quests!$1:$1,0)-MATCH($B$1,[2]quests!$1:$1,0)+1,FALSE)</f>
        <v>【LB田頭】検証クエスト</v>
      </c>
      <c r="D9" s="83" t="str">
        <f ca="1">VLOOKUP($B9,OFFSET([2]quests!$A$1,0,0,COUNTA([2]quests!$A:$A),MATCH(D$1,[2]quests!$1:$1,0)-MATCH($B$1,[2]quests!$1:$1,0)+1),MATCH(D$1,[2]quests!$1:$1,0)-MATCH($B$1,[2]quests!$1:$1,0)+1,FALSE)</f>
        <v>童話シリーズ　超級</v>
      </c>
      <c r="E9" s="87" t="s">
        <v>215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5">
        <v>0</v>
      </c>
      <c r="I9">
        <v>9</v>
      </c>
      <c r="J9" s="84" t="s">
        <v>199</v>
      </c>
      <c r="K9" s="94" t="str">
        <f>VLOOKUP(I9,[7]stage_hints!$A:$C,3,FALSE)</f>
        <v>ゴールドダックでビットを獲得</v>
      </c>
      <c r="L9" s="95" t="str">
        <f>VLOOKUP(I9,[7]stage_hints!$A:$D,4,FALSE)</f>
        <v>「ゴールドなアヒル」を売却すると_x000D_大量のビットがもらえます</v>
      </c>
      <c r="M9" s="57" t="s">
        <v>212</v>
      </c>
    </row>
    <row r="10" spans="1:13" x14ac:dyDescent="0.15">
      <c r="A10" s="81" t="s">
        <v>201</v>
      </c>
      <c r="B10" s="82">
        <f>floors!$C$2</f>
        <v>65524</v>
      </c>
      <c r="C10" s="83" t="str">
        <f ca="1">VLOOKUP($B10,OFFSET([2]quests!$A$1,0,0,COUNTA([2]quests!$A:$A),MATCH(C$1,[2]quests!$1:$1,0)-MATCH($B$1,[2]quests!$1:$1,0)+1),MATCH(C$1,[2]quests!$1:$1,0)-MATCH($B$1,[2]quests!$1:$1,0)+1,FALSE)</f>
        <v>【LB田頭】検証クエスト</v>
      </c>
      <c r="D10" s="83" t="str">
        <f ca="1">VLOOKUP($B10,OFFSET([2]quests!$A$1,0,0,COUNTA([2]quests!$A:$A),MATCH(D$1,[2]quests!$1:$1,0)-MATCH($B$1,[2]quests!$1:$1,0)+1),MATCH(D$1,[2]quests!$1:$1,0)-MATCH($B$1,[2]quests!$1:$1,0)+1,FALSE)</f>
        <v>童話シリーズ　超級</v>
      </c>
      <c r="E10" s="87" t="s">
        <v>215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5">
        <v>0</v>
      </c>
      <c r="I10">
        <v>10</v>
      </c>
      <c r="J10" s="84" t="s">
        <v>199</v>
      </c>
      <c r="K10" s="94" t="str">
        <f>VLOOKUP(I10,[7]stage_hints!$A:$C,3,FALSE)</f>
        <v>土日に大量のビットを獲得</v>
      </c>
      <c r="L10" s="95" t="str">
        <f>VLOOKUP(I10,[7]stage_hints!$A:$D,4,FALSE)</f>
        <v>土日限定の「ゴールドカジノ」では_x000D_売却素材ユニットが多く手に入ります</v>
      </c>
      <c r="M10" s="57" t="s">
        <v>212</v>
      </c>
    </row>
    <row r="11" spans="1:13" x14ac:dyDescent="0.15">
      <c r="A11" s="81" t="s">
        <v>201</v>
      </c>
      <c r="B11" s="82">
        <f>floors!$C$2</f>
        <v>65524</v>
      </c>
      <c r="C11" s="83" t="str">
        <f ca="1">VLOOKUP($B11,OFFSET([2]quests!$A$1,0,0,COUNTA([2]quests!$A:$A),MATCH(C$1,[2]quests!$1:$1,0)-MATCH($B$1,[2]quests!$1:$1,0)+1),MATCH(C$1,[2]quests!$1:$1,0)-MATCH($B$1,[2]quests!$1:$1,0)+1,FALSE)</f>
        <v>【LB田頭】検証クエスト</v>
      </c>
      <c r="D11" s="83" t="str">
        <f ca="1">VLOOKUP($B11,OFFSET([2]quests!$A$1,0,0,COUNTA([2]quests!$A:$A),MATCH(D$1,[2]quests!$1:$1,0)-MATCH($B$1,[2]quests!$1:$1,0)+1),MATCH(D$1,[2]quests!$1:$1,0)-MATCH($B$1,[2]quests!$1:$1,0)+1,FALSE)</f>
        <v>童話シリーズ　超級</v>
      </c>
      <c r="E11" s="87" t="s">
        <v>215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5">
        <v>0</v>
      </c>
      <c r="I11">
        <v>11</v>
      </c>
      <c r="J11" s="84" t="s">
        <v>199</v>
      </c>
      <c r="K11" s="94" t="str">
        <f>VLOOKUP(I11,[7]stage_hints!$A:$C,3,FALSE)</f>
        <v>ゲリラクエストは要チェック</v>
      </c>
      <c r="L11" s="95" t="str">
        <f>VLOOKUP(I11,[7]stage_hints!$A:$D,4,FALSE)</f>
        <v>時間限定の「アヒル捕獲作戦」では_x000D_経験値素材ユニットが多く手に入ります</v>
      </c>
      <c r="M11" s="57" t="s">
        <v>212</v>
      </c>
    </row>
    <row r="12" spans="1:13" x14ac:dyDescent="0.15">
      <c r="A12" s="81" t="s">
        <v>201</v>
      </c>
      <c r="B12" s="82">
        <f>floors!$C$2</f>
        <v>65524</v>
      </c>
      <c r="C12" s="83" t="str">
        <f ca="1">VLOOKUP($B12,OFFSET([2]quests!$A$1,0,0,COUNTA([2]quests!$A:$A),MATCH(C$1,[2]quests!$1:$1,0)-MATCH($B$1,[2]quests!$1:$1,0)+1),MATCH(C$1,[2]quests!$1:$1,0)-MATCH($B$1,[2]quests!$1:$1,0)+1,FALSE)</f>
        <v>【LB田頭】検証クエスト</v>
      </c>
      <c r="D12" s="83" t="str">
        <f ca="1">VLOOKUP($B12,OFFSET([2]quests!$A$1,0,0,COUNTA([2]quests!$A:$A),MATCH(D$1,[2]quests!$1:$1,0)-MATCH($B$1,[2]quests!$1:$1,0)+1),MATCH(D$1,[2]quests!$1:$1,0)-MATCH($B$1,[2]quests!$1:$1,0)+1,FALSE)</f>
        <v>童話シリーズ　超級</v>
      </c>
      <c r="E12" s="87" t="s">
        <v>215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5">
        <v>0</v>
      </c>
      <c r="I12">
        <v>12</v>
      </c>
      <c r="J12" s="84" t="s">
        <v>199</v>
      </c>
      <c r="K12" s="94" t="str">
        <f>VLOOKUP(I12,[7]stage_hints!$A:$C,3,FALSE)</f>
        <v>ユニットのお気に入り登録</v>
      </c>
      <c r="L12" s="95" t="str">
        <f>VLOOKUP(I12,[7]stage_hints!$A:$D,4,FALSE)</f>
        <v>大事なユニットを誤って消さないように_x000D_フォルダから「お気に入り登録」しましょう</v>
      </c>
      <c r="M12" s="57" t="s">
        <v>212</v>
      </c>
    </row>
    <row r="13" spans="1:13" x14ac:dyDescent="0.15">
      <c r="A13" s="81" t="s">
        <v>201</v>
      </c>
      <c r="B13" s="82">
        <f>floors!$C$2</f>
        <v>65524</v>
      </c>
      <c r="C13" s="83" t="str">
        <f ca="1">VLOOKUP($B13,OFFSET([2]quests!$A$1,0,0,COUNTA([2]quests!$A:$A),MATCH(C$1,[2]quests!$1:$1,0)-MATCH($B$1,[2]quests!$1:$1,0)+1),MATCH(C$1,[2]quests!$1:$1,0)-MATCH($B$1,[2]quests!$1:$1,0)+1,FALSE)</f>
        <v>【LB田頭】検証クエスト</v>
      </c>
      <c r="D13" s="83" t="str">
        <f ca="1">VLOOKUP($B13,OFFSET([2]quests!$A$1,0,0,COUNTA([2]quests!$A:$A),MATCH(D$1,[2]quests!$1:$1,0)-MATCH($B$1,[2]quests!$1:$1,0)+1),MATCH(D$1,[2]quests!$1:$1,0)-MATCH($B$1,[2]quests!$1:$1,0)+1,FALSE)</f>
        <v>童話シリーズ　超級</v>
      </c>
      <c r="E13" s="87" t="s">
        <v>215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5">
        <v>0</v>
      </c>
      <c r="I13">
        <v>13</v>
      </c>
      <c r="J13" s="84" t="s">
        <v>199</v>
      </c>
      <c r="K13" s="94" t="str">
        <f>VLOOKUP(I13,[7]stage_hints!$A:$C,3,FALSE)</f>
        <v>ユニットの覚醒</v>
      </c>
      <c r="L13" s="95" t="str">
        <f>VLOOKUP(I13,[7]stage_hints!$A:$D,4,FALSE)</f>
        <v>ユニットを覚醒させると_x000D_比べものにならない強さが手に入ります</v>
      </c>
      <c r="M13" s="57" t="s">
        <v>212</v>
      </c>
    </row>
    <row r="14" spans="1:13" x14ac:dyDescent="0.15">
      <c r="A14" s="81" t="s">
        <v>201</v>
      </c>
      <c r="B14" s="82">
        <f>floors!$C$2</f>
        <v>65524</v>
      </c>
      <c r="C14" s="83" t="str">
        <f ca="1">VLOOKUP($B14,OFFSET([2]quests!$A$1,0,0,COUNTA([2]quests!$A:$A),MATCH(C$1,[2]quests!$1:$1,0)-MATCH($B$1,[2]quests!$1:$1,0)+1),MATCH(C$1,[2]quests!$1:$1,0)-MATCH($B$1,[2]quests!$1:$1,0)+1,FALSE)</f>
        <v>【LB田頭】検証クエスト</v>
      </c>
      <c r="D14" s="83" t="str">
        <f ca="1">VLOOKUP($B14,OFFSET([2]quests!$A$1,0,0,COUNTA([2]quests!$A:$A),MATCH(D$1,[2]quests!$1:$1,0)-MATCH($B$1,[2]quests!$1:$1,0)+1),MATCH(D$1,[2]quests!$1:$1,0)-MATCH($B$1,[2]quests!$1:$1,0)+1,FALSE)</f>
        <v>童話シリーズ　超級</v>
      </c>
      <c r="E14" s="87" t="s">
        <v>215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5">
        <v>0</v>
      </c>
      <c r="I14">
        <v>14</v>
      </c>
      <c r="J14" s="84" t="s">
        <v>199</v>
      </c>
      <c r="K14" s="94" t="str">
        <f>VLOOKUP(I14,[7]stage_hints!$A:$C,3,FALSE)</f>
        <v>覚醒するにはレベルを最大に</v>
      </c>
      <c r="L14" s="95" t="str">
        <f>VLOOKUP(I14,[7]stage_hints!$A:$D,4,FALSE)</f>
        <v>覚醒するにはユニットのレベルを_x000D_最大まで上げる必要があります</v>
      </c>
      <c r="M14" s="57" t="s">
        <v>212</v>
      </c>
    </row>
    <row r="15" spans="1:13" x14ac:dyDescent="0.15">
      <c r="A15" s="81" t="s">
        <v>201</v>
      </c>
      <c r="B15" s="82">
        <f>floors!$C$2</f>
        <v>65524</v>
      </c>
      <c r="C15" s="83" t="str">
        <f ca="1">VLOOKUP($B15,OFFSET([2]quests!$A$1,0,0,COUNTA([2]quests!$A:$A),MATCH(C$1,[2]quests!$1:$1,0)-MATCH($B$1,[2]quests!$1:$1,0)+1),MATCH(C$1,[2]quests!$1:$1,0)-MATCH($B$1,[2]quests!$1:$1,0)+1,FALSE)</f>
        <v>【LB田頭】検証クエスト</v>
      </c>
      <c r="D15" s="83" t="str">
        <f ca="1">VLOOKUP($B15,OFFSET([2]quests!$A$1,0,0,COUNTA([2]quests!$A:$A),MATCH(D$1,[2]quests!$1:$1,0)-MATCH($B$1,[2]quests!$1:$1,0)+1),MATCH(D$1,[2]quests!$1:$1,0)-MATCH($B$1,[2]quests!$1:$1,0)+1,FALSE)</f>
        <v>童話シリーズ　超級</v>
      </c>
      <c r="E15" s="87" t="s">
        <v>215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5">
        <v>0</v>
      </c>
      <c r="I15">
        <v>15</v>
      </c>
      <c r="J15" s="84" t="s">
        <v>199</v>
      </c>
      <c r="K15" s="94" t="str">
        <f>VLOOKUP(I15,[7]stage_hints!$A:$C,3,FALSE)</f>
        <v>覚醒素材を獲得</v>
      </c>
      <c r="L15" s="95" t="str">
        <f>VLOOKUP(I15,[7]stage_hints!$A:$D,4,FALSE)</f>
        <v>「曜日クエスト」では_x000D_ユニットの覚醒に必要な素材が手に入ります</v>
      </c>
      <c r="M15" s="57" t="s">
        <v>212</v>
      </c>
    </row>
    <row r="16" spans="1:13" x14ac:dyDescent="0.15">
      <c r="A16" s="81" t="s">
        <v>201</v>
      </c>
      <c r="B16" s="82">
        <f>floors!$C$2</f>
        <v>65524</v>
      </c>
      <c r="C16" s="83" t="str">
        <f ca="1">VLOOKUP($B16,OFFSET([2]quests!$A$1,0,0,COUNTA([2]quests!$A:$A),MATCH(C$1,[2]quests!$1:$1,0)-MATCH($B$1,[2]quests!$1:$1,0)+1),MATCH(C$1,[2]quests!$1:$1,0)-MATCH($B$1,[2]quests!$1:$1,0)+1,FALSE)</f>
        <v>【LB田頭】検証クエスト</v>
      </c>
      <c r="D16" s="83" t="str">
        <f ca="1">VLOOKUP($B16,OFFSET([2]quests!$A$1,0,0,COUNTA([2]quests!$A:$A),MATCH(D$1,[2]quests!$1:$1,0)-MATCH($B$1,[2]quests!$1:$1,0)+1),MATCH(D$1,[2]quests!$1:$1,0)-MATCH($B$1,[2]quests!$1:$1,0)+1,FALSE)</f>
        <v>童話シリーズ　超級</v>
      </c>
      <c r="E16" s="87" t="s">
        <v>215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5">
        <v>0</v>
      </c>
      <c r="I16">
        <v>16</v>
      </c>
      <c r="J16" s="84" t="s">
        <v>199</v>
      </c>
      <c r="K16" s="94" t="str">
        <f>VLOOKUP(I16,[7]stage_hints!$A:$C,3,FALSE)</f>
        <v>マルチプレイのメリット（その1）</v>
      </c>
      <c r="L16" s="95" t="str">
        <f>VLOOKUP(I16,[7]stage_hints!$A:$D,4,FALSE)</f>
        <v>他のプレイヤーとマルチプレイで遊ぶと_x000D_ポリゴンがもらえます（100人まで）</v>
      </c>
      <c r="M16" s="57" t="s">
        <v>212</v>
      </c>
    </row>
    <row r="17" spans="1:13" x14ac:dyDescent="0.15">
      <c r="A17" s="81" t="s">
        <v>201</v>
      </c>
      <c r="B17" s="82">
        <f>floors!$C$2</f>
        <v>65524</v>
      </c>
      <c r="C17" s="83" t="str">
        <f ca="1">VLOOKUP($B17,OFFSET([2]quests!$A$1,0,0,COUNTA([2]quests!$A:$A),MATCH(C$1,[2]quests!$1:$1,0)-MATCH($B$1,[2]quests!$1:$1,0)+1),MATCH(C$1,[2]quests!$1:$1,0)-MATCH($B$1,[2]quests!$1:$1,0)+1,FALSE)</f>
        <v>【LB田頭】検証クエスト</v>
      </c>
      <c r="D17" s="83" t="str">
        <f ca="1">VLOOKUP($B17,OFFSET([2]quests!$A$1,0,0,COUNTA([2]quests!$A:$A),MATCH(D$1,[2]quests!$1:$1,0)-MATCH($B$1,[2]quests!$1:$1,0)+1),MATCH(D$1,[2]quests!$1:$1,0)-MATCH($B$1,[2]quests!$1:$1,0)+1,FALSE)</f>
        <v>童話シリーズ　超級</v>
      </c>
      <c r="E17" s="87" t="s">
        <v>215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5">
        <v>0</v>
      </c>
      <c r="I17">
        <v>17</v>
      </c>
      <c r="J17" s="84" t="s">
        <v>199</v>
      </c>
      <c r="K17" s="94" t="str">
        <f>VLOOKUP(I17,[7]stage_hints!$A:$C,3,FALSE)</f>
        <v>リンクガチャ</v>
      </c>
      <c r="L17" s="95" t="str">
        <f>VLOOKUP(I17,[7]stage_hints!$A:$D,4,FALSE)</f>
        <v>無料のリンクガチャを回して_x000D_経験値素材や売却素材を獲得しましょう</v>
      </c>
      <c r="M17" s="57" t="s">
        <v>212</v>
      </c>
    </row>
    <row r="18" spans="1:13" x14ac:dyDescent="0.15">
      <c r="A18" s="81" t="s">
        <v>201</v>
      </c>
      <c r="B18" s="82">
        <f>floors!$C$2</f>
        <v>65524</v>
      </c>
      <c r="C18" s="83" t="str">
        <f ca="1">VLOOKUP($B18,OFFSET([2]quests!$A$1,0,0,COUNTA([2]quests!$A:$A),MATCH(C$1,[2]quests!$1:$1,0)-MATCH($B$1,[2]quests!$1:$1,0)+1),MATCH(C$1,[2]quests!$1:$1,0)-MATCH($B$1,[2]quests!$1:$1,0)+1,FALSE)</f>
        <v>【LB田頭】検証クエスト</v>
      </c>
      <c r="D18" s="83" t="str">
        <f ca="1">VLOOKUP($B18,OFFSET([2]quests!$A$1,0,0,COUNTA([2]quests!$A:$A),MATCH(D$1,[2]quests!$1:$1,0)-MATCH($B$1,[2]quests!$1:$1,0)+1),MATCH(D$1,[2]quests!$1:$1,0)-MATCH($B$1,[2]quests!$1:$1,0)+1,FALSE)</f>
        <v>童話シリーズ　超級</v>
      </c>
      <c r="E18" s="87" t="s">
        <v>215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5">
        <v>0</v>
      </c>
      <c r="I18">
        <v>18</v>
      </c>
      <c r="J18" s="84" t="s">
        <v>199</v>
      </c>
      <c r="K18" s="94" t="str">
        <f>VLOOKUP(I18,[7]stage_hints!$A:$C,3,FALSE)</f>
        <v>マルチプレイのメリット（その2）</v>
      </c>
      <c r="L18" s="95" t="str">
        <f>VLOOKUP(I18,[7]stage_hints!$A:$D,4,FALSE)</f>
        <v>マルチプレイならリンクが2倍もらえます_x000D_リンクガチャをたくさん回しましょう</v>
      </c>
      <c r="M18" s="57" t="s">
        <v>212</v>
      </c>
    </row>
    <row r="19" spans="1:13" x14ac:dyDescent="0.15">
      <c r="A19" s="81" t="s">
        <v>201</v>
      </c>
      <c r="B19" s="82">
        <f>floors!$C$2</f>
        <v>65524</v>
      </c>
      <c r="C19" s="83" t="str">
        <f ca="1">VLOOKUP($B19,OFFSET([2]quests!$A$1,0,0,COUNTA([2]quests!$A:$A),MATCH(C$1,[2]quests!$1:$1,0)-MATCH($B$1,[2]quests!$1:$1,0)+1),MATCH(C$1,[2]quests!$1:$1,0)-MATCH($B$1,[2]quests!$1:$1,0)+1,FALSE)</f>
        <v>【LB田頭】検証クエスト</v>
      </c>
      <c r="D19" s="83" t="str">
        <f ca="1">VLOOKUP($B19,OFFSET([2]quests!$A$1,0,0,COUNTA([2]quests!$A:$A),MATCH(D$1,[2]quests!$1:$1,0)-MATCH($B$1,[2]quests!$1:$1,0)+1),MATCH(D$1,[2]quests!$1:$1,0)-MATCH($B$1,[2]quests!$1:$1,0)+1,FALSE)</f>
        <v>童話シリーズ　超級</v>
      </c>
      <c r="E19" s="87" t="s">
        <v>215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5">
        <v>0</v>
      </c>
      <c r="I19">
        <v>19</v>
      </c>
      <c r="J19" s="84" t="s">
        <v>199</v>
      </c>
      <c r="K19" s="94" t="str">
        <f>VLOOKUP(I19,[7]stage_hints!$A:$C,3,FALSE)</f>
        <v>ソロ専用タワーオブザクイーン</v>
      </c>
      <c r="L19" s="95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212</v>
      </c>
    </row>
    <row r="20" spans="1:13" x14ac:dyDescent="0.15">
      <c r="A20" s="81" t="s">
        <v>201</v>
      </c>
      <c r="B20" s="82">
        <f>floors!$C$2</f>
        <v>65524</v>
      </c>
      <c r="C20" s="83" t="str">
        <f ca="1">VLOOKUP($B20,OFFSET([2]quests!$A$1,0,0,COUNTA([2]quests!$A:$A),MATCH(C$1,[2]quests!$1:$1,0)-MATCH($B$1,[2]quests!$1:$1,0)+1),MATCH(C$1,[2]quests!$1:$1,0)-MATCH($B$1,[2]quests!$1:$1,0)+1,FALSE)</f>
        <v>【LB田頭】検証クエスト</v>
      </c>
      <c r="D20" s="83" t="str">
        <f ca="1">VLOOKUP($B20,OFFSET([2]quests!$A$1,0,0,COUNTA([2]quests!$A:$A),MATCH(D$1,[2]quests!$1:$1,0)-MATCH($B$1,[2]quests!$1:$1,0)+1),MATCH(D$1,[2]quests!$1:$1,0)-MATCH($B$1,[2]quests!$1:$1,0)+1,FALSE)</f>
        <v>童話シリーズ　超級</v>
      </c>
      <c r="E20" s="87" t="s">
        <v>215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5">
        <v>0</v>
      </c>
      <c r="I20">
        <v>20</v>
      </c>
      <c r="J20" s="84" t="s">
        <v>199</v>
      </c>
      <c r="K20" s="94" t="str">
        <f>VLOOKUP(I20,[7]stage_hints!$A:$C,3,FALSE)</f>
        <v>マルチプレイのメリット（その3）</v>
      </c>
      <c r="L20" s="95" t="str">
        <f>VLOOKUP(I20,[7]stage_hints!$A:$D,4,FALSE)</f>
        <v>マルチプレイへの参加はエナジー消費ゼロ_x000D_いつでも好きなだけ遊ぶことができます</v>
      </c>
      <c r="M20" s="57" t="s">
        <v>212</v>
      </c>
    </row>
    <row r="21" spans="1:13" x14ac:dyDescent="0.15">
      <c r="A21" s="81" t="s">
        <v>201</v>
      </c>
      <c r="B21" s="82">
        <f>floors!$C$2</f>
        <v>65524</v>
      </c>
      <c r="C21" s="83" t="str">
        <f ca="1">VLOOKUP($B21,OFFSET([2]quests!$A$1,0,0,COUNTA([2]quests!$A:$A),MATCH(C$1,[2]quests!$1:$1,0)-MATCH($B$1,[2]quests!$1:$1,0)+1),MATCH(C$1,[2]quests!$1:$1,0)-MATCH($B$1,[2]quests!$1:$1,0)+1,FALSE)</f>
        <v>【LB田頭】検証クエスト</v>
      </c>
      <c r="D21" s="83" t="str">
        <f ca="1">VLOOKUP($B21,OFFSET([2]quests!$A$1,0,0,COUNTA([2]quests!$A:$A),MATCH(D$1,[2]quests!$1:$1,0)-MATCH($B$1,[2]quests!$1:$1,0)+1),MATCH(D$1,[2]quests!$1:$1,0)-MATCH($B$1,[2]quests!$1:$1,0)+1,FALSE)</f>
        <v>童話シリーズ　超級</v>
      </c>
      <c r="E21" s="87" t="s">
        <v>215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5">
        <v>0</v>
      </c>
      <c r="I21">
        <v>21</v>
      </c>
      <c r="J21" s="84" t="s">
        <v>199</v>
      </c>
      <c r="K21" s="94" t="str">
        <f>VLOOKUP(I21,[7]stage_hints!$A:$C,3,FALSE)</f>
        <v>スキルを有効に</v>
      </c>
      <c r="L21" s="95" t="str">
        <f>VLOOKUP(I21,[7]stage_hints!$A:$D,4,FALSE)</f>
        <v>ターン経過でユニットのスキルが使えます_x000D_強力スキルでバトルを有利に進めましょう</v>
      </c>
      <c r="M21" s="57" t="s">
        <v>212</v>
      </c>
    </row>
    <row r="22" spans="1:13" x14ac:dyDescent="0.15">
      <c r="A22" s="81" t="s">
        <v>201</v>
      </c>
      <c r="B22" s="82">
        <f>floors!$C$2</f>
        <v>65524</v>
      </c>
      <c r="C22" s="83" t="str">
        <f ca="1">VLOOKUP($B22,OFFSET([2]quests!$A$1,0,0,COUNTA([2]quests!$A:$A),MATCH(C$1,[2]quests!$1:$1,0)-MATCH($B$1,[2]quests!$1:$1,0)+1),MATCH(C$1,[2]quests!$1:$1,0)-MATCH($B$1,[2]quests!$1:$1,0)+1,FALSE)</f>
        <v>【LB田頭】検証クエスト</v>
      </c>
      <c r="D22" s="83" t="str">
        <f ca="1">VLOOKUP($B22,OFFSET([2]quests!$A$1,0,0,COUNTA([2]quests!$A:$A),MATCH(D$1,[2]quests!$1:$1,0)-MATCH($B$1,[2]quests!$1:$1,0)+1),MATCH(D$1,[2]quests!$1:$1,0)-MATCH($B$1,[2]quests!$1:$1,0)+1,FALSE)</f>
        <v>童話シリーズ　超級</v>
      </c>
      <c r="E22" s="87" t="s">
        <v>215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5">
        <v>0</v>
      </c>
      <c r="I22">
        <v>22</v>
      </c>
      <c r="J22" s="84" t="s">
        <v>199</v>
      </c>
      <c r="K22" s="94" t="str">
        <f>VLOOKUP(I22,[7]stage_hints!$A:$C,3,FALSE)</f>
        <v>フィーバーで一発逆転（その1）</v>
      </c>
      <c r="L22" s="95" t="str">
        <f>VLOOKUP(I22,[7]stage_hints!$A:$D,4,FALSE)</f>
        <v>フィーバーは攻撃と回復を兼ね備えます_x000D_ピンチからの一発逆転を狙いましょう</v>
      </c>
      <c r="M22" s="57" t="s">
        <v>212</v>
      </c>
    </row>
    <row r="23" spans="1:13" x14ac:dyDescent="0.15">
      <c r="A23" s="81" t="s">
        <v>201</v>
      </c>
      <c r="B23" s="82">
        <f>floors!$C$2</f>
        <v>65524</v>
      </c>
      <c r="C23" s="83" t="str">
        <f ca="1">VLOOKUP($B23,OFFSET([2]quests!$A$1,0,0,COUNTA([2]quests!$A:$A),MATCH(C$1,[2]quests!$1:$1,0)-MATCH($B$1,[2]quests!$1:$1,0)+1),MATCH(C$1,[2]quests!$1:$1,0)-MATCH($B$1,[2]quests!$1:$1,0)+1,FALSE)</f>
        <v>【LB田頭】検証クエスト</v>
      </c>
      <c r="D23" s="83" t="str">
        <f ca="1">VLOOKUP($B23,OFFSET([2]quests!$A$1,0,0,COUNTA([2]quests!$A:$A),MATCH(D$1,[2]quests!$1:$1,0)-MATCH($B$1,[2]quests!$1:$1,0)+1),MATCH(D$1,[2]quests!$1:$1,0)-MATCH($B$1,[2]quests!$1:$1,0)+1,FALSE)</f>
        <v>童話シリーズ　超級</v>
      </c>
      <c r="E23" s="87" t="s">
        <v>215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5">
        <v>0</v>
      </c>
      <c r="I23">
        <v>23</v>
      </c>
      <c r="J23" s="84" t="s">
        <v>199</v>
      </c>
      <c r="K23" s="94" t="str">
        <f>VLOOKUP(I23,[7]stage_hints!$A:$C,3,FALSE)</f>
        <v>フィーバーで一発逆転（その2）</v>
      </c>
      <c r="L23" s="95" t="str">
        <f>VLOOKUP(I23,[7]stage_hints!$A:$D,4,FALSE)</f>
        <v>フィーバー中は虹色のボムパネルを狙って_x000D_画面上のパネルを一気に破壊しましょう</v>
      </c>
      <c r="M23" s="57" t="s">
        <v>212</v>
      </c>
    </row>
    <row r="24" spans="1:13" x14ac:dyDescent="0.15">
      <c r="A24" s="81" t="s">
        <v>201</v>
      </c>
      <c r="B24" s="82">
        <f>floors!$C$2</f>
        <v>65524</v>
      </c>
      <c r="C24" s="83" t="str">
        <f ca="1">VLOOKUP($B24,OFFSET([2]quests!$A$1,0,0,COUNTA([2]quests!$A:$A),MATCH(C$1,[2]quests!$1:$1,0)-MATCH($B$1,[2]quests!$1:$1,0)+1),MATCH(C$1,[2]quests!$1:$1,0)-MATCH($B$1,[2]quests!$1:$1,0)+1,FALSE)</f>
        <v>【LB田頭】検証クエスト</v>
      </c>
      <c r="D24" s="83" t="str">
        <f ca="1">VLOOKUP($B24,OFFSET([2]quests!$A$1,0,0,COUNTA([2]quests!$A:$A),MATCH(D$1,[2]quests!$1:$1,0)-MATCH($B$1,[2]quests!$1:$1,0)+1),MATCH(D$1,[2]quests!$1:$1,0)-MATCH($B$1,[2]quests!$1:$1,0)+1,FALSE)</f>
        <v>童話シリーズ　超級</v>
      </c>
      <c r="E24" s="87" t="s">
        <v>215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5">
        <v>0</v>
      </c>
      <c r="I24">
        <v>24</v>
      </c>
      <c r="J24" s="84" t="s">
        <v>199</v>
      </c>
      <c r="K24" s="94" t="str">
        <f>VLOOKUP(I24,[7]stage_hints!$A:$C,3,FALSE)</f>
        <v>果実を使って限界突破</v>
      </c>
      <c r="L24" s="95" t="str">
        <f>VLOOKUP(I24,[7]stage_hints!$A:$D,4,FALSE)</f>
        <v>攻めの果実 癒しの果実_x000D_生命の果実をユニット強化に使うと_x000D_ステータスが限界突破します（計99個迄）</v>
      </c>
      <c r="M24" s="57" t="s">
        <v>212</v>
      </c>
    </row>
    <row r="25" spans="1:13" x14ac:dyDescent="0.15">
      <c r="A25" s="81" t="s">
        <v>201</v>
      </c>
      <c r="B25" s="82">
        <f>floors!$C$2</f>
        <v>65524</v>
      </c>
      <c r="C25" s="83" t="str">
        <f ca="1">VLOOKUP($B25,OFFSET([2]quests!$A$1,0,0,COUNTA([2]quests!$A:$A),MATCH(C$1,[2]quests!$1:$1,0)-MATCH($B$1,[2]quests!$1:$1,0)+1),MATCH(C$1,[2]quests!$1:$1,0)-MATCH($B$1,[2]quests!$1:$1,0)+1,FALSE)</f>
        <v>【LB田頭】検証クエスト</v>
      </c>
      <c r="D25" s="83" t="str">
        <f ca="1">VLOOKUP($B25,OFFSET([2]quests!$A$1,0,0,COUNTA([2]quests!$A:$A),MATCH(D$1,[2]quests!$1:$1,0)-MATCH($B$1,[2]quests!$1:$1,0)+1),MATCH(D$1,[2]quests!$1:$1,0)-MATCH($B$1,[2]quests!$1:$1,0)+1,FALSE)</f>
        <v>童話シリーズ　超級</v>
      </c>
      <c r="E25" s="87" t="s">
        <v>215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5">
        <v>0</v>
      </c>
      <c r="I25">
        <v>25</v>
      </c>
      <c r="J25" s="84" t="s">
        <v>199</v>
      </c>
      <c r="K25" s="94" t="str">
        <f>VLOOKUP(I25,[7]stage_hints!$A:$C,3,FALSE)</f>
        <v>スキルレベルアップ</v>
      </c>
      <c r="L25" s="95" t="str">
        <f>VLOOKUP(I25,[7]stage_hints!$A:$D,4,FALSE)</f>
        <v>「秘術の果実」を強化に使うと_x000D_スキルレベルを上げることができます</v>
      </c>
      <c r="M25" s="57" t="s">
        <v>212</v>
      </c>
    </row>
    <row r="26" spans="1:13" x14ac:dyDescent="0.15">
      <c r="A26" s="81" t="s">
        <v>201</v>
      </c>
      <c r="B26" s="82">
        <f>floors!$C$2</f>
        <v>65524</v>
      </c>
      <c r="C26" s="83" t="str">
        <f ca="1">VLOOKUP($B26,OFFSET([2]quests!$A$1,0,0,COUNTA([2]quests!$A:$A),MATCH(C$1,[2]quests!$1:$1,0)-MATCH($B$1,[2]quests!$1:$1,0)+1),MATCH(C$1,[2]quests!$1:$1,0)-MATCH($B$1,[2]quests!$1:$1,0)+1,FALSE)</f>
        <v>【LB田頭】検証クエスト</v>
      </c>
      <c r="D26" s="83" t="str">
        <f ca="1">VLOOKUP($B26,OFFSET([2]quests!$A$1,0,0,COUNTA([2]quests!$A:$A),MATCH(D$1,[2]quests!$1:$1,0)-MATCH($B$1,[2]quests!$1:$1,0)+1),MATCH(D$1,[2]quests!$1:$1,0)-MATCH($B$1,[2]quests!$1:$1,0)+1,FALSE)</f>
        <v>童話シリーズ　超級</v>
      </c>
      <c r="E26" s="87" t="s">
        <v>215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5">
        <v>0</v>
      </c>
      <c r="I26">
        <v>26</v>
      </c>
      <c r="J26" s="84" t="s">
        <v>199</v>
      </c>
      <c r="K26" s="94" t="str">
        <f>VLOOKUP(I26,[7]stage_hints!$A:$C,3,FALSE)</f>
        <v>スキルレベルの効果</v>
      </c>
      <c r="L26" s="95" t="str">
        <f>VLOOKUP(I26,[7]stage_hints!$A:$D,4,FALSE)</f>
        <v>スキルレベルが上がると_x000D_短いターンでスキルを使うことができます</v>
      </c>
      <c r="M26" s="57" t="s">
        <v>212</v>
      </c>
    </row>
    <row r="27" spans="1:13" x14ac:dyDescent="0.15">
      <c r="A27" s="81" t="s">
        <v>201</v>
      </c>
      <c r="B27" s="82">
        <f>floors!$C$2</f>
        <v>65524</v>
      </c>
      <c r="C27" s="83" t="str">
        <f ca="1">VLOOKUP($B27,OFFSET([2]quests!$A$1,0,0,COUNTA([2]quests!$A:$A),MATCH(C$1,[2]quests!$1:$1,0)-MATCH($B$1,[2]quests!$1:$1,0)+1),MATCH(C$1,[2]quests!$1:$1,0)-MATCH($B$1,[2]quests!$1:$1,0)+1,FALSE)</f>
        <v>【LB田頭】検証クエスト</v>
      </c>
      <c r="D27" s="83" t="str">
        <f ca="1">VLOOKUP($B27,OFFSET([2]quests!$A$1,0,0,COUNTA([2]quests!$A:$A),MATCH(D$1,[2]quests!$1:$1,0)-MATCH($B$1,[2]quests!$1:$1,0)+1),MATCH(D$1,[2]quests!$1:$1,0)-MATCH($B$1,[2]quests!$1:$1,0)+1,FALSE)</f>
        <v>童話シリーズ　超級</v>
      </c>
      <c r="E27" s="87" t="s">
        <v>215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5">
        <v>0</v>
      </c>
      <c r="I27">
        <v>39</v>
      </c>
      <c r="J27" s="84" t="s">
        <v>199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7" t="s">
        <v>212</v>
      </c>
    </row>
    <row r="28" spans="1:13" x14ac:dyDescent="0.15">
      <c r="A28" s="81" t="s">
        <v>201</v>
      </c>
      <c r="B28" s="82">
        <f>floors!$C$2</f>
        <v>65524</v>
      </c>
      <c r="C28" s="83" t="str">
        <f ca="1">VLOOKUP($B28,OFFSET([2]quests!$A$1,0,0,COUNTA([2]quests!$A:$A),MATCH(C$1,[2]quests!$1:$1,0)-MATCH($B$1,[2]quests!$1:$1,0)+1),MATCH(C$1,[2]quests!$1:$1,0)-MATCH($B$1,[2]quests!$1:$1,0)+1,FALSE)</f>
        <v>【LB田頭】検証クエスト</v>
      </c>
      <c r="D28" s="83" t="str">
        <f ca="1">VLOOKUP($B28,OFFSET([2]quests!$A$1,0,0,COUNTA([2]quests!$A:$A),MATCH(D$1,[2]quests!$1:$1,0)-MATCH($B$1,[2]quests!$1:$1,0)+1),MATCH(D$1,[2]quests!$1:$1,0)-MATCH($B$1,[2]quests!$1:$1,0)+1,FALSE)</f>
        <v>童話シリーズ　超級</v>
      </c>
      <c r="E28" s="87" t="s">
        <v>216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5">
        <v>0</v>
      </c>
      <c r="I28">
        <v>3</v>
      </c>
      <c r="J28" s="84" t="s">
        <v>199</v>
      </c>
      <c r="K28" s="94" t="str">
        <f>VLOOKUP(I28,[7]stage_hints!$A:$C,3,FALSE)</f>
        <v>ターゲット</v>
      </c>
      <c r="L28" s="95" t="str">
        <f>VLOOKUP(I28,[7]stage_hints!$A:$D,4,FALSE)</f>
        <v>敵ユニットをタップすると_x000D_その敵を狙い撃ちできます</v>
      </c>
      <c r="M28" s="57" t="s">
        <v>212</v>
      </c>
    </row>
    <row r="29" spans="1:13" x14ac:dyDescent="0.15">
      <c r="A29" s="81" t="s">
        <v>201</v>
      </c>
      <c r="B29" s="82">
        <f>floors!$C$2</f>
        <v>65524</v>
      </c>
      <c r="C29" s="83" t="str">
        <f ca="1">VLOOKUP($B29,OFFSET([2]quests!$A$1,0,0,COUNTA([2]quests!$A:$A),MATCH(C$1,[2]quests!$1:$1,0)-MATCH($B$1,[2]quests!$1:$1,0)+1),MATCH(C$1,[2]quests!$1:$1,0)-MATCH($B$1,[2]quests!$1:$1,0)+1,FALSE)</f>
        <v>【LB田頭】検証クエスト</v>
      </c>
      <c r="D29" s="83" t="str">
        <f ca="1">VLOOKUP($B29,OFFSET([2]quests!$A$1,0,0,COUNTA([2]quests!$A:$A),MATCH(D$1,[2]quests!$1:$1,0)-MATCH($B$1,[2]quests!$1:$1,0)+1),MATCH(D$1,[2]quests!$1:$1,0)-MATCH($B$1,[2]quests!$1:$1,0)+1,FALSE)</f>
        <v>童話シリーズ　超級</v>
      </c>
      <c r="E29" s="87" t="s">
        <v>216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5">
        <v>0</v>
      </c>
      <c r="I29">
        <v>6</v>
      </c>
      <c r="J29" s="84" t="s">
        <v>199</v>
      </c>
      <c r="K29" s="94" t="str">
        <f>VLOOKUP(I29,[7]stage_hints!$A:$C,3,FALSE)</f>
        <v>ユニット強化の属性ボーナス</v>
      </c>
      <c r="L29" s="95" t="str">
        <f>VLOOKUP(I29,[7]stage_hints!$A:$D,4,FALSE)</f>
        <v>同属性ユニットを強化素材にすると_x000D_経験値が多くもらえます</v>
      </c>
      <c r="M29" s="57" t="s">
        <v>212</v>
      </c>
    </row>
    <row r="30" spans="1:13" x14ac:dyDescent="0.15">
      <c r="A30" s="81" t="s">
        <v>201</v>
      </c>
      <c r="B30" s="82">
        <f>floors!$C$2</f>
        <v>65524</v>
      </c>
      <c r="C30" s="83" t="str">
        <f ca="1">VLOOKUP($B30,OFFSET([2]quests!$A$1,0,0,COUNTA([2]quests!$A:$A),MATCH(C$1,[2]quests!$1:$1,0)-MATCH($B$1,[2]quests!$1:$1,0)+1),MATCH(C$1,[2]quests!$1:$1,0)-MATCH($B$1,[2]quests!$1:$1,0)+1,FALSE)</f>
        <v>【LB田頭】検証クエスト</v>
      </c>
      <c r="D30" s="83" t="str">
        <f ca="1">VLOOKUP($B30,OFFSET([2]quests!$A$1,0,0,COUNTA([2]quests!$A:$A),MATCH(D$1,[2]quests!$1:$1,0)-MATCH($B$1,[2]quests!$1:$1,0)+1),MATCH(D$1,[2]quests!$1:$1,0)-MATCH($B$1,[2]quests!$1:$1,0)+1,FALSE)</f>
        <v>童話シリーズ　超級</v>
      </c>
      <c r="E30" s="87" t="s">
        <v>216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5">
        <v>0</v>
      </c>
      <c r="I30">
        <v>7</v>
      </c>
      <c r="J30" s="84" t="s">
        <v>199</v>
      </c>
      <c r="K30" s="94" t="str">
        <f>VLOOKUP(I30,[7]stage_hints!$A:$C,3,FALSE)</f>
        <v>メタルダックで経験値を獲得</v>
      </c>
      <c r="L30" s="95" t="str">
        <f>VLOOKUP(I30,[7]stage_hints!$A:$D,4,FALSE)</f>
        <v>「メタルなアヒル」を強化素材にすると_x000D_大量の経験値がもらえます</v>
      </c>
      <c r="M30" s="57" t="s">
        <v>212</v>
      </c>
    </row>
    <row r="31" spans="1:13" x14ac:dyDescent="0.15">
      <c r="A31" s="81" t="s">
        <v>201</v>
      </c>
      <c r="B31" s="82">
        <f>floors!$C$2</f>
        <v>65524</v>
      </c>
      <c r="C31" s="83" t="str">
        <f ca="1">VLOOKUP($B31,OFFSET([2]quests!$A$1,0,0,COUNTA([2]quests!$A:$A),MATCH(C$1,[2]quests!$1:$1,0)-MATCH($B$1,[2]quests!$1:$1,0)+1),MATCH(C$1,[2]quests!$1:$1,0)-MATCH($B$1,[2]quests!$1:$1,0)+1,FALSE)</f>
        <v>【LB田頭】検証クエスト</v>
      </c>
      <c r="D31" s="83" t="str">
        <f ca="1">VLOOKUP($B31,OFFSET([2]quests!$A$1,0,0,COUNTA([2]quests!$A:$A),MATCH(D$1,[2]quests!$1:$1,0)-MATCH($B$1,[2]quests!$1:$1,0)+1),MATCH(D$1,[2]quests!$1:$1,0)-MATCH($B$1,[2]quests!$1:$1,0)+1,FALSE)</f>
        <v>童話シリーズ　超級</v>
      </c>
      <c r="E31" s="87" t="s">
        <v>216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5">
        <v>0</v>
      </c>
      <c r="I31">
        <v>8</v>
      </c>
      <c r="J31" s="84" t="s">
        <v>199</v>
      </c>
      <c r="K31" s="94" t="str">
        <f>VLOOKUP(I31,[7]stage_hints!$A:$C,3,FALSE)</f>
        <v>ゲリラクエストは要チェック</v>
      </c>
      <c r="L31" s="95" t="str">
        <f>VLOOKUP(I31,[7]stage_hints!$A:$D,4,FALSE)</f>
        <v>時間限定の「アヒル捕獲作戦」では_x000D_経験値素材ユニットが多く手に入ります</v>
      </c>
      <c r="M31" s="57" t="s">
        <v>212</v>
      </c>
    </row>
    <row r="32" spans="1:13" x14ac:dyDescent="0.15">
      <c r="A32" s="81" t="s">
        <v>201</v>
      </c>
      <c r="B32" s="82">
        <f>floors!$C$2</f>
        <v>65524</v>
      </c>
      <c r="C32" s="83" t="str">
        <f ca="1">VLOOKUP($B32,OFFSET([2]quests!$A$1,0,0,COUNTA([2]quests!$A:$A),MATCH(C$1,[2]quests!$1:$1,0)-MATCH($B$1,[2]quests!$1:$1,0)+1),MATCH(C$1,[2]quests!$1:$1,0)-MATCH($B$1,[2]quests!$1:$1,0)+1,FALSE)</f>
        <v>【LB田頭】検証クエスト</v>
      </c>
      <c r="D32" s="83" t="str">
        <f ca="1">VLOOKUP($B32,OFFSET([2]quests!$A$1,0,0,COUNTA([2]quests!$A:$A),MATCH(D$1,[2]quests!$1:$1,0)-MATCH($B$1,[2]quests!$1:$1,0)+1),MATCH(D$1,[2]quests!$1:$1,0)-MATCH($B$1,[2]quests!$1:$1,0)+1,FALSE)</f>
        <v>童話シリーズ　超級</v>
      </c>
      <c r="E32" s="87" t="s">
        <v>216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5">
        <v>0</v>
      </c>
      <c r="I32">
        <v>9</v>
      </c>
      <c r="J32" s="84" t="s">
        <v>199</v>
      </c>
      <c r="K32" s="94" t="str">
        <f>VLOOKUP(I32,[7]stage_hints!$A:$C,3,FALSE)</f>
        <v>ゴールドダックでビットを獲得</v>
      </c>
      <c r="L32" s="95" t="str">
        <f>VLOOKUP(I32,[7]stage_hints!$A:$D,4,FALSE)</f>
        <v>「ゴールドなアヒル」を売却すると_x000D_大量のビットがもらえます</v>
      </c>
      <c r="M32" s="57" t="s">
        <v>212</v>
      </c>
    </row>
    <row r="33" spans="1:13" x14ac:dyDescent="0.15">
      <c r="A33" s="81" t="s">
        <v>201</v>
      </c>
      <c r="B33" s="82">
        <f>floors!$C$2</f>
        <v>65524</v>
      </c>
      <c r="C33" s="83" t="str">
        <f ca="1">VLOOKUP($B33,OFFSET([2]quests!$A$1,0,0,COUNTA([2]quests!$A:$A),MATCH(C$1,[2]quests!$1:$1,0)-MATCH($B$1,[2]quests!$1:$1,0)+1),MATCH(C$1,[2]quests!$1:$1,0)-MATCH($B$1,[2]quests!$1:$1,0)+1,FALSE)</f>
        <v>【LB田頭】検証クエスト</v>
      </c>
      <c r="D33" s="83" t="str">
        <f ca="1">VLOOKUP($B33,OFFSET([2]quests!$A$1,0,0,COUNTA([2]quests!$A:$A),MATCH(D$1,[2]quests!$1:$1,0)-MATCH($B$1,[2]quests!$1:$1,0)+1),MATCH(D$1,[2]quests!$1:$1,0)-MATCH($B$1,[2]quests!$1:$1,0)+1,FALSE)</f>
        <v>童話シリーズ　超級</v>
      </c>
      <c r="E33" s="87" t="s">
        <v>216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5">
        <v>0</v>
      </c>
      <c r="I33">
        <v>10</v>
      </c>
      <c r="J33" s="84" t="s">
        <v>199</v>
      </c>
      <c r="K33" s="94" t="str">
        <f>VLOOKUP(I33,[7]stage_hints!$A:$C,3,FALSE)</f>
        <v>土日に大量のビットを獲得</v>
      </c>
      <c r="L33" s="95" t="str">
        <f>VLOOKUP(I33,[7]stage_hints!$A:$D,4,FALSE)</f>
        <v>土日限定の「ゴールドカジノ」では_x000D_売却素材ユニットが多く手に入ります</v>
      </c>
      <c r="M33" s="57" t="s">
        <v>212</v>
      </c>
    </row>
    <row r="34" spans="1:13" x14ac:dyDescent="0.15">
      <c r="A34" s="81" t="s">
        <v>201</v>
      </c>
      <c r="B34" s="82">
        <f>floors!$C$2</f>
        <v>65524</v>
      </c>
      <c r="C34" s="83" t="str">
        <f ca="1">VLOOKUP($B34,OFFSET([2]quests!$A$1,0,0,COUNTA([2]quests!$A:$A),MATCH(C$1,[2]quests!$1:$1,0)-MATCH($B$1,[2]quests!$1:$1,0)+1),MATCH(C$1,[2]quests!$1:$1,0)-MATCH($B$1,[2]quests!$1:$1,0)+1,FALSE)</f>
        <v>【LB田頭】検証クエスト</v>
      </c>
      <c r="D34" s="83" t="str">
        <f ca="1">VLOOKUP($B34,OFFSET([2]quests!$A$1,0,0,COUNTA([2]quests!$A:$A),MATCH(D$1,[2]quests!$1:$1,0)-MATCH($B$1,[2]quests!$1:$1,0)+1),MATCH(D$1,[2]quests!$1:$1,0)-MATCH($B$1,[2]quests!$1:$1,0)+1,FALSE)</f>
        <v>童話シリーズ　超級</v>
      </c>
      <c r="E34" s="87" t="s">
        <v>216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5">
        <v>0</v>
      </c>
      <c r="I34">
        <v>11</v>
      </c>
      <c r="J34" s="84" t="s">
        <v>199</v>
      </c>
      <c r="K34" s="94" t="str">
        <f>VLOOKUP(I34,[7]stage_hints!$A:$C,3,FALSE)</f>
        <v>ゲリラクエストは要チェック</v>
      </c>
      <c r="L34" s="95" t="str">
        <f>VLOOKUP(I34,[7]stage_hints!$A:$D,4,FALSE)</f>
        <v>時間限定の「アヒル捕獲作戦」では_x000D_経験値素材ユニットが多く手に入ります</v>
      </c>
      <c r="M34" s="57" t="s">
        <v>212</v>
      </c>
    </row>
    <row r="35" spans="1:13" x14ac:dyDescent="0.15">
      <c r="A35" s="81" t="s">
        <v>201</v>
      </c>
      <c r="B35" s="82">
        <f>floors!$C$2</f>
        <v>65524</v>
      </c>
      <c r="C35" s="83" t="str">
        <f ca="1">VLOOKUP($B35,OFFSET([2]quests!$A$1,0,0,COUNTA([2]quests!$A:$A),MATCH(C$1,[2]quests!$1:$1,0)-MATCH($B$1,[2]quests!$1:$1,0)+1),MATCH(C$1,[2]quests!$1:$1,0)-MATCH($B$1,[2]quests!$1:$1,0)+1,FALSE)</f>
        <v>【LB田頭】検証クエスト</v>
      </c>
      <c r="D35" s="83" t="str">
        <f ca="1">VLOOKUP($B35,OFFSET([2]quests!$A$1,0,0,COUNTA([2]quests!$A:$A),MATCH(D$1,[2]quests!$1:$1,0)-MATCH($B$1,[2]quests!$1:$1,0)+1),MATCH(D$1,[2]quests!$1:$1,0)-MATCH($B$1,[2]quests!$1:$1,0)+1,FALSE)</f>
        <v>童話シリーズ　超級</v>
      </c>
      <c r="E35" s="87" t="s">
        <v>216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5">
        <v>0</v>
      </c>
      <c r="I35">
        <v>12</v>
      </c>
      <c r="J35" s="84" t="s">
        <v>199</v>
      </c>
      <c r="K35" s="94" t="str">
        <f>VLOOKUP(I35,[7]stage_hints!$A:$C,3,FALSE)</f>
        <v>ユニットのお気に入り登録</v>
      </c>
      <c r="L35" s="95" t="str">
        <f>VLOOKUP(I35,[7]stage_hints!$A:$D,4,FALSE)</f>
        <v>大事なユニットを誤って消さないように_x000D_フォルダから「お気に入り登録」しましょう</v>
      </c>
      <c r="M35" s="57" t="s">
        <v>212</v>
      </c>
    </row>
    <row r="36" spans="1:13" x14ac:dyDescent="0.15">
      <c r="A36" s="81" t="s">
        <v>201</v>
      </c>
      <c r="B36" s="82">
        <f>floors!$C$2</f>
        <v>65524</v>
      </c>
      <c r="C36" s="83" t="str">
        <f ca="1">VLOOKUP($B36,OFFSET([2]quests!$A$1,0,0,COUNTA([2]quests!$A:$A),MATCH(C$1,[2]quests!$1:$1,0)-MATCH($B$1,[2]quests!$1:$1,0)+1),MATCH(C$1,[2]quests!$1:$1,0)-MATCH($B$1,[2]quests!$1:$1,0)+1,FALSE)</f>
        <v>【LB田頭】検証クエスト</v>
      </c>
      <c r="D36" s="83" t="str">
        <f ca="1">VLOOKUP($B36,OFFSET([2]quests!$A$1,0,0,COUNTA([2]quests!$A:$A),MATCH(D$1,[2]quests!$1:$1,0)-MATCH($B$1,[2]quests!$1:$1,0)+1),MATCH(D$1,[2]quests!$1:$1,0)-MATCH($B$1,[2]quests!$1:$1,0)+1,FALSE)</f>
        <v>童話シリーズ　超級</v>
      </c>
      <c r="E36" s="87" t="s">
        <v>216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5">
        <v>0</v>
      </c>
      <c r="I36">
        <v>13</v>
      </c>
      <c r="J36" s="84" t="s">
        <v>199</v>
      </c>
      <c r="K36" s="94" t="str">
        <f>VLOOKUP(I36,[7]stage_hints!$A:$C,3,FALSE)</f>
        <v>ユニットの覚醒</v>
      </c>
      <c r="L36" s="95" t="str">
        <f>VLOOKUP(I36,[7]stage_hints!$A:$D,4,FALSE)</f>
        <v>ユニットを覚醒させると_x000D_比べものにならない強さが手に入ります</v>
      </c>
      <c r="M36" s="57" t="s">
        <v>212</v>
      </c>
    </row>
    <row r="37" spans="1:13" x14ac:dyDescent="0.15">
      <c r="A37" s="81" t="s">
        <v>201</v>
      </c>
      <c r="B37" s="82">
        <f>floors!$C$2</f>
        <v>65524</v>
      </c>
      <c r="C37" s="83" t="str">
        <f ca="1">VLOOKUP($B37,OFFSET([2]quests!$A$1,0,0,COUNTA([2]quests!$A:$A),MATCH(C$1,[2]quests!$1:$1,0)-MATCH($B$1,[2]quests!$1:$1,0)+1),MATCH(C$1,[2]quests!$1:$1,0)-MATCH($B$1,[2]quests!$1:$1,0)+1,FALSE)</f>
        <v>【LB田頭】検証クエスト</v>
      </c>
      <c r="D37" s="83" t="str">
        <f ca="1">VLOOKUP($B37,OFFSET([2]quests!$A$1,0,0,COUNTA([2]quests!$A:$A),MATCH(D$1,[2]quests!$1:$1,0)-MATCH($B$1,[2]quests!$1:$1,0)+1),MATCH(D$1,[2]quests!$1:$1,0)-MATCH($B$1,[2]quests!$1:$1,0)+1,FALSE)</f>
        <v>童話シリーズ　超級</v>
      </c>
      <c r="E37" s="87" t="s">
        <v>216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5">
        <v>0</v>
      </c>
      <c r="I37">
        <v>14</v>
      </c>
      <c r="J37" s="84" t="s">
        <v>199</v>
      </c>
      <c r="K37" s="94" t="str">
        <f>VLOOKUP(I37,[7]stage_hints!$A:$C,3,FALSE)</f>
        <v>覚醒するにはレベルを最大に</v>
      </c>
      <c r="L37" s="95" t="str">
        <f>VLOOKUP(I37,[7]stage_hints!$A:$D,4,FALSE)</f>
        <v>覚醒するにはユニットのレベルを_x000D_最大まで上げる必要があります</v>
      </c>
      <c r="M37" s="57" t="s">
        <v>212</v>
      </c>
    </row>
    <row r="38" spans="1:13" x14ac:dyDescent="0.15">
      <c r="A38" s="81" t="s">
        <v>201</v>
      </c>
      <c r="B38" s="82">
        <f>floors!$C$2</f>
        <v>65524</v>
      </c>
      <c r="C38" s="83" t="str">
        <f ca="1">VLOOKUP($B38,OFFSET([2]quests!$A$1,0,0,COUNTA([2]quests!$A:$A),MATCH(C$1,[2]quests!$1:$1,0)-MATCH($B$1,[2]quests!$1:$1,0)+1),MATCH(C$1,[2]quests!$1:$1,0)-MATCH($B$1,[2]quests!$1:$1,0)+1,FALSE)</f>
        <v>【LB田頭】検証クエスト</v>
      </c>
      <c r="D38" s="83" t="str">
        <f ca="1">VLOOKUP($B38,OFFSET([2]quests!$A$1,0,0,COUNTA([2]quests!$A:$A),MATCH(D$1,[2]quests!$1:$1,0)-MATCH($B$1,[2]quests!$1:$1,0)+1),MATCH(D$1,[2]quests!$1:$1,0)-MATCH($B$1,[2]quests!$1:$1,0)+1,FALSE)</f>
        <v>童話シリーズ　超級</v>
      </c>
      <c r="E38" s="87" t="s">
        <v>216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5">
        <v>0</v>
      </c>
      <c r="I38">
        <v>15</v>
      </c>
      <c r="J38" s="84" t="s">
        <v>199</v>
      </c>
      <c r="K38" s="94" t="str">
        <f>VLOOKUP(I38,[7]stage_hints!$A:$C,3,FALSE)</f>
        <v>覚醒素材を獲得</v>
      </c>
      <c r="L38" s="95" t="str">
        <f>VLOOKUP(I38,[7]stage_hints!$A:$D,4,FALSE)</f>
        <v>「曜日クエスト」では_x000D_ユニットの覚醒に必要な素材が手に入ります</v>
      </c>
      <c r="M38" s="57" t="s">
        <v>212</v>
      </c>
    </row>
    <row r="39" spans="1:13" x14ac:dyDescent="0.15">
      <c r="A39" s="81" t="s">
        <v>201</v>
      </c>
      <c r="B39" s="82">
        <f>floors!$C$2</f>
        <v>65524</v>
      </c>
      <c r="C39" s="83" t="str">
        <f ca="1">VLOOKUP($B39,OFFSET([2]quests!$A$1,0,0,COUNTA([2]quests!$A:$A),MATCH(C$1,[2]quests!$1:$1,0)-MATCH($B$1,[2]quests!$1:$1,0)+1),MATCH(C$1,[2]quests!$1:$1,0)-MATCH($B$1,[2]quests!$1:$1,0)+1,FALSE)</f>
        <v>【LB田頭】検証クエスト</v>
      </c>
      <c r="D39" s="83" t="str">
        <f ca="1">VLOOKUP($B39,OFFSET([2]quests!$A$1,0,0,COUNTA([2]quests!$A:$A),MATCH(D$1,[2]quests!$1:$1,0)-MATCH($B$1,[2]quests!$1:$1,0)+1),MATCH(D$1,[2]quests!$1:$1,0)-MATCH($B$1,[2]quests!$1:$1,0)+1,FALSE)</f>
        <v>童話シリーズ　超級</v>
      </c>
      <c r="E39" s="87" t="s">
        <v>216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5">
        <v>0</v>
      </c>
      <c r="I39">
        <v>16</v>
      </c>
      <c r="J39" s="84" t="s">
        <v>199</v>
      </c>
      <c r="K39" s="94" t="str">
        <f>VLOOKUP(I39,[7]stage_hints!$A:$C,3,FALSE)</f>
        <v>マルチプレイのメリット（その1）</v>
      </c>
      <c r="L39" s="95" t="str">
        <f>VLOOKUP(I39,[7]stage_hints!$A:$D,4,FALSE)</f>
        <v>他のプレイヤーとマルチプレイで遊ぶと_x000D_ポリゴンがもらえます（100人まで）</v>
      </c>
      <c r="M39" s="57" t="s">
        <v>212</v>
      </c>
    </row>
    <row r="40" spans="1:13" x14ac:dyDescent="0.15">
      <c r="A40" s="81" t="s">
        <v>201</v>
      </c>
      <c r="B40" s="82">
        <f>floors!$C$2</f>
        <v>65524</v>
      </c>
      <c r="C40" s="83" t="str">
        <f ca="1">VLOOKUP($B40,OFFSET([2]quests!$A$1,0,0,COUNTA([2]quests!$A:$A),MATCH(C$1,[2]quests!$1:$1,0)-MATCH($B$1,[2]quests!$1:$1,0)+1),MATCH(C$1,[2]quests!$1:$1,0)-MATCH($B$1,[2]quests!$1:$1,0)+1,FALSE)</f>
        <v>【LB田頭】検証クエスト</v>
      </c>
      <c r="D40" s="83" t="str">
        <f ca="1">VLOOKUP($B40,OFFSET([2]quests!$A$1,0,0,COUNTA([2]quests!$A:$A),MATCH(D$1,[2]quests!$1:$1,0)-MATCH($B$1,[2]quests!$1:$1,0)+1),MATCH(D$1,[2]quests!$1:$1,0)-MATCH($B$1,[2]quests!$1:$1,0)+1,FALSE)</f>
        <v>童話シリーズ　超級</v>
      </c>
      <c r="E40" s="87" t="s">
        <v>216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5">
        <v>0</v>
      </c>
      <c r="I40">
        <v>17</v>
      </c>
      <c r="J40" s="84" t="s">
        <v>199</v>
      </c>
      <c r="K40" s="94" t="str">
        <f>VLOOKUP(I40,[7]stage_hints!$A:$C,3,FALSE)</f>
        <v>リンクガチャ</v>
      </c>
      <c r="L40" s="95" t="str">
        <f>VLOOKUP(I40,[7]stage_hints!$A:$D,4,FALSE)</f>
        <v>無料のリンクガチャを回して_x000D_経験値素材や売却素材を獲得しましょう</v>
      </c>
      <c r="M40" s="57" t="s">
        <v>212</v>
      </c>
    </row>
    <row r="41" spans="1:13" x14ac:dyDescent="0.15">
      <c r="A41" s="81" t="s">
        <v>201</v>
      </c>
      <c r="B41" s="82">
        <f>floors!$C$2</f>
        <v>65524</v>
      </c>
      <c r="C41" s="83" t="str">
        <f ca="1">VLOOKUP($B41,OFFSET([2]quests!$A$1,0,0,COUNTA([2]quests!$A:$A),MATCH(C$1,[2]quests!$1:$1,0)-MATCH($B$1,[2]quests!$1:$1,0)+1),MATCH(C$1,[2]quests!$1:$1,0)-MATCH($B$1,[2]quests!$1:$1,0)+1,FALSE)</f>
        <v>【LB田頭】検証クエスト</v>
      </c>
      <c r="D41" s="83" t="str">
        <f ca="1">VLOOKUP($B41,OFFSET([2]quests!$A$1,0,0,COUNTA([2]quests!$A:$A),MATCH(D$1,[2]quests!$1:$1,0)-MATCH($B$1,[2]quests!$1:$1,0)+1),MATCH(D$1,[2]quests!$1:$1,0)-MATCH($B$1,[2]quests!$1:$1,0)+1,FALSE)</f>
        <v>童話シリーズ　超級</v>
      </c>
      <c r="E41" s="87" t="s">
        <v>216</v>
      </c>
      <c r="F41" s="83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3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5">
        <v>0</v>
      </c>
      <c r="I41">
        <v>18</v>
      </c>
      <c r="J41" s="84" t="s">
        <v>199</v>
      </c>
      <c r="K41" s="94" t="str">
        <f>VLOOKUP(I41,[7]stage_hints!$A:$C,3,FALSE)</f>
        <v>マルチプレイのメリット（その2）</v>
      </c>
      <c r="L41" s="95" t="str">
        <f>VLOOKUP(I41,[7]stage_hints!$A:$D,4,FALSE)</f>
        <v>マルチプレイならリンクが2倍もらえます_x000D_リンクガチャをたくさん回しましょう</v>
      </c>
      <c r="M41" s="57" t="s">
        <v>212</v>
      </c>
    </row>
    <row r="42" spans="1:13" x14ac:dyDescent="0.15">
      <c r="A42" s="81" t="s">
        <v>201</v>
      </c>
      <c r="B42" s="82">
        <f>floors!$C$2</f>
        <v>65524</v>
      </c>
      <c r="C42" s="83" t="str">
        <f ca="1">VLOOKUP($B42,OFFSET([2]quests!$A$1,0,0,COUNTA([2]quests!$A:$A),MATCH(C$1,[2]quests!$1:$1,0)-MATCH($B$1,[2]quests!$1:$1,0)+1),MATCH(C$1,[2]quests!$1:$1,0)-MATCH($B$1,[2]quests!$1:$1,0)+1,FALSE)</f>
        <v>【LB田頭】検証クエスト</v>
      </c>
      <c r="D42" s="83" t="str">
        <f ca="1">VLOOKUP($B42,OFFSET([2]quests!$A$1,0,0,COUNTA([2]quests!$A:$A),MATCH(D$1,[2]quests!$1:$1,0)-MATCH($B$1,[2]quests!$1:$1,0)+1),MATCH(D$1,[2]quests!$1:$1,0)-MATCH($B$1,[2]quests!$1:$1,0)+1,FALSE)</f>
        <v>童話シリーズ　超級</v>
      </c>
      <c r="E42" s="87" t="s">
        <v>216</v>
      </c>
      <c r="F42" s="83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3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5">
        <v>0</v>
      </c>
      <c r="I42">
        <v>19</v>
      </c>
      <c r="J42" s="84" t="s">
        <v>199</v>
      </c>
      <c r="K42" s="94" t="str">
        <f>VLOOKUP(I42,[7]stage_hints!$A:$C,3,FALSE)</f>
        <v>ソロ専用タワーオブザクイーン</v>
      </c>
      <c r="L42" s="95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212</v>
      </c>
    </row>
    <row r="43" spans="1:13" x14ac:dyDescent="0.15">
      <c r="A43" s="81" t="s">
        <v>201</v>
      </c>
      <c r="B43" s="82">
        <f>floors!$C$2</f>
        <v>65524</v>
      </c>
      <c r="C43" s="83" t="str">
        <f ca="1">VLOOKUP($B43,OFFSET([2]quests!$A$1,0,0,COUNTA([2]quests!$A:$A),MATCH(C$1,[2]quests!$1:$1,0)-MATCH($B$1,[2]quests!$1:$1,0)+1),MATCH(C$1,[2]quests!$1:$1,0)-MATCH($B$1,[2]quests!$1:$1,0)+1,FALSE)</f>
        <v>【LB田頭】検証クエスト</v>
      </c>
      <c r="D43" s="83" t="str">
        <f ca="1">VLOOKUP($B43,OFFSET([2]quests!$A$1,0,0,COUNTA([2]quests!$A:$A),MATCH(D$1,[2]quests!$1:$1,0)-MATCH($B$1,[2]quests!$1:$1,0)+1),MATCH(D$1,[2]quests!$1:$1,0)-MATCH($B$1,[2]quests!$1:$1,0)+1,FALSE)</f>
        <v>童話シリーズ　超級</v>
      </c>
      <c r="E43" s="87" t="s">
        <v>216</v>
      </c>
      <c r="F43" s="83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3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5">
        <v>0</v>
      </c>
      <c r="I43">
        <v>20</v>
      </c>
      <c r="J43" s="84" t="s">
        <v>199</v>
      </c>
      <c r="K43" s="94" t="str">
        <f>VLOOKUP(I43,[7]stage_hints!$A:$C,3,FALSE)</f>
        <v>マルチプレイのメリット（その3）</v>
      </c>
      <c r="L43" s="95" t="str">
        <f>VLOOKUP(I43,[7]stage_hints!$A:$D,4,FALSE)</f>
        <v>マルチプレイへの参加はエナジー消費ゼロ_x000D_いつでも好きなだけ遊ぶことができます</v>
      </c>
      <c r="M43" s="57" t="s">
        <v>212</v>
      </c>
    </row>
    <row r="44" spans="1:13" x14ac:dyDescent="0.15">
      <c r="A44" s="81" t="s">
        <v>201</v>
      </c>
      <c r="B44" s="82">
        <f>floors!$C$2</f>
        <v>65524</v>
      </c>
      <c r="C44" s="83" t="str">
        <f ca="1">VLOOKUP($B44,OFFSET([2]quests!$A$1,0,0,COUNTA([2]quests!$A:$A),MATCH(C$1,[2]quests!$1:$1,0)-MATCH($B$1,[2]quests!$1:$1,0)+1),MATCH(C$1,[2]quests!$1:$1,0)-MATCH($B$1,[2]quests!$1:$1,0)+1,FALSE)</f>
        <v>【LB田頭】検証クエスト</v>
      </c>
      <c r="D44" s="83" t="str">
        <f ca="1">VLOOKUP($B44,OFFSET([2]quests!$A$1,0,0,COUNTA([2]quests!$A:$A),MATCH(D$1,[2]quests!$1:$1,0)-MATCH($B$1,[2]quests!$1:$1,0)+1),MATCH(D$1,[2]quests!$1:$1,0)-MATCH($B$1,[2]quests!$1:$1,0)+1,FALSE)</f>
        <v>童話シリーズ　超級</v>
      </c>
      <c r="E44" s="87" t="s">
        <v>216</v>
      </c>
      <c r="F44" s="83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3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5">
        <v>0</v>
      </c>
      <c r="I44">
        <v>21</v>
      </c>
      <c r="J44" s="84" t="s">
        <v>199</v>
      </c>
      <c r="K44" s="94" t="str">
        <f>VLOOKUP(I44,[7]stage_hints!$A:$C,3,FALSE)</f>
        <v>スキルを有効に</v>
      </c>
      <c r="L44" s="95" t="str">
        <f>VLOOKUP(I44,[7]stage_hints!$A:$D,4,FALSE)</f>
        <v>ターン経過でユニットのスキルが使えます_x000D_強力スキルでバトルを有利に進めましょう</v>
      </c>
      <c r="M44" s="57" t="s">
        <v>212</v>
      </c>
    </row>
    <row r="45" spans="1:13" x14ac:dyDescent="0.15">
      <c r="A45" s="81" t="s">
        <v>201</v>
      </c>
      <c r="B45" s="82">
        <f>floors!$C$2</f>
        <v>65524</v>
      </c>
      <c r="C45" s="83" t="str">
        <f ca="1">VLOOKUP($B45,OFFSET([2]quests!$A$1,0,0,COUNTA([2]quests!$A:$A),MATCH(C$1,[2]quests!$1:$1,0)-MATCH($B$1,[2]quests!$1:$1,0)+1),MATCH(C$1,[2]quests!$1:$1,0)-MATCH($B$1,[2]quests!$1:$1,0)+1,FALSE)</f>
        <v>【LB田頭】検証クエスト</v>
      </c>
      <c r="D45" s="83" t="str">
        <f ca="1">VLOOKUP($B45,OFFSET([2]quests!$A$1,0,0,COUNTA([2]quests!$A:$A),MATCH(D$1,[2]quests!$1:$1,0)-MATCH($B$1,[2]quests!$1:$1,0)+1),MATCH(D$1,[2]quests!$1:$1,0)-MATCH($B$1,[2]quests!$1:$1,0)+1,FALSE)</f>
        <v>童話シリーズ　超級</v>
      </c>
      <c r="E45" s="87" t="s">
        <v>216</v>
      </c>
      <c r="F45" s="83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3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5">
        <v>0</v>
      </c>
      <c r="I45">
        <v>22</v>
      </c>
      <c r="J45" s="84" t="s">
        <v>199</v>
      </c>
      <c r="K45" s="94" t="str">
        <f>VLOOKUP(I45,[7]stage_hints!$A:$C,3,FALSE)</f>
        <v>フィーバーで一発逆転（その1）</v>
      </c>
      <c r="L45" s="95" t="str">
        <f>VLOOKUP(I45,[7]stage_hints!$A:$D,4,FALSE)</f>
        <v>フィーバーは攻撃と回復を兼ね備えます_x000D_ピンチからの一発逆転を狙いましょう</v>
      </c>
      <c r="M45" s="57" t="s">
        <v>212</v>
      </c>
    </row>
    <row r="46" spans="1:13" x14ac:dyDescent="0.15">
      <c r="A46" s="81" t="s">
        <v>201</v>
      </c>
      <c r="B46" s="82">
        <f>floors!$C$2</f>
        <v>65524</v>
      </c>
      <c r="C46" s="83" t="str">
        <f ca="1">VLOOKUP($B46,OFFSET([2]quests!$A$1,0,0,COUNTA([2]quests!$A:$A),MATCH(C$1,[2]quests!$1:$1,0)-MATCH($B$1,[2]quests!$1:$1,0)+1),MATCH(C$1,[2]quests!$1:$1,0)-MATCH($B$1,[2]quests!$1:$1,0)+1,FALSE)</f>
        <v>【LB田頭】検証クエスト</v>
      </c>
      <c r="D46" s="83" t="str">
        <f ca="1">VLOOKUP($B46,OFFSET([2]quests!$A$1,0,0,COUNTA([2]quests!$A:$A),MATCH(D$1,[2]quests!$1:$1,0)-MATCH($B$1,[2]quests!$1:$1,0)+1),MATCH(D$1,[2]quests!$1:$1,0)-MATCH($B$1,[2]quests!$1:$1,0)+1,FALSE)</f>
        <v>童話シリーズ　超級</v>
      </c>
      <c r="E46" s="87" t="s">
        <v>216</v>
      </c>
      <c r="F46" s="83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3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5">
        <v>0</v>
      </c>
      <c r="I46">
        <v>23</v>
      </c>
      <c r="J46" s="84" t="s">
        <v>199</v>
      </c>
      <c r="K46" s="94" t="str">
        <f>VLOOKUP(I46,[7]stage_hints!$A:$C,3,FALSE)</f>
        <v>フィーバーで一発逆転（その2）</v>
      </c>
      <c r="L46" s="95" t="str">
        <f>VLOOKUP(I46,[7]stage_hints!$A:$D,4,FALSE)</f>
        <v>フィーバー中は虹色のボムパネルを狙って_x000D_画面上のパネルを一気に破壊しましょう</v>
      </c>
      <c r="M46" s="57" t="s">
        <v>212</v>
      </c>
    </row>
    <row r="47" spans="1:13" x14ac:dyDescent="0.15">
      <c r="A47" s="81" t="s">
        <v>201</v>
      </c>
      <c r="B47" s="82">
        <f>floors!$C$2</f>
        <v>65524</v>
      </c>
      <c r="C47" s="83" t="str">
        <f ca="1">VLOOKUP($B47,OFFSET([2]quests!$A$1,0,0,COUNTA([2]quests!$A:$A),MATCH(C$1,[2]quests!$1:$1,0)-MATCH($B$1,[2]quests!$1:$1,0)+1),MATCH(C$1,[2]quests!$1:$1,0)-MATCH($B$1,[2]quests!$1:$1,0)+1,FALSE)</f>
        <v>【LB田頭】検証クエスト</v>
      </c>
      <c r="D47" s="83" t="str">
        <f ca="1">VLOOKUP($B47,OFFSET([2]quests!$A$1,0,0,COUNTA([2]quests!$A:$A),MATCH(D$1,[2]quests!$1:$1,0)-MATCH($B$1,[2]quests!$1:$1,0)+1),MATCH(D$1,[2]quests!$1:$1,0)-MATCH($B$1,[2]quests!$1:$1,0)+1,FALSE)</f>
        <v>童話シリーズ　超級</v>
      </c>
      <c r="E47" s="87" t="s">
        <v>216</v>
      </c>
      <c r="F47" s="83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3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5">
        <v>0</v>
      </c>
      <c r="I47">
        <v>24</v>
      </c>
      <c r="J47" s="84" t="s">
        <v>199</v>
      </c>
      <c r="K47" s="94" t="str">
        <f>VLOOKUP(I47,[7]stage_hints!$A:$C,3,FALSE)</f>
        <v>果実を使って限界突破</v>
      </c>
      <c r="L47" s="95" t="str">
        <f>VLOOKUP(I47,[7]stage_hints!$A:$D,4,FALSE)</f>
        <v>攻めの果実 癒しの果実_x000D_生命の果実をユニット強化に使うと_x000D_ステータスが限界突破します（計99個迄）</v>
      </c>
      <c r="M47" s="57" t="s">
        <v>212</v>
      </c>
    </row>
    <row r="48" spans="1:13" x14ac:dyDescent="0.15">
      <c r="A48" s="81" t="s">
        <v>201</v>
      </c>
      <c r="B48" s="82">
        <f>floors!$C$2</f>
        <v>65524</v>
      </c>
      <c r="C48" s="83" t="str">
        <f ca="1">VLOOKUP($B48,OFFSET([2]quests!$A$1,0,0,COUNTA([2]quests!$A:$A),MATCH(C$1,[2]quests!$1:$1,0)-MATCH($B$1,[2]quests!$1:$1,0)+1),MATCH(C$1,[2]quests!$1:$1,0)-MATCH($B$1,[2]quests!$1:$1,0)+1,FALSE)</f>
        <v>【LB田頭】検証クエスト</v>
      </c>
      <c r="D48" s="83" t="str">
        <f ca="1">VLOOKUP($B48,OFFSET([2]quests!$A$1,0,0,COUNTA([2]quests!$A:$A),MATCH(D$1,[2]quests!$1:$1,0)-MATCH($B$1,[2]quests!$1:$1,0)+1),MATCH(D$1,[2]quests!$1:$1,0)-MATCH($B$1,[2]quests!$1:$1,0)+1,FALSE)</f>
        <v>童話シリーズ　超級</v>
      </c>
      <c r="E48" s="87" t="s">
        <v>216</v>
      </c>
      <c r="F48" s="83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3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5">
        <v>0</v>
      </c>
      <c r="I48">
        <v>25</v>
      </c>
      <c r="J48" s="84" t="s">
        <v>199</v>
      </c>
      <c r="K48" s="94" t="str">
        <f>VLOOKUP(I48,[7]stage_hints!$A:$C,3,FALSE)</f>
        <v>スキルレベルアップ</v>
      </c>
      <c r="L48" s="95" t="str">
        <f>VLOOKUP(I48,[7]stage_hints!$A:$D,4,FALSE)</f>
        <v>「秘術の果実」を強化に使うと_x000D_スキルレベルを上げることができます</v>
      </c>
      <c r="M48" s="57" t="s">
        <v>212</v>
      </c>
    </row>
    <row r="49" spans="1:13" x14ac:dyDescent="0.15">
      <c r="A49" s="81" t="s">
        <v>201</v>
      </c>
      <c r="B49" s="82">
        <f>floors!$C$2</f>
        <v>65524</v>
      </c>
      <c r="C49" s="83" t="str">
        <f ca="1">VLOOKUP($B49,OFFSET([2]quests!$A$1,0,0,COUNTA([2]quests!$A:$A),MATCH(C$1,[2]quests!$1:$1,0)-MATCH($B$1,[2]quests!$1:$1,0)+1),MATCH(C$1,[2]quests!$1:$1,0)-MATCH($B$1,[2]quests!$1:$1,0)+1,FALSE)</f>
        <v>【LB田頭】検証クエスト</v>
      </c>
      <c r="D49" s="83" t="str">
        <f ca="1">VLOOKUP($B49,OFFSET([2]quests!$A$1,0,0,COUNTA([2]quests!$A:$A),MATCH(D$1,[2]quests!$1:$1,0)-MATCH($B$1,[2]quests!$1:$1,0)+1),MATCH(D$1,[2]quests!$1:$1,0)-MATCH($B$1,[2]quests!$1:$1,0)+1,FALSE)</f>
        <v>童話シリーズ　超級</v>
      </c>
      <c r="E49" s="87" t="s">
        <v>216</v>
      </c>
      <c r="F49" s="83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3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5">
        <v>0</v>
      </c>
      <c r="I49">
        <v>26</v>
      </c>
      <c r="J49" s="84" t="s">
        <v>199</v>
      </c>
      <c r="K49" s="94" t="str">
        <f>VLOOKUP(I49,[7]stage_hints!$A:$C,3,FALSE)</f>
        <v>スキルレベルの効果</v>
      </c>
      <c r="L49" s="95" t="str">
        <f>VLOOKUP(I49,[7]stage_hints!$A:$D,4,FALSE)</f>
        <v>スキルレベルが上がると_x000D_短いターンでスキルを使うことができます</v>
      </c>
      <c r="M49" s="57" t="s">
        <v>212</v>
      </c>
    </row>
    <row r="50" spans="1:13" x14ac:dyDescent="0.15">
      <c r="A50" s="81" t="s">
        <v>201</v>
      </c>
      <c r="B50" s="82">
        <f>floors!$C$2</f>
        <v>65524</v>
      </c>
      <c r="C50" s="83" t="str">
        <f ca="1">VLOOKUP($B50,OFFSET([2]quests!$A$1,0,0,COUNTA([2]quests!$A:$A),MATCH(C$1,[2]quests!$1:$1,0)-MATCH($B$1,[2]quests!$1:$1,0)+1),MATCH(C$1,[2]quests!$1:$1,0)-MATCH($B$1,[2]quests!$1:$1,0)+1,FALSE)</f>
        <v>【LB田頭】検証クエスト</v>
      </c>
      <c r="D50" s="83" t="str">
        <f ca="1">VLOOKUP($B50,OFFSET([2]quests!$A$1,0,0,COUNTA([2]quests!$A:$A),MATCH(D$1,[2]quests!$1:$1,0)-MATCH($B$1,[2]quests!$1:$1,0)+1),MATCH(D$1,[2]quests!$1:$1,0)-MATCH($B$1,[2]quests!$1:$1,0)+1,FALSE)</f>
        <v>童話シリーズ　超級</v>
      </c>
      <c r="E50" s="87" t="s">
        <v>216</v>
      </c>
      <c r="F50" s="83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3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5">
        <v>0</v>
      </c>
      <c r="I50">
        <v>27</v>
      </c>
      <c r="J50" s="84" t="s">
        <v>199</v>
      </c>
      <c r="K50" s="94" t="str">
        <f>VLOOKUP(I50,[7]stage_hints!$A:$C,3,FALSE)</f>
        <v>ホーム画面からデッキを編成</v>
      </c>
      <c r="L50" s="95" t="str">
        <f>VLOOKUP(I50,[7]stage_hints!$A:$D,4,FALSE)</f>
        <v>ホーム画面でユニットを長押しすると_x000D_すぐにパーティ編成に移動できます</v>
      </c>
      <c r="M50" s="57" t="s">
        <v>212</v>
      </c>
    </row>
    <row r="51" spans="1:13" x14ac:dyDescent="0.15">
      <c r="A51" s="81" t="s">
        <v>201</v>
      </c>
      <c r="B51" s="82">
        <f>floors!$C$2</f>
        <v>65524</v>
      </c>
      <c r="C51" s="83" t="str">
        <f ca="1">VLOOKUP($B51,OFFSET([2]quests!$A$1,0,0,COUNTA([2]quests!$A:$A),MATCH(C$1,[2]quests!$1:$1,0)-MATCH($B$1,[2]quests!$1:$1,0)+1),MATCH(C$1,[2]quests!$1:$1,0)-MATCH($B$1,[2]quests!$1:$1,0)+1,FALSE)</f>
        <v>【LB田頭】検証クエスト</v>
      </c>
      <c r="D51" s="83" t="str">
        <f ca="1">VLOOKUP($B51,OFFSET([2]quests!$A$1,0,0,COUNTA([2]quests!$A:$A),MATCH(D$1,[2]quests!$1:$1,0)-MATCH($B$1,[2]quests!$1:$1,0)+1),MATCH(D$1,[2]quests!$1:$1,0)-MATCH($B$1,[2]quests!$1:$1,0)+1,FALSE)</f>
        <v>童話シリーズ　超級</v>
      </c>
      <c r="E51" s="87" t="s">
        <v>216</v>
      </c>
      <c r="F51" s="83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3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5">
        <v>0</v>
      </c>
      <c r="I51">
        <v>28</v>
      </c>
      <c r="J51" s="84" t="s">
        <v>199</v>
      </c>
      <c r="K51" s="94" t="str">
        <f>VLOOKUP(I51,[7]stage_hints!$A:$C,3,FALSE)</f>
        <v>ステータス情報は長押しで</v>
      </c>
      <c r="L51" s="95" t="str">
        <f>VLOOKUP(I51,[7]stage_hints!$A:$D,4,FALSE)</f>
        <v>ユニットのアイコンを長押しすると_x000D_ステータス情報を確認することができます</v>
      </c>
      <c r="M51" s="57" t="s">
        <v>212</v>
      </c>
    </row>
    <row r="52" spans="1:13" x14ac:dyDescent="0.15">
      <c r="A52" s="81" t="s">
        <v>201</v>
      </c>
      <c r="B52" s="82">
        <f>floors!$C$2</f>
        <v>65524</v>
      </c>
      <c r="C52" s="83" t="str">
        <f ca="1">VLOOKUP($B52,OFFSET([2]quests!$A$1,0,0,COUNTA([2]quests!$A:$A),MATCH(C$1,[2]quests!$1:$1,0)-MATCH($B$1,[2]quests!$1:$1,0)+1),MATCH(C$1,[2]quests!$1:$1,0)-MATCH($B$1,[2]quests!$1:$1,0)+1,FALSE)</f>
        <v>【LB田頭】検証クエスト</v>
      </c>
      <c r="D52" s="83" t="str">
        <f ca="1">VLOOKUP($B52,OFFSET([2]quests!$A$1,0,0,COUNTA([2]quests!$A:$A),MATCH(D$1,[2]quests!$1:$1,0)-MATCH($B$1,[2]quests!$1:$1,0)+1),MATCH(D$1,[2]quests!$1:$1,0)-MATCH($B$1,[2]quests!$1:$1,0)+1,FALSE)</f>
        <v>童話シリーズ　超級</v>
      </c>
      <c r="E52" s="87" t="s">
        <v>216</v>
      </c>
      <c r="F52" s="83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3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5">
        <v>0</v>
      </c>
      <c r="I52">
        <v>29</v>
      </c>
      <c r="J52" s="84" t="s">
        <v>199</v>
      </c>
      <c r="K52" s="94" t="str">
        <f>VLOOKUP(I52,[7]stage_hints!$A:$C,3,FALSE)</f>
        <v>「バグ」のメリット</v>
      </c>
      <c r="L52" s="95" t="str">
        <f>VLOOKUP(I52,[7]stage_hints!$A:$D,4,FALSE)</f>
        <v>ユニットの「バグ」を増やすと_x000D_報酬をもらえる確率がアップします</v>
      </c>
      <c r="M52" s="57" t="s">
        <v>212</v>
      </c>
    </row>
    <row r="53" spans="1:13" x14ac:dyDescent="0.15">
      <c r="A53" s="81" t="s">
        <v>201</v>
      </c>
      <c r="B53" s="82">
        <f>floors!$C$2</f>
        <v>65524</v>
      </c>
      <c r="C53" s="83" t="str">
        <f ca="1">VLOOKUP($B53,OFFSET([2]quests!$A$1,0,0,COUNTA([2]quests!$A:$A),MATCH(C$1,[2]quests!$1:$1,0)-MATCH($B$1,[2]quests!$1:$1,0)+1),MATCH(C$1,[2]quests!$1:$1,0)-MATCH($B$1,[2]quests!$1:$1,0)+1,FALSE)</f>
        <v>【LB田頭】検証クエスト</v>
      </c>
      <c r="D53" s="83" t="str">
        <f ca="1">VLOOKUP($B53,OFFSET([2]quests!$A$1,0,0,COUNTA([2]quests!$A:$A),MATCH(D$1,[2]quests!$1:$1,0)-MATCH($B$1,[2]quests!$1:$1,0)+1),MATCH(D$1,[2]quests!$1:$1,0)-MATCH($B$1,[2]quests!$1:$1,0)+1,FALSE)</f>
        <v>童話シリーズ　超級</v>
      </c>
      <c r="E53" s="87" t="s">
        <v>216</v>
      </c>
      <c r="F53" s="83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3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5">
        <v>0</v>
      </c>
      <c r="I53">
        <v>30</v>
      </c>
      <c r="J53" s="84" t="s">
        <v>199</v>
      </c>
      <c r="K53" s="94" t="str">
        <f>VLOOKUP(I53,[7]stage_hints!$A:$C,3,FALSE)</f>
        <v>「バグ」の増やし方</v>
      </c>
      <c r="L53" s="95" t="str">
        <f>VLOOKUP(I53,[7]stage_hints!$A:$D,4,FALSE)</f>
        <v>同じユニット同士を強化で合成すると_x000D_「バグ」を増やすことができます</v>
      </c>
      <c r="M53" s="57" t="s">
        <v>212</v>
      </c>
    </row>
    <row r="54" spans="1:13" x14ac:dyDescent="0.15">
      <c r="A54" s="81" t="s">
        <v>201</v>
      </c>
      <c r="B54" s="82">
        <f>floors!$C$2</f>
        <v>65524</v>
      </c>
      <c r="C54" s="83" t="str">
        <f ca="1">VLOOKUP($B54,OFFSET([2]quests!$A$1,0,0,COUNTA([2]quests!$A:$A),MATCH(C$1,[2]quests!$1:$1,0)-MATCH($B$1,[2]quests!$1:$1,0)+1),MATCH(C$1,[2]quests!$1:$1,0)-MATCH($B$1,[2]quests!$1:$1,0)+1,FALSE)</f>
        <v>【LB田頭】検証クエスト</v>
      </c>
      <c r="D54" s="83" t="str">
        <f ca="1">VLOOKUP($B54,OFFSET([2]quests!$A$1,0,0,COUNTA([2]quests!$A:$A),MATCH(D$1,[2]quests!$1:$1,0)-MATCH($B$1,[2]quests!$1:$1,0)+1),MATCH(D$1,[2]quests!$1:$1,0)-MATCH($B$1,[2]quests!$1:$1,0)+1,FALSE)</f>
        <v>童話シリーズ　超級</v>
      </c>
      <c r="E54" s="87" t="s">
        <v>216</v>
      </c>
      <c r="F54" s="83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3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5">
        <v>0</v>
      </c>
      <c r="I54">
        <v>31</v>
      </c>
      <c r="J54" s="84" t="s">
        <v>199</v>
      </c>
      <c r="K54" s="94" t="str">
        <f>VLOOKUP(I54,[7]stage_hints!$A:$C,3,FALSE)</f>
        <v>イベントはお知らせでチェック</v>
      </c>
      <c r="L54" s="95" t="str">
        <f>VLOOKUP(I54,[7]stage_hints!$A:$D,4,FALSE)</f>
        <v>イベント限定ユニットを取り忘れないように_x000D_お知らせをこまめにチェックしましょう</v>
      </c>
      <c r="M54" s="57" t="s">
        <v>212</v>
      </c>
    </row>
    <row r="55" spans="1:13" x14ac:dyDescent="0.15">
      <c r="A55" s="81" t="s">
        <v>201</v>
      </c>
      <c r="B55" s="82">
        <f>floors!$C$2</f>
        <v>65524</v>
      </c>
      <c r="C55" s="83" t="str">
        <f ca="1">VLOOKUP($B55,OFFSET([2]quests!$A$1,0,0,COUNTA([2]quests!$A:$A),MATCH(C$1,[2]quests!$1:$1,0)-MATCH($B$1,[2]quests!$1:$1,0)+1),MATCH(C$1,[2]quests!$1:$1,0)-MATCH($B$1,[2]quests!$1:$1,0)+1,FALSE)</f>
        <v>【LB田頭】検証クエスト</v>
      </c>
      <c r="D55" s="83" t="str">
        <f ca="1">VLOOKUP($B55,OFFSET([2]quests!$A$1,0,0,COUNTA([2]quests!$A:$A),MATCH(D$1,[2]quests!$1:$1,0)-MATCH($B$1,[2]quests!$1:$1,0)+1),MATCH(D$1,[2]quests!$1:$1,0)-MATCH($B$1,[2]quests!$1:$1,0)+1,FALSE)</f>
        <v>童話シリーズ　超級</v>
      </c>
      <c r="E55" s="87" t="s">
        <v>216</v>
      </c>
      <c r="F55" s="83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3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5">
        <v>0</v>
      </c>
      <c r="I55">
        <v>32</v>
      </c>
      <c r="J55" s="84" t="s">
        <v>199</v>
      </c>
      <c r="K55" s="94" t="str">
        <f>VLOOKUP(I55,[7]stage_hints!$A:$C,3,FALSE)</f>
        <v>敵の連続攻撃には</v>
      </c>
      <c r="L55" s="95" t="str">
        <f>VLOOKUP(I55,[7]stage_hints!$A:$D,4,FALSE)</f>
        <v>カウンタースキルを持つユニットがいれば_x000D_ダメージ回数分の反撃ができます</v>
      </c>
      <c r="M55" s="57" t="s">
        <v>212</v>
      </c>
    </row>
    <row r="56" spans="1:13" x14ac:dyDescent="0.15">
      <c r="A56" s="81" t="s">
        <v>201</v>
      </c>
      <c r="B56" s="82">
        <f>floors!$C$2</f>
        <v>65524</v>
      </c>
      <c r="C56" s="83" t="str">
        <f ca="1">VLOOKUP($B56,OFFSET([2]quests!$A$1,0,0,COUNTA([2]quests!$A:$A),MATCH(C$1,[2]quests!$1:$1,0)-MATCH($B$1,[2]quests!$1:$1,0)+1),MATCH(C$1,[2]quests!$1:$1,0)-MATCH($B$1,[2]quests!$1:$1,0)+1,FALSE)</f>
        <v>【LB田頭】検証クエスト</v>
      </c>
      <c r="D56" s="83" t="str">
        <f ca="1">VLOOKUP($B56,OFFSET([2]quests!$A$1,0,0,COUNTA([2]quests!$A:$A),MATCH(D$1,[2]quests!$1:$1,0)-MATCH($B$1,[2]quests!$1:$1,0)+1),MATCH(D$1,[2]quests!$1:$1,0)-MATCH($B$1,[2]quests!$1:$1,0)+1,FALSE)</f>
        <v>童話シリーズ　超級</v>
      </c>
      <c r="E56" s="87" t="s">
        <v>216</v>
      </c>
      <c r="F56" s="83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3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5">
        <v>0</v>
      </c>
      <c r="I56">
        <v>33</v>
      </c>
      <c r="J56" s="84" t="s">
        <v>199</v>
      </c>
      <c r="K56" s="94" t="str">
        <f>VLOOKUP(I56,[7]stage_hints!$A:$C,3,FALSE)</f>
        <v>敵のカウンター攻撃には</v>
      </c>
      <c r="L56" s="95" t="str">
        <f>VLOOKUP(I56,[7]stage_hints!$A:$D,4,FALSE)</f>
        <v>カウンターブレイクスキルを持っていれば_x000D_敵のカウンターを解除して攻撃ができます</v>
      </c>
      <c r="M56" s="57" t="s">
        <v>212</v>
      </c>
    </row>
    <row r="57" spans="1:13" x14ac:dyDescent="0.15">
      <c r="A57" s="81" t="s">
        <v>201</v>
      </c>
      <c r="B57" s="82">
        <f>floors!$C$2</f>
        <v>65524</v>
      </c>
      <c r="C57" s="83" t="str">
        <f ca="1">VLOOKUP($B57,OFFSET([2]quests!$A$1,0,0,COUNTA([2]quests!$A:$A),MATCH(C$1,[2]quests!$1:$1,0)-MATCH($B$1,[2]quests!$1:$1,0)+1),MATCH(C$1,[2]quests!$1:$1,0)-MATCH($B$1,[2]quests!$1:$1,0)+1,FALSE)</f>
        <v>【LB田頭】検証クエスト</v>
      </c>
      <c r="D57" s="83" t="str">
        <f ca="1">VLOOKUP($B57,OFFSET([2]quests!$A$1,0,0,COUNTA([2]quests!$A:$A),MATCH(D$1,[2]quests!$1:$1,0)-MATCH($B$1,[2]quests!$1:$1,0)+1),MATCH(D$1,[2]quests!$1:$1,0)-MATCH($B$1,[2]quests!$1:$1,0)+1,FALSE)</f>
        <v>童話シリーズ　超級</v>
      </c>
      <c r="E57" s="87" t="s">
        <v>216</v>
      </c>
      <c r="F57" s="83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3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5">
        <v>0</v>
      </c>
      <c r="I57">
        <v>34</v>
      </c>
      <c r="J57" s="84" t="s">
        <v>199</v>
      </c>
      <c r="K57" s="94" t="str">
        <f>VLOOKUP(I57,[7]stage_hints!$A:$C,3,FALSE)</f>
        <v>ステータスをスキルで下げられたら</v>
      </c>
      <c r="L57" s="95" t="str">
        <f>VLOOKUP(I57,[7]stage_hints!$A:$D,4,FALSE)</f>
        <v>ステータスダウンのスキルを受けたら_x000D_ステータスアップスキルで上書きしましょう</v>
      </c>
      <c r="M57" s="57" t="s">
        <v>212</v>
      </c>
    </row>
    <row r="58" spans="1:13" x14ac:dyDescent="0.15">
      <c r="A58" s="81" t="s">
        <v>201</v>
      </c>
      <c r="B58" s="82">
        <f>floors!$C$2</f>
        <v>65524</v>
      </c>
      <c r="C58" s="83" t="str">
        <f ca="1">VLOOKUP($B58,OFFSET([2]quests!$A$1,0,0,COUNTA([2]quests!$A:$A),MATCH(C$1,[2]quests!$1:$1,0)-MATCH($B$1,[2]quests!$1:$1,0)+1),MATCH(C$1,[2]quests!$1:$1,0)-MATCH($B$1,[2]quests!$1:$1,0)+1,FALSE)</f>
        <v>【LB田頭】検証クエスト</v>
      </c>
      <c r="D58" s="83" t="str">
        <f ca="1">VLOOKUP($B58,OFFSET([2]quests!$A$1,0,0,COUNTA([2]quests!$A:$A),MATCH(D$1,[2]quests!$1:$1,0)-MATCH($B$1,[2]quests!$1:$1,0)+1),MATCH(D$1,[2]quests!$1:$1,0)-MATCH($B$1,[2]quests!$1:$1,0)+1,FALSE)</f>
        <v>童話シリーズ　超級</v>
      </c>
      <c r="E58" s="87" t="s">
        <v>216</v>
      </c>
      <c r="F58" s="83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3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5">
        <v>0</v>
      </c>
      <c r="I58">
        <v>35</v>
      </c>
      <c r="J58" s="84" t="s">
        <v>199</v>
      </c>
      <c r="K58" s="94" t="str">
        <f>VLOOKUP(I58,[7]stage_hints!$A:$C,3,FALSE)</f>
        <v>敵のステータスがスキルで上がったら</v>
      </c>
      <c r="L58" s="95" t="str">
        <f>VLOOKUP(I58,[7]stage_hints!$A:$D,4,FALSE)</f>
        <v>敵のステータスがスキルでアップしたときは_x000D_ステータスダウンスキルで上書きしましょう</v>
      </c>
      <c r="M58" s="57" t="s">
        <v>212</v>
      </c>
    </row>
    <row r="59" spans="1:13" x14ac:dyDescent="0.15">
      <c r="A59" s="81" t="s">
        <v>201</v>
      </c>
      <c r="B59" s="82">
        <f>floors!$C$2</f>
        <v>65524</v>
      </c>
      <c r="C59" s="83" t="str">
        <f ca="1">VLOOKUP($B59,OFFSET([2]quests!$A$1,0,0,COUNTA([2]quests!$A:$A),MATCH(C$1,[2]quests!$1:$1,0)-MATCH($B$1,[2]quests!$1:$1,0)+1),MATCH(C$1,[2]quests!$1:$1,0)-MATCH($B$1,[2]quests!$1:$1,0)+1,FALSE)</f>
        <v>【LB田頭】検証クエスト</v>
      </c>
      <c r="D59" s="83" t="str">
        <f ca="1">VLOOKUP($B59,OFFSET([2]quests!$A$1,0,0,COUNTA([2]quests!$A:$A),MATCH(D$1,[2]quests!$1:$1,0)-MATCH($B$1,[2]quests!$1:$1,0)+1),MATCH(D$1,[2]quests!$1:$1,0)-MATCH($B$1,[2]quests!$1:$1,0)+1,FALSE)</f>
        <v>童話シリーズ　超級</v>
      </c>
      <c r="E59" s="87" t="s">
        <v>216</v>
      </c>
      <c r="F59" s="83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3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5">
        <v>0</v>
      </c>
      <c r="I59">
        <v>39</v>
      </c>
      <c r="J59" s="84" t="s">
        <v>199</v>
      </c>
      <c r="K59" s="94" t="str">
        <f>VLOOKUP(I59,[7]stage_hints!$A:$C,3,FALSE)</f>
        <v>システム適合者を確認</v>
      </c>
      <c r="L59" s="95" t="str">
        <f>VLOOKUP(I59,[7]stage_hints!$A:$D,4,FALSE)</f>
        <v>ALICEが 「アナタ」を呼んでいます</v>
      </c>
      <c r="M59" s="57" t="s">
        <v>212</v>
      </c>
    </row>
    <row r="60" spans="1:13" x14ac:dyDescent="0.15">
      <c r="A60" s="81" t="s">
        <v>201</v>
      </c>
      <c r="B60" s="82">
        <f>floors!$C$2</f>
        <v>65524</v>
      </c>
      <c r="C60" s="83" t="str">
        <f ca="1">VLOOKUP($B60,OFFSET([2]quests!$A$1,0,0,COUNTA([2]quests!$A:$A),MATCH(C$1,[2]quests!$1:$1,0)-MATCH($B$1,[2]quests!$1:$1,0)+1),MATCH(C$1,[2]quests!$1:$1,0)-MATCH($B$1,[2]quests!$1:$1,0)+1,FALSE)</f>
        <v>【LB田頭】検証クエスト</v>
      </c>
      <c r="D60" s="83" t="str">
        <f ca="1">VLOOKUP($B60,OFFSET([2]quests!$A$1,0,0,COUNTA([2]quests!$A:$A),MATCH(D$1,[2]quests!$1:$1,0)-MATCH($B$1,[2]quests!$1:$1,0)+1),MATCH(D$1,[2]quests!$1:$1,0)-MATCH($B$1,[2]quests!$1:$1,0)+1,FALSE)</f>
        <v>童話シリーズ　超級</v>
      </c>
      <c r="E60" s="87" t="s">
        <v>217</v>
      </c>
      <c r="F60" s="83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3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5">
        <v>0</v>
      </c>
      <c r="I60" s="97">
        <v>3</v>
      </c>
      <c r="J60" s="84" t="s">
        <v>199</v>
      </c>
      <c r="K60" s="94" t="str">
        <f>VLOOKUP(I60,[7]stage_hints!$A:$C,3,FALSE)</f>
        <v>ターゲット</v>
      </c>
      <c r="L60" s="95" t="str">
        <f>VLOOKUP(I60,[7]stage_hints!$A:$D,4,FALSE)</f>
        <v>敵ユニットをタップすると_x000D_その敵を狙い撃ちできます</v>
      </c>
      <c r="M60" s="57" t="s">
        <v>212</v>
      </c>
    </row>
    <row r="61" spans="1:13" x14ac:dyDescent="0.15">
      <c r="A61" s="81" t="s">
        <v>201</v>
      </c>
      <c r="B61" s="82">
        <f>floors!$C$2</f>
        <v>65524</v>
      </c>
      <c r="C61" s="83" t="str">
        <f ca="1">VLOOKUP($B61,OFFSET([2]quests!$A$1,0,0,COUNTA([2]quests!$A:$A),MATCH(C$1,[2]quests!$1:$1,0)-MATCH($B$1,[2]quests!$1:$1,0)+1),MATCH(C$1,[2]quests!$1:$1,0)-MATCH($B$1,[2]quests!$1:$1,0)+1,FALSE)</f>
        <v>【LB田頭】検証クエスト</v>
      </c>
      <c r="D61" s="83" t="str">
        <f ca="1">VLOOKUP($B61,OFFSET([2]quests!$A$1,0,0,COUNTA([2]quests!$A:$A),MATCH(D$1,[2]quests!$1:$1,0)-MATCH($B$1,[2]quests!$1:$1,0)+1),MATCH(D$1,[2]quests!$1:$1,0)-MATCH($B$1,[2]quests!$1:$1,0)+1,FALSE)</f>
        <v>童話シリーズ　超級</v>
      </c>
      <c r="E61" s="87" t="s">
        <v>217</v>
      </c>
      <c r="F61" s="83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3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5">
        <v>0</v>
      </c>
      <c r="I61" s="97">
        <v>6</v>
      </c>
      <c r="J61" s="84" t="s">
        <v>199</v>
      </c>
      <c r="K61" s="94" t="str">
        <f>VLOOKUP(I61,[7]stage_hints!$A:$C,3,FALSE)</f>
        <v>ユニット強化の属性ボーナス</v>
      </c>
      <c r="L61" s="95" t="str">
        <f>VLOOKUP(I61,[7]stage_hints!$A:$D,4,FALSE)</f>
        <v>同属性ユニットを強化素材にすると_x000D_経験値が多くもらえます</v>
      </c>
      <c r="M61" s="57" t="s">
        <v>212</v>
      </c>
    </row>
    <row r="62" spans="1:13" x14ac:dyDescent="0.15">
      <c r="A62" s="81" t="s">
        <v>201</v>
      </c>
      <c r="B62" s="82">
        <f>floors!$C$2</f>
        <v>65524</v>
      </c>
      <c r="C62" s="83" t="str">
        <f ca="1">VLOOKUP($B62,OFFSET([2]quests!$A$1,0,0,COUNTA([2]quests!$A:$A),MATCH(C$1,[2]quests!$1:$1,0)-MATCH($B$1,[2]quests!$1:$1,0)+1),MATCH(C$1,[2]quests!$1:$1,0)-MATCH($B$1,[2]quests!$1:$1,0)+1,FALSE)</f>
        <v>【LB田頭】検証クエスト</v>
      </c>
      <c r="D62" s="83" t="str">
        <f ca="1">VLOOKUP($B62,OFFSET([2]quests!$A$1,0,0,COUNTA([2]quests!$A:$A),MATCH(D$1,[2]quests!$1:$1,0)-MATCH($B$1,[2]quests!$1:$1,0)+1),MATCH(D$1,[2]quests!$1:$1,0)-MATCH($B$1,[2]quests!$1:$1,0)+1,FALSE)</f>
        <v>童話シリーズ　超級</v>
      </c>
      <c r="E62" s="87" t="s">
        <v>217</v>
      </c>
      <c r="F62" s="83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3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5">
        <v>0</v>
      </c>
      <c r="I62" s="97">
        <v>7</v>
      </c>
      <c r="J62" s="84" t="s">
        <v>199</v>
      </c>
      <c r="K62" s="94" t="str">
        <f>VLOOKUP(I62,[7]stage_hints!$A:$C,3,FALSE)</f>
        <v>メタルダックで経験値を獲得</v>
      </c>
      <c r="L62" s="95" t="str">
        <f>VLOOKUP(I62,[7]stage_hints!$A:$D,4,FALSE)</f>
        <v>「メタルなアヒル」を強化素材にすると_x000D_大量の経験値がもらえます</v>
      </c>
      <c r="M62" s="57" t="s">
        <v>212</v>
      </c>
    </row>
    <row r="63" spans="1:13" x14ac:dyDescent="0.15">
      <c r="A63" s="81" t="s">
        <v>201</v>
      </c>
      <c r="B63" s="82">
        <f>floors!$C$2</f>
        <v>65524</v>
      </c>
      <c r="C63" s="83" t="str">
        <f ca="1">VLOOKUP($B63,OFFSET([2]quests!$A$1,0,0,COUNTA([2]quests!$A:$A),MATCH(C$1,[2]quests!$1:$1,0)-MATCH($B$1,[2]quests!$1:$1,0)+1),MATCH(C$1,[2]quests!$1:$1,0)-MATCH($B$1,[2]quests!$1:$1,0)+1,FALSE)</f>
        <v>【LB田頭】検証クエスト</v>
      </c>
      <c r="D63" s="83" t="str">
        <f ca="1">VLOOKUP($B63,OFFSET([2]quests!$A$1,0,0,COUNTA([2]quests!$A:$A),MATCH(D$1,[2]quests!$1:$1,0)-MATCH($B$1,[2]quests!$1:$1,0)+1),MATCH(D$1,[2]quests!$1:$1,0)-MATCH($B$1,[2]quests!$1:$1,0)+1,FALSE)</f>
        <v>童話シリーズ　超級</v>
      </c>
      <c r="E63" s="87" t="s">
        <v>217</v>
      </c>
      <c r="F63" s="83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3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5">
        <v>0</v>
      </c>
      <c r="I63" s="97">
        <v>8</v>
      </c>
      <c r="J63" s="84" t="s">
        <v>199</v>
      </c>
      <c r="K63" s="94" t="str">
        <f>VLOOKUP(I63,[7]stage_hints!$A:$C,3,FALSE)</f>
        <v>ゲリラクエストは要チェック</v>
      </c>
      <c r="L63" s="95" t="str">
        <f>VLOOKUP(I63,[7]stage_hints!$A:$D,4,FALSE)</f>
        <v>時間限定の「アヒル捕獲作戦」では_x000D_経験値素材ユニットが多く手に入ります</v>
      </c>
      <c r="M63" s="57" t="s">
        <v>212</v>
      </c>
    </row>
    <row r="64" spans="1:13" x14ac:dyDescent="0.15">
      <c r="A64" s="81" t="s">
        <v>201</v>
      </c>
      <c r="B64" s="82">
        <f>floors!$C$2</f>
        <v>65524</v>
      </c>
      <c r="C64" s="83" t="str">
        <f ca="1">VLOOKUP($B64,OFFSET([2]quests!$A$1,0,0,COUNTA([2]quests!$A:$A),MATCH(C$1,[2]quests!$1:$1,0)-MATCH($B$1,[2]quests!$1:$1,0)+1),MATCH(C$1,[2]quests!$1:$1,0)-MATCH($B$1,[2]quests!$1:$1,0)+1,FALSE)</f>
        <v>【LB田頭】検証クエスト</v>
      </c>
      <c r="D64" s="83" t="str">
        <f ca="1">VLOOKUP($B64,OFFSET([2]quests!$A$1,0,0,COUNTA([2]quests!$A:$A),MATCH(D$1,[2]quests!$1:$1,0)-MATCH($B$1,[2]quests!$1:$1,0)+1),MATCH(D$1,[2]quests!$1:$1,0)-MATCH($B$1,[2]quests!$1:$1,0)+1,FALSE)</f>
        <v>童話シリーズ　超級</v>
      </c>
      <c r="E64" s="87" t="s">
        <v>217</v>
      </c>
      <c r="F64" s="83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3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5">
        <v>0</v>
      </c>
      <c r="I64" s="97">
        <v>9</v>
      </c>
      <c r="J64" s="84" t="s">
        <v>199</v>
      </c>
      <c r="K64" s="94" t="str">
        <f>VLOOKUP(I64,[7]stage_hints!$A:$C,3,FALSE)</f>
        <v>ゴールドダックでビットを獲得</v>
      </c>
      <c r="L64" s="95" t="str">
        <f>VLOOKUP(I64,[7]stage_hints!$A:$D,4,FALSE)</f>
        <v>「ゴールドなアヒル」を売却すると_x000D_大量のビットがもらえます</v>
      </c>
      <c r="M64" s="57" t="s">
        <v>212</v>
      </c>
    </row>
    <row r="65" spans="1:13" x14ac:dyDescent="0.15">
      <c r="A65" s="81" t="s">
        <v>201</v>
      </c>
      <c r="B65" s="82">
        <f>floors!$C$2</f>
        <v>65524</v>
      </c>
      <c r="C65" s="83" t="str">
        <f ca="1">VLOOKUP($B65,OFFSET([2]quests!$A$1,0,0,COUNTA([2]quests!$A:$A),MATCH(C$1,[2]quests!$1:$1,0)-MATCH($B$1,[2]quests!$1:$1,0)+1),MATCH(C$1,[2]quests!$1:$1,0)-MATCH($B$1,[2]quests!$1:$1,0)+1,FALSE)</f>
        <v>【LB田頭】検証クエスト</v>
      </c>
      <c r="D65" s="83" t="str">
        <f ca="1">VLOOKUP($B65,OFFSET([2]quests!$A$1,0,0,COUNTA([2]quests!$A:$A),MATCH(D$1,[2]quests!$1:$1,0)-MATCH($B$1,[2]quests!$1:$1,0)+1),MATCH(D$1,[2]quests!$1:$1,0)-MATCH($B$1,[2]quests!$1:$1,0)+1,FALSE)</f>
        <v>童話シリーズ　超級</v>
      </c>
      <c r="E65" s="87" t="s">
        <v>217</v>
      </c>
      <c r="F65" s="83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3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5">
        <v>0</v>
      </c>
      <c r="I65" s="97">
        <v>10</v>
      </c>
      <c r="J65" s="84" t="s">
        <v>199</v>
      </c>
      <c r="K65" s="94" t="str">
        <f>VLOOKUP(I65,[7]stage_hints!$A:$C,3,FALSE)</f>
        <v>土日に大量のビットを獲得</v>
      </c>
      <c r="L65" s="95" t="str">
        <f>VLOOKUP(I65,[7]stage_hints!$A:$D,4,FALSE)</f>
        <v>土日限定の「ゴールドカジノ」では_x000D_売却素材ユニットが多く手に入ります</v>
      </c>
      <c r="M65" s="57" t="s">
        <v>212</v>
      </c>
    </row>
    <row r="66" spans="1:13" x14ac:dyDescent="0.15">
      <c r="A66" s="81" t="s">
        <v>201</v>
      </c>
      <c r="B66" s="82">
        <f>floors!$C$2</f>
        <v>65524</v>
      </c>
      <c r="C66" s="83" t="str">
        <f ca="1">VLOOKUP($B66,OFFSET([2]quests!$A$1,0,0,COUNTA([2]quests!$A:$A),MATCH(C$1,[2]quests!$1:$1,0)-MATCH($B$1,[2]quests!$1:$1,0)+1),MATCH(C$1,[2]quests!$1:$1,0)-MATCH($B$1,[2]quests!$1:$1,0)+1,FALSE)</f>
        <v>【LB田頭】検証クエスト</v>
      </c>
      <c r="D66" s="83" t="str">
        <f ca="1">VLOOKUP($B66,OFFSET([2]quests!$A$1,0,0,COUNTA([2]quests!$A:$A),MATCH(D$1,[2]quests!$1:$1,0)-MATCH($B$1,[2]quests!$1:$1,0)+1),MATCH(D$1,[2]quests!$1:$1,0)-MATCH($B$1,[2]quests!$1:$1,0)+1,FALSE)</f>
        <v>童話シリーズ　超級</v>
      </c>
      <c r="E66" s="87" t="s">
        <v>217</v>
      </c>
      <c r="F66" s="83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3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5">
        <v>0</v>
      </c>
      <c r="I66" s="97">
        <v>11</v>
      </c>
      <c r="J66" s="84" t="s">
        <v>199</v>
      </c>
      <c r="K66" s="94" t="str">
        <f>VLOOKUP(I66,[7]stage_hints!$A:$C,3,FALSE)</f>
        <v>ゲリラクエストは要チェック</v>
      </c>
      <c r="L66" s="95" t="str">
        <f>VLOOKUP(I66,[7]stage_hints!$A:$D,4,FALSE)</f>
        <v>時間限定の「アヒル捕獲作戦」では_x000D_経験値素材ユニットが多く手に入ります</v>
      </c>
      <c r="M66" s="57" t="s">
        <v>212</v>
      </c>
    </row>
    <row r="67" spans="1:13" x14ac:dyDescent="0.15">
      <c r="A67" s="81" t="s">
        <v>201</v>
      </c>
      <c r="B67" s="82">
        <f>floors!$C$2</f>
        <v>65524</v>
      </c>
      <c r="C67" s="83" t="str">
        <f ca="1">VLOOKUP($B67,OFFSET([2]quests!$A$1,0,0,COUNTA([2]quests!$A:$A),MATCH(C$1,[2]quests!$1:$1,0)-MATCH($B$1,[2]quests!$1:$1,0)+1),MATCH(C$1,[2]quests!$1:$1,0)-MATCH($B$1,[2]quests!$1:$1,0)+1,FALSE)</f>
        <v>【LB田頭】検証クエスト</v>
      </c>
      <c r="D67" s="83" t="str">
        <f ca="1">VLOOKUP($B67,OFFSET([2]quests!$A$1,0,0,COUNTA([2]quests!$A:$A),MATCH(D$1,[2]quests!$1:$1,0)-MATCH($B$1,[2]quests!$1:$1,0)+1),MATCH(D$1,[2]quests!$1:$1,0)-MATCH($B$1,[2]quests!$1:$1,0)+1,FALSE)</f>
        <v>童話シリーズ　超級</v>
      </c>
      <c r="E67" s="87" t="s">
        <v>217</v>
      </c>
      <c r="F67" s="83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3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5">
        <v>0</v>
      </c>
      <c r="I67" s="97">
        <v>12</v>
      </c>
      <c r="J67" s="84" t="s">
        <v>199</v>
      </c>
      <c r="K67" s="94" t="str">
        <f>VLOOKUP(I67,[7]stage_hints!$A:$C,3,FALSE)</f>
        <v>ユニットのお気に入り登録</v>
      </c>
      <c r="L67" s="95" t="str">
        <f>VLOOKUP(I67,[7]stage_hints!$A:$D,4,FALSE)</f>
        <v>大事なユニットを誤って消さないように_x000D_フォルダから「お気に入り登録」しましょう</v>
      </c>
      <c r="M67" s="57" t="s">
        <v>212</v>
      </c>
    </row>
    <row r="68" spans="1:13" x14ac:dyDescent="0.15">
      <c r="A68" s="81" t="s">
        <v>201</v>
      </c>
      <c r="B68" s="82">
        <f>floors!$C$2</f>
        <v>65524</v>
      </c>
      <c r="C68" s="83" t="str">
        <f ca="1">VLOOKUP($B68,OFFSET([2]quests!$A$1,0,0,COUNTA([2]quests!$A:$A),MATCH(C$1,[2]quests!$1:$1,0)-MATCH($B$1,[2]quests!$1:$1,0)+1),MATCH(C$1,[2]quests!$1:$1,0)-MATCH($B$1,[2]quests!$1:$1,0)+1,FALSE)</f>
        <v>【LB田頭】検証クエスト</v>
      </c>
      <c r="D68" s="83" t="str">
        <f ca="1">VLOOKUP($B68,OFFSET([2]quests!$A$1,0,0,COUNTA([2]quests!$A:$A),MATCH(D$1,[2]quests!$1:$1,0)-MATCH($B$1,[2]quests!$1:$1,0)+1),MATCH(D$1,[2]quests!$1:$1,0)-MATCH($B$1,[2]quests!$1:$1,0)+1,FALSE)</f>
        <v>童話シリーズ　超級</v>
      </c>
      <c r="E68" s="87" t="s">
        <v>217</v>
      </c>
      <c r="F68" s="83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3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5">
        <v>0</v>
      </c>
      <c r="I68" s="97">
        <v>13</v>
      </c>
      <c r="J68" s="84" t="s">
        <v>199</v>
      </c>
      <c r="K68" s="94" t="str">
        <f>VLOOKUP(I68,[7]stage_hints!$A:$C,3,FALSE)</f>
        <v>ユニットの覚醒</v>
      </c>
      <c r="L68" s="95" t="str">
        <f>VLOOKUP(I68,[7]stage_hints!$A:$D,4,FALSE)</f>
        <v>ユニットを覚醒させると_x000D_比べものにならない強さが手に入ります</v>
      </c>
      <c r="M68" s="57" t="s">
        <v>212</v>
      </c>
    </row>
    <row r="69" spans="1:13" x14ac:dyDescent="0.15">
      <c r="A69" s="81" t="s">
        <v>201</v>
      </c>
      <c r="B69" s="82">
        <f>floors!$C$2</f>
        <v>65524</v>
      </c>
      <c r="C69" s="83" t="str">
        <f ca="1">VLOOKUP($B69,OFFSET([2]quests!$A$1,0,0,COUNTA([2]quests!$A:$A),MATCH(C$1,[2]quests!$1:$1,0)-MATCH($B$1,[2]quests!$1:$1,0)+1),MATCH(C$1,[2]quests!$1:$1,0)-MATCH($B$1,[2]quests!$1:$1,0)+1,FALSE)</f>
        <v>【LB田頭】検証クエスト</v>
      </c>
      <c r="D69" s="83" t="str">
        <f ca="1">VLOOKUP($B69,OFFSET([2]quests!$A$1,0,0,COUNTA([2]quests!$A:$A),MATCH(D$1,[2]quests!$1:$1,0)-MATCH($B$1,[2]quests!$1:$1,0)+1),MATCH(D$1,[2]quests!$1:$1,0)-MATCH($B$1,[2]quests!$1:$1,0)+1,FALSE)</f>
        <v>童話シリーズ　超級</v>
      </c>
      <c r="E69" s="87" t="s">
        <v>217</v>
      </c>
      <c r="F69" s="83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3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5">
        <v>0</v>
      </c>
      <c r="I69" s="97">
        <v>14</v>
      </c>
      <c r="J69" s="84" t="s">
        <v>199</v>
      </c>
      <c r="K69" s="94" t="str">
        <f>VLOOKUP(I69,[7]stage_hints!$A:$C,3,FALSE)</f>
        <v>覚醒するにはレベルを最大に</v>
      </c>
      <c r="L69" s="95" t="str">
        <f>VLOOKUP(I69,[7]stage_hints!$A:$D,4,FALSE)</f>
        <v>覚醒するにはユニットのレベルを_x000D_最大まで上げる必要があります</v>
      </c>
      <c r="M69" s="57" t="s">
        <v>212</v>
      </c>
    </row>
    <row r="70" spans="1:13" x14ac:dyDescent="0.15">
      <c r="A70" s="81" t="s">
        <v>201</v>
      </c>
      <c r="B70" s="82">
        <f>floors!$C$2</f>
        <v>65524</v>
      </c>
      <c r="C70" s="83" t="str">
        <f ca="1">VLOOKUP($B70,OFFSET([2]quests!$A$1,0,0,COUNTA([2]quests!$A:$A),MATCH(C$1,[2]quests!$1:$1,0)-MATCH($B$1,[2]quests!$1:$1,0)+1),MATCH(C$1,[2]quests!$1:$1,0)-MATCH($B$1,[2]quests!$1:$1,0)+1,FALSE)</f>
        <v>【LB田頭】検証クエスト</v>
      </c>
      <c r="D70" s="83" t="str">
        <f ca="1">VLOOKUP($B70,OFFSET([2]quests!$A$1,0,0,COUNTA([2]quests!$A:$A),MATCH(D$1,[2]quests!$1:$1,0)-MATCH($B$1,[2]quests!$1:$1,0)+1),MATCH(D$1,[2]quests!$1:$1,0)-MATCH($B$1,[2]quests!$1:$1,0)+1,FALSE)</f>
        <v>童話シリーズ　超級</v>
      </c>
      <c r="E70" s="87" t="s">
        <v>217</v>
      </c>
      <c r="F70" s="83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3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5">
        <v>0</v>
      </c>
      <c r="I70" s="97">
        <v>15</v>
      </c>
      <c r="J70" s="84" t="s">
        <v>199</v>
      </c>
      <c r="K70" s="94" t="str">
        <f>VLOOKUP(I70,[7]stage_hints!$A:$C,3,FALSE)</f>
        <v>覚醒素材を獲得</v>
      </c>
      <c r="L70" s="95" t="str">
        <f>VLOOKUP(I70,[7]stage_hints!$A:$D,4,FALSE)</f>
        <v>「曜日クエスト」では_x000D_ユニットの覚醒に必要な素材が手に入ります</v>
      </c>
      <c r="M70" s="57" t="s">
        <v>212</v>
      </c>
    </row>
    <row r="71" spans="1:13" x14ac:dyDescent="0.15">
      <c r="A71" s="81" t="s">
        <v>201</v>
      </c>
      <c r="B71" s="82">
        <f>floors!$C$2</f>
        <v>65524</v>
      </c>
      <c r="C71" s="83" t="str">
        <f ca="1">VLOOKUP($B71,OFFSET([2]quests!$A$1,0,0,COUNTA([2]quests!$A:$A),MATCH(C$1,[2]quests!$1:$1,0)-MATCH($B$1,[2]quests!$1:$1,0)+1),MATCH(C$1,[2]quests!$1:$1,0)-MATCH($B$1,[2]quests!$1:$1,0)+1,FALSE)</f>
        <v>【LB田頭】検証クエスト</v>
      </c>
      <c r="D71" s="83" t="str">
        <f ca="1">VLOOKUP($B71,OFFSET([2]quests!$A$1,0,0,COUNTA([2]quests!$A:$A),MATCH(D$1,[2]quests!$1:$1,0)-MATCH($B$1,[2]quests!$1:$1,0)+1),MATCH(D$1,[2]quests!$1:$1,0)-MATCH($B$1,[2]quests!$1:$1,0)+1,FALSE)</f>
        <v>童話シリーズ　超級</v>
      </c>
      <c r="E71" s="87" t="s">
        <v>217</v>
      </c>
      <c r="F71" s="83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3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5">
        <v>0</v>
      </c>
      <c r="I71" s="97">
        <v>16</v>
      </c>
      <c r="J71" s="84" t="s">
        <v>199</v>
      </c>
      <c r="K71" s="94" t="str">
        <f>VLOOKUP(I71,[7]stage_hints!$A:$C,3,FALSE)</f>
        <v>マルチプレイのメリット（その1）</v>
      </c>
      <c r="L71" s="95" t="str">
        <f>VLOOKUP(I71,[7]stage_hints!$A:$D,4,FALSE)</f>
        <v>他のプレイヤーとマルチプレイで遊ぶと_x000D_ポリゴンがもらえます（100人まで）</v>
      </c>
      <c r="M71" s="57" t="s">
        <v>212</v>
      </c>
    </row>
    <row r="72" spans="1:13" x14ac:dyDescent="0.15">
      <c r="A72" s="81" t="s">
        <v>201</v>
      </c>
      <c r="B72" s="82">
        <f>floors!$C$2</f>
        <v>65524</v>
      </c>
      <c r="C72" s="83" t="str">
        <f ca="1">VLOOKUP($B72,OFFSET([2]quests!$A$1,0,0,COUNTA([2]quests!$A:$A),MATCH(C$1,[2]quests!$1:$1,0)-MATCH($B$1,[2]quests!$1:$1,0)+1),MATCH(C$1,[2]quests!$1:$1,0)-MATCH($B$1,[2]quests!$1:$1,0)+1,FALSE)</f>
        <v>【LB田頭】検証クエスト</v>
      </c>
      <c r="D72" s="83" t="str">
        <f ca="1">VLOOKUP($B72,OFFSET([2]quests!$A$1,0,0,COUNTA([2]quests!$A:$A),MATCH(D$1,[2]quests!$1:$1,0)-MATCH($B$1,[2]quests!$1:$1,0)+1),MATCH(D$1,[2]quests!$1:$1,0)-MATCH($B$1,[2]quests!$1:$1,0)+1,FALSE)</f>
        <v>童話シリーズ　超級</v>
      </c>
      <c r="E72" s="87" t="s">
        <v>217</v>
      </c>
      <c r="F72" s="83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3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5">
        <v>0</v>
      </c>
      <c r="I72" s="97">
        <v>17</v>
      </c>
      <c r="J72" s="84" t="s">
        <v>199</v>
      </c>
      <c r="K72" s="94" t="str">
        <f>VLOOKUP(I72,[7]stage_hints!$A:$C,3,FALSE)</f>
        <v>リンクガチャ</v>
      </c>
      <c r="L72" s="95" t="str">
        <f>VLOOKUP(I72,[7]stage_hints!$A:$D,4,FALSE)</f>
        <v>無料のリンクガチャを回して_x000D_経験値素材や売却素材を獲得しましょう</v>
      </c>
      <c r="M72" s="57" t="s">
        <v>212</v>
      </c>
    </row>
    <row r="73" spans="1:13" x14ac:dyDescent="0.15">
      <c r="A73" s="81" t="s">
        <v>201</v>
      </c>
      <c r="B73" s="82">
        <f>floors!$C$2</f>
        <v>65524</v>
      </c>
      <c r="C73" s="83" t="str">
        <f ca="1">VLOOKUP($B73,OFFSET([2]quests!$A$1,0,0,COUNTA([2]quests!$A:$A),MATCH(C$1,[2]quests!$1:$1,0)-MATCH($B$1,[2]quests!$1:$1,0)+1),MATCH(C$1,[2]quests!$1:$1,0)-MATCH($B$1,[2]quests!$1:$1,0)+1,FALSE)</f>
        <v>【LB田頭】検証クエスト</v>
      </c>
      <c r="D73" s="83" t="str">
        <f ca="1">VLOOKUP($B73,OFFSET([2]quests!$A$1,0,0,COUNTA([2]quests!$A:$A),MATCH(D$1,[2]quests!$1:$1,0)-MATCH($B$1,[2]quests!$1:$1,0)+1),MATCH(D$1,[2]quests!$1:$1,0)-MATCH($B$1,[2]quests!$1:$1,0)+1,FALSE)</f>
        <v>童話シリーズ　超級</v>
      </c>
      <c r="E73" s="87" t="s">
        <v>217</v>
      </c>
      <c r="F73" s="83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3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5">
        <v>0</v>
      </c>
      <c r="I73" s="97">
        <v>18</v>
      </c>
      <c r="J73" s="84" t="s">
        <v>199</v>
      </c>
      <c r="K73" s="94" t="str">
        <f>VLOOKUP(I73,[7]stage_hints!$A:$C,3,FALSE)</f>
        <v>マルチプレイのメリット（その2）</v>
      </c>
      <c r="L73" s="95" t="str">
        <f>VLOOKUP(I73,[7]stage_hints!$A:$D,4,FALSE)</f>
        <v>マルチプレイならリンクが2倍もらえます_x000D_リンクガチャをたくさん回しましょう</v>
      </c>
      <c r="M73" s="57" t="s">
        <v>212</v>
      </c>
    </row>
    <row r="74" spans="1:13" x14ac:dyDescent="0.15">
      <c r="A74" s="81" t="s">
        <v>201</v>
      </c>
      <c r="B74" s="82">
        <f>floors!$C$2</f>
        <v>65524</v>
      </c>
      <c r="C74" s="83" t="str">
        <f ca="1">VLOOKUP($B74,OFFSET([2]quests!$A$1,0,0,COUNTA([2]quests!$A:$A),MATCH(C$1,[2]quests!$1:$1,0)-MATCH($B$1,[2]quests!$1:$1,0)+1),MATCH(C$1,[2]quests!$1:$1,0)-MATCH($B$1,[2]quests!$1:$1,0)+1,FALSE)</f>
        <v>【LB田頭】検証クエスト</v>
      </c>
      <c r="D74" s="83" t="str">
        <f ca="1">VLOOKUP($B74,OFFSET([2]quests!$A$1,0,0,COUNTA([2]quests!$A:$A),MATCH(D$1,[2]quests!$1:$1,0)-MATCH($B$1,[2]quests!$1:$1,0)+1),MATCH(D$1,[2]quests!$1:$1,0)-MATCH($B$1,[2]quests!$1:$1,0)+1,FALSE)</f>
        <v>童話シリーズ　超級</v>
      </c>
      <c r="E74" s="87" t="s">
        <v>217</v>
      </c>
      <c r="F74" s="83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3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5">
        <v>0</v>
      </c>
      <c r="I74" s="97">
        <v>19</v>
      </c>
      <c r="J74" s="84" t="s">
        <v>199</v>
      </c>
      <c r="K74" s="94" t="str">
        <f>VLOOKUP(I74,[7]stage_hints!$A:$C,3,FALSE)</f>
        <v>ソロ専用タワーオブザクイーン</v>
      </c>
      <c r="L74" s="95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212</v>
      </c>
    </row>
    <row r="75" spans="1:13" x14ac:dyDescent="0.15">
      <c r="A75" s="81" t="s">
        <v>201</v>
      </c>
      <c r="B75" s="82">
        <f>floors!$C$2</f>
        <v>65524</v>
      </c>
      <c r="C75" s="83" t="str">
        <f ca="1">VLOOKUP($B75,OFFSET([2]quests!$A$1,0,0,COUNTA([2]quests!$A:$A),MATCH(C$1,[2]quests!$1:$1,0)-MATCH($B$1,[2]quests!$1:$1,0)+1),MATCH(C$1,[2]quests!$1:$1,0)-MATCH($B$1,[2]quests!$1:$1,0)+1,FALSE)</f>
        <v>【LB田頭】検証クエスト</v>
      </c>
      <c r="D75" s="83" t="str">
        <f ca="1">VLOOKUP($B75,OFFSET([2]quests!$A$1,0,0,COUNTA([2]quests!$A:$A),MATCH(D$1,[2]quests!$1:$1,0)-MATCH($B$1,[2]quests!$1:$1,0)+1),MATCH(D$1,[2]quests!$1:$1,0)-MATCH($B$1,[2]quests!$1:$1,0)+1,FALSE)</f>
        <v>童話シリーズ　超級</v>
      </c>
      <c r="E75" s="87" t="s">
        <v>217</v>
      </c>
      <c r="F75" s="83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3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5">
        <v>0</v>
      </c>
      <c r="I75" s="97">
        <v>20</v>
      </c>
      <c r="J75" s="84" t="s">
        <v>199</v>
      </c>
      <c r="K75" s="94" t="str">
        <f>VLOOKUP(I75,[7]stage_hints!$A:$C,3,FALSE)</f>
        <v>マルチプレイのメリット（その3）</v>
      </c>
      <c r="L75" s="95" t="str">
        <f>VLOOKUP(I75,[7]stage_hints!$A:$D,4,FALSE)</f>
        <v>マルチプレイへの参加はエナジー消費ゼロ_x000D_いつでも好きなだけ遊ぶことができます</v>
      </c>
      <c r="M75" s="57" t="s">
        <v>212</v>
      </c>
    </row>
    <row r="76" spans="1:13" x14ac:dyDescent="0.15">
      <c r="A76" s="81" t="s">
        <v>201</v>
      </c>
      <c r="B76" s="82">
        <f>floors!$C$2</f>
        <v>65524</v>
      </c>
      <c r="C76" s="83" t="str">
        <f ca="1">VLOOKUP($B76,OFFSET([2]quests!$A$1,0,0,COUNTA([2]quests!$A:$A),MATCH(C$1,[2]quests!$1:$1,0)-MATCH($B$1,[2]quests!$1:$1,0)+1),MATCH(C$1,[2]quests!$1:$1,0)-MATCH($B$1,[2]quests!$1:$1,0)+1,FALSE)</f>
        <v>【LB田頭】検証クエスト</v>
      </c>
      <c r="D76" s="83" t="str">
        <f ca="1">VLOOKUP($B76,OFFSET([2]quests!$A$1,0,0,COUNTA([2]quests!$A:$A),MATCH(D$1,[2]quests!$1:$1,0)-MATCH($B$1,[2]quests!$1:$1,0)+1),MATCH(D$1,[2]quests!$1:$1,0)-MATCH($B$1,[2]quests!$1:$1,0)+1,FALSE)</f>
        <v>童話シリーズ　超級</v>
      </c>
      <c r="E76" s="87" t="s">
        <v>217</v>
      </c>
      <c r="F76" s="83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3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5">
        <v>0</v>
      </c>
      <c r="I76" s="97">
        <v>21</v>
      </c>
      <c r="J76" s="84" t="s">
        <v>199</v>
      </c>
      <c r="K76" s="94" t="str">
        <f>VLOOKUP(I76,[7]stage_hints!$A:$C,3,FALSE)</f>
        <v>スキルを有効に</v>
      </c>
      <c r="L76" s="95" t="str">
        <f>VLOOKUP(I76,[7]stage_hints!$A:$D,4,FALSE)</f>
        <v>ターン経過でユニットのスキルが使えます_x000D_強力スキルでバトルを有利に進めましょう</v>
      </c>
      <c r="M76" s="57" t="s">
        <v>212</v>
      </c>
    </row>
    <row r="77" spans="1:13" x14ac:dyDescent="0.15">
      <c r="A77" s="81" t="s">
        <v>201</v>
      </c>
      <c r="B77" s="82">
        <f>floors!$C$2</f>
        <v>65524</v>
      </c>
      <c r="C77" s="83" t="str">
        <f ca="1">VLOOKUP($B77,OFFSET([2]quests!$A$1,0,0,COUNTA([2]quests!$A:$A),MATCH(C$1,[2]quests!$1:$1,0)-MATCH($B$1,[2]quests!$1:$1,0)+1),MATCH(C$1,[2]quests!$1:$1,0)-MATCH($B$1,[2]quests!$1:$1,0)+1,FALSE)</f>
        <v>【LB田頭】検証クエスト</v>
      </c>
      <c r="D77" s="83" t="str">
        <f ca="1">VLOOKUP($B77,OFFSET([2]quests!$A$1,0,0,COUNTA([2]quests!$A:$A),MATCH(D$1,[2]quests!$1:$1,0)-MATCH($B$1,[2]quests!$1:$1,0)+1),MATCH(D$1,[2]quests!$1:$1,0)-MATCH($B$1,[2]quests!$1:$1,0)+1,FALSE)</f>
        <v>童話シリーズ　超級</v>
      </c>
      <c r="E77" s="87" t="s">
        <v>217</v>
      </c>
      <c r="F77" s="83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3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5">
        <v>0</v>
      </c>
      <c r="I77" s="97">
        <v>22</v>
      </c>
      <c r="J77" s="84" t="s">
        <v>199</v>
      </c>
      <c r="K77" s="94" t="str">
        <f>VLOOKUP(I77,[7]stage_hints!$A:$C,3,FALSE)</f>
        <v>フィーバーで一発逆転（その1）</v>
      </c>
      <c r="L77" s="95" t="str">
        <f>VLOOKUP(I77,[7]stage_hints!$A:$D,4,FALSE)</f>
        <v>フィーバーは攻撃と回復を兼ね備えます_x000D_ピンチからの一発逆転を狙いましょう</v>
      </c>
      <c r="M77" s="57" t="s">
        <v>212</v>
      </c>
    </row>
    <row r="78" spans="1:13" x14ac:dyDescent="0.15">
      <c r="A78" s="81" t="s">
        <v>201</v>
      </c>
      <c r="B78" s="82">
        <f>floors!$C$2</f>
        <v>65524</v>
      </c>
      <c r="C78" s="83" t="str">
        <f ca="1">VLOOKUP($B78,OFFSET([2]quests!$A$1,0,0,COUNTA([2]quests!$A:$A),MATCH(C$1,[2]quests!$1:$1,0)-MATCH($B$1,[2]quests!$1:$1,0)+1),MATCH(C$1,[2]quests!$1:$1,0)-MATCH($B$1,[2]quests!$1:$1,0)+1,FALSE)</f>
        <v>【LB田頭】検証クエスト</v>
      </c>
      <c r="D78" s="83" t="str">
        <f ca="1">VLOOKUP($B78,OFFSET([2]quests!$A$1,0,0,COUNTA([2]quests!$A:$A),MATCH(D$1,[2]quests!$1:$1,0)-MATCH($B$1,[2]quests!$1:$1,0)+1),MATCH(D$1,[2]quests!$1:$1,0)-MATCH($B$1,[2]quests!$1:$1,0)+1,FALSE)</f>
        <v>童話シリーズ　超級</v>
      </c>
      <c r="E78" s="87" t="s">
        <v>217</v>
      </c>
      <c r="F78" s="83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3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5">
        <v>0</v>
      </c>
      <c r="I78" s="97">
        <v>23</v>
      </c>
      <c r="J78" s="84" t="s">
        <v>199</v>
      </c>
      <c r="K78" s="94" t="str">
        <f>VLOOKUP(I78,[7]stage_hints!$A:$C,3,FALSE)</f>
        <v>フィーバーで一発逆転（その2）</v>
      </c>
      <c r="L78" s="95" t="str">
        <f>VLOOKUP(I78,[7]stage_hints!$A:$D,4,FALSE)</f>
        <v>フィーバー中は虹色のボムパネルを狙って_x000D_画面上のパネルを一気に破壊しましょう</v>
      </c>
      <c r="M78" s="57" t="s">
        <v>212</v>
      </c>
    </row>
    <row r="79" spans="1:13" x14ac:dyDescent="0.15">
      <c r="A79" s="81" t="s">
        <v>201</v>
      </c>
      <c r="B79" s="82">
        <f>floors!$C$2</f>
        <v>65524</v>
      </c>
      <c r="C79" s="83" t="str">
        <f ca="1">VLOOKUP($B79,OFFSET([2]quests!$A$1,0,0,COUNTA([2]quests!$A:$A),MATCH(C$1,[2]quests!$1:$1,0)-MATCH($B$1,[2]quests!$1:$1,0)+1),MATCH(C$1,[2]quests!$1:$1,0)-MATCH($B$1,[2]quests!$1:$1,0)+1,FALSE)</f>
        <v>【LB田頭】検証クエスト</v>
      </c>
      <c r="D79" s="83" t="str">
        <f ca="1">VLOOKUP($B79,OFFSET([2]quests!$A$1,0,0,COUNTA([2]quests!$A:$A),MATCH(D$1,[2]quests!$1:$1,0)-MATCH($B$1,[2]quests!$1:$1,0)+1),MATCH(D$1,[2]quests!$1:$1,0)-MATCH($B$1,[2]quests!$1:$1,0)+1,FALSE)</f>
        <v>童話シリーズ　超級</v>
      </c>
      <c r="E79" s="87" t="s">
        <v>217</v>
      </c>
      <c r="F79" s="83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3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5">
        <v>0</v>
      </c>
      <c r="I79" s="97">
        <v>24</v>
      </c>
      <c r="J79" s="84" t="s">
        <v>199</v>
      </c>
      <c r="K79" s="94" t="str">
        <f>VLOOKUP(I79,[7]stage_hints!$A:$C,3,FALSE)</f>
        <v>果実を使って限界突破</v>
      </c>
      <c r="L79" s="95" t="str">
        <f>VLOOKUP(I79,[7]stage_hints!$A:$D,4,FALSE)</f>
        <v>攻めの果実 癒しの果実_x000D_生命の果実をユニット強化に使うと_x000D_ステータスが限界突破します（計99個迄）</v>
      </c>
      <c r="M79" s="57" t="s">
        <v>212</v>
      </c>
    </row>
    <row r="80" spans="1:13" x14ac:dyDescent="0.15">
      <c r="A80" s="81" t="s">
        <v>201</v>
      </c>
      <c r="B80" s="82">
        <f>floors!$C$2</f>
        <v>65524</v>
      </c>
      <c r="C80" s="83" t="str">
        <f ca="1">VLOOKUP($B80,OFFSET([2]quests!$A$1,0,0,COUNTA([2]quests!$A:$A),MATCH(C$1,[2]quests!$1:$1,0)-MATCH($B$1,[2]quests!$1:$1,0)+1),MATCH(C$1,[2]quests!$1:$1,0)-MATCH($B$1,[2]quests!$1:$1,0)+1,FALSE)</f>
        <v>【LB田頭】検証クエスト</v>
      </c>
      <c r="D80" s="83" t="str">
        <f ca="1">VLOOKUP($B80,OFFSET([2]quests!$A$1,0,0,COUNTA([2]quests!$A:$A),MATCH(D$1,[2]quests!$1:$1,0)-MATCH($B$1,[2]quests!$1:$1,0)+1),MATCH(D$1,[2]quests!$1:$1,0)-MATCH($B$1,[2]quests!$1:$1,0)+1,FALSE)</f>
        <v>童話シリーズ　超級</v>
      </c>
      <c r="E80" s="87" t="s">
        <v>217</v>
      </c>
      <c r="F80" s="83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3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5">
        <v>0</v>
      </c>
      <c r="I80" s="97">
        <v>25</v>
      </c>
      <c r="J80" s="84" t="s">
        <v>199</v>
      </c>
      <c r="K80" s="94" t="str">
        <f>VLOOKUP(I80,[7]stage_hints!$A:$C,3,FALSE)</f>
        <v>スキルレベルアップ</v>
      </c>
      <c r="L80" s="95" t="str">
        <f>VLOOKUP(I80,[7]stage_hints!$A:$D,4,FALSE)</f>
        <v>「秘術の果実」を強化に使うと_x000D_スキルレベルを上げることができます</v>
      </c>
      <c r="M80" s="57" t="s">
        <v>212</v>
      </c>
    </row>
    <row r="81" spans="1:13" x14ac:dyDescent="0.15">
      <c r="A81" s="81" t="s">
        <v>201</v>
      </c>
      <c r="B81" s="82">
        <f>floors!$C$2</f>
        <v>65524</v>
      </c>
      <c r="C81" s="83" t="str">
        <f ca="1">VLOOKUP($B81,OFFSET([2]quests!$A$1,0,0,COUNTA([2]quests!$A:$A),MATCH(C$1,[2]quests!$1:$1,0)-MATCH($B$1,[2]quests!$1:$1,0)+1),MATCH(C$1,[2]quests!$1:$1,0)-MATCH($B$1,[2]quests!$1:$1,0)+1,FALSE)</f>
        <v>【LB田頭】検証クエスト</v>
      </c>
      <c r="D81" s="83" t="str">
        <f ca="1">VLOOKUP($B81,OFFSET([2]quests!$A$1,0,0,COUNTA([2]quests!$A:$A),MATCH(D$1,[2]quests!$1:$1,0)-MATCH($B$1,[2]quests!$1:$1,0)+1),MATCH(D$1,[2]quests!$1:$1,0)-MATCH($B$1,[2]quests!$1:$1,0)+1,FALSE)</f>
        <v>童話シリーズ　超級</v>
      </c>
      <c r="E81" s="87" t="s">
        <v>217</v>
      </c>
      <c r="F81" s="83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3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5">
        <v>0</v>
      </c>
      <c r="I81" s="97">
        <v>26</v>
      </c>
      <c r="J81" s="84" t="s">
        <v>199</v>
      </c>
      <c r="K81" s="94" t="str">
        <f>VLOOKUP(I81,[7]stage_hints!$A:$C,3,FALSE)</f>
        <v>スキルレベルの効果</v>
      </c>
      <c r="L81" s="95" t="str">
        <f>VLOOKUP(I81,[7]stage_hints!$A:$D,4,FALSE)</f>
        <v>スキルレベルが上がると_x000D_短いターンでスキルを使うことができます</v>
      </c>
      <c r="M81" s="57" t="s">
        <v>212</v>
      </c>
    </row>
    <row r="82" spans="1:13" x14ac:dyDescent="0.15">
      <c r="A82" s="81" t="s">
        <v>201</v>
      </c>
      <c r="B82" s="82">
        <f>floors!$C$2</f>
        <v>65524</v>
      </c>
      <c r="C82" s="83" t="str">
        <f ca="1">VLOOKUP($B82,OFFSET([2]quests!$A$1,0,0,COUNTA([2]quests!$A:$A),MATCH(C$1,[2]quests!$1:$1,0)-MATCH($B$1,[2]quests!$1:$1,0)+1),MATCH(C$1,[2]quests!$1:$1,0)-MATCH($B$1,[2]quests!$1:$1,0)+1,FALSE)</f>
        <v>【LB田頭】検証クエスト</v>
      </c>
      <c r="D82" s="83" t="str">
        <f ca="1">VLOOKUP($B82,OFFSET([2]quests!$A$1,0,0,COUNTA([2]quests!$A:$A),MATCH(D$1,[2]quests!$1:$1,0)-MATCH($B$1,[2]quests!$1:$1,0)+1),MATCH(D$1,[2]quests!$1:$1,0)-MATCH($B$1,[2]quests!$1:$1,0)+1,FALSE)</f>
        <v>童話シリーズ　超級</v>
      </c>
      <c r="E82" s="87" t="s">
        <v>217</v>
      </c>
      <c r="F82" s="83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3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5">
        <v>0</v>
      </c>
      <c r="I82" s="97">
        <v>27</v>
      </c>
      <c r="J82" s="84" t="s">
        <v>199</v>
      </c>
      <c r="K82" s="94" t="str">
        <f>VLOOKUP(I82,[7]stage_hints!$A:$C,3,FALSE)</f>
        <v>ホーム画面からデッキを編成</v>
      </c>
      <c r="L82" s="95" t="str">
        <f>VLOOKUP(I82,[7]stage_hints!$A:$D,4,FALSE)</f>
        <v>ホーム画面でユニットを長押しすると_x000D_すぐにパーティ編成に移動できます</v>
      </c>
      <c r="M82" s="57" t="s">
        <v>212</v>
      </c>
    </row>
    <row r="83" spans="1:13" x14ac:dyDescent="0.15">
      <c r="A83" s="81" t="s">
        <v>201</v>
      </c>
      <c r="B83" s="82">
        <f>floors!$C$2</f>
        <v>65524</v>
      </c>
      <c r="C83" s="83" t="str">
        <f ca="1">VLOOKUP($B83,OFFSET([2]quests!$A$1,0,0,COUNTA([2]quests!$A:$A),MATCH(C$1,[2]quests!$1:$1,0)-MATCH($B$1,[2]quests!$1:$1,0)+1),MATCH(C$1,[2]quests!$1:$1,0)-MATCH($B$1,[2]quests!$1:$1,0)+1,FALSE)</f>
        <v>【LB田頭】検証クエスト</v>
      </c>
      <c r="D83" s="83" t="str">
        <f ca="1">VLOOKUP($B83,OFFSET([2]quests!$A$1,0,0,COUNTA([2]quests!$A:$A),MATCH(D$1,[2]quests!$1:$1,0)-MATCH($B$1,[2]quests!$1:$1,0)+1),MATCH(D$1,[2]quests!$1:$1,0)-MATCH($B$1,[2]quests!$1:$1,0)+1,FALSE)</f>
        <v>童話シリーズ　超級</v>
      </c>
      <c r="E83" s="87" t="s">
        <v>217</v>
      </c>
      <c r="F83" s="83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3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5">
        <v>0</v>
      </c>
      <c r="I83" s="97">
        <v>28</v>
      </c>
      <c r="J83" s="84" t="s">
        <v>199</v>
      </c>
      <c r="K83" s="94" t="str">
        <f>VLOOKUP(I83,[7]stage_hints!$A:$C,3,FALSE)</f>
        <v>ステータス情報は長押しで</v>
      </c>
      <c r="L83" s="95" t="str">
        <f>VLOOKUP(I83,[7]stage_hints!$A:$D,4,FALSE)</f>
        <v>ユニットのアイコンを長押しすると_x000D_ステータス情報を確認することができます</v>
      </c>
      <c r="M83" s="57" t="s">
        <v>212</v>
      </c>
    </row>
    <row r="84" spans="1:13" x14ac:dyDescent="0.15">
      <c r="A84" s="81" t="s">
        <v>201</v>
      </c>
      <c r="B84" s="82">
        <f>floors!$C$2</f>
        <v>65524</v>
      </c>
      <c r="C84" s="83" t="str">
        <f ca="1">VLOOKUP($B84,OFFSET([2]quests!$A$1,0,0,COUNTA([2]quests!$A:$A),MATCH(C$1,[2]quests!$1:$1,0)-MATCH($B$1,[2]quests!$1:$1,0)+1),MATCH(C$1,[2]quests!$1:$1,0)-MATCH($B$1,[2]quests!$1:$1,0)+1,FALSE)</f>
        <v>【LB田頭】検証クエスト</v>
      </c>
      <c r="D84" s="83" t="str">
        <f ca="1">VLOOKUP($B84,OFFSET([2]quests!$A$1,0,0,COUNTA([2]quests!$A:$A),MATCH(D$1,[2]quests!$1:$1,0)-MATCH($B$1,[2]quests!$1:$1,0)+1),MATCH(D$1,[2]quests!$1:$1,0)-MATCH($B$1,[2]quests!$1:$1,0)+1,FALSE)</f>
        <v>童話シリーズ　超級</v>
      </c>
      <c r="E84" s="87" t="s">
        <v>217</v>
      </c>
      <c r="F84" s="83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3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5">
        <v>0</v>
      </c>
      <c r="I84" s="97">
        <v>29</v>
      </c>
      <c r="J84" s="84" t="s">
        <v>199</v>
      </c>
      <c r="K84" s="94" t="str">
        <f>VLOOKUP(I84,[7]stage_hints!$A:$C,3,FALSE)</f>
        <v>「バグ」のメリット</v>
      </c>
      <c r="L84" s="95" t="str">
        <f>VLOOKUP(I84,[7]stage_hints!$A:$D,4,FALSE)</f>
        <v>ユニットの「バグ」を増やすと_x000D_報酬をもらえる確率がアップします</v>
      </c>
      <c r="M84" s="57" t="s">
        <v>212</v>
      </c>
    </row>
    <row r="85" spans="1:13" x14ac:dyDescent="0.15">
      <c r="A85" s="81" t="s">
        <v>201</v>
      </c>
      <c r="B85" s="82">
        <f>floors!$C$2</f>
        <v>65524</v>
      </c>
      <c r="C85" s="83" t="str">
        <f ca="1">VLOOKUP($B85,OFFSET([2]quests!$A$1,0,0,COUNTA([2]quests!$A:$A),MATCH(C$1,[2]quests!$1:$1,0)-MATCH($B$1,[2]quests!$1:$1,0)+1),MATCH(C$1,[2]quests!$1:$1,0)-MATCH($B$1,[2]quests!$1:$1,0)+1,FALSE)</f>
        <v>【LB田頭】検証クエスト</v>
      </c>
      <c r="D85" s="83" t="str">
        <f ca="1">VLOOKUP($B85,OFFSET([2]quests!$A$1,0,0,COUNTA([2]quests!$A:$A),MATCH(D$1,[2]quests!$1:$1,0)-MATCH($B$1,[2]quests!$1:$1,0)+1),MATCH(D$1,[2]quests!$1:$1,0)-MATCH($B$1,[2]quests!$1:$1,0)+1,FALSE)</f>
        <v>童話シリーズ　超級</v>
      </c>
      <c r="E85" s="87" t="s">
        <v>217</v>
      </c>
      <c r="F85" s="83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3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5">
        <v>0</v>
      </c>
      <c r="I85" s="97">
        <v>30</v>
      </c>
      <c r="J85" s="84" t="s">
        <v>199</v>
      </c>
      <c r="K85" s="94" t="str">
        <f>VLOOKUP(I85,[7]stage_hints!$A:$C,3,FALSE)</f>
        <v>「バグ」の増やし方</v>
      </c>
      <c r="L85" s="95" t="str">
        <f>VLOOKUP(I85,[7]stage_hints!$A:$D,4,FALSE)</f>
        <v>同じユニット同士を強化で合成すると_x000D_「バグ」を増やすことができます</v>
      </c>
      <c r="M85" s="57" t="s">
        <v>212</v>
      </c>
    </row>
    <row r="86" spans="1:13" x14ac:dyDescent="0.15">
      <c r="A86" s="81" t="s">
        <v>201</v>
      </c>
      <c r="B86" s="82">
        <f>floors!$C$2</f>
        <v>65524</v>
      </c>
      <c r="C86" s="83" t="str">
        <f ca="1">VLOOKUP($B86,OFFSET([2]quests!$A$1,0,0,COUNTA([2]quests!$A:$A),MATCH(C$1,[2]quests!$1:$1,0)-MATCH($B$1,[2]quests!$1:$1,0)+1),MATCH(C$1,[2]quests!$1:$1,0)-MATCH($B$1,[2]quests!$1:$1,0)+1,FALSE)</f>
        <v>【LB田頭】検証クエスト</v>
      </c>
      <c r="D86" s="83" t="str">
        <f ca="1">VLOOKUP($B86,OFFSET([2]quests!$A$1,0,0,COUNTA([2]quests!$A:$A),MATCH(D$1,[2]quests!$1:$1,0)-MATCH($B$1,[2]quests!$1:$1,0)+1),MATCH(D$1,[2]quests!$1:$1,0)-MATCH($B$1,[2]quests!$1:$1,0)+1,FALSE)</f>
        <v>童話シリーズ　超級</v>
      </c>
      <c r="E86" s="87" t="s">
        <v>217</v>
      </c>
      <c r="F86" s="83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3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5">
        <v>0</v>
      </c>
      <c r="I86" s="97">
        <v>31</v>
      </c>
      <c r="J86" s="84" t="s">
        <v>199</v>
      </c>
      <c r="K86" s="94" t="str">
        <f>VLOOKUP(I86,[7]stage_hints!$A:$C,3,FALSE)</f>
        <v>イベントはお知らせでチェック</v>
      </c>
      <c r="L86" s="95" t="str">
        <f>VLOOKUP(I86,[7]stage_hints!$A:$D,4,FALSE)</f>
        <v>イベント限定ユニットを取り忘れないように_x000D_お知らせをこまめにチェックしましょう</v>
      </c>
      <c r="M86" s="57" t="s">
        <v>212</v>
      </c>
    </row>
    <row r="87" spans="1:13" x14ac:dyDescent="0.15">
      <c r="A87" s="81" t="s">
        <v>201</v>
      </c>
      <c r="B87" s="82">
        <f>floors!$C$2</f>
        <v>65524</v>
      </c>
      <c r="C87" s="83" t="str">
        <f ca="1">VLOOKUP($B87,OFFSET([2]quests!$A$1,0,0,COUNTA([2]quests!$A:$A),MATCH(C$1,[2]quests!$1:$1,0)-MATCH($B$1,[2]quests!$1:$1,0)+1),MATCH(C$1,[2]quests!$1:$1,0)-MATCH($B$1,[2]quests!$1:$1,0)+1,FALSE)</f>
        <v>【LB田頭】検証クエスト</v>
      </c>
      <c r="D87" s="83" t="str">
        <f ca="1">VLOOKUP($B87,OFFSET([2]quests!$A$1,0,0,COUNTA([2]quests!$A:$A),MATCH(D$1,[2]quests!$1:$1,0)-MATCH($B$1,[2]quests!$1:$1,0)+1),MATCH(D$1,[2]quests!$1:$1,0)-MATCH($B$1,[2]quests!$1:$1,0)+1,FALSE)</f>
        <v>童話シリーズ　超級</v>
      </c>
      <c r="E87" s="87" t="s">
        <v>217</v>
      </c>
      <c r="F87" s="83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3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5">
        <v>0</v>
      </c>
      <c r="I87" s="97">
        <v>32</v>
      </c>
      <c r="J87" s="84" t="s">
        <v>199</v>
      </c>
      <c r="K87" s="94" t="str">
        <f>VLOOKUP(I87,[7]stage_hints!$A:$C,3,FALSE)</f>
        <v>敵の連続攻撃には</v>
      </c>
      <c r="L87" s="95" t="str">
        <f>VLOOKUP(I87,[7]stage_hints!$A:$D,4,FALSE)</f>
        <v>カウンタースキルを持つユニットがいれば_x000D_ダメージ回数分の反撃ができます</v>
      </c>
      <c r="M87" s="57" t="s">
        <v>212</v>
      </c>
    </row>
    <row r="88" spans="1:13" x14ac:dyDescent="0.15">
      <c r="A88" s="81" t="s">
        <v>201</v>
      </c>
      <c r="B88" s="82">
        <f>floors!$C$2</f>
        <v>65524</v>
      </c>
      <c r="C88" s="83" t="str">
        <f ca="1">VLOOKUP($B88,OFFSET([2]quests!$A$1,0,0,COUNTA([2]quests!$A:$A),MATCH(C$1,[2]quests!$1:$1,0)-MATCH($B$1,[2]quests!$1:$1,0)+1),MATCH(C$1,[2]quests!$1:$1,0)-MATCH($B$1,[2]quests!$1:$1,0)+1,FALSE)</f>
        <v>【LB田頭】検証クエスト</v>
      </c>
      <c r="D88" s="83" t="str">
        <f ca="1">VLOOKUP($B88,OFFSET([2]quests!$A$1,0,0,COUNTA([2]quests!$A:$A),MATCH(D$1,[2]quests!$1:$1,0)-MATCH($B$1,[2]quests!$1:$1,0)+1),MATCH(D$1,[2]quests!$1:$1,0)-MATCH($B$1,[2]quests!$1:$1,0)+1,FALSE)</f>
        <v>童話シリーズ　超級</v>
      </c>
      <c r="E88" s="87" t="s">
        <v>217</v>
      </c>
      <c r="F88" s="83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3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5">
        <v>0</v>
      </c>
      <c r="I88" s="97">
        <v>33</v>
      </c>
      <c r="J88" s="84" t="s">
        <v>199</v>
      </c>
      <c r="K88" s="94" t="str">
        <f>VLOOKUP(I88,[7]stage_hints!$A:$C,3,FALSE)</f>
        <v>敵のカウンター攻撃には</v>
      </c>
      <c r="L88" s="95" t="str">
        <f>VLOOKUP(I88,[7]stage_hints!$A:$D,4,FALSE)</f>
        <v>カウンターブレイクスキルを持っていれば_x000D_敵のカウンターを解除して攻撃ができます</v>
      </c>
      <c r="M88" s="57" t="s">
        <v>212</v>
      </c>
    </row>
    <row r="89" spans="1:13" x14ac:dyDescent="0.15">
      <c r="A89" s="81" t="s">
        <v>201</v>
      </c>
      <c r="B89" s="82">
        <f>floors!$C$2</f>
        <v>65524</v>
      </c>
      <c r="C89" s="83" t="str">
        <f ca="1">VLOOKUP($B89,OFFSET([2]quests!$A$1,0,0,COUNTA([2]quests!$A:$A),MATCH(C$1,[2]quests!$1:$1,0)-MATCH($B$1,[2]quests!$1:$1,0)+1),MATCH(C$1,[2]quests!$1:$1,0)-MATCH($B$1,[2]quests!$1:$1,0)+1,FALSE)</f>
        <v>【LB田頭】検証クエスト</v>
      </c>
      <c r="D89" s="83" t="str">
        <f ca="1">VLOOKUP($B89,OFFSET([2]quests!$A$1,0,0,COUNTA([2]quests!$A:$A),MATCH(D$1,[2]quests!$1:$1,0)-MATCH($B$1,[2]quests!$1:$1,0)+1),MATCH(D$1,[2]quests!$1:$1,0)-MATCH($B$1,[2]quests!$1:$1,0)+1,FALSE)</f>
        <v>童話シリーズ　超級</v>
      </c>
      <c r="E89" s="87" t="s">
        <v>217</v>
      </c>
      <c r="F89" s="83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3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5">
        <v>0</v>
      </c>
      <c r="I89" s="97">
        <v>34</v>
      </c>
      <c r="J89" s="84" t="s">
        <v>199</v>
      </c>
      <c r="K89" s="94" t="str">
        <f>VLOOKUP(I89,[7]stage_hints!$A:$C,3,FALSE)</f>
        <v>ステータスをスキルで下げられたら</v>
      </c>
      <c r="L89" s="95" t="str">
        <f>VLOOKUP(I89,[7]stage_hints!$A:$D,4,FALSE)</f>
        <v>ステータスダウンのスキルを受けたら_x000D_ステータスアップスキルで上書きしましょう</v>
      </c>
      <c r="M89" s="57" t="s">
        <v>212</v>
      </c>
    </row>
    <row r="90" spans="1:13" x14ac:dyDescent="0.15">
      <c r="A90" s="81" t="s">
        <v>201</v>
      </c>
      <c r="B90" s="82">
        <f>floors!$C$2</f>
        <v>65524</v>
      </c>
      <c r="C90" s="83" t="str">
        <f ca="1">VLOOKUP($B90,OFFSET([2]quests!$A$1,0,0,COUNTA([2]quests!$A:$A),MATCH(C$1,[2]quests!$1:$1,0)-MATCH($B$1,[2]quests!$1:$1,0)+1),MATCH(C$1,[2]quests!$1:$1,0)-MATCH($B$1,[2]quests!$1:$1,0)+1,FALSE)</f>
        <v>【LB田頭】検証クエスト</v>
      </c>
      <c r="D90" s="83" t="str">
        <f ca="1">VLOOKUP($B90,OFFSET([2]quests!$A$1,0,0,COUNTA([2]quests!$A:$A),MATCH(D$1,[2]quests!$1:$1,0)-MATCH($B$1,[2]quests!$1:$1,0)+1),MATCH(D$1,[2]quests!$1:$1,0)-MATCH($B$1,[2]quests!$1:$1,0)+1,FALSE)</f>
        <v>童話シリーズ　超級</v>
      </c>
      <c r="E90" s="87" t="s">
        <v>217</v>
      </c>
      <c r="F90" s="83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3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5">
        <v>0</v>
      </c>
      <c r="I90" s="97">
        <v>35</v>
      </c>
      <c r="J90" s="84" t="s">
        <v>199</v>
      </c>
      <c r="K90" s="94" t="str">
        <f>VLOOKUP(I90,[7]stage_hints!$A:$C,3,FALSE)</f>
        <v>敵のステータスがスキルで上がったら</v>
      </c>
      <c r="L90" s="95" t="str">
        <f>VLOOKUP(I90,[7]stage_hints!$A:$D,4,FALSE)</f>
        <v>敵のステータスがスキルでアップしたときは_x000D_ステータスダウンスキルで上書きしましょう</v>
      </c>
      <c r="M90" s="57" t="s">
        <v>212</v>
      </c>
    </row>
    <row r="91" spans="1:13" x14ac:dyDescent="0.15">
      <c r="A91" s="81" t="s">
        <v>201</v>
      </c>
      <c r="B91" s="82">
        <f>floors!$C$2</f>
        <v>65524</v>
      </c>
      <c r="C91" s="83" t="str">
        <f ca="1">VLOOKUP($B91,OFFSET([2]quests!$A$1,0,0,COUNTA([2]quests!$A:$A),MATCH(C$1,[2]quests!$1:$1,0)-MATCH($B$1,[2]quests!$1:$1,0)+1),MATCH(C$1,[2]quests!$1:$1,0)-MATCH($B$1,[2]quests!$1:$1,0)+1,FALSE)</f>
        <v>【LB田頭】検証クエスト</v>
      </c>
      <c r="D91" s="83" t="str">
        <f ca="1">VLOOKUP($B91,OFFSET([2]quests!$A$1,0,0,COUNTA([2]quests!$A:$A),MATCH(D$1,[2]quests!$1:$1,0)-MATCH($B$1,[2]quests!$1:$1,0)+1),MATCH(D$1,[2]quests!$1:$1,0)-MATCH($B$1,[2]quests!$1:$1,0)+1,FALSE)</f>
        <v>童話シリーズ　超級</v>
      </c>
      <c r="E91" s="87" t="s">
        <v>217</v>
      </c>
      <c r="F91" s="83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3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5">
        <v>0</v>
      </c>
      <c r="I91" s="97">
        <v>36</v>
      </c>
      <c r="J91" s="84" t="s">
        <v>199</v>
      </c>
      <c r="K91" s="94" t="str">
        <f>VLOOKUP(I91,[7]stage_hints!$A:$C,3,FALSE)</f>
        <v>タワーオブザクイーンのボス</v>
      </c>
      <c r="L91" s="95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212</v>
      </c>
    </row>
    <row r="92" spans="1:13" x14ac:dyDescent="0.15">
      <c r="A92" s="81" t="s">
        <v>201</v>
      </c>
      <c r="B92" s="82">
        <f>floors!$C$2</f>
        <v>65524</v>
      </c>
      <c r="C92" s="83" t="str">
        <f ca="1">VLOOKUP($B92,OFFSET([2]quests!$A$1,0,0,COUNTA([2]quests!$A:$A),MATCH(C$1,[2]quests!$1:$1,0)-MATCH($B$1,[2]quests!$1:$1,0)+1),MATCH(C$1,[2]quests!$1:$1,0)-MATCH($B$1,[2]quests!$1:$1,0)+1,FALSE)</f>
        <v>【LB田頭】検証クエスト</v>
      </c>
      <c r="D92" s="83" t="str">
        <f ca="1">VLOOKUP($B92,OFFSET([2]quests!$A$1,0,0,COUNTA([2]quests!$A:$A),MATCH(D$1,[2]quests!$1:$1,0)-MATCH($B$1,[2]quests!$1:$1,0)+1),MATCH(D$1,[2]quests!$1:$1,0)-MATCH($B$1,[2]quests!$1:$1,0)+1,FALSE)</f>
        <v>童話シリーズ　超級</v>
      </c>
      <c r="E92" s="87" t="s">
        <v>217</v>
      </c>
      <c r="F92" s="83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3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5">
        <v>0</v>
      </c>
      <c r="I92" s="97">
        <v>37</v>
      </c>
      <c r="J92" s="84" t="s">
        <v>199</v>
      </c>
      <c r="K92" s="94" t="str">
        <f>VLOOKUP(I92,[7]stage_hints!$A:$C,3,FALSE)</f>
        <v>限界突破値の引き継ぎ</v>
      </c>
      <c r="L92" s="95" t="str">
        <f>VLOOKUP(I92,[7]stage_hints!$A:$D,4,FALSE)</f>
        <v>同じユニットを強化で合成すると_x000D_限界突破値を引き継げます（覚醒前後も可）</v>
      </c>
      <c r="M92" s="57" t="s">
        <v>212</v>
      </c>
    </row>
    <row r="93" spans="1:13" x14ac:dyDescent="0.15">
      <c r="A93" s="81" t="s">
        <v>201</v>
      </c>
      <c r="B93" s="82">
        <f>floors!$C$2</f>
        <v>65524</v>
      </c>
      <c r="C93" s="83" t="str">
        <f ca="1">VLOOKUP($B93,OFFSET([2]quests!$A$1,0,0,COUNTA([2]quests!$A:$A),MATCH(C$1,[2]quests!$1:$1,0)-MATCH($B$1,[2]quests!$1:$1,0)+1),MATCH(C$1,[2]quests!$1:$1,0)-MATCH($B$1,[2]quests!$1:$1,0)+1,FALSE)</f>
        <v>【LB田頭】検証クエスト</v>
      </c>
      <c r="D93" s="83" t="str">
        <f ca="1">VLOOKUP($B93,OFFSET([2]quests!$A$1,0,0,COUNTA([2]quests!$A:$A),MATCH(D$1,[2]quests!$1:$1,0)-MATCH($B$1,[2]quests!$1:$1,0)+1),MATCH(D$1,[2]quests!$1:$1,0)-MATCH($B$1,[2]quests!$1:$1,0)+1,FALSE)</f>
        <v>童話シリーズ　超級</v>
      </c>
      <c r="E93" s="87" t="s">
        <v>217</v>
      </c>
      <c r="F93" s="83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3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5">
        <v>0</v>
      </c>
      <c r="I93" s="97">
        <v>39</v>
      </c>
      <c r="J93" s="84" t="s">
        <v>199</v>
      </c>
      <c r="K93" s="94" t="str">
        <f>VLOOKUP(I93,[7]stage_hints!$A:$C,3,FALSE)</f>
        <v>システム適合者を確認</v>
      </c>
      <c r="L93" s="95" t="str">
        <f>VLOOKUP(I93,[7]stage_hints!$A:$D,4,FALSE)</f>
        <v>ALICEが 「アナタ」を呼んでいます</v>
      </c>
      <c r="M93" s="57" t="s">
        <v>212</v>
      </c>
    </row>
    <row r="94" spans="1:13" x14ac:dyDescent="0.15">
      <c r="A94" s="81" t="s">
        <v>201</v>
      </c>
      <c r="B94" s="82">
        <f>floors!$C$2</f>
        <v>65524</v>
      </c>
      <c r="C94" s="83" t="str">
        <f ca="1">VLOOKUP($B94,OFFSET([2]quests!$A$1,0,0,COUNTA([2]quests!$A:$A),MATCH(C$1,[2]quests!$1:$1,0)-MATCH($B$1,[2]quests!$1:$1,0)+1),MATCH(C$1,[2]quests!$1:$1,0)-MATCH($B$1,[2]quests!$1:$1,0)+1,FALSE)</f>
        <v>【LB田頭】検証クエスト</v>
      </c>
      <c r="D94" s="83" t="str">
        <f ca="1">VLOOKUP($B94,OFFSET([2]quests!$A$1,0,0,COUNTA([2]quests!$A:$A),MATCH(D$1,[2]quests!$1:$1,0)-MATCH($B$1,[2]quests!$1:$1,0)+1),MATCH(D$1,[2]quests!$1:$1,0)-MATCH($B$1,[2]quests!$1:$1,0)+1,FALSE)</f>
        <v>童話シリーズ　超級</v>
      </c>
      <c r="E94" s="87" t="s">
        <v>218</v>
      </c>
      <c r="F94" s="83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3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5">
        <v>0</v>
      </c>
      <c r="I94">
        <v>12</v>
      </c>
      <c r="J94" s="84" t="s">
        <v>199</v>
      </c>
      <c r="K94" s="94" t="str">
        <f>VLOOKUP(I94,[7]stage_hints!$A:$C,3,FALSE)</f>
        <v>ユニットのお気に入り登録</v>
      </c>
      <c r="L94" s="95" t="str">
        <f>VLOOKUP(I94,[7]stage_hints!$A:$D,4,FALSE)</f>
        <v>大事なユニットを誤って消さないように_x000D_フォルダから「お気に入り登録」しましょう</v>
      </c>
      <c r="M94" s="57" t="s">
        <v>212</v>
      </c>
    </row>
    <row r="95" spans="1:13" x14ac:dyDescent="0.15">
      <c r="A95" s="81" t="s">
        <v>201</v>
      </c>
      <c r="B95" s="82">
        <f>floors!$C$2</f>
        <v>65524</v>
      </c>
      <c r="C95" s="83" t="str">
        <f ca="1">VLOOKUP($B95,OFFSET([2]quests!$A$1,0,0,COUNTA([2]quests!$A:$A),MATCH(C$1,[2]quests!$1:$1,0)-MATCH($B$1,[2]quests!$1:$1,0)+1),MATCH(C$1,[2]quests!$1:$1,0)-MATCH($B$1,[2]quests!$1:$1,0)+1,FALSE)</f>
        <v>【LB田頭】検証クエスト</v>
      </c>
      <c r="D95" s="83" t="str">
        <f ca="1">VLOOKUP($B95,OFFSET([2]quests!$A$1,0,0,COUNTA([2]quests!$A:$A),MATCH(D$1,[2]quests!$1:$1,0)-MATCH($B$1,[2]quests!$1:$1,0)+1),MATCH(D$1,[2]quests!$1:$1,0)-MATCH($B$1,[2]quests!$1:$1,0)+1,FALSE)</f>
        <v>童話シリーズ　超級</v>
      </c>
      <c r="E95" s="87" t="s">
        <v>218</v>
      </c>
      <c r="F95" s="83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3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5">
        <v>0</v>
      </c>
      <c r="I95">
        <v>17</v>
      </c>
      <c r="J95" s="84" t="s">
        <v>199</v>
      </c>
      <c r="K95" s="94" t="str">
        <f>VLOOKUP(I95,[7]stage_hints!$A:$C,3,FALSE)</f>
        <v>リンクガチャ</v>
      </c>
      <c r="L95" s="95" t="str">
        <f>VLOOKUP(I95,[7]stage_hints!$A:$D,4,FALSE)</f>
        <v>無料のリンクガチャを回して_x000D_経験値素材や売却素材を獲得しましょう</v>
      </c>
      <c r="M95" s="57" t="s">
        <v>212</v>
      </c>
    </row>
    <row r="96" spans="1:13" x14ac:dyDescent="0.15">
      <c r="A96" s="81" t="s">
        <v>201</v>
      </c>
      <c r="B96" s="82">
        <f>floors!$C$2</f>
        <v>65524</v>
      </c>
      <c r="C96" s="83" t="str">
        <f ca="1">VLOOKUP($B96,OFFSET([2]quests!$A$1,0,0,COUNTA([2]quests!$A:$A),MATCH(C$1,[2]quests!$1:$1,0)-MATCH($B$1,[2]quests!$1:$1,0)+1),MATCH(C$1,[2]quests!$1:$1,0)-MATCH($B$1,[2]quests!$1:$1,0)+1,FALSE)</f>
        <v>【LB田頭】検証クエスト</v>
      </c>
      <c r="D96" s="83" t="str">
        <f ca="1">VLOOKUP($B96,OFFSET([2]quests!$A$1,0,0,COUNTA([2]quests!$A:$A),MATCH(D$1,[2]quests!$1:$1,0)-MATCH($B$1,[2]quests!$1:$1,0)+1),MATCH(D$1,[2]quests!$1:$1,0)-MATCH($B$1,[2]quests!$1:$1,0)+1,FALSE)</f>
        <v>童話シリーズ　超級</v>
      </c>
      <c r="E96" s="87" t="s">
        <v>218</v>
      </c>
      <c r="F96" s="83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3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5">
        <v>0</v>
      </c>
      <c r="I96">
        <v>19</v>
      </c>
      <c r="J96" s="84" t="s">
        <v>199</v>
      </c>
      <c r="K96" s="94" t="str">
        <f>VLOOKUP(I96,[7]stage_hints!$A:$C,3,FALSE)</f>
        <v>ソロ専用タワーオブザクイーン</v>
      </c>
      <c r="L96" s="95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212</v>
      </c>
    </row>
    <row r="97" spans="1:13" x14ac:dyDescent="0.15">
      <c r="A97" s="81" t="s">
        <v>201</v>
      </c>
      <c r="B97" s="82">
        <f>floors!$C$2</f>
        <v>65524</v>
      </c>
      <c r="C97" s="83" t="str">
        <f ca="1">VLOOKUP($B97,OFFSET([2]quests!$A$1,0,0,COUNTA([2]quests!$A:$A),MATCH(C$1,[2]quests!$1:$1,0)-MATCH($B$1,[2]quests!$1:$1,0)+1),MATCH(C$1,[2]quests!$1:$1,0)-MATCH($B$1,[2]quests!$1:$1,0)+1,FALSE)</f>
        <v>【LB田頭】検証クエスト</v>
      </c>
      <c r="D97" s="83" t="str">
        <f ca="1">VLOOKUP($B97,OFFSET([2]quests!$A$1,0,0,COUNTA([2]quests!$A:$A),MATCH(D$1,[2]quests!$1:$1,0)-MATCH($B$1,[2]quests!$1:$1,0)+1),MATCH(D$1,[2]quests!$1:$1,0)-MATCH($B$1,[2]quests!$1:$1,0)+1,FALSE)</f>
        <v>童話シリーズ　超級</v>
      </c>
      <c r="E97" s="87" t="s">
        <v>218</v>
      </c>
      <c r="F97" s="83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3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5">
        <v>0</v>
      </c>
      <c r="I97">
        <v>21</v>
      </c>
      <c r="J97" s="84" t="s">
        <v>199</v>
      </c>
      <c r="K97" s="94" t="str">
        <f>VLOOKUP(I97,[7]stage_hints!$A:$C,3,FALSE)</f>
        <v>スキルを有効に</v>
      </c>
      <c r="L97" s="95" t="str">
        <f>VLOOKUP(I97,[7]stage_hints!$A:$D,4,FALSE)</f>
        <v>ターン経過でユニットのスキルが使えます_x000D_強力スキルでバトルを有利に進めましょう</v>
      </c>
      <c r="M97" s="57" t="s">
        <v>212</v>
      </c>
    </row>
    <row r="98" spans="1:13" x14ac:dyDescent="0.15">
      <c r="A98" s="81" t="s">
        <v>201</v>
      </c>
      <c r="B98" s="82">
        <f>floors!$C$2</f>
        <v>65524</v>
      </c>
      <c r="C98" s="83" t="str">
        <f ca="1">VLOOKUP($B98,OFFSET([2]quests!$A$1,0,0,COUNTA([2]quests!$A:$A),MATCH(C$1,[2]quests!$1:$1,0)-MATCH($B$1,[2]quests!$1:$1,0)+1),MATCH(C$1,[2]quests!$1:$1,0)-MATCH($B$1,[2]quests!$1:$1,0)+1,FALSE)</f>
        <v>【LB田頭】検証クエスト</v>
      </c>
      <c r="D98" s="83" t="str">
        <f ca="1">VLOOKUP($B98,OFFSET([2]quests!$A$1,0,0,COUNTA([2]quests!$A:$A),MATCH(D$1,[2]quests!$1:$1,0)-MATCH($B$1,[2]quests!$1:$1,0)+1),MATCH(D$1,[2]quests!$1:$1,0)-MATCH($B$1,[2]quests!$1:$1,0)+1,FALSE)</f>
        <v>童話シリーズ　超級</v>
      </c>
      <c r="E98" s="87" t="s">
        <v>218</v>
      </c>
      <c r="F98" s="83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3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5">
        <v>0</v>
      </c>
      <c r="I98">
        <v>27</v>
      </c>
      <c r="J98" s="84" t="s">
        <v>199</v>
      </c>
      <c r="K98" s="94" t="str">
        <f>VLOOKUP(I98,[7]stage_hints!$A:$C,3,FALSE)</f>
        <v>ホーム画面からデッキを編成</v>
      </c>
      <c r="L98" s="95" t="str">
        <f>VLOOKUP(I98,[7]stage_hints!$A:$D,4,FALSE)</f>
        <v>ホーム画面でユニットを長押しすると_x000D_すぐにパーティ編成に移動できます</v>
      </c>
      <c r="M98" s="57" t="s">
        <v>212</v>
      </c>
    </row>
    <row r="99" spans="1:13" x14ac:dyDescent="0.15">
      <c r="A99" s="81" t="s">
        <v>201</v>
      </c>
      <c r="B99" s="82">
        <f>floors!$C$2</f>
        <v>65524</v>
      </c>
      <c r="C99" s="83" t="str">
        <f ca="1">VLOOKUP($B99,OFFSET([2]quests!$A$1,0,0,COUNTA([2]quests!$A:$A),MATCH(C$1,[2]quests!$1:$1,0)-MATCH($B$1,[2]quests!$1:$1,0)+1),MATCH(C$1,[2]quests!$1:$1,0)-MATCH($B$1,[2]quests!$1:$1,0)+1,FALSE)</f>
        <v>【LB田頭】検証クエスト</v>
      </c>
      <c r="D99" s="83" t="str">
        <f ca="1">VLOOKUP($B99,OFFSET([2]quests!$A$1,0,0,COUNTA([2]quests!$A:$A),MATCH(D$1,[2]quests!$1:$1,0)-MATCH($B$1,[2]quests!$1:$1,0)+1),MATCH(D$1,[2]quests!$1:$1,0)-MATCH($B$1,[2]quests!$1:$1,0)+1,FALSE)</f>
        <v>童話シリーズ　超級</v>
      </c>
      <c r="E99" s="87" t="s">
        <v>218</v>
      </c>
      <c r="F99" s="83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3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5">
        <v>0</v>
      </c>
      <c r="I99">
        <v>28</v>
      </c>
      <c r="J99" s="84" t="s">
        <v>199</v>
      </c>
      <c r="K99" s="94" t="str">
        <f>VLOOKUP(I99,[7]stage_hints!$A:$C,3,FALSE)</f>
        <v>ステータス情報は長押しで</v>
      </c>
      <c r="L99" s="95" t="str">
        <f>VLOOKUP(I99,[7]stage_hints!$A:$D,4,FALSE)</f>
        <v>ユニットのアイコンを長押しすると_x000D_ステータス情報を確認することができます</v>
      </c>
      <c r="M99" s="57" t="s">
        <v>212</v>
      </c>
    </row>
    <row r="100" spans="1:13" x14ac:dyDescent="0.15">
      <c r="A100" s="81" t="s">
        <v>201</v>
      </c>
      <c r="B100" s="82">
        <f>floors!$C$2</f>
        <v>65524</v>
      </c>
      <c r="C100" s="83" t="str">
        <f ca="1">VLOOKUP($B100,OFFSET([2]quests!$A$1,0,0,COUNTA([2]quests!$A:$A),MATCH(C$1,[2]quests!$1:$1,0)-MATCH($B$1,[2]quests!$1:$1,0)+1),MATCH(C$1,[2]quests!$1:$1,0)-MATCH($B$1,[2]quests!$1:$1,0)+1,FALSE)</f>
        <v>【LB田頭】検証クエスト</v>
      </c>
      <c r="D100" s="83" t="str">
        <f ca="1">VLOOKUP($B100,OFFSET([2]quests!$A$1,0,0,COUNTA([2]quests!$A:$A),MATCH(D$1,[2]quests!$1:$1,0)-MATCH($B$1,[2]quests!$1:$1,0)+1),MATCH(D$1,[2]quests!$1:$1,0)-MATCH($B$1,[2]quests!$1:$1,0)+1,FALSE)</f>
        <v>童話シリーズ　超級</v>
      </c>
      <c r="E100" s="87" t="s">
        <v>218</v>
      </c>
      <c r="F100" s="83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3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5">
        <v>0</v>
      </c>
      <c r="I100">
        <v>29</v>
      </c>
      <c r="J100" s="84" t="s">
        <v>199</v>
      </c>
      <c r="K100" s="94" t="str">
        <f>VLOOKUP(I100,[7]stage_hints!$A:$C,3,FALSE)</f>
        <v>「バグ」のメリット</v>
      </c>
      <c r="L100" s="95" t="str">
        <f>VLOOKUP(I100,[7]stage_hints!$A:$D,4,FALSE)</f>
        <v>ユニットの「バグ」を増やすと_x000D_報酬をもらえる確率がアップします</v>
      </c>
      <c r="M100" s="57" t="s">
        <v>212</v>
      </c>
    </row>
    <row r="101" spans="1:13" x14ac:dyDescent="0.15">
      <c r="A101" s="81" t="s">
        <v>201</v>
      </c>
      <c r="B101" s="82">
        <f>floors!$C$2</f>
        <v>65524</v>
      </c>
      <c r="C101" s="83" t="str">
        <f ca="1">VLOOKUP($B101,OFFSET([2]quests!$A$1,0,0,COUNTA([2]quests!$A:$A),MATCH(C$1,[2]quests!$1:$1,0)-MATCH($B$1,[2]quests!$1:$1,0)+1),MATCH(C$1,[2]quests!$1:$1,0)-MATCH($B$1,[2]quests!$1:$1,0)+1,FALSE)</f>
        <v>【LB田頭】検証クエスト</v>
      </c>
      <c r="D101" s="83" t="str">
        <f ca="1">VLOOKUP($B101,OFFSET([2]quests!$A$1,0,0,COUNTA([2]quests!$A:$A),MATCH(D$1,[2]quests!$1:$1,0)-MATCH($B$1,[2]quests!$1:$1,0)+1),MATCH(D$1,[2]quests!$1:$1,0)-MATCH($B$1,[2]quests!$1:$1,0)+1,FALSE)</f>
        <v>童話シリーズ　超級</v>
      </c>
      <c r="E101" s="87" t="s">
        <v>218</v>
      </c>
      <c r="F101" s="83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3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5">
        <v>0</v>
      </c>
      <c r="I101">
        <v>30</v>
      </c>
      <c r="J101" s="84" t="s">
        <v>199</v>
      </c>
      <c r="K101" s="94" t="str">
        <f>VLOOKUP(I101,[7]stage_hints!$A:$C,3,FALSE)</f>
        <v>「バグ」の増やし方</v>
      </c>
      <c r="L101" s="95" t="str">
        <f>VLOOKUP(I101,[7]stage_hints!$A:$D,4,FALSE)</f>
        <v>同じユニット同士を強化で合成すると_x000D_「バグ」を増やすことができます</v>
      </c>
      <c r="M101" s="57" t="s">
        <v>212</v>
      </c>
    </row>
    <row r="102" spans="1:13" x14ac:dyDescent="0.15">
      <c r="A102" s="81" t="s">
        <v>201</v>
      </c>
      <c r="B102" s="82">
        <f>floors!$C$2</f>
        <v>65524</v>
      </c>
      <c r="C102" s="83" t="str">
        <f ca="1">VLOOKUP($B102,OFFSET([2]quests!$A$1,0,0,COUNTA([2]quests!$A:$A),MATCH(C$1,[2]quests!$1:$1,0)-MATCH($B$1,[2]quests!$1:$1,0)+1),MATCH(C$1,[2]quests!$1:$1,0)-MATCH($B$1,[2]quests!$1:$1,0)+1,FALSE)</f>
        <v>【LB田頭】検証クエスト</v>
      </c>
      <c r="D102" s="83" t="str">
        <f ca="1">VLOOKUP($B102,OFFSET([2]quests!$A$1,0,0,COUNTA([2]quests!$A:$A),MATCH(D$1,[2]quests!$1:$1,0)-MATCH($B$1,[2]quests!$1:$1,0)+1),MATCH(D$1,[2]quests!$1:$1,0)-MATCH($B$1,[2]quests!$1:$1,0)+1,FALSE)</f>
        <v>童話シリーズ　超級</v>
      </c>
      <c r="E102" s="87" t="s">
        <v>218</v>
      </c>
      <c r="F102" s="83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3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5">
        <v>0</v>
      </c>
      <c r="I102">
        <v>32</v>
      </c>
      <c r="J102" s="84" t="s">
        <v>199</v>
      </c>
      <c r="K102" s="94" t="str">
        <f>VLOOKUP(I102,[7]stage_hints!$A:$C,3,FALSE)</f>
        <v>敵の連続攻撃には</v>
      </c>
      <c r="L102" s="95" t="str">
        <f>VLOOKUP(I102,[7]stage_hints!$A:$D,4,FALSE)</f>
        <v>カウンタースキルを持つユニットがいれば_x000D_ダメージ回数分の反撃ができます</v>
      </c>
      <c r="M102" s="57" t="s">
        <v>212</v>
      </c>
    </row>
    <row r="103" spans="1:13" x14ac:dyDescent="0.15">
      <c r="A103" s="81" t="s">
        <v>201</v>
      </c>
      <c r="B103" s="82">
        <f>floors!$C$2</f>
        <v>65524</v>
      </c>
      <c r="C103" s="83" t="str">
        <f ca="1">VLOOKUP($B103,OFFSET([2]quests!$A$1,0,0,COUNTA([2]quests!$A:$A),MATCH(C$1,[2]quests!$1:$1,0)-MATCH($B$1,[2]quests!$1:$1,0)+1),MATCH(C$1,[2]quests!$1:$1,0)-MATCH($B$1,[2]quests!$1:$1,0)+1,FALSE)</f>
        <v>【LB田頭】検証クエスト</v>
      </c>
      <c r="D103" s="83" t="str">
        <f ca="1">VLOOKUP($B103,OFFSET([2]quests!$A$1,0,0,COUNTA([2]quests!$A:$A),MATCH(D$1,[2]quests!$1:$1,0)-MATCH($B$1,[2]quests!$1:$1,0)+1),MATCH(D$1,[2]quests!$1:$1,0)-MATCH($B$1,[2]quests!$1:$1,0)+1,FALSE)</f>
        <v>童話シリーズ　超級</v>
      </c>
      <c r="E103" s="87" t="s">
        <v>218</v>
      </c>
      <c r="F103" s="83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3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5">
        <v>0</v>
      </c>
      <c r="I103">
        <v>33</v>
      </c>
      <c r="J103" s="84" t="s">
        <v>199</v>
      </c>
      <c r="K103" s="94" t="str">
        <f>VLOOKUP(I103,[7]stage_hints!$A:$C,3,FALSE)</f>
        <v>敵のカウンター攻撃には</v>
      </c>
      <c r="L103" s="95" t="str">
        <f>VLOOKUP(I103,[7]stage_hints!$A:$D,4,FALSE)</f>
        <v>カウンターブレイクスキルを持っていれば_x000D_敵のカウンターを解除して攻撃ができます</v>
      </c>
      <c r="M103" s="57" t="s">
        <v>212</v>
      </c>
    </row>
    <row r="104" spans="1:13" x14ac:dyDescent="0.15">
      <c r="A104" s="81" t="s">
        <v>201</v>
      </c>
      <c r="B104" s="82">
        <f>floors!$C$2</f>
        <v>65524</v>
      </c>
      <c r="C104" s="83" t="str">
        <f ca="1">VLOOKUP($B104,OFFSET([2]quests!$A$1,0,0,COUNTA([2]quests!$A:$A),MATCH(C$1,[2]quests!$1:$1,0)-MATCH($B$1,[2]quests!$1:$1,0)+1),MATCH(C$1,[2]quests!$1:$1,0)-MATCH($B$1,[2]quests!$1:$1,0)+1,FALSE)</f>
        <v>【LB田頭】検証クエスト</v>
      </c>
      <c r="D104" s="83" t="str">
        <f ca="1">VLOOKUP($B104,OFFSET([2]quests!$A$1,0,0,COUNTA([2]quests!$A:$A),MATCH(D$1,[2]quests!$1:$1,0)-MATCH($B$1,[2]quests!$1:$1,0)+1),MATCH(D$1,[2]quests!$1:$1,0)-MATCH($B$1,[2]quests!$1:$1,0)+1,FALSE)</f>
        <v>童話シリーズ　超級</v>
      </c>
      <c r="E104" s="87" t="s">
        <v>218</v>
      </c>
      <c r="F104" s="83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3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5">
        <v>0</v>
      </c>
      <c r="I104">
        <v>34</v>
      </c>
      <c r="J104" s="84" t="s">
        <v>199</v>
      </c>
      <c r="K104" s="94" t="str">
        <f>VLOOKUP(I104,[7]stage_hints!$A:$C,3,FALSE)</f>
        <v>ステータスをスキルで下げられたら</v>
      </c>
      <c r="L104" s="95" t="str">
        <f>VLOOKUP(I104,[7]stage_hints!$A:$D,4,FALSE)</f>
        <v>ステータスダウンのスキルを受けたら_x000D_ステータスアップスキルで上書きしましょう</v>
      </c>
      <c r="M104" s="57" t="s">
        <v>212</v>
      </c>
    </row>
    <row r="105" spans="1:13" x14ac:dyDescent="0.15">
      <c r="A105" s="81" t="s">
        <v>201</v>
      </c>
      <c r="B105" s="82">
        <f>floors!$C$2</f>
        <v>65524</v>
      </c>
      <c r="C105" s="83" t="str">
        <f ca="1">VLOOKUP($B105,OFFSET([2]quests!$A$1,0,0,COUNTA([2]quests!$A:$A),MATCH(C$1,[2]quests!$1:$1,0)-MATCH($B$1,[2]quests!$1:$1,0)+1),MATCH(C$1,[2]quests!$1:$1,0)-MATCH($B$1,[2]quests!$1:$1,0)+1,FALSE)</f>
        <v>【LB田頭】検証クエスト</v>
      </c>
      <c r="D105" s="83" t="str">
        <f ca="1">VLOOKUP($B105,OFFSET([2]quests!$A$1,0,0,COUNTA([2]quests!$A:$A),MATCH(D$1,[2]quests!$1:$1,0)-MATCH($B$1,[2]quests!$1:$1,0)+1),MATCH(D$1,[2]quests!$1:$1,0)-MATCH($B$1,[2]quests!$1:$1,0)+1,FALSE)</f>
        <v>童話シリーズ　超級</v>
      </c>
      <c r="E105" s="87" t="s">
        <v>218</v>
      </c>
      <c r="F105" s="83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3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5">
        <v>0</v>
      </c>
      <c r="I105">
        <v>35</v>
      </c>
      <c r="J105" s="84" t="s">
        <v>199</v>
      </c>
      <c r="K105" s="94" t="str">
        <f>VLOOKUP(I105,[7]stage_hints!$A:$C,3,FALSE)</f>
        <v>敵のステータスがスキルで上がったら</v>
      </c>
      <c r="L105" s="95" t="str">
        <f>VLOOKUP(I105,[7]stage_hints!$A:$D,4,FALSE)</f>
        <v>敵のステータスがスキルでアップしたときは_x000D_ステータスダウンスキルで上書きしましょう</v>
      </c>
      <c r="M105" s="57" t="s">
        <v>212</v>
      </c>
    </row>
    <row r="106" spans="1:13" x14ac:dyDescent="0.15">
      <c r="A106" s="81" t="s">
        <v>201</v>
      </c>
      <c r="B106" s="82">
        <f>floors!$C$2</f>
        <v>65524</v>
      </c>
      <c r="C106" s="83" t="str">
        <f ca="1">VLOOKUP($B106,OFFSET([2]quests!$A$1,0,0,COUNTA([2]quests!$A:$A),MATCH(C$1,[2]quests!$1:$1,0)-MATCH($B$1,[2]quests!$1:$1,0)+1),MATCH(C$1,[2]quests!$1:$1,0)-MATCH($B$1,[2]quests!$1:$1,0)+1,FALSE)</f>
        <v>【LB田頭】検証クエスト</v>
      </c>
      <c r="D106" s="83" t="str">
        <f ca="1">VLOOKUP($B106,OFFSET([2]quests!$A$1,0,0,COUNTA([2]quests!$A:$A),MATCH(D$1,[2]quests!$1:$1,0)-MATCH($B$1,[2]quests!$1:$1,0)+1),MATCH(D$1,[2]quests!$1:$1,0)-MATCH($B$1,[2]quests!$1:$1,0)+1,FALSE)</f>
        <v>童話シリーズ　超級</v>
      </c>
      <c r="E106" s="87" t="s">
        <v>218</v>
      </c>
      <c r="F106" s="83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3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5">
        <v>0</v>
      </c>
      <c r="I106">
        <v>36</v>
      </c>
      <c r="J106" s="84" t="s">
        <v>199</v>
      </c>
      <c r="K106" s="94" t="str">
        <f>VLOOKUP(I106,[7]stage_hints!$A:$C,3,FALSE)</f>
        <v>タワーオブザクイーンのボス</v>
      </c>
      <c r="L106" s="95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212</v>
      </c>
    </row>
    <row r="107" spans="1:13" x14ac:dyDescent="0.15">
      <c r="A107" s="81" t="s">
        <v>201</v>
      </c>
      <c r="B107" s="82">
        <f>floors!$C$2</f>
        <v>65524</v>
      </c>
      <c r="C107" s="83" t="str">
        <f ca="1">VLOOKUP($B107,OFFSET([2]quests!$A$1,0,0,COUNTA([2]quests!$A:$A),MATCH(C$1,[2]quests!$1:$1,0)-MATCH($B$1,[2]quests!$1:$1,0)+1),MATCH(C$1,[2]quests!$1:$1,0)-MATCH($B$1,[2]quests!$1:$1,0)+1,FALSE)</f>
        <v>【LB田頭】検証クエスト</v>
      </c>
      <c r="D107" s="83" t="str">
        <f ca="1">VLOOKUP($B107,OFFSET([2]quests!$A$1,0,0,COUNTA([2]quests!$A:$A),MATCH(D$1,[2]quests!$1:$1,0)-MATCH($B$1,[2]quests!$1:$1,0)+1),MATCH(D$1,[2]quests!$1:$1,0)-MATCH($B$1,[2]quests!$1:$1,0)+1,FALSE)</f>
        <v>童話シリーズ　超級</v>
      </c>
      <c r="E107" s="87" t="s">
        <v>218</v>
      </c>
      <c r="F107" s="83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3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5">
        <v>0</v>
      </c>
      <c r="I107">
        <v>37</v>
      </c>
      <c r="J107" s="84" t="s">
        <v>199</v>
      </c>
      <c r="K107" s="94" t="str">
        <f>VLOOKUP(I107,[7]stage_hints!$A:$C,3,FALSE)</f>
        <v>限界突破値の引き継ぎ</v>
      </c>
      <c r="L107" s="95" t="str">
        <f>VLOOKUP(I107,[7]stage_hints!$A:$D,4,FALSE)</f>
        <v>同じユニットを強化で合成すると_x000D_限界突破値を引き継げます（覚醒前後も可）</v>
      </c>
      <c r="M107" s="57" t="s">
        <v>212</v>
      </c>
    </row>
    <row r="108" spans="1:13" x14ac:dyDescent="0.15">
      <c r="A108" s="81" t="s">
        <v>201</v>
      </c>
      <c r="B108" s="82">
        <f>floors!$C$2</f>
        <v>65524</v>
      </c>
      <c r="C108" s="83" t="str">
        <f ca="1">VLOOKUP($B108,OFFSET([2]quests!$A$1,0,0,COUNTA([2]quests!$A:$A),MATCH(C$1,[2]quests!$1:$1,0)-MATCH($B$1,[2]quests!$1:$1,0)+1),MATCH(C$1,[2]quests!$1:$1,0)-MATCH($B$1,[2]quests!$1:$1,0)+1,FALSE)</f>
        <v>【LB田頭】検証クエスト</v>
      </c>
      <c r="D108" s="83" t="str">
        <f ca="1">VLOOKUP($B108,OFFSET([2]quests!$A$1,0,0,COUNTA([2]quests!$A:$A),MATCH(D$1,[2]quests!$1:$1,0)-MATCH($B$1,[2]quests!$1:$1,0)+1),MATCH(D$1,[2]quests!$1:$1,0)-MATCH($B$1,[2]quests!$1:$1,0)+1,FALSE)</f>
        <v>童話シリーズ　超級</v>
      </c>
      <c r="E108" s="87" t="s">
        <v>218</v>
      </c>
      <c r="F108" s="83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3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5">
        <v>0</v>
      </c>
      <c r="I108">
        <v>39</v>
      </c>
      <c r="J108" s="84" t="s">
        <v>199</v>
      </c>
      <c r="K108" s="94" t="str">
        <f>VLOOKUP(I108,[7]stage_hints!$A:$C,3,FALSE)</f>
        <v>システム適合者を確認</v>
      </c>
      <c r="L108" s="95" t="str">
        <f>VLOOKUP(I108,[7]stage_hints!$A:$D,4,FALSE)</f>
        <v>ALICEが 「アナタ」を呼んでいます</v>
      </c>
      <c r="M108" s="57" t="s">
        <v>212</v>
      </c>
    </row>
    <row r="109" spans="1:13" x14ac:dyDescent="0.15">
      <c r="A109" s="81" t="s">
        <v>201</v>
      </c>
      <c r="B109" s="82">
        <f>floors!$C$2</f>
        <v>65524</v>
      </c>
      <c r="C109" s="83" t="str">
        <f ca="1">VLOOKUP($B109,OFFSET([2]quests!$A$1,0,0,COUNTA([2]quests!$A:$A),MATCH(C$1,[2]quests!$1:$1,0)-MATCH($B$1,[2]quests!$1:$1,0)+1),MATCH(C$1,[2]quests!$1:$1,0)-MATCH($B$1,[2]quests!$1:$1,0)+1,FALSE)</f>
        <v>【LB田頭】検証クエスト</v>
      </c>
      <c r="D109" s="83" t="str">
        <f ca="1">VLOOKUP($B109,OFFSET([2]quests!$A$1,0,0,COUNTA([2]quests!$A:$A),MATCH(D$1,[2]quests!$1:$1,0)-MATCH($B$1,[2]quests!$1:$1,0)+1),MATCH(D$1,[2]quests!$1:$1,0)-MATCH($B$1,[2]quests!$1:$1,0)+1,FALSE)</f>
        <v>童話シリーズ　超級</v>
      </c>
      <c r="E109" s="87" t="s">
        <v>219</v>
      </c>
      <c r="F109" s="83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3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5">
        <v>0</v>
      </c>
      <c r="I109">
        <v>12</v>
      </c>
      <c r="J109" s="84" t="s">
        <v>199</v>
      </c>
      <c r="K109" s="94" t="str">
        <f>VLOOKUP(I109,[7]stage_hints!$A:$C,3,FALSE)</f>
        <v>ユニットのお気に入り登録</v>
      </c>
      <c r="L109" s="95" t="str">
        <f>VLOOKUP(I109,[7]stage_hints!$A:$D,4,FALSE)</f>
        <v>大事なユニットを誤って消さないように_x000D_フォルダから「お気に入り登録」しましょう</v>
      </c>
      <c r="M109" s="57" t="s">
        <v>212</v>
      </c>
    </row>
    <row r="110" spans="1:13" x14ac:dyDescent="0.15">
      <c r="A110" s="81" t="s">
        <v>201</v>
      </c>
      <c r="B110" s="82">
        <f>floors!$C$2</f>
        <v>65524</v>
      </c>
      <c r="C110" s="83" t="str">
        <f ca="1">VLOOKUP($B110,OFFSET([2]quests!$A$1,0,0,COUNTA([2]quests!$A:$A),MATCH(C$1,[2]quests!$1:$1,0)-MATCH($B$1,[2]quests!$1:$1,0)+1),MATCH(C$1,[2]quests!$1:$1,0)-MATCH($B$1,[2]quests!$1:$1,0)+1,FALSE)</f>
        <v>【LB田頭】検証クエスト</v>
      </c>
      <c r="D110" s="83" t="str">
        <f ca="1">VLOOKUP($B110,OFFSET([2]quests!$A$1,0,0,COUNTA([2]quests!$A:$A),MATCH(D$1,[2]quests!$1:$1,0)-MATCH($B$1,[2]quests!$1:$1,0)+1),MATCH(D$1,[2]quests!$1:$1,0)-MATCH($B$1,[2]quests!$1:$1,0)+1,FALSE)</f>
        <v>童話シリーズ　超級</v>
      </c>
      <c r="E110" s="87" t="s">
        <v>219</v>
      </c>
      <c r="F110" s="83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3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5">
        <v>0</v>
      </c>
      <c r="I110">
        <v>17</v>
      </c>
      <c r="J110" s="84" t="s">
        <v>199</v>
      </c>
      <c r="K110" s="94" t="str">
        <f>VLOOKUP(I110,[7]stage_hints!$A:$C,3,FALSE)</f>
        <v>リンクガチャ</v>
      </c>
      <c r="L110" s="95" t="str">
        <f>VLOOKUP(I110,[7]stage_hints!$A:$D,4,FALSE)</f>
        <v>無料のリンクガチャを回して_x000D_経験値素材や売却素材を獲得しましょう</v>
      </c>
      <c r="M110" s="57" t="s">
        <v>212</v>
      </c>
    </row>
    <row r="111" spans="1:13" x14ac:dyDescent="0.15">
      <c r="A111" s="81" t="s">
        <v>201</v>
      </c>
      <c r="B111" s="82">
        <f>floors!$C$2</f>
        <v>65524</v>
      </c>
      <c r="C111" s="83" t="str">
        <f ca="1">VLOOKUP($B111,OFFSET([2]quests!$A$1,0,0,COUNTA([2]quests!$A:$A),MATCH(C$1,[2]quests!$1:$1,0)-MATCH($B$1,[2]quests!$1:$1,0)+1),MATCH(C$1,[2]quests!$1:$1,0)-MATCH($B$1,[2]quests!$1:$1,0)+1,FALSE)</f>
        <v>【LB田頭】検証クエスト</v>
      </c>
      <c r="D111" s="83" t="str">
        <f ca="1">VLOOKUP($B111,OFFSET([2]quests!$A$1,0,0,COUNTA([2]quests!$A:$A),MATCH(D$1,[2]quests!$1:$1,0)-MATCH($B$1,[2]quests!$1:$1,0)+1),MATCH(D$1,[2]quests!$1:$1,0)-MATCH($B$1,[2]quests!$1:$1,0)+1,FALSE)</f>
        <v>童話シリーズ　超級</v>
      </c>
      <c r="E111" s="87" t="s">
        <v>219</v>
      </c>
      <c r="F111" s="83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3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5">
        <v>0</v>
      </c>
      <c r="I111">
        <v>19</v>
      </c>
      <c r="J111" s="84" t="s">
        <v>199</v>
      </c>
      <c r="K111" s="94" t="str">
        <f>VLOOKUP(I111,[7]stage_hints!$A:$C,3,FALSE)</f>
        <v>ソロ専用タワーオブザクイーン</v>
      </c>
      <c r="L111" s="95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212</v>
      </c>
    </row>
    <row r="112" spans="1:13" x14ac:dyDescent="0.15">
      <c r="A112" s="81" t="s">
        <v>201</v>
      </c>
      <c r="B112" s="82">
        <f>floors!$C$2</f>
        <v>65524</v>
      </c>
      <c r="C112" s="83" t="str">
        <f ca="1">VLOOKUP($B112,OFFSET([2]quests!$A$1,0,0,COUNTA([2]quests!$A:$A),MATCH(C$1,[2]quests!$1:$1,0)-MATCH($B$1,[2]quests!$1:$1,0)+1),MATCH(C$1,[2]quests!$1:$1,0)-MATCH($B$1,[2]quests!$1:$1,0)+1,FALSE)</f>
        <v>【LB田頭】検証クエスト</v>
      </c>
      <c r="D112" s="83" t="str">
        <f ca="1">VLOOKUP($B112,OFFSET([2]quests!$A$1,0,0,COUNTA([2]quests!$A:$A),MATCH(D$1,[2]quests!$1:$1,0)-MATCH($B$1,[2]quests!$1:$1,0)+1),MATCH(D$1,[2]quests!$1:$1,0)-MATCH($B$1,[2]quests!$1:$1,0)+1,FALSE)</f>
        <v>童話シリーズ　超級</v>
      </c>
      <c r="E112" s="87" t="s">
        <v>219</v>
      </c>
      <c r="F112" s="83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3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5">
        <v>0</v>
      </c>
      <c r="I112">
        <v>21</v>
      </c>
      <c r="J112" s="84" t="s">
        <v>199</v>
      </c>
      <c r="K112" s="94" t="str">
        <f>VLOOKUP(I112,[7]stage_hints!$A:$C,3,FALSE)</f>
        <v>スキルを有効に</v>
      </c>
      <c r="L112" s="95" t="str">
        <f>VLOOKUP(I112,[7]stage_hints!$A:$D,4,FALSE)</f>
        <v>ターン経過でユニットのスキルが使えます_x000D_強力スキルでバトルを有利に進めましょう</v>
      </c>
      <c r="M112" s="57" t="s">
        <v>212</v>
      </c>
    </row>
    <row r="113" spans="1:13" x14ac:dyDescent="0.15">
      <c r="A113" s="81" t="s">
        <v>201</v>
      </c>
      <c r="B113" s="82">
        <f>floors!$C$2</f>
        <v>65524</v>
      </c>
      <c r="C113" s="83" t="str">
        <f ca="1">VLOOKUP($B113,OFFSET([2]quests!$A$1,0,0,COUNTA([2]quests!$A:$A),MATCH(C$1,[2]quests!$1:$1,0)-MATCH($B$1,[2]quests!$1:$1,0)+1),MATCH(C$1,[2]quests!$1:$1,0)-MATCH($B$1,[2]quests!$1:$1,0)+1,FALSE)</f>
        <v>【LB田頭】検証クエスト</v>
      </c>
      <c r="D113" s="83" t="str">
        <f ca="1">VLOOKUP($B113,OFFSET([2]quests!$A$1,0,0,COUNTA([2]quests!$A:$A),MATCH(D$1,[2]quests!$1:$1,0)-MATCH($B$1,[2]quests!$1:$1,0)+1),MATCH(D$1,[2]quests!$1:$1,0)-MATCH($B$1,[2]quests!$1:$1,0)+1,FALSE)</f>
        <v>童話シリーズ　超級</v>
      </c>
      <c r="E113" s="87" t="s">
        <v>219</v>
      </c>
      <c r="F113" s="83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3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5">
        <v>0</v>
      </c>
      <c r="I113">
        <v>29</v>
      </c>
      <c r="J113" s="84" t="s">
        <v>199</v>
      </c>
      <c r="K113" s="94" t="str">
        <f>VLOOKUP(I113,[7]stage_hints!$A:$C,3,FALSE)</f>
        <v>「バグ」のメリット</v>
      </c>
      <c r="L113" s="95" t="str">
        <f>VLOOKUP(I113,[7]stage_hints!$A:$D,4,FALSE)</f>
        <v>ユニットの「バグ」を増やすと_x000D_報酬をもらえる確率がアップします</v>
      </c>
      <c r="M113" s="57" t="s">
        <v>212</v>
      </c>
    </row>
    <row r="114" spans="1:13" x14ac:dyDescent="0.15">
      <c r="A114" s="81" t="s">
        <v>201</v>
      </c>
      <c r="B114" s="82">
        <f>floors!$C$2</f>
        <v>65524</v>
      </c>
      <c r="C114" s="83" t="str">
        <f ca="1">VLOOKUP($B114,OFFSET([2]quests!$A$1,0,0,COUNTA([2]quests!$A:$A),MATCH(C$1,[2]quests!$1:$1,0)-MATCH($B$1,[2]quests!$1:$1,0)+1),MATCH(C$1,[2]quests!$1:$1,0)-MATCH($B$1,[2]quests!$1:$1,0)+1,FALSE)</f>
        <v>【LB田頭】検証クエスト</v>
      </c>
      <c r="D114" s="83" t="str">
        <f ca="1">VLOOKUP($B114,OFFSET([2]quests!$A$1,0,0,COUNTA([2]quests!$A:$A),MATCH(D$1,[2]quests!$1:$1,0)-MATCH($B$1,[2]quests!$1:$1,0)+1),MATCH(D$1,[2]quests!$1:$1,0)-MATCH($B$1,[2]quests!$1:$1,0)+1,FALSE)</f>
        <v>童話シリーズ　超級</v>
      </c>
      <c r="E114" s="87" t="s">
        <v>219</v>
      </c>
      <c r="F114" s="83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3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5">
        <v>0</v>
      </c>
      <c r="I114">
        <v>30</v>
      </c>
      <c r="J114" s="84" t="s">
        <v>199</v>
      </c>
      <c r="K114" s="94" t="str">
        <f>VLOOKUP(I114,[7]stage_hints!$A:$C,3,FALSE)</f>
        <v>「バグ」の増やし方</v>
      </c>
      <c r="L114" s="95" t="str">
        <f>VLOOKUP(I114,[7]stage_hints!$A:$D,4,FALSE)</f>
        <v>同じユニット同士を強化で合成すると_x000D_「バグ」を増やすことができます</v>
      </c>
      <c r="M114" s="57" t="s">
        <v>212</v>
      </c>
    </row>
    <row r="115" spans="1:13" x14ac:dyDescent="0.15">
      <c r="A115" s="81" t="s">
        <v>201</v>
      </c>
      <c r="B115" s="82">
        <f>floors!$C$2</f>
        <v>65524</v>
      </c>
      <c r="C115" s="83" t="str">
        <f ca="1">VLOOKUP($B115,OFFSET([2]quests!$A$1,0,0,COUNTA([2]quests!$A:$A),MATCH(C$1,[2]quests!$1:$1,0)-MATCH($B$1,[2]quests!$1:$1,0)+1),MATCH(C$1,[2]quests!$1:$1,0)-MATCH($B$1,[2]quests!$1:$1,0)+1,FALSE)</f>
        <v>【LB田頭】検証クエスト</v>
      </c>
      <c r="D115" s="83" t="str">
        <f ca="1">VLOOKUP($B115,OFFSET([2]quests!$A$1,0,0,COUNTA([2]quests!$A:$A),MATCH(D$1,[2]quests!$1:$1,0)-MATCH($B$1,[2]quests!$1:$1,0)+1),MATCH(D$1,[2]quests!$1:$1,0)-MATCH($B$1,[2]quests!$1:$1,0)+1,FALSE)</f>
        <v>童話シリーズ　超級</v>
      </c>
      <c r="E115" s="87" t="s">
        <v>219</v>
      </c>
      <c r="F115" s="83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3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5">
        <v>0</v>
      </c>
      <c r="I115">
        <v>32</v>
      </c>
      <c r="J115" s="84" t="s">
        <v>199</v>
      </c>
      <c r="K115" s="94" t="str">
        <f>VLOOKUP(I115,[7]stage_hints!$A:$C,3,FALSE)</f>
        <v>敵の連続攻撃には</v>
      </c>
      <c r="L115" s="95" t="str">
        <f>VLOOKUP(I115,[7]stage_hints!$A:$D,4,FALSE)</f>
        <v>カウンタースキルを持つユニットがいれば_x000D_ダメージ回数分の反撃ができます</v>
      </c>
      <c r="M115" s="57" t="s">
        <v>212</v>
      </c>
    </row>
    <row r="116" spans="1:13" x14ac:dyDescent="0.15">
      <c r="A116" s="81" t="s">
        <v>201</v>
      </c>
      <c r="B116" s="82">
        <f>floors!$C$2</f>
        <v>65524</v>
      </c>
      <c r="C116" s="83" t="str">
        <f ca="1">VLOOKUP($B116,OFFSET([2]quests!$A$1,0,0,COUNTA([2]quests!$A:$A),MATCH(C$1,[2]quests!$1:$1,0)-MATCH($B$1,[2]quests!$1:$1,0)+1),MATCH(C$1,[2]quests!$1:$1,0)-MATCH($B$1,[2]quests!$1:$1,0)+1,FALSE)</f>
        <v>【LB田頭】検証クエスト</v>
      </c>
      <c r="D116" s="83" t="str">
        <f ca="1">VLOOKUP($B116,OFFSET([2]quests!$A$1,0,0,COUNTA([2]quests!$A:$A),MATCH(D$1,[2]quests!$1:$1,0)-MATCH($B$1,[2]quests!$1:$1,0)+1),MATCH(D$1,[2]quests!$1:$1,0)-MATCH($B$1,[2]quests!$1:$1,0)+1,FALSE)</f>
        <v>童話シリーズ　超級</v>
      </c>
      <c r="E116" s="87" t="s">
        <v>219</v>
      </c>
      <c r="F116" s="83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3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5">
        <v>0</v>
      </c>
      <c r="I116">
        <v>33</v>
      </c>
      <c r="J116" s="84" t="s">
        <v>199</v>
      </c>
      <c r="K116" s="94" t="str">
        <f>VLOOKUP(I116,[7]stage_hints!$A:$C,3,FALSE)</f>
        <v>敵のカウンター攻撃には</v>
      </c>
      <c r="L116" s="95" t="str">
        <f>VLOOKUP(I116,[7]stage_hints!$A:$D,4,FALSE)</f>
        <v>カウンターブレイクスキルを持っていれば_x000D_敵のカウンターを解除して攻撃ができます</v>
      </c>
      <c r="M116" s="57" t="s">
        <v>212</v>
      </c>
    </row>
    <row r="117" spans="1:13" x14ac:dyDescent="0.15">
      <c r="A117" s="81" t="s">
        <v>201</v>
      </c>
      <c r="B117" s="82">
        <f>floors!$C$2</f>
        <v>65524</v>
      </c>
      <c r="C117" s="83" t="str">
        <f ca="1">VLOOKUP($B117,OFFSET([2]quests!$A$1,0,0,COUNTA([2]quests!$A:$A),MATCH(C$1,[2]quests!$1:$1,0)-MATCH($B$1,[2]quests!$1:$1,0)+1),MATCH(C$1,[2]quests!$1:$1,0)-MATCH($B$1,[2]quests!$1:$1,0)+1,FALSE)</f>
        <v>【LB田頭】検証クエスト</v>
      </c>
      <c r="D117" s="83" t="str">
        <f ca="1">VLOOKUP($B117,OFFSET([2]quests!$A$1,0,0,COUNTA([2]quests!$A:$A),MATCH(D$1,[2]quests!$1:$1,0)-MATCH($B$1,[2]quests!$1:$1,0)+1),MATCH(D$1,[2]quests!$1:$1,0)-MATCH($B$1,[2]quests!$1:$1,0)+1,FALSE)</f>
        <v>童話シリーズ　超級</v>
      </c>
      <c r="E117" s="87" t="s">
        <v>219</v>
      </c>
      <c r="F117" s="83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3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5">
        <v>0</v>
      </c>
      <c r="I117">
        <v>34</v>
      </c>
      <c r="J117" s="84" t="s">
        <v>199</v>
      </c>
      <c r="K117" s="94" t="str">
        <f>VLOOKUP(I117,[7]stage_hints!$A:$C,3,FALSE)</f>
        <v>ステータスをスキルで下げられたら</v>
      </c>
      <c r="L117" s="95" t="str">
        <f>VLOOKUP(I117,[7]stage_hints!$A:$D,4,FALSE)</f>
        <v>ステータスダウンのスキルを受けたら_x000D_ステータスアップスキルで上書きしましょう</v>
      </c>
      <c r="M117" s="57" t="s">
        <v>212</v>
      </c>
    </row>
    <row r="118" spans="1:13" x14ac:dyDescent="0.15">
      <c r="A118" s="81" t="s">
        <v>201</v>
      </c>
      <c r="B118" s="82">
        <f>floors!$C$2</f>
        <v>65524</v>
      </c>
      <c r="C118" s="83" t="str">
        <f ca="1">VLOOKUP($B118,OFFSET([2]quests!$A$1,0,0,COUNTA([2]quests!$A:$A),MATCH(C$1,[2]quests!$1:$1,0)-MATCH($B$1,[2]quests!$1:$1,0)+1),MATCH(C$1,[2]quests!$1:$1,0)-MATCH($B$1,[2]quests!$1:$1,0)+1,FALSE)</f>
        <v>【LB田頭】検証クエスト</v>
      </c>
      <c r="D118" s="83" t="str">
        <f ca="1">VLOOKUP($B118,OFFSET([2]quests!$A$1,0,0,COUNTA([2]quests!$A:$A),MATCH(D$1,[2]quests!$1:$1,0)-MATCH($B$1,[2]quests!$1:$1,0)+1),MATCH(D$1,[2]quests!$1:$1,0)-MATCH($B$1,[2]quests!$1:$1,0)+1,FALSE)</f>
        <v>童話シリーズ　超級</v>
      </c>
      <c r="E118" s="87" t="s">
        <v>219</v>
      </c>
      <c r="F118" s="83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3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5">
        <v>0</v>
      </c>
      <c r="I118">
        <v>35</v>
      </c>
      <c r="J118" s="84" t="s">
        <v>199</v>
      </c>
      <c r="K118" s="94" t="str">
        <f>VLOOKUP(I118,[7]stage_hints!$A:$C,3,FALSE)</f>
        <v>敵のステータスがスキルで上がったら</v>
      </c>
      <c r="L118" s="95" t="str">
        <f>VLOOKUP(I118,[7]stage_hints!$A:$D,4,FALSE)</f>
        <v>敵のステータスがスキルでアップしたときは_x000D_ステータスダウンスキルで上書きしましょう</v>
      </c>
      <c r="M118" s="57" t="s">
        <v>212</v>
      </c>
    </row>
    <row r="119" spans="1:13" x14ac:dyDescent="0.15">
      <c r="A119" s="81" t="s">
        <v>201</v>
      </c>
      <c r="B119" s="82">
        <f>floors!$C$2</f>
        <v>65524</v>
      </c>
      <c r="C119" s="83" t="str">
        <f ca="1">VLOOKUP($B119,OFFSET([2]quests!$A$1,0,0,COUNTA([2]quests!$A:$A),MATCH(C$1,[2]quests!$1:$1,0)-MATCH($B$1,[2]quests!$1:$1,0)+1),MATCH(C$1,[2]quests!$1:$1,0)-MATCH($B$1,[2]quests!$1:$1,0)+1,FALSE)</f>
        <v>【LB田頭】検証クエスト</v>
      </c>
      <c r="D119" s="83" t="str">
        <f ca="1">VLOOKUP($B119,OFFSET([2]quests!$A$1,0,0,COUNTA([2]quests!$A:$A),MATCH(D$1,[2]quests!$1:$1,0)-MATCH($B$1,[2]quests!$1:$1,0)+1),MATCH(D$1,[2]quests!$1:$1,0)-MATCH($B$1,[2]quests!$1:$1,0)+1,FALSE)</f>
        <v>童話シリーズ　超級</v>
      </c>
      <c r="E119" s="87" t="s">
        <v>219</v>
      </c>
      <c r="F119" s="83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3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5">
        <v>0</v>
      </c>
      <c r="I119">
        <v>36</v>
      </c>
      <c r="J119" s="84" t="s">
        <v>199</v>
      </c>
      <c r="K119" s="94" t="str">
        <f>VLOOKUP(I119,[7]stage_hints!$A:$C,3,FALSE)</f>
        <v>タワーオブザクイーンのボス</v>
      </c>
      <c r="L119" s="95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212</v>
      </c>
    </row>
    <row r="120" spans="1:13" x14ac:dyDescent="0.15">
      <c r="A120" s="81" t="s">
        <v>201</v>
      </c>
      <c r="B120" s="82">
        <f>floors!$C$2</f>
        <v>65524</v>
      </c>
      <c r="C120" s="83" t="str">
        <f ca="1">VLOOKUP($B120,OFFSET([2]quests!$A$1,0,0,COUNTA([2]quests!$A:$A),MATCH(C$1,[2]quests!$1:$1,0)-MATCH($B$1,[2]quests!$1:$1,0)+1),MATCH(C$1,[2]quests!$1:$1,0)-MATCH($B$1,[2]quests!$1:$1,0)+1,FALSE)</f>
        <v>【LB田頭】検証クエスト</v>
      </c>
      <c r="D120" s="83" t="str">
        <f ca="1">VLOOKUP($B120,OFFSET([2]quests!$A$1,0,0,COUNTA([2]quests!$A:$A),MATCH(D$1,[2]quests!$1:$1,0)-MATCH($B$1,[2]quests!$1:$1,0)+1),MATCH(D$1,[2]quests!$1:$1,0)-MATCH($B$1,[2]quests!$1:$1,0)+1,FALSE)</f>
        <v>童話シリーズ　超級</v>
      </c>
      <c r="E120" s="87" t="s">
        <v>219</v>
      </c>
      <c r="F120" s="83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3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5">
        <v>0</v>
      </c>
      <c r="I120">
        <v>37</v>
      </c>
      <c r="J120" s="84" t="s">
        <v>199</v>
      </c>
      <c r="K120" s="94" t="str">
        <f>VLOOKUP(I120,[7]stage_hints!$A:$C,3,FALSE)</f>
        <v>限界突破値の引き継ぎ</v>
      </c>
      <c r="L120" s="95" t="str">
        <f>VLOOKUP(I120,[7]stage_hints!$A:$D,4,FALSE)</f>
        <v>同じユニットを強化で合成すると_x000D_限界突破値を引き継げます（覚醒前後も可）</v>
      </c>
      <c r="M120" s="57" t="s">
        <v>212</v>
      </c>
    </row>
    <row r="121" spans="1:13" x14ac:dyDescent="0.15">
      <c r="A121" s="81" t="s">
        <v>201</v>
      </c>
      <c r="B121" s="82">
        <f>floors!$C$2</f>
        <v>65524</v>
      </c>
      <c r="C121" s="83" t="str">
        <f ca="1">VLOOKUP($B121,OFFSET([2]quests!$A$1,0,0,COUNTA([2]quests!$A:$A),MATCH(C$1,[2]quests!$1:$1,0)-MATCH($B$1,[2]quests!$1:$1,0)+1),MATCH(C$1,[2]quests!$1:$1,0)-MATCH($B$1,[2]quests!$1:$1,0)+1,FALSE)</f>
        <v>【LB田頭】検証クエスト</v>
      </c>
      <c r="D121" s="83" t="str">
        <f ca="1">VLOOKUP($B121,OFFSET([2]quests!$A$1,0,0,COUNTA([2]quests!$A:$A),MATCH(D$1,[2]quests!$1:$1,0)-MATCH($B$1,[2]quests!$1:$1,0)+1),MATCH(D$1,[2]quests!$1:$1,0)-MATCH($B$1,[2]quests!$1:$1,0)+1,FALSE)</f>
        <v>童話シリーズ　超級</v>
      </c>
      <c r="E121" s="87" t="s">
        <v>219</v>
      </c>
      <c r="F121" s="83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3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5">
        <v>0</v>
      </c>
      <c r="I121">
        <v>39</v>
      </c>
      <c r="J121" s="84" t="s">
        <v>199</v>
      </c>
      <c r="K121" s="94" t="str">
        <f>VLOOKUP(I121,[7]stage_hints!$A:$C,3,FALSE)</f>
        <v>システム適合者を確認</v>
      </c>
      <c r="L121" s="95" t="str">
        <f>VLOOKUP(I121,[7]stage_hints!$A:$D,4,FALSE)</f>
        <v>ALICEが 「アナタ」を呼んでいます</v>
      </c>
      <c r="M121" s="57" t="s">
        <v>212</v>
      </c>
    </row>
    <row r="122" spans="1:13" x14ac:dyDescent="0.15">
      <c r="A122" s="81" t="s">
        <v>201</v>
      </c>
      <c r="B122" s="82">
        <f>floors!$C$2</f>
        <v>65524</v>
      </c>
      <c r="C122" s="83" t="str">
        <f ca="1">VLOOKUP($B122,OFFSET([2]quests!$A$1,0,0,COUNTA([2]quests!$A:$A),MATCH(C$1,[2]quests!$1:$1,0)-MATCH($B$1,[2]quests!$1:$1,0)+1),MATCH(C$1,[2]quests!$1:$1,0)-MATCH($B$1,[2]quests!$1:$1,0)+1,FALSE)</f>
        <v>【LB田頭】検証クエスト</v>
      </c>
      <c r="D122" s="83" t="str">
        <f ca="1">VLOOKUP($B122,OFFSET([2]quests!$A$1,0,0,COUNTA([2]quests!$A:$A),MATCH(D$1,[2]quests!$1:$1,0)-MATCH($B$1,[2]quests!$1:$1,0)+1),MATCH(D$1,[2]quests!$1:$1,0)-MATCH($B$1,[2]quests!$1:$1,0)+1,FALSE)</f>
        <v>童話シリーズ　超級</v>
      </c>
      <c r="E122" s="87" t="s">
        <v>220</v>
      </c>
      <c r="F122" s="83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3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5">
        <v>0</v>
      </c>
      <c r="I122">
        <v>12</v>
      </c>
      <c r="J122" s="84" t="s">
        <v>199</v>
      </c>
      <c r="K122" s="94" t="str">
        <f>VLOOKUP(I122,[7]stage_hints!$A:$C,3,FALSE)</f>
        <v>ユニットのお気に入り登録</v>
      </c>
      <c r="L122" s="95" t="str">
        <f>VLOOKUP(I122,[7]stage_hints!$A:$D,4,FALSE)</f>
        <v>大事なユニットを誤って消さないように_x000D_フォルダから「お気に入り登録」しましょう</v>
      </c>
      <c r="M122" s="57" t="s">
        <v>212</v>
      </c>
    </row>
    <row r="123" spans="1:13" x14ac:dyDescent="0.15">
      <c r="A123" s="81" t="s">
        <v>201</v>
      </c>
      <c r="B123" s="82">
        <f>floors!$C$2</f>
        <v>65524</v>
      </c>
      <c r="C123" s="83" t="str">
        <f ca="1">VLOOKUP($B123,OFFSET([2]quests!$A$1,0,0,COUNTA([2]quests!$A:$A),MATCH(C$1,[2]quests!$1:$1,0)-MATCH($B$1,[2]quests!$1:$1,0)+1),MATCH(C$1,[2]quests!$1:$1,0)-MATCH($B$1,[2]quests!$1:$1,0)+1,FALSE)</f>
        <v>【LB田頭】検証クエスト</v>
      </c>
      <c r="D123" s="83" t="str">
        <f ca="1">VLOOKUP($B123,OFFSET([2]quests!$A$1,0,0,COUNTA([2]quests!$A:$A),MATCH(D$1,[2]quests!$1:$1,0)-MATCH($B$1,[2]quests!$1:$1,0)+1),MATCH(D$1,[2]quests!$1:$1,0)-MATCH($B$1,[2]quests!$1:$1,0)+1,FALSE)</f>
        <v>童話シリーズ　超級</v>
      </c>
      <c r="E123" s="87" t="s">
        <v>220</v>
      </c>
      <c r="F123" s="83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3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5">
        <v>0</v>
      </c>
      <c r="I123">
        <v>17</v>
      </c>
      <c r="J123" s="84" t="s">
        <v>199</v>
      </c>
      <c r="K123" s="94" t="str">
        <f>VLOOKUP(I123,[7]stage_hints!$A:$C,3,FALSE)</f>
        <v>リンクガチャ</v>
      </c>
      <c r="L123" s="95" t="str">
        <f>VLOOKUP(I123,[7]stage_hints!$A:$D,4,FALSE)</f>
        <v>無料のリンクガチャを回して_x000D_経験値素材や売却素材を獲得しましょう</v>
      </c>
      <c r="M123" s="57" t="s">
        <v>212</v>
      </c>
    </row>
    <row r="124" spans="1:13" x14ac:dyDescent="0.15">
      <c r="A124" s="81" t="s">
        <v>201</v>
      </c>
      <c r="B124" s="82">
        <f>floors!$C$2</f>
        <v>65524</v>
      </c>
      <c r="C124" s="83" t="str">
        <f ca="1">VLOOKUP($B124,OFFSET([2]quests!$A$1,0,0,COUNTA([2]quests!$A:$A),MATCH(C$1,[2]quests!$1:$1,0)-MATCH($B$1,[2]quests!$1:$1,0)+1),MATCH(C$1,[2]quests!$1:$1,0)-MATCH($B$1,[2]quests!$1:$1,0)+1,FALSE)</f>
        <v>【LB田頭】検証クエスト</v>
      </c>
      <c r="D124" s="83" t="str">
        <f ca="1">VLOOKUP($B124,OFFSET([2]quests!$A$1,0,0,COUNTA([2]quests!$A:$A),MATCH(D$1,[2]quests!$1:$1,0)-MATCH($B$1,[2]quests!$1:$1,0)+1),MATCH(D$1,[2]quests!$1:$1,0)-MATCH($B$1,[2]quests!$1:$1,0)+1,FALSE)</f>
        <v>童話シリーズ　超級</v>
      </c>
      <c r="E124" s="87" t="s">
        <v>220</v>
      </c>
      <c r="F124" s="83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3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5">
        <v>0</v>
      </c>
      <c r="I124">
        <v>19</v>
      </c>
      <c r="J124" s="84" t="s">
        <v>199</v>
      </c>
      <c r="K124" s="94" t="str">
        <f>VLOOKUP(I124,[7]stage_hints!$A:$C,3,FALSE)</f>
        <v>ソロ専用タワーオブザクイーン</v>
      </c>
      <c r="L124" s="95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212</v>
      </c>
    </row>
    <row r="125" spans="1:13" x14ac:dyDescent="0.15">
      <c r="A125" s="81" t="s">
        <v>201</v>
      </c>
      <c r="B125" s="82">
        <f>floors!$C$2</f>
        <v>65524</v>
      </c>
      <c r="C125" s="83" t="str">
        <f ca="1">VLOOKUP($B125,OFFSET([2]quests!$A$1,0,0,COUNTA([2]quests!$A:$A),MATCH(C$1,[2]quests!$1:$1,0)-MATCH($B$1,[2]quests!$1:$1,0)+1),MATCH(C$1,[2]quests!$1:$1,0)-MATCH($B$1,[2]quests!$1:$1,0)+1,FALSE)</f>
        <v>【LB田頭】検証クエスト</v>
      </c>
      <c r="D125" s="83" t="str">
        <f ca="1">VLOOKUP($B125,OFFSET([2]quests!$A$1,0,0,COUNTA([2]quests!$A:$A),MATCH(D$1,[2]quests!$1:$1,0)-MATCH($B$1,[2]quests!$1:$1,0)+1),MATCH(D$1,[2]quests!$1:$1,0)-MATCH($B$1,[2]quests!$1:$1,0)+1,FALSE)</f>
        <v>童話シリーズ　超級</v>
      </c>
      <c r="E125" s="87" t="s">
        <v>220</v>
      </c>
      <c r="F125" s="83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3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5">
        <v>0</v>
      </c>
      <c r="I125">
        <v>21</v>
      </c>
      <c r="J125" s="84" t="s">
        <v>199</v>
      </c>
      <c r="K125" s="94" t="str">
        <f>VLOOKUP(I125,[7]stage_hints!$A:$C,3,FALSE)</f>
        <v>スキルを有効に</v>
      </c>
      <c r="L125" s="95" t="str">
        <f>VLOOKUP(I125,[7]stage_hints!$A:$D,4,FALSE)</f>
        <v>ターン経過でユニットのスキルが使えます_x000D_強力スキルでバトルを有利に進めましょう</v>
      </c>
      <c r="M125" s="57" t="s">
        <v>212</v>
      </c>
    </row>
    <row r="126" spans="1:13" x14ac:dyDescent="0.15">
      <c r="A126" s="81" t="s">
        <v>201</v>
      </c>
      <c r="B126" s="82">
        <f>floors!$C$2</f>
        <v>65524</v>
      </c>
      <c r="C126" s="83" t="str">
        <f ca="1">VLOOKUP($B126,OFFSET([2]quests!$A$1,0,0,COUNTA([2]quests!$A:$A),MATCH(C$1,[2]quests!$1:$1,0)-MATCH($B$1,[2]quests!$1:$1,0)+1),MATCH(C$1,[2]quests!$1:$1,0)-MATCH($B$1,[2]quests!$1:$1,0)+1,FALSE)</f>
        <v>【LB田頭】検証クエスト</v>
      </c>
      <c r="D126" s="83" t="str">
        <f ca="1">VLOOKUP($B126,OFFSET([2]quests!$A$1,0,0,COUNTA([2]quests!$A:$A),MATCH(D$1,[2]quests!$1:$1,0)-MATCH($B$1,[2]quests!$1:$1,0)+1),MATCH(D$1,[2]quests!$1:$1,0)-MATCH($B$1,[2]quests!$1:$1,0)+1,FALSE)</f>
        <v>童話シリーズ　超級</v>
      </c>
      <c r="E126" s="87" t="s">
        <v>220</v>
      </c>
      <c r="F126" s="83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3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5">
        <v>0</v>
      </c>
      <c r="I126">
        <v>29</v>
      </c>
      <c r="J126" s="84" t="s">
        <v>199</v>
      </c>
      <c r="K126" s="94" t="str">
        <f>VLOOKUP(I126,[7]stage_hints!$A:$C,3,FALSE)</f>
        <v>「バグ」のメリット</v>
      </c>
      <c r="L126" s="95" t="str">
        <f>VLOOKUP(I126,[7]stage_hints!$A:$D,4,FALSE)</f>
        <v>ユニットの「バグ」を増やすと_x000D_報酬をもらえる確率がアップします</v>
      </c>
      <c r="M126" s="57" t="s">
        <v>212</v>
      </c>
    </row>
    <row r="127" spans="1:13" x14ac:dyDescent="0.15">
      <c r="A127" s="81" t="s">
        <v>201</v>
      </c>
      <c r="B127" s="82">
        <f>floors!$C$2</f>
        <v>65524</v>
      </c>
      <c r="C127" s="83" t="str">
        <f ca="1">VLOOKUP($B127,OFFSET([2]quests!$A$1,0,0,COUNTA([2]quests!$A:$A),MATCH(C$1,[2]quests!$1:$1,0)-MATCH($B$1,[2]quests!$1:$1,0)+1),MATCH(C$1,[2]quests!$1:$1,0)-MATCH($B$1,[2]quests!$1:$1,0)+1,FALSE)</f>
        <v>【LB田頭】検証クエスト</v>
      </c>
      <c r="D127" s="83" t="str">
        <f ca="1">VLOOKUP($B127,OFFSET([2]quests!$A$1,0,0,COUNTA([2]quests!$A:$A),MATCH(D$1,[2]quests!$1:$1,0)-MATCH($B$1,[2]quests!$1:$1,0)+1),MATCH(D$1,[2]quests!$1:$1,0)-MATCH($B$1,[2]quests!$1:$1,0)+1,FALSE)</f>
        <v>童話シリーズ　超級</v>
      </c>
      <c r="E127" s="87" t="s">
        <v>220</v>
      </c>
      <c r="F127" s="83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3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5">
        <v>0</v>
      </c>
      <c r="I127">
        <v>30</v>
      </c>
      <c r="J127" s="84" t="s">
        <v>199</v>
      </c>
      <c r="K127" s="94" t="str">
        <f>VLOOKUP(I127,[7]stage_hints!$A:$C,3,FALSE)</f>
        <v>「バグ」の増やし方</v>
      </c>
      <c r="L127" s="95" t="str">
        <f>VLOOKUP(I127,[7]stage_hints!$A:$D,4,FALSE)</f>
        <v>同じユニット同士を強化で合成すると_x000D_「バグ」を増やすことができます</v>
      </c>
      <c r="M127" s="57" t="s">
        <v>212</v>
      </c>
    </row>
    <row r="128" spans="1:13" x14ac:dyDescent="0.15">
      <c r="A128" s="81" t="s">
        <v>201</v>
      </c>
      <c r="B128" s="82">
        <f>floors!$C$2</f>
        <v>65524</v>
      </c>
      <c r="C128" s="83" t="str">
        <f ca="1">VLOOKUP($B128,OFFSET([2]quests!$A$1,0,0,COUNTA([2]quests!$A:$A),MATCH(C$1,[2]quests!$1:$1,0)-MATCH($B$1,[2]quests!$1:$1,0)+1),MATCH(C$1,[2]quests!$1:$1,0)-MATCH($B$1,[2]quests!$1:$1,0)+1,FALSE)</f>
        <v>【LB田頭】検証クエスト</v>
      </c>
      <c r="D128" s="83" t="str">
        <f ca="1">VLOOKUP($B128,OFFSET([2]quests!$A$1,0,0,COUNTA([2]quests!$A:$A),MATCH(D$1,[2]quests!$1:$1,0)-MATCH($B$1,[2]quests!$1:$1,0)+1),MATCH(D$1,[2]quests!$1:$1,0)-MATCH($B$1,[2]quests!$1:$1,0)+1,FALSE)</f>
        <v>童話シリーズ　超級</v>
      </c>
      <c r="E128" s="87" t="s">
        <v>220</v>
      </c>
      <c r="F128" s="83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3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5">
        <v>0</v>
      </c>
      <c r="I128">
        <v>32</v>
      </c>
      <c r="J128" s="84" t="s">
        <v>199</v>
      </c>
      <c r="K128" s="94" t="str">
        <f>VLOOKUP(I128,[7]stage_hints!$A:$C,3,FALSE)</f>
        <v>敵の連続攻撃には</v>
      </c>
      <c r="L128" s="95" t="str">
        <f>VLOOKUP(I128,[7]stage_hints!$A:$D,4,FALSE)</f>
        <v>カウンタースキルを持つユニットがいれば_x000D_ダメージ回数分の反撃ができます</v>
      </c>
      <c r="M128" s="57" t="s">
        <v>212</v>
      </c>
    </row>
    <row r="129" spans="1:13" x14ac:dyDescent="0.15">
      <c r="A129" s="81" t="s">
        <v>201</v>
      </c>
      <c r="B129" s="82">
        <f>floors!$C$2</f>
        <v>65524</v>
      </c>
      <c r="C129" s="83" t="str">
        <f ca="1">VLOOKUP($B129,OFFSET([2]quests!$A$1,0,0,COUNTA([2]quests!$A:$A),MATCH(C$1,[2]quests!$1:$1,0)-MATCH($B$1,[2]quests!$1:$1,0)+1),MATCH(C$1,[2]quests!$1:$1,0)-MATCH($B$1,[2]quests!$1:$1,0)+1,FALSE)</f>
        <v>【LB田頭】検証クエスト</v>
      </c>
      <c r="D129" s="83" t="str">
        <f ca="1">VLOOKUP($B129,OFFSET([2]quests!$A$1,0,0,COUNTA([2]quests!$A:$A),MATCH(D$1,[2]quests!$1:$1,0)-MATCH($B$1,[2]quests!$1:$1,0)+1),MATCH(D$1,[2]quests!$1:$1,0)-MATCH($B$1,[2]quests!$1:$1,0)+1,FALSE)</f>
        <v>童話シリーズ　超級</v>
      </c>
      <c r="E129" s="87" t="s">
        <v>220</v>
      </c>
      <c r="F129" s="83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3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5">
        <v>0</v>
      </c>
      <c r="I129">
        <v>33</v>
      </c>
      <c r="J129" s="84" t="s">
        <v>199</v>
      </c>
      <c r="K129" s="94" t="str">
        <f>VLOOKUP(I129,[7]stage_hints!$A:$C,3,FALSE)</f>
        <v>敵のカウンター攻撃には</v>
      </c>
      <c r="L129" s="95" t="str">
        <f>VLOOKUP(I129,[7]stage_hints!$A:$D,4,FALSE)</f>
        <v>カウンターブレイクスキルを持っていれば_x000D_敵のカウンターを解除して攻撃ができます</v>
      </c>
      <c r="M129" s="57" t="s">
        <v>212</v>
      </c>
    </row>
    <row r="130" spans="1:13" x14ac:dyDescent="0.15">
      <c r="A130" s="81" t="s">
        <v>201</v>
      </c>
      <c r="B130" s="82">
        <f>floors!$C$2</f>
        <v>65524</v>
      </c>
      <c r="C130" s="83" t="str">
        <f ca="1">VLOOKUP($B130,OFFSET([2]quests!$A$1,0,0,COUNTA([2]quests!$A:$A),MATCH(C$1,[2]quests!$1:$1,0)-MATCH($B$1,[2]quests!$1:$1,0)+1),MATCH(C$1,[2]quests!$1:$1,0)-MATCH($B$1,[2]quests!$1:$1,0)+1,FALSE)</f>
        <v>【LB田頭】検証クエスト</v>
      </c>
      <c r="D130" s="83" t="str">
        <f ca="1">VLOOKUP($B130,OFFSET([2]quests!$A$1,0,0,COUNTA([2]quests!$A:$A),MATCH(D$1,[2]quests!$1:$1,0)-MATCH($B$1,[2]quests!$1:$1,0)+1),MATCH(D$1,[2]quests!$1:$1,0)-MATCH($B$1,[2]quests!$1:$1,0)+1,FALSE)</f>
        <v>童話シリーズ　超級</v>
      </c>
      <c r="E130" s="87" t="s">
        <v>220</v>
      </c>
      <c r="F130" s="83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3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5">
        <v>0</v>
      </c>
      <c r="I130">
        <v>34</v>
      </c>
      <c r="J130" s="84" t="s">
        <v>199</v>
      </c>
      <c r="K130" s="94" t="str">
        <f>VLOOKUP(I130,[7]stage_hints!$A:$C,3,FALSE)</f>
        <v>ステータスをスキルで下げられたら</v>
      </c>
      <c r="L130" s="95" t="str">
        <f>VLOOKUP(I130,[7]stage_hints!$A:$D,4,FALSE)</f>
        <v>ステータスダウンのスキルを受けたら_x000D_ステータスアップスキルで上書きしましょう</v>
      </c>
      <c r="M130" s="57" t="s">
        <v>212</v>
      </c>
    </row>
    <row r="131" spans="1:13" x14ac:dyDescent="0.15">
      <c r="A131" s="81" t="s">
        <v>201</v>
      </c>
      <c r="B131" s="82">
        <f>floors!$C$2</f>
        <v>65524</v>
      </c>
      <c r="C131" s="83" t="str">
        <f ca="1">VLOOKUP($B131,OFFSET([2]quests!$A$1,0,0,COUNTA([2]quests!$A:$A),MATCH(C$1,[2]quests!$1:$1,0)-MATCH($B$1,[2]quests!$1:$1,0)+1),MATCH(C$1,[2]quests!$1:$1,0)-MATCH($B$1,[2]quests!$1:$1,0)+1,FALSE)</f>
        <v>【LB田頭】検証クエスト</v>
      </c>
      <c r="D131" s="83" t="str">
        <f ca="1">VLOOKUP($B131,OFFSET([2]quests!$A$1,0,0,COUNTA([2]quests!$A:$A),MATCH(D$1,[2]quests!$1:$1,0)-MATCH($B$1,[2]quests!$1:$1,0)+1),MATCH(D$1,[2]quests!$1:$1,0)-MATCH($B$1,[2]quests!$1:$1,0)+1,FALSE)</f>
        <v>童話シリーズ　超級</v>
      </c>
      <c r="E131" s="87" t="s">
        <v>220</v>
      </c>
      <c r="F131" s="83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3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5">
        <v>0</v>
      </c>
      <c r="I131">
        <v>35</v>
      </c>
      <c r="J131" s="84" t="s">
        <v>199</v>
      </c>
      <c r="K131" s="94" t="str">
        <f>VLOOKUP(I131,[7]stage_hints!$A:$C,3,FALSE)</f>
        <v>敵のステータスがスキルで上がったら</v>
      </c>
      <c r="L131" s="95" t="str">
        <f>VLOOKUP(I131,[7]stage_hints!$A:$D,4,FALSE)</f>
        <v>敵のステータスがスキルでアップしたときは_x000D_ステータスダウンスキルで上書きしましょう</v>
      </c>
      <c r="M131" s="57" t="s">
        <v>212</v>
      </c>
    </row>
    <row r="132" spans="1:13" x14ac:dyDescent="0.15">
      <c r="A132" s="81" t="s">
        <v>201</v>
      </c>
      <c r="B132" s="82">
        <f>floors!$C$2</f>
        <v>65524</v>
      </c>
      <c r="C132" s="83" t="str">
        <f ca="1">VLOOKUP($B132,OFFSET([2]quests!$A$1,0,0,COUNTA([2]quests!$A:$A),MATCH(C$1,[2]quests!$1:$1,0)-MATCH($B$1,[2]quests!$1:$1,0)+1),MATCH(C$1,[2]quests!$1:$1,0)-MATCH($B$1,[2]quests!$1:$1,0)+1,FALSE)</f>
        <v>【LB田頭】検証クエスト</v>
      </c>
      <c r="D132" s="83" t="str">
        <f ca="1">VLOOKUP($B132,OFFSET([2]quests!$A$1,0,0,COUNTA([2]quests!$A:$A),MATCH(D$1,[2]quests!$1:$1,0)-MATCH($B$1,[2]quests!$1:$1,0)+1),MATCH(D$1,[2]quests!$1:$1,0)-MATCH($B$1,[2]quests!$1:$1,0)+1,FALSE)</f>
        <v>童話シリーズ　超級</v>
      </c>
      <c r="E132" s="87" t="s">
        <v>220</v>
      </c>
      <c r="F132" s="83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3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5">
        <v>0</v>
      </c>
      <c r="I132">
        <v>36</v>
      </c>
      <c r="J132" s="84" t="s">
        <v>199</v>
      </c>
      <c r="K132" s="94" t="str">
        <f>VLOOKUP(I132,[7]stage_hints!$A:$C,3,FALSE)</f>
        <v>タワーオブザクイーンのボス</v>
      </c>
      <c r="L132" s="95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212</v>
      </c>
    </row>
    <row r="133" spans="1:13" x14ac:dyDescent="0.15">
      <c r="A133" s="81" t="s">
        <v>201</v>
      </c>
      <c r="B133" s="82">
        <f>floors!$C$2</f>
        <v>65524</v>
      </c>
      <c r="C133" s="83" t="str">
        <f ca="1">VLOOKUP($B133,OFFSET([2]quests!$A$1,0,0,COUNTA([2]quests!$A:$A),MATCH(C$1,[2]quests!$1:$1,0)-MATCH($B$1,[2]quests!$1:$1,0)+1),MATCH(C$1,[2]quests!$1:$1,0)-MATCH($B$1,[2]quests!$1:$1,0)+1,FALSE)</f>
        <v>【LB田頭】検証クエスト</v>
      </c>
      <c r="D133" s="83" t="str">
        <f ca="1">VLOOKUP($B133,OFFSET([2]quests!$A$1,0,0,COUNTA([2]quests!$A:$A),MATCH(D$1,[2]quests!$1:$1,0)-MATCH($B$1,[2]quests!$1:$1,0)+1),MATCH(D$1,[2]quests!$1:$1,0)-MATCH($B$1,[2]quests!$1:$1,0)+1,FALSE)</f>
        <v>童話シリーズ　超級</v>
      </c>
      <c r="E133" s="87" t="s">
        <v>220</v>
      </c>
      <c r="F133" s="83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3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5">
        <v>0</v>
      </c>
      <c r="I133">
        <v>37</v>
      </c>
      <c r="J133" s="84" t="s">
        <v>199</v>
      </c>
      <c r="K133" s="94" t="str">
        <f>VLOOKUP(I133,[7]stage_hints!$A:$C,3,FALSE)</f>
        <v>限界突破値の引き継ぎ</v>
      </c>
      <c r="L133" s="95" t="str">
        <f>VLOOKUP(I133,[7]stage_hints!$A:$D,4,FALSE)</f>
        <v>同じユニットを強化で合成すると_x000D_限界突破値を引き継げます（覚醒前後も可）</v>
      </c>
      <c r="M133" s="57" t="s">
        <v>212</v>
      </c>
    </row>
    <row r="134" spans="1:13" x14ac:dyDescent="0.15">
      <c r="A134" s="81" t="s">
        <v>201</v>
      </c>
      <c r="B134" s="82">
        <f>floors!$C$2</f>
        <v>65524</v>
      </c>
      <c r="C134" s="83" t="str">
        <f ca="1">VLOOKUP($B134,OFFSET([2]quests!$A$1,0,0,COUNTA([2]quests!$A:$A),MATCH(C$1,[2]quests!$1:$1,0)-MATCH($B$1,[2]quests!$1:$1,0)+1),MATCH(C$1,[2]quests!$1:$1,0)-MATCH($B$1,[2]quests!$1:$1,0)+1,FALSE)</f>
        <v>【LB田頭】検証クエスト</v>
      </c>
      <c r="D134" s="83" t="str">
        <f ca="1">VLOOKUP($B134,OFFSET([2]quests!$A$1,0,0,COUNTA([2]quests!$A:$A),MATCH(D$1,[2]quests!$1:$1,0)-MATCH($B$1,[2]quests!$1:$1,0)+1),MATCH(D$1,[2]quests!$1:$1,0)-MATCH($B$1,[2]quests!$1:$1,0)+1,FALSE)</f>
        <v>童話シリーズ　超級</v>
      </c>
      <c r="E134" s="87" t="s">
        <v>220</v>
      </c>
      <c r="F134" s="83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3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5">
        <v>0</v>
      </c>
      <c r="I134">
        <v>39</v>
      </c>
      <c r="J134" s="84" t="s">
        <v>199</v>
      </c>
      <c r="K134" s="94" t="str">
        <f>VLOOKUP(I134,[7]stage_hints!$A:$C,3,FALSE)</f>
        <v>システム適合者を確認</v>
      </c>
      <c r="L134" s="95" t="str">
        <f>VLOOKUP(I134,[7]stage_hints!$A:$D,4,FALSE)</f>
        <v>ALICEが 「アナタ」を呼んでいます</v>
      </c>
      <c r="M134" s="57" t="s">
        <v>212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90" t="s">
        <v>195</v>
      </c>
      <c r="J1" s="92" t="s">
        <v>196</v>
      </c>
      <c r="K1" s="79" t="s">
        <v>126</v>
      </c>
      <c r="L1" s="78" t="s">
        <v>187</v>
      </c>
      <c r="M1" s="93" t="s">
        <v>186</v>
      </c>
      <c r="N1" s="80" t="s">
        <v>197</v>
      </c>
    </row>
    <row r="2" spans="1:14" x14ac:dyDescent="0.15">
      <c r="A2" s="81" t="s">
        <v>198</v>
      </c>
      <c r="B2" s="82">
        <f>floors!$C$2</f>
        <v>65524</v>
      </c>
      <c r="C2" s="83" t="str">
        <f ca="1">VLOOKUP($B2,OFFSET([2]quests!$A$1,0,0,COUNTA([2]quests!$A:$A),MATCH(C$1,[2]quests!$1:$1,0)-MATCH($B$1,[2]quests!$1:$1,0)+1),MATCH(C$1,[2]quests!$1:$1,0)-MATCH($B$1,[2]quests!$1:$1,0)+1,FALSE)</f>
        <v>【LB田頭】検証クエスト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童話シリーズ　超級</v>
      </c>
      <c r="E2" s="84">
        <v>99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5">
        <v>99</v>
      </c>
      <c r="I2" s="91">
        <f>ROW()-1</f>
        <v>1</v>
      </c>
      <c r="J2" s="86" t="str">
        <f>B2&amp;TEXT(I2,"00")</f>
        <v>6552401</v>
      </c>
      <c r="K2" s="84" t="s">
        <v>199</v>
      </c>
      <c r="L2" s="87" t="s">
        <v>265</v>
      </c>
      <c r="M2" s="88"/>
      <c r="N2" s="57" t="s">
        <v>200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221</v>
      </c>
      <c r="B1" s="99" t="s">
        <v>222</v>
      </c>
      <c r="C1" s="77" t="s">
        <v>223</v>
      </c>
      <c r="D1" s="77" t="s">
        <v>33</v>
      </c>
      <c r="E1" s="99" t="s">
        <v>224</v>
      </c>
      <c r="F1" s="77" t="s">
        <v>225</v>
      </c>
      <c r="G1" s="77" t="s">
        <v>33</v>
      </c>
      <c r="H1" s="99" t="s">
        <v>226</v>
      </c>
      <c r="I1" s="99" t="s">
        <v>227</v>
      </c>
      <c r="J1" s="99" t="s">
        <v>228</v>
      </c>
      <c r="K1" s="73" t="s">
        <v>229</v>
      </c>
      <c r="L1" s="73" t="s">
        <v>230</v>
      </c>
      <c r="M1" s="73" t="s">
        <v>156</v>
      </c>
      <c r="N1" s="77" t="s">
        <v>16</v>
      </c>
      <c r="O1" s="73" t="s">
        <v>231</v>
      </c>
      <c r="P1" s="73" t="s">
        <v>57</v>
      </c>
      <c r="Q1" s="73" t="s">
        <v>232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233</v>
      </c>
      <c r="X1" s="73" t="s">
        <v>234</v>
      </c>
    </row>
    <row r="2" spans="1:24" x14ac:dyDescent="0.15">
      <c r="A2" s="100" t="str">
        <f>B2&amp;"_"&amp;E2&amp;"_"&amp;H2&amp;"_"&amp;I2&amp;"_"&amp;J2</f>
        <v>65535_7_everyone_clear_1</v>
      </c>
      <c r="B2" s="82">
        <v>65535</v>
      </c>
      <c r="C2" s="83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3" t="str">
        <f ca="1">VLOOKUP($B2,OFFSET([2]quests!$A$1,0,0,COUNTA([2]quests!$A:$A),MATCH(D$1,[2]quests!$1:$1,0)-MATCH($B$1,[2]quests!$1:$1,0)+1),MATCH(D$1,[2]quests!$1:$1,0)-MATCH($B$1,[2]quests!$1:$1,0)+1,FALSE)</f>
        <v>検証</v>
      </c>
      <c r="E2" s="84">
        <v>7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5" t="s">
        <v>235</v>
      </c>
      <c r="I2" s="84" t="s">
        <v>236</v>
      </c>
      <c r="J2" s="84">
        <v>1</v>
      </c>
      <c r="K2" s="84">
        <v>610</v>
      </c>
      <c r="L2" s="84" t="s">
        <v>237</v>
      </c>
      <c r="M2" s="84">
        <v>334</v>
      </c>
      <c r="N2" s="101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2" t="s">
        <v>238</v>
      </c>
      <c r="X2" s="103" t="s">
        <v>239</v>
      </c>
    </row>
    <row r="3" spans="1:24" x14ac:dyDescent="0.15">
      <c r="A3" s="100" t="str">
        <f>B3&amp;"_"&amp;E3&amp;"_"&amp;H3&amp;"_"&amp;I3&amp;"_"&amp;J3</f>
        <v>65535_7_everyone_no_continue_1</v>
      </c>
      <c r="B3" s="82">
        <v>65535</v>
      </c>
      <c r="C3" s="83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3" t="str">
        <f ca="1">VLOOKUP($B3,OFFSET([2]quests!$A$1,0,0,COUNTA([2]quests!$A:$A),MATCH(D$1,[2]quests!$1:$1,0)-MATCH($B$1,[2]quests!$1:$1,0)+1),MATCH(D$1,[2]quests!$1:$1,0)-MATCH($B$1,[2]quests!$1:$1,0)+1,FALSE)</f>
        <v>検証</v>
      </c>
      <c r="E3" s="84">
        <v>7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5" t="s">
        <v>235</v>
      </c>
      <c r="I3" s="84" t="s">
        <v>240</v>
      </c>
      <c r="J3" s="84">
        <v>1</v>
      </c>
      <c r="K3" s="84">
        <v>610</v>
      </c>
      <c r="L3" s="84" t="s">
        <v>237</v>
      </c>
      <c r="M3" s="84">
        <v>334</v>
      </c>
      <c r="N3" s="101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2" t="s">
        <v>238</v>
      </c>
      <c r="X3" s="103" t="s">
        <v>239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2017-04-10T06:00:37Z</dcterms:modified>
</cp:coreProperties>
</file>