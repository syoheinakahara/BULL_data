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5720" yWindow="3880" windowWidth="29180" windowHeight="155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0" l="1"/>
  <c r="H2" i="9"/>
  <c r="I2" i="9"/>
  <c r="J2" i="9"/>
  <c r="K2" i="9"/>
  <c r="L2" i="9"/>
  <c r="M2" i="9"/>
  <c r="N2" i="9"/>
  <c r="H3" i="9"/>
  <c r="I3" i="9"/>
  <c r="J3" i="9"/>
  <c r="K3" i="9"/>
  <c r="L3" i="9"/>
  <c r="M3" i="9"/>
  <c r="N3" i="9"/>
  <c r="H4" i="9"/>
  <c r="I4" i="9"/>
  <c r="J4" i="9"/>
  <c r="K4" i="9"/>
  <c r="L4" i="9"/>
  <c r="M4" i="9"/>
  <c r="N4" i="9"/>
  <c r="H5" i="9"/>
  <c r="I5" i="9"/>
  <c r="J5" i="9"/>
  <c r="K5" i="9"/>
  <c r="L5" i="9"/>
  <c r="M5" i="9"/>
  <c r="N5" i="9"/>
  <c r="H6" i="9"/>
  <c r="I6" i="9"/>
  <c r="J6" i="9"/>
  <c r="K6" i="9"/>
  <c r="L6" i="9"/>
  <c r="M6" i="9"/>
  <c r="N6" i="9"/>
  <c r="H7" i="9"/>
  <c r="I7" i="9"/>
  <c r="J7" i="9"/>
  <c r="K7" i="9"/>
  <c r="L7" i="9"/>
  <c r="M7" i="9"/>
  <c r="N7" i="9"/>
  <c r="H8" i="9"/>
  <c r="I8" i="9"/>
  <c r="J8" i="9"/>
  <c r="K8" i="9"/>
  <c r="L8" i="9"/>
  <c r="M8" i="9"/>
  <c r="N8" i="9"/>
  <c r="H9" i="9"/>
  <c r="I9" i="9"/>
  <c r="J9" i="9"/>
  <c r="K9" i="9"/>
  <c r="L9" i="9"/>
  <c r="M9" i="9"/>
  <c r="N9" i="9"/>
  <c r="H10" i="9"/>
  <c r="I10" i="9"/>
  <c r="J10" i="9"/>
  <c r="K10" i="9"/>
  <c r="L10" i="9"/>
  <c r="M10" i="9"/>
  <c r="N10" i="9"/>
  <c r="H11" i="9"/>
  <c r="I11" i="9"/>
  <c r="J11" i="9"/>
  <c r="K11" i="9"/>
  <c r="L11" i="9"/>
  <c r="M11" i="9"/>
  <c r="N11" i="9"/>
  <c r="H12" i="9"/>
  <c r="I12" i="9"/>
  <c r="J12" i="9"/>
  <c r="K12" i="9"/>
  <c r="L12" i="9"/>
  <c r="M12" i="9"/>
  <c r="N12" i="9"/>
  <c r="H13" i="9"/>
  <c r="I13" i="9"/>
  <c r="J13" i="9"/>
  <c r="K13" i="9"/>
  <c r="L13" i="9"/>
  <c r="M13" i="9"/>
  <c r="N13" i="9"/>
  <c r="H14" i="9"/>
  <c r="I14" i="9"/>
  <c r="J14" i="9"/>
  <c r="K14" i="9"/>
  <c r="L14" i="9"/>
  <c r="M14" i="9"/>
  <c r="N14" i="9"/>
  <c r="H15" i="9"/>
  <c r="I15" i="9"/>
  <c r="J15" i="9"/>
  <c r="K15" i="9"/>
  <c r="L15" i="9"/>
  <c r="M15" i="9"/>
  <c r="N15" i="9"/>
  <c r="H16" i="9"/>
  <c r="I16" i="9"/>
  <c r="J16" i="9"/>
  <c r="K16" i="9"/>
  <c r="L16" i="9"/>
  <c r="M16" i="9"/>
  <c r="N16" i="9"/>
  <c r="H17" i="9"/>
  <c r="I17" i="9"/>
  <c r="J17" i="9"/>
  <c r="K17" i="9"/>
  <c r="L17" i="9"/>
  <c r="M17" i="9"/>
  <c r="N17" i="9"/>
  <c r="H18" i="9"/>
  <c r="I18" i="9"/>
  <c r="J18" i="9"/>
  <c r="K18" i="9"/>
  <c r="L18" i="9"/>
  <c r="M18" i="9"/>
  <c r="N18" i="9"/>
  <c r="H19" i="9"/>
  <c r="I19" i="9"/>
  <c r="J19" i="9"/>
  <c r="K19" i="9"/>
  <c r="L19" i="9"/>
  <c r="M19" i="9"/>
  <c r="N19" i="9"/>
  <c r="H20" i="9"/>
  <c r="I20" i="9"/>
  <c r="J20" i="9"/>
  <c r="K20" i="9"/>
  <c r="L20" i="9"/>
  <c r="M20" i="9"/>
  <c r="N20" i="9"/>
  <c r="H21" i="9"/>
  <c r="I21" i="9"/>
  <c r="J21" i="9"/>
  <c r="K21" i="9"/>
  <c r="L21" i="9"/>
  <c r="M21" i="9"/>
  <c r="N21" i="9"/>
  <c r="H22" i="9"/>
  <c r="I22" i="9"/>
  <c r="J22" i="9"/>
  <c r="K22" i="9"/>
  <c r="L22" i="9"/>
  <c r="M22" i="9"/>
  <c r="N22" i="9"/>
  <c r="H23" i="9"/>
  <c r="I23" i="9"/>
  <c r="J23" i="9"/>
  <c r="K23" i="9"/>
  <c r="L23" i="9"/>
  <c r="M23" i="9"/>
  <c r="N23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B13" i="10"/>
  <c r="B14" i="10"/>
  <c r="B15" i="10"/>
  <c r="B16" i="10"/>
  <c r="B17" i="10"/>
  <c r="B18" i="10"/>
  <c r="B19" i="10"/>
  <c r="B20" i="10"/>
  <c r="B21" i="10"/>
  <c r="B22" i="10"/>
  <c r="B23" i="10"/>
  <c r="B12" i="10"/>
  <c r="B3" i="10"/>
  <c r="B4" i="10"/>
  <c r="B5" i="10"/>
  <c r="B6" i="10"/>
  <c r="B7" i="10"/>
  <c r="B2" i="10"/>
  <c r="C3" i="18"/>
  <c r="D3" i="18"/>
  <c r="C4" i="18"/>
  <c r="D4" i="18"/>
  <c r="C5" i="18"/>
  <c r="D5" i="18"/>
  <c r="C6" i="18"/>
  <c r="D6" i="18"/>
  <c r="C7" i="18"/>
  <c r="D7" i="18"/>
  <c r="C8" i="18"/>
  <c r="D8" i="18"/>
  <c r="T2" i="1"/>
  <c r="V2" i="1"/>
  <c r="V3" i="1"/>
  <c r="T3" i="1"/>
  <c r="C3" i="21"/>
  <c r="D3" i="21"/>
  <c r="F3" i="21"/>
  <c r="G3" i="21"/>
  <c r="O3" i="21"/>
  <c r="C4" i="21"/>
  <c r="D4" i="21"/>
  <c r="F4" i="21"/>
  <c r="G4" i="21"/>
  <c r="O4" i="21"/>
  <c r="M6" i="10"/>
  <c r="M11" i="10"/>
  <c r="M16" i="10"/>
  <c r="M21" i="10"/>
  <c r="N21" i="10"/>
  <c r="Q21" i="10"/>
  <c r="P21" i="10"/>
  <c r="R21" i="10"/>
  <c r="O21" i="10"/>
  <c r="S21" i="10"/>
  <c r="N16" i="10"/>
  <c r="Q16" i="10"/>
  <c r="P16" i="10"/>
  <c r="R16" i="10"/>
  <c r="O16" i="10"/>
  <c r="S16" i="10"/>
  <c r="N11" i="10"/>
  <c r="Q11" i="10"/>
  <c r="P11" i="10"/>
  <c r="R11" i="10"/>
  <c r="O11" i="10"/>
  <c r="S11" i="10"/>
  <c r="N6" i="10"/>
  <c r="Q6" i="10"/>
  <c r="P6" i="10"/>
  <c r="R6" i="10"/>
  <c r="O6" i="10"/>
  <c r="S6" i="10"/>
  <c r="G3" i="2"/>
  <c r="A3" i="2"/>
  <c r="H2" i="1"/>
  <c r="H3" i="1"/>
  <c r="H4" i="1"/>
  <c r="H5" i="1"/>
  <c r="H6" i="1"/>
  <c r="B3" i="2"/>
  <c r="D3" i="2"/>
  <c r="E3" i="2"/>
  <c r="H3" i="2"/>
  <c r="G4" i="2"/>
  <c r="A4" i="2"/>
  <c r="B4" i="2"/>
  <c r="D4" i="2"/>
  <c r="E4" i="2"/>
  <c r="H4" i="2"/>
  <c r="A3" i="7"/>
  <c r="D3" i="7"/>
  <c r="E3" i="7"/>
  <c r="F3" i="7"/>
  <c r="H3" i="7"/>
  <c r="N3" i="7"/>
  <c r="O3" i="7"/>
  <c r="P3" i="7"/>
  <c r="Q3" i="7"/>
  <c r="R3" i="7"/>
  <c r="U3" i="7"/>
  <c r="W3" i="7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A2" i="9"/>
  <c r="D2" i="9"/>
  <c r="E2" i="9"/>
  <c r="O2" i="9"/>
  <c r="A3" i="9"/>
  <c r="D3" i="9"/>
  <c r="E3" i="9"/>
  <c r="A4" i="9"/>
  <c r="D4" i="9"/>
  <c r="E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G2" i="10"/>
  <c r="H2" i="10"/>
  <c r="I2" i="10"/>
  <c r="J2" i="10"/>
  <c r="K2" i="10"/>
  <c r="L2" i="10"/>
  <c r="M2" i="10"/>
  <c r="M7" i="10"/>
  <c r="M12" i="10"/>
  <c r="M17" i="10"/>
  <c r="M22" i="10"/>
  <c r="N22" i="10"/>
  <c r="Q22" i="10"/>
  <c r="P22" i="10"/>
  <c r="R22" i="10"/>
  <c r="O22" i="10"/>
  <c r="S22" i="10"/>
  <c r="N17" i="10"/>
  <c r="Q17" i="10"/>
  <c r="P17" i="10"/>
  <c r="R17" i="10"/>
  <c r="O17" i="10"/>
  <c r="S17" i="10"/>
  <c r="N12" i="10"/>
  <c r="Q12" i="10"/>
  <c r="P12" i="10"/>
  <c r="R12" i="10"/>
  <c r="O12" i="10"/>
  <c r="S12" i="10"/>
  <c r="N7" i="10"/>
  <c r="Q7" i="10"/>
  <c r="P7" i="10"/>
  <c r="R7" i="10"/>
  <c r="O7" i="10"/>
  <c r="S7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M3" i="10"/>
  <c r="M8" i="10"/>
  <c r="M13" i="10"/>
  <c r="M18" i="10"/>
  <c r="M23" i="10"/>
  <c r="N23" i="10"/>
  <c r="Q23" i="10"/>
  <c r="P23" i="10"/>
  <c r="R23" i="10"/>
  <c r="O23" i="10"/>
  <c r="S23" i="10"/>
  <c r="N18" i="10"/>
  <c r="Q18" i="10"/>
  <c r="P18" i="10"/>
  <c r="R18" i="10"/>
  <c r="O18" i="10"/>
  <c r="S18" i="10"/>
  <c r="N13" i="10"/>
  <c r="Q13" i="10"/>
  <c r="P13" i="10"/>
  <c r="R13" i="10"/>
  <c r="O13" i="10"/>
  <c r="S13" i="10"/>
  <c r="N8" i="10"/>
  <c r="Q8" i="10"/>
  <c r="P8" i="10"/>
  <c r="R8" i="10"/>
  <c r="O8" i="10"/>
  <c r="S8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9" i="10"/>
  <c r="M14" i="10"/>
  <c r="M19" i="10"/>
  <c r="N19" i="10"/>
  <c r="Q19" i="10"/>
  <c r="P19" i="10"/>
  <c r="R19" i="10"/>
  <c r="O19" i="10"/>
  <c r="S19" i="10"/>
  <c r="N14" i="10"/>
  <c r="Q14" i="10"/>
  <c r="P14" i="10"/>
  <c r="R14" i="10"/>
  <c r="O14" i="10"/>
  <c r="S14" i="10"/>
  <c r="N9" i="10"/>
  <c r="Q9" i="10"/>
  <c r="P9" i="10"/>
  <c r="R9" i="10"/>
  <c r="O9" i="10"/>
  <c r="S9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0" i="10"/>
  <c r="M15" i="10"/>
  <c r="M20" i="10"/>
  <c r="N20" i="10"/>
  <c r="Q20" i="10"/>
  <c r="P20" i="10"/>
  <c r="R20" i="10"/>
  <c r="O20" i="10"/>
  <c r="S20" i="10"/>
  <c r="N15" i="10"/>
  <c r="Q15" i="10"/>
  <c r="P15" i="10"/>
  <c r="R15" i="10"/>
  <c r="O15" i="10"/>
  <c r="S15" i="10"/>
  <c r="N10" i="10"/>
  <c r="Q10" i="10"/>
  <c r="P10" i="10"/>
  <c r="R10" i="10"/>
  <c r="O10" i="10"/>
  <c r="S10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T6" i="10"/>
  <c r="U6" i="10"/>
  <c r="V6" i="10"/>
  <c r="W6" i="10"/>
  <c r="X6" i="10"/>
  <c r="Y6" i="10"/>
  <c r="G7" i="10"/>
  <c r="H7" i="10"/>
  <c r="I7" i="10"/>
  <c r="J7" i="10"/>
  <c r="K7" i="10"/>
  <c r="L7" i="10"/>
  <c r="T7" i="10"/>
  <c r="U7" i="10"/>
  <c r="V7" i="10"/>
  <c r="W7" i="10"/>
  <c r="X7" i="10"/>
  <c r="Y7" i="10"/>
  <c r="G8" i="10"/>
  <c r="H8" i="10"/>
  <c r="I8" i="10"/>
  <c r="J8" i="10"/>
  <c r="K8" i="10"/>
  <c r="L8" i="10"/>
  <c r="T8" i="10"/>
  <c r="U8" i="10"/>
  <c r="V8" i="10"/>
  <c r="W8" i="10"/>
  <c r="X8" i="10"/>
  <c r="Y8" i="10"/>
  <c r="G9" i="10"/>
  <c r="H9" i="10"/>
  <c r="I9" i="10"/>
  <c r="J9" i="10"/>
  <c r="K9" i="10"/>
  <c r="L9" i="10"/>
  <c r="T9" i="10"/>
  <c r="U9" i="10"/>
  <c r="V9" i="10"/>
  <c r="W9" i="10"/>
  <c r="X9" i="10"/>
  <c r="Y9" i="10"/>
  <c r="G10" i="10"/>
  <c r="H10" i="10"/>
  <c r="I10" i="10"/>
  <c r="J10" i="10"/>
  <c r="K10" i="10"/>
  <c r="L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AD3" i="1"/>
  <c r="AF3" i="1"/>
  <c r="AI3" i="1"/>
  <c r="AD4" i="1"/>
  <c r="AF4" i="1"/>
  <c r="AI4" i="1"/>
  <c r="AD5" i="1"/>
  <c r="AF5" i="1"/>
  <c r="AI5" i="1"/>
  <c r="AD6" i="1"/>
  <c r="AF6" i="1"/>
  <c r="AI6" i="1"/>
  <c r="A5" i="1"/>
  <c r="D5" i="1"/>
  <c r="E5" i="1"/>
  <c r="F5" i="1"/>
  <c r="G2" i="2"/>
  <c r="A2" i="2"/>
  <c r="I5" i="1"/>
  <c r="J5" i="1"/>
  <c r="M5" i="1"/>
  <c r="N5" i="1"/>
  <c r="O5" i="1"/>
  <c r="P5" i="1"/>
  <c r="Q5" i="1"/>
  <c r="T5" i="1"/>
  <c r="V5" i="1"/>
  <c r="X5" i="1"/>
  <c r="AE5" i="1"/>
  <c r="AG5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E6" i="1"/>
  <c r="AG6" i="1"/>
  <c r="A3" i="1"/>
  <c r="D3" i="1"/>
  <c r="E3" i="1"/>
  <c r="F3" i="1"/>
  <c r="I3" i="1"/>
  <c r="J3" i="1"/>
  <c r="M3" i="1"/>
  <c r="N3" i="1"/>
  <c r="O3" i="1"/>
  <c r="P3" i="1"/>
  <c r="Q3" i="1"/>
  <c r="X3" i="1"/>
  <c r="AE3" i="1"/>
  <c r="AG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E4" i="1"/>
  <c r="AG4" i="1"/>
  <c r="W2" i="7"/>
  <c r="U2" i="7"/>
  <c r="R2" i="7"/>
  <c r="Q2" i="7"/>
  <c r="P2" i="7"/>
  <c r="O2" i="7"/>
  <c r="N2" i="7"/>
  <c r="H2" i="7"/>
  <c r="D2" i="7"/>
  <c r="F2" i="7"/>
  <c r="E2" i="7"/>
  <c r="A2" i="7"/>
  <c r="O2" i="21"/>
  <c r="J2" i="11"/>
  <c r="X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E9" i="16"/>
  <c r="AD2" i="1"/>
  <c r="AG2" i="1"/>
  <c r="AF2" i="1"/>
  <c r="AE2" i="1"/>
  <c r="Q2" i="1"/>
  <c r="P2" i="1"/>
  <c r="O2" i="1"/>
  <c r="N2" i="1"/>
  <c r="M2" i="1"/>
  <c r="AI2" i="1"/>
  <c r="E8" i="16"/>
  <c r="E7" i="16"/>
  <c r="E6" i="16"/>
  <c r="E5" i="16"/>
  <c r="E4" i="16"/>
  <c r="E3" i="16"/>
  <c r="E2" i="16"/>
  <c r="A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<sst xmlns="http://schemas.openxmlformats.org/spreadsheetml/2006/main" count="1419" uniqueCount="432">
  <si>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</si>
  <si>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</si>
  <si>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</si>
  <si>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</si>
  <si>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</si>
  <si>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</si>
  <si>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</si>
  <si>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</si>
  <si>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</si>
  <si>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</si>
  <si>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</si>
  <si>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</si>
  <si>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</si>
  <si>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</si>
  <si>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</si>
  <si>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</si>
  <si>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</si>
  <si>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</si>
  <si>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</si>
  <si>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</si>
  <si>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</si>
  <si>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</si>
  <si>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</si>
  <si>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</si>
  <si>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</si>
  <si>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</si>
  <si>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</si>
  <si>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</si>
  <si>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</si>
  <si>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</si>
  <si>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</si>
  <si>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</si>
  <si>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</si>
  <si>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</si>
  <si>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</si>
  <si>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</si>
  <si>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</si>
  <si>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</si>
  <si>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</si>
  <si>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</si>
  <si>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</si>
  <si>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</si>
  <si>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</si>
  <si>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</si>
  <si>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</si>
  <si>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</si>
  <si>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</si>
  <si>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</si>
  <si>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</si>
  <si>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</si>
  <si>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</si>
  <si>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</si>
  <si>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</si>
  <si>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</si>
  <si>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</si>
  <si>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</si>
  <si>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</si>
  <si>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</si>
  <si>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</si>
  <si>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</si>
  <si>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</si>
  <si>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</si>
  <si>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</si>
  <si>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</si>
  <si>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</si>
  <si>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</si>
  <si>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</si>
  <si>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</si>
  <si>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</si>
  <si>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</si>
  <si>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</si>
  <si>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</si>
  <si>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</si>
  <si>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</si>
  <si>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</si>
  <si>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</si>
  <si>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</si>
  <si>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</si>
  <si>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</si>
  <si>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</si>
  <si>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</si>
  <si>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</si>
  <si>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</si>
  <si>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</si>
  <si>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</si>
  <si>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</si>
  <si>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</si>
  <si>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</si>
  <si>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</si>
  <si>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</si>
  <si>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</si>
  <si>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</si>
  <si>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</si>
  <si>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</si>
  <si>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</si>
  <si>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</si>
  <si>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</si>
  <si>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</si>
  <si>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</si>
  <si>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</si>
  <si>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</si>
  <si>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</si>
  <si>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</si>
  <si>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</si>
  <si>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</si>
  <si>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</si>
  <si>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</si>
  <si>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</si>
  <si>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</si>
  <si>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</si>
  <si>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</si>
  <si>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</si>
  <si>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</si>
  <si>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</si>
  <si>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</si>
  <si>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</si>
  <si>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</si>
  <si>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</si>
  <si>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</si>
  <si>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</si>
  <si>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</si>
  <si>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</si>
  <si>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</si>
  <si>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</si>
  <si>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</si>
  <si>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</si>
  <si>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</si>
  <si>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</si>
  <si>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</si>
  <si>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</si>
  <si>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</si>
  <si>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</si>
  <si>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</si>
  <si>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</si>
  <si>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</si>
  <si>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</si>
  <si>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</si>
  <si>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</si>
  <si>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</si>
  <si>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</si>
  <si>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</si>
  <si>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</si>
  <si>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</si>
  <si>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</si>
  <si>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</si>
  <si>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</si>
  <si>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</si>
  <si>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</si>
  <si>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</si>
  <si>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</si>
  <si>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</si>
  <si>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</si>
  <si>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</si>
  <si>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</si>
  <si>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</si>
  <si>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</si>
  <si>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</si>
  <si>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</si>
  <si>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</si>
  <si>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</si>
  <si>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</si>
  <si>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</si>
  <si>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</si>
  <si>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</si>
  <si>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</si>
  <si>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</si>
  <si>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</si>
  <si>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</si>
  <si>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</si>
  <si>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</si>
  <si>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</si>
  <si>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</si>
  <si>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</si>
  <si>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</si>
  <si>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</si>
  <si>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</si>
  <si>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</si>
  <si>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</si>
  <si>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</si>
  <si>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</si>
  <si>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</si>
  <si>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</si>
  <si>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</si>
  <si>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</si>
  <si>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</si>
  <si>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</si>
  <si>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</si>
  <si>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</si>
  <si>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</si>
  <si>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</si>
  <si>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</si>
  <si>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</si>
  <si>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</si>
  <si>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</si>
  <si>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</si>
  <si>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</si>
  <si>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</si>
  <si>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</si>
  <si>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</si>
  <si>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</si>
  <si>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</si>
  <si>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</si>
  <si>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</si>
  <si>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</si>
  <si>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</si>
  <si>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</si>
  <si>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</si>
  <si>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</si>
  <si>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</si>
  <si>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</si>
  <si>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</si>
  <si>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</si>
  <si>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</si>
  <si>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</si>
  <si>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</si>
  <si>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</si>
  <si>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</si>
  <si>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</si>
  <si>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</si>
  <si>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</si>
  <si>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</si>
  <si>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</si>
  <si>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</si>
  <si>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</si>
  <si>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</si>
  <si>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</si>
  <si>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</si>
  <si>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</si>
  <si>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</si>
  <si>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</si>
  <si>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</si>
  <si>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</si>
  <si>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</si>
  <si>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</si>
  <si>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</si>
  <si>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</si>
  <si>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</si>
  <si>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</si>
  <si>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</si>
  <si>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</si>
  <si>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</si>
  <si>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</si>
  <si>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</si>
  <si>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</si>
  <si>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</si>
  <si>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</si>
  <si>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</si>
  <si>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</si>
  <si>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</si>
  <si>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</si>
  <si>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</si>
  <si>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</si>
  <si>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</si>
  <si>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</si>
  <si>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</si>
  <si>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</si>
  <si>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</si>
  <si>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</si>
  <si>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</si>
  <si>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</si>
  <si>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</si>
  <si>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13400_6</t>
    <phoneticPr fontId="5"/>
  </si>
  <si>
    <t>※B列のeffect_paramについて
スキルネームとスキルコメントの文字数から自動的にenemy_messageを作成し、AC列の参照用コードに入力されたeffect_paramと連結されます。</t>
    <rPh sb="2" eb="3">
      <t>レt</t>
    </rPh>
    <rPh sb="36" eb="39">
      <t>モジス</t>
    </rPh>
    <rPh sb="59" eb="61">
      <t>サクセ</t>
    </rPh>
    <rPh sb="65" eb="66">
      <t>レt</t>
    </rPh>
    <rPh sb="67" eb="70">
      <t>サンショウヨウコーd</t>
    </rPh>
    <phoneticPr fontId="5"/>
  </si>
  <si>
    <t>※スキルネームorスキルコメントを表示しない場合
表示しない対象に列にそれぞれ
[表示しない]
と入力してください。</t>
    <rPh sb="17" eb="19">
      <t>ヒョ</t>
    </rPh>
    <rPh sb="25" eb="27">
      <t>ヒョ</t>
    </rPh>
    <rPh sb="30" eb="32">
      <t>タイショ</t>
    </rPh>
    <rPh sb="33" eb="34">
      <t>レt</t>
    </rPh>
    <rPh sb="41" eb="43">
      <t>ヒョ</t>
    </rPh>
    <rPh sb="49" eb="51">
      <t>ニュウry</t>
    </rPh>
    <phoneticPr fontId="5"/>
  </si>
  <si>
    <t>長くつなげて大ダメージ</t>
  </si>
  <si>
    <t>パネルを長くつなげるほど
大ダメージを与えることができます</t>
  </si>
  <si>
    <t>属性の相性</t>
  </si>
  <si>
    <t>赤＞青　青＞黄　黄＞緑　緑＞赤
敵属性に最適なパーティがオススメです</t>
  </si>
  <si>
    <t>ターゲット</t>
  </si>
  <si>
    <t>敵ユニットをタップすると
その敵を狙い撃ちできます</t>
  </si>
  <si>
    <t>ユニット強化でレベルアップ</t>
  </si>
  <si>
    <t>「ユニット強化」でレベルアップすると
勝てない敵にも勝てるようになります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</si>
  <si>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</si>
  <si>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</si>
  <si>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</si>
  <si>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</si>
  <si>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</si>
  <si>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</si>
  <si>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</si>
  <si>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</si>
  <si>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</si>
  <si>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</si>
  <si>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</si>
  <si>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</si>
  <si>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</si>
  <si>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</si>
  <si>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</si>
  <si>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</si>
  <si>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</si>
  <si>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</si>
  <si>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</si>
  <si>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</si>
  <si>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</si>
  <si>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</si>
  <si>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</si>
  <si>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</si>
  <si>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</si>
  <si>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</si>
  <si>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ソロ専用タワーオブザクイーン</t>
  </si>
  <si>
    <t>ソロ専用の「タワーオブザクイーン」は
期間限定で定期的に開催されます
ここでしか獲得できない報酬もあるようです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</si>
  <si>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</si>
  <si>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</si>
  <si>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</si>
  <si>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</si>
  <si>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</si>
  <si>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</si>
  <si>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</si>
  <si>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</si>
  <si>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果実を使って限界突破</t>
  </si>
  <si>
    <t>攻めの果実 癒しの果実
生命の果実をユニット強化に使うと
ステータスが限界突破します（計99個迄）</t>
  </si>
  <si>
    <t>スキルレベルアップ</t>
  </si>
  <si>
    <t>「秘術の果実」を強化に使うと
スキルレベルを上げることができます</t>
  </si>
  <si>
    <t>スキルレベルの効果</t>
  </si>
  <si>
    <t>スキルレベルが上がると
短いターンでスキルを使うことができます</t>
  </si>
  <si>
    <t>システム適合者を確認</t>
  </si>
  <si>
    <t>ALICEが 「アナタ」を呼んでいます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</si>
  <si>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</si>
  <si>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</si>
  <si>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</si>
  <si>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</si>
  <si>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</si>
  <si>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</si>
  <si>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</si>
  <si>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</si>
  <si>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</si>
  <si>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</si>
  <si>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</si>
  <si>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</si>
  <si>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</si>
  <si>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</si>
  <si>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</si>
  <si>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</si>
  <si>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</si>
  <si>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</si>
  <si>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タワーオブザクイーンのボス</t>
  </si>
  <si>
    <t>「タワーオブザクイーン」最上階のボスは
15階の初回クリア報酬で獲得できるほか
その階にて低確率でドロップもします</t>
  </si>
  <si>
    <t>限界突破値の引き継ぎ</t>
  </si>
  <si>
    <t>同じユニットを強化で合成すると
限界突破値を引き継げます（覚醒前後も可）</t>
  </si>
  <si>
    <t>クリティカル！</t>
    <phoneticPr fontId="5"/>
  </si>
  <si>
    <t>[effect:nothing]</t>
    <phoneticPr fontId="5"/>
  </si>
  <si>
    <t>[effect:tolerance, target:myself, turn:-1, count:-1, tolerance_effect:all, animation:enemy_tolerance]</t>
    <phoneticPr fontId="5"/>
  </si>
  <si>
    <t xml:space="preserve">[effect:break_attack_fix, target:unit_one, val:1300, lowest_val:2700, count:5, color:green, block01:time_bomb]    </t>
    <phoneticPr fontId="5"/>
  </si>
  <si>
    <t xml:space="preserve">[effect:break_heal_fix, target:enemy_all, val:2000, lowest_val:10000, count:-1, block01:time_bomb, animation:enemy_heal]    </t>
    <phoneticPr fontId="5"/>
  </si>
  <si>
    <t>[effect:rush, val:0.2, count:8]</t>
    <phoneticPr fontId="5"/>
  </si>
  <si>
    <t>[effect:fix_speed, target:myself, turn:2],[effect:tolerance, target:myself, turn:-1, count:-1, tolerance_effect:all, animation:enemy_tolerance]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</si>
  <si>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</si>
  <si>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</si>
  <si>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</si>
  <si>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</si>
  <si>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</si>
  <si>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</si>
  <si>
    <t>フフ…蛇きらい？</t>
    <rPh sb="3" eb="4">
      <t>ヘビ</t>
    </rPh>
    <phoneticPr fontId="5"/>
  </si>
  <si>
    <t>バキューンっと！</t>
    <phoneticPr fontId="5"/>
  </si>
  <si>
    <t>五月蝿い…読書の邪魔よ…</t>
  </si>
  <si>
    <t>私が怖いかしら？</t>
    <rPh sb="0" eb="1">
      <t>ワタシ</t>
    </rPh>
    <rPh sb="2" eb="3">
      <t>コワイ</t>
    </rPh>
    <phoneticPr fontId="5"/>
  </si>
  <si>
    <t>実用書「断捨離のススメ」</t>
    <rPh sb="0" eb="3">
      <t>ジツヨウショ</t>
    </rPh>
    <rPh sb="4" eb="7">
      <t>ダンシャリ</t>
    </rPh>
    <phoneticPr fontId="5"/>
  </si>
  <si>
    <t>医学書「応急処置法」</t>
    <rPh sb="0" eb="2">
      <t>イガク</t>
    </rPh>
    <rPh sb="2" eb="3">
      <t>イリョウショ</t>
    </rPh>
    <rPh sb="4" eb="8">
      <t>オウキュウショチ</t>
    </rPh>
    <rPh sb="8" eb="9">
      <t>ホウ</t>
    </rPh>
    <phoneticPr fontId="5"/>
  </si>
  <si>
    <t>ククク…ミノホドシラズ…！</t>
    <phoneticPr fontId="5"/>
  </si>
  <si>
    <t>致死性・出血大サービス！</t>
    <rPh sb="0" eb="3">
      <t>チシ</t>
    </rPh>
    <rPh sb="4" eb="7">
      <t>シュッケツダイサービス</t>
    </rPh>
    <phoneticPr fontId="5"/>
  </si>
  <si>
    <t>ククク…！オワリダッ！</t>
    <phoneticPr fontId="5"/>
  </si>
  <si>
    <t>シンニュウシャ…ハイジョ！</t>
    <phoneticPr fontId="5"/>
  </si>
  <si>
    <t>ハカイスル！！</t>
    <phoneticPr fontId="5"/>
  </si>
  <si>
    <t>カミクダクッ！</t>
    <phoneticPr fontId="5"/>
  </si>
  <si>
    <t>カナラズ…ハイジョスル！！</t>
    <phoneticPr fontId="5"/>
  </si>
  <si>
    <t>休憩している…</t>
    <rPh sb="0" eb="2">
      <t>キュウケイ</t>
    </rPh>
    <phoneticPr fontId="5"/>
  </si>
  <si>
    <t>タタキツケルッ！</t>
    <phoneticPr fontId="5"/>
  </si>
  <si>
    <t>ニガスモノカ…！</t>
    <phoneticPr fontId="5"/>
  </si>
  <si>
    <t>ジャマモノ…メ…！</t>
    <phoneticPr fontId="5"/>
  </si>
  <si>
    <t>[effect:fix_speed, target:myself, turn:3],[effect:tolerance, target:myself, turn:-1, count:-1, tolerance_effect:all, animation:enemy_tolerance]</t>
    <phoneticPr fontId="5"/>
  </si>
  <si>
    <t>状態異常耐性</t>
    <phoneticPr fontId="5"/>
  </si>
  <si>
    <t>状態異常耐性</t>
    <phoneticPr fontId="5"/>
  </si>
  <si>
    <t>時限式ダメージパネルを吸収して敵全体回復</t>
    <rPh sb="0" eb="3">
      <t>ジゲンシキダメージ</t>
    </rPh>
    <rPh sb="15" eb="20">
      <t>テキゼンタイカイフク</t>
    </rPh>
    <phoneticPr fontId="5"/>
  </si>
  <si>
    <t>状態異常耐性</t>
    <rPh sb="0" eb="6">
      <t>ジョウタイイジョウタイセイ</t>
    </rPh>
    <phoneticPr fontId="5"/>
  </si>
  <si>
    <t xml:space="preserve">[effect:tolerance, target:myself, turn:-1, count:-1, tolerance_effect:all, animation:enemy_tolerance],[effect:enemy_counter, target:myself, invoke_condition:unit_all, counter_target:attacker, turn:-1, val:0.25, animation:enemy_counter]    </t>
    <phoneticPr fontId="5"/>
  </si>
  <si>
    <t>キサマ…ユルサヌ！！</t>
    <phoneticPr fontId="5"/>
  </si>
  <si>
    <t>ツラヌクッ！</t>
    <phoneticPr fontId="5"/>
  </si>
  <si>
    <t>[effect:damage_fix_pierce, target:unit_one, color:green, val:8000]</t>
    <phoneticPr fontId="5"/>
  </si>
  <si>
    <t>[effect:damage_fix_pierce, target:unit_one, color:green, val:44444],[effect:damage_fix_pierce, target:unit_one, color:green, val:99999]</t>
    <phoneticPr fontId="5"/>
  </si>
  <si>
    <t xml:space="preserve">[effect:enemy_message, val1:1.6, val2:2.5],[effect:break_attack_fix, target:unit_one, val:1300, lowest_val:2700, count:5, color:green, block01:time_bomb]    </t>
    <phoneticPr fontId="5"/>
  </si>
  <si>
    <t xml:space="preserve">[effect:enemy_message, val1:1.6, val2:2.0],[effect:break_heal_fix, target:enemy_all, val:2000, lowest_val:10000, count:-1, block01:time_bomb, animation:enemy_heal]    </t>
    <phoneticPr fontId="5"/>
  </si>
  <si>
    <t xml:space="preserve">[effect:damage_fix_pierce, target:unit_one, color:green, val:3000],[effect:force_change_block, new_block:time_bomb, target:block_yellow, ignore01:crash, ignore02:crack_bomb, ignore03:color_break, ignore04:magnet, ignore05:time_bomb, color:block_green, count:5, val:0.1, animation:change_block]    </t>
    <phoneticPr fontId="5"/>
  </si>
  <si>
    <t>単体攻撃+2ターン全ユニットの攻撃力30%DOWN</t>
    <rPh sb="0" eb="2">
      <t>タンタイ</t>
    </rPh>
    <rPh sb="9" eb="10">
      <t>ゼン</t>
    </rPh>
    <phoneticPr fontId="5"/>
  </si>
  <si>
    <t>単体攻撃+2ターン全ユニットの攻撃力25%DOWN</t>
    <rPh sb="0" eb="4">
      <t>タンタイコウゲキ</t>
    </rPh>
    <rPh sb="9" eb="10">
      <t>ゼン</t>
    </rPh>
    <phoneticPr fontId="5"/>
  </si>
  <si>
    <t xml:space="preserve">[effect:rush, val:1, count:1],[effect:attack_break, target:unit_all, turn:2, val:0.3, calc:mul, animation:attack_break01]    </t>
    <phoneticPr fontId="5"/>
  </si>
  <si>
    <t xml:space="preserve">[effect:rush, val:1, count:1],[effect:attack_break, target:unit_all, turn:2, val:0.25, calc:mul, animation:attack_break02]    </t>
    <phoneticPr fontId="5"/>
  </si>
  <si>
    <t>防御力無視の固定威力ダメージ</t>
    <rPh sb="0" eb="5">
      <t>ボウギョリョクムシ</t>
    </rPh>
    <rPh sb="6" eb="10">
      <t>コテイイリョク</t>
    </rPh>
    <phoneticPr fontId="5"/>
  </si>
  <si>
    <t>防御力無視の固定威力2回連続攻撃</t>
    <phoneticPr fontId="5"/>
  </si>
  <si>
    <t>ニーズヘッグのカウンター攻撃は
カウンター解除スキルを使って
解除することができます
または防御力UPスキルも有効です</t>
    <phoneticPr fontId="5"/>
  </si>
  <si>
    <t>8回連続攻撃</t>
    <phoneticPr fontId="5"/>
  </si>
  <si>
    <t>むぅ…めんどくさいなー</t>
    <phoneticPr fontId="5"/>
  </si>
  <si>
    <t>ボクは眠いんだってばー！</t>
    <rPh sb="3" eb="4">
      <t>ネムイ</t>
    </rPh>
    <phoneticPr fontId="5"/>
  </si>
  <si>
    <t>変幻の音色</t>
    <rPh sb="0" eb="2">
      <t>ヘンゲン</t>
    </rPh>
    <rPh sb="3" eb="5">
      <t>ネイロ</t>
    </rPh>
    <phoneticPr fontId="5"/>
  </si>
  <si>
    <t>ベルフェゴールは休憩と攻撃を繰り返します
休憩している間に倒すか
パネルをまとめておくと有利に戦えます</t>
    <rPh sb="8" eb="10">
      <t>キュウケイト</t>
    </rPh>
    <rPh sb="11" eb="13">
      <t>コウゲキヲ</t>
    </rPh>
    <rPh sb="14" eb="15">
      <t>クリカエシマス</t>
    </rPh>
    <phoneticPr fontId="5"/>
  </si>
  <si>
    <t>singleonly</t>
    <phoneticPr fontId="5"/>
  </si>
  <si>
    <t>clear</t>
    <phoneticPr fontId="5"/>
  </si>
  <si>
    <t>bit</t>
    <phoneticPr fontId="5"/>
  </si>
  <si>
    <t>singleonly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</si>
  <si>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</si>
  <si>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</si>
  <si>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</si>
  <si>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</si>
  <si>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</si>
  <si>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</si>
  <si>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</si>
  <si>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</si>
  <si>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</si>
  <si>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</si>
  <si>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</si>
  <si>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</si>
  <si>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unit</t>
  </si>
  <si>
    <t>[effect:critical, val:2, animation:enemy_critical]</t>
    <phoneticPr fontId="5"/>
  </si>
  <si>
    <t>状態異常耐性+解除するまで全属性の攻撃をカウンター</t>
    <rPh sb="7" eb="9">
      <t>カイジョスルマデ</t>
    </rPh>
    <phoneticPr fontId="5"/>
  </si>
  <si>
    <t>状態異常耐性+防御力UP+
解除するまで全属性の攻撃をカウンター</t>
    <phoneticPr fontId="5"/>
  </si>
  <si>
    <t>解除するまで全属性の攻撃をカウンター
【3ターン後に防御力無視の激烈ダメージ！】</t>
    <rPh sb="0" eb="2">
      <t>カイジョスルマデ</t>
    </rPh>
    <rPh sb="6" eb="9">
      <t>ゼンゾクセイノｋ</t>
    </rPh>
    <rPh sb="10" eb="12">
      <t>コウゲキヲ</t>
    </rPh>
    <rPh sb="26" eb="31">
      <t>ボウギョリョクムシ</t>
    </rPh>
    <rPh sb="32" eb="34">
      <t>ゲキレツダメージ</t>
    </rPh>
    <phoneticPr fontId="5"/>
  </si>
  <si>
    <t>ランダムで時限式ダメージパネルに最大18個変換</t>
    <rPh sb="5" eb="8">
      <t>ジゲンシキ</t>
    </rPh>
    <rPh sb="21" eb="23">
      <t>ヘンカｎ</t>
    </rPh>
    <phoneticPr fontId="5"/>
  </si>
  <si>
    <t xml:space="preserve">[effect:tolerance, target:myself, turn:-1, count:-1, tolerance_effect:all, animation:enemy_tolerance],[effect:enemy_counter, target:myself, invoke_condition:unit_all, counter_target:attacker, turn:-1, val:0.25, animation:enemy_counter],[effect:enhance_enemy, target:myself, turn:-1, status:defense, val:2500, calc:add, animation:enemy_enhance_defense] </t>
    <phoneticPr fontId="5"/>
  </si>
  <si>
    <t>2回連続攻撃+
ランダムに緑の時限式ダメージパネルに最大6個変換</t>
    <rPh sb="2" eb="6">
      <t>レンゾクコウゲキ</t>
    </rPh>
    <rPh sb="30" eb="32">
      <t>ヘンカン</t>
    </rPh>
    <phoneticPr fontId="5"/>
  </si>
  <si>
    <t>2回連続攻撃+
ランダムに緑の時限式ダメージパネルに最大8個変換</t>
    <rPh sb="1" eb="2">
      <t>カイ</t>
    </rPh>
    <rPh sb="30" eb="32">
      <t>ヘンカン</t>
    </rPh>
    <phoneticPr fontId="5"/>
  </si>
  <si>
    <t>2回連続攻撃+
ランダムに緑の時限式ダメージパネルに最大10個変換</t>
    <rPh sb="1" eb="2">
      <t>カイ</t>
    </rPh>
    <rPh sb="31" eb="33">
      <t>ヘンカン</t>
    </rPh>
    <phoneticPr fontId="5"/>
  </si>
  <si>
    <t>[effect:enemy_counter, target:myself, invoke_condition:unit_all, counter_target:attacker, turn:-1, val:0.4, animation:enemy_counter],[effect:fix_speed, target:myself, turn:3]</t>
    <phoneticPr fontId="5"/>
  </si>
  <si>
    <t>&lt;&lt;自動迎撃・チャージモード&gt;&gt;</t>
    <rPh sb="2" eb="6">
      <t>ジドウゲイゲキ</t>
    </rPh>
    <phoneticPr fontId="5"/>
  </si>
  <si>
    <t>防御力無視の固定威力ダメージ+
黄パネルを緑の時限式ダメージパネルに最大5個変換</t>
    <phoneticPr fontId="5"/>
  </si>
  <si>
    <t>時限式ダメージパネルを吸収して単体攻撃(最大5個)</t>
    <phoneticPr fontId="5"/>
  </si>
  <si>
    <t>アーケロンが時限式ダメージパネルを
吸収するスキルを使うため
時限式ダメージパネル変換を行う
ヨルムンガンドから倒すと有利です</t>
    <phoneticPr fontId="5"/>
  </si>
  <si>
    <t>単体攻撃+
ランダムに緑の時限式ダメージパネルに最大5個変換</t>
    <rPh sb="0" eb="4">
      <t>タンタイコウゲキ</t>
    </rPh>
    <rPh sb="11" eb="12">
      <t>ミドr</t>
    </rPh>
    <rPh sb="28" eb="30">
      <t>ヘンカｎ</t>
    </rPh>
    <phoneticPr fontId="5"/>
  </si>
  <si>
    <t>単体攻撃+
ランダムに緑の時限式ダメージパネルに最大5個変換</t>
    <rPh sb="0" eb="4">
      <t>タンタイコウゲキ</t>
    </rPh>
    <rPh sb="28" eb="30">
      <t>ヘンカｎ</t>
    </rPh>
    <phoneticPr fontId="5"/>
  </si>
  <si>
    <t xml:space="preserve">[effect:force_change_block, new_block:time_bomb, target:block_all, ignore01:block_positive, ignore02:time_bomb, color:block_random, count:18, val:0.1]    </t>
    <phoneticPr fontId="5"/>
  </si>
  <si>
    <t xml:space="preserve">[effect:rush, val:1, count:1],[effect:force_change_block, new_block:time_bomb, target:block_all, ignore01:block_positive, ignore02:time_bomb, color:block_green, count:5, val:0.1, animation:change_block]    </t>
    <phoneticPr fontId="5"/>
  </si>
  <si>
    <t xml:space="preserve">[effect:rush, val:0.55, count:2],[effect:force_change_block, new_block:time_bomb, target:block_all, ignore01:block_positive, ignore02:time_bomb, color:block_green, count:10, val:0.1, animation:change_block]    </t>
    <phoneticPr fontId="5"/>
  </si>
  <si>
    <t xml:space="preserve">[effect:rush, val:0.55, count:2],[effect:force_change_block, new_block:time_bomb, target:block_all, ignore01:block_positive, ignore02:time_bomb, color:block_green, count:8, val:0.1, animation:change_block]    </t>
    <phoneticPr fontId="5"/>
  </si>
  <si>
    <t xml:space="preserve">[effect:rush, val:0.55, count:2],[effect:force_change_block, new_block:time_bomb, target:block_all, ignore01:block_positive, ignore02:time_bomb, color:block_green, count:6, val:0.1, animation:change_block]    </t>
    <phoneticPr fontId="5"/>
  </si>
  <si>
    <t>[effect:enemy_message, val1:1.8, val2:1.2],[effect:fix_speed, target:myself, turn:3],[effect:tolerance, target:myself, turn:-1, count:-1, tolerance_effect:all, animation:enemy_tolerance]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</si>
</sst>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"/>
      <color theme="0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2" fontId="8" fillId="0" borderId="4" xfId="0" applyNumberFormat="1" applyFont="1" applyBorder="1" applyAlignment="1">
      <alignment vertical="center"/>
    </xf>
    <xf numFmtId="0" fontId="26" fillId="0" borderId="7" xfId="0" applyFont="1" applyBorder="1"/>
    <xf numFmtId="0" fontId="26" fillId="0" borderId="10" xfId="0" applyFont="1" applyBorder="1"/>
    <xf numFmtId="0" fontId="26" fillId="0" borderId="11" xfId="0" applyFont="1" applyBorder="1"/>
    <xf numFmtId="0" fontId="26" fillId="0" borderId="24" xfId="0" applyFont="1" applyBorder="1"/>
    <xf numFmtId="0" fontId="16" fillId="13" borderId="7" xfId="0" applyFont="1" applyFill="1" applyBorder="1" applyAlignment="1">
      <alignment horizontal="left" vertical="center" wrapText="1"/>
    </xf>
    <xf numFmtId="0" fontId="53" fillId="7" borderId="0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horizontal="center" vertical="center" wrapText="1"/>
    </xf>
    <xf numFmtId="0" fontId="16" fillId="32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8" sqref="C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350</v>
      </c>
      <c r="B2" s="55" t="s">
        <v>106</v>
      </c>
      <c r="C2" s="60" t="s">
        <v>261</v>
      </c>
      <c r="D2" s="55" t="s">
        <v>107</v>
      </c>
      <c r="E2" s="54" t="str">
        <f>B2&amp;C2&amp;D2</f>
        <v>floors_13400_6.tmp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350</v>
      </c>
      <c r="B3" s="55" t="s">
        <v>109</v>
      </c>
      <c r="C3" s="60" t="s">
        <v>261</v>
      </c>
      <c r="D3" s="55" t="s">
        <v>107</v>
      </c>
      <c r="E3" s="54" t="str">
        <f>B3&amp;C3&amp;D3</f>
        <v>enemy_habitats_13400_6.tmp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350</v>
      </c>
      <c r="B4" s="55" t="s">
        <v>111</v>
      </c>
      <c r="C4" s="60" t="s">
        <v>261</v>
      </c>
      <c r="D4" s="55" t="s">
        <v>107</v>
      </c>
      <c r="E4" s="54" t="str">
        <f>B4&amp;C4&amp;D4</f>
        <v>enemy_habitat_S_13400_6.tmp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350</v>
      </c>
      <c r="B5" s="55" t="s">
        <v>113</v>
      </c>
      <c r="C5" s="60" t="s">
        <v>261</v>
      </c>
      <c r="D5" s="55" t="s">
        <v>107</v>
      </c>
      <c r="E5" s="54" t="str">
        <f>B5&amp;C5&amp;D5</f>
        <v>enemy_skill_sets_13400_6.tmp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350</v>
      </c>
      <c r="B6" s="55" t="s">
        <v>115</v>
      </c>
      <c r="C6" s="60" t="s">
        <v>261</v>
      </c>
      <c r="D6" s="55" t="s">
        <v>116</v>
      </c>
      <c r="E6" s="54" t="str">
        <f t="shared" ref="E6:E10" si="0">B6&amp;C6&amp;D6</f>
        <v>enemy_skills_tmp_13400_6.tmp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350</v>
      </c>
      <c r="B7" s="55" t="s">
        <v>117</v>
      </c>
      <c r="C7" s="60" t="s">
        <v>261</v>
      </c>
      <c r="D7" s="55" t="s">
        <v>107</v>
      </c>
      <c r="E7" s="54" t="str">
        <f>B7&amp;C7&amp;D7</f>
        <v>enemy_skills_i18n_13400_6.tmp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350</v>
      </c>
      <c r="B8" s="55" t="s">
        <v>119</v>
      </c>
      <c r="C8" s="60" t="s">
        <v>261</v>
      </c>
      <c r="D8" s="55" t="s">
        <v>120</v>
      </c>
      <c r="E8" s="54" t="str">
        <f t="shared" si="0"/>
        <v>enemy_skill_triggers_13400_6.tmp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350</v>
      </c>
      <c r="B9" s="65" t="s">
        <v>175</v>
      </c>
      <c r="C9" s="60" t="s">
        <v>261</v>
      </c>
      <c r="D9" s="65" t="s">
        <v>169</v>
      </c>
      <c r="E9" s="66" t="str">
        <f t="shared" si="0"/>
        <v>stage_bug_bonuses_13400_6.tmp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185</v>
      </c>
      <c r="B10" s="65" t="s">
        <v>199</v>
      </c>
      <c r="C10" s="60" t="s">
        <v>261</v>
      </c>
      <c r="D10" s="65" t="s">
        <v>178</v>
      </c>
      <c r="E10" s="66" t="str">
        <f t="shared" si="0"/>
        <v>stage_hints_data_c_13400_6.tmp</v>
      </c>
      <c r="F10" s="65" t="s">
        <v>207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2" customFormat="1" x14ac:dyDescent="0.15">
      <c r="A11" s="59" t="s">
        <v>350</v>
      </c>
      <c r="B11" s="65" t="s">
        <v>200</v>
      </c>
      <c r="C11" s="60" t="s">
        <v>261</v>
      </c>
      <c r="D11" s="65" t="s">
        <v>169</v>
      </c>
      <c r="E11" s="66" t="str">
        <f t="shared" ref="E11:E13" si="1">B11&amp;C11&amp;D11</f>
        <v>stage_hints_data_f_13400_6.tmp</v>
      </c>
      <c r="F11" s="65" t="s">
        <v>209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2" customFormat="1" x14ac:dyDescent="0.15">
      <c r="A12" s="59" t="s">
        <v>350</v>
      </c>
      <c r="B12" s="65" t="s">
        <v>201</v>
      </c>
      <c r="C12" s="60" t="s">
        <v>261</v>
      </c>
      <c r="D12" s="65" t="s">
        <v>169</v>
      </c>
      <c r="E12" s="66" t="str">
        <f t="shared" si="1"/>
        <v>stage_hints_i18n_13400_6.tmp</v>
      </c>
      <c r="F12" s="65" t="s">
        <v>210</v>
      </c>
      <c r="G12" s="71" t="s">
        <v>202</v>
      </c>
      <c r="H12" s="91" t="s">
        <v>203</v>
      </c>
      <c r="I12" s="70" t="s">
        <v>204</v>
      </c>
      <c r="J12" s="100" t="s">
        <v>205</v>
      </c>
      <c r="K12" s="64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2" customFormat="1" x14ac:dyDescent="0.15">
      <c r="A13" s="59" t="s">
        <v>350</v>
      </c>
      <c r="B13" s="65" t="s">
        <v>253</v>
      </c>
      <c r="C13" s="60" t="s">
        <v>261</v>
      </c>
      <c r="D13" s="65" t="s">
        <v>234</v>
      </c>
      <c r="E13" s="66" t="str">
        <f t="shared" si="1"/>
        <v>stage_bonuses_13400_6.tmp</v>
      </c>
      <c r="F13" s="65" t="s">
        <v>233</v>
      </c>
      <c r="G13" s="70" t="s">
        <v>235</v>
      </c>
      <c r="H13" s="70" t="s">
        <v>236</v>
      </c>
      <c r="I13" s="70" t="s">
        <v>237</v>
      </c>
      <c r="J13" s="70" t="s">
        <v>238</v>
      </c>
      <c r="K13" s="70" t="s">
        <v>239</v>
      </c>
      <c r="L13" s="70" t="s">
        <v>240</v>
      </c>
      <c r="M13" s="70" t="s">
        <v>241</v>
      </c>
      <c r="N13" s="70" t="s">
        <v>242</v>
      </c>
      <c r="O13" s="70" t="s">
        <v>243</v>
      </c>
      <c r="P13" s="70" t="s">
        <v>244</v>
      </c>
      <c r="Q13" s="70" t="s">
        <v>245</v>
      </c>
      <c r="R13" s="70" t="s">
        <v>246</v>
      </c>
      <c r="S13" s="70" t="s">
        <v>247</v>
      </c>
      <c r="T13" s="70" t="s">
        <v>248</v>
      </c>
      <c r="U13" s="70" t="s">
        <v>249</v>
      </c>
      <c r="V13" s="70" t="s">
        <v>250</v>
      </c>
      <c r="W13" s="70" t="s">
        <v>251</v>
      </c>
      <c r="X13" s="70" t="s">
        <v>252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K3" sqref="K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25.8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13400_6-1</v>
      </c>
      <c r="B2" s="15" t="str">
        <f>IF(COUNTIF(enemy_habitats!$H:$H,A2),"OK","NG")</f>
        <v>OK</v>
      </c>
      <c r="C2" s="109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6</v>
      </c>
      <c r="G2" s="21" t="str">
        <f>C2&amp;"_"&amp;F2</f>
        <v>13400_6</v>
      </c>
      <c r="H2" s="14" t="str">
        <f ca="1">VLOOKUP($G2,OFFSET([2]stages!$A$1,0,0,COUNTA([2]stages!$A:$A),MATCH(H$1,[2]stages!$2:$2,0)-MATCH($G$1,[2]stages!$2:$2,0)+1),MATCH(H$1,[2]stages!$2:$2,0)-MATCH($G$1,[2]stages!$2:$2,0)+1,FALSE)</f>
        <v>6階 コスト制限なし</v>
      </c>
      <c r="I2" s="19">
        <v>1</v>
      </c>
      <c r="J2" s="12">
        <v>50</v>
      </c>
      <c r="K2" s="12">
        <v>50</v>
      </c>
    </row>
    <row r="3" spans="1:11" ht="21" customHeight="1" x14ac:dyDescent="0.15">
      <c r="A3" s="15" t="str">
        <f t="shared" ref="A3:A4" si="0">G3&amp;"-"&amp;I3</f>
        <v>13400_6-2</v>
      </c>
      <c r="B3" s="15" t="str">
        <f>IF(COUNTIF(enemy_habitats!$H:$H,A3),"OK","NG")</f>
        <v>OK</v>
      </c>
      <c r="C3" s="109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6</v>
      </c>
      <c r="G3" s="21" t="str">
        <f t="shared" ref="G3:G4" si="1">C3&amp;"_"&amp;F3</f>
        <v>13400_6</v>
      </c>
      <c r="H3" s="14" t="str">
        <f ca="1">VLOOKUP($G3,OFFSET([2]stages!$A$1,0,0,COUNTA([2]stages!$A:$A),MATCH(H$1,[2]stages!$2:$2,0)-MATCH($G$1,[2]stages!$2:$2,0)+1),MATCH(H$1,[2]stages!$2:$2,0)-MATCH($G$1,[2]stages!$2:$2,0)+1,FALSE)</f>
        <v>6階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13400_6-3</v>
      </c>
      <c r="B4" s="15" t="str">
        <f>IF(COUNTIF(enemy_habitats!$H:$H,A4),"OK","NG")</f>
        <v>OK</v>
      </c>
      <c r="C4" s="109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-セカンド（仮）-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6</v>
      </c>
      <c r="G4" s="21" t="str">
        <f t="shared" si="1"/>
        <v>13400_6</v>
      </c>
      <c r="H4" s="14" t="str">
        <f ca="1">VLOOKUP($G4,OFFSET([2]stages!$A$1,0,0,COUNTA([2]stages!$A:$A),MATCH(H$1,[2]stages!$2:$2,0)-MATCH($G$1,[2]stages!$2:$2,0)+1),MATCH(H$1,[2]stages!$2:$2,0)-MATCH($G$1,[2]stages!$2:$2,0)+1,FALSE)</f>
        <v>6階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AH2" activePane="bottomRight" state="frozen"/>
      <selection pane="topRight" activeCell="N1" sqref="N1"/>
      <selection pane="bottomLeft" activeCell="A2" sqref="A2"/>
      <selection pane="bottomRight" activeCell="R7" sqref="R7:AL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7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1" t="s">
        <v>254</v>
      </c>
      <c r="U1" s="24" t="s">
        <v>50</v>
      </c>
      <c r="V1" s="101" t="s">
        <v>255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13400_6-1/1210&lt;lv50&gt;s2</v>
      </c>
      <c r="B2" s="20">
        <v>13400</v>
      </c>
      <c r="C2" s="19">
        <v>6</v>
      </c>
      <c r="D2" s="2" t="str">
        <f>B2&amp;"_"&amp;C2</f>
        <v>13400_6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コスト制限なし</v>
      </c>
      <c r="G2" s="19">
        <v>1</v>
      </c>
      <c r="H2" s="14" t="str">
        <f>B2&amp;"_"&amp;C2&amp;"-"&amp;G2</f>
        <v>13400_6-1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6" t="s">
        <v>53</v>
      </c>
      <c r="L2" s="106">
        <v>1210</v>
      </c>
      <c r="M2" s="105" t="str">
        <f ca="1">VLOOKUP($L2,OFFSET([3]enemies!$A$1,0,0,COUNTA([3]enemies!$A:$A),MATCH(M$1,[3]enemies!$1:$1,0)-MATCH($L$1,[3]enemies!$1:$1,0)+1),MATCH(M$1,[3]enemies!$1:$1,0)-MATCH($L$1,[3]enemies!$1:$1,0)+1,FALSE)</f>
        <v>ケンタウロス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23">
        <v>0.5</v>
      </c>
      <c r="T2" s="102">
        <f>S2*65558</f>
        <v>32779</v>
      </c>
      <c r="U2" s="23">
        <v>0.7</v>
      </c>
      <c r="V2" s="102">
        <f>U2*6943</f>
        <v>4860.0999999999995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防御力無視の固定威力ダメージ+_x000D_黄パネルを緑の時限式ダメージパネルに最大5個変換</v>
      </c>
      <c r="Y2" s="110">
        <v>13400200</v>
      </c>
      <c r="Z2" s="6">
        <v>1</v>
      </c>
      <c r="AA2" s="6">
        <v>100</v>
      </c>
      <c r="AB2" s="6">
        <v>1</v>
      </c>
      <c r="AC2" s="104">
        <v>2</v>
      </c>
      <c r="AD2" s="22">
        <f t="shared" ref="AD2" si="1">L2</f>
        <v>1210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4" si="2">B3&amp;"_"&amp;C3&amp;"-"&amp;G3&amp;"/"&amp;L3&amp;"&lt;lv"&amp;R3&amp;"&gt;s"&amp;AC3</f>
        <v>13400_6-1/253&lt;lv50&gt;s2</v>
      </c>
      <c r="B3" s="20">
        <v>13400</v>
      </c>
      <c r="C3" s="19">
        <v>6</v>
      </c>
      <c r="D3" s="2" t="str">
        <f t="shared" ref="D3:D4" si="3">B3&amp;"_"&amp;C3</f>
        <v>13400_6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コスト制限なし</v>
      </c>
      <c r="G3" s="19">
        <v>1</v>
      </c>
      <c r="H3" s="14" t="str">
        <f t="shared" ref="H3:H4" si="4">B3&amp;"_"&amp;C3&amp;"-"&amp;G3</f>
        <v>13400_6-1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6" t="s">
        <v>53</v>
      </c>
      <c r="L3" s="106">
        <v>253</v>
      </c>
      <c r="M3" s="105" t="str">
        <f ca="1">VLOOKUP($L3,OFFSET([3]enemies!$A$1,0,0,COUNTA([3]enemies!$A:$A),MATCH(M$1,[3]enemies!$1:$1,0)-MATCH($L$1,[3]enemies!$1:$1,0)+1),MATCH(M$1,[3]enemies!$1:$1,0)-MATCH($L$1,[3]enemies!$1:$1,0)+1,FALSE)</f>
        <v>ベルフェゴール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50</v>
      </c>
      <c r="S3" s="23">
        <v>0.6</v>
      </c>
      <c r="T3" s="102">
        <f>S3*74887</f>
        <v>44932.2</v>
      </c>
      <c r="U3" s="23">
        <v>1.9</v>
      </c>
      <c r="V3" s="102">
        <f>U3*4003</f>
        <v>7605.7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休憩している…</v>
      </c>
      <c r="Y3" s="110">
        <v>13400201</v>
      </c>
      <c r="Z3" s="6">
        <v>1</v>
      </c>
      <c r="AA3" s="6">
        <v>100</v>
      </c>
      <c r="AB3" s="6">
        <v>2</v>
      </c>
      <c r="AC3" s="104">
        <v>2</v>
      </c>
      <c r="AD3" s="22">
        <f t="shared" ref="AD3:AD4" si="5">L3</f>
        <v>253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ベルフェゴール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2">
        <f t="shared" ref="AI3:AI6" ca="1" si="6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2"/>
        <v>13400_6-2/230&lt;lv50&gt;s2</v>
      </c>
      <c r="B4" s="20">
        <v>13400</v>
      </c>
      <c r="C4" s="19">
        <v>6</v>
      </c>
      <c r="D4" s="2" t="str">
        <f t="shared" si="3"/>
        <v>13400_6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6階 コスト制限なし</v>
      </c>
      <c r="G4" s="19">
        <v>2</v>
      </c>
      <c r="H4" s="14" t="str">
        <f t="shared" si="4"/>
        <v>13400_6-2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6">
        <v>230</v>
      </c>
      <c r="M4" s="105" t="str">
        <f ca="1">VLOOKUP($L4,OFFSET([3]enemies!$A$1,0,0,COUNTA([3]enemies!$A:$A),MATCH(M$1,[3]enemies!$1:$1,0)-MATCH($L$1,[3]enemies!$1:$1,0)+1),MATCH(M$1,[3]enemies!$1:$1,0)-MATCH($L$1,[3]enemies!$1:$1,0)+1,FALSE)</f>
        <v>毒銃 ヨルムンガンド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23">
        <v>0.8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84815.200000000012</v>
      </c>
      <c r="U4" s="23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3897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110">
        <v>13400202</v>
      </c>
      <c r="Z4" s="6">
        <v>1</v>
      </c>
      <c r="AA4" s="6">
        <v>100</v>
      </c>
      <c r="AB4" s="6">
        <v>1</v>
      </c>
      <c r="AC4" s="104">
        <v>2</v>
      </c>
      <c r="AD4" s="22">
        <f t="shared" si="5"/>
        <v>230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毒銃 ヨルムンガンド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2">
        <f t="shared" ca="1" si="6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ref="A5:A6" si="7">B5&amp;"_"&amp;C5&amp;"-"&amp;G5&amp;"/"&amp;L5&amp;"&lt;lv"&amp;R5&amp;"&gt;s"&amp;AC5</f>
        <v>13400_6-2/308&lt;lv50&gt;s3</v>
      </c>
      <c r="B5" s="20">
        <v>13400</v>
      </c>
      <c r="C5" s="19">
        <v>6</v>
      </c>
      <c r="D5" s="2" t="str">
        <f t="shared" ref="D5:D6" si="8">B5&amp;"_"&amp;C5</f>
        <v>13400_6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6階 コスト制限なし</v>
      </c>
      <c r="G5" s="19">
        <v>2</v>
      </c>
      <c r="H5" s="14" t="str">
        <f t="shared" ref="H5:H6" si="9">B5&amp;"_"&amp;C5&amp;"-"&amp;G5</f>
        <v>13400_6-2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6">
        <v>308</v>
      </c>
      <c r="M5" s="105" t="str">
        <f ca="1">VLOOKUP($L5,OFFSET([3]enemies!$A$1,0,0,COUNTA([3]enemies!$A:$A),MATCH(M$1,[3]enemies!$1:$1,0)-MATCH($L$1,[3]enemies!$1:$1,0)+1),MATCH(M$1,[3]enemies!$1:$1,0)-MATCH($L$1,[3]enemies!$1:$1,0)+1,FALSE)</f>
        <v>アーケロン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23">
        <v>0.9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89117.1</v>
      </c>
      <c r="U5" s="23">
        <v>1.3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6220.5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110">
        <v>13400203</v>
      </c>
      <c r="Z5" s="6">
        <v>1</v>
      </c>
      <c r="AA5" s="6">
        <v>100</v>
      </c>
      <c r="AB5" s="6">
        <v>2</v>
      </c>
      <c r="AC5" s="104">
        <v>3</v>
      </c>
      <c r="AD5" s="22">
        <f t="shared" ref="AD5:AD6" si="10">L5</f>
        <v>308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アーケロン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2">
        <f t="shared" ca="1" si="6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7"/>
        <v>13400_6-3/599&lt;lv50&gt;s2</v>
      </c>
      <c r="B6" s="20">
        <v>13400</v>
      </c>
      <c r="C6" s="19">
        <v>6</v>
      </c>
      <c r="D6" s="2" t="str">
        <f t="shared" si="8"/>
        <v>13400_6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-セカンド（仮）-</v>
      </c>
      <c r="F6" s="4" t="str">
        <f ca="1">VLOOKUP($D6,OFFSET([2]stages!$A$1,0,0,COUNTA([2]stages!$A:$A),MATCH(F$1,[2]stages!$2:$2,0)-MATCH($D$1,[2]stages!$2:$2,0)+1),MATCH(F$1,[2]stages!$2:$2,0)-MATCH($D$1,[2]stages!$2:$2,0)+1,FALSE)</f>
        <v>6階 コスト制限なし</v>
      </c>
      <c r="G6" s="19">
        <v>3</v>
      </c>
      <c r="H6" s="14" t="str">
        <f t="shared" si="9"/>
        <v>13400_6-3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1</v>
      </c>
      <c r="L6" s="106">
        <v>599</v>
      </c>
      <c r="M6" s="105" t="str">
        <f ca="1">VLOOKUP($L6,OFFSET([3]enemies!$A$1,0,0,COUNTA([3]enemies!$A:$A),MATCH(M$1,[3]enemies!$1:$1,0)-MATCH($L$1,[3]enemies!$1:$1,0)+1),MATCH(M$1,[3]enemies!$1:$1,0)-MATCH($L$1,[3]enemies!$1:$1,0)+1,FALSE)</f>
        <v>ニーズヘッグ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6">
        <f ca="1">VLOOKUP($L6,OFFSET([3]enemies!$A$1,0,0,COUNTA([3]enemies!$A:$A),MATCH(Q$1,[3]enemies!$1:$1,0)-MATCH($L$1,[3]enemies!$1:$1,0)+1),MATCH(Q$1,[3]enemies!$1:$1,0)-MATCH($L$1,[3]enemies!$1:$1,0)+1,FALSE)</f>
        <v>25</v>
      </c>
      <c r="R6" s="5">
        <v>50</v>
      </c>
      <c r="S6" s="23">
        <v>1.4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101487.4</v>
      </c>
      <c r="U6" s="23">
        <v>0.9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6479.1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110">
        <v>13400204</v>
      </c>
      <c r="Z6" s="6">
        <v>1</v>
      </c>
      <c r="AA6" s="6">
        <v>100</v>
      </c>
      <c r="AB6" s="6">
        <v>1</v>
      </c>
      <c r="AC6" s="104">
        <v>2</v>
      </c>
      <c r="AD6" s="22">
        <f t="shared" si="10"/>
        <v>599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ニーズヘッグ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2">
        <f t="shared" ca="1" si="6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7" sqref="L4:U7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1" t="s">
        <v>254</v>
      </c>
      <c r="V1" s="24" t="s">
        <v>50</v>
      </c>
      <c r="W1" s="101" t="s">
        <v>255</v>
      </c>
      <c r="X1" s="24" t="s">
        <v>52</v>
      </c>
      <c r="Y1" s="26" t="s">
        <v>128</v>
      </c>
      <c r="Z1" s="27" t="s">
        <v>127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13400_6-3/600&lt;lv50&gt;sq1st2</v>
      </c>
      <c r="B2" s="20">
        <v>13400</v>
      </c>
      <c r="C2" s="111">
        <v>6</v>
      </c>
      <c r="D2" s="14" t="str">
        <f>B2&amp;"_"&amp;C2</f>
        <v>13400_6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コスト制限なし</v>
      </c>
      <c r="G2" s="111">
        <v>3</v>
      </c>
      <c r="H2" s="14" t="str">
        <f>B2&amp;"_"&amp;C2&amp;"-"&amp;G2</f>
        <v>13400_6-3</v>
      </c>
      <c r="I2" s="4" t="e">
        <v>#N/A</v>
      </c>
      <c r="J2" s="4" t="e">
        <v>#N/A</v>
      </c>
      <c r="K2" s="36">
        <v>1</v>
      </c>
      <c r="L2" s="36">
        <v>2</v>
      </c>
      <c r="M2" s="106">
        <v>600</v>
      </c>
      <c r="N2" s="16" t="str">
        <f ca="1">VLOOKUP($M2,OFFSET([3]enemies!$A$1,0,0,COUNTA([3]enemies!$A:$A),MATCH(N$1,[3]enemies!$1:$1,0)-MATCH($M$1,[3]enemies!$1:$1,0)+1),MATCH(N$1,[3]enemies!$1:$1,0)-MATCH($M$1,[3]enemies!$1:$1,0)+1,FALSE)</f>
        <v>界下に潜む蛇 ニーズヘッグ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50</v>
      </c>
      <c r="T2" s="114">
        <v>1.35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106018.20000000001</v>
      </c>
      <c r="V2" s="23">
        <v>0.9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6738.3</v>
      </c>
      <c r="X2" s="5">
        <v>0</v>
      </c>
      <c r="Y2" s="4" t="e">
        <v>#N/A</v>
      </c>
      <c r="Z2" s="110">
        <v>13400205</v>
      </c>
      <c r="AA2" s="112">
        <v>2</v>
      </c>
    </row>
    <row r="3" spans="1:27" ht="21" customHeight="1" x14ac:dyDescent="0.15">
      <c r="A3" s="15" t="str">
        <f>B3&amp;"_"&amp;C3&amp;"-"&amp;G3&amp;"/"&amp;M3&amp;"&lt;lv"&amp;S3&amp;"&gt;sq"&amp;K3&amp;"st"&amp;L3</f>
        <v>13400_6-3/601&lt;lv50&gt;sq1st3</v>
      </c>
      <c r="B3" s="20">
        <v>13400</v>
      </c>
      <c r="C3" s="111">
        <v>6</v>
      </c>
      <c r="D3" s="14" t="str">
        <f>B3&amp;"_"&amp;C3</f>
        <v>13400_6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コスト制限なし</v>
      </c>
      <c r="G3" s="111">
        <v>3</v>
      </c>
      <c r="H3" s="14" t="str">
        <f>B3&amp;"_"&amp;C3&amp;"-"&amp;G3</f>
        <v>13400_6-3</v>
      </c>
      <c r="I3" s="4" t="e">
        <v>#N/A</v>
      </c>
      <c r="J3" s="4" t="e">
        <v>#N/A</v>
      </c>
      <c r="K3" s="36">
        <v>1</v>
      </c>
      <c r="L3" s="36">
        <v>3</v>
      </c>
      <c r="M3" s="106">
        <v>601</v>
      </c>
      <c r="N3" s="16" t="str">
        <f ca="1">VLOOKUP($M3,OFFSET([3]enemies!$A$1,0,0,COUNTA([3]enemies!$A:$A),MATCH(N$1,[3]enemies!$1:$1,0)-MATCH($M$1,[3]enemies!$1:$1,0)+1),MATCH(N$1,[3]enemies!$1:$1,0)-MATCH($M$1,[3]enemies!$1:$1,0)+1,FALSE)</f>
        <v>界根蝕む悪食 ニーズヘッグ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114">
        <v>1.1499999999999999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118100.4</v>
      </c>
      <c r="V3" s="23">
        <v>0.9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7256.7</v>
      </c>
      <c r="X3" s="5">
        <v>0</v>
      </c>
      <c r="Y3" s="4" t="e">
        <v>#N/A</v>
      </c>
      <c r="Z3" s="110">
        <v>13400206</v>
      </c>
      <c r="AA3" s="112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17" sqref="F17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23" si="0">B2&amp;"_"&amp;C2</f>
        <v>13400200_13400201</v>
      </c>
      <c r="B2" s="45">
        <v>13400200</v>
      </c>
      <c r="C2" s="45">
        <v>13400201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変幻の音色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防御力無視の固定威力ダメージ+_x000D_黄パネルを緑の時限式ダメージパネルに最大5個変換</v>
      </c>
      <c r="F2" s="45">
        <v>13400201</v>
      </c>
      <c r="G2" s="46"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si="0"/>
        <v>13400201_13400202</v>
      </c>
      <c r="B3" s="45">
        <v>13400201</v>
      </c>
      <c r="C3" s="45">
        <v>13400202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むぅ…めんどくさいなー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休憩している…</v>
      </c>
      <c r="F3" s="45">
        <v>13400202</v>
      </c>
      <c r="G3" s="46"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0"/>
        <v>13400201_13400203</v>
      </c>
      <c r="B4" s="45">
        <v>13400201</v>
      </c>
      <c r="C4" s="45">
        <v>13400203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ボクは眠いんだってばー！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5">
        <v>13400203</v>
      </c>
      <c r="G4" s="46"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0"/>
        <v>13400202_13400204</v>
      </c>
      <c r="B5" s="45">
        <v>13400202</v>
      </c>
      <c r="C5" s="45">
        <v>13400204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フフ…蛇きらい？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" s="45">
        <v>13400204</v>
      </c>
      <c r="G5" s="46"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0"/>
        <v>13400202_13400205</v>
      </c>
      <c r="B6" s="45">
        <v>13400202</v>
      </c>
      <c r="C6" s="45">
        <v>13400205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バキューンっと！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2回連続攻撃+_x000D_ランダムに緑の時限式ダメージパネルに最大6個変換</v>
      </c>
      <c r="F6" s="45">
        <v>13400205</v>
      </c>
      <c r="G6" s="46"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" s="45"/>
      <c r="Q6" s="45"/>
      <c r="R6" s="45"/>
    </row>
    <row r="7" spans="1:18" ht="21" customHeight="1" x14ac:dyDescent="0.15">
      <c r="A7" s="37" t="str">
        <f t="shared" si="0"/>
        <v>13400202_13400206</v>
      </c>
      <c r="B7" s="45">
        <v>13400202</v>
      </c>
      <c r="C7" s="45">
        <v>13400206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私が怖いかしら？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2回連続攻撃+_x000D_ランダムに緑の時限式ダメージパネルに最大8個変換</v>
      </c>
      <c r="F7" s="45">
        <v>13400206</v>
      </c>
      <c r="G7" s="46"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66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66</v>
      </c>
      <c r="P7" s="45"/>
      <c r="Q7" s="45"/>
      <c r="R7" s="45"/>
    </row>
    <row r="8" spans="1:18" ht="21" customHeight="1" x14ac:dyDescent="0.15">
      <c r="A8" s="37" t="str">
        <f t="shared" si="0"/>
        <v>13400202_13400207</v>
      </c>
      <c r="B8" s="45">
        <v>13400202</v>
      </c>
      <c r="C8" s="45">
        <v>13400207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致死性・出血大サービス！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2回連続攻撃+_x000D_ランダムに緑の時限式ダメージパネルに最大10個変換</v>
      </c>
      <c r="F8" s="45">
        <v>13400207</v>
      </c>
      <c r="G8" s="46"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0"/>
        <v>13400203_13400208</v>
      </c>
      <c r="B9" s="45">
        <v>13400203</v>
      </c>
      <c r="C9" s="45">
        <v>13400208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五月蝿い…読書の邪魔よ…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" s="45">
        <v>13400208</v>
      </c>
      <c r="G9" s="46">
        <v>1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0"/>
        <v>13400203_13400209</v>
      </c>
      <c r="B10" s="45">
        <v>13400203</v>
      </c>
      <c r="C10" s="45">
        <v>13400209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実用書「断捨離のススメ」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時限式ダメージパネルを吸収して単体攻撃(最大5個)</v>
      </c>
      <c r="F10" s="45">
        <v>13400209</v>
      </c>
      <c r="G10" s="46"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0"/>
        <v>13400203_13400210</v>
      </c>
      <c r="B11" s="45">
        <v>13400203</v>
      </c>
      <c r="C11" s="45">
        <v>13400210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医学書「応急処置法」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時限式ダメージパネルを吸収して敵全体回復</v>
      </c>
      <c r="F11" s="45">
        <v>13400210</v>
      </c>
      <c r="G11" s="46"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0"/>
        <v>13400204_13400211</v>
      </c>
      <c r="B12" s="45">
        <v>13400204</v>
      </c>
      <c r="C12" s="45">
        <v>13400211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シンニュウシャ…ハイジョ！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45">
        <v>13400211</v>
      </c>
      <c r="G12" s="46">
        <v>1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0"/>
        <v>13400204_13400212</v>
      </c>
      <c r="B13" s="45">
        <v>13400204</v>
      </c>
      <c r="C13" s="45">
        <v>13400212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タタキツケルッ！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単体攻撃+_x000D_ランダムに緑の時限式ダメージパネルに最大5個変換</v>
      </c>
      <c r="F13" s="45">
        <v>13400213</v>
      </c>
      <c r="G13" s="46"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0"/>
        <v>13400204_13400213</v>
      </c>
      <c r="B14" s="45">
        <v>13400204</v>
      </c>
      <c r="C14" s="45">
        <v>13400213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ハカイスル！！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4" s="45">
        <v>13400212</v>
      </c>
      <c r="G14" s="46"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4" s="45"/>
      <c r="Q14" s="45"/>
      <c r="R14" s="45"/>
    </row>
    <row r="15" spans="1:18" ht="21" customHeight="1" x14ac:dyDescent="0.15">
      <c r="A15" s="37" t="str">
        <f t="shared" si="0"/>
        <v>13400205_13400214</v>
      </c>
      <c r="B15" s="45">
        <v>13400205</v>
      </c>
      <c r="C15" s="45">
        <v>13400214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ククク…ミノホドシラズ…！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状態異常耐性+解除するまで全属性の攻撃をカウンター</v>
      </c>
      <c r="F15" s="45">
        <v>13400214</v>
      </c>
      <c r="G15" s="46"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0"/>
        <v>13400205_13400215</v>
      </c>
      <c r="B16" s="45">
        <v>13400205</v>
      </c>
      <c r="C16" s="45">
        <v>13400215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ジャマモノ…メ…！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単体攻撃+_x000D_ランダムに緑の時限式ダメージパネルに最大5個変換</v>
      </c>
      <c r="F16" s="45">
        <v>13400215</v>
      </c>
      <c r="G16" s="46"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0"/>
        <v>13400205_13400216</v>
      </c>
      <c r="B17" s="45">
        <v>13400205</v>
      </c>
      <c r="C17" s="45">
        <v>13400216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ニガスモノカ…！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単体攻撃+2ターン全ユニットの攻撃力25%DOWN</v>
      </c>
      <c r="F17" s="45">
        <v>13400216</v>
      </c>
      <c r="G17" s="46"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0"/>
        <v>13400206_13400217</v>
      </c>
      <c r="B18" s="45">
        <v>13400206</v>
      </c>
      <c r="C18" s="45">
        <v>13400217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キサマ…ユルサヌ！！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状態異常耐性+防御力UP+_x000D_解除するまで全属性の攻撃をカウンター</v>
      </c>
      <c r="F18" s="45">
        <v>13400217</v>
      </c>
      <c r="G18" s="46">
        <v>1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0"/>
        <v>13400206_13400218</v>
      </c>
      <c r="B19" s="45">
        <v>13400206</v>
      </c>
      <c r="C19" s="45">
        <v>13400218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ツラヌクッ！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防御力無視の固定威力ダメージ</v>
      </c>
      <c r="F19" s="45">
        <v>13400218</v>
      </c>
      <c r="G19" s="46"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0"/>
        <v>13400206_13400219</v>
      </c>
      <c r="B20" s="45">
        <v>13400206</v>
      </c>
      <c r="C20" s="45">
        <v>13400219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カミクダクッ！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単体攻撃+2ターン全ユニットの攻撃力30%DOWN</v>
      </c>
      <c r="F20" s="45">
        <v>13400219</v>
      </c>
      <c r="G20" s="46"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0"/>
        <v>13400206_13400220</v>
      </c>
      <c r="B21" s="45">
        <v>13400206</v>
      </c>
      <c r="C21" s="45">
        <v>13400220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カナラズ…ハイジョスル！！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ランダムで時限式ダメージパネルに最大18個変換</v>
      </c>
      <c r="F21" s="45">
        <v>13400220</v>
      </c>
      <c r="G21" s="46"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0"/>
        <v>13400206_13400221</v>
      </c>
      <c r="B22" s="45">
        <v>13400206</v>
      </c>
      <c r="C22" s="45">
        <v>13400221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&lt;&lt;自動迎撃・チャージモード&gt;&gt;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解除するまで全属性の攻撃をカウンター_x000D_【3ターン後に防御力無視の激烈ダメージ！】</v>
      </c>
      <c r="F22" s="45">
        <v>13400221</v>
      </c>
      <c r="G22" s="46"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0"/>
        <v>13400206_13400222</v>
      </c>
      <c r="B23" s="45">
        <v>13400206</v>
      </c>
      <c r="C23" s="45">
        <v>13400222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ククク…！オワリダッ！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防御力無視の固定威力2回連続攻撃</v>
      </c>
      <c r="F23" s="45">
        <v>13400222</v>
      </c>
      <c r="G23" s="46"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23"/>
  <sheetViews>
    <sheetView showGridLines="0" tabSelected="1" workbookViewId="0">
      <pane ySplit="1" topLeftCell="A10" activePane="bottomLeft" state="frozenSplit"/>
      <selection pane="bottomLeft" activeCell="F11" sqref="F11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53.5" style="124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customWidth="1"/>
    <col min="28" max="28" width="29.8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79</v>
      </c>
      <c r="B1" s="122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259</v>
      </c>
    </row>
    <row r="2" spans="1:30" ht="28" customHeight="1" x14ac:dyDescent="0.15">
      <c r="A2" s="45">
        <v>13400201</v>
      </c>
      <c r="B2" s="121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","&amp;AC2,AC2)</f>
        <v xml:space="preserve">[effect:enemy_message, val1:1.2, val2:3.9],[effect:damage_fix_pierce, target:unit_one, color:green, val:3000],[effect:force_change_block, new_block:time_bomb, target:block_yellow, ignore01:crash, ignore02:crack_bomb, ignore03:color_break, ignore04:magnet, ignore05:time_bomb, color:block_green, count:5, val:0.1, animation:change_block]    </v>
      </c>
      <c r="C2" s="48">
        <v>3</v>
      </c>
      <c r="D2" s="48" t="s">
        <v>258</v>
      </c>
      <c r="E2" s="49" t="s">
        <v>391</v>
      </c>
      <c r="F2" s="49" t="s">
        <v>421</v>
      </c>
      <c r="G2" s="61" t="str">
        <f t="shared" ref="G2:G23" si="0">IFERROR(LEFT(B2,FIND("],",B2)),B2)</f>
        <v>[effect:enemy_message, val1:1.2, val2:3.9]</v>
      </c>
      <c r="H2" s="61">
        <f t="shared" ref="H2:H23" si="1">FIND("effect:",G2)+7</f>
        <v>9</v>
      </c>
      <c r="I2" s="61">
        <f t="shared" ref="I2:I23" si="2">IFERROR(FIND(",",G2),LEN(G2))</f>
        <v>22</v>
      </c>
      <c r="J2" s="61" t="e">
        <f t="shared" ref="J2:J23" si="3">FIND("target:",G2)+7</f>
        <v>#VALUE!</v>
      </c>
      <c r="K2" s="61">
        <f t="shared" ref="K2:K23" si="4"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 t="shared" ref="M2:M23" si="5">IFERROR(RIGHT(B2,LEN(B2)-FIND("],",B2)-1),"none")</f>
        <v xml:space="preserve">[effect:damage_fix_pierce, target:unit_one, color:green, val:3000],[effect:force_change_block, new_block:time_bomb, target:block_yellow, ignore01:crash, ignore02:crack_bomb, ignore03:color_break, ignore04:magnet, ignore05:time_bomb, color:block_green, count:5, val:0.1, animation:change_block]    </v>
      </c>
      <c r="N2" s="46" t="str">
        <f t="shared" ref="N2:N18" si="6">IFERROR(LEFT(M2,FIND("],",M2)+S7),M2)</f>
        <v xml:space="preserve">[effect:damage_fix_pierce, target:unit_one, color:green, val:3000],[effect:force_change_block, new_block:time_bomb, target:block_yellow, ignore01:crash, ignore02:crack_bomb, ignore03:color_break, ignore04:magnet, ignore05:time_bomb, color:block_green, count:5, val:0.1, animation:change_block]    </v>
      </c>
      <c r="O2" s="61">
        <f t="shared" ref="O2:O23" si="7">FIND("effect:",N2)+7</f>
        <v>9</v>
      </c>
      <c r="P2" s="61">
        <f t="shared" ref="P2:P23" si="8">IFERROR(FIND(",",N2),LEN(N2))</f>
        <v>26</v>
      </c>
      <c r="Q2" s="61">
        <f t="shared" ref="Q2:Q23" si="9">FIND("target:",N2)+7</f>
        <v>35</v>
      </c>
      <c r="R2" s="61">
        <f t="shared" ref="R2:R23" si="10">FIND(",",N2,P2+1)</f>
        <v>43</v>
      </c>
      <c r="S2" s="61" t="str">
        <f>IFERROR(VLOOKUP(MID(N2,Q2,R2-Q2),[5]skilldef!$C:$D,2,FALSE),"-") &amp; " / " &amp; IFERROR(VLOOKUP(MID(N2,O2,P2-O2),[5]skilldef!$A:$B,2,FALSE),"-")</f>
        <v>味方単体に / -</v>
      </c>
      <c r="T2" s="46" t="str">
        <f t="shared" ref="T2:T23" si="11">IFERROR(RIGHT(M2,LEN(M2)-FIND("],",M2)-1),"none")</f>
        <v xml:space="preserve">[effect:force_change_block, new_block:time_bomb, target:block_yellow, ignore01:crash, ignore02:crack_bomb, ignore03:color_break, ignore04:magnet, ignore05:time_bomb, color:block_green, count:5, val:0.1, animation:change_block]    </v>
      </c>
      <c r="U2" s="61">
        <f t="shared" ref="U2:U23" si="12">FIND("effect:",T2)+7</f>
        <v>9</v>
      </c>
      <c r="V2" s="61">
        <f t="shared" ref="V2:V23" si="13">IFERROR(FIND(",",T2),LEN(T2))</f>
        <v>27</v>
      </c>
      <c r="W2" s="61">
        <f t="shared" ref="W2:W23" si="14">FIND("target:",T2)+7</f>
        <v>57</v>
      </c>
      <c r="X2" s="61">
        <f t="shared" ref="X2:X23" si="15">FIND(",",T2,V2+1)</f>
        <v>48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3" t="s">
        <v>380</v>
      </c>
      <c r="AD2" s="120" t="s">
        <v>262</v>
      </c>
    </row>
    <row r="3" spans="1:30" ht="28" customHeight="1" x14ac:dyDescent="0.15">
      <c r="A3" s="45">
        <v>13400202</v>
      </c>
      <c r="B3" s="121" t="str">
        <f t="shared" ref="B3:B8" si="16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","&amp;AC3,AC3)</f>
        <v>[effect:enemy_message, val1:1.2, val2:1.2],[effect:nothing]</v>
      </c>
      <c r="C3" s="48">
        <v>3</v>
      </c>
      <c r="D3" s="48" t="s">
        <v>258</v>
      </c>
      <c r="E3" s="49" t="s">
        <v>389</v>
      </c>
      <c r="F3" s="49" t="s">
        <v>364</v>
      </c>
      <c r="G3" s="61" t="str">
        <f t="shared" si="0"/>
        <v>[effect:enemy_message, val1:1.2, val2:1.2]</v>
      </c>
      <c r="H3" s="61">
        <f t="shared" si="1"/>
        <v>9</v>
      </c>
      <c r="I3" s="61">
        <f t="shared" si="2"/>
        <v>22</v>
      </c>
      <c r="J3" s="61" t="e">
        <f t="shared" si="3"/>
        <v>#VALUE!</v>
      </c>
      <c r="K3" s="61">
        <f t="shared" si="4"/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si="5"/>
        <v>[effect:nothing]</v>
      </c>
      <c r="N3" s="46" t="str">
        <f t="shared" si="6"/>
        <v>[effect:nothing]</v>
      </c>
      <c r="O3" s="61">
        <f t="shared" si="7"/>
        <v>9</v>
      </c>
      <c r="P3" s="61">
        <f t="shared" si="8"/>
        <v>16</v>
      </c>
      <c r="Q3" s="61" t="e">
        <f t="shared" si="9"/>
        <v>#VALUE!</v>
      </c>
      <c r="R3" s="61" t="e">
        <f t="shared" si="10"/>
        <v>#VALUE!</v>
      </c>
      <c r="S3" s="61" t="str">
        <f>IFERROR(VLOOKUP(MID(N3,Q3,R3-Q3),[5]skilldef!$C:$D,2,FALSE),"-") &amp; " / " &amp; IFERROR(VLOOKUP(MID(N3,O3,P3-O3),[5]skilldef!$A:$B,2,FALSE),"-")</f>
        <v>- / 何もしない</v>
      </c>
      <c r="T3" s="46" t="str">
        <f t="shared" si="11"/>
        <v>none</v>
      </c>
      <c r="U3" s="61" t="e">
        <f t="shared" si="12"/>
        <v>#VALUE!</v>
      </c>
      <c r="V3" s="61">
        <f t="shared" si="13"/>
        <v>4</v>
      </c>
      <c r="W3" s="61" t="e">
        <f t="shared" si="14"/>
        <v>#VALUE!</v>
      </c>
      <c r="X3" s="61" t="e">
        <f t="shared" si="15"/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3" t="s">
        <v>339</v>
      </c>
      <c r="AD3" s="120"/>
    </row>
    <row r="4" spans="1:30" ht="28" customHeight="1" x14ac:dyDescent="0.15">
      <c r="A4" s="45">
        <v>13400203</v>
      </c>
      <c r="B4" s="121" t="str">
        <f t="shared" si="16"/>
        <v>[effect:enemy_message, val1:1.2, val2:1.2],[effect:critical, val:2, animation:enemy_critical]</v>
      </c>
      <c r="C4" s="48">
        <v>3</v>
      </c>
      <c r="D4" s="48" t="s">
        <v>258</v>
      </c>
      <c r="E4" s="49" t="s">
        <v>390</v>
      </c>
      <c r="F4" s="49" t="s">
        <v>338</v>
      </c>
      <c r="G4" s="61" t="str">
        <f t="shared" si="0"/>
        <v>[effect:enemy_message, val1:1.2, val2:1.2]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5"/>
        <v>[effect:critical, val:2, animation:enemy_critical]</v>
      </c>
      <c r="N4" s="46" t="str">
        <f t="shared" si="6"/>
        <v>[effect:critical, val:2, animation:enemy_critical]</v>
      </c>
      <c r="O4" s="61">
        <f t="shared" si="7"/>
        <v>9</v>
      </c>
      <c r="P4" s="61">
        <f t="shared" si="8"/>
        <v>17</v>
      </c>
      <c r="Q4" s="61" t="e">
        <f t="shared" si="9"/>
        <v>#VALUE!</v>
      </c>
      <c r="R4" s="61">
        <f t="shared" si="10"/>
        <v>24</v>
      </c>
      <c r="S4" s="61" t="str">
        <f>IFERROR(VLOOKUP(MID(N4,Q4,R4-Q4),[5]skilldef!$C:$D,2,FALSE),"-") &amp; " / " &amp; IFERROR(VLOOKUP(MID(N4,O4,P4-O4),[5]skilldef!$A:$B,2,FALSE),"-")</f>
        <v>- / 大攻撃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3" t="s">
        <v>410</v>
      </c>
      <c r="AD4" s="120"/>
    </row>
    <row r="5" spans="1:30" ht="28" customHeight="1" x14ac:dyDescent="0.15">
      <c r="A5" s="45">
        <v>13400204</v>
      </c>
      <c r="B5" s="121" t="str">
        <f t="shared" si="16"/>
        <v>[effect:enemy_message, val1:1.2, val2:1.2],[effect:fix_speed, target:myself, turn:2],[effect:tolerance, target:myself, turn:-1, count:-1, tolerance_effect:all, animation:enemy_tolerance]</v>
      </c>
      <c r="C5" s="48">
        <v>3</v>
      </c>
      <c r="D5" s="48" t="s">
        <v>258</v>
      </c>
      <c r="E5" s="49" t="s">
        <v>351</v>
      </c>
      <c r="F5" s="49" t="s">
        <v>369</v>
      </c>
      <c r="G5" s="61" t="str">
        <f t="shared" si="0"/>
        <v>[effect:enemy_message, val1:1.2, val2:1.2]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5"/>
        <v>[effect:fix_speed, target:myself, turn:2],[effect:tolerance, target:myself, turn:-1, count:-1, tolerance_effect:all, animation:enemy_tolerance]</v>
      </c>
      <c r="N5" s="46" t="str">
        <f t="shared" si="6"/>
        <v>[effect:fix_speed, target:myself, turn:2],[effect:tolerance, target:myself, turn:-1, count:-1, tolerance_effect:all, animation:enemy_tolerance]</v>
      </c>
      <c r="O5" s="61">
        <f t="shared" si="7"/>
        <v>9</v>
      </c>
      <c r="P5" s="61">
        <f t="shared" si="8"/>
        <v>18</v>
      </c>
      <c r="Q5" s="61">
        <f t="shared" si="9"/>
        <v>27</v>
      </c>
      <c r="R5" s="61">
        <f t="shared" si="10"/>
        <v>33</v>
      </c>
      <c r="S5" s="61" t="str">
        <f>IFERROR(VLOOKUP(MID(N5,Q5,R5-Q5),[5]skilldef!$C:$D,2,FALSE),"-") &amp; " / " &amp; IFERROR(VLOOKUP(MID(N5,O5,P5-O5),[5]skilldef!$A:$B,2,FALSE),"-")</f>
        <v>自分自身に / 行動値設定</v>
      </c>
      <c r="T5" s="46" t="str">
        <f t="shared" si="11"/>
        <v>[effect:tolerance, target:myself, turn:-1, count:-1, tolerance_effect:all, animation:enemy_tolerance]</v>
      </c>
      <c r="U5" s="61">
        <f t="shared" si="12"/>
        <v>9</v>
      </c>
      <c r="V5" s="61">
        <f t="shared" si="13"/>
        <v>18</v>
      </c>
      <c r="W5" s="61">
        <f t="shared" si="14"/>
        <v>27</v>
      </c>
      <c r="X5" s="61">
        <f t="shared" si="15"/>
        <v>33</v>
      </c>
      <c r="Y5" s="61" t="str">
        <f>IFERROR(VLOOKUP(MID(T5,W5,X5-W5),[5]skilldef!$C:$D,2,FALSE),"-") &amp; " / " &amp; IFERROR(VLOOKUP(MID(T5,U5,V5-U5),[5]skilldef!$A:$B,2,FALSE),"-")</f>
        <v>自分自身に / 状態異常耐性</v>
      </c>
      <c r="Z5" s="48"/>
      <c r="AA5" s="50"/>
      <c r="AB5" s="48"/>
      <c r="AC5" s="103" t="s">
        <v>344</v>
      </c>
      <c r="AD5" s="120"/>
    </row>
    <row r="6" spans="1:30" ht="28" customHeight="1" x14ac:dyDescent="0.15">
      <c r="A6" s="45">
        <v>13400205</v>
      </c>
      <c r="B6" s="121" t="str">
        <f t="shared" si="16"/>
        <v xml:space="preserve">[effect:enemy_message, val1:1.2, val2:3.1],[effect:rush, val:0.55, count:2],[effect:force_change_block, new_block:time_bomb, target:block_all, ignore01:block_positive, ignore02:time_bomb, color:block_green, count:6, val:0.1, animation:change_block]    </v>
      </c>
      <c r="C6" s="48">
        <v>3</v>
      </c>
      <c r="D6" s="48" t="s">
        <v>258</v>
      </c>
      <c r="E6" s="49" t="s">
        <v>352</v>
      </c>
      <c r="F6" s="119" t="s">
        <v>416</v>
      </c>
      <c r="G6" s="61" t="str">
        <f t="shared" si="0"/>
        <v>[effect:enemy_message, val1:1.2, val2:3.1]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5"/>
        <v xml:space="preserve">[effect:rush, val:0.55, count:2],[effect:force_change_block, new_block:time_bomb, target:block_all, ignore01:block_positive, ignore02:time_bomb, color:block_green, count:6, val:0.1, animation:change_block]    </v>
      </c>
      <c r="N6" s="46" t="str">
        <f t="shared" si="6"/>
        <v xml:space="preserve">[effect:rush, val:0.55, count:2],[effect:force_change_block, new_block:time_bomb, target:block_all, ignore01:block_positive, ignore02:time_bomb, color:block_green, count:6, val:0.1, animation:change_block]    </v>
      </c>
      <c r="O6" s="61">
        <f t="shared" si="7"/>
        <v>9</v>
      </c>
      <c r="P6" s="61">
        <f t="shared" si="8"/>
        <v>13</v>
      </c>
      <c r="Q6" s="61">
        <f t="shared" si="9"/>
        <v>90</v>
      </c>
      <c r="R6" s="61">
        <f t="shared" si="10"/>
        <v>23</v>
      </c>
      <c r="S6" s="61" t="str">
        <f>IFERROR(VLOOKUP(MID(N6,Q6,R6-Q6),[5]skilldef!$C:$D,2,FALSE),"-") &amp; " / " &amp; IFERROR(VLOOKUP(MID(N6,O6,P6-O6),[5]skilldef!$A:$B,2,FALSE),"-")</f>
        <v>- / 連続攻撃</v>
      </c>
      <c r="T6" s="46" t="str">
        <f t="shared" si="11"/>
        <v xml:space="preserve">[effect:force_change_block, new_block:time_bomb, target:block_all, ignore01:block_positive, ignore02:time_bomb, color:block_green, count:6, val:0.1, animation:change_block]    </v>
      </c>
      <c r="U6" s="61">
        <f t="shared" si="12"/>
        <v>9</v>
      </c>
      <c r="V6" s="61">
        <f t="shared" si="13"/>
        <v>27</v>
      </c>
      <c r="W6" s="61">
        <f t="shared" si="14"/>
        <v>57</v>
      </c>
      <c r="X6" s="61">
        <f t="shared" si="15"/>
        <v>48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  <c r="AC6" s="103" t="s">
        <v>430</v>
      </c>
    </row>
    <row r="7" spans="1:30" ht="28" customHeight="1" x14ac:dyDescent="0.15">
      <c r="A7" s="45">
        <v>13400206</v>
      </c>
      <c r="B7" s="121" t="str">
        <f t="shared" si="16"/>
        <v xml:space="preserve">[effect:enemy_message, val1:1.2, val2:3.1],[effect:rush, val:0.55, count:2],[effect:force_change_block, new_block:time_bomb, target:block_all, ignore01:block_positive, ignore02:time_bomb, color:block_green, count:8, val:0.1, animation:change_block]    </v>
      </c>
      <c r="C7" s="48">
        <v>3</v>
      </c>
      <c r="D7" s="48" t="s">
        <v>258</v>
      </c>
      <c r="E7" s="49" t="s">
        <v>354</v>
      </c>
      <c r="F7" s="119" t="s">
        <v>417</v>
      </c>
      <c r="G7" s="61" t="str">
        <f t="shared" si="0"/>
        <v>[effect:enemy_message, val1:1.2, val2:3.1]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5"/>
        <v xml:space="preserve">[effect:rush, val:0.55, count:2],[effect:force_change_block, new_block:time_bomb, target:block_all, ignore01:block_positive, ignore02:time_bomb, color:block_green, count:8, val:0.1, animation:change_block]    </v>
      </c>
      <c r="N7" s="46" t="str">
        <f t="shared" si="6"/>
        <v xml:space="preserve">[effect:rush, val:0.55, count:2],[effect:force_change_block, new_block:time_bomb, target:block_all, ignore01:block_positive, ignore02:time_bomb, color:block_green, count:8, val:0.1, animation:change_block]    </v>
      </c>
      <c r="O7" s="61">
        <f t="shared" si="7"/>
        <v>9</v>
      </c>
      <c r="P7" s="61">
        <f t="shared" si="8"/>
        <v>13</v>
      </c>
      <c r="Q7" s="61">
        <f t="shared" si="9"/>
        <v>90</v>
      </c>
      <c r="R7" s="61">
        <f t="shared" si="10"/>
        <v>23</v>
      </c>
      <c r="S7" s="61" t="str">
        <f>IFERROR(VLOOKUP(MID(N7,Q7,R7-Q7),[5]skilldef!$C:$D,2,FALSE),"-") &amp; " / " &amp; IFERROR(VLOOKUP(MID(N7,O7,P7-O7),[5]skilldef!$A:$B,2,FALSE),"-")</f>
        <v>- / 連続攻撃</v>
      </c>
      <c r="T7" s="46" t="str">
        <f t="shared" si="11"/>
        <v xml:space="preserve">[effect:force_change_block, new_block:time_bomb, target:block_all, ignore01:block_positive, ignore02:time_bomb, color:block_green, count:8, val:0.1, animation:change_block]    </v>
      </c>
      <c r="U7" s="61">
        <f t="shared" si="12"/>
        <v>9</v>
      </c>
      <c r="V7" s="61">
        <f t="shared" si="13"/>
        <v>27</v>
      </c>
      <c r="W7" s="61">
        <f t="shared" si="14"/>
        <v>57</v>
      </c>
      <c r="X7" s="61">
        <f t="shared" si="15"/>
        <v>48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  <c r="AC7" s="103" t="s">
        <v>429</v>
      </c>
      <c r="AD7" s="120" t="s">
        <v>263</v>
      </c>
    </row>
    <row r="8" spans="1:30" ht="28" customHeight="1" x14ac:dyDescent="0.15">
      <c r="A8" s="45">
        <v>13400207</v>
      </c>
      <c r="B8" s="121" t="str">
        <f t="shared" si="16"/>
        <v xml:space="preserve">[effect:enemy_message, val1:1.2, val2:3.2],[effect:rush, val:0.55, count:2],[effect:force_change_block, new_block:time_bomb, target:block_all, ignore01:block_positive, ignore02:time_bomb, color:block_green, count:10, val:0.1, animation:change_block]    </v>
      </c>
      <c r="C8" s="48">
        <v>3</v>
      </c>
      <c r="D8" s="48" t="s">
        <v>258</v>
      </c>
      <c r="E8" s="49" t="s">
        <v>358</v>
      </c>
      <c r="F8" s="119" t="s">
        <v>418</v>
      </c>
      <c r="G8" s="61" t="str">
        <f t="shared" si="0"/>
        <v>[effect:enemy_message, val1:1.2, val2:3.2]</v>
      </c>
      <c r="H8" s="61">
        <f t="shared" si="1"/>
        <v>9</v>
      </c>
      <c r="I8" s="61">
        <f t="shared" si="2"/>
        <v>22</v>
      </c>
      <c r="J8" s="61" t="e">
        <f t="shared" si="3"/>
        <v>#VALUE!</v>
      </c>
      <c r="K8" s="61">
        <f t="shared" si="4"/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5"/>
        <v xml:space="preserve">[effect:rush, val:0.55, count:2],[effect:force_change_block, new_block:time_bomb, target:block_all, ignore01:block_positive, ignore02:time_bomb, color:block_green, count:10, val:0.1, animation:change_block]    </v>
      </c>
      <c r="N8" s="46" t="str">
        <f t="shared" si="6"/>
        <v xml:space="preserve">[effect:rush, val:0.55, count:2],[effect:force_change_block, new_block:time_bomb, target:block_all, ignore01:block_positive, ignore02:time_bomb, color:block_green, count:10, val:0.1, animation:change_block]    </v>
      </c>
      <c r="O8" s="61">
        <f t="shared" si="7"/>
        <v>9</v>
      </c>
      <c r="P8" s="61">
        <f t="shared" si="8"/>
        <v>13</v>
      </c>
      <c r="Q8" s="61">
        <f t="shared" si="9"/>
        <v>90</v>
      </c>
      <c r="R8" s="61">
        <f t="shared" si="10"/>
        <v>23</v>
      </c>
      <c r="S8" s="61" t="str">
        <f>IFERROR(VLOOKUP(MID(N8,Q8,R8-Q8),[5]skilldef!$C:$D,2,FALSE),"-") &amp; " / " &amp; IFERROR(VLOOKUP(MID(N8,O8,P8-O8),[5]skilldef!$A:$B,2,FALSE),"-")</f>
        <v>- / 連続攻撃</v>
      </c>
      <c r="T8" s="46" t="str">
        <f t="shared" si="11"/>
        <v xml:space="preserve">[effect:force_change_block, new_block:time_bomb, target:block_all, ignore01:block_positive, ignore02:time_bomb, color:block_green, count:10, val:0.1, animation:change_block]    </v>
      </c>
      <c r="U8" s="61">
        <f t="shared" si="12"/>
        <v>9</v>
      </c>
      <c r="V8" s="61">
        <f t="shared" si="13"/>
        <v>27</v>
      </c>
      <c r="W8" s="61">
        <f t="shared" si="14"/>
        <v>57</v>
      </c>
      <c r="X8" s="61">
        <f t="shared" si="15"/>
        <v>48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3" t="s">
        <v>428</v>
      </c>
      <c r="AD8" s="120"/>
    </row>
    <row r="9" spans="1:30" ht="28" customHeight="1" x14ac:dyDescent="0.15">
      <c r="A9" s="45">
        <v>13400208</v>
      </c>
      <c r="B9" s="123" t="s">
        <v>431</v>
      </c>
      <c r="C9" s="48">
        <v>3</v>
      </c>
      <c r="D9" s="48" t="s">
        <v>258</v>
      </c>
      <c r="E9" s="49" t="s">
        <v>353</v>
      </c>
      <c r="F9" s="49" t="s">
        <v>370</v>
      </c>
      <c r="G9" s="61" t="str">
        <f t="shared" si="0"/>
        <v>[effect:enemy_message, val1:1.8, val2:1.2]</v>
      </c>
      <c r="H9" s="61">
        <f t="shared" si="1"/>
        <v>9</v>
      </c>
      <c r="I9" s="61">
        <f t="shared" si="2"/>
        <v>22</v>
      </c>
      <c r="J9" s="61" t="e">
        <f t="shared" si="3"/>
        <v>#VALUE!</v>
      </c>
      <c r="K9" s="61">
        <f t="shared" si="4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5"/>
        <v>[effect:fix_speed, target:myself, turn:3],[effect:tolerance, target:myself, turn:-1, count:-1, tolerance_effect:all, animation:enemy_tolerance]</v>
      </c>
      <c r="N9" s="46" t="str">
        <f t="shared" si="6"/>
        <v>[effect:fix_speed, target:myself, turn:3],[effect:tolerance, target:myself, turn:-1, count:-1, tolerance_effect:all, animation:enemy_tolerance]</v>
      </c>
      <c r="O9" s="61">
        <f t="shared" si="7"/>
        <v>9</v>
      </c>
      <c r="P9" s="61">
        <f t="shared" si="8"/>
        <v>18</v>
      </c>
      <c r="Q9" s="61">
        <f t="shared" si="9"/>
        <v>27</v>
      </c>
      <c r="R9" s="61">
        <f t="shared" si="10"/>
        <v>33</v>
      </c>
      <c r="S9" s="61" t="str">
        <f>IFERROR(VLOOKUP(MID(N9,Q9,R9-Q9),[5]skilldef!$C:$D,2,FALSE),"-") &amp; " / " &amp; IFERROR(VLOOKUP(MID(N9,O9,P9-O9),[5]skilldef!$A:$B,2,FALSE),"-")</f>
        <v>自分自身に / 行動値設定</v>
      </c>
      <c r="T9" s="46" t="str">
        <f t="shared" si="11"/>
        <v>[effect:tolerance, target:myself, turn:-1, count:-1, tolerance_effect:all, animation:enemy_tolerance]</v>
      </c>
      <c r="U9" s="61">
        <f t="shared" si="12"/>
        <v>9</v>
      </c>
      <c r="V9" s="61">
        <f t="shared" si="13"/>
        <v>18</v>
      </c>
      <c r="W9" s="61">
        <f t="shared" si="14"/>
        <v>27</v>
      </c>
      <c r="X9" s="61">
        <f t="shared" si="15"/>
        <v>33</v>
      </c>
      <c r="Y9" s="61" t="str">
        <f>IFERROR(VLOOKUP(MID(T9,W9,X9-W9),[5]skilldef!$C:$D,2,FALSE),"-") &amp; " / " &amp; IFERROR(VLOOKUP(MID(T9,U9,V9-U9),[5]skilldef!$A:$B,2,FALSE),"-")</f>
        <v>自分自身に / 状態異常耐性</v>
      </c>
      <c r="Z9" s="48"/>
      <c r="AA9" s="50"/>
      <c r="AB9" s="48"/>
      <c r="AC9" s="103" t="s">
        <v>368</v>
      </c>
      <c r="AD9" s="120"/>
    </row>
    <row r="10" spans="1:30" ht="28" customHeight="1" x14ac:dyDescent="0.15">
      <c r="A10" s="45">
        <v>13400209</v>
      </c>
      <c r="B10" s="123" t="s">
        <v>378</v>
      </c>
      <c r="C10" s="48">
        <v>3</v>
      </c>
      <c r="D10" s="48" t="s">
        <v>258</v>
      </c>
      <c r="E10" s="49" t="s">
        <v>355</v>
      </c>
      <c r="F10" s="49" t="s">
        <v>422</v>
      </c>
      <c r="G10" s="61" t="str">
        <f t="shared" si="0"/>
        <v>[effect:enemy_message, val1:1.6, val2:2.5]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5"/>
        <v xml:space="preserve">[effect:break_attack_fix, target:unit_one, val:1300, lowest_val:2700, count:5, color:green, block01:time_bomb]    </v>
      </c>
      <c r="N10" s="46" t="str">
        <f t="shared" si="6"/>
        <v xml:space="preserve">[effect:break_attack_fix, target:unit_one, val:1300, lowest_val:2700, count:5, color:green, block01:time_bomb]    </v>
      </c>
      <c r="O10" s="61">
        <f t="shared" si="7"/>
        <v>9</v>
      </c>
      <c r="P10" s="61">
        <f t="shared" si="8"/>
        <v>25</v>
      </c>
      <c r="Q10" s="61">
        <f t="shared" si="9"/>
        <v>34</v>
      </c>
      <c r="R10" s="61">
        <f t="shared" si="10"/>
        <v>42</v>
      </c>
      <c r="S10" s="61" t="str">
        <f>IFERROR(VLOOKUP(MID(N10,Q10,R10-Q10),[5]skilldef!$C:$D,2,FALSE),"-") &amp; " / " &amp; IFERROR(VLOOKUP(MID(N10,O10,P10-O10),[5]skilldef!$A:$B,2,FALSE),"-")</f>
        <v>味方単体に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  <c r="AC10" s="103" t="s">
        <v>341</v>
      </c>
      <c r="AD10" s="120"/>
    </row>
    <row r="11" spans="1:30" ht="28" customHeight="1" x14ac:dyDescent="0.15">
      <c r="A11" s="45">
        <v>13400210</v>
      </c>
      <c r="B11" s="123" t="s">
        <v>379</v>
      </c>
      <c r="C11" s="48">
        <v>3</v>
      </c>
      <c r="D11" s="48" t="s">
        <v>258</v>
      </c>
      <c r="E11" s="49" t="s">
        <v>356</v>
      </c>
      <c r="F11" s="49" t="s">
        <v>371</v>
      </c>
      <c r="G11" s="61" t="str">
        <f t="shared" si="0"/>
        <v>[effect:enemy_message, val1:1.6, val2:2.0]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5"/>
        <v xml:space="preserve">[effect:break_heal_fix, target:enemy_all, val:2000, lowest_val:10000, count:-1, block01:time_bomb, animation:enemy_heal]    </v>
      </c>
      <c r="N11" s="46" t="str">
        <f t="shared" si="6"/>
        <v xml:space="preserve">[effect:break_heal_fix, target:enemy_all, val:2000, lowest_val:10000, count:-1, block01:time_bomb, animation:enemy_heal]    </v>
      </c>
      <c r="O11" s="61">
        <f t="shared" si="7"/>
        <v>9</v>
      </c>
      <c r="P11" s="61">
        <f t="shared" si="8"/>
        <v>23</v>
      </c>
      <c r="Q11" s="61">
        <f t="shared" si="9"/>
        <v>32</v>
      </c>
      <c r="R11" s="61">
        <f t="shared" si="10"/>
        <v>41</v>
      </c>
      <c r="S11" s="61" t="str">
        <f>IFERROR(VLOOKUP(MID(N11,Q11,R11-Q11),[5]skilldef!$C:$D,2,FALSE),"-") &amp; " / " &amp; IFERROR(VLOOKUP(MID(N11,O11,P11-O11),[5]skilldef!$A:$B,2,FALSE),"-")</f>
        <v>敵全体に / -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  <c r="AC11" s="103" t="s">
        <v>342</v>
      </c>
    </row>
    <row r="12" spans="1:30" ht="28" customHeight="1" x14ac:dyDescent="0.15">
      <c r="A12" s="45">
        <v>13400211</v>
      </c>
      <c r="B12" s="121" t="str">
        <f t="shared" ref="B12:B23" si="17">"[effect:enemy_message, val1:"&amp;TEXT(IF(TEXT(E12,0)="[表示しない]", "0", IF(LEN(SUBSTITUTE(E12,CHAR(13),""))*0.1&lt;1.2, 1.2, LEN(SUBSTITUTE(E12,CHAR(13),""))*0.1)), "0.0")&amp;", val2:"&amp;TEXT(IF(TEXT(F12,0)="[表示しない]", "0", IF(LEN(SUBSTITUTE(F12,CHAR(13),""))*0.1&lt;1.2, 1.2, LEN(SUBSTITUTE(F12,CHAR(13),""))*0.1)),"0.0")&amp;"]"&amp;IF(LEN(AC12)&gt;0, ","&amp;AC12,AC12)</f>
        <v>[effect:enemy_message, val1:1.3, val2:1.2],[effect:tolerance, target:myself, turn:-1, count:-1, tolerance_effect:all, animation:enemy_tolerance]</v>
      </c>
      <c r="C12" s="48">
        <v>3</v>
      </c>
      <c r="D12" s="48" t="s">
        <v>258</v>
      </c>
      <c r="E12" s="49" t="s">
        <v>360</v>
      </c>
      <c r="F12" s="49" t="s">
        <v>372</v>
      </c>
      <c r="G12" s="61" t="str">
        <f t="shared" si="0"/>
        <v>[effect:enemy_message, val1:1.3, val2:1.2]</v>
      </c>
      <c r="H12" s="61">
        <f t="shared" si="1"/>
        <v>9</v>
      </c>
      <c r="I12" s="61">
        <f t="shared" si="2"/>
        <v>22</v>
      </c>
      <c r="J12" s="61" t="e">
        <f t="shared" si="3"/>
        <v>#VALUE!</v>
      </c>
      <c r="K12" s="61">
        <f t="shared" si="4"/>
        <v>32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5"/>
        <v>[effect:tolerance, target:myself, turn:-1, count:-1, tolerance_effect:all, animation:enemy_tolerance]</v>
      </c>
      <c r="N12" s="46" t="str">
        <f t="shared" si="6"/>
        <v>[effect:tolerance, target:myself, turn:-1, count:-1, tolerance_effect:all, animation:enemy_tolerance]</v>
      </c>
      <c r="O12" s="61">
        <f t="shared" si="7"/>
        <v>9</v>
      </c>
      <c r="P12" s="61">
        <f t="shared" si="8"/>
        <v>18</v>
      </c>
      <c r="Q12" s="61">
        <f t="shared" si="9"/>
        <v>27</v>
      </c>
      <c r="R12" s="61">
        <f t="shared" si="10"/>
        <v>33</v>
      </c>
      <c r="S12" s="61" t="str">
        <f>IFERROR(VLOOKUP(MID(N12,Q12,R12-Q12),[5]skilldef!$C:$D,2,FALSE),"-") &amp; " / " &amp; IFERROR(VLOOKUP(MID(N12,O12,P12-O12),[5]skilldef!$A:$B,2,FALSE),"-")</f>
        <v>自分自身に / 状態異常耐性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  <c r="AC12" s="103" t="s">
        <v>340</v>
      </c>
    </row>
    <row r="13" spans="1:30" ht="28" customHeight="1" x14ac:dyDescent="0.15">
      <c r="A13" s="45">
        <v>13400212</v>
      </c>
      <c r="B13" s="121" t="str">
        <f t="shared" si="17"/>
        <v xml:space="preserve">[effect:enemy_message, val1:1.2, val2:2.9],[effect:rush, val:1, count:1],[effect:force_change_block, new_block:time_bomb, target:block_all, ignore01:block_positive, ignore02:time_bomb, color:block_green, count:5, val:0.1, animation:change_block]    </v>
      </c>
      <c r="C13" s="48">
        <v>3</v>
      </c>
      <c r="D13" s="48" t="s">
        <v>258</v>
      </c>
      <c r="E13" s="49" t="s">
        <v>365</v>
      </c>
      <c r="F13" s="119" t="s">
        <v>425</v>
      </c>
      <c r="G13" s="61" t="str">
        <f t="shared" si="0"/>
        <v>[effect:enemy_message, val1:1.2, val2:2.9]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5"/>
        <v xml:space="preserve">[effect:rush, val:1, count:1],[effect:force_change_block, new_block:time_bomb, target:block_all, ignore01:block_positive, ignore02:time_bomb, color:block_green, count:5, val:0.1, animation:change_block]    </v>
      </c>
      <c r="N13" s="46" t="str">
        <f t="shared" si="6"/>
        <v xml:space="preserve">[effect:rush, val:1, count:1],[effect:force_change_block, new_block:time_bomb, target:block_all, ignore01:block_positive, ignore02:time_bomb, color:block_green, count:5, val:0.1, animation:change_block]    </v>
      </c>
      <c r="O13" s="61">
        <f t="shared" si="7"/>
        <v>9</v>
      </c>
      <c r="P13" s="61">
        <f t="shared" si="8"/>
        <v>13</v>
      </c>
      <c r="Q13" s="61">
        <f t="shared" si="9"/>
        <v>87</v>
      </c>
      <c r="R13" s="61">
        <f t="shared" si="10"/>
        <v>20</v>
      </c>
      <c r="S13" s="61" t="str">
        <f>IFERROR(VLOOKUP(MID(N13,Q13,R13-Q13),[5]skilldef!$C:$D,2,FALSE),"-") &amp; " / " &amp; IFERROR(VLOOKUP(MID(N13,O13,P13-O13),[5]skilldef!$A:$B,2,FALSE),"-")</f>
        <v>- / 連続攻撃</v>
      </c>
      <c r="T13" s="46" t="str">
        <f t="shared" si="11"/>
        <v xml:space="preserve">[effect:force_change_block, new_block:time_bomb, target:block_all, ignore01:block_positive, ignore02:time_bomb, color:block_green, count:5, val:0.1, animation:change_block]    </v>
      </c>
      <c r="U13" s="61">
        <f t="shared" si="12"/>
        <v>9</v>
      </c>
      <c r="V13" s="61">
        <f t="shared" si="13"/>
        <v>27</v>
      </c>
      <c r="W13" s="61">
        <f t="shared" si="14"/>
        <v>57</v>
      </c>
      <c r="X13" s="61">
        <f t="shared" si="15"/>
        <v>48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48"/>
      <c r="AC13" s="103" t="s">
        <v>427</v>
      </c>
    </row>
    <row r="14" spans="1:30" ht="28" customHeight="1" x14ac:dyDescent="0.15">
      <c r="A14" s="45">
        <v>13400213</v>
      </c>
      <c r="B14" s="121" t="str">
        <f t="shared" si="17"/>
        <v>[effect:enemy_message, val1:1.2, val2:1.2],[effect:rush, val:0.2, count:8]</v>
      </c>
      <c r="C14" s="48">
        <v>3</v>
      </c>
      <c r="D14" s="48" t="s">
        <v>258</v>
      </c>
      <c r="E14" s="49" t="s">
        <v>361</v>
      </c>
      <c r="F14" s="49" t="s">
        <v>388</v>
      </c>
      <c r="G14" s="61" t="str">
        <f t="shared" si="0"/>
        <v>[effect:enemy_message, val1:1.2, val2:1.2]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32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5"/>
        <v>[effect:rush, val:0.2, count:8]</v>
      </c>
      <c r="N14" s="46" t="str">
        <f t="shared" si="6"/>
        <v>[effect:rush, val:0.2, count:8]</v>
      </c>
      <c r="O14" s="61">
        <f t="shared" si="7"/>
        <v>9</v>
      </c>
      <c r="P14" s="61">
        <f t="shared" si="8"/>
        <v>13</v>
      </c>
      <c r="Q14" s="61" t="e">
        <f t="shared" si="9"/>
        <v>#VALUE!</v>
      </c>
      <c r="R14" s="61">
        <f t="shared" si="10"/>
        <v>22</v>
      </c>
      <c r="S14" s="61" t="str">
        <f>IFERROR(VLOOKUP(MID(N14,Q14,R14-Q14),[5]skilldef!$C:$D,2,FALSE),"-") &amp; " / " &amp; IFERROR(VLOOKUP(MID(N14,O14,P14-O14),[5]skilldef!$A:$B,2,FALSE),"-")</f>
        <v>- / 連続攻撃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  <c r="AC14" s="103" t="s">
        <v>343</v>
      </c>
    </row>
    <row r="15" spans="1:30" ht="28" customHeight="1" x14ac:dyDescent="0.15">
      <c r="A15" s="45">
        <v>13400214</v>
      </c>
      <c r="B15" s="121" t="str">
        <f t="shared" si="17"/>
        <v xml:space="preserve">[effect:enemy_message, val1:1.3, val2:2.5],[effect:tolerance, target:myself, turn:-1, count:-1, tolerance_effect:all, animation:enemy_tolerance],[effect:enemy_counter, target:myself, invoke_condition:unit_all, counter_target:attacker, turn:-1, val:0.25, animation:enemy_counter]    </v>
      </c>
      <c r="C15" s="48">
        <v>3</v>
      </c>
      <c r="D15" s="48" t="s">
        <v>258</v>
      </c>
      <c r="E15" s="49" t="s">
        <v>357</v>
      </c>
      <c r="F15" s="49" t="s">
        <v>411</v>
      </c>
      <c r="G15" s="61" t="str">
        <f t="shared" si="0"/>
        <v>[effect:enemy_message, val1:1.3, val2:2.5]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32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5"/>
        <v xml:space="preserve">[effect:tolerance, target:myself, turn:-1, count:-1, tolerance_effect:all, animation:enemy_tolerance],[effect:enemy_counter, target:myself, invoke_condition:unit_all, counter_target:attacker, turn:-1, val:0.25, animation:enemy_counter]    </v>
      </c>
      <c r="N15" s="46" t="str">
        <f t="shared" si="6"/>
        <v xml:space="preserve">[effect:tolerance, target:myself, turn:-1, count:-1, tolerance_effect:all, animation:enemy_tolerance],[effect:enemy_counter, target:myself, invoke_condition:unit_all, counter_target:attacker, turn:-1, val:0.25, animation:enemy_counter]    </v>
      </c>
      <c r="O15" s="61">
        <f t="shared" si="7"/>
        <v>9</v>
      </c>
      <c r="P15" s="61">
        <f t="shared" si="8"/>
        <v>18</v>
      </c>
      <c r="Q15" s="61">
        <f t="shared" si="9"/>
        <v>27</v>
      </c>
      <c r="R15" s="61">
        <f t="shared" si="10"/>
        <v>33</v>
      </c>
      <c r="S15" s="61" t="str">
        <f>IFERROR(VLOOKUP(MID(N15,Q15,R15-Q15),[5]skilldef!$C:$D,2,FALSE),"-") &amp; " / " &amp; IFERROR(VLOOKUP(MID(N15,O15,P15-O15),[5]skilldef!$A:$B,2,FALSE),"-")</f>
        <v>自分自身に / 状態異常耐性</v>
      </c>
      <c r="T15" s="46" t="str">
        <f t="shared" si="11"/>
        <v xml:space="preserve">[effect:enemy_counter, target:myself, invoke_condition:unit_all, counter_target:attacker, turn:-1, val:0.25, animation:enemy_counter]    </v>
      </c>
      <c r="U15" s="61">
        <f t="shared" si="12"/>
        <v>9</v>
      </c>
      <c r="V15" s="61">
        <f t="shared" si="13"/>
        <v>22</v>
      </c>
      <c r="W15" s="61">
        <f t="shared" si="14"/>
        <v>31</v>
      </c>
      <c r="X15" s="61">
        <f t="shared" si="15"/>
        <v>37</v>
      </c>
      <c r="Y15" s="61" t="str">
        <f>IFERROR(VLOOKUP(MID(T15,W15,X15-W15),[5]skilldef!$C:$D,2,FALSE),"-") &amp; " / " &amp; IFERROR(VLOOKUP(MID(T15,U15,V15-U15),[5]skilldef!$A:$B,2,FALSE),"-")</f>
        <v>自分自身に / カウンター</v>
      </c>
      <c r="Z15" s="48"/>
      <c r="AA15" s="50"/>
      <c r="AB15" s="48"/>
      <c r="AC15" s="103" t="s">
        <v>373</v>
      </c>
    </row>
    <row r="16" spans="1:30" ht="28" customHeight="1" x14ac:dyDescent="0.15">
      <c r="A16" s="45">
        <v>13400215</v>
      </c>
      <c r="B16" s="121" t="str">
        <f t="shared" si="17"/>
        <v xml:space="preserve">[effect:enemy_message, val1:1.2, val2:2.9],[effect:rush, val:1, count:1],[effect:force_change_block, new_block:time_bomb, target:block_all, ignore01:block_positive, ignore02:time_bomb, color:block_green, count:5, val:0.1, animation:change_block]    </v>
      </c>
      <c r="C16" s="48">
        <v>3</v>
      </c>
      <c r="D16" s="48" t="s">
        <v>258</v>
      </c>
      <c r="E16" s="49" t="s">
        <v>367</v>
      </c>
      <c r="F16" s="119" t="s">
        <v>424</v>
      </c>
      <c r="G16" s="61" t="str">
        <f t="shared" si="0"/>
        <v>[effect:enemy_message, val1:1.2, val2:2.9]</v>
      </c>
      <c r="H16" s="61">
        <f t="shared" si="1"/>
        <v>9</v>
      </c>
      <c r="I16" s="61">
        <f t="shared" si="2"/>
        <v>22</v>
      </c>
      <c r="J16" s="61" t="e">
        <f t="shared" si="3"/>
        <v>#VALUE!</v>
      </c>
      <c r="K16" s="61">
        <f t="shared" si="4"/>
        <v>32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5"/>
        <v xml:space="preserve">[effect:rush, val:1, count:1],[effect:force_change_block, new_block:time_bomb, target:block_all, ignore01:block_positive, ignore02:time_bomb, color:block_green, count:5, val:0.1, animation:change_block]    </v>
      </c>
      <c r="N16" s="46" t="str">
        <f t="shared" si="6"/>
        <v xml:space="preserve">[effect:rush, val:1, count:1],[effect:force_change_block, new_block:time_bomb, target:block_all, ignore01:block_positive, ignore02:time_bomb, color:block_green, count:5, val:0.1, animation:change_block]    </v>
      </c>
      <c r="O16" s="61">
        <f t="shared" si="7"/>
        <v>9</v>
      </c>
      <c r="P16" s="61">
        <f t="shared" si="8"/>
        <v>13</v>
      </c>
      <c r="Q16" s="61">
        <f t="shared" si="9"/>
        <v>87</v>
      </c>
      <c r="R16" s="61">
        <f t="shared" si="10"/>
        <v>20</v>
      </c>
      <c r="S16" s="61" t="str">
        <f>IFERROR(VLOOKUP(MID(N16,Q16,R16-Q16),[5]skilldef!$C:$D,2,FALSE),"-") &amp; " / " &amp; IFERROR(VLOOKUP(MID(N16,O16,P16-O16),[5]skilldef!$A:$B,2,FALSE),"-")</f>
        <v>- / 連続攻撃</v>
      </c>
      <c r="T16" s="46" t="str">
        <f t="shared" si="11"/>
        <v xml:space="preserve">[effect:force_change_block, new_block:time_bomb, target:block_all, ignore01:block_positive, ignore02:time_bomb, color:block_green, count:5, val:0.1, animation:change_block]    </v>
      </c>
      <c r="U16" s="61">
        <f t="shared" si="12"/>
        <v>9</v>
      </c>
      <c r="V16" s="61">
        <f t="shared" si="13"/>
        <v>27</v>
      </c>
      <c r="W16" s="61">
        <f t="shared" si="14"/>
        <v>57</v>
      </c>
      <c r="X16" s="61">
        <f t="shared" si="15"/>
        <v>48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  <c r="AC16" s="103" t="s">
        <v>427</v>
      </c>
    </row>
    <row r="17" spans="1:29" ht="28" customHeight="1" x14ac:dyDescent="0.15">
      <c r="A17" s="45">
        <v>13400216</v>
      </c>
      <c r="B17" s="121" t="str">
        <f t="shared" si="17"/>
        <v xml:space="preserve">[effect:enemy_message, val1:1.2, val2:2.5],[effect:rush, val:1, count:1],[effect:attack_break, target:unit_all, turn:2, val:0.25, calc:mul, animation:attack_break02]    </v>
      </c>
      <c r="C17" s="48">
        <v>3</v>
      </c>
      <c r="D17" s="48" t="s">
        <v>258</v>
      </c>
      <c r="E17" s="49" t="s">
        <v>366</v>
      </c>
      <c r="F17" s="49" t="s">
        <v>382</v>
      </c>
      <c r="G17" s="61" t="str">
        <f t="shared" si="0"/>
        <v>[effect:enemy_message, val1:1.2, val2:2.5]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5"/>
        <v xml:space="preserve">[effect:rush, val:1, count:1],[effect:attack_break, target:unit_all, turn:2, val:0.25, calc:mul, animation:attack_break02]    </v>
      </c>
      <c r="N17" s="46" t="str">
        <f t="shared" si="6"/>
        <v xml:space="preserve">[effect:rush, val:1, count:1],[effect:attack_break, target:unit_all, turn:2, val:0.25, calc:mul, animation:attack_break02]    </v>
      </c>
      <c r="O17" s="61">
        <f t="shared" si="7"/>
        <v>9</v>
      </c>
      <c r="P17" s="61">
        <f t="shared" si="8"/>
        <v>13</v>
      </c>
      <c r="Q17" s="61">
        <f t="shared" si="9"/>
        <v>60</v>
      </c>
      <c r="R17" s="61">
        <f t="shared" si="10"/>
        <v>20</v>
      </c>
      <c r="S17" s="61" t="str">
        <f>IFERROR(VLOOKUP(MID(N17,Q17,R17-Q17),[5]skilldef!$C:$D,2,FALSE),"-") &amp; " / " &amp; IFERROR(VLOOKUP(MID(N17,O17,P17-O17),[5]skilldef!$A:$B,2,FALSE),"-")</f>
        <v>- / 連続攻撃</v>
      </c>
      <c r="T17" s="46" t="str">
        <f t="shared" si="11"/>
        <v xml:space="preserve">[effect:attack_break, target:unit_all, turn:2, val:0.25, calc:mul, animation:attack_break02]    </v>
      </c>
      <c r="U17" s="61">
        <f t="shared" si="12"/>
        <v>9</v>
      </c>
      <c r="V17" s="61">
        <f t="shared" si="13"/>
        <v>21</v>
      </c>
      <c r="W17" s="61">
        <f t="shared" si="14"/>
        <v>30</v>
      </c>
      <c r="X17" s="61">
        <f t="shared" si="15"/>
        <v>38</v>
      </c>
      <c r="Y17" s="61" t="str">
        <f>IFERROR(VLOOKUP(MID(T17,W17,X17-W17),[5]skilldef!$C:$D,2,FALSE),"-") &amp; " / " &amp; IFERROR(VLOOKUP(MID(T17,U17,V17-U17),[5]skilldef!$A:$B,2,FALSE),"-")</f>
        <v>味方全体に / -</v>
      </c>
      <c r="Z17" s="48"/>
      <c r="AA17" s="50"/>
      <c r="AB17" s="48"/>
      <c r="AC17" s="103" t="s">
        <v>384</v>
      </c>
    </row>
    <row r="18" spans="1:29" ht="28" customHeight="1" x14ac:dyDescent="0.15">
      <c r="A18" s="45">
        <v>13400217</v>
      </c>
      <c r="B18" s="121" t="str">
        <f t="shared" si="17"/>
        <v xml:space="preserve">[effect:enemy_message, val1:1.2, val2:3.1],[effect:tolerance, target:myself, turn:-1, count:-1, tolerance_effect:all, animation:enemy_tolerance],[effect:enemy_counter, target:myself, invoke_condition:unit_all, counter_target:attacker, turn:-1, val:0.25, animation:enemy_counter],[effect:enhance_enemy, target:myself, turn:-1, status:defense, val:2500, calc:add, animation:enemy_enhance_defense] </v>
      </c>
      <c r="C18" s="48">
        <v>3</v>
      </c>
      <c r="D18" s="48" t="s">
        <v>258</v>
      </c>
      <c r="E18" s="49" t="s">
        <v>374</v>
      </c>
      <c r="F18" s="49" t="s">
        <v>412</v>
      </c>
      <c r="G18" s="61" t="str">
        <f t="shared" si="0"/>
        <v>[effect:enemy_message, val1:1.2, val2:3.1]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5"/>
        <v xml:space="preserve">[effect:tolerance, target:myself, turn:-1, count:-1, tolerance_effect:all, animation:enemy_tolerance],[effect:enemy_counter, target:myself, invoke_condition:unit_all, counter_target:attacker, turn:-1, val:0.25, animation:enemy_counter],[effect:enhance_enemy, target:myself, turn:-1, status:defense, val:2500, calc:add, animation:enemy_enhance_defense] </v>
      </c>
      <c r="N18" s="46" t="str">
        <f t="shared" si="6"/>
        <v xml:space="preserve">[effect:tolerance, target:myself, turn:-1, count:-1, tolerance_effect:all, animation:enemy_tolerance],[effect:enemy_counter, target:myself, invoke_condition:unit_all, counter_target:attacker, turn:-1, val:0.25, animation:enemy_counter],[effect:enhance_enemy, target:myself, turn:-1, status:defense, val:2500, calc:add, animation:enemy_enhance_defense] </v>
      </c>
      <c r="O18" s="61">
        <f t="shared" si="7"/>
        <v>9</v>
      </c>
      <c r="P18" s="61">
        <f t="shared" si="8"/>
        <v>18</v>
      </c>
      <c r="Q18" s="61">
        <f t="shared" si="9"/>
        <v>27</v>
      </c>
      <c r="R18" s="61">
        <f t="shared" si="10"/>
        <v>33</v>
      </c>
      <c r="S18" s="61" t="str">
        <f>IFERROR(VLOOKUP(MID(N18,Q18,R18-Q18),[5]skilldef!$C:$D,2,FALSE),"-") &amp; " / " &amp; IFERROR(VLOOKUP(MID(N18,O18,P18-O18),[5]skilldef!$A:$B,2,FALSE),"-")</f>
        <v>自分自身に / 状態異常耐性</v>
      </c>
      <c r="T18" s="46" t="str">
        <f t="shared" si="11"/>
        <v xml:space="preserve">[effect:enemy_counter, target:myself, invoke_condition:unit_all, counter_target:attacker, turn:-1, val:0.25, animation:enemy_counter],[effect:enhance_enemy, target:myself, turn:-1, status:defense, val:2500, calc:add, animation:enemy_enhance_defense] </v>
      </c>
      <c r="U18" s="61">
        <f t="shared" si="12"/>
        <v>9</v>
      </c>
      <c r="V18" s="61">
        <f t="shared" si="13"/>
        <v>22</v>
      </c>
      <c r="W18" s="61">
        <f t="shared" si="14"/>
        <v>31</v>
      </c>
      <c r="X18" s="61">
        <f t="shared" si="15"/>
        <v>37</v>
      </c>
      <c r="Y18" s="61" t="str">
        <f>IFERROR(VLOOKUP(MID(T18,W18,X18-W18),[5]skilldef!$C:$D,2,FALSE),"-") &amp; " / " &amp; IFERROR(VLOOKUP(MID(T18,U18,V18-U18),[5]skilldef!$A:$B,2,FALSE),"-")</f>
        <v>自分自身に / カウンター</v>
      </c>
      <c r="Z18" s="48"/>
      <c r="AA18" s="50"/>
      <c r="AB18" s="48"/>
      <c r="AC18" s="103" t="s">
        <v>415</v>
      </c>
    </row>
    <row r="19" spans="1:29" ht="28" customHeight="1" x14ac:dyDescent="0.15">
      <c r="A19" s="45">
        <v>13400218</v>
      </c>
      <c r="B19" s="121" t="str">
        <f t="shared" si="17"/>
        <v>[effect:enemy_message, val1:1.2, val2:1.4],[effect:damage_fix_pierce, target:unit_one, color:green, val:8000]</v>
      </c>
      <c r="C19" s="48">
        <v>3</v>
      </c>
      <c r="D19" s="48" t="s">
        <v>258</v>
      </c>
      <c r="E19" s="49" t="s">
        <v>375</v>
      </c>
      <c r="F19" s="49" t="s">
        <v>385</v>
      </c>
      <c r="G19" s="61" t="str">
        <f t="shared" si="0"/>
        <v>[effect:enemy_message, val1:1.2, val2:1.4]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5"/>
        <v>[effect:damage_fix_pierce, target:unit_one, color:green, val:8000]</v>
      </c>
      <c r="N19" s="46" t="str">
        <f>IFERROR(LEFT(M19,FIND("],",M19)+#REF!),M19)</f>
        <v>[effect:damage_fix_pierce, target:unit_one, color:green, val:8000]</v>
      </c>
      <c r="O19" s="61">
        <f t="shared" si="7"/>
        <v>9</v>
      </c>
      <c r="P19" s="61">
        <f t="shared" si="8"/>
        <v>26</v>
      </c>
      <c r="Q19" s="61">
        <f t="shared" si="9"/>
        <v>35</v>
      </c>
      <c r="R19" s="61">
        <f t="shared" si="10"/>
        <v>43</v>
      </c>
      <c r="S19" s="61" t="str">
        <f>IFERROR(VLOOKUP(MID(N19,Q19,R19-Q19),[5]skilldef!$C:$D,2,FALSE),"-") &amp; " / " &amp; IFERROR(VLOOKUP(MID(N19,O19,P19-O19),[5]skilldef!$A:$B,2,FALSE),"-")</f>
        <v>味方単体に / -</v>
      </c>
      <c r="T19" s="46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  <c r="AC19" s="103" t="s">
        <v>376</v>
      </c>
    </row>
    <row r="20" spans="1:29" ht="28" customHeight="1" x14ac:dyDescent="0.15">
      <c r="A20" s="45">
        <v>13400219</v>
      </c>
      <c r="B20" s="121" t="str">
        <f t="shared" si="17"/>
        <v xml:space="preserve">[effect:enemy_message, val1:1.2, val2:2.5],[effect:rush, val:1, count:1],[effect:attack_break, target:unit_all, turn:2, val:0.3, calc:mul, animation:attack_break01]    </v>
      </c>
      <c r="C20" s="48">
        <v>3</v>
      </c>
      <c r="D20" s="48" t="s">
        <v>258</v>
      </c>
      <c r="E20" s="49" t="s">
        <v>362</v>
      </c>
      <c r="F20" s="49" t="s">
        <v>381</v>
      </c>
      <c r="G20" s="61" t="str">
        <f t="shared" si="0"/>
        <v>[effect:enemy_message, val1:1.2, val2:2.5]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IFERROR(VLOOKUP(MID(G20,J20,K20-J20),[5]skilldef!$C:$D,2,FALSE),"-") &amp; " / " &amp; IFERROR(VLOOKUP(MID(G20,H20,I20-H20),[5]skilldef!$A:$B,2,FALSE),"-")</f>
        <v>- / -</v>
      </c>
      <c r="M20" s="61" t="str">
        <f t="shared" si="5"/>
        <v xml:space="preserve">[effect:rush, val:1, count:1],[effect:attack_break, target:unit_all, turn:2, val:0.3, calc:mul, animation:attack_break01]    </v>
      </c>
      <c r="N20" s="46" t="str">
        <f>IFERROR(LEFT(M20,FIND("],",M20)+#REF!),M20)</f>
        <v xml:space="preserve">[effect:rush, val:1, count:1],[effect:attack_break, target:unit_all, turn:2, val:0.3, calc:mul, animation:attack_break01]    </v>
      </c>
      <c r="O20" s="61">
        <f t="shared" si="7"/>
        <v>9</v>
      </c>
      <c r="P20" s="61">
        <f t="shared" si="8"/>
        <v>13</v>
      </c>
      <c r="Q20" s="61">
        <f t="shared" si="9"/>
        <v>60</v>
      </c>
      <c r="R20" s="61">
        <f t="shared" si="10"/>
        <v>20</v>
      </c>
      <c r="S20" s="61" t="str">
        <f>IFERROR(VLOOKUP(MID(N20,Q20,R20-Q20),[5]skilldef!$C:$D,2,FALSE),"-") &amp; " / " &amp; IFERROR(VLOOKUP(MID(N20,O20,P20-O20),[5]skilldef!$A:$B,2,FALSE),"-")</f>
        <v>- / 連続攻撃</v>
      </c>
      <c r="T20" s="46" t="str">
        <f t="shared" si="11"/>
        <v xml:space="preserve">[effect:attack_break, target:unit_all, turn:2, val:0.3, calc:mul, animation:attack_break01]    </v>
      </c>
      <c r="U20" s="61">
        <f t="shared" si="12"/>
        <v>9</v>
      </c>
      <c r="V20" s="61">
        <f t="shared" si="13"/>
        <v>21</v>
      </c>
      <c r="W20" s="61">
        <f t="shared" si="14"/>
        <v>30</v>
      </c>
      <c r="X20" s="61">
        <f t="shared" si="15"/>
        <v>38</v>
      </c>
      <c r="Y20" s="61" t="str">
        <f>IFERROR(VLOOKUP(MID(T20,W20,X20-W20),[5]skilldef!$C:$D,2,FALSE),"-") &amp; " / " &amp; IFERROR(VLOOKUP(MID(T20,U20,V20-U20),[5]skilldef!$A:$B,2,FALSE),"-")</f>
        <v>味方全体に / -</v>
      </c>
      <c r="Z20" s="48"/>
      <c r="AA20" s="50"/>
      <c r="AB20" s="48"/>
      <c r="AC20" s="103" t="s">
        <v>383</v>
      </c>
    </row>
    <row r="21" spans="1:29" ht="28" customHeight="1" x14ac:dyDescent="0.15">
      <c r="A21" s="45">
        <v>13400220</v>
      </c>
      <c r="B21" s="121" t="str">
        <f t="shared" si="17"/>
        <v xml:space="preserve">[effect:enemy_message, val1:1.3, val2:2.3],[effect:force_change_block, new_block:time_bomb, target:block_all, ignore01:block_positive, ignore02:time_bomb, color:block_random, count:18, val:0.1]    </v>
      </c>
      <c r="C21" s="48">
        <v>3</v>
      </c>
      <c r="D21" s="48" t="s">
        <v>258</v>
      </c>
      <c r="E21" s="49" t="s">
        <v>363</v>
      </c>
      <c r="F21" s="119" t="s">
        <v>414</v>
      </c>
      <c r="G21" s="61" t="str">
        <f t="shared" si="0"/>
        <v>[effect:enemy_message, val1:1.3, val2:2.3]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5"/>
        <v xml:space="preserve">[effect:force_change_block, new_block:time_bomb, target:block_all, ignore01:block_positive, ignore02:time_bomb, color:block_random, count:18, val:0.1]    </v>
      </c>
      <c r="N21" s="46" t="str">
        <f>IFERROR(LEFT(M21,FIND("],",M21)+#REF!),M21)</f>
        <v xml:space="preserve">[effect:force_change_block, new_block:time_bomb, target:block_all, ignore01:block_positive, ignore02:time_bomb, color:block_random, count:18, val:0.1]    </v>
      </c>
      <c r="O21" s="61">
        <f t="shared" si="7"/>
        <v>9</v>
      </c>
      <c r="P21" s="61">
        <f t="shared" si="8"/>
        <v>27</v>
      </c>
      <c r="Q21" s="61">
        <f t="shared" si="9"/>
        <v>57</v>
      </c>
      <c r="R21" s="61">
        <f t="shared" si="10"/>
        <v>48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  <c r="AC21" s="103" t="s">
        <v>426</v>
      </c>
    </row>
    <row r="22" spans="1:29" ht="28" customHeight="1" x14ac:dyDescent="0.15">
      <c r="A22" s="45">
        <v>13400221</v>
      </c>
      <c r="B22" s="121" t="str">
        <f t="shared" si="17"/>
        <v>[effect:enemy_message, val1:1.6, val2:3.9],[effect:enemy_counter, target:myself, invoke_condition:unit_all, counter_target:attacker, turn:-1, val:0.4, animation:enemy_counter],[effect:fix_speed, target:myself, turn:3]</v>
      </c>
      <c r="C22" s="48">
        <v>3</v>
      </c>
      <c r="D22" s="48" t="s">
        <v>258</v>
      </c>
      <c r="E22" s="49" t="s">
        <v>420</v>
      </c>
      <c r="F22" s="49" t="s">
        <v>413</v>
      </c>
      <c r="G22" s="61" t="str">
        <f t="shared" si="0"/>
        <v>[effect:enemy_message, val1:1.6, val2:3.9]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IFERROR(VLOOKUP(MID(G22,J22,K22-J22),[5]skilldef!$C:$D,2,FALSE),"-") &amp; " / " &amp; IFERROR(VLOOKUP(MID(G22,H22,I22-H22),[5]skilldef!$A:$B,2,FALSE),"-")</f>
        <v>- / -</v>
      </c>
      <c r="M22" s="61" t="str">
        <f t="shared" si="5"/>
        <v>[effect:enemy_counter, target:myself, invoke_condition:unit_all, counter_target:attacker, turn:-1, val:0.4, animation:enemy_counter],[effect:fix_speed, target:myself, turn:3]</v>
      </c>
      <c r="N22" s="46" t="str">
        <f>IFERROR(LEFT(M22,FIND("],",M22)+#REF!),M22)</f>
        <v>[effect:enemy_counter, target:myself, invoke_condition:unit_all, counter_target:attacker, turn:-1, val:0.4, animation:enemy_counter],[effect:fix_speed, target:myself, turn:3]</v>
      </c>
      <c r="O22" s="61">
        <f t="shared" si="7"/>
        <v>9</v>
      </c>
      <c r="P22" s="61">
        <f t="shared" si="8"/>
        <v>22</v>
      </c>
      <c r="Q22" s="61">
        <f t="shared" si="9"/>
        <v>31</v>
      </c>
      <c r="R22" s="61">
        <f t="shared" si="10"/>
        <v>37</v>
      </c>
      <c r="S22" s="61" t="str">
        <f>IFERROR(VLOOKUP(MID(N22,Q22,R22-Q22),[5]skilldef!$C:$D,2,FALSE),"-") &amp; " / " &amp; IFERROR(VLOOKUP(MID(N22,O22,P22-O22),[5]skilldef!$A:$B,2,FALSE),"-")</f>
        <v>自分自身に / カウンター</v>
      </c>
      <c r="T22" s="46" t="str">
        <f t="shared" si="11"/>
        <v>[effect:fix_speed, target:myself, turn:3]</v>
      </c>
      <c r="U22" s="61">
        <f t="shared" si="12"/>
        <v>9</v>
      </c>
      <c r="V22" s="61">
        <f t="shared" si="13"/>
        <v>18</v>
      </c>
      <c r="W22" s="61">
        <f t="shared" si="14"/>
        <v>27</v>
      </c>
      <c r="X22" s="61">
        <f t="shared" si="15"/>
        <v>33</v>
      </c>
      <c r="Y22" s="61" t="str">
        <f>IFERROR(VLOOKUP(MID(T22,W22,X22-W22),[5]skilldef!$C:$D,2,FALSE),"-") &amp; " / " &amp; IFERROR(VLOOKUP(MID(T22,U22,V22-U22),[5]skilldef!$A:$B,2,FALSE),"-")</f>
        <v>自分自身に / 行動値設定</v>
      </c>
      <c r="Z22" s="48"/>
      <c r="AA22" s="50"/>
      <c r="AB22" s="48"/>
      <c r="AC22" s="103" t="s">
        <v>419</v>
      </c>
    </row>
    <row r="23" spans="1:29" ht="28" customHeight="1" x14ac:dyDescent="0.15">
      <c r="A23" s="45">
        <v>13400222</v>
      </c>
      <c r="B23" s="121" t="str">
        <f t="shared" si="17"/>
        <v>[effect:enemy_message, val1:1.2, val2:1.6],[effect:damage_fix_pierce, target:unit_one, color:green, val:44444],[effect:damage_fix_pierce, target:unit_one, color:green, val:99999]</v>
      </c>
      <c r="C23" s="48">
        <v>3</v>
      </c>
      <c r="D23" s="48" t="s">
        <v>258</v>
      </c>
      <c r="E23" s="49" t="s">
        <v>359</v>
      </c>
      <c r="F23" s="49" t="s">
        <v>386</v>
      </c>
      <c r="G23" s="61" t="str">
        <f t="shared" si="0"/>
        <v>[effect:enemy_message, val1:1.2, val2:1.6]</v>
      </c>
      <c r="H23" s="61">
        <f t="shared" si="1"/>
        <v>9</v>
      </c>
      <c r="I23" s="61">
        <f t="shared" si="2"/>
        <v>22</v>
      </c>
      <c r="J23" s="61" t="e">
        <f t="shared" si="3"/>
        <v>#VALUE!</v>
      </c>
      <c r="K23" s="61">
        <f t="shared" si="4"/>
        <v>32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5"/>
        <v>[effect:damage_fix_pierce, target:unit_one, color:green, val:44444],[effect:damage_fix_pierce, target:unit_one, color:green, val:99999]</v>
      </c>
      <c r="N23" s="46" t="str">
        <f>IFERROR(LEFT(M23,FIND("],",M23)+#REF!),M23)</f>
        <v>[effect:damage_fix_pierce, target:unit_one, color:green, val:44444],[effect:damage_fix_pierce, target:unit_one, color:green, val:99999]</v>
      </c>
      <c r="O23" s="61">
        <f t="shared" si="7"/>
        <v>9</v>
      </c>
      <c r="P23" s="61">
        <f t="shared" si="8"/>
        <v>26</v>
      </c>
      <c r="Q23" s="61">
        <f t="shared" si="9"/>
        <v>35</v>
      </c>
      <c r="R23" s="61">
        <f t="shared" si="10"/>
        <v>43</v>
      </c>
      <c r="S23" s="61" t="str">
        <f>IFERROR(VLOOKUP(MID(N23,Q23,R23-Q23),[5]skilldef!$C:$D,2,FALSE),"-") &amp; " / " &amp; IFERROR(VLOOKUP(MID(N23,O23,P23-O23),[5]skilldef!$A:$B,2,FALSE),"-")</f>
        <v>味方単体に / -</v>
      </c>
      <c r="T23" s="46" t="str">
        <f t="shared" si="11"/>
        <v>[effect:damage_fix_pierce, target:unit_one, color:green, val:99999]</v>
      </c>
      <c r="U23" s="61">
        <f t="shared" si="12"/>
        <v>9</v>
      </c>
      <c r="V23" s="61">
        <f t="shared" si="13"/>
        <v>26</v>
      </c>
      <c r="W23" s="61">
        <f t="shared" si="14"/>
        <v>35</v>
      </c>
      <c r="X23" s="61">
        <f t="shared" si="15"/>
        <v>43</v>
      </c>
      <c r="Y23" s="61" t="str">
        <f>IFERROR(VLOOKUP(MID(T23,W23,X23-W23),[5]skilldef!$C:$D,2,FALSE),"-") &amp; " / " &amp; IFERROR(VLOOKUP(MID(T23,U23,V23-U23),[5]skilldef!$A:$B,2,FALSE),"-")</f>
        <v>味方単体に / -</v>
      </c>
      <c r="Z23" s="48"/>
      <c r="AA23" s="50"/>
      <c r="AB23" s="48"/>
      <c r="AC23" s="103" t="s">
        <v>377</v>
      </c>
    </row>
  </sheetData>
  <autoFilter ref="A1:AB1"/>
  <mergeCells count="2">
    <mergeCell ref="AD2:AD5"/>
    <mergeCell ref="AD7:AD10"/>
  </mergeCells>
  <phoneticPr fontId="5"/>
  <conditionalFormatting sqref="AC1:AC1048576">
    <cfRule type="containsText" dxfId="0" priority="1" operator="containsText" text="block_all">
      <formula>NOT(ISERROR(SEARCH("block_all",AC1)))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4"/>
  <sheetViews>
    <sheetView showGridLines="0" workbookViewId="0">
      <pane ySplit="1" topLeftCell="A2" activePane="bottomLeft" state="frozenSplit"/>
      <selection pane="bottomLeft" activeCell="C17" sqref="C1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13400200</v>
      </c>
      <c r="B2" s="45">
        <v>0</v>
      </c>
      <c r="C2" s="45">
        <v>0</v>
      </c>
      <c r="D2" s="45">
        <v>100</v>
      </c>
      <c r="E2" s="45" t="s">
        <v>257</v>
      </c>
      <c r="F2" s="45" t="s">
        <v>89</v>
      </c>
      <c r="G2" s="45" t="s">
        <v>257</v>
      </c>
      <c r="H2" s="45">
        <v>1</v>
      </c>
      <c r="I2" s="45" t="s">
        <v>89</v>
      </c>
      <c r="J2" s="46">
        <f t="shared" ref="J2:J24" si="0">D2</f>
        <v>100</v>
      </c>
    </row>
    <row r="3" spans="1:11" ht="21" customHeight="1" x14ac:dyDescent="0.15">
      <c r="A3" s="45">
        <v>13400201</v>
      </c>
      <c r="B3" s="46">
        <v>0</v>
      </c>
      <c r="C3" s="46">
        <v>500</v>
      </c>
      <c r="D3" s="46">
        <v>100</v>
      </c>
      <c r="E3" s="46" t="s">
        <v>345</v>
      </c>
      <c r="F3" s="46" t="s">
        <v>345</v>
      </c>
      <c r="G3" s="46" t="s">
        <v>345</v>
      </c>
      <c r="H3" s="46">
        <v>1</v>
      </c>
      <c r="I3" s="46" t="s">
        <v>345</v>
      </c>
      <c r="J3" s="46">
        <f t="shared" si="0"/>
        <v>100</v>
      </c>
    </row>
    <row r="4" spans="1:11" ht="21" customHeight="1" x14ac:dyDescent="0.15">
      <c r="A4" s="45">
        <v>13400202</v>
      </c>
      <c r="B4" s="46">
        <v>0</v>
      </c>
      <c r="C4" s="46">
        <v>300</v>
      </c>
      <c r="D4" s="46">
        <v>100</v>
      </c>
      <c r="E4" s="46" t="s">
        <v>345</v>
      </c>
      <c r="F4" s="46" t="s">
        <v>345</v>
      </c>
      <c r="G4" s="46" t="s">
        <v>345</v>
      </c>
      <c r="H4" s="46">
        <v>1</v>
      </c>
      <c r="I4" s="46" t="s">
        <v>345</v>
      </c>
      <c r="J4" s="46">
        <f t="shared" si="0"/>
        <v>100</v>
      </c>
    </row>
    <row r="5" spans="1:11" ht="21" customHeight="1" x14ac:dyDescent="0.15">
      <c r="A5" s="45">
        <v>13400203</v>
      </c>
      <c r="B5" s="46">
        <v>0</v>
      </c>
      <c r="C5" s="46">
        <v>500</v>
      </c>
      <c r="D5" s="46">
        <v>100</v>
      </c>
      <c r="E5" s="46" t="s">
        <v>346</v>
      </c>
      <c r="F5" s="46" t="s">
        <v>346</v>
      </c>
      <c r="G5" s="46" t="s">
        <v>346</v>
      </c>
      <c r="H5" s="46">
        <v>2</v>
      </c>
      <c r="I5" s="46" t="s">
        <v>346</v>
      </c>
      <c r="J5" s="46">
        <f t="shared" si="0"/>
        <v>100</v>
      </c>
    </row>
    <row r="6" spans="1:11" ht="21" customHeight="1" x14ac:dyDescent="0.15">
      <c r="A6" s="45">
        <v>13400204</v>
      </c>
      <c r="B6" s="46">
        <v>1</v>
      </c>
      <c r="C6" s="46">
        <v>900</v>
      </c>
      <c r="D6" s="46">
        <v>100</v>
      </c>
      <c r="E6" s="46" t="s">
        <v>346</v>
      </c>
      <c r="F6" s="46" t="s">
        <v>346</v>
      </c>
      <c r="G6" s="46">
        <v>1</v>
      </c>
      <c r="H6" s="46" t="s">
        <v>347</v>
      </c>
      <c r="I6" s="46" t="s">
        <v>348</v>
      </c>
      <c r="J6" s="46">
        <f t="shared" si="0"/>
        <v>100</v>
      </c>
    </row>
    <row r="7" spans="1:11" ht="21" customHeight="1" x14ac:dyDescent="0.15">
      <c r="A7" s="45">
        <v>13400205</v>
      </c>
      <c r="B7" s="46">
        <v>0</v>
      </c>
      <c r="C7" s="46">
        <v>500</v>
      </c>
      <c r="D7" s="46">
        <v>33</v>
      </c>
      <c r="E7" s="46" t="s">
        <v>346</v>
      </c>
      <c r="F7" s="46" t="s">
        <v>346</v>
      </c>
      <c r="G7" s="46" t="s">
        <v>346</v>
      </c>
      <c r="H7" s="46" t="s">
        <v>347</v>
      </c>
      <c r="I7" s="46" t="s">
        <v>348</v>
      </c>
      <c r="J7" s="46">
        <f t="shared" si="0"/>
        <v>33</v>
      </c>
    </row>
    <row r="8" spans="1:11" ht="21" customHeight="1" x14ac:dyDescent="0.15">
      <c r="A8" s="45">
        <v>13400206</v>
      </c>
      <c r="B8" s="46">
        <v>0</v>
      </c>
      <c r="C8" s="46">
        <v>400</v>
      </c>
      <c r="D8" s="46">
        <v>66</v>
      </c>
      <c r="E8" s="46" t="s">
        <v>346</v>
      </c>
      <c r="F8" s="46" t="s">
        <v>346</v>
      </c>
      <c r="G8" s="46" t="s">
        <v>346</v>
      </c>
      <c r="H8" s="46" t="s">
        <v>347</v>
      </c>
      <c r="I8" s="46" t="s">
        <v>348</v>
      </c>
      <c r="J8" s="46">
        <f t="shared" si="0"/>
        <v>66</v>
      </c>
    </row>
    <row r="9" spans="1:11" ht="21" customHeight="1" x14ac:dyDescent="0.15">
      <c r="A9" s="45">
        <v>13400207</v>
      </c>
      <c r="B9" s="46">
        <v>0</v>
      </c>
      <c r="C9" s="46">
        <v>300</v>
      </c>
      <c r="D9" s="46">
        <v>100</v>
      </c>
      <c r="E9" s="46" t="s">
        <v>346</v>
      </c>
      <c r="F9" s="46" t="s">
        <v>346</v>
      </c>
      <c r="G9" s="46" t="s">
        <v>346</v>
      </c>
      <c r="H9" s="46" t="s">
        <v>347</v>
      </c>
      <c r="I9" s="46" t="s">
        <v>348</v>
      </c>
      <c r="J9" s="46">
        <f t="shared" si="0"/>
        <v>100</v>
      </c>
    </row>
    <row r="10" spans="1:11" ht="21" customHeight="1" x14ac:dyDescent="0.15">
      <c r="A10" s="45">
        <v>13400208</v>
      </c>
      <c r="B10" s="46">
        <v>1</v>
      </c>
      <c r="C10" s="46">
        <v>900</v>
      </c>
      <c r="D10" s="46">
        <v>100</v>
      </c>
      <c r="E10" s="46" t="s">
        <v>346</v>
      </c>
      <c r="F10" s="46" t="s">
        <v>346</v>
      </c>
      <c r="G10" s="46">
        <v>1</v>
      </c>
      <c r="H10" s="46" t="s">
        <v>347</v>
      </c>
      <c r="I10" s="46" t="s">
        <v>348</v>
      </c>
      <c r="J10" s="46">
        <f t="shared" si="0"/>
        <v>100</v>
      </c>
    </row>
    <row r="11" spans="1:11" ht="21" customHeight="1" x14ac:dyDescent="0.15">
      <c r="A11" s="45">
        <v>13400209</v>
      </c>
      <c r="B11" s="46">
        <v>0</v>
      </c>
      <c r="C11" s="46">
        <v>500</v>
      </c>
      <c r="D11" s="46">
        <v>100</v>
      </c>
      <c r="E11" s="46" t="s">
        <v>346</v>
      </c>
      <c r="F11" s="46" t="s">
        <v>346</v>
      </c>
      <c r="G11" s="46" t="s">
        <v>346</v>
      </c>
      <c r="H11" s="46" t="s">
        <v>347</v>
      </c>
      <c r="I11" s="46" t="s">
        <v>348</v>
      </c>
      <c r="J11" s="46">
        <f t="shared" si="0"/>
        <v>100</v>
      </c>
    </row>
    <row r="12" spans="1:11" ht="21" customHeight="1" x14ac:dyDescent="0.15">
      <c r="A12" s="45">
        <v>13400210</v>
      </c>
      <c r="B12" s="46">
        <v>0</v>
      </c>
      <c r="C12" s="46">
        <v>800</v>
      </c>
      <c r="D12" s="46">
        <v>100</v>
      </c>
      <c r="E12" s="46">
        <v>50</v>
      </c>
      <c r="F12" s="46" t="s">
        <v>346</v>
      </c>
      <c r="G12" s="46">
        <v>1</v>
      </c>
      <c r="H12" s="46" t="s">
        <v>347</v>
      </c>
      <c r="I12" s="46" t="s">
        <v>348</v>
      </c>
      <c r="J12" s="46">
        <f t="shared" si="0"/>
        <v>100</v>
      </c>
    </row>
    <row r="13" spans="1:11" ht="21" customHeight="1" x14ac:dyDescent="0.15">
      <c r="A13" s="45">
        <v>13400211</v>
      </c>
      <c r="B13" s="46">
        <v>1</v>
      </c>
      <c r="C13" s="46">
        <v>900</v>
      </c>
      <c r="D13" s="46">
        <v>100</v>
      </c>
      <c r="E13" s="46" t="s">
        <v>346</v>
      </c>
      <c r="F13" s="46" t="s">
        <v>346</v>
      </c>
      <c r="G13" s="46">
        <v>1</v>
      </c>
      <c r="H13" s="46" t="s">
        <v>347</v>
      </c>
      <c r="I13" s="46" t="s">
        <v>348</v>
      </c>
      <c r="J13" s="46">
        <f t="shared" si="0"/>
        <v>100</v>
      </c>
    </row>
    <row r="14" spans="1:11" ht="21" customHeight="1" x14ac:dyDescent="0.15">
      <c r="A14" s="45">
        <v>13400212</v>
      </c>
      <c r="B14" s="46">
        <v>0</v>
      </c>
      <c r="C14" s="46">
        <v>800</v>
      </c>
      <c r="D14" s="46">
        <v>35</v>
      </c>
      <c r="E14" s="46" t="s">
        <v>346</v>
      </c>
      <c r="F14" s="46" t="s">
        <v>346</v>
      </c>
      <c r="G14" s="46" t="s">
        <v>346</v>
      </c>
      <c r="H14" s="46" t="s">
        <v>347</v>
      </c>
      <c r="I14" s="46" t="s">
        <v>348</v>
      </c>
      <c r="J14" s="46">
        <f t="shared" si="0"/>
        <v>35</v>
      </c>
    </row>
    <row r="15" spans="1:11" ht="21" customHeight="1" x14ac:dyDescent="0.15">
      <c r="A15" s="45">
        <v>13400213</v>
      </c>
      <c r="B15" s="46">
        <v>0</v>
      </c>
      <c r="C15" s="46">
        <v>500</v>
      </c>
      <c r="D15" s="46">
        <v>100</v>
      </c>
      <c r="E15" s="46" t="s">
        <v>346</v>
      </c>
      <c r="F15" s="46" t="s">
        <v>346</v>
      </c>
      <c r="G15" s="46" t="s">
        <v>346</v>
      </c>
      <c r="H15" s="46" t="s">
        <v>347</v>
      </c>
      <c r="I15" s="46" t="s">
        <v>348</v>
      </c>
      <c r="J15" s="46">
        <f t="shared" si="0"/>
        <v>100</v>
      </c>
    </row>
    <row r="16" spans="1:11" ht="21" customHeight="1" x14ac:dyDescent="0.15">
      <c r="A16" s="45">
        <v>13400214</v>
      </c>
      <c r="B16" s="46">
        <v>1</v>
      </c>
      <c r="C16" s="46">
        <v>900</v>
      </c>
      <c r="D16" s="46">
        <v>100</v>
      </c>
      <c r="E16" s="46" t="s">
        <v>346</v>
      </c>
      <c r="F16" s="46" t="s">
        <v>346</v>
      </c>
      <c r="G16" s="46">
        <v>1</v>
      </c>
      <c r="H16" s="46" t="s">
        <v>347</v>
      </c>
      <c r="I16" s="46" t="s">
        <v>348</v>
      </c>
      <c r="J16" s="46">
        <f t="shared" si="0"/>
        <v>100</v>
      </c>
    </row>
    <row r="17" spans="1:10" ht="21" customHeight="1" x14ac:dyDescent="0.15">
      <c r="A17" s="45">
        <v>13400215</v>
      </c>
      <c r="B17" s="46">
        <v>0</v>
      </c>
      <c r="C17" s="46">
        <v>700</v>
      </c>
      <c r="D17" s="46">
        <v>100</v>
      </c>
      <c r="E17" s="46" t="s">
        <v>348</v>
      </c>
      <c r="F17" s="46" t="s">
        <v>346</v>
      </c>
      <c r="G17" s="46" t="s">
        <v>349</v>
      </c>
      <c r="H17" s="46" t="s">
        <v>347</v>
      </c>
      <c r="I17" s="46" t="s">
        <v>348</v>
      </c>
      <c r="J17" s="46">
        <f t="shared" si="0"/>
        <v>100</v>
      </c>
    </row>
    <row r="18" spans="1:10" ht="21" customHeight="1" x14ac:dyDescent="0.15">
      <c r="A18" s="45">
        <v>13400216</v>
      </c>
      <c r="B18" s="46">
        <v>0</v>
      </c>
      <c r="C18" s="46">
        <v>800</v>
      </c>
      <c r="D18" s="46">
        <v>100</v>
      </c>
      <c r="E18" s="46">
        <v>50</v>
      </c>
      <c r="F18" s="46" t="s">
        <v>346</v>
      </c>
      <c r="G18" s="46">
        <v>1</v>
      </c>
      <c r="H18" s="46" t="s">
        <v>347</v>
      </c>
      <c r="I18" s="46" t="s">
        <v>348</v>
      </c>
      <c r="J18" s="46">
        <f t="shared" si="0"/>
        <v>100</v>
      </c>
    </row>
    <row r="19" spans="1:10" ht="21" customHeight="1" x14ac:dyDescent="0.15">
      <c r="A19" s="45">
        <v>13400217</v>
      </c>
      <c r="B19" s="46">
        <v>1</v>
      </c>
      <c r="C19" s="46">
        <v>900</v>
      </c>
      <c r="D19" s="46">
        <v>100</v>
      </c>
      <c r="E19" s="46" t="s">
        <v>346</v>
      </c>
      <c r="F19" s="46" t="s">
        <v>346</v>
      </c>
      <c r="G19" s="46">
        <v>1</v>
      </c>
      <c r="H19" s="46" t="s">
        <v>347</v>
      </c>
      <c r="I19" s="46" t="s">
        <v>348</v>
      </c>
      <c r="J19" s="46">
        <f t="shared" si="0"/>
        <v>100</v>
      </c>
    </row>
    <row r="20" spans="1:10" ht="21" customHeight="1" x14ac:dyDescent="0.15">
      <c r="A20" s="45">
        <v>13400218</v>
      </c>
      <c r="B20" s="46">
        <v>0</v>
      </c>
      <c r="C20" s="46">
        <v>800</v>
      </c>
      <c r="D20" s="46">
        <v>100</v>
      </c>
      <c r="E20" s="46" t="s">
        <v>346</v>
      </c>
      <c r="F20" s="46" t="s">
        <v>346</v>
      </c>
      <c r="G20" s="46">
        <v>1</v>
      </c>
      <c r="H20" s="46">
        <v>1</v>
      </c>
      <c r="I20" s="46" t="s">
        <v>348</v>
      </c>
      <c r="J20" s="46">
        <f t="shared" si="0"/>
        <v>100</v>
      </c>
    </row>
    <row r="21" spans="1:10" ht="21" customHeight="1" x14ac:dyDescent="0.15">
      <c r="A21" s="45">
        <v>13400219</v>
      </c>
      <c r="B21" s="46">
        <v>0</v>
      </c>
      <c r="C21" s="46">
        <v>700</v>
      </c>
      <c r="D21" s="46">
        <v>100</v>
      </c>
      <c r="E21" s="46" t="s">
        <v>346</v>
      </c>
      <c r="F21" s="46" t="s">
        <v>346</v>
      </c>
      <c r="G21" s="46">
        <v>1</v>
      </c>
      <c r="H21" s="46">
        <v>2</v>
      </c>
      <c r="I21" s="46" t="s">
        <v>348</v>
      </c>
      <c r="J21" s="46">
        <f t="shared" si="0"/>
        <v>100</v>
      </c>
    </row>
    <row r="22" spans="1:10" ht="21" customHeight="1" x14ac:dyDescent="0.15">
      <c r="A22" s="45">
        <v>13400220</v>
      </c>
      <c r="B22" s="46">
        <v>0</v>
      </c>
      <c r="C22" s="46">
        <v>600</v>
      </c>
      <c r="D22" s="46">
        <v>100</v>
      </c>
      <c r="E22" s="46" t="s">
        <v>346</v>
      </c>
      <c r="F22" s="46" t="s">
        <v>346</v>
      </c>
      <c r="G22" s="46">
        <v>1</v>
      </c>
      <c r="H22" s="46">
        <v>3</v>
      </c>
      <c r="I22" s="46" t="s">
        <v>348</v>
      </c>
      <c r="J22" s="46">
        <f t="shared" si="0"/>
        <v>100</v>
      </c>
    </row>
    <row r="23" spans="1:10" ht="21" customHeight="1" x14ac:dyDescent="0.15">
      <c r="A23" s="45">
        <v>13400221</v>
      </c>
      <c r="B23" s="46">
        <v>0</v>
      </c>
      <c r="C23" s="46">
        <v>500</v>
      </c>
      <c r="D23" s="46">
        <v>100</v>
      </c>
      <c r="E23" s="46" t="s">
        <v>346</v>
      </c>
      <c r="F23" s="46" t="s">
        <v>346</v>
      </c>
      <c r="G23" s="46">
        <v>1</v>
      </c>
      <c r="H23" s="46">
        <v>4</v>
      </c>
      <c r="I23" s="46" t="s">
        <v>348</v>
      </c>
      <c r="J23" s="46">
        <f t="shared" si="0"/>
        <v>100</v>
      </c>
    </row>
    <row r="24" spans="1:10" ht="21" customHeight="1" x14ac:dyDescent="0.15">
      <c r="A24" s="45">
        <v>13400222</v>
      </c>
      <c r="B24" s="46">
        <v>0</v>
      </c>
      <c r="C24" s="46">
        <v>400</v>
      </c>
      <c r="D24" s="46">
        <v>100</v>
      </c>
      <c r="E24" s="46" t="s">
        <v>346</v>
      </c>
      <c r="F24" s="46" t="s">
        <v>346</v>
      </c>
      <c r="G24" s="46">
        <v>1</v>
      </c>
      <c r="H24" s="46">
        <v>5</v>
      </c>
      <c r="I24" s="46" t="s">
        <v>348</v>
      </c>
      <c r="J24" s="46">
        <f t="shared" si="0"/>
        <v>100</v>
      </c>
    </row>
  </sheetData>
  <autoFilter ref="A1:G1"/>
  <phoneticPr fontId="5"/>
  <conditionalFormatting sqref="K1:K1048576">
    <cfRule type="duplicateValues" dxfId="1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B2" sqref="B2:B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6</v>
      </c>
      <c r="C2" s="68" t="str">
        <f>A2&amp; "_"&amp;B2</f>
        <v>13400_6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115">
        <v>1</v>
      </c>
      <c r="F2" s="116" t="s">
        <v>409</v>
      </c>
      <c r="G2" s="116">
        <v>123</v>
      </c>
      <c r="H2" s="116">
        <v>1</v>
      </c>
      <c r="I2" s="116">
        <v>1</v>
      </c>
      <c r="J2" s="116">
        <v>1</v>
      </c>
      <c r="K2" s="116">
        <v>0</v>
      </c>
      <c r="L2" s="116">
        <v>0</v>
      </c>
      <c r="M2" s="116">
        <v>0</v>
      </c>
      <c r="N2" s="116">
        <v>0</v>
      </c>
      <c r="O2" s="116">
        <v>1</v>
      </c>
      <c r="P2" s="116">
        <v>60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6</v>
      </c>
      <c r="C3" s="68" t="str">
        <f t="shared" ref="C3:C8" si="0">A3&amp; "_"&amp;B3</f>
        <v>13400_6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117">
        <v>2</v>
      </c>
      <c r="F3" s="118" t="s">
        <v>409</v>
      </c>
      <c r="G3" s="118">
        <v>609</v>
      </c>
      <c r="H3" s="118">
        <v>1</v>
      </c>
      <c r="I3" s="118">
        <v>1</v>
      </c>
      <c r="J3" s="118">
        <v>1</v>
      </c>
      <c r="K3" s="118">
        <v>0</v>
      </c>
      <c r="L3" s="118">
        <v>0</v>
      </c>
      <c r="M3" s="118">
        <v>0</v>
      </c>
      <c r="N3" s="118">
        <v>0</v>
      </c>
      <c r="O3" s="118">
        <v>1</v>
      </c>
      <c r="P3" s="118">
        <v>200</v>
      </c>
      <c r="Q3" s="55" t="s">
        <v>397</v>
      </c>
      <c r="R3" s="55" t="s">
        <v>398</v>
      </c>
    </row>
    <row r="4" spans="1:18" x14ac:dyDescent="0.15">
      <c r="A4" s="55">
        <v>13400</v>
      </c>
      <c r="B4" s="55">
        <v>6</v>
      </c>
      <c r="C4" s="68" t="str">
        <f t="shared" si="0"/>
        <v>13400_6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117">
        <v>3</v>
      </c>
      <c r="F4" s="118" t="s">
        <v>409</v>
      </c>
      <c r="G4" s="118">
        <v>613</v>
      </c>
      <c r="H4" s="118">
        <v>1</v>
      </c>
      <c r="I4" s="118">
        <v>1</v>
      </c>
      <c r="J4" s="118">
        <v>1</v>
      </c>
      <c r="K4" s="118">
        <v>0</v>
      </c>
      <c r="L4" s="118">
        <v>0</v>
      </c>
      <c r="M4" s="118">
        <v>0</v>
      </c>
      <c r="N4" s="118">
        <v>0</v>
      </c>
      <c r="O4" s="118">
        <v>1</v>
      </c>
      <c r="P4" s="118">
        <v>60</v>
      </c>
      <c r="Q4" s="55" t="s">
        <v>399</v>
      </c>
      <c r="R4" s="55" t="s">
        <v>400</v>
      </c>
    </row>
    <row r="5" spans="1:18" x14ac:dyDescent="0.15">
      <c r="A5" s="55">
        <v>13400</v>
      </c>
      <c r="B5" s="55">
        <v>6</v>
      </c>
      <c r="C5" s="68" t="str">
        <f t="shared" si="0"/>
        <v>13400_6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117">
        <v>4</v>
      </c>
      <c r="F5" s="118" t="s">
        <v>409</v>
      </c>
      <c r="G5" s="118">
        <v>125</v>
      </c>
      <c r="H5" s="118">
        <v>1</v>
      </c>
      <c r="I5" s="118">
        <v>1</v>
      </c>
      <c r="J5" s="118">
        <v>1</v>
      </c>
      <c r="K5" s="118">
        <v>0</v>
      </c>
      <c r="L5" s="118">
        <v>0</v>
      </c>
      <c r="M5" s="118">
        <v>0</v>
      </c>
      <c r="N5" s="118">
        <v>0</v>
      </c>
      <c r="O5" s="118">
        <v>1</v>
      </c>
      <c r="P5" s="118">
        <v>40</v>
      </c>
      <c r="Q5" s="55" t="s">
        <v>401</v>
      </c>
      <c r="R5" s="55" t="s">
        <v>402</v>
      </c>
    </row>
    <row r="6" spans="1:18" x14ac:dyDescent="0.15">
      <c r="A6" s="55">
        <v>13400</v>
      </c>
      <c r="B6" s="55">
        <v>6</v>
      </c>
      <c r="C6" s="68" t="str">
        <f t="shared" si="0"/>
        <v>13400_6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117">
        <v>5</v>
      </c>
      <c r="F6" s="118" t="s">
        <v>409</v>
      </c>
      <c r="G6" s="118">
        <v>610</v>
      </c>
      <c r="H6" s="118">
        <v>1</v>
      </c>
      <c r="I6" s="118">
        <v>1</v>
      </c>
      <c r="J6" s="118">
        <v>1</v>
      </c>
      <c r="K6" s="118">
        <v>0</v>
      </c>
      <c r="L6" s="118">
        <v>0</v>
      </c>
      <c r="M6" s="118">
        <v>0</v>
      </c>
      <c r="N6" s="118">
        <v>0</v>
      </c>
      <c r="O6" s="118">
        <v>1</v>
      </c>
      <c r="P6" s="118">
        <v>30</v>
      </c>
      <c r="Q6" s="55" t="s">
        <v>403</v>
      </c>
      <c r="R6" s="55" t="s">
        <v>404</v>
      </c>
    </row>
    <row r="7" spans="1:18" x14ac:dyDescent="0.15">
      <c r="A7" s="55">
        <v>13400</v>
      </c>
      <c r="B7" s="55">
        <v>6</v>
      </c>
      <c r="C7" s="68" t="str">
        <f t="shared" si="0"/>
        <v>13400_6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117">
        <v>6</v>
      </c>
      <c r="F7" s="118" t="s">
        <v>409</v>
      </c>
      <c r="G7" s="118">
        <v>338</v>
      </c>
      <c r="H7" s="118">
        <v>1</v>
      </c>
      <c r="I7" s="118">
        <v>1</v>
      </c>
      <c r="J7" s="118">
        <v>1</v>
      </c>
      <c r="K7" s="118">
        <v>0</v>
      </c>
      <c r="L7" s="118">
        <v>0</v>
      </c>
      <c r="M7" s="118">
        <v>0</v>
      </c>
      <c r="N7" s="118">
        <v>0</v>
      </c>
      <c r="O7" s="118">
        <v>1</v>
      </c>
      <c r="P7" s="118">
        <v>20</v>
      </c>
      <c r="Q7" s="55" t="s">
        <v>405</v>
      </c>
      <c r="R7" s="55" t="s">
        <v>406</v>
      </c>
    </row>
    <row r="8" spans="1:18" x14ac:dyDescent="0.15">
      <c r="A8" s="55">
        <v>13400</v>
      </c>
      <c r="B8" s="55">
        <v>6</v>
      </c>
      <c r="C8" s="68" t="str">
        <f t="shared" si="0"/>
        <v>13400_6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117">
        <v>7</v>
      </c>
      <c r="F8" s="118" t="s">
        <v>409</v>
      </c>
      <c r="G8" s="118">
        <v>339</v>
      </c>
      <c r="H8" s="118">
        <v>1</v>
      </c>
      <c r="I8" s="118">
        <v>1</v>
      </c>
      <c r="J8" s="118">
        <v>1</v>
      </c>
      <c r="K8" s="118">
        <v>0</v>
      </c>
      <c r="L8" s="118">
        <v>0</v>
      </c>
      <c r="M8" s="118">
        <v>0</v>
      </c>
      <c r="N8" s="118">
        <v>0</v>
      </c>
      <c r="O8" s="118">
        <v>1</v>
      </c>
      <c r="P8" s="118">
        <v>590</v>
      </c>
      <c r="Q8" s="55" t="s">
        <v>407</v>
      </c>
      <c r="R8" s="55" t="s">
        <v>408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zoomScale="90" zoomScaleNormal="90" zoomScalePageLayoutView="90" workbookViewId="0">
      <pane ySplit="1" topLeftCell="A2" activePane="bottomLeft" state="frozen"/>
      <selection pane="bottomLeft" activeCell="B2" sqref="B2:B13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7" t="s">
        <v>193</v>
      </c>
      <c r="J1" s="76" t="s">
        <v>126</v>
      </c>
      <c r="K1" s="75" t="s">
        <v>184</v>
      </c>
      <c r="L1" s="88" t="s">
        <v>183</v>
      </c>
      <c r="M1" s="77" t="s">
        <v>194</v>
      </c>
    </row>
    <row r="2" spans="1:13" x14ac:dyDescent="0.15">
      <c r="A2" s="78" t="s">
        <v>198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3" t="s">
        <v>211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>
        <v>0</v>
      </c>
      <c r="I2">
        <v>1</v>
      </c>
      <c r="J2" s="81" t="s">
        <v>196</v>
      </c>
      <c r="K2" s="89" t="s">
        <v>264</v>
      </c>
      <c r="L2" s="90" t="s">
        <v>265</v>
      </c>
      <c r="M2" s="55" t="s">
        <v>208</v>
      </c>
    </row>
    <row r="3" spans="1:13" x14ac:dyDescent="0.15">
      <c r="A3" s="78" t="s">
        <v>198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3" t="s">
        <v>211</v>
      </c>
      <c r="F3" s="80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0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2">
        <v>0</v>
      </c>
      <c r="I3">
        <v>2</v>
      </c>
      <c r="J3" s="81" t="s">
        <v>196</v>
      </c>
      <c r="K3" s="89" t="s">
        <v>266</v>
      </c>
      <c r="L3" s="90" t="s">
        <v>267</v>
      </c>
      <c r="M3" s="55" t="s">
        <v>208</v>
      </c>
    </row>
    <row r="4" spans="1:13" x14ac:dyDescent="0.15">
      <c r="A4" s="78" t="s">
        <v>198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3" t="s">
        <v>211</v>
      </c>
      <c r="F4" s="80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0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2">
        <v>0</v>
      </c>
      <c r="I4">
        <v>3</v>
      </c>
      <c r="J4" s="81" t="s">
        <v>196</v>
      </c>
      <c r="K4" s="89" t="s">
        <v>268</v>
      </c>
      <c r="L4" s="90" t="s">
        <v>269</v>
      </c>
      <c r="M4" s="55" t="s">
        <v>208</v>
      </c>
    </row>
    <row r="5" spans="1:13" x14ac:dyDescent="0.15">
      <c r="A5" s="78" t="s">
        <v>198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3" t="s">
        <v>211</v>
      </c>
      <c r="F5" s="80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0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2">
        <v>0</v>
      </c>
      <c r="I5">
        <v>5</v>
      </c>
      <c r="J5" s="81" t="s">
        <v>196</v>
      </c>
      <c r="K5" s="89" t="s">
        <v>270</v>
      </c>
      <c r="L5" s="90" t="s">
        <v>271</v>
      </c>
      <c r="M5" s="55" t="s">
        <v>208</v>
      </c>
    </row>
    <row r="6" spans="1:13" x14ac:dyDescent="0.15">
      <c r="A6" s="78" t="s">
        <v>198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3" t="s">
        <v>211</v>
      </c>
      <c r="F6" s="80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0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2">
        <v>0</v>
      </c>
      <c r="I6">
        <v>6</v>
      </c>
      <c r="J6" s="81" t="s">
        <v>196</v>
      </c>
      <c r="K6" s="89" t="s">
        <v>272</v>
      </c>
      <c r="L6" s="90" t="s">
        <v>273</v>
      </c>
      <c r="M6" s="55" t="s">
        <v>208</v>
      </c>
    </row>
    <row r="7" spans="1:13" x14ac:dyDescent="0.15">
      <c r="A7" s="78" t="s">
        <v>198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3" t="s">
        <v>211</v>
      </c>
      <c r="F7" s="80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0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2">
        <v>0</v>
      </c>
      <c r="I7">
        <v>7</v>
      </c>
      <c r="J7" s="81" t="s">
        <v>196</v>
      </c>
      <c r="K7" s="89" t="s">
        <v>274</v>
      </c>
      <c r="L7" s="90" t="s">
        <v>275</v>
      </c>
      <c r="M7" s="55" t="s">
        <v>208</v>
      </c>
    </row>
    <row r="8" spans="1:13" x14ac:dyDescent="0.15">
      <c r="A8" s="78" t="s">
        <v>198</v>
      </c>
      <c r="B8" s="79">
        <v>13400</v>
      </c>
      <c r="C8" s="80" t="str">
        <f ca="1">VLOOKUP($B8,OFFSET([2]quests!$A$1,0,0,COUNTA([2]quests!$A:$A),MATCH(C$1,[2]quests!$1:$1,0)-MATCH($B$1,[2]quests!$1:$1,0)+1),MATCH(C$1,[2]quests!$1:$1,0)-MATCH($B$1,[2]quests!$1:$1,0)+1,FALSE)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" s="80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83" t="s">
        <v>211</v>
      </c>
      <c r="F8" s="80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0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2">
        <v>0</v>
      </c>
      <c r="I8">
        <v>8</v>
      </c>
      <c r="J8" s="81" t="s">
        <v>196</v>
      </c>
      <c r="K8" s="89" t="s">
        <v>276</v>
      </c>
      <c r="L8" s="90" t="s">
        <v>277</v>
      </c>
      <c r="M8" s="55" t="s">
        <v>208</v>
      </c>
    </row>
    <row r="9" spans="1:13" x14ac:dyDescent="0.15">
      <c r="A9" s="78" t="s">
        <v>198</v>
      </c>
      <c r="B9" s="79">
        <v>13400</v>
      </c>
      <c r="C9" s="80" t="str">
        <f ca="1">VLOOKUP($B9,OFFSET([2]quests!$A$1,0,0,COUNTA([2]quests!$A:$A),MATCH(C$1,[2]quests!$1:$1,0)-MATCH($B$1,[2]quests!$1:$1,0)+1),MATCH(C$1,[2]quests!$1:$1,0)-MATCH($B$1,[2]quests!$1:$1,0)+1,FALSE)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" s="80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83" t="s">
        <v>211</v>
      </c>
      <c r="F9" s="80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0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2">
        <v>0</v>
      </c>
      <c r="I9">
        <v>9</v>
      </c>
      <c r="J9" s="81" t="s">
        <v>196</v>
      </c>
      <c r="K9" s="89" t="s">
        <v>278</v>
      </c>
      <c r="L9" s="90" t="s">
        <v>279</v>
      </c>
      <c r="M9" s="55" t="s">
        <v>208</v>
      </c>
    </row>
    <row r="10" spans="1:13" x14ac:dyDescent="0.15">
      <c r="A10" s="78" t="s">
        <v>198</v>
      </c>
      <c r="B10" s="79">
        <v>13400</v>
      </c>
      <c r="C10" s="80" t="str">
        <f ca="1">VLOOKUP($B10,OFFSET([2]quests!$A$1,0,0,COUNTA([2]quests!$A:$A),MATCH(C$1,[2]quests!$1:$1,0)-MATCH($B$1,[2]quests!$1:$1,0)+1),MATCH(C$1,[2]quests!$1:$1,0)-MATCH($B$1,[2]quests!$1:$1,0)+1,FALSE)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" s="80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83" t="s">
        <v>211</v>
      </c>
      <c r="F10" s="80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0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2">
        <v>0</v>
      </c>
      <c r="I10">
        <v>10</v>
      </c>
      <c r="J10" s="81" t="s">
        <v>196</v>
      </c>
      <c r="K10" s="89" t="s">
        <v>280</v>
      </c>
      <c r="L10" s="90" t="s">
        <v>281</v>
      </c>
      <c r="M10" s="55" t="s">
        <v>208</v>
      </c>
    </row>
    <row r="11" spans="1:13" x14ac:dyDescent="0.15">
      <c r="A11" s="78" t="s">
        <v>198</v>
      </c>
      <c r="B11" s="79">
        <v>13400</v>
      </c>
      <c r="C11" s="80" t="str">
        <f ca="1">VLOOKUP($B11,OFFSET([2]quests!$A$1,0,0,COUNTA([2]quests!$A:$A),MATCH(C$1,[2]quests!$1:$1,0)-MATCH($B$1,[2]quests!$1:$1,0)+1),MATCH(C$1,[2]quests!$1:$1,0)-MATCH($B$1,[2]quests!$1:$1,0)+1,FALSE)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" s="80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83" t="s">
        <v>211</v>
      </c>
      <c r="F11" s="80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0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2">
        <v>0</v>
      </c>
      <c r="I11">
        <v>11</v>
      </c>
      <c r="J11" s="81" t="s">
        <v>196</v>
      </c>
      <c r="K11" s="89" t="s">
        <v>282</v>
      </c>
      <c r="L11" s="90" t="s">
        <v>283</v>
      </c>
      <c r="M11" s="55" t="s">
        <v>208</v>
      </c>
    </row>
    <row r="12" spans="1:13" x14ac:dyDescent="0.15">
      <c r="A12" s="78" t="s">
        <v>198</v>
      </c>
      <c r="B12" s="79">
        <v>13400</v>
      </c>
      <c r="C12" s="80" t="str">
        <f ca="1">VLOOKUP($B12,OFFSET([2]quests!$A$1,0,0,COUNTA([2]quests!$A:$A),MATCH(C$1,[2]quests!$1:$1,0)-MATCH($B$1,[2]quests!$1:$1,0)+1),MATCH(C$1,[2]quests!$1:$1,0)-MATCH($B$1,[2]quests!$1:$1,0)+1,FALSE)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" s="80" t="str">
        <f ca="1">VLOOKUP($B12,OFFSET([2]quests!$A$1,0,0,COUNTA([2]quests!$A:$A),MATCH(D$1,[2]quests!$1:$1,0)-MATCH($B$1,[2]quests!$1:$1,0)+1),MATCH(D$1,[2]quests!$1:$1,0)-MATCH($B$1,[2]quests!$1:$1,0)+1,FALSE)</f>
        <v>タワーオブザクイーン2本目</v>
      </c>
      <c r="E12" s="83" t="s">
        <v>211</v>
      </c>
      <c r="F12" s="80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0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2">
        <v>0</v>
      </c>
      <c r="I12">
        <v>12</v>
      </c>
      <c r="J12" s="81" t="s">
        <v>196</v>
      </c>
      <c r="K12" s="89" t="s">
        <v>284</v>
      </c>
      <c r="L12" s="90" t="s">
        <v>285</v>
      </c>
      <c r="M12" s="55" t="s">
        <v>208</v>
      </c>
    </row>
    <row r="13" spans="1:13" x14ac:dyDescent="0.15">
      <c r="A13" s="78" t="s">
        <v>198</v>
      </c>
      <c r="B13" s="79">
        <v>13400</v>
      </c>
      <c r="C13" s="80" t="str">
        <f ca="1">VLOOKUP($B13,OFFSET([2]quests!$A$1,0,0,COUNTA([2]quests!$A:$A),MATCH(C$1,[2]quests!$1:$1,0)-MATCH($B$1,[2]quests!$1:$1,0)+1),MATCH(C$1,[2]quests!$1:$1,0)-MATCH($B$1,[2]quests!$1:$1,0)+1,FALSE)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" s="80" t="str">
        <f ca="1">VLOOKUP($B13,OFFSET([2]quests!$A$1,0,0,COUNTA([2]quests!$A:$A),MATCH(D$1,[2]quests!$1:$1,0)-MATCH($B$1,[2]quests!$1:$1,0)+1),MATCH(D$1,[2]quests!$1:$1,0)-MATCH($B$1,[2]quests!$1:$1,0)+1,FALSE)</f>
        <v>タワーオブザクイーン2本目</v>
      </c>
      <c r="E13" s="83" t="s">
        <v>211</v>
      </c>
      <c r="F13" s="80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0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2">
        <v>0</v>
      </c>
      <c r="I13">
        <v>13</v>
      </c>
      <c r="J13" s="81" t="s">
        <v>196</v>
      </c>
      <c r="K13" s="89" t="s">
        <v>286</v>
      </c>
      <c r="L13" s="90" t="s">
        <v>287</v>
      </c>
      <c r="M13" s="55" t="s">
        <v>208</v>
      </c>
    </row>
    <row r="14" spans="1:13" x14ac:dyDescent="0.15">
      <c r="A14" s="78" t="s">
        <v>198</v>
      </c>
      <c r="B14" s="79">
        <v>13400</v>
      </c>
      <c r="C14" s="80" t="str">
        <f ca="1">VLOOKUP($B14,OFFSET([2]quests!$A$1,0,0,COUNTA([2]quests!$A:$A),MATCH(C$1,[2]quests!$1:$1,0)-MATCH($B$1,[2]quests!$1:$1,0)+1),MATCH(C$1,[2]quests!$1:$1,0)-MATCH($B$1,[2]quests!$1:$1,0)+1,FALSE)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4" s="80" t="str">
        <f ca="1">VLOOKUP($B14,OFFSET([2]quests!$A$1,0,0,COUNTA([2]quests!$A:$A),MATCH(D$1,[2]quests!$1:$1,0)-MATCH($B$1,[2]quests!$1:$1,0)+1),MATCH(D$1,[2]quests!$1:$1,0)-MATCH($B$1,[2]quests!$1:$1,0)+1,FALSE)</f>
        <v>タワーオブザクイーン2本目</v>
      </c>
      <c r="E14" s="83" t="s">
        <v>211</v>
      </c>
      <c r="F14" s="80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0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2">
        <v>0</v>
      </c>
      <c r="I14">
        <v>14</v>
      </c>
      <c r="J14" s="81" t="s">
        <v>196</v>
      </c>
      <c r="K14" s="89" t="s">
        <v>288</v>
      </c>
      <c r="L14" s="90" t="s">
        <v>289</v>
      </c>
      <c r="M14" s="55" t="s">
        <v>208</v>
      </c>
    </row>
    <row r="15" spans="1:13" x14ac:dyDescent="0.15">
      <c r="A15" s="78" t="s">
        <v>198</v>
      </c>
      <c r="B15" s="79">
        <v>13400</v>
      </c>
      <c r="C15" s="80" t="str">
        <f ca="1">VLOOKUP($B15,OFFSET([2]quests!$A$1,0,0,COUNTA([2]quests!$A:$A),MATCH(C$1,[2]quests!$1:$1,0)-MATCH($B$1,[2]quests!$1:$1,0)+1),MATCH(C$1,[2]quests!$1:$1,0)-MATCH($B$1,[2]quests!$1:$1,0)+1,FALSE)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5" s="80" t="str">
        <f ca="1">VLOOKUP($B15,OFFSET([2]quests!$A$1,0,0,COUNTA([2]quests!$A:$A),MATCH(D$1,[2]quests!$1:$1,0)-MATCH($B$1,[2]quests!$1:$1,0)+1),MATCH(D$1,[2]quests!$1:$1,0)-MATCH($B$1,[2]quests!$1:$1,0)+1,FALSE)</f>
        <v>タワーオブザクイーン2本目</v>
      </c>
      <c r="E15" s="83" t="s">
        <v>211</v>
      </c>
      <c r="F15" s="80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0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2">
        <v>0</v>
      </c>
      <c r="I15">
        <v>15</v>
      </c>
      <c r="J15" s="81" t="s">
        <v>196</v>
      </c>
      <c r="K15" s="89" t="s">
        <v>290</v>
      </c>
      <c r="L15" s="90" t="s">
        <v>291</v>
      </c>
      <c r="M15" s="55" t="s">
        <v>208</v>
      </c>
    </row>
    <row r="16" spans="1:13" x14ac:dyDescent="0.15">
      <c r="A16" s="78" t="s">
        <v>198</v>
      </c>
      <c r="B16" s="79">
        <v>13400</v>
      </c>
      <c r="C16" s="80" t="str">
        <f ca="1">VLOOKUP($B16,OFFSET([2]quests!$A$1,0,0,COUNTA([2]quests!$A:$A),MATCH(C$1,[2]quests!$1:$1,0)-MATCH($B$1,[2]quests!$1:$1,0)+1),MATCH(C$1,[2]quests!$1:$1,0)-MATCH($B$1,[2]quests!$1:$1,0)+1,FALSE)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6" s="80" t="str">
        <f ca="1">VLOOKUP($B16,OFFSET([2]quests!$A$1,0,0,COUNTA([2]quests!$A:$A),MATCH(D$1,[2]quests!$1:$1,0)-MATCH($B$1,[2]quests!$1:$1,0)+1),MATCH(D$1,[2]quests!$1:$1,0)-MATCH($B$1,[2]quests!$1:$1,0)+1,FALSE)</f>
        <v>タワーオブザクイーン2本目</v>
      </c>
      <c r="E16" s="83" t="s">
        <v>211</v>
      </c>
      <c r="F16" s="80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0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2">
        <v>0</v>
      </c>
      <c r="I16">
        <v>16</v>
      </c>
      <c r="J16" s="81" t="s">
        <v>196</v>
      </c>
      <c r="K16" s="89" t="s">
        <v>292</v>
      </c>
      <c r="L16" s="90" t="s">
        <v>293</v>
      </c>
      <c r="M16" s="55" t="s">
        <v>208</v>
      </c>
    </row>
    <row r="17" spans="1:13" x14ac:dyDescent="0.15">
      <c r="A17" s="78" t="s">
        <v>198</v>
      </c>
      <c r="B17" s="79">
        <v>13400</v>
      </c>
      <c r="C17" s="80" t="str">
        <f ca="1">VLOOKUP($B17,OFFSET([2]quests!$A$1,0,0,COUNTA([2]quests!$A:$A),MATCH(C$1,[2]quests!$1:$1,0)-MATCH($B$1,[2]quests!$1:$1,0)+1),MATCH(C$1,[2]quests!$1:$1,0)-MATCH($B$1,[2]quests!$1:$1,0)+1,FALSE)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7" s="80" t="str">
        <f ca="1">VLOOKUP($B17,OFFSET([2]quests!$A$1,0,0,COUNTA([2]quests!$A:$A),MATCH(D$1,[2]quests!$1:$1,0)-MATCH($B$1,[2]quests!$1:$1,0)+1),MATCH(D$1,[2]quests!$1:$1,0)-MATCH($B$1,[2]quests!$1:$1,0)+1,FALSE)</f>
        <v>タワーオブザクイーン2本目</v>
      </c>
      <c r="E17" s="83" t="s">
        <v>211</v>
      </c>
      <c r="F17" s="80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0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2">
        <v>0</v>
      </c>
      <c r="I17">
        <v>17</v>
      </c>
      <c r="J17" s="81" t="s">
        <v>196</v>
      </c>
      <c r="K17" s="89" t="s">
        <v>294</v>
      </c>
      <c r="L17" s="90" t="s">
        <v>295</v>
      </c>
      <c r="M17" s="55" t="s">
        <v>208</v>
      </c>
    </row>
    <row r="18" spans="1:13" x14ac:dyDescent="0.15">
      <c r="A18" s="78" t="s">
        <v>198</v>
      </c>
      <c r="B18" s="79">
        <v>13400</v>
      </c>
      <c r="C18" s="80" t="str">
        <f ca="1">VLOOKUP($B18,OFFSET([2]quests!$A$1,0,0,COUNTA([2]quests!$A:$A),MATCH(C$1,[2]quests!$1:$1,0)-MATCH($B$1,[2]quests!$1:$1,0)+1),MATCH(C$1,[2]quests!$1:$1,0)-MATCH($B$1,[2]quests!$1:$1,0)+1,FALSE)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8" s="80" t="str">
        <f ca="1">VLOOKUP($B18,OFFSET([2]quests!$A$1,0,0,COUNTA([2]quests!$A:$A),MATCH(D$1,[2]quests!$1:$1,0)-MATCH($B$1,[2]quests!$1:$1,0)+1),MATCH(D$1,[2]quests!$1:$1,0)-MATCH($B$1,[2]quests!$1:$1,0)+1,FALSE)</f>
        <v>タワーオブザクイーン2本目</v>
      </c>
      <c r="E18" s="83" t="s">
        <v>211</v>
      </c>
      <c r="F18" s="80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0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2">
        <v>0</v>
      </c>
      <c r="I18">
        <v>18</v>
      </c>
      <c r="J18" s="81" t="s">
        <v>196</v>
      </c>
      <c r="K18" s="89" t="s">
        <v>296</v>
      </c>
      <c r="L18" s="90" t="s">
        <v>297</v>
      </c>
      <c r="M18" s="55" t="s">
        <v>208</v>
      </c>
    </row>
    <row r="19" spans="1:13" x14ac:dyDescent="0.15">
      <c r="A19" s="78" t="s">
        <v>198</v>
      </c>
      <c r="B19" s="79">
        <v>13400</v>
      </c>
      <c r="C19" s="80" t="str">
        <f ca="1">VLOOKUP($B19,OFFSET([2]quests!$A$1,0,0,COUNTA([2]quests!$A:$A),MATCH(C$1,[2]quests!$1:$1,0)-MATCH($B$1,[2]quests!$1:$1,0)+1),MATCH(C$1,[2]quests!$1:$1,0)-MATCH($B$1,[2]quests!$1:$1,0)+1,FALSE)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9" s="80" t="str">
        <f ca="1">VLOOKUP($B19,OFFSET([2]quests!$A$1,0,0,COUNTA([2]quests!$A:$A),MATCH(D$1,[2]quests!$1:$1,0)-MATCH($B$1,[2]quests!$1:$1,0)+1),MATCH(D$1,[2]quests!$1:$1,0)-MATCH($B$1,[2]quests!$1:$1,0)+1,FALSE)</f>
        <v>タワーオブザクイーン2本目</v>
      </c>
      <c r="E19" s="83" t="s">
        <v>211</v>
      </c>
      <c r="F19" s="80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0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2">
        <v>0</v>
      </c>
      <c r="I19">
        <v>19</v>
      </c>
      <c r="J19" s="81" t="s">
        <v>196</v>
      </c>
      <c r="K19" s="89" t="s">
        <v>298</v>
      </c>
      <c r="L19" s="90" t="s">
        <v>299</v>
      </c>
      <c r="M19" s="55" t="s">
        <v>208</v>
      </c>
    </row>
    <row r="20" spans="1:13" x14ac:dyDescent="0.15">
      <c r="A20" s="78" t="s">
        <v>198</v>
      </c>
      <c r="B20" s="79">
        <v>13400</v>
      </c>
      <c r="C20" s="80" t="str">
        <f ca="1">VLOOKUP($B20,OFFSET([2]quests!$A$1,0,0,COUNTA([2]quests!$A:$A),MATCH(C$1,[2]quests!$1:$1,0)-MATCH($B$1,[2]quests!$1:$1,0)+1),MATCH(C$1,[2]quests!$1:$1,0)-MATCH($B$1,[2]quests!$1:$1,0)+1,FALSE)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0" s="80" t="str">
        <f ca="1">VLOOKUP($B20,OFFSET([2]quests!$A$1,0,0,COUNTA([2]quests!$A:$A),MATCH(D$1,[2]quests!$1:$1,0)-MATCH($B$1,[2]quests!$1:$1,0)+1),MATCH(D$1,[2]quests!$1:$1,0)-MATCH($B$1,[2]quests!$1:$1,0)+1,FALSE)</f>
        <v>タワーオブザクイーン2本目</v>
      </c>
      <c r="E20" s="83" t="s">
        <v>211</v>
      </c>
      <c r="F20" s="80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0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2">
        <v>0</v>
      </c>
      <c r="I20">
        <v>20</v>
      </c>
      <c r="J20" s="81" t="s">
        <v>196</v>
      </c>
      <c r="K20" s="89" t="s">
        <v>300</v>
      </c>
      <c r="L20" s="90" t="s">
        <v>301</v>
      </c>
      <c r="M20" s="55" t="s">
        <v>208</v>
      </c>
    </row>
    <row r="21" spans="1:13" x14ac:dyDescent="0.15">
      <c r="A21" s="78" t="s">
        <v>198</v>
      </c>
      <c r="B21" s="79">
        <v>13400</v>
      </c>
      <c r="C21" s="80" t="str">
        <f ca="1">VLOOKUP($B21,OFFSET([2]quests!$A$1,0,0,COUNTA([2]quests!$A:$A),MATCH(C$1,[2]quests!$1:$1,0)-MATCH($B$1,[2]quests!$1:$1,0)+1),MATCH(C$1,[2]quests!$1:$1,0)-MATCH($B$1,[2]quests!$1:$1,0)+1,FALSE)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1" s="80" t="str">
        <f ca="1">VLOOKUP($B21,OFFSET([2]quests!$A$1,0,0,COUNTA([2]quests!$A:$A),MATCH(D$1,[2]quests!$1:$1,0)-MATCH($B$1,[2]quests!$1:$1,0)+1),MATCH(D$1,[2]quests!$1:$1,0)-MATCH($B$1,[2]quests!$1:$1,0)+1,FALSE)</f>
        <v>タワーオブザクイーン2本目</v>
      </c>
      <c r="E21" s="83" t="s">
        <v>211</v>
      </c>
      <c r="F21" s="80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0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2">
        <v>0</v>
      </c>
      <c r="I21">
        <v>21</v>
      </c>
      <c r="J21" s="81" t="s">
        <v>196</v>
      </c>
      <c r="K21" s="89" t="s">
        <v>302</v>
      </c>
      <c r="L21" s="90" t="s">
        <v>303</v>
      </c>
      <c r="M21" s="55" t="s">
        <v>208</v>
      </c>
    </row>
    <row r="22" spans="1:13" x14ac:dyDescent="0.15">
      <c r="A22" s="78" t="s">
        <v>198</v>
      </c>
      <c r="B22" s="79">
        <v>13400</v>
      </c>
      <c r="C22" s="80" t="str">
        <f ca="1">VLOOKUP($B22,OFFSET([2]quests!$A$1,0,0,COUNTA([2]quests!$A:$A),MATCH(C$1,[2]quests!$1:$1,0)-MATCH($B$1,[2]quests!$1:$1,0)+1),MATCH(C$1,[2]quests!$1:$1,0)-MATCH($B$1,[2]quests!$1:$1,0)+1,FALSE)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2" s="80" t="str">
        <f ca="1">VLOOKUP($B22,OFFSET([2]quests!$A$1,0,0,COUNTA([2]quests!$A:$A),MATCH(D$1,[2]quests!$1:$1,0)-MATCH($B$1,[2]quests!$1:$1,0)+1),MATCH(D$1,[2]quests!$1:$1,0)-MATCH($B$1,[2]quests!$1:$1,0)+1,FALSE)</f>
        <v>タワーオブザクイーン2本目</v>
      </c>
      <c r="E22" s="83" t="s">
        <v>211</v>
      </c>
      <c r="F22" s="80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0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2">
        <v>0</v>
      </c>
      <c r="I22">
        <v>22</v>
      </c>
      <c r="J22" s="81" t="s">
        <v>196</v>
      </c>
      <c r="K22" s="89" t="s">
        <v>304</v>
      </c>
      <c r="L22" s="90" t="s">
        <v>305</v>
      </c>
      <c r="M22" s="55" t="s">
        <v>208</v>
      </c>
    </row>
    <row r="23" spans="1:13" x14ac:dyDescent="0.15">
      <c r="A23" s="78" t="s">
        <v>198</v>
      </c>
      <c r="B23" s="79">
        <v>13400</v>
      </c>
      <c r="C23" s="80" t="str">
        <f ca="1">VLOOKUP($B23,OFFSET([2]quests!$A$1,0,0,COUNTA([2]quests!$A:$A),MATCH(C$1,[2]quests!$1:$1,0)-MATCH($B$1,[2]quests!$1:$1,0)+1),MATCH(C$1,[2]quests!$1:$1,0)-MATCH($B$1,[2]quests!$1:$1,0)+1,FALSE)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3" s="80" t="str">
        <f ca="1">VLOOKUP($B23,OFFSET([2]quests!$A$1,0,0,COUNTA([2]quests!$A:$A),MATCH(D$1,[2]quests!$1:$1,0)-MATCH($B$1,[2]quests!$1:$1,0)+1),MATCH(D$1,[2]quests!$1:$1,0)-MATCH($B$1,[2]quests!$1:$1,0)+1,FALSE)</f>
        <v>タワーオブザクイーン2本目</v>
      </c>
      <c r="E23" s="83" t="s">
        <v>211</v>
      </c>
      <c r="F23" s="80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0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2">
        <v>0</v>
      </c>
      <c r="I23">
        <v>23</v>
      </c>
      <c r="J23" s="81" t="s">
        <v>196</v>
      </c>
      <c r="K23" s="89" t="s">
        <v>306</v>
      </c>
      <c r="L23" s="90" t="s">
        <v>307</v>
      </c>
      <c r="M23" s="55" t="s">
        <v>208</v>
      </c>
    </row>
    <row r="24" spans="1:13" x14ac:dyDescent="0.15">
      <c r="A24" s="78" t="s">
        <v>198</v>
      </c>
      <c r="B24" s="79">
        <v>13400</v>
      </c>
      <c r="C24" s="80" t="str">
        <f ca="1">VLOOKUP($B24,OFFSET([2]quests!$A$1,0,0,COUNTA([2]quests!$A:$A),MATCH(C$1,[2]quests!$1:$1,0)-MATCH($B$1,[2]quests!$1:$1,0)+1),MATCH(C$1,[2]quests!$1:$1,0)-MATCH($B$1,[2]quests!$1:$1,0)+1,FALSE)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4" s="80" t="str">
        <f ca="1">VLOOKUP($B24,OFFSET([2]quests!$A$1,0,0,COUNTA([2]quests!$A:$A),MATCH(D$1,[2]quests!$1:$1,0)-MATCH($B$1,[2]quests!$1:$1,0)+1),MATCH(D$1,[2]quests!$1:$1,0)-MATCH($B$1,[2]quests!$1:$1,0)+1,FALSE)</f>
        <v>タワーオブザクイーン2本目</v>
      </c>
      <c r="E24" s="83" t="s">
        <v>211</v>
      </c>
      <c r="F24" s="80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0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2">
        <v>0</v>
      </c>
      <c r="I24">
        <v>24</v>
      </c>
      <c r="J24" s="81" t="s">
        <v>196</v>
      </c>
      <c r="K24" s="89" t="s">
        <v>308</v>
      </c>
      <c r="L24" s="90" t="s">
        <v>309</v>
      </c>
      <c r="M24" s="55" t="s">
        <v>208</v>
      </c>
    </row>
    <row r="25" spans="1:13" x14ac:dyDescent="0.15">
      <c r="A25" s="78" t="s">
        <v>198</v>
      </c>
      <c r="B25" s="79">
        <v>13400</v>
      </c>
      <c r="C25" s="80" t="str">
        <f ca="1">VLOOKUP($B25,OFFSET([2]quests!$A$1,0,0,COUNTA([2]quests!$A:$A),MATCH(C$1,[2]quests!$1:$1,0)-MATCH($B$1,[2]quests!$1:$1,0)+1),MATCH(C$1,[2]quests!$1:$1,0)-MATCH($B$1,[2]quests!$1:$1,0)+1,FALSE)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5" s="80" t="str">
        <f ca="1">VLOOKUP($B25,OFFSET([2]quests!$A$1,0,0,COUNTA([2]quests!$A:$A),MATCH(D$1,[2]quests!$1:$1,0)-MATCH($B$1,[2]quests!$1:$1,0)+1),MATCH(D$1,[2]quests!$1:$1,0)-MATCH($B$1,[2]quests!$1:$1,0)+1,FALSE)</f>
        <v>タワーオブザクイーン2本目</v>
      </c>
      <c r="E25" s="83" t="s">
        <v>211</v>
      </c>
      <c r="F25" s="80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0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2">
        <v>0</v>
      </c>
      <c r="I25">
        <v>25</v>
      </c>
      <c r="J25" s="81" t="s">
        <v>196</v>
      </c>
      <c r="K25" s="89" t="s">
        <v>310</v>
      </c>
      <c r="L25" s="90" t="s">
        <v>311</v>
      </c>
      <c r="M25" s="55" t="s">
        <v>208</v>
      </c>
    </row>
    <row r="26" spans="1:13" x14ac:dyDescent="0.15">
      <c r="A26" s="78" t="s">
        <v>198</v>
      </c>
      <c r="B26" s="79">
        <v>13400</v>
      </c>
      <c r="C26" s="80" t="str">
        <f ca="1">VLOOKUP($B26,OFFSET([2]quests!$A$1,0,0,COUNTA([2]quests!$A:$A),MATCH(C$1,[2]quests!$1:$1,0)-MATCH($B$1,[2]quests!$1:$1,0)+1),MATCH(C$1,[2]quests!$1:$1,0)-MATCH($B$1,[2]quests!$1:$1,0)+1,FALSE)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6" s="80" t="str">
        <f ca="1">VLOOKUP($B26,OFFSET([2]quests!$A$1,0,0,COUNTA([2]quests!$A:$A),MATCH(D$1,[2]quests!$1:$1,0)-MATCH($B$1,[2]quests!$1:$1,0)+1),MATCH(D$1,[2]quests!$1:$1,0)-MATCH($B$1,[2]quests!$1:$1,0)+1,FALSE)</f>
        <v>タワーオブザクイーン2本目</v>
      </c>
      <c r="E26" s="83" t="s">
        <v>211</v>
      </c>
      <c r="F26" s="80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0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2">
        <v>0</v>
      </c>
      <c r="I26">
        <v>26</v>
      </c>
      <c r="J26" s="81" t="s">
        <v>196</v>
      </c>
      <c r="K26" s="89" t="s">
        <v>312</v>
      </c>
      <c r="L26" s="90" t="s">
        <v>313</v>
      </c>
      <c r="M26" s="55" t="s">
        <v>208</v>
      </c>
    </row>
    <row r="27" spans="1:13" x14ac:dyDescent="0.15">
      <c r="A27" s="78" t="s">
        <v>198</v>
      </c>
      <c r="B27" s="79">
        <v>13400</v>
      </c>
      <c r="C27" s="80" t="str">
        <f ca="1">VLOOKUP($B27,OFFSET([2]quests!$A$1,0,0,COUNTA([2]quests!$A:$A),MATCH(C$1,[2]quests!$1:$1,0)-MATCH($B$1,[2]quests!$1:$1,0)+1),MATCH(C$1,[2]quests!$1:$1,0)-MATCH($B$1,[2]quests!$1:$1,0)+1,FALSE)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7" s="80" t="str">
        <f ca="1">VLOOKUP($B27,OFFSET([2]quests!$A$1,0,0,COUNTA([2]quests!$A:$A),MATCH(D$1,[2]quests!$1:$1,0)-MATCH($B$1,[2]quests!$1:$1,0)+1),MATCH(D$1,[2]quests!$1:$1,0)-MATCH($B$1,[2]quests!$1:$1,0)+1,FALSE)</f>
        <v>タワーオブザクイーン2本目</v>
      </c>
      <c r="E27" s="83" t="s">
        <v>211</v>
      </c>
      <c r="F27" s="80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0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2">
        <v>0</v>
      </c>
      <c r="I27">
        <v>39</v>
      </c>
      <c r="J27" s="81" t="s">
        <v>196</v>
      </c>
      <c r="K27" s="89" t="s">
        <v>314</v>
      </c>
      <c r="L27" s="90" t="s">
        <v>315</v>
      </c>
      <c r="M27" s="55" t="s">
        <v>208</v>
      </c>
    </row>
    <row r="28" spans="1:13" x14ac:dyDescent="0.15">
      <c r="A28" s="78" t="s">
        <v>198</v>
      </c>
      <c r="B28" s="79">
        <v>13400</v>
      </c>
      <c r="C28" s="80" t="str">
        <f ca="1">VLOOKUP($B28,OFFSET([2]quests!$A$1,0,0,COUNTA([2]quests!$A:$A),MATCH(C$1,[2]quests!$1:$1,0)-MATCH($B$1,[2]quests!$1:$1,0)+1),MATCH(C$1,[2]quests!$1:$1,0)-MATCH($B$1,[2]quests!$1:$1,0)+1,FALSE)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8" s="80" t="str">
        <f ca="1">VLOOKUP($B28,OFFSET([2]quests!$A$1,0,0,COUNTA([2]quests!$A:$A),MATCH(D$1,[2]quests!$1:$1,0)-MATCH($B$1,[2]quests!$1:$1,0)+1),MATCH(D$1,[2]quests!$1:$1,0)-MATCH($B$1,[2]quests!$1:$1,0)+1,FALSE)</f>
        <v>タワーオブザクイーン2本目</v>
      </c>
      <c r="E28" s="83" t="s">
        <v>212</v>
      </c>
      <c r="F28" s="80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0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2">
        <v>0</v>
      </c>
      <c r="I28">
        <v>3</v>
      </c>
      <c r="J28" s="81" t="s">
        <v>196</v>
      </c>
      <c r="K28" s="89" t="s">
        <v>268</v>
      </c>
      <c r="L28" s="90" t="s">
        <v>269</v>
      </c>
      <c r="M28" s="55" t="s">
        <v>208</v>
      </c>
    </row>
    <row r="29" spans="1:13" x14ac:dyDescent="0.15">
      <c r="A29" s="78" t="s">
        <v>198</v>
      </c>
      <c r="B29" s="79">
        <v>13400</v>
      </c>
      <c r="C29" s="80" t="str">
        <f ca="1">VLOOKUP($B29,OFFSET([2]quests!$A$1,0,0,COUNTA([2]quests!$A:$A),MATCH(C$1,[2]quests!$1:$1,0)-MATCH($B$1,[2]quests!$1:$1,0)+1),MATCH(C$1,[2]quests!$1:$1,0)-MATCH($B$1,[2]quests!$1:$1,0)+1,FALSE)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9" s="80" t="str">
        <f ca="1">VLOOKUP($B29,OFFSET([2]quests!$A$1,0,0,COUNTA([2]quests!$A:$A),MATCH(D$1,[2]quests!$1:$1,0)-MATCH($B$1,[2]quests!$1:$1,0)+1),MATCH(D$1,[2]quests!$1:$1,0)-MATCH($B$1,[2]quests!$1:$1,0)+1,FALSE)</f>
        <v>タワーオブザクイーン2本目</v>
      </c>
      <c r="E29" s="83" t="s">
        <v>212</v>
      </c>
      <c r="F29" s="80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0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2">
        <v>0</v>
      </c>
      <c r="I29">
        <v>6</v>
      </c>
      <c r="J29" s="81" t="s">
        <v>196</v>
      </c>
      <c r="K29" s="89" t="s">
        <v>272</v>
      </c>
      <c r="L29" s="90" t="s">
        <v>273</v>
      </c>
      <c r="M29" s="55" t="s">
        <v>208</v>
      </c>
    </row>
    <row r="30" spans="1:13" x14ac:dyDescent="0.15">
      <c r="A30" s="78" t="s">
        <v>198</v>
      </c>
      <c r="B30" s="79">
        <v>13400</v>
      </c>
      <c r="C30" s="80" t="str">
        <f ca="1">VLOOKUP($B30,OFFSET([2]quests!$A$1,0,0,COUNTA([2]quests!$A:$A),MATCH(C$1,[2]quests!$1:$1,0)-MATCH($B$1,[2]quests!$1:$1,0)+1),MATCH(C$1,[2]quests!$1:$1,0)-MATCH($B$1,[2]quests!$1:$1,0)+1,FALSE)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0" s="80" t="str">
        <f ca="1">VLOOKUP($B30,OFFSET([2]quests!$A$1,0,0,COUNTA([2]quests!$A:$A),MATCH(D$1,[2]quests!$1:$1,0)-MATCH($B$1,[2]quests!$1:$1,0)+1),MATCH(D$1,[2]quests!$1:$1,0)-MATCH($B$1,[2]quests!$1:$1,0)+1,FALSE)</f>
        <v>タワーオブザクイーン2本目</v>
      </c>
      <c r="E30" s="83" t="s">
        <v>212</v>
      </c>
      <c r="F30" s="80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0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2">
        <v>0</v>
      </c>
      <c r="I30">
        <v>7</v>
      </c>
      <c r="J30" s="81" t="s">
        <v>196</v>
      </c>
      <c r="K30" s="89" t="s">
        <v>274</v>
      </c>
      <c r="L30" s="90" t="s">
        <v>275</v>
      </c>
      <c r="M30" s="55" t="s">
        <v>208</v>
      </c>
    </row>
    <row r="31" spans="1:13" x14ac:dyDescent="0.15">
      <c r="A31" s="78" t="s">
        <v>198</v>
      </c>
      <c r="B31" s="79">
        <v>13400</v>
      </c>
      <c r="C31" s="80" t="str">
        <f ca="1">VLOOKUP($B31,OFFSET([2]quests!$A$1,0,0,COUNTA([2]quests!$A:$A),MATCH(C$1,[2]quests!$1:$1,0)-MATCH($B$1,[2]quests!$1:$1,0)+1),MATCH(C$1,[2]quests!$1:$1,0)-MATCH($B$1,[2]quests!$1:$1,0)+1,FALSE)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1" s="80" t="str">
        <f ca="1">VLOOKUP($B31,OFFSET([2]quests!$A$1,0,0,COUNTA([2]quests!$A:$A),MATCH(D$1,[2]quests!$1:$1,0)-MATCH($B$1,[2]quests!$1:$1,0)+1),MATCH(D$1,[2]quests!$1:$1,0)-MATCH($B$1,[2]quests!$1:$1,0)+1,FALSE)</f>
        <v>タワーオブザクイーン2本目</v>
      </c>
      <c r="E31" s="83" t="s">
        <v>212</v>
      </c>
      <c r="F31" s="80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0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2">
        <v>0</v>
      </c>
      <c r="I31">
        <v>8</v>
      </c>
      <c r="J31" s="81" t="s">
        <v>196</v>
      </c>
      <c r="K31" s="89" t="s">
        <v>276</v>
      </c>
      <c r="L31" s="90" t="s">
        <v>277</v>
      </c>
      <c r="M31" s="55" t="s">
        <v>208</v>
      </c>
    </row>
    <row r="32" spans="1:13" x14ac:dyDescent="0.15">
      <c r="A32" s="78" t="s">
        <v>198</v>
      </c>
      <c r="B32" s="79">
        <v>13400</v>
      </c>
      <c r="C32" s="80" t="str">
        <f ca="1">VLOOKUP($B32,OFFSET([2]quests!$A$1,0,0,COUNTA([2]quests!$A:$A),MATCH(C$1,[2]quests!$1:$1,0)-MATCH($B$1,[2]quests!$1:$1,0)+1),MATCH(C$1,[2]quests!$1:$1,0)-MATCH($B$1,[2]quests!$1:$1,0)+1,FALSE)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2" s="80" t="str">
        <f ca="1">VLOOKUP($B32,OFFSET([2]quests!$A$1,0,0,COUNTA([2]quests!$A:$A),MATCH(D$1,[2]quests!$1:$1,0)-MATCH($B$1,[2]quests!$1:$1,0)+1),MATCH(D$1,[2]quests!$1:$1,0)-MATCH($B$1,[2]quests!$1:$1,0)+1,FALSE)</f>
        <v>タワーオブザクイーン2本目</v>
      </c>
      <c r="E32" s="83" t="s">
        <v>212</v>
      </c>
      <c r="F32" s="80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0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2">
        <v>0</v>
      </c>
      <c r="I32">
        <v>9</v>
      </c>
      <c r="J32" s="81" t="s">
        <v>196</v>
      </c>
      <c r="K32" s="89" t="s">
        <v>278</v>
      </c>
      <c r="L32" s="90" t="s">
        <v>279</v>
      </c>
      <c r="M32" s="55" t="s">
        <v>208</v>
      </c>
    </row>
    <row r="33" spans="1:13" x14ac:dyDescent="0.15">
      <c r="A33" s="78" t="s">
        <v>198</v>
      </c>
      <c r="B33" s="79">
        <v>13400</v>
      </c>
      <c r="C33" s="80" t="str">
        <f ca="1">VLOOKUP($B33,OFFSET([2]quests!$A$1,0,0,COUNTA([2]quests!$A:$A),MATCH(C$1,[2]quests!$1:$1,0)-MATCH($B$1,[2]quests!$1:$1,0)+1),MATCH(C$1,[2]quests!$1:$1,0)-MATCH($B$1,[2]quests!$1:$1,0)+1,FALSE)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3" s="80" t="str">
        <f ca="1">VLOOKUP($B33,OFFSET([2]quests!$A$1,0,0,COUNTA([2]quests!$A:$A),MATCH(D$1,[2]quests!$1:$1,0)-MATCH($B$1,[2]quests!$1:$1,0)+1),MATCH(D$1,[2]quests!$1:$1,0)-MATCH($B$1,[2]quests!$1:$1,0)+1,FALSE)</f>
        <v>タワーオブザクイーン2本目</v>
      </c>
      <c r="E33" s="83" t="s">
        <v>212</v>
      </c>
      <c r="F33" s="80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0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2">
        <v>0</v>
      </c>
      <c r="I33">
        <v>10</v>
      </c>
      <c r="J33" s="81" t="s">
        <v>196</v>
      </c>
      <c r="K33" s="89" t="s">
        <v>280</v>
      </c>
      <c r="L33" s="90" t="s">
        <v>281</v>
      </c>
      <c r="M33" s="55" t="s">
        <v>208</v>
      </c>
    </row>
    <row r="34" spans="1:13" x14ac:dyDescent="0.15">
      <c r="A34" s="78" t="s">
        <v>198</v>
      </c>
      <c r="B34" s="79">
        <v>13400</v>
      </c>
      <c r="C34" s="80" t="str">
        <f ca="1">VLOOKUP($B34,OFFSET([2]quests!$A$1,0,0,COUNTA([2]quests!$A:$A),MATCH(C$1,[2]quests!$1:$1,0)-MATCH($B$1,[2]quests!$1:$1,0)+1),MATCH(C$1,[2]quests!$1:$1,0)-MATCH($B$1,[2]quests!$1:$1,0)+1,FALSE)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4" s="80" t="str">
        <f ca="1">VLOOKUP($B34,OFFSET([2]quests!$A$1,0,0,COUNTA([2]quests!$A:$A),MATCH(D$1,[2]quests!$1:$1,0)-MATCH($B$1,[2]quests!$1:$1,0)+1),MATCH(D$1,[2]quests!$1:$1,0)-MATCH($B$1,[2]quests!$1:$1,0)+1,FALSE)</f>
        <v>タワーオブザクイーン2本目</v>
      </c>
      <c r="E34" s="83" t="s">
        <v>212</v>
      </c>
      <c r="F34" s="80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0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2">
        <v>0</v>
      </c>
      <c r="I34">
        <v>11</v>
      </c>
      <c r="J34" s="81" t="s">
        <v>196</v>
      </c>
      <c r="K34" s="89" t="s">
        <v>282</v>
      </c>
      <c r="L34" s="90" t="s">
        <v>283</v>
      </c>
      <c r="M34" s="55" t="s">
        <v>208</v>
      </c>
    </row>
    <row r="35" spans="1:13" x14ac:dyDescent="0.15">
      <c r="A35" s="78" t="s">
        <v>198</v>
      </c>
      <c r="B35" s="79">
        <v>13400</v>
      </c>
      <c r="C35" s="80" t="str">
        <f ca="1">VLOOKUP($B35,OFFSET([2]quests!$A$1,0,0,COUNTA([2]quests!$A:$A),MATCH(C$1,[2]quests!$1:$1,0)-MATCH($B$1,[2]quests!$1:$1,0)+1),MATCH(C$1,[2]quests!$1:$1,0)-MATCH($B$1,[2]quests!$1:$1,0)+1,FALSE)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5" s="80" t="str">
        <f ca="1">VLOOKUP($B35,OFFSET([2]quests!$A$1,0,0,COUNTA([2]quests!$A:$A),MATCH(D$1,[2]quests!$1:$1,0)-MATCH($B$1,[2]quests!$1:$1,0)+1),MATCH(D$1,[2]quests!$1:$1,0)-MATCH($B$1,[2]quests!$1:$1,0)+1,FALSE)</f>
        <v>タワーオブザクイーン2本目</v>
      </c>
      <c r="E35" s="83" t="s">
        <v>212</v>
      </c>
      <c r="F35" s="80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0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2">
        <v>0</v>
      </c>
      <c r="I35">
        <v>12</v>
      </c>
      <c r="J35" s="81" t="s">
        <v>196</v>
      </c>
      <c r="K35" s="89" t="s">
        <v>284</v>
      </c>
      <c r="L35" s="90" t="s">
        <v>285</v>
      </c>
      <c r="M35" s="55" t="s">
        <v>208</v>
      </c>
    </row>
    <row r="36" spans="1:13" x14ac:dyDescent="0.15">
      <c r="A36" s="78" t="s">
        <v>198</v>
      </c>
      <c r="B36" s="79">
        <v>13400</v>
      </c>
      <c r="C36" s="80" t="str">
        <f ca="1">VLOOKUP($B36,OFFSET([2]quests!$A$1,0,0,COUNTA([2]quests!$A:$A),MATCH(C$1,[2]quests!$1:$1,0)-MATCH($B$1,[2]quests!$1:$1,0)+1),MATCH(C$1,[2]quests!$1:$1,0)-MATCH($B$1,[2]quests!$1:$1,0)+1,FALSE)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6" s="80" t="str">
        <f ca="1">VLOOKUP($B36,OFFSET([2]quests!$A$1,0,0,COUNTA([2]quests!$A:$A),MATCH(D$1,[2]quests!$1:$1,0)-MATCH($B$1,[2]quests!$1:$1,0)+1),MATCH(D$1,[2]quests!$1:$1,0)-MATCH($B$1,[2]quests!$1:$1,0)+1,FALSE)</f>
        <v>タワーオブザクイーン2本目</v>
      </c>
      <c r="E36" s="83" t="s">
        <v>212</v>
      </c>
      <c r="F36" s="80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0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2">
        <v>0</v>
      </c>
      <c r="I36">
        <v>13</v>
      </c>
      <c r="J36" s="81" t="s">
        <v>196</v>
      </c>
      <c r="K36" s="89" t="s">
        <v>286</v>
      </c>
      <c r="L36" s="90" t="s">
        <v>287</v>
      </c>
      <c r="M36" s="55" t="s">
        <v>208</v>
      </c>
    </row>
    <row r="37" spans="1:13" x14ac:dyDescent="0.15">
      <c r="A37" s="78" t="s">
        <v>198</v>
      </c>
      <c r="B37" s="79">
        <v>13400</v>
      </c>
      <c r="C37" s="80" t="str">
        <f ca="1">VLOOKUP($B37,OFFSET([2]quests!$A$1,0,0,COUNTA([2]quests!$A:$A),MATCH(C$1,[2]quests!$1:$1,0)-MATCH($B$1,[2]quests!$1:$1,0)+1),MATCH(C$1,[2]quests!$1:$1,0)-MATCH($B$1,[2]quests!$1:$1,0)+1,FALSE)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7" s="80" t="str">
        <f ca="1">VLOOKUP($B37,OFFSET([2]quests!$A$1,0,0,COUNTA([2]quests!$A:$A),MATCH(D$1,[2]quests!$1:$1,0)-MATCH($B$1,[2]quests!$1:$1,0)+1),MATCH(D$1,[2]quests!$1:$1,0)-MATCH($B$1,[2]quests!$1:$1,0)+1,FALSE)</f>
        <v>タワーオブザクイーン2本目</v>
      </c>
      <c r="E37" s="83" t="s">
        <v>212</v>
      </c>
      <c r="F37" s="80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0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2">
        <v>0</v>
      </c>
      <c r="I37">
        <v>14</v>
      </c>
      <c r="J37" s="81" t="s">
        <v>196</v>
      </c>
      <c r="K37" s="89" t="s">
        <v>288</v>
      </c>
      <c r="L37" s="90" t="s">
        <v>289</v>
      </c>
      <c r="M37" s="55" t="s">
        <v>208</v>
      </c>
    </row>
    <row r="38" spans="1:13" x14ac:dyDescent="0.15">
      <c r="A38" s="78" t="s">
        <v>198</v>
      </c>
      <c r="B38" s="79">
        <v>13400</v>
      </c>
      <c r="C38" s="80" t="str">
        <f ca="1">VLOOKUP($B38,OFFSET([2]quests!$A$1,0,0,COUNTA([2]quests!$A:$A),MATCH(C$1,[2]quests!$1:$1,0)-MATCH($B$1,[2]quests!$1:$1,0)+1),MATCH(C$1,[2]quests!$1:$1,0)-MATCH($B$1,[2]quests!$1:$1,0)+1,FALSE)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8" s="80" t="str">
        <f ca="1">VLOOKUP($B38,OFFSET([2]quests!$A$1,0,0,COUNTA([2]quests!$A:$A),MATCH(D$1,[2]quests!$1:$1,0)-MATCH($B$1,[2]quests!$1:$1,0)+1),MATCH(D$1,[2]quests!$1:$1,0)-MATCH($B$1,[2]quests!$1:$1,0)+1,FALSE)</f>
        <v>タワーオブザクイーン2本目</v>
      </c>
      <c r="E38" s="83" t="s">
        <v>212</v>
      </c>
      <c r="F38" s="80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0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2">
        <v>0</v>
      </c>
      <c r="I38">
        <v>15</v>
      </c>
      <c r="J38" s="81" t="s">
        <v>196</v>
      </c>
      <c r="K38" s="89" t="s">
        <v>290</v>
      </c>
      <c r="L38" s="90" t="s">
        <v>291</v>
      </c>
      <c r="M38" s="55" t="s">
        <v>208</v>
      </c>
    </row>
    <row r="39" spans="1:13" x14ac:dyDescent="0.15">
      <c r="A39" s="78" t="s">
        <v>198</v>
      </c>
      <c r="B39" s="79">
        <v>13400</v>
      </c>
      <c r="C39" s="80" t="str">
        <f ca="1">VLOOKUP($B39,OFFSET([2]quests!$A$1,0,0,COUNTA([2]quests!$A:$A),MATCH(C$1,[2]quests!$1:$1,0)-MATCH($B$1,[2]quests!$1:$1,0)+1),MATCH(C$1,[2]quests!$1:$1,0)-MATCH($B$1,[2]quests!$1:$1,0)+1,FALSE)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9" s="80" t="str">
        <f ca="1">VLOOKUP($B39,OFFSET([2]quests!$A$1,0,0,COUNTA([2]quests!$A:$A),MATCH(D$1,[2]quests!$1:$1,0)-MATCH($B$1,[2]quests!$1:$1,0)+1),MATCH(D$1,[2]quests!$1:$1,0)-MATCH($B$1,[2]quests!$1:$1,0)+1,FALSE)</f>
        <v>タワーオブザクイーン2本目</v>
      </c>
      <c r="E39" s="83" t="s">
        <v>212</v>
      </c>
      <c r="F39" s="80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0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2">
        <v>0</v>
      </c>
      <c r="I39">
        <v>16</v>
      </c>
      <c r="J39" s="81" t="s">
        <v>196</v>
      </c>
      <c r="K39" s="89" t="s">
        <v>292</v>
      </c>
      <c r="L39" s="90" t="s">
        <v>293</v>
      </c>
      <c r="M39" s="55" t="s">
        <v>208</v>
      </c>
    </row>
    <row r="40" spans="1:13" x14ac:dyDescent="0.15">
      <c r="A40" s="78" t="s">
        <v>198</v>
      </c>
      <c r="B40" s="79">
        <v>13400</v>
      </c>
      <c r="C40" s="80" t="str">
        <f ca="1">VLOOKUP($B40,OFFSET([2]quests!$A$1,0,0,COUNTA([2]quests!$A:$A),MATCH(C$1,[2]quests!$1:$1,0)-MATCH($B$1,[2]quests!$1:$1,0)+1),MATCH(C$1,[2]quests!$1:$1,0)-MATCH($B$1,[2]quests!$1:$1,0)+1,FALSE)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0" s="80" t="str">
        <f ca="1">VLOOKUP($B40,OFFSET([2]quests!$A$1,0,0,COUNTA([2]quests!$A:$A),MATCH(D$1,[2]quests!$1:$1,0)-MATCH($B$1,[2]quests!$1:$1,0)+1),MATCH(D$1,[2]quests!$1:$1,0)-MATCH($B$1,[2]quests!$1:$1,0)+1,FALSE)</f>
        <v>タワーオブザクイーン2本目</v>
      </c>
      <c r="E40" s="83" t="s">
        <v>212</v>
      </c>
      <c r="F40" s="80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0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2">
        <v>0</v>
      </c>
      <c r="I40">
        <v>17</v>
      </c>
      <c r="J40" s="81" t="s">
        <v>196</v>
      </c>
      <c r="K40" s="89" t="s">
        <v>294</v>
      </c>
      <c r="L40" s="90" t="s">
        <v>295</v>
      </c>
      <c r="M40" s="55" t="s">
        <v>208</v>
      </c>
    </row>
    <row r="41" spans="1:13" x14ac:dyDescent="0.15">
      <c r="A41" s="78" t="s">
        <v>198</v>
      </c>
      <c r="B41" s="79">
        <v>13400</v>
      </c>
      <c r="C41" s="80" t="str">
        <f ca="1">VLOOKUP($B41,OFFSET([2]quests!$A$1,0,0,COUNTA([2]quests!$A:$A),MATCH(C$1,[2]quests!$1:$1,0)-MATCH($B$1,[2]quests!$1:$1,0)+1),MATCH(C$1,[2]quests!$1:$1,0)-MATCH($B$1,[2]quests!$1:$1,0)+1,FALSE)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1" s="80" t="str">
        <f ca="1">VLOOKUP($B41,OFFSET([2]quests!$A$1,0,0,COUNTA([2]quests!$A:$A),MATCH(D$1,[2]quests!$1:$1,0)-MATCH($B$1,[2]quests!$1:$1,0)+1),MATCH(D$1,[2]quests!$1:$1,0)-MATCH($B$1,[2]quests!$1:$1,0)+1,FALSE)</f>
        <v>タワーオブザクイーン2本目</v>
      </c>
      <c r="E41" s="83" t="s">
        <v>212</v>
      </c>
      <c r="F41" s="80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0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2">
        <v>0</v>
      </c>
      <c r="I41">
        <v>18</v>
      </c>
      <c r="J41" s="81" t="s">
        <v>196</v>
      </c>
      <c r="K41" s="89" t="s">
        <v>296</v>
      </c>
      <c r="L41" s="90" t="s">
        <v>297</v>
      </c>
      <c r="M41" s="55" t="s">
        <v>208</v>
      </c>
    </row>
    <row r="42" spans="1:13" x14ac:dyDescent="0.15">
      <c r="A42" s="78" t="s">
        <v>198</v>
      </c>
      <c r="B42" s="79">
        <v>13400</v>
      </c>
      <c r="C42" s="80" t="str">
        <f ca="1">VLOOKUP($B42,OFFSET([2]quests!$A$1,0,0,COUNTA([2]quests!$A:$A),MATCH(C$1,[2]quests!$1:$1,0)-MATCH($B$1,[2]quests!$1:$1,0)+1),MATCH(C$1,[2]quests!$1:$1,0)-MATCH($B$1,[2]quests!$1:$1,0)+1,FALSE)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2" s="80" t="str">
        <f ca="1">VLOOKUP($B42,OFFSET([2]quests!$A$1,0,0,COUNTA([2]quests!$A:$A),MATCH(D$1,[2]quests!$1:$1,0)-MATCH($B$1,[2]quests!$1:$1,0)+1),MATCH(D$1,[2]quests!$1:$1,0)-MATCH($B$1,[2]quests!$1:$1,0)+1,FALSE)</f>
        <v>タワーオブザクイーン2本目</v>
      </c>
      <c r="E42" s="83" t="s">
        <v>212</v>
      </c>
      <c r="F42" s="80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0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2">
        <v>0</v>
      </c>
      <c r="I42">
        <v>19</v>
      </c>
      <c r="J42" s="81" t="s">
        <v>196</v>
      </c>
      <c r="K42" s="89" t="s">
        <v>298</v>
      </c>
      <c r="L42" s="90" t="s">
        <v>299</v>
      </c>
      <c r="M42" s="55" t="s">
        <v>208</v>
      </c>
    </row>
    <row r="43" spans="1:13" x14ac:dyDescent="0.15">
      <c r="A43" s="78" t="s">
        <v>198</v>
      </c>
      <c r="B43" s="79">
        <v>13400</v>
      </c>
      <c r="C43" s="80" t="str">
        <f ca="1">VLOOKUP($B43,OFFSET([2]quests!$A$1,0,0,COUNTA([2]quests!$A:$A),MATCH(C$1,[2]quests!$1:$1,0)-MATCH($B$1,[2]quests!$1:$1,0)+1),MATCH(C$1,[2]quests!$1:$1,0)-MATCH($B$1,[2]quests!$1:$1,0)+1,FALSE)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3" s="80" t="str">
        <f ca="1">VLOOKUP($B43,OFFSET([2]quests!$A$1,0,0,COUNTA([2]quests!$A:$A),MATCH(D$1,[2]quests!$1:$1,0)-MATCH($B$1,[2]quests!$1:$1,0)+1),MATCH(D$1,[2]quests!$1:$1,0)-MATCH($B$1,[2]quests!$1:$1,0)+1,FALSE)</f>
        <v>タワーオブザクイーン2本目</v>
      </c>
      <c r="E43" s="83" t="s">
        <v>212</v>
      </c>
      <c r="F43" s="80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0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2">
        <v>0</v>
      </c>
      <c r="I43">
        <v>20</v>
      </c>
      <c r="J43" s="81" t="s">
        <v>196</v>
      </c>
      <c r="K43" s="89" t="s">
        <v>300</v>
      </c>
      <c r="L43" s="90" t="s">
        <v>301</v>
      </c>
      <c r="M43" s="55" t="s">
        <v>208</v>
      </c>
    </row>
    <row r="44" spans="1:13" x14ac:dyDescent="0.15">
      <c r="A44" s="78" t="s">
        <v>198</v>
      </c>
      <c r="B44" s="79">
        <v>13400</v>
      </c>
      <c r="C44" s="80" t="str">
        <f ca="1">VLOOKUP($B44,OFFSET([2]quests!$A$1,0,0,COUNTA([2]quests!$A:$A),MATCH(C$1,[2]quests!$1:$1,0)-MATCH($B$1,[2]quests!$1:$1,0)+1),MATCH(C$1,[2]quests!$1:$1,0)-MATCH($B$1,[2]quests!$1:$1,0)+1,FALSE)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4" s="80" t="str">
        <f ca="1">VLOOKUP($B44,OFFSET([2]quests!$A$1,0,0,COUNTA([2]quests!$A:$A),MATCH(D$1,[2]quests!$1:$1,0)-MATCH($B$1,[2]quests!$1:$1,0)+1),MATCH(D$1,[2]quests!$1:$1,0)-MATCH($B$1,[2]quests!$1:$1,0)+1,FALSE)</f>
        <v>タワーオブザクイーン2本目</v>
      </c>
      <c r="E44" s="83" t="s">
        <v>212</v>
      </c>
      <c r="F44" s="80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0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2">
        <v>0</v>
      </c>
      <c r="I44">
        <v>21</v>
      </c>
      <c r="J44" s="81" t="s">
        <v>196</v>
      </c>
      <c r="K44" s="89" t="s">
        <v>302</v>
      </c>
      <c r="L44" s="90" t="s">
        <v>303</v>
      </c>
      <c r="M44" s="55" t="s">
        <v>208</v>
      </c>
    </row>
    <row r="45" spans="1:13" x14ac:dyDescent="0.15">
      <c r="A45" s="78" t="s">
        <v>198</v>
      </c>
      <c r="B45" s="79">
        <v>13400</v>
      </c>
      <c r="C45" s="80" t="str">
        <f ca="1">VLOOKUP($B45,OFFSET([2]quests!$A$1,0,0,COUNTA([2]quests!$A:$A),MATCH(C$1,[2]quests!$1:$1,0)-MATCH($B$1,[2]quests!$1:$1,0)+1),MATCH(C$1,[2]quests!$1:$1,0)-MATCH($B$1,[2]quests!$1:$1,0)+1,FALSE)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5" s="80" t="str">
        <f ca="1">VLOOKUP($B45,OFFSET([2]quests!$A$1,0,0,COUNTA([2]quests!$A:$A),MATCH(D$1,[2]quests!$1:$1,0)-MATCH($B$1,[2]quests!$1:$1,0)+1),MATCH(D$1,[2]quests!$1:$1,0)-MATCH($B$1,[2]quests!$1:$1,0)+1,FALSE)</f>
        <v>タワーオブザクイーン2本目</v>
      </c>
      <c r="E45" s="83" t="s">
        <v>212</v>
      </c>
      <c r="F45" s="80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0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2">
        <v>0</v>
      </c>
      <c r="I45">
        <v>22</v>
      </c>
      <c r="J45" s="81" t="s">
        <v>196</v>
      </c>
      <c r="K45" s="89" t="s">
        <v>304</v>
      </c>
      <c r="L45" s="90" t="s">
        <v>305</v>
      </c>
      <c r="M45" s="55" t="s">
        <v>208</v>
      </c>
    </row>
    <row r="46" spans="1:13" x14ac:dyDescent="0.15">
      <c r="A46" s="78" t="s">
        <v>198</v>
      </c>
      <c r="B46" s="79">
        <v>13400</v>
      </c>
      <c r="C46" s="80" t="str">
        <f ca="1">VLOOKUP($B46,OFFSET([2]quests!$A$1,0,0,COUNTA([2]quests!$A:$A),MATCH(C$1,[2]quests!$1:$1,0)-MATCH($B$1,[2]quests!$1:$1,0)+1),MATCH(C$1,[2]quests!$1:$1,0)-MATCH($B$1,[2]quests!$1:$1,0)+1,FALSE)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6" s="80" t="str">
        <f ca="1">VLOOKUP($B46,OFFSET([2]quests!$A$1,0,0,COUNTA([2]quests!$A:$A),MATCH(D$1,[2]quests!$1:$1,0)-MATCH($B$1,[2]quests!$1:$1,0)+1),MATCH(D$1,[2]quests!$1:$1,0)-MATCH($B$1,[2]quests!$1:$1,0)+1,FALSE)</f>
        <v>タワーオブザクイーン2本目</v>
      </c>
      <c r="E46" s="83" t="s">
        <v>212</v>
      </c>
      <c r="F46" s="80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0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2">
        <v>0</v>
      </c>
      <c r="I46">
        <v>23</v>
      </c>
      <c r="J46" s="81" t="s">
        <v>196</v>
      </c>
      <c r="K46" s="89" t="s">
        <v>306</v>
      </c>
      <c r="L46" s="90" t="s">
        <v>307</v>
      </c>
      <c r="M46" s="55" t="s">
        <v>208</v>
      </c>
    </row>
    <row r="47" spans="1:13" x14ac:dyDescent="0.15">
      <c r="A47" s="78" t="s">
        <v>198</v>
      </c>
      <c r="B47" s="79">
        <v>13400</v>
      </c>
      <c r="C47" s="80" t="str">
        <f ca="1">VLOOKUP($B47,OFFSET([2]quests!$A$1,0,0,COUNTA([2]quests!$A:$A),MATCH(C$1,[2]quests!$1:$1,0)-MATCH($B$1,[2]quests!$1:$1,0)+1),MATCH(C$1,[2]quests!$1:$1,0)-MATCH($B$1,[2]quests!$1:$1,0)+1,FALSE)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7" s="80" t="str">
        <f ca="1">VLOOKUP($B47,OFFSET([2]quests!$A$1,0,0,COUNTA([2]quests!$A:$A),MATCH(D$1,[2]quests!$1:$1,0)-MATCH($B$1,[2]quests!$1:$1,0)+1),MATCH(D$1,[2]quests!$1:$1,0)-MATCH($B$1,[2]quests!$1:$1,0)+1,FALSE)</f>
        <v>タワーオブザクイーン2本目</v>
      </c>
      <c r="E47" s="83" t="s">
        <v>212</v>
      </c>
      <c r="F47" s="80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0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2">
        <v>0</v>
      </c>
      <c r="I47">
        <v>24</v>
      </c>
      <c r="J47" s="81" t="s">
        <v>196</v>
      </c>
      <c r="K47" s="89" t="s">
        <v>308</v>
      </c>
      <c r="L47" s="90" t="s">
        <v>309</v>
      </c>
      <c r="M47" s="55" t="s">
        <v>208</v>
      </c>
    </row>
    <row r="48" spans="1:13" x14ac:dyDescent="0.15">
      <c r="A48" s="78" t="s">
        <v>198</v>
      </c>
      <c r="B48" s="79">
        <v>13400</v>
      </c>
      <c r="C48" s="80" t="str">
        <f ca="1">VLOOKUP($B48,OFFSET([2]quests!$A$1,0,0,COUNTA([2]quests!$A:$A),MATCH(C$1,[2]quests!$1:$1,0)-MATCH($B$1,[2]quests!$1:$1,0)+1),MATCH(C$1,[2]quests!$1:$1,0)-MATCH($B$1,[2]quests!$1:$1,0)+1,FALSE)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8" s="80" t="str">
        <f ca="1">VLOOKUP($B48,OFFSET([2]quests!$A$1,0,0,COUNTA([2]quests!$A:$A),MATCH(D$1,[2]quests!$1:$1,0)-MATCH($B$1,[2]quests!$1:$1,0)+1),MATCH(D$1,[2]quests!$1:$1,0)-MATCH($B$1,[2]quests!$1:$1,0)+1,FALSE)</f>
        <v>タワーオブザクイーン2本目</v>
      </c>
      <c r="E48" s="83" t="s">
        <v>212</v>
      </c>
      <c r="F48" s="80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0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2">
        <v>0</v>
      </c>
      <c r="I48">
        <v>25</v>
      </c>
      <c r="J48" s="81" t="s">
        <v>196</v>
      </c>
      <c r="K48" s="89" t="s">
        <v>310</v>
      </c>
      <c r="L48" s="90" t="s">
        <v>311</v>
      </c>
      <c r="M48" s="55" t="s">
        <v>208</v>
      </c>
    </row>
    <row r="49" spans="1:13" x14ac:dyDescent="0.15">
      <c r="A49" s="78" t="s">
        <v>198</v>
      </c>
      <c r="B49" s="79">
        <v>13400</v>
      </c>
      <c r="C49" s="80" t="str">
        <f ca="1">VLOOKUP($B49,OFFSET([2]quests!$A$1,0,0,COUNTA([2]quests!$A:$A),MATCH(C$1,[2]quests!$1:$1,0)-MATCH($B$1,[2]quests!$1:$1,0)+1),MATCH(C$1,[2]quests!$1:$1,0)-MATCH($B$1,[2]quests!$1:$1,0)+1,FALSE)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9" s="80" t="str">
        <f ca="1">VLOOKUP($B49,OFFSET([2]quests!$A$1,0,0,COUNTA([2]quests!$A:$A),MATCH(D$1,[2]quests!$1:$1,0)-MATCH($B$1,[2]quests!$1:$1,0)+1),MATCH(D$1,[2]quests!$1:$1,0)-MATCH($B$1,[2]quests!$1:$1,0)+1,FALSE)</f>
        <v>タワーオブザクイーン2本目</v>
      </c>
      <c r="E49" s="83" t="s">
        <v>212</v>
      </c>
      <c r="F49" s="80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0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2">
        <v>0</v>
      </c>
      <c r="I49">
        <v>26</v>
      </c>
      <c r="J49" s="81" t="s">
        <v>196</v>
      </c>
      <c r="K49" s="89" t="s">
        <v>312</v>
      </c>
      <c r="L49" s="90" t="s">
        <v>313</v>
      </c>
      <c r="M49" s="55" t="s">
        <v>208</v>
      </c>
    </row>
    <row r="50" spans="1:13" x14ac:dyDescent="0.15">
      <c r="A50" s="78" t="s">
        <v>198</v>
      </c>
      <c r="B50" s="79">
        <v>13400</v>
      </c>
      <c r="C50" s="80" t="str">
        <f ca="1">VLOOKUP($B50,OFFSET([2]quests!$A$1,0,0,COUNTA([2]quests!$A:$A),MATCH(C$1,[2]quests!$1:$1,0)-MATCH($B$1,[2]quests!$1:$1,0)+1),MATCH(C$1,[2]quests!$1:$1,0)-MATCH($B$1,[2]quests!$1:$1,0)+1,FALSE)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0" s="80" t="str">
        <f ca="1">VLOOKUP($B50,OFFSET([2]quests!$A$1,0,0,COUNTA([2]quests!$A:$A),MATCH(D$1,[2]quests!$1:$1,0)-MATCH($B$1,[2]quests!$1:$1,0)+1),MATCH(D$1,[2]quests!$1:$1,0)-MATCH($B$1,[2]quests!$1:$1,0)+1,FALSE)</f>
        <v>タワーオブザクイーン2本目</v>
      </c>
      <c r="E50" s="83" t="s">
        <v>212</v>
      </c>
      <c r="F50" s="80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0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2">
        <v>0</v>
      </c>
      <c r="I50">
        <v>27</v>
      </c>
      <c r="J50" s="81" t="s">
        <v>196</v>
      </c>
      <c r="K50" s="89" t="s">
        <v>316</v>
      </c>
      <c r="L50" s="90" t="s">
        <v>317</v>
      </c>
      <c r="M50" s="55" t="s">
        <v>208</v>
      </c>
    </row>
    <row r="51" spans="1:13" x14ac:dyDescent="0.15">
      <c r="A51" s="78" t="s">
        <v>198</v>
      </c>
      <c r="B51" s="79">
        <v>13400</v>
      </c>
      <c r="C51" s="80" t="str">
        <f ca="1">VLOOKUP($B51,OFFSET([2]quests!$A$1,0,0,COUNTA([2]quests!$A:$A),MATCH(C$1,[2]quests!$1:$1,0)-MATCH($B$1,[2]quests!$1:$1,0)+1),MATCH(C$1,[2]quests!$1:$1,0)-MATCH($B$1,[2]quests!$1:$1,0)+1,FALSE)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1" s="80" t="str">
        <f ca="1">VLOOKUP($B51,OFFSET([2]quests!$A$1,0,0,COUNTA([2]quests!$A:$A),MATCH(D$1,[2]quests!$1:$1,0)-MATCH($B$1,[2]quests!$1:$1,0)+1),MATCH(D$1,[2]quests!$1:$1,0)-MATCH($B$1,[2]quests!$1:$1,0)+1,FALSE)</f>
        <v>タワーオブザクイーン2本目</v>
      </c>
      <c r="E51" s="83" t="s">
        <v>212</v>
      </c>
      <c r="F51" s="80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0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2">
        <v>0</v>
      </c>
      <c r="I51">
        <v>28</v>
      </c>
      <c r="J51" s="81" t="s">
        <v>196</v>
      </c>
      <c r="K51" s="89" t="s">
        <v>318</v>
      </c>
      <c r="L51" s="90" t="s">
        <v>319</v>
      </c>
      <c r="M51" s="55" t="s">
        <v>208</v>
      </c>
    </row>
    <row r="52" spans="1:13" x14ac:dyDescent="0.15">
      <c r="A52" s="78" t="s">
        <v>198</v>
      </c>
      <c r="B52" s="79">
        <v>13400</v>
      </c>
      <c r="C52" s="80" t="str">
        <f ca="1">VLOOKUP($B52,OFFSET([2]quests!$A$1,0,0,COUNTA([2]quests!$A:$A),MATCH(C$1,[2]quests!$1:$1,0)-MATCH($B$1,[2]quests!$1:$1,0)+1),MATCH(C$1,[2]quests!$1:$1,0)-MATCH($B$1,[2]quests!$1:$1,0)+1,FALSE)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2" s="80" t="str">
        <f ca="1">VLOOKUP($B52,OFFSET([2]quests!$A$1,0,0,COUNTA([2]quests!$A:$A),MATCH(D$1,[2]quests!$1:$1,0)-MATCH($B$1,[2]quests!$1:$1,0)+1),MATCH(D$1,[2]quests!$1:$1,0)-MATCH($B$1,[2]quests!$1:$1,0)+1,FALSE)</f>
        <v>タワーオブザクイーン2本目</v>
      </c>
      <c r="E52" s="83" t="s">
        <v>212</v>
      </c>
      <c r="F52" s="80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0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2">
        <v>0</v>
      </c>
      <c r="I52">
        <v>29</v>
      </c>
      <c r="J52" s="81" t="s">
        <v>196</v>
      </c>
      <c r="K52" s="89" t="s">
        <v>320</v>
      </c>
      <c r="L52" s="90" t="s">
        <v>321</v>
      </c>
      <c r="M52" s="55" t="s">
        <v>208</v>
      </c>
    </row>
    <row r="53" spans="1:13" x14ac:dyDescent="0.15">
      <c r="A53" s="78" t="s">
        <v>198</v>
      </c>
      <c r="B53" s="79">
        <v>13400</v>
      </c>
      <c r="C53" s="80" t="str">
        <f ca="1">VLOOKUP($B53,OFFSET([2]quests!$A$1,0,0,COUNTA([2]quests!$A:$A),MATCH(C$1,[2]quests!$1:$1,0)-MATCH($B$1,[2]quests!$1:$1,0)+1),MATCH(C$1,[2]quests!$1:$1,0)-MATCH($B$1,[2]quests!$1:$1,0)+1,FALSE)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3" s="80" t="str">
        <f ca="1">VLOOKUP($B53,OFFSET([2]quests!$A$1,0,0,COUNTA([2]quests!$A:$A),MATCH(D$1,[2]quests!$1:$1,0)-MATCH($B$1,[2]quests!$1:$1,0)+1),MATCH(D$1,[2]quests!$1:$1,0)-MATCH($B$1,[2]quests!$1:$1,0)+1,FALSE)</f>
        <v>タワーオブザクイーン2本目</v>
      </c>
      <c r="E53" s="83" t="s">
        <v>212</v>
      </c>
      <c r="F53" s="80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0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2">
        <v>0</v>
      </c>
      <c r="I53">
        <v>30</v>
      </c>
      <c r="J53" s="81" t="s">
        <v>196</v>
      </c>
      <c r="K53" s="89" t="s">
        <v>322</v>
      </c>
      <c r="L53" s="90" t="s">
        <v>323</v>
      </c>
      <c r="M53" s="55" t="s">
        <v>208</v>
      </c>
    </row>
    <row r="54" spans="1:13" x14ac:dyDescent="0.15">
      <c r="A54" s="78" t="s">
        <v>198</v>
      </c>
      <c r="B54" s="79">
        <v>13400</v>
      </c>
      <c r="C54" s="80" t="str">
        <f ca="1">VLOOKUP($B54,OFFSET([2]quests!$A$1,0,0,COUNTA([2]quests!$A:$A),MATCH(C$1,[2]quests!$1:$1,0)-MATCH($B$1,[2]quests!$1:$1,0)+1),MATCH(C$1,[2]quests!$1:$1,0)-MATCH($B$1,[2]quests!$1:$1,0)+1,FALSE)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4" s="80" t="str">
        <f ca="1">VLOOKUP($B54,OFFSET([2]quests!$A$1,0,0,COUNTA([2]quests!$A:$A),MATCH(D$1,[2]quests!$1:$1,0)-MATCH($B$1,[2]quests!$1:$1,0)+1),MATCH(D$1,[2]quests!$1:$1,0)-MATCH($B$1,[2]quests!$1:$1,0)+1,FALSE)</f>
        <v>タワーオブザクイーン2本目</v>
      </c>
      <c r="E54" s="83" t="s">
        <v>212</v>
      </c>
      <c r="F54" s="80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0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2">
        <v>0</v>
      </c>
      <c r="I54">
        <v>31</v>
      </c>
      <c r="J54" s="81" t="s">
        <v>196</v>
      </c>
      <c r="K54" s="89" t="s">
        <v>324</v>
      </c>
      <c r="L54" s="90" t="s">
        <v>325</v>
      </c>
      <c r="M54" s="55" t="s">
        <v>208</v>
      </c>
    </row>
    <row r="55" spans="1:13" x14ac:dyDescent="0.15">
      <c r="A55" s="78" t="s">
        <v>198</v>
      </c>
      <c r="B55" s="79">
        <v>13400</v>
      </c>
      <c r="C55" s="80" t="str">
        <f ca="1">VLOOKUP($B55,OFFSET([2]quests!$A$1,0,0,COUNTA([2]quests!$A:$A),MATCH(C$1,[2]quests!$1:$1,0)-MATCH($B$1,[2]quests!$1:$1,0)+1),MATCH(C$1,[2]quests!$1:$1,0)-MATCH($B$1,[2]quests!$1:$1,0)+1,FALSE)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5" s="80" t="str">
        <f ca="1">VLOOKUP($B55,OFFSET([2]quests!$A$1,0,0,COUNTA([2]quests!$A:$A),MATCH(D$1,[2]quests!$1:$1,0)-MATCH($B$1,[2]quests!$1:$1,0)+1),MATCH(D$1,[2]quests!$1:$1,0)-MATCH($B$1,[2]quests!$1:$1,0)+1,FALSE)</f>
        <v>タワーオブザクイーン2本目</v>
      </c>
      <c r="E55" s="83" t="s">
        <v>212</v>
      </c>
      <c r="F55" s="80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0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2">
        <v>0</v>
      </c>
      <c r="I55">
        <v>32</v>
      </c>
      <c r="J55" s="81" t="s">
        <v>196</v>
      </c>
      <c r="K55" s="89" t="s">
        <v>326</v>
      </c>
      <c r="L55" s="90" t="s">
        <v>327</v>
      </c>
      <c r="M55" s="55" t="s">
        <v>208</v>
      </c>
    </row>
    <row r="56" spans="1:13" x14ac:dyDescent="0.15">
      <c r="A56" s="78" t="s">
        <v>198</v>
      </c>
      <c r="B56" s="79">
        <v>13400</v>
      </c>
      <c r="C56" s="80" t="str">
        <f ca="1">VLOOKUP($B56,OFFSET([2]quests!$A$1,0,0,COUNTA([2]quests!$A:$A),MATCH(C$1,[2]quests!$1:$1,0)-MATCH($B$1,[2]quests!$1:$1,0)+1),MATCH(C$1,[2]quests!$1:$1,0)-MATCH($B$1,[2]quests!$1:$1,0)+1,FALSE)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6" s="80" t="str">
        <f ca="1">VLOOKUP($B56,OFFSET([2]quests!$A$1,0,0,COUNTA([2]quests!$A:$A),MATCH(D$1,[2]quests!$1:$1,0)-MATCH($B$1,[2]quests!$1:$1,0)+1),MATCH(D$1,[2]quests!$1:$1,0)-MATCH($B$1,[2]quests!$1:$1,0)+1,FALSE)</f>
        <v>タワーオブザクイーン2本目</v>
      </c>
      <c r="E56" s="83" t="s">
        <v>212</v>
      </c>
      <c r="F56" s="80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0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2">
        <v>0</v>
      </c>
      <c r="I56">
        <v>33</v>
      </c>
      <c r="J56" s="81" t="s">
        <v>196</v>
      </c>
      <c r="K56" s="89" t="s">
        <v>328</v>
      </c>
      <c r="L56" s="90" t="s">
        <v>329</v>
      </c>
      <c r="M56" s="55" t="s">
        <v>208</v>
      </c>
    </row>
    <row r="57" spans="1:13" x14ac:dyDescent="0.15">
      <c r="A57" s="78" t="s">
        <v>198</v>
      </c>
      <c r="B57" s="79">
        <v>13400</v>
      </c>
      <c r="C57" s="80" t="str">
        <f ca="1">VLOOKUP($B57,OFFSET([2]quests!$A$1,0,0,COUNTA([2]quests!$A:$A),MATCH(C$1,[2]quests!$1:$1,0)-MATCH($B$1,[2]quests!$1:$1,0)+1),MATCH(C$1,[2]quests!$1:$1,0)-MATCH($B$1,[2]quests!$1:$1,0)+1,FALSE)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7" s="80" t="str">
        <f ca="1">VLOOKUP($B57,OFFSET([2]quests!$A$1,0,0,COUNTA([2]quests!$A:$A),MATCH(D$1,[2]quests!$1:$1,0)-MATCH($B$1,[2]quests!$1:$1,0)+1),MATCH(D$1,[2]quests!$1:$1,0)-MATCH($B$1,[2]quests!$1:$1,0)+1,FALSE)</f>
        <v>タワーオブザクイーン2本目</v>
      </c>
      <c r="E57" s="83" t="s">
        <v>212</v>
      </c>
      <c r="F57" s="80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0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2">
        <v>0</v>
      </c>
      <c r="I57">
        <v>34</v>
      </c>
      <c r="J57" s="81" t="s">
        <v>196</v>
      </c>
      <c r="K57" s="89" t="s">
        <v>330</v>
      </c>
      <c r="L57" s="90" t="s">
        <v>331</v>
      </c>
      <c r="M57" s="55" t="s">
        <v>208</v>
      </c>
    </row>
    <row r="58" spans="1:13" x14ac:dyDescent="0.15">
      <c r="A58" s="78" t="s">
        <v>198</v>
      </c>
      <c r="B58" s="79">
        <v>13400</v>
      </c>
      <c r="C58" s="80" t="str">
        <f ca="1">VLOOKUP($B58,OFFSET([2]quests!$A$1,0,0,COUNTA([2]quests!$A:$A),MATCH(C$1,[2]quests!$1:$1,0)-MATCH($B$1,[2]quests!$1:$1,0)+1),MATCH(C$1,[2]quests!$1:$1,0)-MATCH($B$1,[2]quests!$1:$1,0)+1,FALSE)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8" s="80" t="str">
        <f ca="1">VLOOKUP($B58,OFFSET([2]quests!$A$1,0,0,COUNTA([2]quests!$A:$A),MATCH(D$1,[2]quests!$1:$1,0)-MATCH($B$1,[2]quests!$1:$1,0)+1),MATCH(D$1,[2]quests!$1:$1,0)-MATCH($B$1,[2]quests!$1:$1,0)+1,FALSE)</f>
        <v>タワーオブザクイーン2本目</v>
      </c>
      <c r="E58" s="83" t="s">
        <v>212</v>
      </c>
      <c r="F58" s="80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0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2">
        <v>0</v>
      </c>
      <c r="I58">
        <v>35</v>
      </c>
      <c r="J58" s="81" t="s">
        <v>196</v>
      </c>
      <c r="K58" s="89" t="s">
        <v>332</v>
      </c>
      <c r="L58" s="90" t="s">
        <v>333</v>
      </c>
      <c r="M58" s="55" t="s">
        <v>208</v>
      </c>
    </row>
    <row r="59" spans="1:13" x14ac:dyDescent="0.15">
      <c r="A59" s="78" t="s">
        <v>198</v>
      </c>
      <c r="B59" s="79">
        <v>13400</v>
      </c>
      <c r="C59" s="80" t="str">
        <f ca="1">VLOOKUP($B59,OFFSET([2]quests!$A$1,0,0,COUNTA([2]quests!$A:$A),MATCH(C$1,[2]quests!$1:$1,0)-MATCH($B$1,[2]quests!$1:$1,0)+1),MATCH(C$1,[2]quests!$1:$1,0)-MATCH($B$1,[2]quests!$1:$1,0)+1,FALSE)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9" s="80" t="str">
        <f ca="1">VLOOKUP($B59,OFFSET([2]quests!$A$1,0,0,COUNTA([2]quests!$A:$A),MATCH(D$1,[2]quests!$1:$1,0)-MATCH($B$1,[2]quests!$1:$1,0)+1),MATCH(D$1,[2]quests!$1:$1,0)-MATCH($B$1,[2]quests!$1:$1,0)+1,FALSE)</f>
        <v>タワーオブザクイーン2本目</v>
      </c>
      <c r="E59" s="83" t="s">
        <v>212</v>
      </c>
      <c r="F59" s="80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0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2">
        <v>0</v>
      </c>
      <c r="I59">
        <v>39</v>
      </c>
      <c r="J59" s="81" t="s">
        <v>196</v>
      </c>
      <c r="K59" s="89" t="s">
        <v>314</v>
      </c>
      <c r="L59" s="90" t="s">
        <v>315</v>
      </c>
      <c r="M59" s="55" t="s">
        <v>208</v>
      </c>
    </row>
    <row r="60" spans="1:13" x14ac:dyDescent="0.15">
      <c r="A60" s="78" t="s">
        <v>198</v>
      </c>
      <c r="B60" s="79">
        <v>13400</v>
      </c>
      <c r="C60" s="80" t="str">
        <f ca="1">VLOOKUP($B60,OFFSET([2]quests!$A$1,0,0,COUNTA([2]quests!$A:$A),MATCH(C$1,[2]quests!$1:$1,0)-MATCH($B$1,[2]quests!$1:$1,0)+1),MATCH(C$1,[2]quests!$1:$1,0)-MATCH($B$1,[2]quests!$1:$1,0)+1,FALSE)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0" s="80" t="str">
        <f ca="1">VLOOKUP($B60,OFFSET([2]quests!$A$1,0,0,COUNTA([2]quests!$A:$A),MATCH(D$1,[2]quests!$1:$1,0)-MATCH($B$1,[2]quests!$1:$1,0)+1),MATCH(D$1,[2]quests!$1:$1,0)-MATCH($B$1,[2]quests!$1:$1,0)+1,FALSE)</f>
        <v>タワーオブザクイーン2本目</v>
      </c>
      <c r="E60" s="83" t="s">
        <v>213</v>
      </c>
      <c r="F60" s="80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0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2">
        <v>0</v>
      </c>
      <c r="I60" s="92">
        <v>3</v>
      </c>
      <c r="J60" s="81" t="s">
        <v>196</v>
      </c>
      <c r="K60" s="89" t="s">
        <v>268</v>
      </c>
      <c r="L60" s="90" t="s">
        <v>269</v>
      </c>
      <c r="M60" s="55" t="s">
        <v>208</v>
      </c>
    </row>
    <row r="61" spans="1:13" x14ac:dyDescent="0.15">
      <c r="A61" s="78" t="s">
        <v>198</v>
      </c>
      <c r="B61" s="79">
        <v>13400</v>
      </c>
      <c r="C61" s="80" t="str">
        <f ca="1">VLOOKUP($B61,OFFSET([2]quests!$A$1,0,0,COUNTA([2]quests!$A:$A),MATCH(C$1,[2]quests!$1:$1,0)-MATCH($B$1,[2]quests!$1:$1,0)+1),MATCH(C$1,[2]quests!$1:$1,0)-MATCH($B$1,[2]quests!$1:$1,0)+1,FALSE)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1" s="80" t="str">
        <f ca="1">VLOOKUP($B61,OFFSET([2]quests!$A$1,0,0,COUNTA([2]quests!$A:$A),MATCH(D$1,[2]quests!$1:$1,0)-MATCH($B$1,[2]quests!$1:$1,0)+1),MATCH(D$1,[2]quests!$1:$1,0)-MATCH($B$1,[2]quests!$1:$1,0)+1,FALSE)</f>
        <v>タワーオブザクイーン2本目</v>
      </c>
      <c r="E61" s="83" t="s">
        <v>213</v>
      </c>
      <c r="F61" s="80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0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2">
        <v>0</v>
      </c>
      <c r="I61" s="92">
        <v>6</v>
      </c>
      <c r="J61" s="81" t="s">
        <v>196</v>
      </c>
      <c r="K61" s="89" t="s">
        <v>272</v>
      </c>
      <c r="L61" s="90" t="s">
        <v>273</v>
      </c>
      <c r="M61" s="55" t="s">
        <v>208</v>
      </c>
    </row>
    <row r="62" spans="1:13" x14ac:dyDescent="0.15">
      <c r="A62" s="78" t="s">
        <v>198</v>
      </c>
      <c r="B62" s="79">
        <v>13400</v>
      </c>
      <c r="C62" s="80" t="str">
        <f ca="1">VLOOKUP($B62,OFFSET([2]quests!$A$1,0,0,COUNTA([2]quests!$A:$A),MATCH(C$1,[2]quests!$1:$1,0)-MATCH($B$1,[2]quests!$1:$1,0)+1),MATCH(C$1,[2]quests!$1:$1,0)-MATCH($B$1,[2]quests!$1:$1,0)+1,FALSE)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2" s="80" t="str">
        <f ca="1">VLOOKUP($B62,OFFSET([2]quests!$A$1,0,0,COUNTA([2]quests!$A:$A),MATCH(D$1,[2]quests!$1:$1,0)-MATCH($B$1,[2]quests!$1:$1,0)+1),MATCH(D$1,[2]quests!$1:$1,0)-MATCH($B$1,[2]quests!$1:$1,0)+1,FALSE)</f>
        <v>タワーオブザクイーン2本目</v>
      </c>
      <c r="E62" s="83" t="s">
        <v>213</v>
      </c>
      <c r="F62" s="80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0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2">
        <v>0</v>
      </c>
      <c r="I62" s="92">
        <v>7</v>
      </c>
      <c r="J62" s="81" t="s">
        <v>196</v>
      </c>
      <c r="K62" s="89" t="s">
        <v>274</v>
      </c>
      <c r="L62" s="90" t="s">
        <v>275</v>
      </c>
      <c r="M62" s="55" t="s">
        <v>208</v>
      </c>
    </row>
    <row r="63" spans="1:13" x14ac:dyDescent="0.15">
      <c r="A63" s="78" t="s">
        <v>198</v>
      </c>
      <c r="B63" s="79">
        <v>13400</v>
      </c>
      <c r="C63" s="80" t="str">
        <f ca="1">VLOOKUP($B63,OFFSET([2]quests!$A$1,0,0,COUNTA([2]quests!$A:$A),MATCH(C$1,[2]quests!$1:$1,0)-MATCH($B$1,[2]quests!$1:$1,0)+1),MATCH(C$1,[2]quests!$1:$1,0)-MATCH($B$1,[2]quests!$1:$1,0)+1,FALSE)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3" s="80" t="str">
        <f ca="1">VLOOKUP($B63,OFFSET([2]quests!$A$1,0,0,COUNTA([2]quests!$A:$A),MATCH(D$1,[2]quests!$1:$1,0)-MATCH($B$1,[2]quests!$1:$1,0)+1),MATCH(D$1,[2]quests!$1:$1,0)-MATCH($B$1,[2]quests!$1:$1,0)+1,FALSE)</f>
        <v>タワーオブザクイーン2本目</v>
      </c>
      <c r="E63" s="83" t="s">
        <v>213</v>
      </c>
      <c r="F63" s="80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0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2">
        <v>0</v>
      </c>
      <c r="I63" s="92">
        <v>8</v>
      </c>
      <c r="J63" s="81" t="s">
        <v>196</v>
      </c>
      <c r="K63" s="89" t="s">
        <v>276</v>
      </c>
      <c r="L63" s="90" t="s">
        <v>277</v>
      </c>
      <c r="M63" s="55" t="s">
        <v>208</v>
      </c>
    </row>
    <row r="64" spans="1:13" x14ac:dyDescent="0.15">
      <c r="A64" s="78" t="s">
        <v>198</v>
      </c>
      <c r="B64" s="79">
        <v>13400</v>
      </c>
      <c r="C64" s="80" t="str">
        <f ca="1">VLOOKUP($B64,OFFSET([2]quests!$A$1,0,0,COUNTA([2]quests!$A:$A),MATCH(C$1,[2]quests!$1:$1,0)-MATCH($B$1,[2]quests!$1:$1,0)+1),MATCH(C$1,[2]quests!$1:$1,0)-MATCH($B$1,[2]quests!$1:$1,0)+1,FALSE)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4" s="80" t="str">
        <f ca="1">VLOOKUP($B64,OFFSET([2]quests!$A$1,0,0,COUNTA([2]quests!$A:$A),MATCH(D$1,[2]quests!$1:$1,0)-MATCH($B$1,[2]quests!$1:$1,0)+1),MATCH(D$1,[2]quests!$1:$1,0)-MATCH($B$1,[2]quests!$1:$1,0)+1,FALSE)</f>
        <v>タワーオブザクイーン2本目</v>
      </c>
      <c r="E64" s="83" t="s">
        <v>213</v>
      </c>
      <c r="F64" s="80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0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2">
        <v>0</v>
      </c>
      <c r="I64" s="92">
        <v>9</v>
      </c>
      <c r="J64" s="81" t="s">
        <v>196</v>
      </c>
      <c r="K64" s="89" t="s">
        <v>278</v>
      </c>
      <c r="L64" s="90" t="s">
        <v>279</v>
      </c>
      <c r="M64" s="55" t="s">
        <v>208</v>
      </c>
    </row>
    <row r="65" spans="1:13" x14ac:dyDescent="0.15">
      <c r="A65" s="78" t="s">
        <v>198</v>
      </c>
      <c r="B65" s="79">
        <v>13400</v>
      </c>
      <c r="C65" s="80" t="str">
        <f ca="1">VLOOKUP($B65,OFFSET([2]quests!$A$1,0,0,COUNTA([2]quests!$A:$A),MATCH(C$1,[2]quests!$1:$1,0)-MATCH($B$1,[2]quests!$1:$1,0)+1),MATCH(C$1,[2]quests!$1:$1,0)-MATCH($B$1,[2]quests!$1:$1,0)+1,FALSE)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5" s="80" t="str">
        <f ca="1">VLOOKUP($B65,OFFSET([2]quests!$A$1,0,0,COUNTA([2]quests!$A:$A),MATCH(D$1,[2]quests!$1:$1,0)-MATCH($B$1,[2]quests!$1:$1,0)+1),MATCH(D$1,[2]quests!$1:$1,0)-MATCH($B$1,[2]quests!$1:$1,0)+1,FALSE)</f>
        <v>タワーオブザクイーン2本目</v>
      </c>
      <c r="E65" s="83" t="s">
        <v>213</v>
      </c>
      <c r="F65" s="80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0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2">
        <v>0</v>
      </c>
      <c r="I65" s="92">
        <v>10</v>
      </c>
      <c r="J65" s="81" t="s">
        <v>196</v>
      </c>
      <c r="K65" s="89" t="s">
        <v>280</v>
      </c>
      <c r="L65" s="90" t="s">
        <v>281</v>
      </c>
      <c r="M65" s="55" t="s">
        <v>208</v>
      </c>
    </row>
    <row r="66" spans="1:13" x14ac:dyDescent="0.15">
      <c r="A66" s="78" t="s">
        <v>198</v>
      </c>
      <c r="B66" s="79">
        <v>13400</v>
      </c>
      <c r="C66" s="80" t="str">
        <f ca="1">VLOOKUP($B66,OFFSET([2]quests!$A$1,0,0,COUNTA([2]quests!$A:$A),MATCH(C$1,[2]quests!$1:$1,0)-MATCH($B$1,[2]quests!$1:$1,0)+1),MATCH(C$1,[2]quests!$1:$1,0)-MATCH($B$1,[2]quests!$1:$1,0)+1,FALSE)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6" s="80" t="str">
        <f ca="1">VLOOKUP($B66,OFFSET([2]quests!$A$1,0,0,COUNTA([2]quests!$A:$A),MATCH(D$1,[2]quests!$1:$1,0)-MATCH($B$1,[2]quests!$1:$1,0)+1),MATCH(D$1,[2]quests!$1:$1,0)-MATCH($B$1,[2]quests!$1:$1,0)+1,FALSE)</f>
        <v>タワーオブザクイーン2本目</v>
      </c>
      <c r="E66" s="83" t="s">
        <v>213</v>
      </c>
      <c r="F66" s="80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0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2">
        <v>0</v>
      </c>
      <c r="I66" s="92">
        <v>11</v>
      </c>
      <c r="J66" s="81" t="s">
        <v>196</v>
      </c>
      <c r="K66" s="89" t="s">
        <v>282</v>
      </c>
      <c r="L66" s="90" t="s">
        <v>283</v>
      </c>
      <c r="M66" s="55" t="s">
        <v>208</v>
      </c>
    </row>
    <row r="67" spans="1:13" x14ac:dyDescent="0.15">
      <c r="A67" s="78" t="s">
        <v>198</v>
      </c>
      <c r="B67" s="79">
        <v>13400</v>
      </c>
      <c r="C67" s="80" t="str">
        <f ca="1">VLOOKUP($B67,OFFSET([2]quests!$A$1,0,0,COUNTA([2]quests!$A:$A),MATCH(C$1,[2]quests!$1:$1,0)-MATCH($B$1,[2]quests!$1:$1,0)+1),MATCH(C$1,[2]quests!$1:$1,0)-MATCH($B$1,[2]quests!$1:$1,0)+1,FALSE)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7" s="80" t="str">
        <f ca="1">VLOOKUP($B67,OFFSET([2]quests!$A$1,0,0,COUNTA([2]quests!$A:$A),MATCH(D$1,[2]quests!$1:$1,0)-MATCH($B$1,[2]quests!$1:$1,0)+1),MATCH(D$1,[2]quests!$1:$1,0)-MATCH($B$1,[2]quests!$1:$1,0)+1,FALSE)</f>
        <v>タワーオブザクイーン2本目</v>
      </c>
      <c r="E67" s="83" t="s">
        <v>213</v>
      </c>
      <c r="F67" s="80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0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2">
        <v>0</v>
      </c>
      <c r="I67" s="92">
        <v>12</v>
      </c>
      <c r="J67" s="81" t="s">
        <v>196</v>
      </c>
      <c r="K67" s="89" t="s">
        <v>284</v>
      </c>
      <c r="L67" s="90" t="s">
        <v>285</v>
      </c>
      <c r="M67" s="55" t="s">
        <v>208</v>
      </c>
    </row>
    <row r="68" spans="1:13" x14ac:dyDescent="0.15">
      <c r="A68" s="78" t="s">
        <v>198</v>
      </c>
      <c r="B68" s="79">
        <v>13400</v>
      </c>
      <c r="C68" s="80" t="str">
        <f ca="1">VLOOKUP($B68,OFFSET([2]quests!$A$1,0,0,COUNTA([2]quests!$A:$A),MATCH(C$1,[2]quests!$1:$1,0)-MATCH($B$1,[2]quests!$1:$1,0)+1),MATCH(C$1,[2]quests!$1:$1,0)-MATCH($B$1,[2]quests!$1:$1,0)+1,FALSE)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8" s="80" t="str">
        <f ca="1">VLOOKUP($B68,OFFSET([2]quests!$A$1,0,0,COUNTA([2]quests!$A:$A),MATCH(D$1,[2]quests!$1:$1,0)-MATCH($B$1,[2]quests!$1:$1,0)+1),MATCH(D$1,[2]quests!$1:$1,0)-MATCH($B$1,[2]quests!$1:$1,0)+1,FALSE)</f>
        <v>タワーオブザクイーン2本目</v>
      </c>
      <c r="E68" s="83" t="s">
        <v>213</v>
      </c>
      <c r="F68" s="80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0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2">
        <v>0</v>
      </c>
      <c r="I68" s="92">
        <v>13</v>
      </c>
      <c r="J68" s="81" t="s">
        <v>196</v>
      </c>
      <c r="K68" s="89" t="s">
        <v>286</v>
      </c>
      <c r="L68" s="90" t="s">
        <v>287</v>
      </c>
      <c r="M68" s="55" t="s">
        <v>208</v>
      </c>
    </row>
    <row r="69" spans="1:13" x14ac:dyDescent="0.15">
      <c r="A69" s="78" t="s">
        <v>198</v>
      </c>
      <c r="B69" s="79">
        <v>13400</v>
      </c>
      <c r="C69" s="80" t="str">
        <f ca="1">VLOOKUP($B69,OFFSET([2]quests!$A$1,0,0,COUNTA([2]quests!$A:$A),MATCH(C$1,[2]quests!$1:$1,0)-MATCH($B$1,[2]quests!$1:$1,0)+1),MATCH(C$1,[2]quests!$1:$1,0)-MATCH($B$1,[2]quests!$1:$1,0)+1,FALSE)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9" s="80" t="str">
        <f ca="1">VLOOKUP($B69,OFFSET([2]quests!$A$1,0,0,COUNTA([2]quests!$A:$A),MATCH(D$1,[2]quests!$1:$1,0)-MATCH($B$1,[2]quests!$1:$1,0)+1),MATCH(D$1,[2]quests!$1:$1,0)-MATCH($B$1,[2]quests!$1:$1,0)+1,FALSE)</f>
        <v>タワーオブザクイーン2本目</v>
      </c>
      <c r="E69" s="83" t="s">
        <v>213</v>
      </c>
      <c r="F69" s="80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0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2">
        <v>0</v>
      </c>
      <c r="I69" s="92">
        <v>14</v>
      </c>
      <c r="J69" s="81" t="s">
        <v>196</v>
      </c>
      <c r="K69" s="89" t="s">
        <v>288</v>
      </c>
      <c r="L69" s="90" t="s">
        <v>289</v>
      </c>
      <c r="M69" s="55" t="s">
        <v>208</v>
      </c>
    </row>
    <row r="70" spans="1:13" x14ac:dyDescent="0.15">
      <c r="A70" s="78" t="s">
        <v>198</v>
      </c>
      <c r="B70" s="79">
        <v>13400</v>
      </c>
      <c r="C70" s="80" t="str">
        <f ca="1">VLOOKUP($B70,OFFSET([2]quests!$A$1,0,0,COUNTA([2]quests!$A:$A),MATCH(C$1,[2]quests!$1:$1,0)-MATCH($B$1,[2]quests!$1:$1,0)+1),MATCH(C$1,[2]quests!$1:$1,0)-MATCH($B$1,[2]quests!$1:$1,0)+1,FALSE)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0" s="80" t="str">
        <f ca="1">VLOOKUP($B70,OFFSET([2]quests!$A$1,0,0,COUNTA([2]quests!$A:$A),MATCH(D$1,[2]quests!$1:$1,0)-MATCH($B$1,[2]quests!$1:$1,0)+1),MATCH(D$1,[2]quests!$1:$1,0)-MATCH($B$1,[2]quests!$1:$1,0)+1,FALSE)</f>
        <v>タワーオブザクイーン2本目</v>
      </c>
      <c r="E70" s="83" t="s">
        <v>213</v>
      </c>
      <c r="F70" s="80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0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2">
        <v>0</v>
      </c>
      <c r="I70" s="92">
        <v>15</v>
      </c>
      <c r="J70" s="81" t="s">
        <v>196</v>
      </c>
      <c r="K70" s="89" t="s">
        <v>290</v>
      </c>
      <c r="L70" s="90" t="s">
        <v>291</v>
      </c>
      <c r="M70" s="55" t="s">
        <v>208</v>
      </c>
    </row>
    <row r="71" spans="1:13" x14ac:dyDescent="0.15">
      <c r="A71" s="78" t="s">
        <v>198</v>
      </c>
      <c r="B71" s="79">
        <v>13400</v>
      </c>
      <c r="C71" s="80" t="str">
        <f ca="1">VLOOKUP($B71,OFFSET([2]quests!$A$1,0,0,COUNTA([2]quests!$A:$A),MATCH(C$1,[2]quests!$1:$1,0)-MATCH($B$1,[2]quests!$1:$1,0)+1),MATCH(C$1,[2]quests!$1:$1,0)-MATCH($B$1,[2]quests!$1:$1,0)+1,FALSE)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1" s="80" t="str">
        <f ca="1">VLOOKUP($B71,OFFSET([2]quests!$A$1,0,0,COUNTA([2]quests!$A:$A),MATCH(D$1,[2]quests!$1:$1,0)-MATCH($B$1,[2]quests!$1:$1,0)+1),MATCH(D$1,[2]quests!$1:$1,0)-MATCH($B$1,[2]quests!$1:$1,0)+1,FALSE)</f>
        <v>タワーオブザクイーン2本目</v>
      </c>
      <c r="E71" s="83" t="s">
        <v>213</v>
      </c>
      <c r="F71" s="80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0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2">
        <v>0</v>
      </c>
      <c r="I71" s="92">
        <v>16</v>
      </c>
      <c r="J71" s="81" t="s">
        <v>196</v>
      </c>
      <c r="K71" s="89" t="s">
        <v>292</v>
      </c>
      <c r="L71" s="90" t="s">
        <v>293</v>
      </c>
      <c r="M71" s="55" t="s">
        <v>208</v>
      </c>
    </row>
    <row r="72" spans="1:13" x14ac:dyDescent="0.15">
      <c r="A72" s="78" t="s">
        <v>198</v>
      </c>
      <c r="B72" s="79">
        <v>13400</v>
      </c>
      <c r="C72" s="80" t="str">
        <f ca="1">VLOOKUP($B72,OFFSET([2]quests!$A$1,0,0,COUNTA([2]quests!$A:$A),MATCH(C$1,[2]quests!$1:$1,0)-MATCH($B$1,[2]quests!$1:$1,0)+1),MATCH(C$1,[2]quests!$1:$1,0)-MATCH($B$1,[2]quests!$1:$1,0)+1,FALSE)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2" s="80" t="str">
        <f ca="1">VLOOKUP($B72,OFFSET([2]quests!$A$1,0,0,COUNTA([2]quests!$A:$A),MATCH(D$1,[2]quests!$1:$1,0)-MATCH($B$1,[2]quests!$1:$1,0)+1),MATCH(D$1,[2]quests!$1:$1,0)-MATCH($B$1,[2]quests!$1:$1,0)+1,FALSE)</f>
        <v>タワーオブザクイーン2本目</v>
      </c>
      <c r="E72" s="83" t="s">
        <v>213</v>
      </c>
      <c r="F72" s="80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0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2">
        <v>0</v>
      </c>
      <c r="I72" s="92">
        <v>17</v>
      </c>
      <c r="J72" s="81" t="s">
        <v>196</v>
      </c>
      <c r="K72" s="89" t="s">
        <v>294</v>
      </c>
      <c r="L72" s="90" t="s">
        <v>295</v>
      </c>
      <c r="M72" s="55" t="s">
        <v>208</v>
      </c>
    </row>
    <row r="73" spans="1:13" x14ac:dyDescent="0.15">
      <c r="A73" s="78" t="s">
        <v>198</v>
      </c>
      <c r="B73" s="79">
        <v>13400</v>
      </c>
      <c r="C73" s="80" t="str">
        <f ca="1">VLOOKUP($B73,OFFSET([2]quests!$A$1,0,0,COUNTA([2]quests!$A:$A),MATCH(C$1,[2]quests!$1:$1,0)-MATCH($B$1,[2]quests!$1:$1,0)+1),MATCH(C$1,[2]quests!$1:$1,0)-MATCH($B$1,[2]quests!$1:$1,0)+1,FALSE)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3" s="80" t="str">
        <f ca="1">VLOOKUP($B73,OFFSET([2]quests!$A$1,0,0,COUNTA([2]quests!$A:$A),MATCH(D$1,[2]quests!$1:$1,0)-MATCH($B$1,[2]quests!$1:$1,0)+1),MATCH(D$1,[2]quests!$1:$1,0)-MATCH($B$1,[2]quests!$1:$1,0)+1,FALSE)</f>
        <v>タワーオブザクイーン2本目</v>
      </c>
      <c r="E73" s="83" t="s">
        <v>213</v>
      </c>
      <c r="F73" s="80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0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2">
        <v>0</v>
      </c>
      <c r="I73" s="92">
        <v>18</v>
      </c>
      <c r="J73" s="81" t="s">
        <v>196</v>
      </c>
      <c r="K73" s="89" t="s">
        <v>296</v>
      </c>
      <c r="L73" s="90" t="s">
        <v>297</v>
      </c>
      <c r="M73" s="55" t="s">
        <v>208</v>
      </c>
    </row>
    <row r="74" spans="1:13" x14ac:dyDescent="0.15">
      <c r="A74" s="78" t="s">
        <v>198</v>
      </c>
      <c r="B74" s="79">
        <v>13400</v>
      </c>
      <c r="C74" s="80" t="str">
        <f ca="1">VLOOKUP($B74,OFFSET([2]quests!$A$1,0,0,COUNTA([2]quests!$A:$A),MATCH(C$1,[2]quests!$1:$1,0)-MATCH($B$1,[2]quests!$1:$1,0)+1),MATCH(C$1,[2]quests!$1:$1,0)-MATCH($B$1,[2]quests!$1:$1,0)+1,FALSE)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4" s="80" t="str">
        <f ca="1">VLOOKUP($B74,OFFSET([2]quests!$A$1,0,0,COUNTA([2]quests!$A:$A),MATCH(D$1,[2]quests!$1:$1,0)-MATCH($B$1,[2]quests!$1:$1,0)+1),MATCH(D$1,[2]quests!$1:$1,0)-MATCH($B$1,[2]quests!$1:$1,0)+1,FALSE)</f>
        <v>タワーオブザクイーン2本目</v>
      </c>
      <c r="E74" s="83" t="s">
        <v>213</v>
      </c>
      <c r="F74" s="80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0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2">
        <v>0</v>
      </c>
      <c r="I74" s="92">
        <v>19</v>
      </c>
      <c r="J74" s="81" t="s">
        <v>196</v>
      </c>
      <c r="K74" s="89" t="s">
        <v>298</v>
      </c>
      <c r="L74" s="90" t="s">
        <v>299</v>
      </c>
      <c r="M74" s="55" t="s">
        <v>208</v>
      </c>
    </row>
    <row r="75" spans="1:13" x14ac:dyDescent="0.15">
      <c r="A75" s="78" t="s">
        <v>198</v>
      </c>
      <c r="B75" s="79">
        <v>13400</v>
      </c>
      <c r="C75" s="80" t="str">
        <f ca="1">VLOOKUP($B75,OFFSET([2]quests!$A$1,0,0,COUNTA([2]quests!$A:$A),MATCH(C$1,[2]quests!$1:$1,0)-MATCH($B$1,[2]quests!$1:$1,0)+1),MATCH(C$1,[2]quests!$1:$1,0)-MATCH($B$1,[2]quests!$1:$1,0)+1,FALSE)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5" s="80" t="str">
        <f ca="1">VLOOKUP($B75,OFFSET([2]quests!$A$1,0,0,COUNTA([2]quests!$A:$A),MATCH(D$1,[2]quests!$1:$1,0)-MATCH($B$1,[2]quests!$1:$1,0)+1),MATCH(D$1,[2]quests!$1:$1,0)-MATCH($B$1,[2]quests!$1:$1,0)+1,FALSE)</f>
        <v>タワーオブザクイーン2本目</v>
      </c>
      <c r="E75" s="83" t="s">
        <v>213</v>
      </c>
      <c r="F75" s="80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0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2">
        <v>0</v>
      </c>
      <c r="I75" s="92">
        <v>20</v>
      </c>
      <c r="J75" s="81" t="s">
        <v>196</v>
      </c>
      <c r="K75" s="89" t="s">
        <v>300</v>
      </c>
      <c r="L75" s="90" t="s">
        <v>301</v>
      </c>
      <c r="M75" s="55" t="s">
        <v>208</v>
      </c>
    </row>
    <row r="76" spans="1:13" x14ac:dyDescent="0.15">
      <c r="A76" s="78" t="s">
        <v>198</v>
      </c>
      <c r="B76" s="79">
        <v>13400</v>
      </c>
      <c r="C76" s="80" t="str">
        <f ca="1">VLOOKUP($B76,OFFSET([2]quests!$A$1,0,0,COUNTA([2]quests!$A:$A),MATCH(C$1,[2]quests!$1:$1,0)-MATCH($B$1,[2]quests!$1:$1,0)+1),MATCH(C$1,[2]quests!$1:$1,0)-MATCH($B$1,[2]quests!$1:$1,0)+1,FALSE)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6" s="80" t="str">
        <f ca="1">VLOOKUP($B76,OFFSET([2]quests!$A$1,0,0,COUNTA([2]quests!$A:$A),MATCH(D$1,[2]quests!$1:$1,0)-MATCH($B$1,[2]quests!$1:$1,0)+1),MATCH(D$1,[2]quests!$1:$1,0)-MATCH($B$1,[2]quests!$1:$1,0)+1,FALSE)</f>
        <v>タワーオブザクイーン2本目</v>
      </c>
      <c r="E76" s="83" t="s">
        <v>213</v>
      </c>
      <c r="F76" s="80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0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2">
        <v>0</v>
      </c>
      <c r="I76" s="92">
        <v>21</v>
      </c>
      <c r="J76" s="81" t="s">
        <v>196</v>
      </c>
      <c r="K76" s="89" t="s">
        <v>302</v>
      </c>
      <c r="L76" s="90" t="s">
        <v>303</v>
      </c>
      <c r="M76" s="55" t="s">
        <v>208</v>
      </c>
    </row>
    <row r="77" spans="1:13" x14ac:dyDescent="0.15">
      <c r="A77" s="78" t="s">
        <v>198</v>
      </c>
      <c r="B77" s="79">
        <v>13400</v>
      </c>
      <c r="C77" s="80" t="str">
        <f ca="1">VLOOKUP($B77,OFFSET([2]quests!$A$1,0,0,COUNTA([2]quests!$A:$A),MATCH(C$1,[2]quests!$1:$1,0)-MATCH($B$1,[2]quests!$1:$1,0)+1),MATCH(C$1,[2]quests!$1:$1,0)-MATCH($B$1,[2]quests!$1:$1,0)+1,FALSE)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7" s="80" t="str">
        <f ca="1">VLOOKUP($B77,OFFSET([2]quests!$A$1,0,0,COUNTA([2]quests!$A:$A),MATCH(D$1,[2]quests!$1:$1,0)-MATCH($B$1,[2]quests!$1:$1,0)+1),MATCH(D$1,[2]quests!$1:$1,0)-MATCH($B$1,[2]quests!$1:$1,0)+1,FALSE)</f>
        <v>タワーオブザクイーン2本目</v>
      </c>
      <c r="E77" s="83" t="s">
        <v>213</v>
      </c>
      <c r="F77" s="80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0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2">
        <v>0</v>
      </c>
      <c r="I77" s="92">
        <v>22</v>
      </c>
      <c r="J77" s="81" t="s">
        <v>196</v>
      </c>
      <c r="K77" s="89" t="s">
        <v>304</v>
      </c>
      <c r="L77" s="90" t="s">
        <v>305</v>
      </c>
      <c r="M77" s="55" t="s">
        <v>208</v>
      </c>
    </row>
    <row r="78" spans="1:13" x14ac:dyDescent="0.15">
      <c r="A78" s="78" t="s">
        <v>198</v>
      </c>
      <c r="B78" s="79">
        <v>13400</v>
      </c>
      <c r="C78" s="80" t="str">
        <f ca="1">VLOOKUP($B78,OFFSET([2]quests!$A$1,0,0,COUNTA([2]quests!$A:$A),MATCH(C$1,[2]quests!$1:$1,0)-MATCH($B$1,[2]quests!$1:$1,0)+1),MATCH(C$1,[2]quests!$1:$1,0)-MATCH($B$1,[2]quests!$1:$1,0)+1,FALSE)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8" s="80" t="str">
        <f ca="1">VLOOKUP($B78,OFFSET([2]quests!$A$1,0,0,COUNTA([2]quests!$A:$A),MATCH(D$1,[2]quests!$1:$1,0)-MATCH($B$1,[2]quests!$1:$1,0)+1),MATCH(D$1,[2]quests!$1:$1,0)-MATCH($B$1,[2]quests!$1:$1,0)+1,FALSE)</f>
        <v>タワーオブザクイーン2本目</v>
      </c>
      <c r="E78" s="83" t="s">
        <v>213</v>
      </c>
      <c r="F78" s="80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0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2">
        <v>0</v>
      </c>
      <c r="I78" s="92">
        <v>23</v>
      </c>
      <c r="J78" s="81" t="s">
        <v>196</v>
      </c>
      <c r="K78" s="89" t="s">
        <v>306</v>
      </c>
      <c r="L78" s="90" t="s">
        <v>307</v>
      </c>
      <c r="M78" s="55" t="s">
        <v>208</v>
      </c>
    </row>
    <row r="79" spans="1:13" x14ac:dyDescent="0.15">
      <c r="A79" s="78" t="s">
        <v>198</v>
      </c>
      <c r="B79" s="79">
        <v>13400</v>
      </c>
      <c r="C79" s="80" t="str">
        <f ca="1">VLOOKUP($B79,OFFSET([2]quests!$A$1,0,0,COUNTA([2]quests!$A:$A),MATCH(C$1,[2]quests!$1:$1,0)-MATCH($B$1,[2]quests!$1:$1,0)+1),MATCH(C$1,[2]quests!$1:$1,0)-MATCH($B$1,[2]quests!$1:$1,0)+1,FALSE)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9" s="80" t="str">
        <f ca="1">VLOOKUP($B79,OFFSET([2]quests!$A$1,0,0,COUNTA([2]quests!$A:$A),MATCH(D$1,[2]quests!$1:$1,0)-MATCH($B$1,[2]quests!$1:$1,0)+1),MATCH(D$1,[2]quests!$1:$1,0)-MATCH($B$1,[2]quests!$1:$1,0)+1,FALSE)</f>
        <v>タワーオブザクイーン2本目</v>
      </c>
      <c r="E79" s="83" t="s">
        <v>213</v>
      </c>
      <c r="F79" s="80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0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2">
        <v>0</v>
      </c>
      <c r="I79" s="92">
        <v>24</v>
      </c>
      <c r="J79" s="81" t="s">
        <v>196</v>
      </c>
      <c r="K79" s="89" t="s">
        <v>308</v>
      </c>
      <c r="L79" s="90" t="s">
        <v>309</v>
      </c>
      <c r="M79" s="55" t="s">
        <v>208</v>
      </c>
    </row>
    <row r="80" spans="1:13" x14ac:dyDescent="0.15">
      <c r="A80" s="78" t="s">
        <v>198</v>
      </c>
      <c r="B80" s="79">
        <v>13400</v>
      </c>
      <c r="C80" s="80" t="str">
        <f ca="1">VLOOKUP($B80,OFFSET([2]quests!$A$1,0,0,COUNTA([2]quests!$A:$A),MATCH(C$1,[2]quests!$1:$1,0)-MATCH($B$1,[2]quests!$1:$1,0)+1),MATCH(C$1,[2]quests!$1:$1,0)-MATCH($B$1,[2]quests!$1:$1,0)+1,FALSE)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0" s="80" t="str">
        <f ca="1">VLOOKUP($B80,OFFSET([2]quests!$A$1,0,0,COUNTA([2]quests!$A:$A),MATCH(D$1,[2]quests!$1:$1,0)-MATCH($B$1,[2]quests!$1:$1,0)+1),MATCH(D$1,[2]quests!$1:$1,0)-MATCH($B$1,[2]quests!$1:$1,0)+1,FALSE)</f>
        <v>タワーオブザクイーン2本目</v>
      </c>
      <c r="E80" s="83" t="s">
        <v>213</v>
      </c>
      <c r="F80" s="80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0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2">
        <v>0</v>
      </c>
      <c r="I80" s="92">
        <v>25</v>
      </c>
      <c r="J80" s="81" t="s">
        <v>196</v>
      </c>
      <c r="K80" s="89" t="s">
        <v>310</v>
      </c>
      <c r="L80" s="90" t="s">
        <v>311</v>
      </c>
      <c r="M80" s="55" t="s">
        <v>208</v>
      </c>
    </row>
    <row r="81" spans="1:13" x14ac:dyDescent="0.15">
      <c r="A81" s="78" t="s">
        <v>198</v>
      </c>
      <c r="B81" s="79">
        <v>13400</v>
      </c>
      <c r="C81" s="80" t="str">
        <f ca="1">VLOOKUP($B81,OFFSET([2]quests!$A$1,0,0,COUNTA([2]quests!$A:$A),MATCH(C$1,[2]quests!$1:$1,0)-MATCH($B$1,[2]quests!$1:$1,0)+1),MATCH(C$1,[2]quests!$1:$1,0)-MATCH($B$1,[2]quests!$1:$1,0)+1,FALSE)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1" s="80" t="str">
        <f ca="1">VLOOKUP($B81,OFFSET([2]quests!$A$1,0,0,COUNTA([2]quests!$A:$A),MATCH(D$1,[2]quests!$1:$1,0)-MATCH($B$1,[2]quests!$1:$1,0)+1),MATCH(D$1,[2]quests!$1:$1,0)-MATCH($B$1,[2]quests!$1:$1,0)+1,FALSE)</f>
        <v>タワーオブザクイーン2本目</v>
      </c>
      <c r="E81" s="83" t="s">
        <v>213</v>
      </c>
      <c r="F81" s="80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0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2">
        <v>0</v>
      </c>
      <c r="I81" s="92">
        <v>26</v>
      </c>
      <c r="J81" s="81" t="s">
        <v>196</v>
      </c>
      <c r="K81" s="89" t="s">
        <v>312</v>
      </c>
      <c r="L81" s="90" t="s">
        <v>313</v>
      </c>
      <c r="M81" s="55" t="s">
        <v>208</v>
      </c>
    </row>
    <row r="82" spans="1:13" x14ac:dyDescent="0.15">
      <c r="A82" s="78" t="s">
        <v>198</v>
      </c>
      <c r="B82" s="79">
        <v>13400</v>
      </c>
      <c r="C82" s="80" t="str">
        <f ca="1">VLOOKUP($B82,OFFSET([2]quests!$A$1,0,0,COUNTA([2]quests!$A:$A),MATCH(C$1,[2]quests!$1:$1,0)-MATCH($B$1,[2]quests!$1:$1,0)+1),MATCH(C$1,[2]quests!$1:$1,0)-MATCH($B$1,[2]quests!$1:$1,0)+1,FALSE)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2" s="80" t="str">
        <f ca="1">VLOOKUP($B82,OFFSET([2]quests!$A$1,0,0,COUNTA([2]quests!$A:$A),MATCH(D$1,[2]quests!$1:$1,0)-MATCH($B$1,[2]quests!$1:$1,0)+1),MATCH(D$1,[2]quests!$1:$1,0)-MATCH($B$1,[2]quests!$1:$1,0)+1,FALSE)</f>
        <v>タワーオブザクイーン2本目</v>
      </c>
      <c r="E82" s="83" t="s">
        <v>213</v>
      </c>
      <c r="F82" s="80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0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2">
        <v>0</v>
      </c>
      <c r="I82" s="92">
        <v>27</v>
      </c>
      <c r="J82" s="81" t="s">
        <v>196</v>
      </c>
      <c r="K82" s="89" t="s">
        <v>316</v>
      </c>
      <c r="L82" s="90" t="s">
        <v>317</v>
      </c>
      <c r="M82" s="55" t="s">
        <v>208</v>
      </c>
    </row>
    <row r="83" spans="1:13" x14ac:dyDescent="0.15">
      <c r="A83" s="78" t="s">
        <v>198</v>
      </c>
      <c r="B83" s="79">
        <v>13400</v>
      </c>
      <c r="C83" s="80" t="str">
        <f ca="1">VLOOKUP($B83,OFFSET([2]quests!$A$1,0,0,COUNTA([2]quests!$A:$A),MATCH(C$1,[2]quests!$1:$1,0)-MATCH($B$1,[2]quests!$1:$1,0)+1),MATCH(C$1,[2]quests!$1:$1,0)-MATCH($B$1,[2]quests!$1:$1,0)+1,FALSE)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3" s="80" t="str">
        <f ca="1">VLOOKUP($B83,OFFSET([2]quests!$A$1,0,0,COUNTA([2]quests!$A:$A),MATCH(D$1,[2]quests!$1:$1,0)-MATCH($B$1,[2]quests!$1:$1,0)+1),MATCH(D$1,[2]quests!$1:$1,0)-MATCH($B$1,[2]quests!$1:$1,0)+1,FALSE)</f>
        <v>タワーオブザクイーン2本目</v>
      </c>
      <c r="E83" s="83" t="s">
        <v>213</v>
      </c>
      <c r="F83" s="80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0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2">
        <v>0</v>
      </c>
      <c r="I83" s="92">
        <v>28</v>
      </c>
      <c r="J83" s="81" t="s">
        <v>196</v>
      </c>
      <c r="K83" s="89" t="s">
        <v>318</v>
      </c>
      <c r="L83" s="90" t="s">
        <v>319</v>
      </c>
      <c r="M83" s="55" t="s">
        <v>208</v>
      </c>
    </row>
    <row r="84" spans="1:13" x14ac:dyDescent="0.15">
      <c r="A84" s="78" t="s">
        <v>198</v>
      </c>
      <c r="B84" s="79">
        <v>13400</v>
      </c>
      <c r="C84" s="80" t="str">
        <f ca="1">VLOOKUP($B84,OFFSET([2]quests!$A$1,0,0,COUNTA([2]quests!$A:$A),MATCH(C$1,[2]quests!$1:$1,0)-MATCH($B$1,[2]quests!$1:$1,0)+1),MATCH(C$1,[2]quests!$1:$1,0)-MATCH($B$1,[2]quests!$1:$1,0)+1,FALSE)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4" s="80" t="str">
        <f ca="1">VLOOKUP($B84,OFFSET([2]quests!$A$1,0,0,COUNTA([2]quests!$A:$A),MATCH(D$1,[2]quests!$1:$1,0)-MATCH($B$1,[2]quests!$1:$1,0)+1),MATCH(D$1,[2]quests!$1:$1,0)-MATCH($B$1,[2]quests!$1:$1,0)+1,FALSE)</f>
        <v>タワーオブザクイーン2本目</v>
      </c>
      <c r="E84" s="83" t="s">
        <v>213</v>
      </c>
      <c r="F84" s="80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0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2">
        <v>0</v>
      </c>
      <c r="I84" s="92">
        <v>29</v>
      </c>
      <c r="J84" s="81" t="s">
        <v>196</v>
      </c>
      <c r="K84" s="89" t="s">
        <v>320</v>
      </c>
      <c r="L84" s="90" t="s">
        <v>321</v>
      </c>
      <c r="M84" s="55" t="s">
        <v>208</v>
      </c>
    </row>
    <row r="85" spans="1:13" x14ac:dyDescent="0.15">
      <c r="A85" s="78" t="s">
        <v>198</v>
      </c>
      <c r="B85" s="79">
        <v>13400</v>
      </c>
      <c r="C85" s="80" t="str">
        <f ca="1">VLOOKUP($B85,OFFSET([2]quests!$A$1,0,0,COUNTA([2]quests!$A:$A),MATCH(C$1,[2]quests!$1:$1,0)-MATCH($B$1,[2]quests!$1:$1,0)+1),MATCH(C$1,[2]quests!$1:$1,0)-MATCH($B$1,[2]quests!$1:$1,0)+1,FALSE)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5" s="80" t="str">
        <f ca="1">VLOOKUP($B85,OFFSET([2]quests!$A$1,0,0,COUNTA([2]quests!$A:$A),MATCH(D$1,[2]quests!$1:$1,0)-MATCH($B$1,[2]quests!$1:$1,0)+1),MATCH(D$1,[2]quests!$1:$1,0)-MATCH($B$1,[2]quests!$1:$1,0)+1,FALSE)</f>
        <v>タワーオブザクイーン2本目</v>
      </c>
      <c r="E85" s="83" t="s">
        <v>213</v>
      </c>
      <c r="F85" s="80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0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2">
        <v>0</v>
      </c>
      <c r="I85" s="92">
        <v>30</v>
      </c>
      <c r="J85" s="81" t="s">
        <v>196</v>
      </c>
      <c r="K85" s="89" t="s">
        <v>322</v>
      </c>
      <c r="L85" s="90" t="s">
        <v>323</v>
      </c>
      <c r="M85" s="55" t="s">
        <v>208</v>
      </c>
    </row>
    <row r="86" spans="1:13" x14ac:dyDescent="0.15">
      <c r="A86" s="78" t="s">
        <v>198</v>
      </c>
      <c r="B86" s="79">
        <v>13400</v>
      </c>
      <c r="C86" s="80" t="str">
        <f ca="1">VLOOKUP($B86,OFFSET([2]quests!$A$1,0,0,COUNTA([2]quests!$A:$A),MATCH(C$1,[2]quests!$1:$1,0)-MATCH($B$1,[2]quests!$1:$1,0)+1),MATCH(C$1,[2]quests!$1:$1,0)-MATCH($B$1,[2]quests!$1:$1,0)+1,FALSE)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6" s="80" t="str">
        <f ca="1">VLOOKUP($B86,OFFSET([2]quests!$A$1,0,0,COUNTA([2]quests!$A:$A),MATCH(D$1,[2]quests!$1:$1,0)-MATCH($B$1,[2]quests!$1:$1,0)+1),MATCH(D$1,[2]quests!$1:$1,0)-MATCH($B$1,[2]quests!$1:$1,0)+1,FALSE)</f>
        <v>タワーオブザクイーン2本目</v>
      </c>
      <c r="E86" s="83" t="s">
        <v>213</v>
      </c>
      <c r="F86" s="80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0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2">
        <v>0</v>
      </c>
      <c r="I86" s="92">
        <v>31</v>
      </c>
      <c r="J86" s="81" t="s">
        <v>196</v>
      </c>
      <c r="K86" s="89" t="s">
        <v>324</v>
      </c>
      <c r="L86" s="90" t="s">
        <v>325</v>
      </c>
      <c r="M86" s="55" t="s">
        <v>208</v>
      </c>
    </row>
    <row r="87" spans="1:13" x14ac:dyDescent="0.15">
      <c r="A87" s="78" t="s">
        <v>198</v>
      </c>
      <c r="B87" s="79">
        <v>13400</v>
      </c>
      <c r="C87" s="80" t="str">
        <f ca="1">VLOOKUP($B87,OFFSET([2]quests!$A$1,0,0,COUNTA([2]quests!$A:$A),MATCH(C$1,[2]quests!$1:$1,0)-MATCH($B$1,[2]quests!$1:$1,0)+1),MATCH(C$1,[2]quests!$1:$1,0)-MATCH($B$1,[2]quests!$1:$1,0)+1,FALSE)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7" s="80" t="str">
        <f ca="1">VLOOKUP($B87,OFFSET([2]quests!$A$1,0,0,COUNTA([2]quests!$A:$A),MATCH(D$1,[2]quests!$1:$1,0)-MATCH($B$1,[2]quests!$1:$1,0)+1),MATCH(D$1,[2]quests!$1:$1,0)-MATCH($B$1,[2]quests!$1:$1,0)+1,FALSE)</f>
        <v>タワーオブザクイーン2本目</v>
      </c>
      <c r="E87" s="83" t="s">
        <v>213</v>
      </c>
      <c r="F87" s="80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0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2">
        <v>0</v>
      </c>
      <c r="I87" s="92">
        <v>32</v>
      </c>
      <c r="J87" s="81" t="s">
        <v>196</v>
      </c>
      <c r="K87" s="89" t="s">
        <v>326</v>
      </c>
      <c r="L87" s="90" t="s">
        <v>327</v>
      </c>
      <c r="M87" s="55" t="s">
        <v>208</v>
      </c>
    </row>
    <row r="88" spans="1:13" x14ac:dyDescent="0.15">
      <c r="A88" s="78" t="s">
        <v>198</v>
      </c>
      <c r="B88" s="79">
        <v>13400</v>
      </c>
      <c r="C88" s="80" t="str">
        <f ca="1">VLOOKUP($B88,OFFSET([2]quests!$A$1,0,0,COUNTA([2]quests!$A:$A),MATCH(C$1,[2]quests!$1:$1,0)-MATCH($B$1,[2]quests!$1:$1,0)+1),MATCH(C$1,[2]quests!$1:$1,0)-MATCH($B$1,[2]quests!$1:$1,0)+1,FALSE)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8" s="80" t="str">
        <f ca="1">VLOOKUP($B88,OFFSET([2]quests!$A$1,0,0,COUNTA([2]quests!$A:$A),MATCH(D$1,[2]quests!$1:$1,0)-MATCH($B$1,[2]quests!$1:$1,0)+1),MATCH(D$1,[2]quests!$1:$1,0)-MATCH($B$1,[2]quests!$1:$1,0)+1,FALSE)</f>
        <v>タワーオブザクイーン2本目</v>
      </c>
      <c r="E88" s="83" t="s">
        <v>213</v>
      </c>
      <c r="F88" s="80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0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2">
        <v>0</v>
      </c>
      <c r="I88" s="92">
        <v>33</v>
      </c>
      <c r="J88" s="81" t="s">
        <v>196</v>
      </c>
      <c r="K88" s="89" t="s">
        <v>328</v>
      </c>
      <c r="L88" s="90" t="s">
        <v>329</v>
      </c>
      <c r="M88" s="55" t="s">
        <v>208</v>
      </c>
    </row>
    <row r="89" spans="1:13" x14ac:dyDescent="0.15">
      <c r="A89" s="78" t="s">
        <v>198</v>
      </c>
      <c r="B89" s="79">
        <v>13400</v>
      </c>
      <c r="C89" s="80" t="str">
        <f ca="1">VLOOKUP($B89,OFFSET([2]quests!$A$1,0,0,COUNTA([2]quests!$A:$A),MATCH(C$1,[2]quests!$1:$1,0)-MATCH($B$1,[2]quests!$1:$1,0)+1),MATCH(C$1,[2]quests!$1:$1,0)-MATCH($B$1,[2]quests!$1:$1,0)+1,FALSE)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9" s="80" t="str">
        <f ca="1">VLOOKUP($B89,OFFSET([2]quests!$A$1,0,0,COUNTA([2]quests!$A:$A),MATCH(D$1,[2]quests!$1:$1,0)-MATCH($B$1,[2]quests!$1:$1,0)+1),MATCH(D$1,[2]quests!$1:$1,0)-MATCH($B$1,[2]quests!$1:$1,0)+1,FALSE)</f>
        <v>タワーオブザクイーン2本目</v>
      </c>
      <c r="E89" s="83" t="s">
        <v>213</v>
      </c>
      <c r="F89" s="80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0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2">
        <v>0</v>
      </c>
      <c r="I89" s="92">
        <v>34</v>
      </c>
      <c r="J89" s="81" t="s">
        <v>196</v>
      </c>
      <c r="K89" s="89" t="s">
        <v>330</v>
      </c>
      <c r="L89" s="90" t="s">
        <v>331</v>
      </c>
      <c r="M89" s="55" t="s">
        <v>208</v>
      </c>
    </row>
    <row r="90" spans="1:13" x14ac:dyDescent="0.15">
      <c r="A90" s="78" t="s">
        <v>198</v>
      </c>
      <c r="B90" s="79">
        <v>13400</v>
      </c>
      <c r="C90" s="80" t="str">
        <f ca="1">VLOOKUP($B90,OFFSET([2]quests!$A$1,0,0,COUNTA([2]quests!$A:$A),MATCH(C$1,[2]quests!$1:$1,0)-MATCH($B$1,[2]quests!$1:$1,0)+1),MATCH(C$1,[2]quests!$1:$1,0)-MATCH($B$1,[2]quests!$1:$1,0)+1,FALSE)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0" s="80" t="str">
        <f ca="1">VLOOKUP($B90,OFFSET([2]quests!$A$1,0,0,COUNTA([2]quests!$A:$A),MATCH(D$1,[2]quests!$1:$1,0)-MATCH($B$1,[2]quests!$1:$1,0)+1),MATCH(D$1,[2]quests!$1:$1,0)-MATCH($B$1,[2]quests!$1:$1,0)+1,FALSE)</f>
        <v>タワーオブザクイーン2本目</v>
      </c>
      <c r="E90" s="83" t="s">
        <v>213</v>
      </c>
      <c r="F90" s="80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0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2">
        <v>0</v>
      </c>
      <c r="I90" s="92">
        <v>35</v>
      </c>
      <c r="J90" s="81" t="s">
        <v>196</v>
      </c>
      <c r="K90" s="89" t="s">
        <v>332</v>
      </c>
      <c r="L90" s="90" t="s">
        <v>333</v>
      </c>
      <c r="M90" s="55" t="s">
        <v>208</v>
      </c>
    </row>
    <row r="91" spans="1:13" x14ac:dyDescent="0.15">
      <c r="A91" s="78" t="s">
        <v>198</v>
      </c>
      <c r="B91" s="79">
        <v>13400</v>
      </c>
      <c r="C91" s="80" t="str">
        <f ca="1">VLOOKUP($B91,OFFSET([2]quests!$A$1,0,0,COUNTA([2]quests!$A:$A),MATCH(C$1,[2]quests!$1:$1,0)-MATCH($B$1,[2]quests!$1:$1,0)+1),MATCH(C$1,[2]quests!$1:$1,0)-MATCH($B$1,[2]quests!$1:$1,0)+1,FALSE)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1" s="80" t="str">
        <f ca="1">VLOOKUP($B91,OFFSET([2]quests!$A$1,0,0,COUNTA([2]quests!$A:$A),MATCH(D$1,[2]quests!$1:$1,0)-MATCH($B$1,[2]quests!$1:$1,0)+1),MATCH(D$1,[2]quests!$1:$1,0)-MATCH($B$1,[2]quests!$1:$1,0)+1,FALSE)</f>
        <v>タワーオブザクイーン2本目</v>
      </c>
      <c r="E91" s="83" t="s">
        <v>213</v>
      </c>
      <c r="F91" s="80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0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2">
        <v>0</v>
      </c>
      <c r="I91" s="92">
        <v>36</v>
      </c>
      <c r="J91" s="81" t="s">
        <v>196</v>
      </c>
      <c r="K91" s="89" t="s">
        <v>334</v>
      </c>
      <c r="L91" s="90" t="s">
        <v>335</v>
      </c>
      <c r="M91" s="55" t="s">
        <v>208</v>
      </c>
    </row>
    <row r="92" spans="1:13" x14ac:dyDescent="0.15">
      <c r="A92" s="78" t="s">
        <v>198</v>
      </c>
      <c r="B92" s="79">
        <v>13400</v>
      </c>
      <c r="C92" s="80" t="str">
        <f ca="1">VLOOKUP($B92,OFFSET([2]quests!$A$1,0,0,COUNTA([2]quests!$A:$A),MATCH(C$1,[2]quests!$1:$1,0)-MATCH($B$1,[2]quests!$1:$1,0)+1),MATCH(C$1,[2]quests!$1:$1,0)-MATCH($B$1,[2]quests!$1:$1,0)+1,FALSE)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2" s="80" t="str">
        <f ca="1">VLOOKUP($B92,OFFSET([2]quests!$A$1,0,0,COUNTA([2]quests!$A:$A),MATCH(D$1,[2]quests!$1:$1,0)-MATCH($B$1,[2]quests!$1:$1,0)+1),MATCH(D$1,[2]quests!$1:$1,0)-MATCH($B$1,[2]quests!$1:$1,0)+1,FALSE)</f>
        <v>タワーオブザクイーン2本目</v>
      </c>
      <c r="E92" s="83" t="s">
        <v>213</v>
      </c>
      <c r="F92" s="80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0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2">
        <v>0</v>
      </c>
      <c r="I92" s="92">
        <v>37</v>
      </c>
      <c r="J92" s="81" t="s">
        <v>196</v>
      </c>
      <c r="K92" s="89" t="s">
        <v>336</v>
      </c>
      <c r="L92" s="90" t="s">
        <v>337</v>
      </c>
      <c r="M92" s="55" t="s">
        <v>208</v>
      </c>
    </row>
    <row r="93" spans="1:13" x14ac:dyDescent="0.15">
      <c r="A93" s="78" t="s">
        <v>198</v>
      </c>
      <c r="B93" s="79">
        <v>13400</v>
      </c>
      <c r="C93" s="80" t="str">
        <f ca="1">VLOOKUP($B93,OFFSET([2]quests!$A$1,0,0,COUNTA([2]quests!$A:$A),MATCH(C$1,[2]quests!$1:$1,0)-MATCH($B$1,[2]quests!$1:$1,0)+1),MATCH(C$1,[2]quests!$1:$1,0)-MATCH($B$1,[2]quests!$1:$1,0)+1,FALSE)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3" s="80" t="str">
        <f ca="1">VLOOKUP($B93,OFFSET([2]quests!$A$1,0,0,COUNTA([2]quests!$A:$A),MATCH(D$1,[2]quests!$1:$1,0)-MATCH($B$1,[2]quests!$1:$1,0)+1),MATCH(D$1,[2]quests!$1:$1,0)-MATCH($B$1,[2]quests!$1:$1,0)+1,FALSE)</f>
        <v>タワーオブザクイーン2本目</v>
      </c>
      <c r="E93" s="83" t="s">
        <v>213</v>
      </c>
      <c r="F93" s="80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0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2">
        <v>0</v>
      </c>
      <c r="I93" s="92">
        <v>39</v>
      </c>
      <c r="J93" s="81" t="s">
        <v>196</v>
      </c>
      <c r="K93" s="89" t="s">
        <v>314</v>
      </c>
      <c r="L93" s="90" t="s">
        <v>315</v>
      </c>
      <c r="M93" s="55" t="s">
        <v>208</v>
      </c>
    </row>
    <row r="94" spans="1:13" x14ac:dyDescent="0.15">
      <c r="A94" s="78" t="s">
        <v>198</v>
      </c>
      <c r="B94" s="79">
        <v>13400</v>
      </c>
      <c r="C94" s="80" t="str">
        <f ca="1">VLOOKUP($B94,OFFSET([2]quests!$A$1,0,0,COUNTA([2]quests!$A:$A),MATCH(C$1,[2]quests!$1:$1,0)-MATCH($B$1,[2]quests!$1:$1,0)+1),MATCH(C$1,[2]quests!$1:$1,0)-MATCH($B$1,[2]quests!$1:$1,0)+1,FALSE)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4" s="80" t="str">
        <f ca="1">VLOOKUP($B94,OFFSET([2]quests!$A$1,0,0,COUNTA([2]quests!$A:$A),MATCH(D$1,[2]quests!$1:$1,0)-MATCH($B$1,[2]quests!$1:$1,0)+1),MATCH(D$1,[2]quests!$1:$1,0)-MATCH($B$1,[2]quests!$1:$1,0)+1,FALSE)</f>
        <v>タワーオブザクイーン2本目</v>
      </c>
      <c r="E94" s="83" t="s">
        <v>214</v>
      </c>
      <c r="F94" s="80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0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2">
        <v>0</v>
      </c>
      <c r="I94">
        <v>12</v>
      </c>
      <c r="J94" s="81" t="s">
        <v>196</v>
      </c>
      <c r="K94" s="89" t="s">
        <v>284</v>
      </c>
      <c r="L94" s="90" t="s">
        <v>285</v>
      </c>
      <c r="M94" s="55" t="s">
        <v>208</v>
      </c>
    </row>
    <row r="95" spans="1:13" x14ac:dyDescent="0.15">
      <c r="A95" s="78" t="s">
        <v>198</v>
      </c>
      <c r="B95" s="79">
        <v>13400</v>
      </c>
      <c r="C95" s="80" t="str">
        <f ca="1">VLOOKUP($B95,OFFSET([2]quests!$A$1,0,0,COUNTA([2]quests!$A:$A),MATCH(C$1,[2]quests!$1:$1,0)-MATCH($B$1,[2]quests!$1:$1,0)+1),MATCH(C$1,[2]quests!$1:$1,0)-MATCH($B$1,[2]quests!$1:$1,0)+1,FALSE)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5" s="80" t="str">
        <f ca="1">VLOOKUP($B95,OFFSET([2]quests!$A$1,0,0,COUNTA([2]quests!$A:$A),MATCH(D$1,[2]quests!$1:$1,0)-MATCH($B$1,[2]quests!$1:$1,0)+1),MATCH(D$1,[2]quests!$1:$1,0)-MATCH($B$1,[2]quests!$1:$1,0)+1,FALSE)</f>
        <v>タワーオブザクイーン2本目</v>
      </c>
      <c r="E95" s="83" t="s">
        <v>214</v>
      </c>
      <c r="F95" s="80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0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2">
        <v>0</v>
      </c>
      <c r="I95">
        <v>17</v>
      </c>
      <c r="J95" s="81" t="s">
        <v>196</v>
      </c>
      <c r="K95" s="89" t="s">
        <v>294</v>
      </c>
      <c r="L95" s="90" t="s">
        <v>295</v>
      </c>
      <c r="M95" s="55" t="s">
        <v>208</v>
      </c>
    </row>
    <row r="96" spans="1:13" x14ac:dyDescent="0.15">
      <c r="A96" s="78" t="s">
        <v>198</v>
      </c>
      <c r="B96" s="79">
        <v>13400</v>
      </c>
      <c r="C96" s="80" t="str">
        <f ca="1">VLOOKUP($B96,OFFSET([2]quests!$A$1,0,0,COUNTA([2]quests!$A:$A),MATCH(C$1,[2]quests!$1:$1,0)-MATCH($B$1,[2]quests!$1:$1,0)+1),MATCH(C$1,[2]quests!$1:$1,0)-MATCH($B$1,[2]quests!$1:$1,0)+1,FALSE)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6" s="80" t="str">
        <f ca="1">VLOOKUP($B96,OFFSET([2]quests!$A$1,0,0,COUNTA([2]quests!$A:$A),MATCH(D$1,[2]quests!$1:$1,0)-MATCH($B$1,[2]quests!$1:$1,0)+1),MATCH(D$1,[2]quests!$1:$1,0)-MATCH($B$1,[2]quests!$1:$1,0)+1,FALSE)</f>
        <v>タワーオブザクイーン2本目</v>
      </c>
      <c r="E96" s="83" t="s">
        <v>214</v>
      </c>
      <c r="F96" s="80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0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2">
        <v>0</v>
      </c>
      <c r="I96">
        <v>19</v>
      </c>
      <c r="J96" s="81" t="s">
        <v>196</v>
      </c>
      <c r="K96" s="89" t="s">
        <v>298</v>
      </c>
      <c r="L96" s="90" t="s">
        <v>299</v>
      </c>
      <c r="M96" s="55" t="s">
        <v>208</v>
      </c>
    </row>
    <row r="97" spans="1:13" x14ac:dyDescent="0.15">
      <c r="A97" s="78" t="s">
        <v>198</v>
      </c>
      <c r="B97" s="79">
        <v>13400</v>
      </c>
      <c r="C97" s="80" t="str">
        <f ca="1">VLOOKUP($B97,OFFSET([2]quests!$A$1,0,0,COUNTA([2]quests!$A:$A),MATCH(C$1,[2]quests!$1:$1,0)-MATCH($B$1,[2]quests!$1:$1,0)+1),MATCH(C$1,[2]quests!$1:$1,0)-MATCH($B$1,[2]quests!$1:$1,0)+1,FALSE)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7" s="80" t="str">
        <f ca="1">VLOOKUP($B97,OFFSET([2]quests!$A$1,0,0,COUNTA([2]quests!$A:$A),MATCH(D$1,[2]quests!$1:$1,0)-MATCH($B$1,[2]quests!$1:$1,0)+1),MATCH(D$1,[2]quests!$1:$1,0)-MATCH($B$1,[2]quests!$1:$1,0)+1,FALSE)</f>
        <v>タワーオブザクイーン2本目</v>
      </c>
      <c r="E97" s="83" t="s">
        <v>214</v>
      </c>
      <c r="F97" s="80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0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2">
        <v>0</v>
      </c>
      <c r="I97">
        <v>21</v>
      </c>
      <c r="J97" s="81" t="s">
        <v>196</v>
      </c>
      <c r="K97" s="89" t="s">
        <v>302</v>
      </c>
      <c r="L97" s="90" t="s">
        <v>303</v>
      </c>
      <c r="M97" s="55" t="s">
        <v>208</v>
      </c>
    </row>
    <row r="98" spans="1:13" x14ac:dyDescent="0.15">
      <c r="A98" s="78" t="s">
        <v>198</v>
      </c>
      <c r="B98" s="79">
        <v>13400</v>
      </c>
      <c r="C98" s="80" t="str">
        <f ca="1">VLOOKUP($B98,OFFSET([2]quests!$A$1,0,0,COUNTA([2]quests!$A:$A),MATCH(C$1,[2]quests!$1:$1,0)-MATCH($B$1,[2]quests!$1:$1,0)+1),MATCH(C$1,[2]quests!$1:$1,0)-MATCH($B$1,[2]quests!$1:$1,0)+1,FALSE)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8" s="80" t="str">
        <f ca="1">VLOOKUP($B98,OFFSET([2]quests!$A$1,0,0,COUNTA([2]quests!$A:$A),MATCH(D$1,[2]quests!$1:$1,0)-MATCH($B$1,[2]quests!$1:$1,0)+1),MATCH(D$1,[2]quests!$1:$1,0)-MATCH($B$1,[2]quests!$1:$1,0)+1,FALSE)</f>
        <v>タワーオブザクイーン2本目</v>
      </c>
      <c r="E98" s="83" t="s">
        <v>214</v>
      </c>
      <c r="F98" s="80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0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2">
        <v>0</v>
      </c>
      <c r="I98">
        <v>27</v>
      </c>
      <c r="J98" s="81" t="s">
        <v>196</v>
      </c>
      <c r="K98" s="89" t="s">
        <v>316</v>
      </c>
      <c r="L98" s="90" t="s">
        <v>317</v>
      </c>
      <c r="M98" s="55" t="s">
        <v>208</v>
      </c>
    </row>
    <row r="99" spans="1:13" x14ac:dyDescent="0.15">
      <c r="A99" s="78" t="s">
        <v>198</v>
      </c>
      <c r="B99" s="79">
        <v>13400</v>
      </c>
      <c r="C99" s="80" t="str">
        <f ca="1">VLOOKUP($B99,OFFSET([2]quests!$A$1,0,0,COUNTA([2]quests!$A:$A),MATCH(C$1,[2]quests!$1:$1,0)-MATCH($B$1,[2]quests!$1:$1,0)+1),MATCH(C$1,[2]quests!$1:$1,0)-MATCH($B$1,[2]quests!$1:$1,0)+1,FALSE)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9" s="80" t="str">
        <f ca="1">VLOOKUP($B99,OFFSET([2]quests!$A$1,0,0,COUNTA([2]quests!$A:$A),MATCH(D$1,[2]quests!$1:$1,0)-MATCH($B$1,[2]quests!$1:$1,0)+1),MATCH(D$1,[2]quests!$1:$1,0)-MATCH($B$1,[2]quests!$1:$1,0)+1,FALSE)</f>
        <v>タワーオブザクイーン2本目</v>
      </c>
      <c r="E99" s="83" t="s">
        <v>214</v>
      </c>
      <c r="F99" s="80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0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2">
        <v>0</v>
      </c>
      <c r="I99">
        <v>28</v>
      </c>
      <c r="J99" s="81" t="s">
        <v>196</v>
      </c>
      <c r="K99" s="89" t="s">
        <v>318</v>
      </c>
      <c r="L99" s="90" t="s">
        <v>319</v>
      </c>
      <c r="M99" s="55" t="s">
        <v>208</v>
      </c>
    </row>
    <row r="100" spans="1:13" x14ac:dyDescent="0.15">
      <c r="A100" s="78" t="s">
        <v>198</v>
      </c>
      <c r="B100" s="79">
        <v>13400</v>
      </c>
      <c r="C100" s="80" t="str">
        <f ca="1">VLOOKUP($B100,OFFSET([2]quests!$A$1,0,0,COUNTA([2]quests!$A:$A),MATCH(C$1,[2]quests!$1:$1,0)-MATCH($B$1,[2]quests!$1:$1,0)+1),MATCH(C$1,[2]quests!$1:$1,0)-MATCH($B$1,[2]quests!$1:$1,0)+1,FALSE)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0" s="80" t="str">
        <f ca="1">VLOOKUP($B100,OFFSET([2]quests!$A$1,0,0,COUNTA([2]quests!$A:$A),MATCH(D$1,[2]quests!$1:$1,0)-MATCH($B$1,[2]quests!$1:$1,0)+1),MATCH(D$1,[2]quests!$1:$1,0)-MATCH($B$1,[2]quests!$1:$1,0)+1,FALSE)</f>
        <v>タワーオブザクイーン2本目</v>
      </c>
      <c r="E100" s="83" t="s">
        <v>214</v>
      </c>
      <c r="F100" s="80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0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2">
        <v>0</v>
      </c>
      <c r="I100">
        <v>29</v>
      </c>
      <c r="J100" s="81" t="s">
        <v>196</v>
      </c>
      <c r="K100" s="89" t="s">
        <v>320</v>
      </c>
      <c r="L100" s="90" t="s">
        <v>321</v>
      </c>
      <c r="M100" s="55" t="s">
        <v>208</v>
      </c>
    </row>
    <row r="101" spans="1:13" x14ac:dyDescent="0.15">
      <c r="A101" s="78" t="s">
        <v>198</v>
      </c>
      <c r="B101" s="79">
        <v>13400</v>
      </c>
      <c r="C101" s="80" t="str">
        <f ca="1">VLOOKUP($B101,OFFSET([2]quests!$A$1,0,0,COUNTA([2]quests!$A:$A),MATCH(C$1,[2]quests!$1:$1,0)-MATCH($B$1,[2]quests!$1:$1,0)+1),MATCH(C$1,[2]quests!$1:$1,0)-MATCH($B$1,[2]quests!$1:$1,0)+1,FALSE)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1" s="80" t="str">
        <f ca="1">VLOOKUP($B101,OFFSET([2]quests!$A$1,0,0,COUNTA([2]quests!$A:$A),MATCH(D$1,[2]quests!$1:$1,0)-MATCH($B$1,[2]quests!$1:$1,0)+1),MATCH(D$1,[2]quests!$1:$1,0)-MATCH($B$1,[2]quests!$1:$1,0)+1,FALSE)</f>
        <v>タワーオブザクイーン2本目</v>
      </c>
      <c r="E101" s="83" t="s">
        <v>214</v>
      </c>
      <c r="F101" s="80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0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2">
        <v>0</v>
      </c>
      <c r="I101">
        <v>30</v>
      </c>
      <c r="J101" s="81" t="s">
        <v>196</v>
      </c>
      <c r="K101" s="89" t="s">
        <v>322</v>
      </c>
      <c r="L101" s="90" t="s">
        <v>323</v>
      </c>
      <c r="M101" s="55" t="s">
        <v>208</v>
      </c>
    </row>
    <row r="102" spans="1:13" x14ac:dyDescent="0.15">
      <c r="A102" s="78" t="s">
        <v>198</v>
      </c>
      <c r="B102" s="79">
        <v>13400</v>
      </c>
      <c r="C102" s="80" t="str">
        <f ca="1">VLOOKUP($B102,OFFSET([2]quests!$A$1,0,0,COUNTA([2]quests!$A:$A),MATCH(C$1,[2]quests!$1:$1,0)-MATCH($B$1,[2]quests!$1:$1,0)+1),MATCH(C$1,[2]quests!$1:$1,0)-MATCH($B$1,[2]quests!$1:$1,0)+1,FALSE)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2" s="80" t="str">
        <f ca="1">VLOOKUP($B102,OFFSET([2]quests!$A$1,0,0,COUNTA([2]quests!$A:$A),MATCH(D$1,[2]quests!$1:$1,0)-MATCH($B$1,[2]quests!$1:$1,0)+1),MATCH(D$1,[2]quests!$1:$1,0)-MATCH($B$1,[2]quests!$1:$1,0)+1,FALSE)</f>
        <v>タワーオブザクイーン2本目</v>
      </c>
      <c r="E102" s="83" t="s">
        <v>214</v>
      </c>
      <c r="F102" s="80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0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2">
        <v>0</v>
      </c>
      <c r="I102">
        <v>32</v>
      </c>
      <c r="J102" s="81" t="s">
        <v>196</v>
      </c>
      <c r="K102" s="89" t="s">
        <v>326</v>
      </c>
      <c r="L102" s="90" t="s">
        <v>327</v>
      </c>
      <c r="M102" s="55" t="s">
        <v>208</v>
      </c>
    </row>
    <row r="103" spans="1:13" x14ac:dyDescent="0.15">
      <c r="A103" s="78" t="s">
        <v>198</v>
      </c>
      <c r="B103" s="79">
        <v>13400</v>
      </c>
      <c r="C103" s="80" t="str">
        <f ca="1">VLOOKUP($B103,OFFSET([2]quests!$A$1,0,0,COUNTA([2]quests!$A:$A),MATCH(C$1,[2]quests!$1:$1,0)-MATCH($B$1,[2]quests!$1:$1,0)+1),MATCH(C$1,[2]quests!$1:$1,0)-MATCH($B$1,[2]quests!$1:$1,0)+1,FALSE)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3" s="80" t="str">
        <f ca="1">VLOOKUP($B103,OFFSET([2]quests!$A$1,0,0,COUNTA([2]quests!$A:$A),MATCH(D$1,[2]quests!$1:$1,0)-MATCH($B$1,[2]quests!$1:$1,0)+1),MATCH(D$1,[2]quests!$1:$1,0)-MATCH($B$1,[2]quests!$1:$1,0)+1,FALSE)</f>
        <v>タワーオブザクイーン2本目</v>
      </c>
      <c r="E103" s="83" t="s">
        <v>214</v>
      </c>
      <c r="F103" s="80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0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2">
        <v>0</v>
      </c>
      <c r="I103">
        <v>33</v>
      </c>
      <c r="J103" s="81" t="s">
        <v>196</v>
      </c>
      <c r="K103" s="89" t="s">
        <v>328</v>
      </c>
      <c r="L103" s="90" t="s">
        <v>329</v>
      </c>
      <c r="M103" s="55" t="s">
        <v>208</v>
      </c>
    </row>
    <row r="104" spans="1:13" x14ac:dyDescent="0.15">
      <c r="A104" s="78" t="s">
        <v>198</v>
      </c>
      <c r="B104" s="79">
        <v>13400</v>
      </c>
      <c r="C104" s="80" t="str">
        <f ca="1">VLOOKUP($B104,OFFSET([2]quests!$A$1,0,0,COUNTA([2]quests!$A:$A),MATCH(C$1,[2]quests!$1:$1,0)-MATCH($B$1,[2]quests!$1:$1,0)+1),MATCH(C$1,[2]quests!$1:$1,0)-MATCH($B$1,[2]quests!$1:$1,0)+1,FALSE)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4" s="80" t="str">
        <f ca="1">VLOOKUP($B104,OFFSET([2]quests!$A$1,0,0,COUNTA([2]quests!$A:$A),MATCH(D$1,[2]quests!$1:$1,0)-MATCH($B$1,[2]quests!$1:$1,0)+1),MATCH(D$1,[2]quests!$1:$1,0)-MATCH($B$1,[2]quests!$1:$1,0)+1,FALSE)</f>
        <v>タワーオブザクイーン2本目</v>
      </c>
      <c r="E104" s="83" t="s">
        <v>214</v>
      </c>
      <c r="F104" s="80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0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2">
        <v>0</v>
      </c>
      <c r="I104">
        <v>34</v>
      </c>
      <c r="J104" s="81" t="s">
        <v>196</v>
      </c>
      <c r="K104" s="89" t="s">
        <v>330</v>
      </c>
      <c r="L104" s="90" t="s">
        <v>331</v>
      </c>
      <c r="M104" s="55" t="s">
        <v>208</v>
      </c>
    </row>
    <row r="105" spans="1:13" x14ac:dyDescent="0.15">
      <c r="A105" s="78" t="s">
        <v>198</v>
      </c>
      <c r="B105" s="79">
        <v>13400</v>
      </c>
      <c r="C105" s="80" t="str">
        <f ca="1">VLOOKUP($B105,OFFSET([2]quests!$A$1,0,0,COUNTA([2]quests!$A:$A),MATCH(C$1,[2]quests!$1:$1,0)-MATCH($B$1,[2]quests!$1:$1,0)+1),MATCH(C$1,[2]quests!$1:$1,0)-MATCH($B$1,[2]quests!$1:$1,0)+1,FALSE)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5" s="80" t="str">
        <f ca="1">VLOOKUP($B105,OFFSET([2]quests!$A$1,0,0,COUNTA([2]quests!$A:$A),MATCH(D$1,[2]quests!$1:$1,0)-MATCH($B$1,[2]quests!$1:$1,0)+1),MATCH(D$1,[2]quests!$1:$1,0)-MATCH($B$1,[2]quests!$1:$1,0)+1,FALSE)</f>
        <v>タワーオブザクイーン2本目</v>
      </c>
      <c r="E105" s="83" t="s">
        <v>214</v>
      </c>
      <c r="F105" s="80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0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2">
        <v>0</v>
      </c>
      <c r="I105">
        <v>35</v>
      </c>
      <c r="J105" s="81" t="s">
        <v>196</v>
      </c>
      <c r="K105" s="89" t="s">
        <v>332</v>
      </c>
      <c r="L105" s="90" t="s">
        <v>333</v>
      </c>
      <c r="M105" s="55" t="s">
        <v>208</v>
      </c>
    </row>
    <row r="106" spans="1:13" x14ac:dyDescent="0.15">
      <c r="A106" s="78" t="s">
        <v>198</v>
      </c>
      <c r="B106" s="79">
        <v>13400</v>
      </c>
      <c r="C106" s="80" t="str">
        <f ca="1">VLOOKUP($B106,OFFSET([2]quests!$A$1,0,0,COUNTA([2]quests!$A:$A),MATCH(C$1,[2]quests!$1:$1,0)-MATCH($B$1,[2]quests!$1:$1,0)+1),MATCH(C$1,[2]quests!$1:$1,0)-MATCH($B$1,[2]quests!$1:$1,0)+1,FALSE)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6" s="80" t="str">
        <f ca="1">VLOOKUP($B106,OFFSET([2]quests!$A$1,0,0,COUNTA([2]quests!$A:$A),MATCH(D$1,[2]quests!$1:$1,0)-MATCH($B$1,[2]quests!$1:$1,0)+1),MATCH(D$1,[2]quests!$1:$1,0)-MATCH($B$1,[2]quests!$1:$1,0)+1,FALSE)</f>
        <v>タワーオブザクイーン2本目</v>
      </c>
      <c r="E106" s="83" t="s">
        <v>214</v>
      </c>
      <c r="F106" s="80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0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2">
        <v>0</v>
      </c>
      <c r="I106">
        <v>36</v>
      </c>
      <c r="J106" s="81" t="s">
        <v>196</v>
      </c>
      <c r="K106" s="89" t="s">
        <v>334</v>
      </c>
      <c r="L106" s="90" t="s">
        <v>335</v>
      </c>
      <c r="M106" s="55" t="s">
        <v>208</v>
      </c>
    </row>
    <row r="107" spans="1:13" x14ac:dyDescent="0.15">
      <c r="A107" s="78" t="s">
        <v>198</v>
      </c>
      <c r="B107" s="79">
        <v>13400</v>
      </c>
      <c r="C107" s="80" t="str">
        <f ca="1">VLOOKUP($B107,OFFSET([2]quests!$A$1,0,0,COUNTA([2]quests!$A:$A),MATCH(C$1,[2]quests!$1:$1,0)-MATCH($B$1,[2]quests!$1:$1,0)+1),MATCH(C$1,[2]quests!$1:$1,0)-MATCH($B$1,[2]quests!$1:$1,0)+1,FALSE)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7" s="80" t="str">
        <f ca="1">VLOOKUP($B107,OFFSET([2]quests!$A$1,0,0,COUNTA([2]quests!$A:$A),MATCH(D$1,[2]quests!$1:$1,0)-MATCH($B$1,[2]quests!$1:$1,0)+1),MATCH(D$1,[2]quests!$1:$1,0)-MATCH($B$1,[2]quests!$1:$1,0)+1,FALSE)</f>
        <v>タワーオブザクイーン2本目</v>
      </c>
      <c r="E107" s="83" t="s">
        <v>214</v>
      </c>
      <c r="F107" s="80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0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2">
        <v>0</v>
      </c>
      <c r="I107">
        <v>37</v>
      </c>
      <c r="J107" s="81" t="s">
        <v>196</v>
      </c>
      <c r="K107" s="89" t="s">
        <v>336</v>
      </c>
      <c r="L107" s="90" t="s">
        <v>337</v>
      </c>
      <c r="M107" s="55" t="s">
        <v>208</v>
      </c>
    </row>
    <row r="108" spans="1:13" x14ac:dyDescent="0.15">
      <c r="A108" s="78" t="s">
        <v>198</v>
      </c>
      <c r="B108" s="79">
        <v>13400</v>
      </c>
      <c r="C108" s="80" t="str">
        <f ca="1">VLOOKUP($B108,OFFSET([2]quests!$A$1,0,0,COUNTA([2]quests!$A:$A),MATCH(C$1,[2]quests!$1:$1,0)-MATCH($B$1,[2]quests!$1:$1,0)+1),MATCH(C$1,[2]quests!$1:$1,0)-MATCH($B$1,[2]quests!$1:$1,0)+1,FALSE)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8" s="80" t="str">
        <f ca="1">VLOOKUP($B108,OFFSET([2]quests!$A$1,0,0,COUNTA([2]quests!$A:$A),MATCH(D$1,[2]quests!$1:$1,0)-MATCH($B$1,[2]quests!$1:$1,0)+1),MATCH(D$1,[2]quests!$1:$1,0)-MATCH($B$1,[2]quests!$1:$1,0)+1,FALSE)</f>
        <v>タワーオブザクイーン2本目</v>
      </c>
      <c r="E108" s="83" t="s">
        <v>214</v>
      </c>
      <c r="F108" s="80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0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2">
        <v>0</v>
      </c>
      <c r="I108">
        <v>39</v>
      </c>
      <c r="J108" s="81" t="s">
        <v>196</v>
      </c>
      <c r="K108" s="89" t="s">
        <v>314</v>
      </c>
      <c r="L108" s="90" t="s">
        <v>315</v>
      </c>
      <c r="M108" s="55" t="s">
        <v>208</v>
      </c>
    </row>
    <row r="109" spans="1:13" x14ac:dyDescent="0.15">
      <c r="A109" s="78" t="s">
        <v>198</v>
      </c>
      <c r="B109" s="79">
        <v>13400</v>
      </c>
      <c r="C109" s="80" t="str">
        <f ca="1">VLOOKUP($B109,OFFSET([2]quests!$A$1,0,0,COUNTA([2]quests!$A:$A),MATCH(C$1,[2]quests!$1:$1,0)-MATCH($B$1,[2]quests!$1:$1,0)+1),MATCH(C$1,[2]quests!$1:$1,0)-MATCH($B$1,[2]quests!$1:$1,0)+1,FALSE)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9" s="80" t="str">
        <f ca="1">VLOOKUP($B109,OFFSET([2]quests!$A$1,0,0,COUNTA([2]quests!$A:$A),MATCH(D$1,[2]quests!$1:$1,0)-MATCH($B$1,[2]quests!$1:$1,0)+1),MATCH(D$1,[2]quests!$1:$1,0)-MATCH($B$1,[2]quests!$1:$1,0)+1,FALSE)</f>
        <v>タワーオブザクイーン2本目</v>
      </c>
      <c r="E109" s="83" t="s">
        <v>215</v>
      </c>
      <c r="F109" s="80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0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2">
        <v>0</v>
      </c>
      <c r="I109">
        <v>12</v>
      </c>
      <c r="J109" s="81" t="s">
        <v>196</v>
      </c>
      <c r="K109" s="89" t="s">
        <v>284</v>
      </c>
      <c r="L109" s="90" t="s">
        <v>285</v>
      </c>
      <c r="M109" s="55" t="s">
        <v>208</v>
      </c>
    </row>
    <row r="110" spans="1:13" x14ac:dyDescent="0.15">
      <c r="A110" s="78" t="s">
        <v>198</v>
      </c>
      <c r="B110" s="79">
        <v>13400</v>
      </c>
      <c r="C110" s="80" t="str">
        <f ca="1">VLOOKUP($B110,OFFSET([2]quests!$A$1,0,0,COUNTA([2]quests!$A:$A),MATCH(C$1,[2]quests!$1:$1,0)-MATCH($B$1,[2]quests!$1:$1,0)+1),MATCH(C$1,[2]quests!$1:$1,0)-MATCH($B$1,[2]quests!$1:$1,0)+1,FALSE)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0" s="80" t="str">
        <f ca="1">VLOOKUP($B110,OFFSET([2]quests!$A$1,0,0,COUNTA([2]quests!$A:$A),MATCH(D$1,[2]quests!$1:$1,0)-MATCH($B$1,[2]quests!$1:$1,0)+1),MATCH(D$1,[2]quests!$1:$1,0)-MATCH($B$1,[2]quests!$1:$1,0)+1,FALSE)</f>
        <v>タワーオブザクイーン2本目</v>
      </c>
      <c r="E110" s="83" t="s">
        <v>215</v>
      </c>
      <c r="F110" s="80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0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2">
        <v>0</v>
      </c>
      <c r="I110">
        <v>17</v>
      </c>
      <c r="J110" s="81" t="s">
        <v>196</v>
      </c>
      <c r="K110" s="89" t="s">
        <v>294</v>
      </c>
      <c r="L110" s="90" t="s">
        <v>295</v>
      </c>
      <c r="M110" s="55" t="s">
        <v>208</v>
      </c>
    </row>
    <row r="111" spans="1:13" x14ac:dyDescent="0.15">
      <c r="A111" s="78" t="s">
        <v>198</v>
      </c>
      <c r="B111" s="79">
        <v>13400</v>
      </c>
      <c r="C111" s="80" t="str">
        <f ca="1">VLOOKUP($B111,OFFSET([2]quests!$A$1,0,0,COUNTA([2]quests!$A:$A),MATCH(C$1,[2]quests!$1:$1,0)-MATCH($B$1,[2]quests!$1:$1,0)+1),MATCH(C$1,[2]quests!$1:$1,0)-MATCH($B$1,[2]quests!$1:$1,0)+1,FALSE)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1" s="80" t="str">
        <f ca="1">VLOOKUP($B111,OFFSET([2]quests!$A$1,0,0,COUNTA([2]quests!$A:$A),MATCH(D$1,[2]quests!$1:$1,0)-MATCH($B$1,[2]quests!$1:$1,0)+1),MATCH(D$1,[2]quests!$1:$1,0)-MATCH($B$1,[2]quests!$1:$1,0)+1,FALSE)</f>
        <v>タワーオブザクイーン2本目</v>
      </c>
      <c r="E111" s="83" t="s">
        <v>215</v>
      </c>
      <c r="F111" s="80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0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2">
        <v>0</v>
      </c>
      <c r="I111">
        <v>19</v>
      </c>
      <c r="J111" s="81" t="s">
        <v>196</v>
      </c>
      <c r="K111" s="89" t="s">
        <v>298</v>
      </c>
      <c r="L111" s="90" t="s">
        <v>299</v>
      </c>
      <c r="M111" s="55" t="s">
        <v>208</v>
      </c>
    </row>
    <row r="112" spans="1:13" x14ac:dyDescent="0.15">
      <c r="A112" s="78" t="s">
        <v>198</v>
      </c>
      <c r="B112" s="79">
        <v>13400</v>
      </c>
      <c r="C112" s="80" t="str">
        <f ca="1">VLOOKUP($B112,OFFSET([2]quests!$A$1,0,0,COUNTA([2]quests!$A:$A),MATCH(C$1,[2]quests!$1:$1,0)-MATCH($B$1,[2]quests!$1:$1,0)+1),MATCH(C$1,[2]quests!$1:$1,0)-MATCH($B$1,[2]quests!$1:$1,0)+1,FALSE)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2" s="80" t="str">
        <f ca="1">VLOOKUP($B112,OFFSET([2]quests!$A$1,0,0,COUNTA([2]quests!$A:$A),MATCH(D$1,[2]quests!$1:$1,0)-MATCH($B$1,[2]quests!$1:$1,0)+1),MATCH(D$1,[2]quests!$1:$1,0)-MATCH($B$1,[2]quests!$1:$1,0)+1,FALSE)</f>
        <v>タワーオブザクイーン2本目</v>
      </c>
      <c r="E112" s="83" t="s">
        <v>215</v>
      </c>
      <c r="F112" s="80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0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2">
        <v>0</v>
      </c>
      <c r="I112">
        <v>21</v>
      </c>
      <c r="J112" s="81" t="s">
        <v>196</v>
      </c>
      <c r="K112" s="89" t="s">
        <v>302</v>
      </c>
      <c r="L112" s="90" t="s">
        <v>303</v>
      </c>
      <c r="M112" s="55" t="s">
        <v>208</v>
      </c>
    </row>
    <row r="113" spans="1:13" x14ac:dyDescent="0.15">
      <c r="A113" s="78" t="s">
        <v>198</v>
      </c>
      <c r="B113" s="79">
        <v>13400</v>
      </c>
      <c r="C113" s="80" t="str">
        <f ca="1">VLOOKUP($B113,OFFSET([2]quests!$A$1,0,0,COUNTA([2]quests!$A:$A),MATCH(C$1,[2]quests!$1:$1,0)-MATCH($B$1,[2]quests!$1:$1,0)+1),MATCH(C$1,[2]quests!$1:$1,0)-MATCH($B$1,[2]quests!$1:$1,0)+1,FALSE)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3" s="80" t="str">
        <f ca="1">VLOOKUP($B113,OFFSET([2]quests!$A$1,0,0,COUNTA([2]quests!$A:$A),MATCH(D$1,[2]quests!$1:$1,0)-MATCH($B$1,[2]quests!$1:$1,0)+1),MATCH(D$1,[2]quests!$1:$1,0)-MATCH($B$1,[2]quests!$1:$1,0)+1,FALSE)</f>
        <v>タワーオブザクイーン2本目</v>
      </c>
      <c r="E113" s="83" t="s">
        <v>215</v>
      </c>
      <c r="F113" s="80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0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2">
        <v>0</v>
      </c>
      <c r="I113">
        <v>29</v>
      </c>
      <c r="J113" s="81" t="s">
        <v>196</v>
      </c>
      <c r="K113" s="89" t="s">
        <v>320</v>
      </c>
      <c r="L113" s="90" t="s">
        <v>321</v>
      </c>
      <c r="M113" s="55" t="s">
        <v>208</v>
      </c>
    </row>
    <row r="114" spans="1:13" x14ac:dyDescent="0.15">
      <c r="A114" s="78" t="s">
        <v>198</v>
      </c>
      <c r="B114" s="79">
        <v>13400</v>
      </c>
      <c r="C114" s="80" t="str">
        <f ca="1">VLOOKUP($B114,OFFSET([2]quests!$A$1,0,0,COUNTA([2]quests!$A:$A),MATCH(C$1,[2]quests!$1:$1,0)-MATCH($B$1,[2]quests!$1:$1,0)+1),MATCH(C$1,[2]quests!$1:$1,0)-MATCH($B$1,[2]quests!$1:$1,0)+1,FALSE)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4" s="80" t="str">
        <f ca="1">VLOOKUP($B114,OFFSET([2]quests!$A$1,0,0,COUNTA([2]quests!$A:$A),MATCH(D$1,[2]quests!$1:$1,0)-MATCH($B$1,[2]quests!$1:$1,0)+1),MATCH(D$1,[2]quests!$1:$1,0)-MATCH($B$1,[2]quests!$1:$1,0)+1,FALSE)</f>
        <v>タワーオブザクイーン2本目</v>
      </c>
      <c r="E114" s="83" t="s">
        <v>215</v>
      </c>
      <c r="F114" s="80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0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2">
        <v>0</v>
      </c>
      <c r="I114">
        <v>30</v>
      </c>
      <c r="J114" s="81" t="s">
        <v>196</v>
      </c>
      <c r="K114" s="89" t="s">
        <v>322</v>
      </c>
      <c r="L114" s="90" t="s">
        <v>323</v>
      </c>
      <c r="M114" s="55" t="s">
        <v>208</v>
      </c>
    </row>
    <row r="115" spans="1:13" x14ac:dyDescent="0.15">
      <c r="A115" s="78" t="s">
        <v>198</v>
      </c>
      <c r="B115" s="79">
        <v>13400</v>
      </c>
      <c r="C115" s="80" t="str">
        <f ca="1">VLOOKUP($B115,OFFSET([2]quests!$A$1,0,0,COUNTA([2]quests!$A:$A),MATCH(C$1,[2]quests!$1:$1,0)-MATCH($B$1,[2]quests!$1:$1,0)+1),MATCH(C$1,[2]quests!$1:$1,0)-MATCH($B$1,[2]quests!$1:$1,0)+1,FALSE)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5" s="80" t="str">
        <f ca="1">VLOOKUP($B115,OFFSET([2]quests!$A$1,0,0,COUNTA([2]quests!$A:$A),MATCH(D$1,[2]quests!$1:$1,0)-MATCH($B$1,[2]quests!$1:$1,0)+1),MATCH(D$1,[2]quests!$1:$1,0)-MATCH($B$1,[2]quests!$1:$1,0)+1,FALSE)</f>
        <v>タワーオブザクイーン2本目</v>
      </c>
      <c r="E115" s="83" t="s">
        <v>215</v>
      </c>
      <c r="F115" s="80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0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2">
        <v>0</v>
      </c>
      <c r="I115">
        <v>32</v>
      </c>
      <c r="J115" s="81" t="s">
        <v>196</v>
      </c>
      <c r="K115" s="89" t="s">
        <v>326</v>
      </c>
      <c r="L115" s="90" t="s">
        <v>327</v>
      </c>
      <c r="M115" s="55" t="s">
        <v>208</v>
      </c>
    </row>
    <row r="116" spans="1:13" x14ac:dyDescent="0.15">
      <c r="A116" s="78" t="s">
        <v>198</v>
      </c>
      <c r="B116" s="79">
        <v>13400</v>
      </c>
      <c r="C116" s="80" t="str">
        <f ca="1">VLOOKUP($B116,OFFSET([2]quests!$A$1,0,0,COUNTA([2]quests!$A:$A),MATCH(C$1,[2]quests!$1:$1,0)-MATCH($B$1,[2]quests!$1:$1,0)+1),MATCH(C$1,[2]quests!$1:$1,0)-MATCH($B$1,[2]quests!$1:$1,0)+1,FALSE)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6" s="80" t="str">
        <f ca="1">VLOOKUP($B116,OFFSET([2]quests!$A$1,0,0,COUNTA([2]quests!$A:$A),MATCH(D$1,[2]quests!$1:$1,0)-MATCH($B$1,[2]quests!$1:$1,0)+1),MATCH(D$1,[2]quests!$1:$1,0)-MATCH($B$1,[2]quests!$1:$1,0)+1,FALSE)</f>
        <v>タワーオブザクイーン2本目</v>
      </c>
      <c r="E116" s="83" t="s">
        <v>215</v>
      </c>
      <c r="F116" s="80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0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2">
        <v>0</v>
      </c>
      <c r="I116">
        <v>33</v>
      </c>
      <c r="J116" s="81" t="s">
        <v>196</v>
      </c>
      <c r="K116" s="89" t="s">
        <v>328</v>
      </c>
      <c r="L116" s="90" t="s">
        <v>329</v>
      </c>
      <c r="M116" s="55" t="s">
        <v>208</v>
      </c>
    </row>
    <row r="117" spans="1:13" x14ac:dyDescent="0.15">
      <c r="A117" s="78" t="s">
        <v>198</v>
      </c>
      <c r="B117" s="79">
        <v>13400</v>
      </c>
      <c r="C117" s="80" t="str">
        <f ca="1">VLOOKUP($B117,OFFSET([2]quests!$A$1,0,0,COUNTA([2]quests!$A:$A),MATCH(C$1,[2]quests!$1:$1,0)-MATCH($B$1,[2]quests!$1:$1,0)+1),MATCH(C$1,[2]quests!$1:$1,0)-MATCH($B$1,[2]quests!$1:$1,0)+1,FALSE)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7" s="80" t="str">
        <f ca="1">VLOOKUP($B117,OFFSET([2]quests!$A$1,0,0,COUNTA([2]quests!$A:$A),MATCH(D$1,[2]quests!$1:$1,0)-MATCH($B$1,[2]quests!$1:$1,0)+1),MATCH(D$1,[2]quests!$1:$1,0)-MATCH($B$1,[2]quests!$1:$1,0)+1,FALSE)</f>
        <v>タワーオブザクイーン2本目</v>
      </c>
      <c r="E117" s="83" t="s">
        <v>215</v>
      </c>
      <c r="F117" s="80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0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2">
        <v>0</v>
      </c>
      <c r="I117">
        <v>34</v>
      </c>
      <c r="J117" s="81" t="s">
        <v>196</v>
      </c>
      <c r="K117" s="89" t="s">
        <v>330</v>
      </c>
      <c r="L117" s="90" t="s">
        <v>331</v>
      </c>
      <c r="M117" s="55" t="s">
        <v>208</v>
      </c>
    </row>
    <row r="118" spans="1:13" x14ac:dyDescent="0.15">
      <c r="A118" s="78" t="s">
        <v>198</v>
      </c>
      <c r="B118" s="79">
        <v>13400</v>
      </c>
      <c r="C118" s="80" t="str">
        <f ca="1">VLOOKUP($B118,OFFSET([2]quests!$A$1,0,0,COUNTA([2]quests!$A:$A),MATCH(C$1,[2]quests!$1:$1,0)-MATCH($B$1,[2]quests!$1:$1,0)+1),MATCH(C$1,[2]quests!$1:$1,0)-MATCH($B$1,[2]quests!$1:$1,0)+1,FALSE)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8" s="80" t="str">
        <f ca="1">VLOOKUP($B118,OFFSET([2]quests!$A$1,0,0,COUNTA([2]quests!$A:$A),MATCH(D$1,[2]quests!$1:$1,0)-MATCH($B$1,[2]quests!$1:$1,0)+1),MATCH(D$1,[2]quests!$1:$1,0)-MATCH($B$1,[2]quests!$1:$1,0)+1,FALSE)</f>
        <v>タワーオブザクイーン2本目</v>
      </c>
      <c r="E118" s="83" t="s">
        <v>215</v>
      </c>
      <c r="F118" s="80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0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2">
        <v>0</v>
      </c>
      <c r="I118">
        <v>35</v>
      </c>
      <c r="J118" s="81" t="s">
        <v>196</v>
      </c>
      <c r="K118" s="89" t="s">
        <v>332</v>
      </c>
      <c r="L118" s="90" t="s">
        <v>333</v>
      </c>
      <c r="M118" s="55" t="s">
        <v>208</v>
      </c>
    </row>
    <row r="119" spans="1:13" x14ac:dyDescent="0.15">
      <c r="A119" s="78" t="s">
        <v>198</v>
      </c>
      <c r="B119" s="79">
        <v>13400</v>
      </c>
      <c r="C119" s="80" t="str">
        <f ca="1">VLOOKUP($B119,OFFSET([2]quests!$A$1,0,0,COUNTA([2]quests!$A:$A),MATCH(C$1,[2]quests!$1:$1,0)-MATCH($B$1,[2]quests!$1:$1,0)+1),MATCH(C$1,[2]quests!$1:$1,0)-MATCH($B$1,[2]quests!$1:$1,0)+1,FALSE)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9" s="80" t="str">
        <f ca="1">VLOOKUP($B119,OFFSET([2]quests!$A$1,0,0,COUNTA([2]quests!$A:$A),MATCH(D$1,[2]quests!$1:$1,0)-MATCH($B$1,[2]quests!$1:$1,0)+1),MATCH(D$1,[2]quests!$1:$1,0)-MATCH($B$1,[2]quests!$1:$1,0)+1,FALSE)</f>
        <v>タワーオブザクイーン2本目</v>
      </c>
      <c r="E119" s="83" t="s">
        <v>215</v>
      </c>
      <c r="F119" s="80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0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2">
        <v>0</v>
      </c>
      <c r="I119">
        <v>36</v>
      </c>
      <c r="J119" s="81" t="s">
        <v>196</v>
      </c>
      <c r="K119" s="89" t="s">
        <v>334</v>
      </c>
      <c r="L119" s="90" t="s">
        <v>335</v>
      </c>
      <c r="M119" s="55" t="s">
        <v>208</v>
      </c>
    </row>
    <row r="120" spans="1:13" x14ac:dyDescent="0.15">
      <c r="A120" s="78" t="s">
        <v>198</v>
      </c>
      <c r="B120" s="79">
        <v>13400</v>
      </c>
      <c r="C120" s="80" t="str">
        <f ca="1">VLOOKUP($B120,OFFSET([2]quests!$A$1,0,0,COUNTA([2]quests!$A:$A),MATCH(C$1,[2]quests!$1:$1,0)-MATCH($B$1,[2]quests!$1:$1,0)+1),MATCH(C$1,[2]quests!$1:$1,0)-MATCH($B$1,[2]quests!$1:$1,0)+1,FALSE)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0" s="80" t="str">
        <f ca="1">VLOOKUP($B120,OFFSET([2]quests!$A$1,0,0,COUNTA([2]quests!$A:$A),MATCH(D$1,[2]quests!$1:$1,0)-MATCH($B$1,[2]quests!$1:$1,0)+1),MATCH(D$1,[2]quests!$1:$1,0)-MATCH($B$1,[2]quests!$1:$1,0)+1,FALSE)</f>
        <v>タワーオブザクイーン2本目</v>
      </c>
      <c r="E120" s="83" t="s">
        <v>215</v>
      </c>
      <c r="F120" s="80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0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2">
        <v>0</v>
      </c>
      <c r="I120">
        <v>37</v>
      </c>
      <c r="J120" s="81" t="s">
        <v>196</v>
      </c>
      <c r="K120" s="89" t="s">
        <v>336</v>
      </c>
      <c r="L120" s="90" t="s">
        <v>337</v>
      </c>
      <c r="M120" s="55" t="s">
        <v>208</v>
      </c>
    </row>
    <row r="121" spans="1:13" x14ac:dyDescent="0.15">
      <c r="A121" s="78" t="s">
        <v>198</v>
      </c>
      <c r="B121" s="79">
        <v>13400</v>
      </c>
      <c r="C121" s="80" t="str">
        <f ca="1">VLOOKUP($B121,OFFSET([2]quests!$A$1,0,0,COUNTA([2]quests!$A:$A),MATCH(C$1,[2]quests!$1:$1,0)-MATCH($B$1,[2]quests!$1:$1,0)+1),MATCH(C$1,[2]quests!$1:$1,0)-MATCH($B$1,[2]quests!$1:$1,0)+1,FALSE)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1" s="80" t="str">
        <f ca="1">VLOOKUP($B121,OFFSET([2]quests!$A$1,0,0,COUNTA([2]quests!$A:$A),MATCH(D$1,[2]quests!$1:$1,0)-MATCH($B$1,[2]quests!$1:$1,0)+1),MATCH(D$1,[2]quests!$1:$1,0)-MATCH($B$1,[2]quests!$1:$1,0)+1,FALSE)</f>
        <v>タワーオブザクイーン2本目</v>
      </c>
      <c r="E121" s="83" t="s">
        <v>215</v>
      </c>
      <c r="F121" s="80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0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2">
        <v>0</v>
      </c>
      <c r="I121">
        <v>39</v>
      </c>
      <c r="J121" s="81" t="s">
        <v>196</v>
      </c>
      <c r="K121" s="89" t="s">
        <v>314</v>
      </c>
      <c r="L121" s="90" t="s">
        <v>315</v>
      </c>
      <c r="M121" s="55" t="s">
        <v>208</v>
      </c>
    </row>
    <row r="122" spans="1:13" x14ac:dyDescent="0.15">
      <c r="A122" s="78" t="s">
        <v>198</v>
      </c>
      <c r="B122" s="79">
        <v>13400</v>
      </c>
      <c r="C122" s="80" t="str">
        <f ca="1">VLOOKUP($B122,OFFSET([2]quests!$A$1,0,0,COUNTA([2]quests!$A:$A),MATCH(C$1,[2]quests!$1:$1,0)-MATCH($B$1,[2]quests!$1:$1,0)+1),MATCH(C$1,[2]quests!$1:$1,0)-MATCH($B$1,[2]quests!$1:$1,0)+1,FALSE)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2" s="80" t="str">
        <f ca="1">VLOOKUP($B122,OFFSET([2]quests!$A$1,0,0,COUNTA([2]quests!$A:$A),MATCH(D$1,[2]quests!$1:$1,0)-MATCH($B$1,[2]quests!$1:$1,0)+1),MATCH(D$1,[2]quests!$1:$1,0)-MATCH($B$1,[2]quests!$1:$1,0)+1,FALSE)</f>
        <v>タワーオブザクイーン2本目</v>
      </c>
      <c r="E122" s="83" t="s">
        <v>216</v>
      </c>
      <c r="F122" s="80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0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2">
        <v>0</v>
      </c>
      <c r="I122">
        <v>12</v>
      </c>
      <c r="J122" s="81" t="s">
        <v>196</v>
      </c>
      <c r="K122" s="89" t="s">
        <v>284</v>
      </c>
      <c r="L122" s="90" t="s">
        <v>285</v>
      </c>
      <c r="M122" s="55" t="s">
        <v>208</v>
      </c>
    </row>
    <row r="123" spans="1:13" x14ac:dyDescent="0.15">
      <c r="A123" s="78" t="s">
        <v>198</v>
      </c>
      <c r="B123" s="79">
        <v>13400</v>
      </c>
      <c r="C123" s="80" t="str">
        <f ca="1">VLOOKUP($B123,OFFSET([2]quests!$A$1,0,0,COUNTA([2]quests!$A:$A),MATCH(C$1,[2]quests!$1:$1,0)-MATCH($B$1,[2]quests!$1:$1,0)+1),MATCH(C$1,[2]quests!$1:$1,0)-MATCH($B$1,[2]quests!$1:$1,0)+1,FALSE)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3" s="80" t="str">
        <f ca="1">VLOOKUP($B123,OFFSET([2]quests!$A$1,0,0,COUNTA([2]quests!$A:$A),MATCH(D$1,[2]quests!$1:$1,0)-MATCH($B$1,[2]quests!$1:$1,0)+1),MATCH(D$1,[2]quests!$1:$1,0)-MATCH($B$1,[2]quests!$1:$1,0)+1,FALSE)</f>
        <v>タワーオブザクイーン2本目</v>
      </c>
      <c r="E123" s="83" t="s">
        <v>216</v>
      </c>
      <c r="F123" s="80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0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2">
        <v>0</v>
      </c>
      <c r="I123">
        <v>17</v>
      </c>
      <c r="J123" s="81" t="s">
        <v>196</v>
      </c>
      <c r="K123" s="89" t="s">
        <v>294</v>
      </c>
      <c r="L123" s="90" t="s">
        <v>295</v>
      </c>
      <c r="M123" s="55" t="s">
        <v>208</v>
      </c>
    </row>
    <row r="124" spans="1:13" x14ac:dyDescent="0.15">
      <c r="A124" s="78" t="s">
        <v>198</v>
      </c>
      <c r="B124" s="79">
        <v>13400</v>
      </c>
      <c r="C124" s="80" t="str">
        <f ca="1">VLOOKUP($B124,OFFSET([2]quests!$A$1,0,0,COUNTA([2]quests!$A:$A),MATCH(C$1,[2]quests!$1:$1,0)-MATCH($B$1,[2]quests!$1:$1,0)+1),MATCH(C$1,[2]quests!$1:$1,0)-MATCH($B$1,[2]quests!$1:$1,0)+1,FALSE)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4" s="80" t="str">
        <f ca="1">VLOOKUP($B124,OFFSET([2]quests!$A$1,0,0,COUNTA([2]quests!$A:$A),MATCH(D$1,[2]quests!$1:$1,0)-MATCH($B$1,[2]quests!$1:$1,0)+1),MATCH(D$1,[2]quests!$1:$1,0)-MATCH($B$1,[2]quests!$1:$1,0)+1,FALSE)</f>
        <v>タワーオブザクイーン2本目</v>
      </c>
      <c r="E124" s="83" t="s">
        <v>216</v>
      </c>
      <c r="F124" s="80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0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2">
        <v>0</v>
      </c>
      <c r="I124">
        <v>19</v>
      </c>
      <c r="J124" s="81" t="s">
        <v>196</v>
      </c>
      <c r="K124" s="89" t="s">
        <v>298</v>
      </c>
      <c r="L124" s="90" t="s">
        <v>299</v>
      </c>
      <c r="M124" s="55" t="s">
        <v>208</v>
      </c>
    </row>
    <row r="125" spans="1:13" x14ac:dyDescent="0.15">
      <c r="A125" s="78" t="s">
        <v>198</v>
      </c>
      <c r="B125" s="79">
        <v>13400</v>
      </c>
      <c r="C125" s="80" t="str">
        <f ca="1">VLOOKUP($B125,OFFSET([2]quests!$A$1,0,0,COUNTA([2]quests!$A:$A),MATCH(C$1,[2]quests!$1:$1,0)-MATCH($B$1,[2]quests!$1:$1,0)+1),MATCH(C$1,[2]quests!$1:$1,0)-MATCH($B$1,[2]quests!$1:$1,0)+1,FALSE)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5" s="80" t="str">
        <f ca="1">VLOOKUP($B125,OFFSET([2]quests!$A$1,0,0,COUNTA([2]quests!$A:$A),MATCH(D$1,[2]quests!$1:$1,0)-MATCH($B$1,[2]quests!$1:$1,0)+1),MATCH(D$1,[2]quests!$1:$1,0)-MATCH($B$1,[2]quests!$1:$1,0)+1,FALSE)</f>
        <v>タワーオブザクイーン2本目</v>
      </c>
      <c r="E125" s="83" t="s">
        <v>216</v>
      </c>
      <c r="F125" s="80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0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2">
        <v>0</v>
      </c>
      <c r="I125">
        <v>21</v>
      </c>
      <c r="J125" s="81" t="s">
        <v>196</v>
      </c>
      <c r="K125" s="89" t="s">
        <v>302</v>
      </c>
      <c r="L125" s="90" t="s">
        <v>303</v>
      </c>
      <c r="M125" s="55" t="s">
        <v>208</v>
      </c>
    </row>
    <row r="126" spans="1:13" x14ac:dyDescent="0.15">
      <c r="A126" s="78" t="s">
        <v>198</v>
      </c>
      <c r="B126" s="79">
        <v>13400</v>
      </c>
      <c r="C126" s="80" t="str">
        <f ca="1">VLOOKUP($B126,OFFSET([2]quests!$A$1,0,0,COUNTA([2]quests!$A:$A),MATCH(C$1,[2]quests!$1:$1,0)-MATCH($B$1,[2]quests!$1:$1,0)+1),MATCH(C$1,[2]quests!$1:$1,0)-MATCH($B$1,[2]quests!$1:$1,0)+1,FALSE)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6" s="80" t="str">
        <f ca="1">VLOOKUP($B126,OFFSET([2]quests!$A$1,0,0,COUNTA([2]quests!$A:$A),MATCH(D$1,[2]quests!$1:$1,0)-MATCH($B$1,[2]quests!$1:$1,0)+1),MATCH(D$1,[2]quests!$1:$1,0)-MATCH($B$1,[2]quests!$1:$1,0)+1,FALSE)</f>
        <v>タワーオブザクイーン2本目</v>
      </c>
      <c r="E126" s="83" t="s">
        <v>216</v>
      </c>
      <c r="F126" s="80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0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2">
        <v>0</v>
      </c>
      <c r="I126">
        <v>29</v>
      </c>
      <c r="J126" s="81" t="s">
        <v>196</v>
      </c>
      <c r="K126" s="89" t="s">
        <v>320</v>
      </c>
      <c r="L126" s="90" t="s">
        <v>321</v>
      </c>
      <c r="M126" s="55" t="s">
        <v>208</v>
      </c>
    </row>
    <row r="127" spans="1:13" x14ac:dyDescent="0.15">
      <c r="A127" s="78" t="s">
        <v>198</v>
      </c>
      <c r="B127" s="79">
        <v>13400</v>
      </c>
      <c r="C127" s="80" t="str">
        <f ca="1">VLOOKUP($B127,OFFSET([2]quests!$A$1,0,0,COUNTA([2]quests!$A:$A),MATCH(C$1,[2]quests!$1:$1,0)-MATCH($B$1,[2]quests!$1:$1,0)+1),MATCH(C$1,[2]quests!$1:$1,0)-MATCH($B$1,[2]quests!$1:$1,0)+1,FALSE)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7" s="80" t="str">
        <f ca="1">VLOOKUP($B127,OFFSET([2]quests!$A$1,0,0,COUNTA([2]quests!$A:$A),MATCH(D$1,[2]quests!$1:$1,0)-MATCH($B$1,[2]quests!$1:$1,0)+1),MATCH(D$1,[2]quests!$1:$1,0)-MATCH($B$1,[2]quests!$1:$1,0)+1,FALSE)</f>
        <v>タワーオブザクイーン2本目</v>
      </c>
      <c r="E127" s="83" t="s">
        <v>216</v>
      </c>
      <c r="F127" s="80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0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2">
        <v>0</v>
      </c>
      <c r="I127">
        <v>30</v>
      </c>
      <c r="J127" s="81" t="s">
        <v>196</v>
      </c>
      <c r="K127" s="89" t="s">
        <v>322</v>
      </c>
      <c r="L127" s="90" t="s">
        <v>323</v>
      </c>
      <c r="M127" s="55" t="s">
        <v>208</v>
      </c>
    </row>
    <row r="128" spans="1:13" x14ac:dyDescent="0.15">
      <c r="A128" s="78" t="s">
        <v>198</v>
      </c>
      <c r="B128" s="79">
        <v>13400</v>
      </c>
      <c r="C128" s="80" t="str">
        <f ca="1">VLOOKUP($B128,OFFSET([2]quests!$A$1,0,0,COUNTA([2]quests!$A:$A),MATCH(C$1,[2]quests!$1:$1,0)-MATCH($B$1,[2]quests!$1:$1,0)+1),MATCH(C$1,[2]quests!$1:$1,0)-MATCH($B$1,[2]quests!$1:$1,0)+1,FALSE)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8" s="80" t="str">
        <f ca="1">VLOOKUP($B128,OFFSET([2]quests!$A$1,0,0,COUNTA([2]quests!$A:$A),MATCH(D$1,[2]quests!$1:$1,0)-MATCH($B$1,[2]quests!$1:$1,0)+1),MATCH(D$1,[2]quests!$1:$1,0)-MATCH($B$1,[2]quests!$1:$1,0)+1,FALSE)</f>
        <v>タワーオブザクイーン2本目</v>
      </c>
      <c r="E128" s="83" t="s">
        <v>216</v>
      </c>
      <c r="F128" s="80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0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2">
        <v>0</v>
      </c>
      <c r="I128">
        <v>32</v>
      </c>
      <c r="J128" s="81" t="s">
        <v>196</v>
      </c>
      <c r="K128" s="89" t="s">
        <v>326</v>
      </c>
      <c r="L128" s="90" t="s">
        <v>327</v>
      </c>
      <c r="M128" s="55" t="s">
        <v>208</v>
      </c>
    </row>
    <row r="129" spans="1:13" x14ac:dyDescent="0.15">
      <c r="A129" s="78" t="s">
        <v>198</v>
      </c>
      <c r="B129" s="79">
        <v>13400</v>
      </c>
      <c r="C129" s="80" t="str">
        <f ca="1">VLOOKUP($B129,OFFSET([2]quests!$A$1,0,0,COUNTA([2]quests!$A:$A),MATCH(C$1,[2]quests!$1:$1,0)-MATCH($B$1,[2]quests!$1:$1,0)+1),MATCH(C$1,[2]quests!$1:$1,0)-MATCH($B$1,[2]quests!$1:$1,0)+1,FALSE)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9" s="80" t="str">
        <f ca="1">VLOOKUP($B129,OFFSET([2]quests!$A$1,0,0,COUNTA([2]quests!$A:$A),MATCH(D$1,[2]quests!$1:$1,0)-MATCH($B$1,[2]quests!$1:$1,0)+1),MATCH(D$1,[2]quests!$1:$1,0)-MATCH($B$1,[2]quests!$1:$1,0)+1,FALSE)</f>
        <v>タワーオブザクイーン2本目</v>
      </c>
      <c r="E129" s="83" t="s">
        <v>216</v>
      </c>
      <c r="F129" s="80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0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2">
        <v>0</v>
      </c>
      <c r="I129">
        <v>33</v>
      </c>
      <c r="J129" s="81" t="s">
        <v>196</v>
      </c>
      <c r="K129" s="89" t="s">
        <v>328</v>
      </c>
      <c r="L129" s="90" t="s">
        <v>329</v>
      </c>
      <c r="M129" s="55" t="s">
        <v>208</v>
      </c>
    </row>
    <row r="130" spans="1:13" x14ac:dyDescent="0.15">
      <c r="A130" s="78" t="s">
        <v>198</v>
      </c>
      <c r="B130" s="79">
        <v>13400</v>
      </c>
      <c r="C130" s="80" t="str">
        <f ca="1">VLOOKUP($B130,OFFSET([2]quests!$A$1,0,0,COUNTA([2]quests!$A:$A),MATCH(C$1,[2]quests!$1:$1,0)-MATCH($B$1,[2]quests!$1:$1,0)+1),MATCH(C$1,[2]quests!$1:$1,0)-MATCH($B$1,[2]quests!$1:$1,0)+1,FALSE)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0" s="80" t="str">
        <f ca="1">VLOOKUP($B130,OFFSET([2]quests!$A$1,0,0,COUNTA([2]quests!$A:$A),MATCH(D$1,[2]quests!$1:$1,0)-MATCH($B$1,[2]quests!$1:$1,0)+1),MATCH(D$1,[2]quests!$1:$1,0)-MATCH($B$1,[2]quests!$1:$1,0)+1,FALSE)</f>
        <v>タワーオブザクイーン2本目</v>
      </c>
      <c r="E130" s="83" t="s">
        <v>216</v>
      </c>
      <c r="F130" s="80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0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2">
        <v>0</v>
      </c>
      <c r="I130">
        <v>34</v>
      </c>
      <c r="J130" s="81" t="s">
        <v>196</v>
      </c>
      <c r="K130" s="89" t="s">
        <v>330</v>
      </c>
      <c r="L130" s="90" t="s">
        <v>331</v>
      </c>
      <c r="M130" s="55" t="s">
        <v>208</v>
      </c>
    </row>
    <row r="131" spans="1:13" x14ac:dyDescent="0.15">
      <c r="A131" s="78" t="s">
        <v>198</v>
      </c>
      <c r="B131" s="79">
        <v>13400</v>
      </c>
      <c r="C131" s="80" t="str">
        <f ca="1">VLOOKUP($B131,OFFSET([2]quests!$A$1,0,0,COUNTA([2]quests!$A:$A),MATCH(C$1,[2]quests!$1:$1,0)-MATCH($B$1,[2]quests!$1:$1,0)+1),MATCH(C$1,[2]quests!$1:$1,0)-MATCH($B$1,[2]quests!$1:$1,0)+1,FALSE)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1" s="80" t="str">
        <f ca="1">VLOOKUP($B131,OFFSET([2]quests!$A$1,0,0,COUNTA([2]quests!$A:$A),MATCH(D$1,[2]quests!$1:$1,0)-MATCH($B$1,[2]quests!$1:$1,0)+1),MATCH(D$1,[2]quests!$1:$1,0)-MATCH($B$1,[2]quests!$1:$1,0)+1,FALSE)</f>
        <v>タワーオブザクイーン2本目</v>
      </c>
      <c r="E131" s="83" t="s">
        <v>216</v>
      </c>
      <c r="F131" s="80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0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2">
        <v>0</v>
      </c>
      <c r="I131">
        <v>35</v>
      </c>
      <c r="J131" s="81" t="s">
        <v>196</v>
      </c>
      <c r="K131" s="89" t="s">
        <v>332</v>
      </c>
      <c r="L131" s="90" t="s">
        <v>333</v>
      </c>
      <c r="M131" s="55" t="s">
        <v>208</v>
      </c>
    </row>
    <row r="132" spans="1:13" x14ac:dyDescent="0.15">
      <c r="A132" s="78" t="s">
        <v>198</v>
      </c>
      <c r="B132" s="79">
        <v>13400</v>
      </c>
      <c r="C132" s="80" t="str">
        <f ca="1">VLOOKUP($B132,OFFSET([2]quests!$A$1,0,0,COUNTA([2]quests!$A:$A),MATCH(C$1,[2]quests!$1:$1,0)-MATCH($B$1,[2]quests!$1:$1,0)+1),MATCH(C$1,[2]quests!$1:$1,0)-MATCH($B$1,[2]quests!$1:$1,0)+1,FALSE)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2" s="80" t="str">
        <f ca="1">VLOOKUP($B132,OFFSET([2]quests!$A$1,0,0,COUNTA([2]quests!$A:$A),MATCH(D$1,[2]quests!$1:$1,0)-MATCH($B$1,[2]quests!$1:$1,0)+1),MATCH(D$1,[2]quests!$1:$1,0)-MATCH($B$1,[2]quests!$1:$1,0)+1,FALSE)</f>
        <v>タワーオブザクイーン2本目</v>
      </c>
      <c r="E132" s="83" t="s">
        <v>216</v>
      </c>
      <c r="F132" s="80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0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2">
        <v>0</v>
      </c>
      <c r="I132">
        <v>36</v>
      </c>
      <c r="J132" s="81" t="s">
        <v>196</v>
      </c>
      <c r="K132" s="89" t="s">
        <v>334</v>
      </c>
      <c r="L132" s="90" t="s">
        <v>335</v>
      </c>
      <c r="M132" s="55" t="s">
        <v>208</v>
      </c>
    </row>
    <row r="133" spans="1:13" x14ac:dyDescent="0.15">
      <c r="A133" s="78" t="s">
        <v>198</v>
      </c>
      <c r="B133" s="79">
        <v>13400</v>
      </c>
      <c r="C133" s="80" t="str">
        <f ca="1">VLOOKUP($B133,OFFSET([2]quests!$A$1,0,0,COUNTA([2]quests!$A:$A),MATCH(C$1,[2]quests!$1:$1,0)-MATCH($B$1,[2]quests!$1:$1,0)+1),MATCH(C$1,[2]quests!$1:$1,0)-MATCH($B$1,[2]quests!$1:$1,0)+1,FALSE)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3" s="80" t="str">
        <f ca="1">VLOOKUP($B133,OFFSET([2]quests!$A$1,0,0,COUNTA([2]quests!$A:$A),MATCH(D$1,[2]quests!$1:$1,0)-MATCH($B$1,[2]quests!$1:$1,0)+1),MATCH(D$1,[2]quests!$1:$1,0)-MATCH($B$1,[2]quests!$1:$1,0)+1,FALSE)</f>
        <v>タワーオブザクイーン2本目</v>
      </c>
      <c r="E133" s="83" t="s">
        <v>216</v>
      </c>
      <c r="F133" s="80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0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2">
        <v>0</v>
      </c>
      <c r="I133">
        <v>37</v>
      </c>
      <c r="J133" s="81" t="s">
        <v>196</v>
      </c>
      <c r="K133" s="89" t="s">
        <v>336</v>
      </c>
      <c r="L133" s="90" t="s">
        <v>337</v>
      </c>
      <c r="M133" s="55" t="s">
        <v>208</v>
      </c>
    </row>
    <row r="134" spans="1:13" x14ac:dyDescent="0.15">
      <c r="A134" s="78" t="s">
        <v>198</v>
      </c>
      <c r="B134" s="79">
        <v>13400</v>
      </c>
      <c r="C134" s="80" t="str">
        <f ca="1">VLOOKUP($B134,OFFSET([2]quests!$A$1,0,0,COUNTA([2]quests!$A:$A),MATCH(C$1,[2]quests!$1:$1,0)-MATCH($B$1,[2]quests!$1:$1,0)+1),MATCH(C$1,[2]quests!$1:$1,0)-MATCH($B$1,[2]quests!$1:$1,0)+1,FALSE)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4" s="80" t="str">
        <f ca="1">VLOOKUP($B134,OFFSET([2]quests!$A$1,0,0,COUNTA([2]quests!$A:$A),MATCH(D$1,[2]quests!$1:$1,0)-MATCH($B$1,[2]quests!$1:$1,0)+1),MATCH(D$1,[2]quests!$1:$1,0)-MATCH($B$1,[2]quests!$1:$1,0)+1,FALSE)</f>
        <v>タワーオブザクイーン2本目</v>
      </c>
      <c r="E134" s="83" t="s">
        <v>216</v>
      </c>
      <c r="F134" s="80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0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2">
        <v>0</v>
      </c>
      <c r="I134">
        <v>39</v>
      </c>
      <c r="J134" s="81" t="s">
        <v>196</v>
      </c>
      <c r="K134" s="89" t="s">
        <v>314</v>
      </c>
      <c r="L134" s="90" t="s">
        <v>315</v>
      </c>
      <c r="M134" s="55" t="s">
        <v>208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5" t="s">
        <v>192</v>
      </c>
      <c r="J1" s="87" t="s">
        <v>193</v>
      </c>
      <c r="K1" s="76" t="s">
        <v>126</v>
      </c>
      <c r="L1" s="75" t="s">
        <v>184</v>
      </c>
      <c r="M1" s="88" t="s">
        <v>183</v>
      </c>
      <c r="N1" s="77" t="s">
        <v>194</v>
      </c>
      <c r="O1" s="88" t="s">
        <v>260</v>
      </c>
    </row>
    <row r="2" spans="1:15" ht="61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6">
        <v>1</v>
      </c>
      <c r="J2" s="45">
        <v>13400201</v>
      </c>
      <c r="K2" s="81" t="s">
        <v>196</v>
      </c>
      <c r="L2" s="83" t="s">
        <v>256</v>
      </c>
      <c r="M2" s="113" t="s">
        <v>392</v>
      </c>
      <c r="N2" s="55" t="s">
        <v>197</v>
      </c>
      <c r="O2" s="108" t="str">
        <f>"１２３４５６７８９０１２３４５６７８９０"&amp;M2</f>
        <v>１２３４５６７８９０１２３４５６７８９０ベルフェゴールは休憩と攻撃を繰り返します_x000D_休憩している間に倒すか_x000D_パネルをまとめておくと有利に戦えます</v>
      </c>
    </row>
    <row r="3" spans="1:15" ht="61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6">
        <v>2</v>
      </c>
      <c r="J3" s="45">
        <v>13400202</v>
      </c>
      <c r="K3" s="81" t="s">
        <v>196</v>
      </c>
      <c r="L3" s="83" t="s">
        <v>256</v>
      </c>
      <c r="M3" s="113" t="s">
        <v>423</v>
      </c>
      <c r="N3" s="55" t="s">
        <v>197</v>
      </c>
      <c r="O3" s="108" t="str">
        <f t="shared" ref="O3:O4" si="0">"１２３４５６７８９０１２３４５６７８９０"&amp;M3</f>
        <v>１２３４５６７８９０１２３４５６７８９０アーケロンが時限式ダメージパネルを_x000D_吸収するスキルを使うため_x000D_時限式ダメージパネル変換を行う_x000D_ヨルムンガンドから倒すと有利です</v>
      </c>
    </row>
    <row r="4" spans="1:15" ht="61" customHeight="1" x14ac:dyDescent="0.15">
      <c r="A4" s="78" t="s">
        <v>195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6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6階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3</v>
      </c>
      <c r="I4" s="86">
        <v>3</v>
      </c>
      <c r="J4" s="45">
        <v>13400203</v>
      </c>
      <c r="K4" s="81" t="s">
        <v>196</v>
      </c>
      <c r="L4" s="83" t="s">
        <v>256</v>
      </c>
      <c r="M4" s="113" t="s">
        <v>387</v>
      </c>
      <c r="N4" s="55" t="s">
        <v>197</v>
      </c>
      <c r="O4" s="108" t="str">
        <f t="shared" si="0"/>
        <v>１２３４５６７８９０１２３４５６７８９０ニーズヘッグのカウンター攻撃は_x000D_カウンター解除スキルを使って_x000D_解除することができます_x000D_または防御力UPスキルも有効です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8" sqref="H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217</v>
      </c>
      <c r="B1" s="94" t="s">
        <v>218</v>
      </c>
      <c r="C1" s="74" t="s">
        <v>219</v>
      </c>
      <c r="D1" s="74" t="s">
        <v>33</v>
      </c>
      <c r="E1" s="94" t="s">
        <v>220</v>
      </c>
      <c r="F1" s="74" t="s">
        <v>221</v>
      </c>
      <c r="G1" s="74" t="s">
        <v>33</v>
      </c>
      <c r="H1" s="94" t="s">
        <v>222</v>
      </c>
      <c r="I1" s="94" t="s">
        <v>223</v>
      </c>
      <c r="J1" s="94" t="s">
        <v>224</v>
      </c>
      <c r="K1" s="70" t="s">
        <v>225</v>
      </c>
      <c r="L1" s="70" t="s">
        <v>226</v>
      </c>
      <c r="M1" s="70" t="s">
        <v>155</v>
      </c>
      <c r="N1" s="74" t="s">
        <v>16</v>
      </c>
      <c r="O1" s="70" t="s">
        <v>227</v>
      </c>
      <c r="P1" s="70" t="s">
        <v>57</v>
      </c>
      <c r="Q1" s="70" t="s">
        <v>228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229</v>
      </c>
      <c r="X1" s="70" t="s">
        <v>230</v>
      </c>
    </row>
    <row r="2" spans="1:24" x14ac:dyDescent="0.15">
      <c r="A2" s="95" t="str">
        <f>B2&amp;"_"&amp;E2&amp;"_"&amp;H2&amp;"_"&amp;I2&amp;"_"&amp;J2</f>
        <v>13400_6_singleonly_clear_1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393</v>
      </c>
      <c r="I2" s="81" t="s">
        <v>394</v>
      </c>
      <c r="J2" s="81">
        <v>1</v>
      </c>
      <c r="K2" s="81">
        <v>670</v>
      </c>
      <c r="L2" s="81" t="s">
        <v>395</v>
      </c>
      <c r="M2" s="81">
        <v>16000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7" t="s">
        <v>231</v>
      </c>
      <c r="X2" s="98" t="s">
        <v>232</v>
      </c>
    </row>
    <row r="3" spans="1:24" x14ac:dyDescent="0.15">
      <c r="A3" s="95" t="str">
        <f>B3&amp;"_"&amp;E3&amp;"_"&amp;H3&amp;"_"&amp;I3&amp;"_"&amp;J3</f>
        <v>13400_6_singleonly_clear_2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396</v>
      </c>
      <c r="I3" s="81" t="s">
        <v>394</v>
      </c>
      <c r="J3" s="81">
        <v>2</v>
      </c>
      <c r="K3" s="81">
        <v>330</v>
      </c>
      <c r="L3" s="81" t="s">
        <v>395</v>
      </c>
      <c r="M3" s="81">
        <v>51000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7" t="s">
        <v>231</v>
      </c>
      <c r="X3" s="98" t="s">
        <v>232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2017-03-23T08:11:07Z</dcterms:modified>
</cp:coreProperties>
</file>