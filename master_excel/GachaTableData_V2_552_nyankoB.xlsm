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5680" yWindow="-1780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552010" sheetId="157" r:id="rId4"/>
    <sheet name="tables_552010" sheetId="158" r:id="rId5"/>
    <sheet name="input_552100" sheetId="153" r:id="rId6"/>
    <sheet name="tables_552100" sheetId="154" r:id="rId7"/>
    <sheet name="tables_settle_552100" sheetId="162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tables_552010!$A$1:$V$350</definedName>
    <definedName name="_xlnm._FilterDatabase" localSheetId="6" hidden="1">tables_552100!$A$1:$V$350</definedName>
    <definedName name="_xlnm._FilterDatabase" localSheetId="7" hidden="1">tables_settle_552100!$A$1:$V$1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6" i="158" l="1"/>
  <c r="D356" i="158"/>
  <c r="J356" i="158"/>
  <c r="E356" i="158"/>
  <c r="F356" i="158"/>
  <c r="C356" i="158"/>
  <c r="Q3" i="157"/>
  <c r="I357" i="158"/>
  <c r="D357" i="158"/>
  <c r="J357" i="158"/>
  <c r="E357" i="158"/>
  <c r="F357" i="158"/>
  <c r="C357" i="158"/>
  <c r="Q4" i="157"/>
  <c r="I358" i="158"/>
  <c r="D358" i="158"/>
  <c r="J358" i="158"/>
  <c r="E358" i="158"/>
  <c r="F358" i="158"/>
  <c r="C358" i="158"/>
  <c r="Q5" i="157"/>
  <c r="I359" i="158"/>
  <c r="D359" i="158"/>
  <c r="J359" i="158"/>
  <c r="E359" i="158"/>
  <c r="C359" i="158"/>
  <c r="Q6" i="157"/>
  <c r="I360" i="158"/>
  <c r="D360" i="158"/>
  <c r="J360" i="158"/>
  <c r="E360" i="158"/>
  <c r="C360" i="158"/>
  <c r="Q7" i="157"/>
  <c r="I361" i="158"/>
  <c r="D361" i="158"/>
  <c r="J361" i="158"/>
  <c r="E361" i="158"/>
  <c r="C361" i="158"/>
  <c r="Q8" i="157"/>
  <c r="I362" i="158"/>
  <c r="D362" i="158"/>
  <c r="J362" i="158"/>
  <c r="E362" i="158"/>
  <c r="C362" i="158"/>
  <c r="Q9" i="157"/>
  <c r="I363" i="158"/>
  <c r="D363" i="158"/>
  <c r="J363" i="158"/>
  <c r="E363" i="158"/>
  <c r="C363" i="158"/>
  <c r="Q10" i="157"/>
  <c r="I364" i="158"/>
  <c r="D364" i="158"/>
  <c r="J364" i="158"/>
  <c r="E364" i="158"/>
  <c r="C364" i="158"/>
  <c r="Q11" i="157"/>
  <c r="I365" i="158"/>
  <c r="D365" i="158"/>
  <c r="J365" i="158"/>
  <c r="E365" i="158"/>
  <c r="C365" i="158"/>
  <c r="Q12" i="157"/>
  <c r="I366" i="158"/>
  <c r="D366" i="158"/>
  <c r="J366" i="158"/>
  <c r="E366" i="158"/>
  <c r="C366" i="158"/>
  <c r="Q13" i="157"/>
  <c r="Q14" i="157"/>
  <c r="Q15" i="157"/>
  <c r="Q16" i="157"/>
  <c r="Q17" i="157"/>
  <c r="Q18" i="157"/>
  <c r="Q19" i="157"/>
  <c r="Q20" i="157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E34" i="157"/>
  <c r="I356" i="154"/>
  <c r="D356" i="154"/>
  <c r="J356" i="154"/>
  <c r="E356" i="154"/>
  <c r="F356" i="154"/>
  <c r="C356" i="154"/>
  <c r="Q3" i="153"/>
  <c r="I357" i="154"/>
  <c r="D357" i="154"/>
  <c r="J357" i="154"/>
  <c r="E357" i="154"/>
  <c r="F357" i="154"/>
  <c r="C357" i="154"/>
  <c r="Q4" i="153"/>
  <c r="I358" i="154"/>
  <c r="D358" i="154"/>
  <c r="J358" i="154"/>
  <c r="E358" i="154"/>
  <c r="F358" i="154"/>
  <c r="C358" i="154"/>
  <c r="Q5" i="153"/>
  <c r="I359" i="154"/>
  <c r="D359" i="154"/>
  <c r="J359" i="154"/>
  <c r="E359" i="154"/>
  <c r="C359" i="154"/>
  <c r="Q6" i="153"/>
  <c r="I360" i="154"/>
  <c r="D360" i="154"/>
  <c r="J360" i="154"/>
  <c r="E360" i="154"/>
  <c r="C360" i="154"/>
  <c r="Q7" i="153"/>
  <c r="I361" i="154"/>
  <c r="D361" i="154"/>
  <c r="J361" i="154"/>
  <c r="E361" i="154"/>
  <c r="C361" i="154"/>
  <c r="Q8" i="153"/>
  <c r="I362" i="154"/>
  <c r="D362" i="154"/>
  <c r="J362" i="154"/>
  <c r="E362" i="154"/>
  <c r="C362" i="154"/>
  <c r="Q9" i="153"/>
  <c r="I363" i="154"/>
  <c r="D363" i="154"/>
  <c r="J363" i="154"/>
  <c r="E363" i="154"/>
  <c r="C363" i="154"/>
  <c r="Q10" i="153"/>
  <c r="I364" i="154"/>
  <c r="D364" i="154"/>
  <c r="J364" i="154"/>
  <c r="E364" i="154"/>
  <c r="C364" i="154"/>
  <c r="Q11" i="153"/>
  <c r="I365" i="154"/>
  <c r="D365" i="154"/>
  <c r="J365" i="154"/>
  <c r="E365" i="154"/>
  <c r="C365" i="154"/>
  <c r="Q12" i="153"/>
  <c r="I366" i="154"/>
  <c r="D366" i="154"/>
  <c r="J366" i="154"/>
  <c r="E366" i="154"/>
  <c r="C366" i="154"/>
  <c r="Q13" i="153"/>
  <c r="Q14" i="153"/>
  <c r="Q15" i="153"/>
  <c r="Q16" i="153"/>
  <c r="Q17" i="153"/>
  <c r="Q18" i="153"/>
  <c r="Q19" i="153"/>
  <c r="Q20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F5" i="157"/>
  <c r="E5" i="157"/>
  <c r="B34" i="157"/>
  <c r="E33" i="157"/>
  <c r="B33" i="157"/>
  <c r="E32" i="157"/>
  <c r="B32" i="157"/>
  <c r="E31" i="157"/>
  <c r="B31" i="157"/>
  <c r="E30" i="157"/>
  <c r="B30" i="157"/>
  <c r="E29" i="157"/>
  <c r="B29" i="157"/>
  <c r="E28" i="157"/>
  <c r="B28" i="157"/>
  <c r="B27" i="157"/>
  <c r="F6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19" i="157"/>
  <c r="B19" i="157"/>
  <c r="E20" i="157"/>
  <c r="B20" i="157"/>
  <c r="E18" i="157"/>
  <c r="B18" i="157"/>
  <c r="E17" i="157"/>
  <c r="B17" i="157"/>
  <c r="F360" i="158"/>
  <c r="H360" i="158"/>
  <c r="K360" i="158"/>
  <c r="L360" i="158"/>
  <c r="M360" i="158"/>
  <c r="N360" i="158"/>
  <c r="A2" i="157"/>
  <c r="A39" i="157"/>
  <c r="F361" i="158"/>
  <c r="F362" i="158"/>
  <c r="F363" i="158"/>
  <c r="F364" i="158"/>
  <c r="F365" i="158"/>
  <c r="F366" i="158"/>
  <c r="G23" i="157"/>
  <c r="H23" i="157"/>
  <c r="R7" i="157"/>
  <c r="O360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G33" i="157"/>
  <c r="H33" i="157"/>
  <c r="R3" i="157"/>
  <c r="O356" i="158"/>
  <c r="R4" i="157"/>
  <c r="O357" i="158"/>
  <c r="R5" i="157"/>
  <c r="O358" i="158"/>
  <c r="R6" i="157"/>
  <c r="O359" i="158"/>
  <c r="R8" i="157"/>
  <c r="O361" i="158"/>
  <c r="R9" i="157"/>
  <c r="O362" i="158"/>
  <c r="R10" i="157"/>
  <c r="O363" i="158"/>
  <c r="R11" i="157"/>
  <c r="O364" i="158"/>
  <c r="R12" i="157"/>
  <c r="O365" i="158"/>
  <c r="R13" i="157"/>
  <c r="O366" i="158"/>
  <c r="P360" i="158"/>
  <c r="H361" i="158"/>
  <c r="K361" i="158"/>
  <c r="L361" i="158"/>
  <c r="M361" i="158"/>
  <c r="N361" i="158"/>
  <c r="P361" i="158"/>
  <c r="H362" i="158"/>
  <c r="K362" i="158"/>
  <c r="L362" i="158"/>
  <c r="M362" i="158"/>
  <c r="N362" i="158"/>
  <c r="P362" i="158"/>
  <c r="H363" i="158"/>
  <c r="K363" i="158"/>
  <c r="L363" i="158"/>
  <c r="M363" i="158"/>
  <c r="N363" i="158"/>
  <c r="P363" i="158"/>
  <c r="H364" i="158"/>
  <c r="K364" i="158"/>
  <c r="L364" i="158"/>
  <c r="M364" i="158"/>
  <c r="N364" i="158"/>
  <c r="P364" i="158"/>
  <c r="H365" i="158"/>
  <c r="K365" i="158"/>
  <c r="L365" i="158"/>
  <c r="M365" i="158"/>
  <c r="N365" i="158"/>
  <c r="P365" i="158"/>
  <c r="H366" i="158"/>
  <c r="K366" i="158"/>
  <c r="L366" i="158"/>
  <c r="M366" i="158"/>
  <c r="N366" i="158"/>
  <c r="P366" i="158"/>
  <c r="A366" i="158"/>
  <c r="A365" i="158"/>
  <c r="A364" i="158"/>
  <c r="A363" i="158"/>
  <c r="A362" i="158"/>
  <c r="F6" i="153"/>
  <c r="E6" i="153"/>
  <c r="E25" i="153"/>
  <c r="B25" i="153"/>
  <c r="E23" i="153"/>
  <c r="B23" i="153"/>
  <c r="E26" i="153"/>
  <c r="B26" i="153"/>
  <c r="F5" i="153"/>
  <c r="E5" i="153"/>
  <c r="E28" i="153"/>
  <c r="B28" i="153"/>
  <c r="E29" i="153"/>
  <c r="B29" i="153"/>
  <c r="E30" i="153"/>
  <c r="B30" i="153"/>
  <c r="B21" i="153"/>
  <c r="B27" i="153"/>
  <c r="B10" i="153"/>
  <c r="E22" i="153"/>
  <c r="B22" i="153"/>
  <c r="F360" i="154"/>
  <c r="H360" i="154"/>
  <c r="K360" i="154"/>
  <c r="L360" i="154"/>
  <c r="M360" i="154"/>
  <c r="N360" i="154"/>
  <c r="F361" i="154"/>
  <c r="F362" i="154"/>
  <c r="F363" i="154"/>
  <c r="F364" i="154"/>
  <c r="F365" i="154"/>
  <c r="F366" i="154"/>
  <c r="A39" i="153"/>
  <c r="R7" i="153"/>
  <c r="O360" i="154"/>
  <c r="A2" i="153"/>
  <c r="E17" i="153"/>
  <c r="B17" i="153"/>
  <c r="G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E24" i="153"/>
  <c r="B24" i="153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E19" i="153"/>
  <c r="B19" i="153"/>
  <c r="G19" i="153"/>
  <c r="H19" i="153"/>
  <c r="O51" i="154"/>
  <c r="E20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30" i="153"/>
  <c r="H30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E33" i="153"/>
  <c r="B33" i="153"/>
  <c r="G33" i="153"/>
  <c r="H33" i="153"/>
  <c r="O356" i="154"/>
  <c r="R4" i="153"/>
  <c r="O357" i="154"/>
  <c r="R5" i="153"/>
  <c r="O358" i="154"/>
  <c r="R6" i="153"/>
  <c r="O359" i="154"/>
  <c r="R8" i="153"/>
  <c r="O361" i="154"/>
  <c r="R9" i="153"/>
  <c r="O362" i="154"/>
  <c r="R10" i="153"/>
  <c r="O363" i="154"/>
  <c r="R11" i="153"/>
  <c r="O364" i="154"/>
  <c r="R12" i="153"/>
  <c r="O365" i="154"/>
  <c r="R13" i="153"/>
  <c r="O366" i="154"/>
  <c r="P360" i="154"/>
  <c r="H361" i="154"/>
  <c r="K361" i="154"/>
  <c r="L361" i="154"/>
  <c r="M361" i="154"/>
  <c r="N361" i="154"/>
  <c r="P361" i="154"/>
  <c r="H362" i="154"/>
  <c r="K362" i="154"/>
  <c r="L362" i="154"/>
  <c r="M362" i="154"/>
  <c r="N362" i="154"/>
  <c r="P362" i="154"/>
  <c r="H363" i="154"/>
  <c r="K363" i="154"/>
  <c r="L363" i="154"/>
  <c r="M363" i="154"/>
  <c r="N363" i="154"/>
  <c r="P363" i="154"/>
  <c r="H364" i="154"/>
  <c r="K364" i="154"/>
  <c r="L364" i="154"/>
  <c r="M364" i="154"/>
  <c r="N364" i="154"/>
  <c r="P364" i="154"/>
  <c r="H365" i="154"/>
  <c r="K365" i="154"/>
  <c r="L365" i="154"/>
  <c r="M365" i="154"/>
  <c r="N365" i="154"/>
  <c r="P365" i="154"/>
  <c r="H366" i="154"/>
  <c r="K366" i="154"/>
  <c r="L366" i="154"/>
  <c r="M366" i="154"/>
  <c r="N366" i="154"/>
  <c r="P366" i="154"/>
  <c r="A366" i="154"/>
  <c r="A365" i="154"/>
  <c r="A364" i="154"/>
  <c r="A363" i="154"/>
  <c r="A362" i="154"/>
  <c r="A361" i="154"/>
  <c r="A360" i="154"/>
  <c r="A359" i="154"/>
  <c r="A358" i="154"/>
  <c r="P2" i="162"/>
  <c r="N2" i="162"/>
  <c r="M2" i="162"/>
  <c r="L2" i="162"/>
  <c r="K2" i="162"/>
  <c r="J2" i="162"/>
  <c r="I2" i="162"/>
  <c r="H2" i="162"/>
  <c r="F2" i="162"/>
  <c r="E2" i="162"/>
  <c r="D2" i="162"/>
  <c r="C2" i="162"/>
  <c r="F359" i="154"/>
  <c r="B6" i="153"/>
  <c r="E31" i="153"/>
  <c r="B31" i="153"/>
  <c r="E32" i="153"/>
  <c r="B32" i="153"/>
  <c r="E34" i="153"/>
  <c r="B34" i="153"/>
  <c r="B35" i="153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H39" i="153"/>
  <c r="G31" i="153"/>
  <c r="H31" i="153"/>
  <c r="I31" i="153"/>
  <c r="J31" i="153"/>
  <c r="F31" i="153"/>
  <c r="D31" i="153"/>
  <c r="F359" i="158"/>
  <c r="B10" i="157"/>
  <c r="G31" i="157"/>
  <c r="H31" i="157"/>
  <c r="I31" i="157"/>
  <c r="J31" i="157"/>
  <c r="F31" i="157"/>
  <c r="C31" i="157"/>
  <c r="P356" i="154"/>
  <c r="N356" i="154"/>
  <c r="M356" i="154"/>
  <c r="L356" i="154"/>
  <c r="K356" i="154"/>
  <c r="H356" i="154"/>
  <c r="A356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B5" i="157"/>
  <c r="P356" i="158"/>
  <c r="N356" i="158"/>
  <c r="M356" i="158"/>
  <c r="L356" i="158"/>
  <c r="K356" i="158"/>
  <c r="H356" i="158"/>
  <c r="A356" i="158"/>
  <c r="J45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I3" i="162"/>
  <c r="D3" i="162"/>
  <c r="J3" i="162"/>
  <c r="E3" i="162"/>
  <c r="F3" i="162"/>
  <c r="C3" i="162"/>
  <c r="I4" i="162"/>
  <c r="D4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A357" i="154"/>
  <c r="A355" i="154"/>
  <c r="A354" i="154"/>
  <c r="A353" i="154"/>
  <c r="A352" i="154"/>
  <c r="A351" i="154"/>
  <c r="N359" i="154"/>
  <c r="M359" i="154"/>
  <c r="L359" i="154"/>
  <c r="K359" i="154"/>
  <c r="H359" i="154"/>
  <c r="N358" i="154"/>
  <c r="M358" i="154"/>
  <c r="L358" i="154"/>
  <c r="K358" i="154"/>
  <c r="H358" i="154"/>
  <c r="N357" i="154"/>
  <c r="M357" i="154"/>
  <c r="L357" i="154"/>
  <c r="K357" i="154"/>
  <c r="H357" i="154"/>
  <c r="N355" i="154"/>
  <c r="M355" i="154"/>
  <c r="L355" i="154"/>
  <c r="K355" i="154"/>
  <c r="H355" i="154"/>
  <c r="N354" i="154"/>
  <c r="M354" i="154"/>
  <c r="L354" i="154"/>
  <c r="K354" i="154"/>
  <c r="H354" i="154"/>
  <c r="N353" i="154"/>
  <c r="M353" i="154"/>
  <c r="L353" i="154"/>
  <c r="K353" i="154"/>
  <c r="H353" i="154"/>
  <c r="N352" i="154"/>
  <c r="M352" i="154"/>
  <c r="L352" i="154"/>
  <c r="K352" i="154"/>
  <c r="H352" i="154"/>
  <c r="N351" i="154"/>
  <c r="M351" i="154"/>
  <c r="L351" i="154"/>
  <c r="K351" i="154"/>
  <c r="H351" i="154"/>
  <c r="N359" i="158"/>
  <c r="M359" i="158"/>
  <c r="L359" i="158"/>
  <c r="K359" i="158"/>
  <c r="H359" i="158"/>
  <c r="N358" i="158"/>
  <c r="M358" i="158"/>
  <c r="L358" i="158"/>
  <c r="K358" i="158"/>
  <c r="H358" i="158"/>
  <c r="N357" i="158"/>
  <c r="M357" i="158"/>
  <c r="L357" i="158"/>
  <c r="K357" i="158"/>
  <c r="H357" i="158"/>
  <c r="A361" i="158"/>
  <c r="A360" i="158"/>
  <c r="A359" i="158"/>
  <c r="A358" i="158"/>
  <c r="A357" i="158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C29" i="157"/>
  <c r="C30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A350" i="154"/>
  <c r="A349" i="154"/>
  <c r="A348" i="154"/>
  <c r="A347" i="154"/>
  <c r="A346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H347" i="154"/>
  <c r="K347" i="154"/>
  <c r="L347" i="154"/>
  <c r="M347" i="154"/>
  <c r="N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35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6" i="153"/>
  <c r="B49" i="153"/>
  <c r="P20" i="153"/>
  <c r="O20" i="153"/>
  <c r="M20" i="153"/>
  <c r="P19" i="153"/>
  <c r="O19" i="153"/>
  <c r="M19" i="153"/>
  <c r="P18" i="153"/>
  <c r="O18" i="153"/>
  <c r="M18" i="153"/>
  <c r="P17" i="153"/>
  <c r="O17" i="153"/>
  <c r="M17" i="153"/>
  <c r="V16" i="153"/>
  <c r="P16" i="153"/>
  <c r="O16" i="153"/>
  <c r="M16" i="153"/>
  <c r="V15" i="153"/>
  <c r="P15" i="153"/>
  <c r="O15" i="153"/>
  <c r="M15" i="153"/>
  <c r="V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P102" i="154"/>
  <c r="P103" i="154"/>
  <c r="P104" i="154"/>
  <c r="P105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7" i="154"/>
  <c r="P358" i="154"/>
  <c r="P359" i="154"/>
  <c r="F50" i="153"/>
  <c r="B43" i="153"/>
  <c r="B44" i="153"/>
  <c r="B45" i="153"/>
  <c r="B47" i="153"/>
  <c r="B48" i="153"/>
  <c r="B50" i="153"/>
  <c r="C43" i="153"/>
  <c r="C44" i="153"/>
  <c r="C45" i="153"/>
  <c r="C46" i="153"/>
  <c r="C47" i="153"/>
  <c r="C48" i="153"/>
  <c r="C49" i="153"/>
  <c r="C50" i="153"/>
  <c r="F49" i="153"/>
  <c r="F48" i="153"/>
  <c r="D35" i="153"/>
  <c r="I20" i="153"/>
  <c r="J20" i="153"/>
  <c r="F20" i="153"/>
  <c r="R14" i="153"/>
  <c r="R15" i="153"/>
  <c r="R16" i="153"/>
  <c r="F17" i="153"/>
  <c r="I17" i="153"/>
  <c r="J17" i="153"/>
  <c r="R17" i="153"/>
  <c r="F18" i="153"/>
  <c r="I18" i="153"/>
  <c r="J18" i="153"/>
  <c r="R18" i="153"/>
  <c r="F19" i="153"/>
  <c r="I19" i="153"/>
  <c r="J19" i="153"/>
  <c r="R19" i="153"/>
  <c r="R20" i="153"/>
  <c r="D21" i="153"/>
  <c r="F21" i="153"/>
  <c r="I21" i="153"/>
  <c r="J21" i="153"/>
  <c r="F22" i="153"/>
  <c r="I22" i="153"/>
  <c r="J22" i="153"/>
  <c r="F23" i="153"/>
  <c r="I23" i="153"/>
  <c r="J23" i="153"/>
  <c r="F24" i="153"/>
  <c r="I24" i="153"/>
  <c r="J24" i="153"/>
  <c r="F25" i="153"/>
  <c r="I25" i="153"/>
  <c r="J25" i="153"/>
  <c r="F26" i="153"/>
  <c r="I26" i="153"/>
  <c r="J26" i="153"/>
  <c r="D27" i="153"/>
  <c r="F27" i="153"/>
  <c r="I27" i="153"/>
  <c r="J27" i="153"/>
  <c r="F28" i="153"/>
  <c r="I28" i="153"/>
  <c r="J28" i="153"/>
  <c r="F30" i="153"/>
  <c r="I30" i="153"/>
  <c r="J30" i="153"/>
  <c r="F32" i="153"/>
  <c r="G32" i="153"/>
  <c r="H32" i="153"/>
  <c r="I32" i="153"/>
  <c r="J32" i="153"/>
  <c r="F33" i="153"/>
  <c r="I33" i="153"/>
  <c r="J33" i="153"/>
  <c r="F43" i="153"/>
  <c r="G43" i="153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D32" i="157"/>
  <c r="D33" i="157"/>
  <c r="F33" i="157"/>
  <c r="I33" i="157"/>
  <c r="J33" i="157"/>
  <c r="D34" i="157"/>
  <c r="F34" i="157"/>
  <c r="G34" i="157"/>
  <c r="H34" i="157"/>
  <c r="I34" i="157"/>
  <c r="J34" i="157"/>
  <c r="B35" i="157"/>
  <c r="D35" i="157"/>
  <c r="F43" i="157"/>
  <c r="G43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7" i="158"/>
  <c r="P358" i="158"/>
  <c r="P359" i="158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F45" i="153"/>
  <c r="G45" i="153"/>
  <c r="F44" i="157"/>
  <c r="G44" i="157"/>
  <c r="F51" i="153"/>
  <c r="F52" i="153"/>
  <c r="F34" i="153"/>
  <c r="G34" i="153"/>
  <c r="H34" i="153"/>
  <c r="I34" i="153"/>
  <c r="J34" i="153"/>
  <c r="F29" i="153"/>
  <c r="G29" i="153"/>
  <c r="H29" i="153"/>
  <c r="I29" i="153"/>
  <c r="J29" i="153"/>
  <c r="G32" i="157"/>
  <c r="H32" i="157"/>
  <c r="I32" i="157"/>
  <c r="J32" i="157"/>
  <c r="F32" i="157"/>
  <c r="I30" i="157"/>
  <c r="J30" i="157"/>
  <c r="F30" i="157"/>
  <c r="G29" i="157"/>
  <c r="H29" i="157"/>
  <c r="I29" i="157"/>
  <c r="J29" i="157"/>
  <c r="F29" i="157"/>
  <c r="D18" i="153"/>
  <c r="D32" i="153"/>
  <c r="D33" i="153"/>
  <c r="D34" i="153"/>
  <c r="F44" i="153"/>
  <c r="G44" i="153"/>
  <c r="F51" i="157"/>
  <c r="F52" i="157"/>
  <c r="F45" i="157"/>
  <c r="G45" i="157"/>
  <c r="D17" i="153"/>
  <c r="D22" i="153"/>
  <c r="D23" i="153"/>
  <c r="D29" i="153"/>
  <c r="D30" i="153"/>
  <c r="D28" i="153"/>
  <c r="D20" i="153"/>
  <c r="D26" i="153"/>
  <c r="D24" i="153"/>
  <c r="D25" i="153"/>
  <c r="D19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<sst xmlns="http://schemas.openxmlformats.org/spreadsheetml/2006/main" count="560" uniqueCount="265">
  <si>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</si>
  <si>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</si>
  <si>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</si>
  <si>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</si>
  <si>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</si>
  <si>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</si>
  <si>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</si>
  <si>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</si>
  <si>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</si>
  <si>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</si>
  <si>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</si>
  <si>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</si>
  <si>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</si>
  <si>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</si>
  <si>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</si>
  <si>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</si>
  <si>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</si>
  <si>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</si>
  <si>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</si>
  <si>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</si>
  <si>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</si>
  <si>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</si>
  <si>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</si>
  <si>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</si>
  <si>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</si>
  <si>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</si>
  <si>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</si>
  <si>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</si>
  <si>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</si>
  <si>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</si>
  <si>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</si>
  <si>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</si>
  <si>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</si>
  <si>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</si>
  <si>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</si>
  <si>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</si>
  <si>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</si>
  <si>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</si>
  <si>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</si>
  <si>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</si>
  <si>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</si>
  <si>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</si>
  <si>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</si>
  <si>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</si>
  <si>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</si>
  <si>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</si>
  <si>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</si>
  <si>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</si>
  <si>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</si>
  <si>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</si>
  <si>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</si>
  <si>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</si>
  <si>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</si>
  <si>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</si>
  <si>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</si>
  <si>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</si>
  <si>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</si>
  <si>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</si>
  <si>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</si>
  <si>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</si>
  <si>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</si>
  <si>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</si>
  <si>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</si>
  <si>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</si>
  <si>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</si>
  <si>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</si>
  <si>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</si>
  <si>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</si>
  <si>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</si>
  <si>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</si>
  <si>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</si>
  <si>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</si>
  <si>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</si>
  <si>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</si>
  <si>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</si>
  <si>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</si>
  <si>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</si>
  <si>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</si>
  <si>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</si>
  <si>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</si>
  <si>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</si>
  <si>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</si>
  <si>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</si>
  <si>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</si>
  <si>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</si>
  <si>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</si>
  <si>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</si>
  <si>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</si>
  <si>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</si>
  <si>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</si>
  <si>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</si>
  <si>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</si>
  <si>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</si>
  <si>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</si>
  <si>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</si>
  <si>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</si>
  <si>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</si>
  <si>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</si>
  <si>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</si>
  <si>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</si>
  <si>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</si>
  <si>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</si>
  <si>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</si>
  <si>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</si>
  <si>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</si>
  <si>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</si>
  <si>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</si>
  <si>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</si>
  <si>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</si>
  <si>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</si>
  <si>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</si>
  <si>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</si>
  <si>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</si>
  <si>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</si>
  <si>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</si>
  <si>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</si>
  <si>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</si>
  <si>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</si>
  <si>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</si>
  <si>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</si>
  <si>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</si>
  <si>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</si>
  <si>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</si>
  <si>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</si>
  <si>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</si>
  <si>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</si>
  <si>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</si>
  <si>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</si>
  <si>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</si>
  <si>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</si>
  <si>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</si>
  <si>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</si>
  <si>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</si>
  <si>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</si>
  <si>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</si>
  <si>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</si>
  <si>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</si>
  <si>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</si>
  <si>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</si>
  <si>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</si>
  <si>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</si>
  <si>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</si>
  <si>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</si>
  <si>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</si>
  <si>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</si>
  <si>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</si>
  <si>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</si>
  <si>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</si>
  <si>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</si>
  <si>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</si>
  <si>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</si>
  <si>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</si>
  <si>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</si>
  <si>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</si>
  <si>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</si>
  <si>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</si>
  <si>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</si>
  <si>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</si>
  <si>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</si>
  <si>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</si>
  <si>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</si>
  <si>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</si>
  <si>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</si>
  <si>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</si>
  <si>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</si>
  <si>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</si>
  <si>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</si>
  <si>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</si>
  <si>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</si>
  <si>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</si>
  <si>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</si>
  <si>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</si>
  <si>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</si>
  <si>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</si>
  <si>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</si>
  <si>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</si>
  <si>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</si>
  <si>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</si>
  <si>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</si>
  <si>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</si>
  <si>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</si>
  <si>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</si>
  <si>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</si>
  <si>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</si>
  <si>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</si>
  <si>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</si>
  <si>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</si>
  <si>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</si>
  <si>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</si>
  <si>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</si>
  <si>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</si>
  <si>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</si>
  <si>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</si>
  <si>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</si>
  <si>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</si>
  <si>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</si>
  <si>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</si>
  <si>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</si>
  <si>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</si>
  <si>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</si>
  <si>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</si>
  <si>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</si>
  <si>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</si>
  <si>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</si>
  <si>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</si>
  <si>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</si>
  <si>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</si>
  <si>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</si>
  <si>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</si>
  <si>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</si>
  <si>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</si>
  <si>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</si>
  <si>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</si>
  <si>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</si>
  <si>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</si>
  <si>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</si>
  <si>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</si>
  <si>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</si>
  <si>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</si>
  <si>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</si>
  <si>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</si>
  <si>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</si>
  <si>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</si>
  <si>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</si>
  <si>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</si>
  <si>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</si>
  <si>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</si>
  <si>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</si>
  <si>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</si>
  <si>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</si>
  <si>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</si>
  <si>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</si>
  <si>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</si>
  <si>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</si>
  <si>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</si>
  <si>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</si>
  <si>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</si>
  <si>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</si>
  <si>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</si>
  <si>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</si>
  <si>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</si>
  <si>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</si>
  <si>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</si>
  <si>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</si>
  <si>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</si>
  <si>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</si>
  <si>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</si>
  <si>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</si>
  <si>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</si>
  <si>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</si>
  <si>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</si>
  <si>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</si>
  <si>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通常確率</t>
    <rPh sb="0" eb="4">
      <t>ツウジョ</t>
    </rPh>
    <phoneticPr fontId="22"/>
  </si>
  <si>
    <t>PremiumSSS6R3less</t>
    <phoneticPr fontId="22"/>
  </si>
  <si>
    <t>PremiumSS6R5only</t>
    <phoneticPr fontId="22"/>
  </si>
  <si>
    <t>PremiumSS4R5only</t>
    <phoneticPr fontId="22"/>
  </si>
  <si>
    <t>item</t>
    <phoneticPr fontId="22"/>
  </si>
  <si>
    <t>ja</t>
    <phoneticPr fontId="22"/>
  </si>
  <si>
    <t>にゃんこワクワクチケット</t>
    <phoneticPr fontId="22"/>
  </si>
  <si>
    <t>tables_552010</t>
    <phoneticPr fontId="22"/>
  </si>
  <si>
    <t>tables_552100</t>
    <phoneticPr fontId="22"/>
  </si>
  <si>
    <t>tables_settle_552100</t>
    <phoneticPr fontId="22"/>
  </si>
  <si>
    <t>tables_settle_552105</t>
    <phoneticPr fontId="22"/>
  </si>
  <si>
    <t>にゃんこ大戦争コラボガチャ特典</t>
    <rPh sb="4" eb="7">
      <t>ダ</t>
    </rPh>
    <rPh sb="13" eb="15">
      <t>トクテｎ</t>
    </rPh>
    <phoneticPr fontId="22"/>
  </si>
  <si>
    <t>にゃんこ大戦争コラボガチャ特典として「にゃんこワクワクチケット」を10枚プレゼント！</t>
    <rPh sb="4" eb="7">
      <t>ダ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</si>
</sst>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  <numFmt numFmtId="185" formatCode="0.00000"/>
    <numFmt numFmtId="186" formatCode="0.00000000%"/>
    <numFmt numFmtId="187" formatCode="0.0000000%"/>
    <numFmt numFmtId="188" formatCode="0.000000000%"/>
    <numFmt numFmtId="189" formatCode="0.0000000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14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0" borderId="0" xfId="2" applyFont="1" applyFill="1" applyAlignment="1">
      <alignment vertical="center"/>
    </xf>
    <xf numFmtId="180" fontId="0" fillId="4" borderId="1" xfId="0" applyNumberFormat="1" applyFill="1" applyBorder="1"/>
    <xf numFmtId="185" fontId="0" fillId="0" borderId="0" xfId="0" applyNumberFormat="1"/>
    <xf numFmtId="186" fontId="0" fillId="4" borderId="1" xfId="0" applyNumberFormat="1" applyFill="1" applyBorder="1"/>
    <xf numFmtId="0" fontId="27" fillId="0" borderId="1" xfId="2" applyFont="1" applyFill="1" applyBorder="1" applyAlignment="1">
      <alignment vertical="center"/>
    </xf>
    <xf numFmtId="186" fontId="0" fillId="28" borderId="1" xfId="0" applyNumberFormat="1" applyFill="1" applyBorder="1"/>
    <xf numFmtId="186" fontId="0" fillId="28" borderId="1" xfId="3575" applyNumberFormat="1" applyFont="1" applyFill="1" applyBorder="1"/>
    <xf numFmtId="188" fontId="0" fillId="28" borderId="1" xfId="0" applyNumberFormat="1" applyFill="1" applyBorder="1"/>
    <xf numFmtId="188" fontId="0" fillId="28" borderId="1" xfId="3575" applyNumberFormat="1" applyFont="1" applyFill="1" applyBorder="1"/>
    <xf numFmtId="177" fontId="0" fillId="0" borderId="1" xfId="0" applyNumberFormat="1" applyBorder="1"/>
    <xf numFmtId="186" fontId="0" fillId="0" borderId="0" xfId="0" applyNumberFormat="1"/>
    <xf numFmtId="189" fontId="0" fillId="0" borderId="0" xfId="0" applyNumberFormat="1"/>
    <xf numFmtId="187" fontId="0" fillId="0" borderId="0" xfId="0" applyNumberFormat="1"/>
    <xf numFmtId="0" fontId="54" fillId="4" borderId="1" xfId="0" applyFont="1" applyFill="1" applyBorder="1" applyAlignment="1">
      <alignment vertical="center"/>
    </xf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シャルルR6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1452</v>
          </cell>
          <cell r="B1405" t="str">
            <v>ja</v>
          </cell>
          <cell r="C1405" t="str">
            <v>メルセンヌ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5</v>
          </cell>
          <cell r="J1405" t="str">
            <v>PremiumSSS</v>
          </cell>
          <cell r="K1405" t="str">
            <v>hp</v>
          </cell>
          <cell r="L1405" t="str">
            <v>体力タイプ</v>
          </cell>
          <cell r="M1405" t="str">
            <v>academia</v>
          </cell>
        </row>
        <row r="1406">
          <cell r="A1406">
            <v>1453</v>
          </cell>
          <cell r="B1406" t="str">
            <v>ja</v>
          </cell>
          <cell r="C1406" t="str">
            <v>数解の自鳴琴 メルセンヌ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6</v>
          </cell>
          <cell r="J1406" t="str">
            <v>PremiumSSS</v>
          </cell>
          <cell r="K1406" t="str">
            <v>hp</v>
          </cell>
          <cell r="L1406" t="str">
            <v>体力タイプ</v>
          </cell>
          <cell r="M1406" t="str">
            <v>academia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PremiumSSS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god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  <cell r="H1409" t="str">
            <v>blue</v>
          </cell>
          <cell r="I1409">
            <v>5</v>
          </cell>
          <cell r="J1409" t="str">
            <v>PremiumSSw</v>
          </cell>
          <cell r="K1409" t="str">
            <v>attack</v>
          </cell>
          <cell r="L1409" t="str">
            <v>攻撃タイプ</v>
          </cell>
          <cell r="M1409" t="str">
            <v>hero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  <cell r="H1410" t="str">
            <v>blue</v>
          </cell>
          <cell r="I1410">
            <v>6</v>
          </cell>
          <cell r="J1410" t="str">
            <v>PremiumSSw</v>
          </cell>
          <cell r="K1410" t="str">
            <v>attack</v>
          </cell>
          <cell r="L1410" t="str">
            <v>攻撃タイプ</v>
          </cell>
          <cell r="M1410" t="str">
            <v>hero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  <cell r="H1411" t="str">
            <v>red</v>
          </cell>
          <cell r="I1411">
            <v>5</v>
          </cell>
          <cell r="J1411" t="str">
            <v>PremiumSS</v>
          </cell>
          <cell r="K1411" t="str">
            <v>attack</v>
          </cell>
          <cell r="L1411" t="str">
            <v>攻撃タイプ</v>
          </cell>
          <cell r="M1411" t="str">
            <v>human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  <cell r="H1412" t="str">
            <v>red</v>
          </cell>
          <cell r="I1412">
            <v>6</v>
          </cell>
          <cell r="J1412" t="str">
            <v>PremiumSS</v>
          </cell>
          <cell r="K1412" t="str">
            <v>attack</v>
          </cell>
          <cell r="L1412" t="str">
            <v>攻撃タイプ</v>
          </cell>
          <cell r="M1412" t="str">
            <v>human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  <cell r="H1413" t="str">
            <v>blue</v>
          </cell>
          <cell r="I1413">
            <v>4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  <cell r="H1414" t="str">
            <v>blue</v>
          </cell>
          <cell r="I1414">
            <v>5</v>
          </cell>
          <cell r="J1414" t="str">
            <v>PremiumS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technical</v>
          </cell>
          <cell r="L1415" t="str">
            <v>テクニカルタイプ</v>
          </cell>
          <cell r="M1415" t="str">
            <v>human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  <cell r="H1416" t="str">
            <v>yellow</v>
          </cell>
          <cell r="I1416">
            <v>6</v>
          </cell>
          <cell r="J1416" t="str">
            <v>PremiumSS</v>
          </cell>
          <cell r="K1416" t="str">
            <v>technical</v>
          </cell>
          <cell r="L1416" t="str">
            <v>テクニカルタイプ</v>
          </cell>
          <cell r="M1416" t="str">
            <v>human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hp</v>
          </cell>
          <cell r="L1417" t="str">
            <v>体力タイプ</v>
          </cell>
          <cell r="M1417" t="str">
            <v>human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human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  <cell r="H1419" t="str">
            <v>blue</v>
          </cell>
          <cell r="I1419">
            <v>5</v>
          </cell>
          <cell r="J1419" t="str">
            <v>DropWizS</v>
          </cell>
          <cell r="K1419" t="str">
            <v>attack</v>
          </cell>
          <cell r="L1419" t="str">
            <v>攻撃タイプ</v>
          </cell>
          <cell r="M1419" t="str">
            <v>human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  <cell r="H1420" t="str">
            <v>blue</v>
          </cell>
          <cell r="I1420">
            <v>6</v>
          </cell>
          <cell r="J1420" t="str">
            <v>DropWizS</v>
          </cell>
          <cell r="K1420" t="str">
            <v>attack</v>
          </cell>
          <cell r="L1420" t="str">
            <v>攻撃タイプ</v>
          </cell>
          <cell r="M1420" t="str">
            <v>human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attack</v>
          </cell>
          <cell r="L1421" t="str">
            <v>攻撃タイプ</v>
          </cell>
          <cell r="M1421" t="str">
            <v>unknown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  <cell r="H1422" t="str">
            <v>yellow</v>
          </cell>
          <cell r="I1422">
            <v>5</v>
          </cell>
          <cell r="J1422" t="str">
            <v>Drop2N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  <cell r="H1423" t="str">
            <v>red</v>
          </cell>
          <cell r="I1423">
            <v>5</v>
          </cell>
          <cell r="J1423" t="str">
            <v>Drop2N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attack</v>
          </cell>
          <cell r="L1424" t="str">
            <v>攻撃タイプ</v>
          </cell>
          <cell r="M1424" t="str">
            <v>academia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green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1497</v>
          </cell>
          <cell r="B1426" t="str">
            <v>ja</v>
          </cell>
          <cell r="C1426" t="str">
            <v>ヨシノ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human</v>
          </cell>
        </row>
        <row r="1427">
          <cell r="A1427">
            <v>1498</v>
          </cell>
          <cell r="B1427" t="str">
            <v>ja</v>
          </cell>
          <cell r="C1427" t="str">
            <v>咲誇る夢見草 ヨシノ</v>
          </cell>
          <cell r="H1427" t="str">
            <v>yellow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human</v>
          </cell>
        </row>
        <row r="1428">
          <cell r="A1428">
            <v>1499</v>
          </cell>
          <cell r="B1428" t="str">
            <v>ja</v>
          </cell>
          <cell r="C1428" t="str">
            <v>コノハナサクヤ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blue</v>
          </cell>
          <cell r="I1428">
            <v>5</v>
          </cell>
          <cell r="J1428" t="str">
            <v>DropWizS</v>
          </cell>
          <cell r="K1428" t="str">
            <v>heal</v>
          </cell>
          <cell r="L1428" t="str">
            <v>回復タイプ</v>
          </cell>
          <cell r="M1428" t="str">
            <v>human</v>
          </cell>
        </row>
        <row r="1429">
          <cell r="A1429">
            <v>1500</v>
          </cell>
          <cell r="B1429" t="str">
            <v>ja</v>
          </cell>
          <cell r="C1429" t="str">
            <v>櫻歌する開華 コノハナサクヤ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blue</v>
          </cell>
          <cell r="I1429">
            <v>6</v>
          </cell>
          <cell r="J1429" t="str">
            <v>DropWizS</v>
          </cell>
          <cell r="K1429" t="str">
            <v>heal</v>
          </cell>
          <cell r="L1429" t="str">
            <v>回復タイプ</v>
          </cell>
          <cell r="M1429" t="str">
            <v>human</v>
          </cell>
        </row>
        <row r="1430">
          <cell r="A1430">
            <v>1504</v>
          </cell>
          <cell r="B1430" t="str">
            <v>ja</v>
          </cell>
          <cell r="C1430" t="str">
            <v>ネコ</v>
          </cell>
          <cell r="H1430" t="str">
            <v>red</v>
          </cell>
          <cell r="I1430">
            <v>1</v>
          </cell>
          <cell r="J1430" t="str">
            <v>Drop1T</v>
          </cell>
          <cell r="K1430" t="str">
            <v>balance</v>
          </cell>
          <cell r="L1430" t="str">
            <v>バランスタイプ</v>
          </cell>
          <cell r="M1430" t="str">
            <v>unknown</v>
          </cell>
        </row>
        <row r="1431">
          <cell r="A1431">
            <v>1505</v>
          </cell>
          <cell r="B1431" t="str">
            <v>ja</v>
          </cell>
          <cell r="C1431" t="str">
            <v>タンクネコ</v>
          </cell>
          <cell r="H1431" t="str">
            <v>green</v>
          </cell>
          <cell r="I1431">
            <v>1</v>
          </cell>
          <cell r="J1431" t="str">
            <v>Drop1T</v>
          </cell>
          <cell r="K1431" t="str">
            <v>hp</v>
          </cell>
          <cell r="L1431" t="str">
            <v>体力タイプ</v>
          </cell>
          <cell r="M1431" t="str">
            <v>unknown</v>
          </cell>
        </row>
        <row r="1432">
          <cell r="A1432">
            <v>1506</v>
          </cell>
          <cell r="B1432" t="str">
            <v>ja</v>
          </cell>
          <cell r="C1432" t="str">
            <v>バトルネコ</v>
          </cell>
          <cell r="H1432" t="str">
            <v>yellow</v>
          </cell>
          <cell r="I1432">
            <v>2</v>
          </cell>
          <cell r="J1432" t="str">
            <v>Drop1S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1507</v>
          </cell>
          <cell r="B1433" t="str">
            <v>ja</v>
          </cell>
          <cell r="C1433" t="str">
            <v>キモネコ</v>
          </cell>
          <cell r="H1433" t="str">
            <v>blue</v>
          </cell>
          <cell r="I1433">
            <v>3</v>
          </cell>
          <cell r="J1433" t="str">
            <v>Drop2N</v>
          </cell>
          <cell r="K1433" t="str">
            <v>technical</v>
          </cell>
          <cell r="L1433" t="str">
            <v>テクニカルタイプ</v>
          </cell>
          <cell r="M1433" t="str">
            <v>unknown</v>
          </cell>
        </row>
        <row r="1434">
          <cell r="A1434">
            <v>1508</v>
          </cell>
          <cell r="B1434" t="str">
            <v>ja</v>
          </cell>
          <cell r="C1434" t="str">
            <v>ネコノトリ</v>
          </cell>
          <cell r="H1434" t="str">
            <v>red</v>
          </cell>
          <cell r="I1434">
            <v>4</v>
          </cell>
          <cell r="J1434" t="str">
            <v>Drop2N</v>
          </cell>
          <cell r="K1434" t="str">
            <v>balance</v>
          </cell>
          <cell r="L1434" t="str">
            <v>バランスタイプ</v>
          </cell>
          <cell r="M1434" t="str">
            <v>unknown</v>
          </cell>
        </row>
        <row r="1435">
          <cell r="A1435">
            <v>1509</v>
          </cell>
          <cell r="B1435" t="str">
            <v>ja</v>
          </cell>
          <cell r="C1435" t="str">
            <v>巨神ネコ</v>
          </cell>
          <cell r="H1435" t="str">
            <v>green</v>
          </cell>
          <cell r="I1435">
            <v>5</v>
          </cell>
          <cell r="J1435" t="str">
            <v>Drop2N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1510</v>
          </cell>
          <cell r="B1436" t="str">
            <v>ja</v>
          </cell>
          <cell r="C1436" t="str">
            <v>ネコヴァルキリー</v>
          </cell>
          <cell r="H1436" t="str">
            <v>yellow</v>
          </cell>
          <cell r="I1436">
            <v>4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1511</v>
          </cell>
          <cell r="B1437" t="str">
            <v>ja</v>
          </cell>
          <cell r="C1437" t="str">
            <v>ネコヴァルキリー･真</v>
          </cell>
          <cell r="H1437" t="str">
            <v>yellow</v>
          </cell>
          <cell r="I1437">
            <v>5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1512</v>
          </cell>
          <cell r="B1438" t="str">
            <v>ja</v>
          </cell>
          <cell r="C1438" t="str">
            <v>ネコヴァルキリー･聖</v>
          </cell>
          <cell r="H1438" t="str">
            <v>yellow</v>
          </cell>
          <cell r="I1438">
            <v>6</v>
          </cell>
          <cell r="J1438" t="str">
            <v>DropWizS</v>
          </cell>
          <cell r="K1438" t="str">
            <v>balance</v>
          </cell>
          <cell r="L1438" t="str">
            <v>バランスタイプ</v>
          </cell>
          <cell r="M1438" t="str">
            <v>god</v>
          </cell>
        </row>
        <row r="1439">
          <cell r="A1439">
            <v>1513</v>
          </cell>
          <cell r="B1439" t="str">
            <v>ja</v>
          </cell>
          <cell r="C1439" t="str">
            <v>金ネコ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coin</v>
          </cell>
          <cell r="L1439" t="str">
            <v>コインタイプ</v>
          </cell>
          <cell r="M1439" t="str">
            <v>unknown</v>
          </cell>
        </row>
        <row r="1440">
          <cell r="A1440">
            <v>1514</v>
          </cell>
          <cell r="B1440" t="str">
            <v>ja</v>
          </cell>
          <cell r="C1440" t="str">
            <v>金ネコビルダー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coin</v>
          </cell>
          <cell r="L1440" t="str">
            <v>コインタイプ</v>
          </cell>
          <cell r="M1440" t="str">
            <v>unknown</v>
          </cell>
        </row>
        <row r="1441">
          <cell r="A1441">
            <v>1515</v>
          </cell>
          <cell r="B1441" t="str">
            <v>ja</v>
          </cell>
          <cell r="C1441" t="str">
            <v>赤メタルネコ</v>
          </cell>
          <cell r="H1441" t="str">
            <v>red</v>
          </cell>
          <cell r="I1441">
            <v>4</v>
          </cell>
          <cell r="J1441" t="str">
            <v>Material</v>
          </cell>
          <cell r="K1441" t="str">
            <v>exp</v>
          </cell>
          <cell r="L1441" t="str">
            <v>強化素材タイプ</v>
          </cell>
          <cell r="M1441" t="str">
            <v>unknown</v>
          </cell>
        </row>
        <row r="1442">
          <cell r="A1442">
            <v>1516</v>
          </cell>
          <cell r="B1442" t="str">
            <v>ja</v>
          </cell>
          <cell r="C1442" t="str">
            <v>赤メタルネコビルダー</v>
          </cell>
          <cell r="H1442" t="str">
            <v>red</v>
          </cell>
          <cell r="I1442">
            <v>5</v>
          </cell>
          <cell r="J1442" t="str">
            <v>Material</v>
          </cell>
          <cell r="K1442" t="str">
            <v>exp</v>
          </cell>
          <cell r="L1442" t="str">
            <v>強化素材タイプ</v>
          </cell>
          <cell r="M1442" t="str">
            <v>unknown</v>
          </cell>
        </row>
        <row r="1443">
          <cell r="A1443">
            <v>1517</v>
          </cell>
          <cell r="B1443" t="str">
            <v>ja</v>
          </cell>
          <cell r="C1443" t="str">
            <v>青メタルネコ</v>
          </cell>
          <cell r="H1443" t="str">
            <v>blue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</row>
        <row r="1444">
          <cell r="A1444">
            <v>1518</v>
          </cell>
          <cell r="B1444" t="str">
            <v>ja</v>
          </cell>
          <cell r="C1444" t="str">
            <v>青メタルネコビルダー</v>
          </cell>
          <cell r="H1444" t="str">
            <v>blue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</row>
        <row r="1445">
          <cell r="A1445">
            <v>1519</v>
          </cell>
          <cell r="B1445" t="str">
            <v>ja</v>
          </cell>
          <cell r="C1445" t="str">
            <v>緑メタルネコ</v>
          </cell>
          <cell r="H1445" t="str">
            <v>green</v>
          </cell>
          <cell r="I1445">
            <v>4</v>
          </cell>
          <cell r="J1445" t="str">
            <v>Material</v>
          </cell>
          <cell r="K1445" t="str">
            <v>exp</v>
          </cell>
          <cell r="L1445" t="str">
            <v>強化素材タイプ</v>
          </cell>
          <cell r="M1445" t="str">
            <v>unknown</v>
          </cell>
        </row>
        <row r="1446">
          <cell r="A1446">
            <v>1520</v>
          </cell>
          <cell r="B1446" t="str">
            <v>ja</v>
          </cell>
          <cell r="C1446" t="str">
            <v>緑メタルネコビルダー</v>
          </cell>
          <cell r="H1446" t="str">
            <v>green</v>
          </cell>
          <cell r="I1446">
            <v>5</v>
          </cell>
          <cell r="J1446" t="str">
            <v>Material</v>
          </cell>
          <cell r="K1446" t="str">
            <v>exp</v>
          </cell>
          <cell r="L1446" t="str">
            <v>強化素材タイプ</v>
          </cell>
          <cell r="M1446" t="str">
            <v>unknown</v>
          </cell>
        </row>
        <row r="1447">
          <cell r="A1447">
            <v>1521</v>
          </cell>
          <cell r="B1447" t="str">
            <v>ja</v>
          </cell>
          <cell r="C1447" t="str">
            <v>黄メタルネコ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exp</v>
          </cell>
          <cell r="L1447" t="str">
            <v>強化素材タイプ</v>
          </cell>
          <cell r="M1447" t="str">
            <v>unknown</v>
          </cell>
        </row>
        <row r="1448">
          <cell r="A1448">
            <v>1522</v>
          </cell>
          <cell r="B1448" t="str">
            <v>ja</v>
          </cell>
          <cell r="C1448" t="str">
            <v>黄メタルネコビルダー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exp</v>
          </cell>
          <cell r="L1448" t="str">
            <v>強化素材タイプ</v>
          </cell>
          <cell r="M1448" t="str">
            <v>unknown</v>
          </cell>
        </row>
        <row r="1449">
          <cell r="A1449">
            <v>1523</v>
          </cell>
          <cell r="B1449" t="str">
            <v>ja</v>
          </cell>
          <cell r="C1449" t="str">
            <v>ネコムート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1524</v>
          </cell>
          <cell r="B1450" t="str">
            <v>ja</v>
          </cell>
          <cell r="C1450" t="str">
            <v>狂乱のネコムート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1525</v>
          </cell>
          <cell r="B1451" t="str">
            <v>ja</v>
          </cell>
          <cell r="C1451" t="str">
            <v>狂乱のネコ</v>
          </cell>
          <cell r="H1451" t="str">
            <v>red</v>
          </cell>
          <cell r="I1451">
            <v>5</v>
          </cell>
          <cell r="J1451" t="str">
            <v>DropWizSS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1526</v>
          </cell>
          <cell r="B1452" t="str">
            <v>ja</v>
          </cell>
          <cell r="C1452" t="str">
            <v>狂乱のネコビルダー</v>
          </cell>
          <cell r="H1452" t="str">
            <v>red</v>
          </cell>
          <cell r="I1452">
            <v>6</v>
          </cell>
          <cell r="J1452" t="str">
            <v>DropWizSS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1527</v>
          </cell>
          <cell r="B1453" t="str">
            <v>ja</v>
          </cell>
          <cell r="C1453" t="str">
            <v>ネコ魔剣士</v>
          </cell>
          <cell r="H1453" t="str">
            <v>red</v>
          </cell>
          <cell r="I1453">
            <v>4</v>
          </cell>
          <cell r="J1453" t="str">
            <v>PremiumS</v>
          </cell>
          <cell r="K1453" t="str">
            <v>attack</v>
          </cell>
          <cell r="L1453" t="str">
            <v>攻撃タイプ</v>
          </cell>
          <cell r="M1453" t="str">
            <v>animal</v>
          </cell>
        </row>
        <row r="1454">
          <cell r="A1454">
            <v>1528</v>
          </cell>
          <cell r="B1454" t="str">
            <v>ja</v>
          </cell>
          <cell r="C1454" t="str">
            <v>双剣ネコ魔剣士</v>
          </cell>
          <cell r="H1454" t="str">
            <v>red</v>
          </cell>
          <cell r="I1454">
            <v>5</v>
          </cell>
          <cell r="J1454" t="str">
            <v>PremiumS</v>
          </cell>
          <cell r="K1454" t="str">
            <v>attack</v>
          </cell>
          <cell r="L1454" t="str">
            <v>攻撃タイプ</v>
          </cell>
          <cell r="M1454" t="str">
            <v>animal</v>
          </cell>
        </row>
        <row r="1455">
          <cell r="A1455">
            <v>1529</v>
          </cell>
          <cell r="B1455" t="str">
            <v>ja</v>
          </cell>
          <cell r="C1455" t="str">
            <v>ねこ海賊</v>
          </cell>
          <cell r="H1455" t="str">
            <v>blue</v>
          </cell>
          <cell r="I1455">
            <v>4</v>
          </cell>
          <cell r="J1455" t="str">
            <v>PremiumS</v>
          </cell>
          <cell r="K1455" t="str">
            <v>balance</v>
          </cell>
          <cell r="L1455" t="str">
            <v>バランスタイプ</v>
          </cell>
          <cell r="M1455" t="str">
            <v>unknown</v>
          </cell>
        </row>
        <row r="1456">
          <cell r="A1456">
            <v>1530</v>
          </cell>
          <cell r="B1456" t="str">
            <v>ja</v>
          </cell>
          <cell r="C1456" t="str">
            <v>ニャーコック船長</v>
          </cell>
          <cell r="H1456" t="str">
            <v>blue</v>
          </cell>
          <cell r="I1456">
            <v>5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unknown</v>
          </cell>
        </row>
        <row r="1457">
          <cell r="A1457">
            <v>1531</v>
          </cell>
          <cell r="B1457" t="str">
            <v>ja</v>
          </cell>
          <cell r="C1457" t="str">
            <v>ねこジュラ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1532</v>
          </cell>
          <cell r="B1458" t="str">
            <v>ja</v>
          </cell>
          <cell r="C1458" t="str">
            <v>ねこジュラシッター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1533</v>
          </cell>
          <cell r="B1459" t="str">
            <v>ja</v>
          </cell>
          <cell r="C1459" t="str">
            <v>ネコエステ</v>
          </cell>
          <cell r="H1459" t="str">
            <v>yellow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1534</v>
          </cell>
          <cell r="B1460" t="str">
            <v>ja</v>
          </cell>
          <cell r="C1460" t="str">
            <v>ネコジェンヌ</v>
          </cell>
          <cell r="H1460" t="str">
            <v>yellow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1535</v>
          </cell>
          <cell r="B1461" t="str">
            <v>ja</v>
          </cell>
          <cell r="C1461" t="str">
            <v>ねこナース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technical</v>
          </cell>
          <cell r="L1461" t="str">
            <v>テクニカルタイプ</v>
          </cell>
          <cell r="M1461" t="str">
            <v>god</v>
          </cell>
        </row>
        <row r="1462">
          <cell r="A1462">
            <v>1536</v>
          </cell>
          <cell r="B1462" t="str">
            <v>ja</v>
          </cell>
          <cell r="C1462" t="str">
            <v>ハートフルねこナース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technical</v>
          </cell>
          <cell r="L1462" t="str">
            <v>テクニカルタイプ</v>
          </cell>
          <cell r="M1462" t="str">
            <v>god</v>
          </cell>
        </row>
        <row r="1463">
          <cell r="A1463">
            <v>1537</v>
          </cell>
          <cell r="B1463" t="str">
            <v>ja</v>
          </cell>
          <cell r="C1463" t="str">
            <v>キャットマンダディ</v>
          </cell>
          <cell r="H1463" t="str">
            <v>blue</v>
          </cell>
          <cell r="I1463">
            <v>5</v>
          </cell>
          <cell r="J1463" t="str">
            <v>PremiumSSS</v>
          </cell>
          <cell r="K1463" t="str">
            <v>attack</v>
          </cell>
          <cell r="L1463" t="str">
            <v>攻撃タイプ</v>
          </cell>
          <cell r="M1463" t="str">
            <v>unknown</v>
          </cell>
        </row>
        <row r="1464">
          <cell r="A1464">
            <v>1538</v>
          </cell>
          <cell r="B1464" t="str">
            <v>ja</v>
          </cell>
          <cell r="C1464" t="str">
            <v>キャットマンダーク</v>
          </cell>
          <cell r="H1464" t="str">
            <v>blue</v>
          </cell>
          <cell r="I1464">
            <v>6</v>
          </cell>
          <cell r="J1464" t="str">
            <v>PremiumSSS</v>
          </cell>
          <cell r="K1464" t="str">
            <v>attack</v>
          </cell>
          <cell r="L1464" t="str">
            <v>攻撃タイプ</v>
          </cell>
          <cell r="M1464" t="str">
            <v>unknown</v>
          </cell>
        </row>
        <row r="1465">
          <cell r="A1465">
            <v>1539</v>
          </cell>
          <cell r="B1465" t="str">
            <v>ja</v>
          </cell>
          <cell r="C1465" t="str">
            <v>雷神のサンディア</v>
          </cell>
          <cell r="H1465" t="str">
            <v>yellow</v>
          </cell>
          <cell r="I1465">
            <v>5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god</v>
          </cell>
        </row>
        <row r="1466">
          <cell r="A1466">
            <v>1540</v>
          </cell>
          <cell r="B1466" t="str">
            <v>ja</v>
          </cell>
          <cell r="C1466" t="str">
            <v>雷神のサンディアβ</v>
          </cell>
          <cell r="H1466" t="str">
            <v>yellow</v>
          </cell>
          <cell r="I1466">
            <v>6</v>
          </cell>
          <cell r="J1466" t="str">
            <v>PremiumSS</v>
          </cell>
          <cell r="K1466" t="str">
            <v>attack</v>
          </cell>
          <cell r="L1466" t="str">
            <v>攻撃タイプ</v>
          </cell>
          <cell r="M1466" t="str">
            <v>god</v>
          </cell>
        </row>
        <row r="1467">
          <cell r="A1467">
            <v>1541</v>
          </cell>
          <cell r="B1467" t="str">
            <v>ja</v>
          </cell>
          <cell r="C1467" t="str">
            <v>美女神アフロディーテ</v>
          </cell>
          <cell r="H1467" t="str">
            <v>red</v>
          </cell>
          <cell r="I1467">
            <v>5</v>
          </cell>
          <cell r="J1467" t="str">
            <v>PremiumSSS</v>
          </cell>
          <cell r="K1467" t="str">
            <v>technical</v>
          </cell>
          <cell r="L1467" t="str">
            <v>テクニカルタイプ</v>
          </cell>
          <cell r="M1467" t="str">
            <v>god</v>
          </cell>
        </row>
        <row r="1468">
          <cell r="A1468">
            <v>1542</v>
          </cell>
          <cell r="B1468" t="str">
            <v>ja</v>
          </cell>
          <cell r="C1468" t="str">
            <v>メガロディーテ</v>
          </cell>
          <cell r="H1468" t="str">
            <v>red</v>
          </cell>
          <cell r="I1468">
            <v>6</v>
          </cell>
          <cell r="J1468" t="str">
            <v>PremiumSSS</v>
          </cell>
          <cell r="K1468" t="str">
            <v>technical</v>
          </cell>
          <cell r="L1468" t="str">
            <v>テクニカルタイプ</v>
          </cell>
          <cell r="M1468" t="str">
            <v>god</v>
          </cell>
        </row>
        <row r="1469">
          <cell r="A1469">
            <v>1543</v>
          </cell>
          <cell r="B1469" t="str">
            <v>ja</v>
          </cell>
          <cell r="C1469" t="str">
            <v>ツルの恩返し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balance</v>
          </cell>
          <cell r="L1469" t="str">
            <v>バランスタイプ</v>
          </cell>
          <cell r="M1469" t="str">
            <v>hero</v>
          </cell>
        </row>
        <row r="1470">
          <cell r="A1470">
            <v>1544</v>
          </cell>
          <cell r="B1470" t="str">
            <v>ja</v>
          </cell>
          <cell r="C1470" t="str">
            <v>銀河戦士コスモ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balance</v>
          </cell>
          <cell r="L1470" t="str">
            <v>バランスタイプ</v>
          </cell>
          <cell r="M1470" t="str">
            <v>hero</v>
          </cell>
        </row>
        <row r="1471">
          <cell r="A1471">
            <v>1545</v>
          </cell>
          <cell r="B1471" t="str">
            <v>ja</v>
          </cell>
          <cell r="C1471" t="str">
            <v>ネコルガ</v>
          </cell>
          <cell r="H1471" t="str">
            <v>green</v>
          </cell>
          <cell r="I1471">
            <v>5</v>
          </cell>
          <cell r="J1471" t="str">
            <v>PremiumSS</v>
          </cell>
          <cell r="K1471" t="str">
            <v>hp</v>
          </cell>
          <cell r="L1471" t="str">
            <v>体力タイプ</v>
          </cell>
          <cell r="M1471" t="str">
            <v>unknown</v>
          </cell>
        </row>
        <row r="1472">
          <cell r="A1472">
            <v>1546</v>
          </cell>
          <cell r="B1472" t="str">
            <v>ja</v>
          </cell>
          <cell r="C1472" t="str">
            <v>ケサランパサラン</v>
          </cell>
          <cell r="H1472" t="str">
            <v>green</v>
          </cell>
          <cell r="I1472">
            <v>6</v>
          </cell>
          <cell r="J1472" t="str">
            <v>PremiumSS</v>
          </cell>
          <cell r="K1472" t="str">
            <v>hp</v>
          </cell>
          <cell r="L1472" t="str">
            <v>体力タイプ</v>
          </cell>
          <cell r="M1472" t="str">
            <v>unknown</v>
          </cell>
        </row>
        <row r="1473">
          <cell r="A1473">
            <v>1547</v>
          </cell>
          <cell r="B1473" t="str">
            <v>ja</v>
          </cell>
          <cell r="C1473" t="str">
            <v>ネコフラワー</v>
          </cell>
          <cell r="H1473" t="str">
            <v>green</v>
          </cell>
          <cell r="I1473">
            <v>4</v>
          </cell>
          <cell r="J1473" t="str">
            <v>Drop2N</v>
          </cell>
          <cell r="K1473" t="str">
            <v>hp</v>
          </cell>
          <cell r="L1473" t="str">
            <v>体力タイプ</v>
          </cell>
          <cell r="M1473" t="str">
            <v>animal</v>
          </cell>
        </row>
        <row r="1474">
          <cell r="A1474">
            <v>1548</v>
          </cell>
          <cell r="B1474" t="str">
            <v>ja</v>
          </cell>
          <cell r="C1474" t="str">
            <v>にゃんこ扇風</v>
          </cell>
          <cell r="H1474" t="str">
            <v>green</v>
          </cell>
          <cell r="I1474">
            <v>5</v>
          </cell>
          <cell r="J1474" t="str">
            <v>Drop2N</v>
          </cell>
          <cell r="K1474" t="str">
            <v>hp</v>
          </cell>
          <cell r="L1474" t="str">
            <v>体力タイプ</v>
          </cell>
          <cell r="M1474" t="str">
            <v>animal</v>
          </cell>
        </row>
        <row r="1475">
          <cell r="A1475">
            <v>1549</v>
          </cell>
          <cell r="B1475" t="str">
            <v>ja</v>
          </cell>
          <cell r="C1475" t="str">
            <v>ネコリンゴ</v>
          </cell>
          <cell r="H1475" t="str">
            <v>green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1550</v>
          </cell>
          <cell r="B1476" t="str">
            <v>ja</v>
          </cell>
          <cell r="C1476" t="str">
            <v>カオルくん</v>
          </cell>
          <cell r="H1476" t="str">
            <v>green</v>
          </cell>
          <cell r="I1476">
            <v>6</v>
          </cell>
          <cell r="J1476" t="str">
            <v>DropWizS</v>
          </cell>
          <cell r="K1476" t="str">
            <v>balance</v>
          </cell>
          <cell r="L1476" t="str">
            <v>バランスタイプ</v>
          </cell>
          <cell r="M1476" t="str">
            <v>unknown</v>
          </cell>
        </row>
        <row r="1477">
          <cell r="A1477">
            <v>5001</v>
          </cell>
          <cell r="B1477" t="str">
            <v>ja</v>
          </cell>
          <cell r="C1477" t="str">
            <v>ガルーダ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5</v>
          </cell>
          <cell r="J1477" t="str">
            <v>PremiumSSw</v>
          </cell>
          <cell r="K1477" t="str">
            <v>attack</v>
          </cell>
          <cell r="L1477" t="str">
            <v>攻撃タイプ</v>
          </cell>
          <cell r="M1477" t="str">
            <v>god</v>
          </cell>
        </row>
        <row r="1478">
          <cell r="A1478">
            <v>5002</v>
          </cell>
          <cell r="B1478" t="str">
            <v>ja</v>
          </cell>
          <cell r="C1478" t="str">
            <v>ガルーダ★６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6</v>
          </cell>
          <cell r="J1478" t="str">
            <v>PremiumSSw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5003</v>
          </cell>
          <cell r="B1479" t="str">
            <v>ja</v>
          </cell>
          <cell r="C1479" t="str">
            <v>ナーガ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5</v>
          </cell>
          <cell r="J1479" t="str">
            <v>DropWizS</v>
          </cell>
          <cell r="K1479" t="str">
            <v>technical</v>
          </cell>
          <cell r="L1479" t="str">
            <v>テクニカルタイプ</v>
          </cell>
          <cell r="M1479" t="str">
            <v>animal</v>
          </cell>
        </row>
        <row r="1480">
          <cell r="A1480">
            <v>5004</v>
          </cell>
          <cell r="B1480" t="str">
            <v>ja</v>
          </cell>
          <cell r="C1480" t="str">
            <v>ナーガ★６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green</v>
          </cell>
          <cell r="I1480">
            <v>6</v>
          </cell>
          <cell r="J1480" t="str">
            <v>DropWizS</v>
          </cell>
          <cell r="K1480" t="str">
            <v>technical</v>
          </cell>
          <cell r="L1480" t="str">
            <v>テクニカルタイプ</v>
          </cell>
          <cell r="M1480" t="str">
            <v>animal</v>
          </cell>
        </row>
        <row r="1481">
          <cell r="A1481">
            <v>5005</v>
          </cell>
          <cell r="B1481" t="str">
            <v>ja</v>
          </cell>
          <cell r="C1481" t="str">
            <v>カーミラ</v>
          </cell>
          <cell r="D1481" t="str">
            <v>ノーマルクエスト</v>
          </cell>
          <cell r="E1481" t="str">
            <v>QoH</v>
          </cell>
          <cell r="F1481" t="str">
            <v>世界観</v>
          </cell>
          <cell r="G1481" t="str">
            <v>不明</v>
          </cell>
          <cell r="H1481" t="str">
            <v>green</v>
          </cell>
          <cell r="I1481">
            <v>5</v>
          </cell>
          <cell r="J1481" t="str">
            <v>PremiumSSw</v>
          </cell>
          <cell r="K1481" t="str">
            <v>balance</v>
          </cell>
          <cell r="L1481" t="str">
            <v>バランスタイプ</v>
          </cell>
          <cell r="M1481" t="str">
            <v>demon</v>
          </cell>
        </row>
        <row r="1482">
          <cell r="A1482">
            <v>5006</v>
          </cell>
          <cell r="B1482" t="str">
            <v>ja</v>
          </cell>
          <cell r="C1482" t="str">
            <v>カーミラ★６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男性</v>
          </cell>
          <cell r="H1482" t="str">
            <v>green</v>
          </cell>
          <cell r="I1482">
            <v>6</v>
          </cell>
          <cell r="J1482" t="str">
            <v>PremiumSSw</v>
          </cell>
          <cell r="K1482" t="str">
            <v>balance</v>
          </cell>
          <cell r="L1482" t="str">
            <v>バランスタイプ</v>
          </cell>
          <cell r="M1482" t="str">
            <v>demon</v>
          </cell>
        </row>
        <row r="1483">
          <cell r="A1483">
            <v>5007</v>
          </cell>
          <cell r="B1483" t="str">
            <v>ja</v>
          </cell>
          <cell r="C1483" t="str">
            <v>ヘルシング</v>
          </cell>
          <cell r="D1483" t="str">
            <v>リンクガチャ:4神</v>
          </cell>
          <cell r="E1483" t="str">
            <v>守護神</v>
          </cell>
          <cell r="F1483" t="str">
            <v>格好いい</v>
          </cell>
          <cell r="G1483" t="str">
            <v>不明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technical</v>
          </cell>
          <cell r="L1483" t="str">
            <v>テクニカルタイプ</v>
          </cell>
          <cell r="M1483" t="str">
            <v>human</v>
          </cell>
        </row>
        <row r="1484">
          <cell r="A1484">
            <v>5008</v>
          </cell>
          <cell r="B1484" t="str">
            <v>ja</v>
          </cell>
          <cell r="C1484" t="str">
            <v>ヘルシング★６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不明</v>
          </cell>
          <cell r="H1484" t="str">
            <v>yellow</v>
          </cell>
          <cell r="I1484">
            <v>6</v>
          </cell>
          <cell r="J1484" t="str">
            <v>DropWizS</v>
          </cell>
          <cell r="K1484" t="str">
            <v>technical</v>
          </cell>
          <cell r="L1484" t="str">
            <v>テクニカルタイプ</v>
          </cell>
          <cell r="M1484" t="str">
            <v>human</v>
          </cell>
        </row>
        <row r="1485">
          <cell r="A1485">
            <v>6001</v>
          </cell>
          <cell r="B1485" t="str">
            <v>ja</v>
          </cell>
          <cell r="C1485" t="str">
            <v>ジェリー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1</v>
          </cell>
          <cell r="J1485" t="str">
            <v>Drop1T</v>
          </cell>
          <cell r="K1485" t="str">
            <v>ra</v>
          </cell>
          <cell r="L1485" t="str">
            <v>ラグランジュチャレンジ</v>
          </cell>
          <cell r="M1485" t="str">
            <v>unknown</v>
          </cell>
        </row>
        <row r="1486">
          <cell r="A1486">
            <v>6002</v>
          </cell>
          <cell r="B1486" t="str">
            <v>ja</v>
          </cell>
          <cell r="C1486" t="str">
            <v>ヨシタカ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2</v>
          </cell>
          <cell r="J1486" t="str">
            <v>Drop1N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6003</v>
          </cell>
          <cell r="B1487" t="str">
            <v>ja</v>
          </cell>
          <cell r="C1487" t="str">
            <v>朱雀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red</v>
          </cell>
          <cell r="I1487">
            <v>3</v>
          </cell>
          <cell r="J1487" t="str">
            <v>Drop2N</v>
          </cell>
          <cell r="K1487" t="str">
            <v>ra</v>
          </cell>
          <cell r="L1487" t="str">
            <v>ラグランジュチャレンジ</v>
          </cell>
          <cell r="M1487" t="str">
            <v>animal</v>
          </cell>
        </row>
        <row r="1488">
          <cell r="A1488">
            <v>6004</v>
          </cell>
          <cell r="B1488" t="str">
            <v>ja</v>
          </cell>
          <cell r="C1488" t="str">
            <v>ブレット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red</v>
          </cell>
          <cell r="I1488">
            <v>1</v>
          </cell>
          <cell r="J1488" t="str">
            <v>Drop1W</v>
          </cell>
          <cell r="K1488" t="str">
            <v>ra</v>
          </cell>
          <cell r="L1488" t="str">
            <v>ラグランジュチャレンジ</v>
          </cell>
          <cell r="M1488" t="str">
            <v>animal</v>
          </cell>
        </row>
        <row r="1489">
          <cell r="A1489">
            <v>6005</v>
          </cell>
          <cell r="B1489" t="str">
            <v>ja</v>
          </cell>
          <cell r="C1489" t="str">
            <v>孤神 テティス</v>
          </cell>
          <cell r="D1489" t="str">
            <v>初期ガチャ</v>
          </cell>
          <cell r="E1489" t="str">
            <v>管理者</v>
          </cell>
          <cell r="F1489" t="str">
            <v>美しい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PremiumN</v>
          </cell>
          <cell r="K1489" t="str">
            <v>ra</v>
          </cell>
          <cell r="L1489" t="str">
            <v>ラグランジュチャレンジ</v>
          </cell>
          <cell r="M1489" t="str">
            <v>god</v>
          </cell>
        </row>
        <row r="1490">
          <cell r="A1490">
            <v>6006</v>
          </cell>
          <cell r="B1490" t="str">
            <v>ja</v>
          </cell>
          <cell r="C1490" t="str">
            <v>海底の孤高神 テティス</v>
          </cell>
          <cell r="D1490" t="str">
            <v>初期ガチャ</v>
          </cell>
          <cell r="E1490" t="str">
            <v>管理者</v>
          </cell>
          <cell r="F1490" t="str">
            <v>美しい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PremiumN</v>
          </cell>
          <cell r="K1490" t="str">
            <v>ra</v>
          </cell>
          <cell r="L1490" t="str">
            <v>ラグランジュチャレンジ</v>
          </cell>
          <cell r="M1490" t="str">
            <v>god</v>
          </cell>
        </row>
        <row r="1491">
          <cell r="A1491">
            <v>6007</v>
          </cell>
          <cell r="B1491" t="str">
            <v>ja</v>
          </cell>
          <cell r="C1491" t="str">
            <v>番犬 ケルベロス</v>
          </cell>
          <cell r="D1491" t="str">
            <v>初期ガチャ</v>
          </cell>
          <cell r="E1491" t="str">
            <v>破界者</v>
          </cell>
          <cell r="F1491" t="str">
            <v>可愛い</v>
          </cell>
          <cell r="G1491" t="str">
            <v>女性</v>
          </cell>
          <cell r="H1491" t="str">
            <v>red</v>
          </cell>
          <cell r="I1491">
            <v>4</v>
          </cell>
          <cell r="J1491" t="str">
            <v>PremiumN</v>
          </cell>
          <cell r="K1491" t="str">
            <v>ra</v>
          </cell>
          <cell r="L1491" t="str">
            <v>ラグランジュチャレンジ</v>
          </cell>
          <cell r="M1491" t="str">
            <v>animal</v>
          </cell>
        </row>
        <row r="1492">
          <cell r="A1492">
            <v>6008</v>
          </cell>
          <cell r="B1492" t="str">
            <v>ja</v>
          </cell>
          <cell r="C1492" t="str">
            <v>焔神 プロメテウス</v>
          </cell>
          <cell r="D1492" t="str">
            <v>初期ガチャ</v>
          </cell>
          <cell r="E1492" t="str">
            <v>管理者</v>
          </cell>
          <cell r="F1492" t="str">
            <v>格好いい</v>
          </cell>
          <cell r="G1492" t="str">
            <v>男性</v>
          </cell>
          <cell r="H1492" t="str">
            <v>red</v>
          </cell>
          <cell r="I1492">
            <v>4</v>
          </cell>
          <cell r="J1492" t="str">
            <v>PremiumN</v>
          </cell>
          <cell r="K1492" t="str">
            <v>ra</v>
          </cell>
          <cell r="L1492" t="str">
            <v>ラグランジュチャレンジ</v>
          </cell>
          <cell r="M1492" t="str">
            <v>god</v>
          </cell>
        </row>
        <row r="1493">
          <cell r="A1493">
            <v>6009</v>
          </cell>
          <cell r="B1493" t="str">
            <v>ja</v>
          </cell>
          <cell r="C1493" t="str">
            <v>超越自我 ラグランジュ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ra</v>
          </cell>
          <cell r="L1493" t="str">
            <v>ラグランジュチャレンジ</v>
          </cell>
          <cell r="M1493" t="str">
            <v>human</v>
          </cell>
        </row>
        <row r="1494">
          <cell r="A1494">
            <v>6010</v>
          </cell>
          <cell r="B1494" t="str">
            <v>ja</v>
          </cell>
          <cell r="C1494" t="str">
            <v>超越凌駕 ラグランジュ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6011</v>
          </cell>
          <cell r="B1495" t="str">
            <v>ja</v>
          </cell>
          <cell r="C1495" t="str">
            <v>パトドッグリーダー ポチ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blue</v>
          </cell>
          <cell r="I1495">
            <v>2</v>
          </cell>
          <cell r="J1495" t="str">
            <v>Drop1T</v>
          </cell>
          <cell r="K1495" t="str">
            <v>ra002</v>
          </cell>
          <cell r="L1495" t="str">
            <v>ユークリッドチャレンジ</v>
          </cell>
          <cell r="M1495" t="str">
            <v>unknown</v>
          </cell>
        </row>
        <row r="1496">
          <cell r="A1496">
            <v>6012</v>
          </cell>
          <cell r="B1496" t="str">
            <v>ja</v>
          </cell>
          <cell r="C1496" t="str">
            <v>ミミ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yellow</v>
          </cell>
          <cell r="I1496">
            <v>1</v>
          </cell>
          <cell r="J1496" t="str">
            <v>Drop1W</v>
          </cell>
          <cell r="K1496" t="str">
            <v>ra002</v>
          </cell>
          <cell r="L1496" t="str">
            <v>ユークリッドチャレンジ</v>
          </cell>
          <cell r="M1496" t="str">
            <v>animal</v>
          </cell>
        </row>
        <row r="1497">
          <cell r="A1497">
            <v>6013</v>
          </cell>
          <cell r="B1497" t="str">
            <v>ja</v>
          </cell>
          <cell r="C1497" t="str">
            <v>護衛機人 スケアクロウ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2</v>
          </cell>
          <cell r="J1497" t="str">
            <v>Drop1N</v>
          </cell>
          <cell r="K1497" t="str">
            <v>ra002</v>
          </cell>
          <cell r="L1497" t="str">
            <v>ユークリッドチャレンジ</v>
          </cell>
          <cell r="M1497" t="str">
            <v>machine</v>
          </cell>
        </row>
        <row r="1498">
          <cell r="A1498">
            <v>6014</v>
          </cell>
          <cell r="B1498" t="str">
            <v>ja</v>
          </cell>
          <cell r="C1498" t="str">
            <v>月下の人狼 ローレンス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blue</v>
          </cell>
          <cell r="I1498">
            <v>4</v>
          </cell>
          <cell r="J1498" t="str">
            <v>PremiumW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</row>
        <row r="1499">
          <cell r="A1499">
            <v>6015</v>
          </cell>
          <cell r="B1499" t="str">
            <v>ja</v>
          </cell>
          <cell r="C1499" t="str">
            <v>フレイヤ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blue</v>
          </cell>
          <cell r="I1499">
            <v>4</v>
          </cell>
          <cell r="J1499" t="str">
            <v>PremiumSS</v>
          </cell>
          <cell r="K1499" t="str">
            <v>ra002</v>
          </cell>
          <cell r="L1499" t="str">
            <v>ユークリッドチャレンジ</v>
          </cell>
          <cell r="M1499" t="str">
            <v>animal</v>
          </cell>
        </row>
        <row r="1500">
          <cell r="A1500">
            <v>6016</v>
          </cell>
          <cell r="B1500" t="str">
            <v>ja</v>
          </cell>
          <cell r="C1500" t="str">
            <v>根原論理 ユークリッド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5</v>
          </cell>
          <cell r="J1500" t="str">
            <v>PremiumSSS</v>
          </cell>
          <cell r="K1500" t="str">
            <v>ra002</v>
          </cell>
          <cell r="L1500" t="str">
            <v>ユークリッドチャレンジ</v>
          </cell>
          <cell r="M1500" t="str">
            <v>human</v>
          </cell>
        </row>
        <row r="1501">
          <cell r="A1501">
            <v>6017</v>
          </cell>
          <cell r="B1501" t="str">
            <v>ja</v>
          </cell>
          <cell r="C1501" t="str">
            <v>不朽の極論 ユークリッド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blue</v>
          </cell>
          <cell r="I1501">
            <v>6</v>
          </cell>
          <cell r="J1501" t="str">
            <v>PremiumSSS</v>
          </cell>
          <cell r="K1501" t="str">
            <v>ra002</v>
          </cell>
          <cell r="L1501" t="str">
            <v>ユークリッドチャレンジ</v>
          </cell>
          <cell r="M1501" t="str">
            <v>human</v>
          </cell>
        </row>
        <row r="1502">
          <cell r="A1502">
            <v>6018</v>
          </cell>
          <cell r="B1502" t="str">
            <v>ja</v>
          </cell>
          <cell r="C1502" t="str">
            <v>ハヅル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男性</v>
          </cell>
          <cell r="H1502" t="str">
            <v>red</v>
          </cell>
          <cell r="I1502">
            <v>4</v>
          </cell>
          <cell r="J1502" t="str">
            <v>PremiumSS</v>
          </cell>
          <cell r="K1502" t="str">
            <v>ra002</v>
          </cell>
          <cell r="L1502" t="str">
            <v>ユークリッドチャレンジ</v>
          </cell>
          <cell r="M1502" t="str">
            <v>animal</v>
          </cell>
        </row>
        <row r="1503">
          <cell r="A1503">
            <v>6019</v>
          </cell>
          <cell r="B1503" t="str">
            <v>ja</v>
          </cell>
          <cell r="C1503" t="str">
            <v>天織羽鶴 ハヅル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red</v>
          </cell>
          <cell r="I1503">
            <v>5</v>
          </cell>
          <cell r="J1503" t="str">
            <v>PremiumSS</v>
          </cell>
          <cell r="K1503" t="str">
            <v>ra002</v>
          </cell>
          <cell r="L1503" t="str">
            <v>ユークリッドチャレンジ</v>
          </cell>
          <cell r="M1503" t="str">
            <v>animal</v>
          </cell>
        </row>
        <row r="1504">
          <cell r="A1504">
            <v>6020</v>
          </cell>
          <cell r="B1504" t="str">
            <v>ja</v>
          </cell>
          <cell r="C1504" t="str">
            <v>ミズチ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blue</v>
          </cell>
          <cell r="I1504">
            <v>4</v>
          </cell>
          <cell r="J1504" t="str">
            <v>PremiumS</v>
          </cell>
          <cell r="K1504" t="str">
            <v>ra002</v>
          </cell>
          <cell r="L1504" t="str">
            <v>ユークリッドチャレンジ</v>
          </cell>
          <cell r="M1504" t="str">
            <v>dragon</v>
          </cell>
        </row>
        <row r="1505">
          <cell r="A1505">
            <v>8001</v>
          </cell>
          <cell r="B1505" t="str">
            <v>ja</v>
          </cell>
          <cell r="C1505" t="str">
            <v>媽祖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8002</v>
          </cell>
          <cell r="B1506" t="str">
            <v>ja</v>
          </cell>
          <cell r="C1506" t="str">
            <v>宣導する天海妃 媽祖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8003</v>
          </cell>
          <cell r="B1507" t="str">
            <v>ja</v>
          </cell>
          <cell r="C1507" t="str">
            <v>蛟龍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不明</v>
          </cell>
          <cell r="H1507" t="str">
            <v>blue</v>
          </cell>
          <cell r="I1507">
            <v>5</v>
          </cell>
          <cell r="J1507" t="str">
            <v>DropWizS</v>
          </cell>
          <cell r="K1507" t="str">
            <v>hp</v>
          </cell>
          <cell r="L1507" t="str">
            <v>体力タイプ</v>
          </cell>
          <cell r="M1507" t="str">
            <v>dragon</v>
          </cell>
        </row>
        <row r="1508">
          <cell r="A1508">
            <v>8004</v>
          </cell>
          <cell r="B1508" t="str">
            <v>ja</v>
          </cell>
          <cell r="C1508" t="str">
            <v>呼嵐の蒼棲龍 蛟龍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不明</v>
          </cell>
          <cell r="H1508" t="str">
            <v>blue</v>
          </cell>
          <cell r="I1508">
            <v>6</v>
          </cell>
          <cell r="J1508" t="str">
            <v>DropWizS</v>
          </cell>
          <cell r="K1508" t="str">
            <v>hp</v>
          </cell>
          <cell r="L1508" t="str">
            <v>体力タイプ</v>
          </cell>
          <cell r="M1508" t="str">
            <v>dragon</v>
          </cell>
        </row>
        <row r="1509">
          <cell r="A1509">
            <v>8005</v>
          </cell>
          <cell r="B1509" t="str">
            <v>ja</v>
          </cell>
          <cell r="C1509" t="str">
            <v>三蔵法師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blue</v>
          </cell>
          <cell r="I1509">
            <v>5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8006</v>
          </cell>
          <cell r="B1510" t="str">
            <v>ja</v>
          </cell>
          <cell r="C1510" t="str">
            <v>慈戒の呪封使 三蔵法師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blue</v>
          </cell>
          <cell r="I1510">
            <v>6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8007</v>
          </cell>
          <cell r="B1511" t="str">
            <v>ja</v>
          </cell>
          <cell r="C1511" t="str">
            <v>孫悟空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5</v>
          </cell>
          <cell r="J1511" t="str">
            <v>DropWizS</v>
          </cell>
          <cell r="K1511" t="str">
            <v>attack</v>
          </cell>
          <cell r="L1511" t="str">
            <v>攻撃タイプ</v>
          </cell>
          <cell r="M1511" t="str">
            <v>animal</v>
          </cell>
        </row>
        <row r="1512">
          <cell r="A1512">
            <v>8008</v>
          </cell>
          <cell r="B1512" t="str">
            <v>ja</v>
          </cell>
          <cell r="C1512" t="str">
            <v>花果の天猿仙人 孫悟空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不明</v>
          </cell>
          <cell r="H1512" t="str">
            <v>red</v>
          </cell>
          <cell r="I1512">
            <v>6</v>
          </cell>
          <cell r="J1512" t="str">
            <v>DropWizS</v>
          </cell>
          <cell r="K1512" t="str">
            <v>attack</v>
          </cell>
          <cell r="L1512" t="str">
            <v>攻撃タイプ</v>
          </cell>
          <cell r="M1512" t="str">
            <v>animal</v>
          </cell>
        </row>
        <row r="1513">
          <cell r="A1513">
            <v>8009</v>
          </cell>
          <cell r="B1513" t="str">
            <v>ja</v>
          </cell>
          <cell r="C1513" t="str">
            <v>西王娘娘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不明</v>
          </cell>
          <cell r="H1513" t="str">
            <v>green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8010</v>
          </cell>
          <cell r="B1514" t="str">
            <v>ja</v>
          </cell>
          <cell r="C1514" t="str">
            <v>極楽瑶池の聖母 西王娘娘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不明</v>
          </cell>
          <cell r="H1514" t="str">
            <v>green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8011</v>
          </cell>
          <cell r="B1515" t="str">
            <v>ja</v>
          </cell>
          <cell r="C1515" t="str">
            <v>月下老人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god</v>
          </cell>
        </row>
        <row r="1516">
          <cell r="A1516">
            <v>8012</v>
          </cell>
          <cell r="B1516" t="str">
            <v>ja</v>
          </cell>
          <cell r="C1516" t="str">
            <v>破戀斬る縁剣 月下老人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god</v>
          </cell>
        </row>
        <row r="1517">
          <cell r="A1517">
            <v>8013</v>
          </cell>
          <cell r="B1517" t="str">
            <v>ja</v>
          </cell>
          <cell r="C1517" t="str">
            <v>初音ミクV3</v>
          </cell>
          <cell r="D1517" t="str">
            <v>初音ミクV3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unknown</v>
          </cell>
        </row>
        <row r="1518">
          <cell r="A1518">
            <v>8014</v>
          </cell>
          <cell r="B1518" t="str">
            <v>ja</v>
          </cell>
          <cell r="C1518" t="str">
            <v>初音ミクV3</v>
          </cell>
          <cell r="D1518" t="str">
            <v>初音ミクV3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unknown</v>
          </cell>
        </row>
        <row r="1519">
          <cell r="A1519">
            <v>8015</v>
          </cell>
          <cell r="B1519" t="str">
            <v>ja</v>
          </cell>
          <cell r="C1519" t="str">
            <v>初音ミク・アペンド</v>
          </cell>
          <cell r="D1519" t="str">
            <v>初音ミク・アペンド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PremiumSSS</v>
          </cell>
          <cell r="K1519" t="str">
            <v>technical</v>
          </cell>
          <cell r="L1519" t="str">
            <v>テクニカルタイプ</v>
          </cell>
          <cell r="M1519" t="str">
            <v>unknown</v>
          </cell>
        </row>
        <row r="1520">
          <cell r="A1520">
            <v>8016</v>
          </cell>
          <cell r="B1520" t="str">
            <v>ja</v>
          </cell>
          <cell r="C1520" t="str">
            <v>初音ミク・アペンド</v>
          </cell>
          <cell r="D1520" t="str">
            <v>初音ミク・アペンド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PremiumSSS</v>
          </cell>
          <cell r="K1520" t="str">
            <v>technical</v>
          </cell>
          <cell r="L1520" t="str">
            <v>テクニカルタイプ</v>
          </cell>
          <cell r="M1520" t="str">
            <v>unknown</v>
          </cell>
        </row>
        <row r="1521">
          <cell r="A1521">
            <v>8017</v>
          </cell>
          <cell r="B1521" t="str">
            <v>ja</v>
          </cell>
          <cell r="C1521" t="str">
            <v>初音ミク</v>
          </cell>
          <cell r="D1521" t="str">
            <v>初音ミク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4</v>
          </cell>
          <cell r="J1521" t="str">
            <v>PremiumSSS</v>
          </cell>
          <cell r="K1521" t="str">
            <v>balance</v>
          </cell>
          <cell r="L1521" t="str">
            <v>バランスタイプ</v>
          </cell>
          <cell r="M1521" t="str">
            <v>unknown</v>
          </cell>
        </row>
        <row r="1522">
          <cell r="A1522">
            <v>8018</v>
          </cell>
          <cell r="B1522" t="str">
            <v>ja</v>
          </cell>
          <cell r="C1522" t="str">
            <v>初音ミク</v>
          </cell>
          <cell r="D1522" t="str">
            <v>初音ミク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5</v>
          </cell>
          <cell r="J1522" t="str">
            <v>PremiumSSS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8019</v>
          </cell>
          <cell r="B1523" t="str">
            <v>ja</v>
          </cell>
          <cell r="C1523" t="str">
            <v>鏡音リン</v>
          </cell>
          <cell r="D1523" t="str">
            <v>鏡音リン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yellow</v>
          </cell>
          <cell r="I1523">
            <v>4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8020</v>
          </cell>
          <cell r="B1524" t="str">
            <v>ja</v>
          </cell>
          <cell r="C1524" t="str">
            <v>鏡音リン</v>
          </cell>
          <cell r="D1524" t="str">
            <v>鏡音リン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yellow</v>
          </cell>
          <cell r="I1524">
            <v>5</v>
          </cell>
          <cell r="J1524" t="str">
            <v>PremiumSS</v>
          </cell>
          <cell r="K1524" t="str">
            <v>balance</v>
          </cell>
          <cell r="L1524" t="str">
            <v>バランスタイプ</v>
          </cell>
          <cell r="M1524" t="str">
            <v>unknown</v>
          </cell>
        </row>
        <row r="1525">
          <cell r="A1525">
            <v>8021</v>
          </cell>
          <cell r="B1525" t="str">
            <v>ja</v>
          </cell>
          <cell r="C1525" t="str">
            <v>鏡音レン</v>
          </cell>
          <cell r="D1525" t="str">
            <v>鏡音レン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8022</v>
          </cell>
          <cell r="B1526" t="str">
            <v>ja</v>
          </cell>
          <cell r="C1526" t="str">
            <v>鏡音レン</v>
          </cell>
          <cell r="D1526" t="str">
            <v>鏡音レン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8023</v>
          </cell>
          <cell r="B1527" t="str">
            <v>ja</v>
          </cell>
          <cell r="C1527" t="str">
            <v>巡音ルカ</v>
          </cell>
          <cell r="D1527" t="str">
            <v>巡音ルカ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unknown</v>
          </cell>
        </row>
        <row r="1528">
          <cell r="A1528">
            <v>8024</v>
          </cell>
          <cell r="B1528" t="str">
            <v>ja</v>
          </cell>
          <cell r="C1528" t="str">
            <v>巡音ルカ</v>
          </cell>
          <cell r="D1528" t="str">
            <v>巡音ルカ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unknown</v>
          </cell>
        </row>
        <row r="1529">
          <cell r="A1529">
            <v>8025</v>
          </cell>
          <cell r="B1529" t="str">
            <v>ja</v>
          </cell>
          <cell r="C1529" t="str">
            <v>MEIKO</v>
          </cell>
          <cell r="D1529" t="str">
            <v>MEIKO</v>
          </cell>
          <cell r="E1529" t="str">
            <v>執行者</v>
          </cell>
          <cell r="F1529" t="str">
            <v>格好いい</v>
          </cell>
          <cell r="G1529" t="str">
            <v>男性</v>
          </cell>
          <cell r="H1529" t="str">
            <v>red</v>
          </cell>
          <cell r="I1529">
            <v>3</v>
          </cell>
          <cell r="J1529" t="str">
            <v>PremiumS</v>
          </cell>
          <cell r="K1529" t="str">
            <v>hp</v>
          </cell>
          <cell r="L1529" t="str">
            <v>体力タイプ</v>
          </cell>
          <cell r="M1529" t="str">
            <v>unknown</v>
          </cell>
        </row>
        <row r="1530">
          <cell r="A1530">
            <v>8026</v>
          </cell>
          <cell r="B1530" t="str">
            <v>ja</v>
          </cell>
          <cell r="C1530" t="str">
            <v>MEIKO</v>
          </cell>
          <cell r="D1530" t="str">
            <v>MEIKO</v>
          </cell>
          <cell r="E1530" t="str">
            <v>執行者</v>
          </cell>
          <cell r="F1530" t="str">
            <v>格好いい</v>
          </cell>
          <cell r="G1530" t="str">
            <v>男性</v>
          </cell>
          <cell r="H1530" t="str">
            <v>red</v>
          </cell>
          <cell r="I1530">
            <v>4</v>
          </cell>
          <cell r="J1530" t="str">
            <v>PremiumS</v>
          </cell>
          <cell r="K1530" t="str">
            <v>hp</v>
          </cell>
          <cell r="L1530" t="str">
            <v>体力タイプ</v>
          </cell>
          <cell r="M1530" t="str">
            <v>unknown</v>
          </cell>
        </row>
        <row r="1531">
          <cell r="A1531">
            <v>8027</v>
          </cell>
          <cell r="B1531" t="str">
            <v>ja</v>
          </cell>
          <cell r="C1531" t="str">
            <v>KAITO</v>
          </cell>
          <cell r="D1531" t="str">
            <v>KAITO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3</v>
          </cell>
          <cell r="J1531" t="str">
            <v>PremiumS</v>
          </cell>
          <cell r="K1531" t="str">
            <v>technical</v>
          </cell>
          <cell r="L1531" t="str">
            <v>テクニカルタイプ</v>
          </cell>
          <cell r="M1531" t="str">
            <v>unknown</v>
          </cell>
        </row>
        <row r="1532">
          <cell r="A1532">
            <v>8028</v>
          </cell>
          <cell r="B1532" t="str">
            <v>ja</v>
          </cell>
          <cell r="C1532" t="str">
            <v>KAITO</v>
          </cell>
          <cell r="D1532" t="str">
            <v>KAITO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4</v>
          </cell>
          <cell r="J1532" t="str">
            <v>PremiumS</v>
          </cell>
          <cell r="K1532" t="str">
            <v>technical</v>
          </cell>
          <cell r="L1532" t="str">
            <v>テクニカルタイプ</v>
          </cell>
          <cell r="M1532" t="str">
            <v>unknown</v>
          </cell>
        </row>
        <row r="1533">
          <cell r="A1533">
            <v>8029</v>
          </cell>
          <cell r="B1533" t="str">
            <v>ja</v>
          </cell>
          <cell r="C1533" t="str">
            <v>Expoミク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4</v>
          </cell>
          <cell r="J1533" t="str">
            <v>Drop2N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8030</v>
          </cell>
          <cell r="B1534" t="str">
            <v>ja</v>
          </cell>
          <cell r="C1534" t="str">
            <v>Expoミク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5</v>
          </cell>
          <cell r="J1534" t="str">
            <v>Drop2N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8031</v>
          </cell>
          <cell r="B1535" t="str">
            <v>ja</v>
          </cell>
          <cell r="C1535" t="str">
            <v>閻羅王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5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8032</v>
          </cell>
          <cell r="B1536" t="str">
            <v>ja</v>
          </cell>
          <cell r="C1536" t="str">
            <v>六道輪廻の絶獄 閻羅王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8033</v>
          </cell>
          <cell r="B1537" t="str">
            <v>ja</v>
          </cell>
          <cell r="C1537" t="str">
            <v>牛頭馬面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green</v>
          </cell>
          <cell r="I1537">
            <v>5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8034</v>
          </cell>
          <cell r="B1538" t="str">
            <v>ja</v>
          </cell>
          <cell r="C1538" t="str">
            <v>冥府狩る魂使 牛頭馬面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green</v>
          </cell>
          <cell r="I1538">
            <v>6</v>
          </cell>
          <cell r="J1538" t="str">
            <v>DropWizS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8035</v>
          </cell>
          <cell r="B1539" t="str">
            <v>ja</v>
          </cell>
          <cell r="C1539" t="str">
            <v>飛衛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5</v>
          </cell>
          <cell r="J1539" t="str">
            <v>PremiumSS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8036</v>
          </cell>
          <cell r="B1540" t="str">
            <v>ja</v>
          </cell>
          <cell r="C1540" t="str">
            <v>レア６飛衛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6</v>
          </cell>
          <cell r="J1540" t="str">
            <v>PremiumSS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8037</v>
          </cell>
          <cell r="B1541" t="str">
            <v>ja</v>
          </cell>
          <cell r="C1541" t="str">
            <v>紀昌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DropWizS</v>
          </cell>
          <cell r="K1541" t="str">
            <v>attack</v>
          </cell>
          <cell r="L1541" t="str">
            <v>攻撃タイプ</v>
          </cell>
          <cell r="M1541" t="str">
            <v>human</v>
          </cell>
        </row>
        <row r="1542">
          <cell r="A1542">
            <v>8038</v>
          </cell>
          <cell r="B1542" t="str">
            <v>ja</v>
          </cell>
          <cell r="C1542" t="str">
            <v>レア６紀昌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6</v>
          </cell>
          <cell r="J1542" t="str">
            <v>DropWizS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8039</v>
          </cell>
          <cell r="B1543" t="str">
            <v>ja</v>
          </cell>
          <cell r="C1543" t="str">
            <v>何仙姑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yellow</v>
          </cell>
          <cell r="I1543">
            <v>5</v>
          </cell>
          <cell r="J1543" t="str">
            <v>PremiumSSw</v>
          </cell>
          <cell r="K1543" t="str">
            <v>hp</v>
          </cell>
          <cell r="L1543" t="str">
            <v>体力タイプ</v>
          </cell>
          <cell r="M1543" t="str">
            <v>god</v>
          </cell>
        </row>
        <row r="1544">
          <cell r="A1544">
            <v>8040</v>
          </cell>
          <cell r="B1544" t="str">
            <v>ja</v>
          </cell>
          <cell r="C1544" t="str">
            <v>レア６何仙姑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yellow</v>
          </cell>
          <cell r="I1544">
            <v>6</v>
          </cell>
          <cell r="J1544" t="str">
            <v>PremiumSSw</v>
          </cell>
          <cell r="K1544" t="str">
            <v>hp</v>
          </cell>
          <cell r="L1544" t="str">
            <v>体力タイプ</v>
          </cell>
          <cell r="M1544" t="str">
            <v>god</v>
          </cell>
        </row>
        <row r="1545">
          <cell r="A1545">
            <v>8041</v>
          </cell>
          <cell r="B1545" t="str">
            <v>ja</v>
          </cell>
          <cell r="C1545" t="str">
            <v>藍采和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blue</v>
          </cell>
          <cell r="I1545">
            <v>5</v>
          </cell>
          <cell r="J1545" t="str">
            <v>DropWizS</v>
          </cell>
          <cell r="K1545" t="str">
            <v>balance</v>
          </cell>
          <cell r="L1545" t="str">
            <v>バランスタイプ</v>
          </cell>
          <cell r="M1545" t="str">
            <v>god</v>
          </cell>
        </row>
        <row r="1546">
          <cell r="A1546">
            <v>8042</v>
          </cell>
          <cell r="B1546" t="str">
            <v>ja</v>
          </cell>
          <cell r="C1546" t="str">
            <v>レア６藍采和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6</v>
          </cell>
          <cell r="J1546" t="str">
            <v>DropWizS</v>
          </cell>
          <cell r="K1546" t="str">
            <v>balance</v>
          </cell>
          <cell r="L1546" t="str">
            <v>バランスタイプ</v>
          </cell>
          <cell r="M1546" t="str">
            <v>god</v>
          </cell>
        </row>
        <row r="1547">
          <cell r="A1547">
            <v>8043</v>
          </cell>
          <cell r="B1547" t="str">
            <v>ja</v>
          </cell>
          <cell r="C1547" t="str">
            <v>サンリオキャラ大集合+アザゼル</v>
          </cell>
          <cell r="D1547" t="str">
            <v>サンリオキャラ大集合+アザゼル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ss</v>
          </cell>
        </row>
        <row r="1548">
          <cell r="A1548">
            <v>8044</v>
          </cell>
          <cell r="B1548" t="str">
            <v>ja</v>
          </cell>
          <cell r="C1548" t="str">
            <v>サンリオキャラ大集合+アザゼル</v>
          </cell>
          <cell r="D1548" t="str">
            <v>サンリオキャラ大集合+アザゼル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ss</v>
          </cell>
        </row>
        <row r="1549">
          <cell r="A1549">
            <v>8045</v>
          </cell>
          <cell r="B1549" t="str">
            <v>ja</v>
          </cell>
          <cell r="C1549" t="str">
            <v>ニムダ_サンリオキャラ混じり</v>
          </cell>
          <cell r="D1549" t="str">
            <v>ニムダ_サンリオキャラ混じり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Drop2N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8046</v>
          </cell>
          <cell r="B1550" t="str">
            <v>ja</v>
          </cell>
          <cell r="C1550" t="str">
            <v>ニムダ_サンリオキャラ混じり</v>
          </cell>
          <cell r="D1550" t="str">
            <v>ニムダ_サンリオキャラ混じり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Drop2N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8047</v>
          </cell>
          <cell r="B1551" t="str">
            <v>ja</v>
          </cell>
          <cell r="C1551" t="str">
            <v>ハローキティ</v>
          </cell>
          <cell r="D1551" t="str">
            <v>ハローキティ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Drop2N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8048</v>
          </cell>
          <cell r="B1552" t="str">
            <v>ja</v>
          </cell>
          <cell r="C1552" t="str">
            <v>ハローキティ</v>
          </cell>
          <cell r="D1552" t="str">
            <v>ハローキティ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Drop2N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8049</v>
          </cell>
          <cell r="B1553" t="str">
            <v>ja</v>
          </cell>
          <cell r="C1553" t="str">
            <v>KIRIMIちゃん</v>
          </cell>
          <cell r="D1553" t="str">
            <v>KIRIMIちゃん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4</v>
          </cell>
          <cell r="J1553" t="str">
            <v>Drop2N</v>
          </cell>
          <cell r="K1553" t="str">
            <v>hp</v>
          </cell>
          <cell r="L1553" t="str">
            <v>体力タイプ</v>
          </cell>
          <cell r="M1553" t="str">
            <v>ss</v>
          </cell>
        </row>
        <row r="1554">
          <cell r="A1554">
            <v>8050</v>
          </cell>
          <cell r="B1554" t="str">
            <v>ja</v>
          </cell>
          <cell r="C1554" t="str">
            <v>KIRIMIちゃん</v>
          </cell>
          <cell r="D1554" t="str">
            <v>KIRIMIちゃん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5</v>
          </cell>
          <cell r="J1554" t="str">
            <v>Drop2N</v>
          </cell>
          <cell r="K1554" t="str">
            <v>hp</v>
          </cell>
          <cell r="L1554" t="str">
            <v>体力タイプ</v>
          </cell>
          <cell r="M1554" t="str">
            <v>ss</v>
          </cell>
        </row>
        <row r="1555">
          <cell r="A1555">
            <v>8051</v>
          </cell>
          <cell r="B1555" t="str">
            <v>ja</v>
          </cell>
          <cell r="C1555" t="str">
            <v>ハローキティのリボン</v>
          </cell>
          <cell r="D1555" t="str">
            <v>ハローキティのリボン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5</v>
          </cell>
          <cell r="J1555" t="str">
            <v>Drop2N</v>
          </cell>
          <cell r="K1555" t="str">
            <v>evolution</v>
          </cell>
          <cell r="L1555" t="str">
            <v>覚醒素材タイプ</v>
          </cell>
          <cell r="M1555" t="str">
            <v>ss</v>
          </cell>
        </row>
        <row r="1556">
          <cell r="A1556">
            <v>8052</v>
          </cell>
          <cell r="B1556" t="str">
            <v>ja</v>
          </cell>
          <cell r="C1556" t="str">
            <v>ママの作ったアップルパイ</v>
          </cell>
          <cell r="D1556" t="str">
            <v>ママの作ったアップルパイ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4</v>
          </cell>
          <cell r="J1556" t="str">
            <v>Drop2N</v>
          </cell>
          <cell r="K1556" t="str">
            <v>evolution</v>
          </cell>
          <cell r="L1556" t="str">
            <v>覚醒素材タイプ</v>
          </cell>
          <cell r="M1556" t="str">
            <v>ss</v>
          </cell>
        </row>
        <row r="1557">
          <cell r="A1557">
            <v>8053</v>
          </cell>
          <cell r="B1557" t="str">
            <v>ja</v>
          </cell>
          <cell r="C1557" t="str">
            <v>D.R.T.H__キティコスプレ</v>
          </cell>
          <cell r="D1557" t="str">
            <v>D.R.T.H__キティコスプレ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red</v>
          </cell>
          <cell r="I1557">
            <v>5</v>
          </cell>
          <cell r="J1557" t="str">
            <v>PremiumSS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8054</v>
          </cell>
          <cell r="B1558" t="str">
            <v>ja</v>
          </cell>
          <cell r="C1558" t="str">
            <v>D.R.T.H__キティコスプレ</v>
          </cell>
          <cell r="D1558" t="str">
            <v>D.R.T.H__キティコスプレ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PremiumSS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8055</v>
          </cell>
          <cell r="B1559" t="str">
            <v>ja</v>
          </cell>
          <cell r="C1559" t="str">
            <v>マイメロディ</v>
          </cell>
          <cell r="D1559" t="str">
            <v>マイメロディ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PremiumS</v>
          </cell>
          <cell r="K1559" t="str">
            <v>attack</v>
          </cell>
          <cell r="L1559" t="str">
            <v>攻撃タイプ</v>
          </cell>
          <cell r="M1559" t="str">
            <v>ss</v>
          </cell>
        </row>
        <row r="1560">
          <cell r="A1560">
            <v>8056</v>
          </cell>
          <cell r="B1560" t="str">
            <v>ja</v>
          </cell>
          <cell r="C1560" t="str">
            <v>マイメロディ</v>
          </cell>
          <cell r="D1560" t="str">
            <v>マイメロディ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PremiumS</v>
          </cell>
          <cell r="K1560" t="str">
            <v>attack</v>
          </cell>
          <cell r="L1560" t="str">
            <v>攻撃タイプ</v>
          </cell>
          <cell r="M1560" t="str">
            <v>ss</v>
          </cell>
        </row>
        <row r="1561">
          <cell r="A1561">
            <v>8057</v>
          </cell>
          <cell r="B1561" t="str">
            <v>ja</v>
          </cell>
          <cell r="C1561" t="str">
            <v>ニーベルゲン_シナモロールコスプレ</v>
          </cell>
          <cell r="D1561" t="str">
            <v>ニーベルゲン_シナモロールコスプレ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4</v>
          </cell>
          <cell r="J1561" t="str">
            <v>PremiumS</v>
          </cell>
          <cell r="K1561" t="str">
            <v>balance</v>
          </cell>
          <cell r="L1561" t="str">
            <v>バランスタイプ</v>
          </cell>
          <cell r="M1561" t="str">
            <v>ss</v>
          </cell>
        </row>
        <row r="1562">
          <cell r="A1562">
            <v>8058</v>
          </cell>
          <cell r="B1562" t="str">
            <v>ja</v>
          </cell>
          <cell r="C1562" t="str">
            <v>ニーベルゲン_シナモロールコスプレ</v>
          </cell>
          <cell r="D1562" t="str">
            <v>ニーベルゲン_シナモロールコスプレ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5</v>
          </cell>
          <cell r="J1562" t="str">
            <v>PremiumS</v>
          </cell>
          <cell r="K1562" t="str">
            <v>balance</v>
          </cell>
          <cell r="L1562" t="str">
            <v>バランスタイプ</v>
          </cell>
          <cell r="M1562" t="str">
            <v>ss</v>
          </cell>
        </row>
        <row r="1563">
          <cell r="A1563">
            <v>8059</v>
          </cell>
          <cell r="B1563" t="str">
            <v>ja</v>
          </cell>
          <cell r="C1563" t="str">
            <v>カカシ_マイメロディコスプレ</v>
          </cell>
          <cell r="D1563" t="str">
            <v>カカシ_マイメロディコスプレ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green</v>
          </cell>
          <cell r="I1563">
            <v>4</v>
          </cell>
          <cell r="J1563" t="str">
            <v>PremiumS</v>
          </cell>
          <cell r="K1563" t="str">
            <v>technical</v>
          </cell>
          <cell r="L1563" t="str">
            <v>テクニカルタイプ</v>
          </cell>
          <cell r="M1563" t="str">
            <v>ss</v>
          </cell>
        </row>
        <row r="1564">
          <cell r="A1564">
            <v>8060</v>
          </cell>
          <cell r="B1564" t="str">
            <v>ja</v>
          </cell>
          <cell r="C1564" t="str">
            <v>カカシ_マイメロディコスプレ</v>
          </cell>
          <cell r="D1564" t="str">
            <v>カカシ_マイメロディコスプレ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green</v>
          </cell>
          <cell r="I1564">
            <v>5</v>
          </cell>
          <cell r="J1564" t="str">
            <v>PremiumS</v>
          </cell>
          <cell r="K1564" t="str">
            <v>technical</v>
          </cell>
          <cell r="L1564" t="str">
            <v>テクニカルタイプ</v>
          </cell>
          <cell r="M1564" t="str">
            <v>ss</v>
          </cell>
        </row>
        <row r="1565">
          <cell r="A1565">
            <v>8061</v>
          </cell>
          <cell r="B1565" t="str">
            <v>ja</v>
          </cell>
          <cell r="C1565" t="str">
            <v>ケロケロけろっぴ</v>
          </cell>
          <cell r="D1565" t="str">
            <v>ケロケロけろっぴ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green</v>
          </cell>
          <cell r="I1565">
            <v>3</v>
          </cell>
          <cell r="J1565" t="str">
            <v>PremiumS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8062</v>
          </cell>
          <cell r="B1566" t="str">
            <v>ja</v>
          </cell>
          <cell r="C1566" t="str">
            <v>ケロケロけろっぴ</v>
          </cell>
          <cell r="D1566" t="str">
            <v>ケロケロけろっぴ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green</v>
          </cell>
          <cell r="I1566">
            <v>4</v>
          </cell>
          <cell r="J1566" t="str">
            <v>PremiumS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8063</v>
          </cell>
          <cell r="B1567" t="str">
            <v>ja</v>
          </cell>
          <cell r="C1567" t="str">
            <v>モルドレッド_ポムポムプリンコスプレ</v>
          </cell>
          <cell r="D1567" t="str">
            <v>モルドレッド_ポムポムプリンコスプレ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heal</v>
          </cell>
          <cell r="L1567" t="str">
            <v>回復タイプ</v>
          </cell>
          <cell r="M1567" t="str">
            <v>ss</v>
          </cell>
        </row>
        <row r="1568">
          <cell r="A1568">
            <v>8064</v>
          </cell>
          <cell r="B1568" t="str">
            <v>ja</v>
          </cell>
          <cell r="C1568" t="str">
            <v>モルドレッド_ポムポムプリンコスプレ</v>
          </cell>
          <cell r="D1568" t="str">
            <v>モルドレッド_ポムポムプリンコスプレ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heal</v>
          </cell>
          <cell r="L1568" t="str">
            <v>回復タイプ</v>
          </cell>
          <cell r="M1568" t="str">
            <v>ss</v>
          </cell>
        </row>
        <row r="1569">
          <cell r="A1569">
            <v>8065</v>
          </cell>
          <cell r="B1569" t="str">
            <v>ja</v>
          </cell>
          <cell r="C1569" t="str">
            <v>クロミ</v>
          </cell>
          <cell r="D1569" t="str">
            <v>クロミ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3</v>
          </cell>
          <cell r="J1569" t="str">
            <v>PremiumS</v>
          </cell>
          <cell r="K1569" t="str">
            <v>technical</v>
          </cell>
          <cell r="L1569" t="str">
            <v>テクニカルタイプ</v>
          </cell>
          <cell r="M1569" t="str">
            <v>ss</v>
          </cell>
        </row>
        <row r="1570">
          <cell r="A1570">
            <v>8066</v>
          </cell>
          <cell r="B1570" t="str">
            <v>ja</v>
          </cell>
          <cell r="C1570" t="str">
            <v>クロミ</v>
          </cell>
          <cell r="D1570" t="str">
            <v>クロミ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4</v>
          </cell>
          <cell r="J1570" t="str">
            <v>PremiumS</v>
          </cell>
          <cell r="K1570" t="str">
            <v>technical</v>
          </cell>
          <cell r="L1570" t="str">
            <v>テクニカルタイプ</v>
          </cell>
          <cell r="M1570" t="str">
            <v>ss</v>
          </cell>
        </row>
        <row r="1571">
          <cell r="A1571">
            <v>8067</v>
          </cell>
          <cell r="B1571" t="str">
            <v>ja</v>
          </cell>
          <cell r="C1571" t="str">
            <v>バッドばつ丸</v>
          </cell>
          <cell r="D1571" t="str">
            <v>バッドばつ丸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3</v>
          </cell>
          <cell r="J1571" t="str">
            <v>PremiumS</v>
          </cell>
          <cell r="K1571" t="str">
            <v>attack</v>
          </cell>
          <cell r="L1571" t="str">
            <v>攻撃タイプ</v>
          </cell>
          <cell r="M1571" t="str">
            <v>ss</v>
          </cell>
        </row>
        <row r="1572">
          <cell r="A1572">
            <v>8068</v>
          </cell>
          <cell r="B1572" t="str">
            <v>ja</v>
          </cell>
          <cell r="C1572" t="str">
            <v>バッドばつ丸</v>
          </cell>
          <cell r="D1572" t="str">
            <v>バッドばつ丸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attack</v>
          </cell>
          <cell r="L1572" t="str">
            <v>攻撃タイプ</v>
          </cell>
          <cell r="M1572" t="str">
            <v>ss</v>
          </cell>
        </row>
        <row r="1573">
          <cell r="A1573">
            <v>8069</v>
          </cell>
          <cell r="B1573" t="str">
            <v>ja</v>
          </cell>
          <cell r="C1573" t="str">
            <v>シナモロール</v>
          </cell>
          <cell r="D1573" t="str">
            <v>シナモロール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PremiumS</v>
          </cell>
          <cell r="K1573" t="str">
            <v>heal</v>
          </cell>
          <cell r="L1573" t="str">
            <v>回復タイプ</v>
          </cell>
          <cell r="M1573" t="str">
            <v>ss</v>
          </cell>
        </row>
        <row r="1574">
          <cell r="A1574">
            <v>8070</v>
          </cell>
          <cell r="B1574" t="str">
            <v>ja</v>
          </cell>
          <cell r="C1574" t="str">
            <v>シナモロール</v>
          </cell>
          <cell r="D1574" t="str">
            <v>シナモロール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PremiumS</v>
          </cell>
          <cell r="K1574" t="str">
            <v>heal</v>
          </cell>
          <cell r="L1574" t="str">
            <v>回復タイプ</v>
          </cell>
          <cell r="M1574" t="str">
            <v>ss</v>
          </cell>
        </row>
        <row r="1575">
          <cell r="A1575">
            <v>8071</v>
          </cell>
          <cell r="B1575" t="str">
            <v>ja</v>
          </cell>
          <cell r="C1575" t="str">
            <v>ポムポムプリン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yellow</v>
          </cell>
          <cell r="I1575">
            <v>3</v>
          </cell>
          <cell r="J1575" t="str">
            <v>PremiumS</v>
          </cell>
          <cell r="K1575" t="str">
            <v>hp</v>
          </cell>
          <cell r="L1575" t="str">
            <v>体力タイプ</v>
          </cell>
          <cell r="M1575" t="str">
            <v>ss</v>
          </cell>
        </row>
        <row r="1576">
          <cell r="A1576">
            <v>8072</v>
          </cell>
          <cell r="B1576" t="str">
            <v>ja</v>
          </cell>
          <cell r="C1576" t="str">
            <v>ポムポムプリン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yellow</v>
          </cell>
          <cell r="I1576">
            <v>4</v>
          </cell>
          <cell r="J1576" t="str">
            <v>PremiumS</v>
          </cell>
          <cell r="K1576" t="str">
            <v>hp</v>
          </cell>
          <cell r="L1576" t="str">
            <v>体力タイプ</v>
          </cell>
          <cell r="M1576" t="str">
            <v>ss</v>
          </cell>
        </row>
        <row r="1577">
          <cell r="A1577">
            <v>8073</v>
          </cell>
          <cell r="B1577" t="str">
            <v>ja</v>
          </cell>
          <cell r="C1577" t="str">
            <v>星海祈る天光妃 媽祖</v>
          </cell>
          <cell r="D1577" t="str">
            <v>Expoミク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yellow</v>
          </cell>
          <cell r="I1577">
            <v>6</v>
          </cell>
          <cell r="J1577" t="str">
            <v>PremiumSS</v>
          </cell>
          <cell r="K1577" t="str">
            <v>attack</v>
          </cell>
          <cell r="L1577" t="str">
            <v>攻撃タイプ</v>
          </cell>
          <cell r="M1577" t="str">
            <v>human</v>
          </cell>
        </row>
        <row r="1578">
          <cell r="A1578">
            <v>8074</v>
          </cell>
          <cell r="B1578" t="str">
            <v>ja</v>
          </cell>
          <cell r="C1578" t="str">
            <v>海戀の絶龍姫 蛟龍</v>
          </cell>
          <cell r="D1578" t="str">
            <v>Expoミク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6</v>
          </cell>
          <cell r="J1578" t="str">
            <v>DropWizS</v>
          </cell>
          <cell r="K1578" t="str">
            <v>hp</v>
          </cell>
          <cell r="L1578" t="str">
            <v>体力タイプ</v>
          </cell>
          <cell r="M1578" t="str">
            <v>dragon</v>
          </cell>
        </row>
        <row r="1579">
          <cell r="A1579">
            <v>8075</v>
          </cell>
          <cell r="B1579" t="str">
            <v>ja</v>
          </cell>
          <cell r="C1579" t="str">
            <v>三蔵法師_超覚醒</v>
          </cell>
          <cell r="D1579" t="str">
            <v>Expoミク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6</v>
          </cell>
          <cell r="J1579" t="str">
            <v>PremiumSS</v>
          </cell>
          <cell r="K1579" t="str">
            <v>balance</v>
          </cell>
          <cell r="L1579" t="str">
            <v>バランスタイプ</v>
          </cell>
          <cell r="M1579" t="str">
            <v>god</v>
          </cell>
        </row>
        <row r="1580">
          <cell r="A1580">
            <v>8076</v>
          </cell>
          <cell r="B1580" t="str">
            <v>ja</v>
          </cell>
          <cell r="C1580" t="str">
            <v>孫悟空_超覚醒</v>
          </cell>
          <cell r="D1580" t="str">
            <v>Expoミク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unknown</v>
          </cell>
        </row>
        <row r="1581">
          <cell r="A1581">
            <v>8077</v>
          </cell>
          <cell r="B1581" t="str">
            <v>ja</v>
          </cell>
          <cell r="C1581" t="str">
            <v>鄭成功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human</v>
          </cell>
        </row>
        <row r="1582">
          <cell r="A1582">
            <v>8078</v>
          </cell>
          <cell r="B1582" t="str">
            <v>ja</v>
          </cell>
          <cell r="C1582" t="str">
            <v>レア６鄭成功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blue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human</v>
          </cell>
        </row>
        <row r="1583">
          <cell r="A1583">
            <v>8079</v>
          </cell>
          <cell r="B1583" t="str">
            <v>ja</v>
          </cell>
          <cell r="C1583" t="str">
            <v>赤鬼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5</v>
          </cell>
          <cell r="J1583" t="str">
            <v>DropWizS</v>
          </cell>
          <cell r="K1583" t="str">
            <v>hp</v>
          </cell>
          <cell r="L1583" t="str">
            <v>体力タイプ</v>
          </cell>
          <cell r="M1583" t="str">
            <v>dragon</v>
          </cell>
        </row>
        <row r="1584">
          <cell r="A1584">
            <v>8080</v>
          </cell>
          <cell r="B1584" t="str">
            <v>ja</v>
          </cell>
          <cell r="C1584" t="str">
            <v>レア６赤鬼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6</v>
          </cell>
          <cell r="J1584" t="str">
            <v>DropWizS</v>
          </cell>
          <cell r="K1584" t="str">
            <v>hp</v>
          </cell>
          <cell r="L1584" t="str">
            <v>体力タイプ</v>
          </cell>
          <cell r="M1584" t="str">
            <v>dragon</v>
          </cell>
        </row>
        <row r="1585">
          <cell r="A1585">
            <v>8081</v>
          </cell>
          <cell r="B1585" t="str">
            <v>ja</v>
          </cell>
          <cell r="C1585" t="str">
            <v>関羽</v>
          </cell>
          <cell r="H1585" t="str">
            <v>green</v>
          </cell>
          <cell r="I1585">
            <v>5</v>
          </cell>
          <cell r="J1585" t="str">
            <v>PremiumSSS</v>
          </cell>
          <cell r="K1585" t="str">
            <v>balance</v>
          </cell>
          <cell r="L1585" t="str">
            <v>バランスタイプ</v>
          </cell>
          <cell r="M1585" t="str">
            <v>samurai</v>
          </cell>
        </row>
        <row r="1586">
          <cell r="A1586">
            <v>8082</v>
          </cell>
          <cell r="B1586" t="str">
            <v>ja</v>
          </cell>
          <cell r="C1586" t="str">
            <v>★６関羽</v>
          </cell>
          <cell r="H1586" t="str">
            <v>green</v>
          </cell>
          <cell r="I1586">
            <v>6</v>
          </cell>
          <cell r="J1586" t="str">
            <v>PremiumSSS</v>
          </cell>
          <cell r="K1586" t="str">
            <v>balance</v>
          </cell>
          <cell r="L1586" t="str">
            <v>バランスタイプ</v>
          </cell>
          <cell r="M1586" t="str">
            <v>samurai</v>
          </cell>
        </row>
        <row r="1587">
          <cell r="A1587">
            <v>8083</v>
          </cell>
          <cell r="B1587" t="str">
            <v>ja</v>
          </cell>
          <cell r="C1587" t="str">
            <v>曹操</v>
          </cell>
          <cell r="H1587" t="str">
            <v>yellow</v>
          </cell>
          <cell r="I1587">
            <v>5</v>
          </cell>
          <cell r="J1587" t="str">
            <v>DropWizSS</v>
          </cell>
          <cell r="K1587" t="str">
            <v>technical</v>
          </cell>
          <cell r="L1587" t="str">
            <v>テクニカルタイプ</v>
          </cell>
          <cell r="M1587" t="str">
            <v>samurai</v>
          </cell>
        </row>
        <row r="1588">
          <cell r="A1588">
            <v>8084</v>
          </cell>
          <cell r="B1588" t="str">
            <v>ja</v>
          </cell>
          <cell r="C1588" t="str">
            <v>★６曹操</v>
          </cell>
          <cell r="H1588" t="str">
            <v>yellow</v>
          </cell>
          <cell r="I1588">
            <v>6</v>
          </cell>
          <cell r="J1588" t="str">
            <v>DropWizSS</v>
          </cell>
          <cell r="K1588" t="str">
            <v>technical</v>
          </cell>
          <cell r="L1588" t="str">
            <v>テクニカルタイプ</v>
          </cell>
          <cell r="M1588" t="str">
            <v>samurai</v>
          </cell>
        </row>
        <row r="1589">
          <cell r="A1589">
            <v>8087</v>
          </cell>
          <cell r="B1589" t="str">
            <v>ja</v>
          </cell>
          <cell r="C1589" t="str">
            <v>財神</v>
          </cell>
          <cell r="H1589" t="str">
            <v>red</v>
          </cell>
          <cell r="I1589">
            <v>5</v>
          </cell>
          <cell r="J1589" t="str">
            <v>PremiumSSS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8088</v>
          </cell>
          <cell r="B1590" t="str">
            <v>ja</v>
          </cell>
          <cell r="C1590" t="str">
            <v>★６財神</v>
          </cell>
          <cell r="H1590" t="str">
            <v>red</v>
          </cell>
          <cell r="I1590">
            <v>6</v>
          </cell>
          <cell r="J1590" t="str">
            <v>PremiumSSS</v>
          </cell>
          <cell r="K1590" t="str">
            <v>technical</v>
          </cell>
          <cell r="L1590" t="str">
            <v>テクニカルタイプ</v>
          </cell>
          <cell r="M1590" t="str">
            <v>god</v>
          </cell>
        </row>
        <row r="1591">
          <cell r="A1591">
            <v>8089</v>
          </cell>
          <cell r="B1591" t="str">
            <v>ja</v>
          </cell>
          <cell r="C1591" t="str">
            <v>年獣</v>
          </cell>
          <cell r="H1591" t="str">
            <v>green</v>
          </cell>
          <cell r="I1591">
            <v>5</v>
          </cell>
          <cell r="J1591" t="str">
            <v>DropWizS</v>
          </cell>
          <cell r="K1591" t="str">
            <v>attack</v>
          </cell>
          <cell r="L1591" t="str">
            <v>攻撃タイプ</v>
          </cell>
          <cell r="M1591" t="str">
            <v>animal</v>
          </cell>
        </row>
        <row r="1592">
          <cell r="A1592">
            <v>8090</v>
          </cell>
          <cell r="B1592" t="str">
            <v>ja</v>
          </cell>
          <cell r="C1592" t="str">
            <v>★６年獣</v>
          </cell>
          <cell r="H1592" t="str">
            <v>green</v>
          </cell>
          <cell r="I1592">
            <v>6</v>
          </cell>
          <cell r="J1592" t="str">
            <v>DropWizS</v>
          </cell>
          <cell r="K1592" t="str">
            <v>attack</v>
          </cell>
          <cell r="L1592" t="str">
            <v>攻撃タイプ</v>
          </cell>
          <cell r="M1592" t="str">
            <v>animal</v>
          </cell>
        </row>
        <row r="1593">
          <cell r="A1593">
            <v>8095</v>
          </cell>
          <cell r="B1593" t="str">
            <v>ja</v>
          </cell>
          <cell r="C1593" t="str">
            <v>バハムートダック赤</v>
          </cell>
          <cell r="D1593" t="str">
            <v>ポムポムプリン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red</v>
          </cell>
          <cell r="I1593">
            <v>6</v>
          </cell>
          <cell r="J1593" t="str">
            <v>Material</v>
          </cell>
          <cell r="K1593" t="str">
            <v>exp</v>
          </cell>
          <cell r="L1593" t="str">
            <v>強化素材タイプ</v>
          </cell>
          <cell r="M1593" t="str">
            <v>unknown</v>
          </cell>
        </row>
        <row r="1594">
          <cell r="A1594">
            <v>8096</v>
          </cell>
          <cell r="B1594" t="str">
            <v>ja</v>
          </cell>
          <cell r="C1594" t="str">
            <v>バハムートダック緑</v>
          </cell>
          <cell r="D1594" t="str">
            <v>ポムポムプリン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green</v>
          </cell>
          <cell r="I1594">
            <v>6</v>
          </cell>
          <cell r="J1594" t="str">
            <v>Material</v>
          </cell>
          <cell r="K1594" t="str">
            <v>exp</v>
          </cell>
          <cell r="L1594" t="str">
            <v>強化素材タイプ</v>
          </cell>
          <cell r="M1594" t="str">
            <v>unknown</v>
          </cell>
        </row>
        <row r="1595">
          <cell r="A1595">
            <v>8097</v>
          </cell>
          <cell r="B1595" t="str">
            <v>ja</v>
          </cell>
          <cell r="C1595" t="str">
            <v>バハムートダック青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6</v>
          </cell>
          <cell r="J1595" t="str">
            <v>Material</v>
          </cell>
          <cell r="K1595" t="str">
            <v>exp</v>
          </cell>
          <cell r="L1595" t="str">
            <v>強化素材タイプ</v>
          </cell>
          <cell r="M1595" t="str">
            <v>unknown</v>
          </cell>
        </row>
        <row r="1596">
          <cell r="A1596">
            <v>8098</v>
          </cell>
          <cell r="B1596" t="str">
            <v>ja</v>
          </cell>
          <cell r="C1596" t="str">
            <v>バハムートダック黄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yellow</v>
          </cell>
          <cell r="I1596">
            <v>6</v>
          </cell>
          <cell r="J1596" t="str">
            <v>Material</v>
          </cell>
          <cell r="K1596" t="str">
            <v>exp</v>
          </cell>
          <cell r="L1596" t="str">
            <v>強化素材タイプ</v>
          </cell>
          <cell r="M1596" t="str">
            <v>unknown</v>
          </cell>
        </row>
        <row r="1597">
          <cell r="A1597">
            <v>8099</v>
          </cell>
          <cell r="B1597" t="str">
            <v>ja</v>
          </cell>
          <cell r="C1597" t="str">
            <v>リトルハンプティ</v>
          </cell>
          <cell r="D1597" t="str">
            <v>各属性相性良3・黄・R455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green</v>
          </cell>
          <cell r="I1597">
            <v>6</v>
          </cell>
          <cell r="J1597" t="str">
            <v>Material</v>
          </cell>
          <cell r="K1597" t="str">
            <v>evolution</v>
          </cell>
          <cell r="L1597" t="str">
            <v>覚醒素材タイプ</v>
          </cell>
          <cell r="M1597" t="str">
            <v>unknown</v>
          </cell>
        </row>
        <row r="1598">
          <cell r="A1598">
            <v>9001</v>
          </cell>
          <cell r="B1598" t="str">
            <v>ja</v>
          </cell>
          <cell r="C1598" t="str">
            <v>春香</v>
          </cell>
          <cell r="D1598" t="str">
            <v>ポムポムプリン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red</v>
          </cell>
          <cell r="I1598">
            <v>5</v>
          </cell>
          <cell r="J1598" t="str">
            <v>PremiumSSw</v>
          </cell>
          <cell r="K1598" t="str">
            <v>attack</v>
          </cell>
          <cell r="L1598" t="str">
            <v>攻撃タイプ</v>
          </cell>
          <cell r="M1598" t="str">
            <v>human</v>
          </cell>
        </row>
        <row r="1599">
          <cell r="A1599">
            <v>9002</v>
          </cell>
          <cell r="B1599" t="str">
            <v>ja</v>
          </cell>
          <cell r="C1599" t="str">
            <v>春香★６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red</v>
          </cell>
          <cell r="I1599">
            <v>6</v>
          </cell>
          <cell r="J1599" t="str">
            <v>PremiumSSw</v>
          </cell>
          <cell r="K1599" t="str">
            <v>attack</v>
          </cell>
          <cell r="L1599" t="str">
            <v>攻撃タイプ</v>
          </cell>
          <cell r="M1599" t="str">
            <v>human</v>
          </cell>
        </row>
        <row r="1600">
          <cell r="A1600">
            <v>9003</v>
          </cell>
          <cell r="B1600" t="str">
            <v>ja</v>
          </cell>
          <cell r="C1600" t="str">
            <v>夢龍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green</v>
          </cell>
          <cell r="I1600">
            <v>5</v>
          </cell>
          <cell r="J1600" t="str">
            <v>DropWizS</v>
          </cell>
          <cell r="K1600" t="str">
            <v>technical</v>
          </cell>
          <cell r="L1600" t="str">
            <v>テクニカルタイプ</v>
          </cell>
          <cell r="M1600" t="str">
            <v>human</v>
          </cell>
        </row>
        <row r="1601">
          <cell r="A1601">
            <v>9004</v>
          </cell>
          <cell r="B1601" t="str">
            <v>ja</v>
          </cell>
          <cell r="C1601" t="str">
            <v>夢龍★６</v>
          </cell>
          <cell r="D1601" t="str">
            <v>各属性相性良3・黄・R455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green</v>
          </cell>
          <cell r="I1601">
            <v>6</v>
          </cell>
          <cell r="J1601" t="str">
            <v>DropWizS</v>
          </cell>
          <cell r="K1601" t="str">
            <v>technical</v>
          </cell>
          <cell r="L1601" t="str">
            <v>テクニカルタイプ</v>
          </cell>
          <cell r="M1601" t="str">
            <v>human</v>
          </cell>
        </row>
        <row r="1602">
          <cell r="A1602">
            <v>10001</v>
          </cell>
          <cell r="B1602" t="str">
            <v>ja</v>
          </cell>
          <cell r="C1602" t="str">
            <v>テストユニット黄</v>
          </cell>
          <cell r="H1602" t="str">
            <v>yellow</v>
          </cell>
          <cell r="I1602">
            <v>6</v>
          </cell>
          <cell r="J1602" t="str">
            <v>PremiumSSS</v>
          </cell>
          <cell r="K1602" t="str">
            <v>hp</v>
          </cell>
          <cell r="L1602" t="str">
            <v>体力タイプ</v>
          </cell>
          <cell r="M1602" t="str">
            <v>academia</v>
          </cell>
        </row>
        <row r="1603">
          <cell r="A1603">
            <v>10002</v>
          </cell>
          <cell r="B1603" t="str">
            <v>ja</v>
          </cell>
          <cell r="C1603" t="str">
            <v>テストユニット02</v>
          </cell>
          <cell r="H1603" t="str">
            <v>yellow</v>
          </cell>
          <cell r="I1603">
            <v>6</v>
          </cell>
          <cell r="J1603" t="str">
            <v>PremiumSS</v>
          </cell>
          <cell r="K1603" t="str">
            <v>technical</v>
          </cell>
          <cell r="L1603" t="str">
            <v>テクニカルタイプ</v>
          </cell>
          <cell r="M1603" t="str">
            <v>demon</v>
          </cell>
        </row>
        <row r="1604">
          <cell r="A1604">
            <v>10003</v>
          </cell>
          <cell r="B1604" t="str">
            <v>ja</v>
          </cell>
          <cell r="C1604" t="str">
            <v>テストユニット03</v>
          </cell>
          <cell r="H1604" t="str">
            <v>red</v>
          </cell>
          <cell r="I1604">
            <v>5</v>
          </cell>
          <cell r="J1604" t="str">
            <v>PremiumSSS</v>
          </cell>
          <cell r="K1604" t="str">
            <v>technical</v>
          </cell>
          <cell r="L1604" t="str">
            <v>テクニカルタイプ</v>
          </cell>
          <cell r="M1604" t="str">
            <v>academia</v>
          </cell>
        </row>
        <row r="1605">
          <cell r="A1605">
            <v>10004</v>
          </cell>
          <cell r="B1605" t="str">
            <v>ja</v>
          </cell>
          <cell r="C1605" t="str">
            <v>テストユニット04</v>
          </cell>
          <cell r="H1605" t="str">
            <v>red</v>
          </cell>
          <cell r="I1605">
            <v>6</v>
          </cell>
          <cell r="J1605" t="str">
            <v>PremiumSSS</v>
          </cell>
          <cell r="K1605" t="str">
            <v>technical</v>
          </cell>
          <cell r="L1605" t="str">
            <v>テクニカルタイプ</v>
          </cell>
          <cell r="M1605" t="str">
            <v>academia</v>
          </cell>
        </row>
        <row r="1606">
          <cell r="A1606">
            <v>10005</v>
          </cell>
          <cell r="B1606" t="str">
            <v>ja</v>
          </cell>
          <cell r="C1606" t="str">
            <v>テストユニット05</v>
          </cell>
          <cell r="H1606" t="str">
            <v>green</v>
          </cell>
          <cell r="I1606">
            <v>5</v>
          </cell>
          <cell r="J1606" t="str">
            <v>PremiumSSS</v>
          </cell>
          <cell r="K1606" t="str">
            <v>hp</v>
          </cell>
          <cell r="L1606" t="str">
            <v>体力タイプ</v>
          </cell>
          <cell r="M1606" t="str">
            <v>god</v>
          </cell>
        </row>
        <row r="1607">
          <cell r="A1607">
            <v>10006</v>
          </cell>
          <cell r="B1607" t="str">
            <v>ja</v>
          </cell>
          <cell r="C1607" t="str">
            <v>テストユニット06</v>
          </cell>
          <cell r="H1607" t="str">
            <v>green</v>
          </cell>
          <cell r="I1607">
            <v>6</v>
          </cell>
          <cell r="J1607" t="str">
            <v>PremiumSSS</v>
          </cell>
          <cell r="K1607" t="str">
            <v>hp</v>
          </cell>
          <cell r="L1607" t="str">
            <v>体力タイプ</v>
          </cell>
          <cell r="M1607" t="str">
            <v>god</v>
          </cell>
        </row>
        <row r="1608">
          <cell r="A1608">
            <v>10007</v>
          </cell>
          <cell r="B1608" t="str">
            <v>ja</v>
          </cell>
          <cell r="C1608" t="str">
            <v>テストユニット07</v>
          </cell>
          <cell r="H1608" t="str">
            <v>yellow</v>
          </cell>
          <cell r="I1608">
            <v>5</v>
          </cell>
          <cell r="J1608" t="str">
            <v>PremiumSSS</v>
          </cell>
          <cell r="K1608" t="str">
            <v>technical</v>
          </cell>
          <cell r="L1608" t="str">
            <v>テクニカルタイプ</v>
          </cell>
          <cell r="M1608" t="str">
            <v>machine</v>
          </cell>
        </row>
        <row r="1609">
          <cell r="A1609">
            <v>10008</v>
          </cell>
          <cell r="B1609" t="str">
            <v>ja</v>
          </cell>
          <cell r="C1609" t="str">
            <v>テストユニット08</v>
          </cell>
          <cell r="H1609" t="str">
            <v>yellow</v>
          </cell>
          <cell r="I1609">
            <v>6</v>
          </cell>
          <cell r="J1609" t="str">
            <v>PremiumSSS</v>
          </cell>
          <cell r="K1609" t="str">
            <v>technical</v>
          </cell>
          <cell r="L1609" t="str">
            <v>テクニカルタイプ</v>
          </cell>
          <cell r="M1609" t="str">
            <v>machine</v>
          </cell>
        </row>
        <row r="1610">
          <cell r="A1610">
            <v>10009</v>
          </cell>
          <cell r="B1610" t="str">
            <v>ja</v>
          </cell>
          <cell r="C1610" t="str">
            <v>青テスト01</v>
          </cell>
          <cell r="H1610" t="str">
            <v>blue</v>
          </cell>
          <cell r="I1610">
            <v>6</v>
          </cell>
          <cell r="J1610" t="str">
            <v>DropWizS</v>
          </cell>
          <cell r="K1610" t="str">
            <v>heal</v>
          </cell>
          <cell r="L1610" t="str">
            <v>回復タイプ</v>
          </cell>
          <cell r="M1610" t="str">
            <v>human</v>
          </cell>
        </row>
        <row r="1611">
          <cell r="A1611">
            <v>10010</v>
          </cell>
          <cell r="B1611" t="str">
            <v>ja</v>
          </cell>
          <cell r="C1611" t="str">
            <v>赤テスト01</v>
          </cell>
          <cell r="H1611" t="str">
            <v>red</v>
          </cell>
          <cell r="I1611">
            <v>6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human</v>
          </cell>
        </row>
        <row r="1612">
          <cell r="A1612">
            <v>10011</v>
          </cell>
          <cell r="B1612" t="str">
            <v>ja</v>
          </cell>
          <cell r="C1612" t="str">
            <v>テストユニット11</v>
          </cell>
          <cell r="H1612" t="str">
            <v>red</v>
          </cell>
          <cell r="I1612">
            <v>5</v>
          </cell>
          <cell r="J1612" t="str">
            <v>PremiumSSS</v>
          </cell>
          <cell r="K1612" t="str">
            <v>technical</v>
          </cell>
          <cell r="L1612" t="str">
            <v>テクニカルタイプ</v>
          </cell>
          <cell r="M1612" t="str">
            <v>academia</v>
          </cell>
        </row>
        <row r="1613">
          <cell r="A1613">
            <v>10012</v>
          </cell>
          <cell r="B1613" t="str">
            <v>ja</v>
          </cell>
          <cell r="C1613" t="str">
            <v>テストユニット12</v>
          </cell>
          <cell r="H1613" t="str">
            <v>red</v>
          </cell>
          <cell r="I1613">
            <v>6</v>
          </cell>
          <cell r="J1613" t="str">
            <v>PremiumSSS</v>
          </cell>
          <cell r="K1613" t="str">
            <v>technical</v>
          </cell>
          <cell r="L1613" t="str">
            <v>テクニカルタイプ</v>
          </cell>
          <cell r="M1613" t="str">
            <v>academia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2" customWidth="1"/>
    <col min="2" max="16384" width="13" style="62"/>
  </cols>
  <sheetData>
    <row r="1" spans="1:13" x14ac:dyDescent="0.15">
      <c r="A1" s="62" t="s">
        <v>111</v>
      </c>
      <c r="B1" s="62" t="s">
        <v>112</v>
      </c>
    </row>
    <row r="2" spans="1:13" x14ac:dyDescent="0.15">
      <c r="A2" s="62" t="s">
        <v>113</v>
      </c>
      <c r="B2" s="62" t="s">
        <v>114</v>
      </c>
      <c r="C2" s="62" t="s">
        <v>115</v>
      </c>
      <c r="D2" s="62" t="s">
        <v>116</v>
      </c>
      <c r="E2" s="62" t="s">
        <v>117</v>
      </c>
      <c r="F2" s="62" t="s">
        <v>118</v>
      </c>
      <c r="G2" s="62" t="s">
        <v>119</v>
      </c>
      <c r="H2" s="62" t="s">
        <v>120</v>
      </c>
    </row>
    <row r="3" spans="1:13" x14ac:dyDescent="0.15">
      <c r="A3" s="62">
        <v>3</v>
      </c>
      <c r="B3" s="63" t="s">
        <v>121</v>
      </c>
      <c r="C3" s="63" t="s">
        <v>122</v>
      </c>
      <c r="D3" s="62">
        <v>0</v>
      </c>
      <c r="E3" s="63" t="s">
        <v>123</v>
      </c>
      <c r="F3" s="62">
        <v>0</v>
      </c>
      <c r="G3" s="62">
        <v>0</v>
      </c>
      <c r="H3" s="64">
        <v>0.5</v>
      </c>
    </row>
    <row r="4" spans="1:13" x14ac:dyDescent="0.15">
      <c r="A4" s="62">
        <v>4</v>
      </c>
      <c r="B4" s="63" t="s">
        <v>124</v>
      </c>
      <c r="C4" s="63" t="s">
        <v>125</v>
      </c>
      <c r="D4" s="63" t="s">
        <v>126</v>
      </c>
      <c r="E4" s="63" t="s">
        <v>127</v>
      </c>
      <c r="F4" s="63" t="s">
        <v>128</v>
      </c>
      <c r="G4" s="62">
        <v>0</v>
      </c>
      <c r="H4" s="64">
        <v>0.45</v>
      </c>
    </row>
    <row r="5" spans="1:13" x14ac:dyDescent="0.15">
      <c r="A5" s="62">
        <v>5</v>
      </c>
      <c r="B5" s="65">
        <v>0</v>
      </c>
      <c r="C5" s="63" t="s">
        <v>129</v>
      </c>
      <c r="D5" s="63" t="s">
        <v>130</v>
      </c>
      <c r="E5" s="63" t="s">
        <v>131</v>
      </c>
      <c r="F5" s="63" t="s">
        <v>132</v>
      </c>
      <c r="G5" s="63" t="s">
        <v>133</v>
      </c>
      <c r="H5" s="64">
        <v>0.05</v>
      </c>
    </row>
    <row r="6" spans="1:13" x14ac:dyDescent="0.15">
      <c r="B6" s="64" t="s">
        <v>134</v>
      </c>
      <c r="C6" s="64" t="s">
        <v>134</v>
      </c>
      <c r="D6" s="64" t="s">
        <v>135</v>
      </c>
      <c r="E6" s="64" t="s">
        <v>134</v>
      </c>
      <c r="F6" s="64" t="s">
        <v>134</v>
      </c>
      <c r="G6" s="66" t="s">
        <v>136</v>
      </c>
      <c r="H6" s="64">
        <v>1</v>
      </c>
    </row>
    <row r="7" spans="1:13" x14ac:dyDescent="0.15">
      <c r="B7" s="64"/>
      <c r="C7" s="64"/>
      <c r="D7" s="64"/>
      <c r="E7" s="64"/>
      <c r="F7" s="64"/>
      <c r="G7" s="66"/>
      <c r="H7" s="64"/>
    </row>
    <row r="8" spans="1:13" x14ac:dyDescent="0.15">
      <c r="A8" s="62" t="s">
        <v>137</v>
      </c>
      <c r="B8" s="64"/>
      <c r="C8" s="64"/>
      <c r="D8" s="64"/>
      <c r="E8" s="64"/>
      <c r="F8" s="64"/>
      <c r="G8" s="66"/>
      <c r="H8" s="64"/>
    </row>
    <row r="9" spans="1:13" x14ac:dyDescent="0.15">
      <c r="A9" s="62" t="s">
        <v>138</v>
      </c>
      <c r="B9" s="64"/>
      <c r="C9" s="64"/>
      <c r="D9" s="64"/>
      <c r="E9" s="64"/>
      <c r="F9" s="64"/>
      <c r="G9" s="66"/>
      <c r="H9" s="64"/>
    </row>
    <row r="10" spans="1:13" x14ac:dyDescent="0.15">
      <c r="A10" s="62" t="s">
        <v>139</v>
      </c>
      <c r="B10" s="64"/>
      <c r="C10" s="64"/>
      <c r="D10" s="64"/>
      <c r="E10" s="64"/>
      <c r="F10" s="64"/>
      <c r="G10" s="66"/>
      <c r="H10" s="64"/>
    </row>
    <row r="11" spans="1:13" x14ac:dyDescent="0.15">
      <c r="A11" s="62" t="s">
        <v>140</v>
      </c>
      <c r="B11" s="64"/>
      <c r="C11" s="64"/>
      <c r="D11" s="64"/>
      <c r="E11" s="64"/>
      <c r="F11" s="64"/>
      <c r="G11" s="66"/>
      <c r="H11" s="64"/>
    </row>
    <row r="12" spans="1:13" x14ac:dyDescent="0.15">
      <c r="A12" s="62" t="s">
        <v>133</v>
      </c>
      <c r="B12" s="64" t="s">
        <v>141</v>
      </c>
      <c r="C12" s="64" t="s">
        <v>142</v>
      </c>
      <c r="D12" s="64"/>
      <c r="E12" s="64"/>
      <c r="F12" s="64"/>
      <c r="G12" s="66"/>
      <c r="H12" s="64"/>
    </row>
    <row r="13" spans="1:13" x14ac:dyDescent="0.15">
      <c r="A13" s="62" t="s">
        <v>143</v>
      </c>
      <c r="B13" s="62" t="s">
        <v>144</v>
      </c>
      <c r="C13" s="62" t="s">
        <v>145</v>
      </c>
    </row>
    <row r="14" spans="1:13" x14ac:dyDescent="0.15">
      <c r="A14" s="62" t="s">
        <v>146</v>
      </c>
      <c r="B14" s="62" t="s">
        <v>141</v>
      </c>
      <c r="C14" s="65" t="s">
        <v>147</v>
      </c>
      <c r="E14" s="65"/>
      <c r="F14" s="65"/>
      <c r="M14" s="64"/>
    </row>
    <row r="15" spans="1:13" x14ac:dyDescent="0.15">
      <c r="A15" s="62" t="s">
        <v>123</v>
      </c>
      <c r="B15" s="64" t="s">
        <v>141</v>
      </c>
      <c r="C15" s="64" t="s">
        <v>148</v>
      </c>
      <c r="H15" s="67"/>
      <c r="M15" s="64"/>
    </row>
    <row r="16" spans="1:13" x14ac:dyDescent="0.15">
      <c r="A16" s="62" t="s">
        <v>127</v>
      </c>
      <c r="B16" s="64" t="s">
        <v>141</v>
      </c>
      <c r="C16" s="64" t="s">
        <v>149</v>
      </c>
      <c r="M16" s="64"/>
    </row>
    <row r="17" spans="1:13" x14ac:dyDescent="0.15">
      <c r="A17" s="62" t="s">
        <v>150</v>
      </c>
      <c r="B17" s="64" t="s">
        <v>141</v>
      </c>
      <c r="C17" s="64" t="s">
        <v>151</v>
      </c>
      <c r="M17" s="64"/>
    </row>
    <row r="18" spans="1:13" x14ac:dyDescent="0.15">
      <c r="B18" s="64"/>
      <c r="C18" s="64"/>
    </row>
    <row r="19" spans="1:13" x14ac:dyDescent="0.15">
      <c r="A19" s="62" t="s">
        <v>152</v>
      </c>
    </row>
    <row r="20" spans="1:13" x14ac:dyDescent="0.15">
      <c r="A20" s="62" t="s">
        <v>153</v>
      </c>
      <c r="B20" s="64"/>
      <c r="C20" s="64"/>
    </row>
    <row r="21" spans="1:13" x14ac:dyDescent="0.15">
      <c r="A21" s="62" t="s">
        <v>154</v>
      </c>
      <c r="B21" s="64" t="s">
        <v>155</v>
      </c>
      <c r="C21" s="64" t="s">
        <v>156</v>
      </c>
      <c r="D21" s="62" t="s">
        <v>157</v>
      </c>
    </row>
    <row r="22" spans="1:13" x14ac:dyDescent="0.15">
      <c r="A22" s="62" t="s">
        <v>158</v>
      </c>
      <c r="B22" s="64" t="s">
        <v>141</v>
      </c>
      <c r="C22" s="64" t="s">
        <v>159</v>
      </c>
      <c r="D22" s="62" t="s">
        <v>160</v>
      </c>
    </row>
    <row r="23" spans="1:13" x14ac:dyDescent="0.15">
      <c r="A23" s="62" t="s">
        <v>161</v>
      </c>
      <c r="B23" s="64" t="s">
        <v>141</v>
      </c>
      <c r="C23" s="62" t="s">
        <v>162</v>
      </c>
      <c r="D23" s="62" t="s">
        <v>163</v>
      </c>
    </row>
    <row r="24" spans="1:13" x14ac:dyDescent="0.15">
      <c r="A24" s="62" t="s">
        <v>164</v>
      </c>
      <c r="B24" s="64" t="s">
        <v>141</v>
      </c>
      <c r="C24" s="64" t="s">
        <v>165</v>
      </c>
      <c r="D24" s="62" t="s">
        <v>166</v>
      </c>
    </row>
    <row r="25" spans="1:13" x14ac:dyDescent="0.15">
      <c r="A25" s="62" t="s">
        <v>167</v>
      </c>
      <c r="B25" s="64" t="s">
        <v>141</v>
      </c>
      <c r="C25" s="64" t="s">
        <v>168</v>
      </c>
      <c r="D25" s="62" t="s">
        <v>169</v>
      </c>
    </row>
    <row r="26" spans="1:13" x14ac:dyDescent="0.15">
      <c r="A26" s="62" t="s">
        <v>170</v>
      </c>
      <c r="B26" s="64" t="s">
        <v>141</v>
      </c>
      <c r="C26" s="64" t="s">
        <v>171</v>
      </c>
      <c r="D26" s="62" t="s">
        <v>172</v>
      </c>
    </row>
    <row r="27" spans="1:13" x14ac:dyDescent="0.15">
      <c r="A27" s="62" t="s">
        <v>173</v>
      </c>
      <c r="B27" s="64" t="s">
        <v>141</v>
      </c>
      <c r="C27" s="64" t="s">
        <v>135</v>
      </c>
      <c r="D27" s="62" t="s">
        <v>174</v>
      </c>
      <c r="E27" s="62" t="s">
        <v>175</v>
      </c>
    </row>
    <row r="28" spans="1:13" x14ac:dyDescent="0.15">
      <c r="A28" s="62" t="s">
        <v>122</v>
      </c>
      <c r="B28" s="64" t="s">
        <v>141</v>
      </c>
      <c r="C28" s="64" t="s">
        <v>176</v>
      </c>
      <c r="E28" s="62" t="s">
        <v>177</v>
      </c>
    </row>
    <row r="29" spans="1:13" x14ac:dyDescent="0.15">
      <c r="A29" s="62" t="s">
        <v>125</v>
      </c>
      <c r="B29" s="64" t="s">
        <v>141</v>
      </c>
      <c r="C29" s="64" t="s">
        <v>178</v>
      </c>
    </row>
    <row r="30" spans="1:13" x14ac:dyDescent="0.15">
      <c r="B30" s="64"/>
    </row>
    <row r="31" spans="1:13" x14ac:dyDescent="0.15">
      <c r="A31" s="62" t="s">
        <v>179</v>
      </c>
    </row>
    <row r="32" spans="1:13" x14ac:dyDescent="0.15">
      <c r="A32" s="62" t="s">
        <v>180</v>
      </c>
      <c r="B32" s="64" t="s">
        <v>141</v>
      </c>
      <c r="C32" s="64" t="s">
        <v>181</v>
      </c>
    </row>
    <row r="33" spans="1:13" x14ac:dyDescent="0.15">
      <c r="A33" s="62" t="s">
        <v>125</v>
      </c>
      <c r="B33" s="64" t="s">
        <v>141</v>
      </c>
      <c r="C33" s="64" t="s">
        <v>182</v>
      </c>
    </row>
    <row r="34" spans="1:13" x14ac:dyDescent="0.15">
      <c r="A34" s="62" t="s">
        <v>122</v>
      </c>
      <c r="B34" s="64" t="s">
        <v>141</v>
      </c>
      <c r="C34" s="64" t="s">
        <v>183</v>
      </c>
    </row>
    <row r="35" spans="1:13" x14ac:dyDescent="0.15">
      <c r="A35" s="62" t="s">
        <v>121</v>
      </c>
      <c r="B35" s="64" t="s">
        <v>141</v>
      </c>
      <c r="C35" s="64" t="s">
        <v>184</v>
      </c>
    </row>
    <row r="36" spans="1:13" x14ac:dyDescent="0.15">
      <c r="A36" s="62" t="s">
        <v>124</v>
      </c>
      <c r="B36" s="64" t="s">
        <v>141</v>
      </c>
      <c r="C36" s="64" t="s">
        <v>185</v>
      </c>
    </row>
    <row r="37" spans="1:13" x14ac:dyDescent="0.15">
      <c r="A37" s="62" t="s">
        <v>130</v>
      </c>
      <c r="B37" s="64" t="s">
        <v>141</v>
      </c>
      <c r="C37" s="64" t="s">
        <v>186</v>
      </c>
    </row>
    <row r="38" spans="1:13" x14ac:dyDescent="0.15">
      <c r="A38" s="62" t="s">
        <v>126</v>
      </c>
      <c r="B38" s="64" t="s">
        <v>141</v>
      </c>
      <c r="C38" s="64" t="s">
        <v>187</v>
      </c>
    </row>
    <row r="40" spans="1:13" x14ac:dyDescent="0.15">
      <c r="J40" s="81" t="s">
        <v>213</v>
      </c>
      <c r="K40" s="81" t="s">
        <v>190</v>
      </c>
      <c r="M40" s="81" t="s">
        <v>238</v>
      </c>
    </row>
    <row r="41" spans="1:13" x14ac:dyDescent="0.15">
      <c r="J41" s="81" t="s">
        <v>214</v>
      </c>
      <c r="K41" s="81" t="s">
        <v>215</v>
      </c>
      <c r="M41" s="64" t="s">
        <v>185</v>
      </c>
    </row>
    <row r="42" spans="1:13" x14ac:dyDescent="0.15">
      <c r="J42" s="81" t="s">
        <v>216</v>
      </c>
      <c r="K42" s="81" t="s">
        <v>217</v>
      </c>
    </row>
    <row r="43" spans="1:13" x14ac:dyDescent="0.15">
      <c r="J43" s="81" t="s">
        <v>218</v>
      </c>
      <c r="K43" s="81" t="s">
        <v>219</v>
      </c>
    </row>
    <row r="44" spans="1:13" x14ac:dyDescent="0.15">
      <c r="J44" s="81" t="s">
        <v>220</v>
      </c>
      <c r="K44" s="81" t="s">
        <v>221</v>
      </c>
    </row>
    <row r="45" spans="1:13" x14ac:dyDescent="0.15">
      <c r="J45" s="81" t="s">
        <v>222</v>
      </c>
      <c r="K45" s="81" t="s">
        <v>223</v>
      </c>
    </row>
    <row r="46" spans="1:13" x14ac:dyDescent="0.15">
      <c r="J46" s="81" t="s">
        <v>224</v>
      </c>
      <c r="K46" s="81" t="s">
        <v>225</v>
      </c>
    </row>
    <row r="47" spans="1:13" x14ac:dyDescent="0.15">
      <c r="J47" s="81" t="s">
        <v>226</v>
      </c>
      <c r="K47" s="81" t="s">
        <v>230</v>
      </c>
    </row>
    <row r="48" spans="1:13" x14ac:dyDescent="0.15">
      <c r="J48" s="81" t="s">
        <v>227</v>
      </c>
      <c r="K48" s="81" t="s">
        <v>231</v>
      </c>
    </row>
    <row r="49" spans="10:11" x14ac:dyDescent="0.15">
      <c r="J49" s="81" t="s">
        <v>228</v>
      </c>
      <c r="K49" s="81" t="s">
        <v>232</v>
      </c>
    </row>
    <row r="50" spans="10:11" x14ac:dyDescent="0.15">
      <c r="J50" s="81" t="s">
        <v>229</v>
      </c>
      <c r="K50" s="81" t="s">
        <v>233</v>
      </c>
    </row>
    <row r="51" spans="10:11" x14ac:dyDescent="0.15">
      <c r="J51" s="81" t="s">
        <v>235</v>
      </c>
      <c r="K51" s="81" t="s">
        <v>234</v>
      </c>
    </row>
    <row r="52" spans="10:11" x14ac:dyDescent="0.15">
      <c r="J52" s="81" t="s">
        <v>236</v>
      </c>
      <c r="K52" s="81" t="s">
        <v>237</v>
      </c>
    </row>
    <row r="53" spans="10:11" x14ac:dyDescent="0.15">
      <c r="J53" s="81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59" t="s">
        <v>110</v>
      </c>
      <c r="C2" s="48" t="str">
        <f>RIGHT(F2,6)</f>
        <v>552010</v>
      </c>
      <c r="D2" s="19" t="s">
        <v>45</v>
      </c>
      <c r="E2" s="17" t="str">
        <f t="shared" ref="E2" si="0">B2&amp;C2&amp;D2</f>
        <v>gacha_select_tables_552010.tmp</v>
      </c>
      <c r="F2" s="113" t="s">
        <v>259</v>
      </c>
      <c r="G2" s="47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246</v>
      </c>
      <c r="B3" s="59" t="s">
        <v>110</v>
      </c>
      <c r="C3" s="48" t="str">
        <f t="shared" ref="C3:C8" si="1">RIGHT(F3,6)</f>
        <v>552100</v>
      </c>
      <c r="D3" s="19" t="s">
        <v>45</v>
      </c>
      <c r="E3" s="17" t="str">
        <f t="shared" ref="E3:E11" si="2">B3&amp;C3&amp;D3</f>
        <v>gacha_select_tables_552100.tmp</v>
      </c>
      <c r="F3" s="113" t="s">
        <v>260</v>
      </c>
      <c r="G3" s="47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3" t="s">
        <v>247</v>
      </c>
      <c r="C4" s="94" t="str">
        <f t="shared" si="1"/>
        <v>552100</v>
      </c>
      <c r="D4" s="19" t="s">
        <v>248</v>
      </c>
      <c r="E4" s="17" t="str">
        <f t="shared" si="2"/>
        <v>gacha_settle_tables_552100.tmp</v>
      </c>
      <c r="F4" s="113" t="s">
        <v>261</v>
      </c>
      <c r="G4" s="47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93" t="s">
        <v>247</v>
      </c>
      <c r="C5" s="94" t="str">
        <f t="shared" ref="C5" si="3">RIGHT(F5,6)</f>
        <v>552105</v>
      </c>
      <c r="D5" s="19" t="s">
        <v>46</v>
      </c>
      <c r="E5" s="17" t="str">
        <f t="shared" ref="E5" si="4">B5&amp;C5&amp;D5</f>
        <v>gacha_settle_tables_552105.tmp</v>
      </c>
      <c r="F5" s="113" t="s">
        <v>262</v>
      </c>
      <c r="G5" s="47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59" t="s">
        <v>110</v>
      </c>
      <c r="C6" s="48" t="str">
        <f t="shared" si="1"/>
        <v>363104</v>
      </c>
      <c r="D6" s="19" t="s">
        <v>45</v>
      </c>
      <c r="E6" s="17" t="str">
        <f t="shared" ref="E6:E8" si="5">B6&amp;C6&amp;D6</f>
        <v>gacha_select_tables_363104.tmp</v>
      </c>
      <c r="F6" s="88" t="s">
        <v>243</v>
      </c>
      <c r="G6" s="47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59" t="s">
        <v>110</v>
      </c>
      <c r="C7" s="48" t="str">
        <f t="shared" ref="C7" si="6">RIGHT(F7,6)</f>
        <v>363105</v>
      </c>
      <c r="D7" s="19" t="s">
        <v>45</v>
      </c>
      <c r="E7" s="17" t="str">
        <f t="shared" ref="E7" si="7">B7&amp;C7&amp;D7</f>
        <v>gacha_select_tables_363105.tmp</v>
      </c>
      <c r="F7" s="88" t="s">
        <v>244</v>
      </c>
      <c r="G7" s="47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59" t="s">
        <v>110</v>
      </c>
      <c r="C8" s="48" t="str">
        <f t="shared" si="1"/>
        <v>363100</v>
      </c>
      <c r="D8" s="19" t="s">
        <v>45</v>
      </c>
      <c r="E8" s="17" t="str">
        <f t="shared" si="5"/>
        <v>gacha_select_tables_363100.tmp</v>
      </c>
      <c r="F8" s="88" t="s">
        <v>245</v>
      </c>
      <c r="G8" s="47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97" t="s">
        <v>251</v>
      </c>
      <c r="B9" s="27" t="s">
        <v>50</v>
      </c>
      <c r="C9" s="32">
        <v>552</v>
      </c>
      <c r="D9" s="19" t="s">
        <v>46</v>
      </c>
      <c r="E9" s="17" t="str">
        <f t="shared" si="2"/>
        <v>gacha_bonus_tables_552.tmp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97" t="s">
        <v>251</v>
      </c>
      <c r="B10" s="19" t="s">
        <v>48</v>
      </c>
      <c r="C10" s="32">
        <v>552</v>
      </c>
      <c r="D10" s="19" t="s">
        <v>46</v>
      </c>
      <c r="E10" s="17" t="str">
        <f t="shared" si="2"/>
        <v>gifts_tmp_552.tmp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49" t="s">
        <v>7</v>
      </c>
      <c r="P10" s="49" t="s">
        <v>9</v>
      </c>
      <c r="Q10" s="49" t="s">
        <v>6</v>
      </c>
      <c r="R10" s="49" t="s">
        <v>86</v>
      </c>
      <c r="S10" s="49" t="s">
        <v>8</v>
      </c>
      <c r="T10" s="49" t="s">
        <v>87</v>
      </c>
      <c r="U10" s="49" t="s">
        <v>5</v>
      </c>
    </row>
    <row r="11" spans="1:21" x14ac:dyDescent="0.15">
      <c r="A11" s="97" t="s">
        <v>251</v>
      </c>
      <c r="B11" s="19" t="s">
        <v>49</v>
      </c>
      <c r="C11" s="32">
        <v>552</v>
      </c>
      <c r="D11" s="19" t="s">
        <v>46</v>
      </c>
      <c r="E11" s="17" t="str">
        <f t="shared" si="2"/>
        <v>gifts_i18n_552.tmp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zoomScale="90" zoomScaleNormal="90" zoomScalePageLayoutView="90" workbookViewId="0">
      <selection activeCell="B17" sqref="B17:B30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7" max="17" width="13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1537</v>
      </c>
      <c r="M3" s="37" t="str">
        <f>VLOOKUP(L3,[1]characters!$A:$C,3,FALSE)</f>
        <v>キャットマンダディ</v>
      </c>
      <c r="N3" s="61">
        <v>6.0000000000000001E-3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VLOOKUP(L3,tables_552010!B:C,2,FALSE)</f>
        <v>PremiumSSS5R3less</v>
      </c>
      <c r="R3" s="60">
        <f t="shared" ref="R3:R20" si="1">N3*A$39</f>
        <v>34560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1539</v>
      </c>
      <c r="M4" s="37" t="str">
        <f>VLOOKUP(L4,[1]characters!$A:$C,3,FALSE)</f>
        <v>雷神のサンディア</v>
      </c>
      <c r="N4" s="61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VLOOKUP(L4,tables_552010!B:C,2,FALSE)</f>
        <v>PremiumSS5R5only</v>
      </c>
      <c r="R4" s="60">
        <f t="shared" si="1"/>
        <v>86400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69">
        <f>1-B6-B7</f>
        <v>0.4</v>
      </c>
      <c r="D5" t="s">
        <v>201</v>
      </c>
      <c r="E5" s="41">
        <f>(B11-H5)/(F5-I5)</f>
        <v>5.4166666666666664E-4</v>
      </c>
      <c r="F5">
        <f>COUNTIF(tables_552100!C:C,input_552010!A28)+COUNTIF(tables_552100!C:C,input_552100!A30)+COUNTIF(input_552100!Q:Q,input_552100!A32)+COUNTIF(input_552100!Q:Q,input_552100!A33)+COUNTIF(input_552100!Q:Q,input_552100!A34)-COUNTIF(input_552100!Q:Q,input_552100!A28)</f>
        <v>75</v>
      </c>
      <c r="H5" s="82">
        <v>3.5999999999999997E-2</v>
      </c>
      <c r="I5" s="31">
        <v>3</v>
      </c>
      <c r="L5" s="58">
        <v>1535</v>
      </c>
      <c r="M5" s="37" t="str">
        <f>VLOOKUP(L5,[1]characters!$A:$C,3,FALSE)</f>
        <v>ねこナース</v>
      </c>
      <c r="N5" s="61">
        <v>1.4999999999999999E-2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VLOOKUP(L5,tables_552010!B:C,2,FALSE)</f>
        <v>PremiumSS5R5only</v>
      </c>
      <c r="R5" s="60">
        <f t="shared" si="1"/>
        <v>86400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69">
        <v>0.5</v>
      </c>
      <c r="D6" t="s">
        <v>202</v>
      </c>
      <c r="E6" s="74">
        <f>(B10-H6)/(F6-I6)</f>
        <v>7.9270833333333329E-3</v>
      </c>
      <c r="F6">
        <f>COUNTIF(tables_552100!C:C,input_552100!A25)+COUNTIF(tables_552100!C:C,input_552100!A18)+COUNTIF(tables_552100!C:C,input_552100!A20)+COUNTIF(tables_552100!C:C,input_552100!A22)+COUNTIF(Q:Q,A23)</f>
        <v>104</v>
      </c>
      <c r="H6" s="87">
        <v>0.16400000000000001</v>
      </c>
      <c r="I6" s="31">
        <v>8</v>
      </c>
      <c r="L6" s="58">
        <v>1527</v>
      </c>
      <c r="M6" s="37" t="str">
        <f>VLOOKUP(L6,[1]characters!$A:$C,3,FALSE)</f>
        <v>ネコ魔剣士</v>
      </c>
      <c r="N6" s="61">
        <v>3.2500000000000001E-2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VLOOKUP(L6,tables_552010!B:C,2,FALSE)</f>
        <v>Premium4R3less</v>
      </c>
      <c r="R6" s="60">
        <f t="shared" si="1"/>
        <v>187200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69">
        <v>0.1</v>
      </c>
      <c r="L7" s="58">
        <v>1528</v>
      </c>
      <c r="M7" s="37" t="str">
        <f>VLOOKUP(L7,[1]characters!$A:$C,3,FALSE)</f>
        <v>双剣ネコ魔剣士</v>
      </c>
      <c r="N7" s="61">
        <v>8.5000000000000006E-3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VLOOKUP(L7,tables_552010!B:C,2,FALSE)</f>
        <v>Premium5R3less</v>
      </c>
      <c r="R7" s="60">
        <f t="shared" si="1"/>
        <v>48960</v>
      </c>
      <c r="S7">
        <v>597</v>
      </c>
      <c r="U7" s="33" t="s">
        <v>196</v>
      </c>
      <c r="V7" s="52">
        <f t="shared" si="0"/>
        <v>0.13</v>
      </c>
    </row>
    <row r="8" spans="1:22" x14ac:dyDescent="0.15">
      <c r="A8" s="55"/>
      <c r="B8" s="69"/>
      <c r="E8" s="74"/>
      <c r="L8" s="58">
        <v>1529</v>
      </c>
      <c r="M8" s="37" t="str">
        <f>VLOOKUP(L8,[1]characters!$A:$C,3,FALSE)</f>
        <v>ねこ海賊</v>
      </c>
      <c r="N8" s="61">
        <v>3.2500000000000001E-2</v>
      </c>
      <c r="O8" s="37">
        <f>VLOOKUP(L8,[1]characters!$A:$I,9,FALSE)</f>
        <v>4</v>
      </c>
      <c r="P8" s="37" t="str">
        <f>VLOOKUP(L8,[1]characters!$A:$J,10,FALSE)</f>
        <v>PremiumS</v>
      </c>
      <c r="Q8" s="37" t="str">
        <f>VLOOKUP(L8,tables_552010!B:C,2,FALSE)</f>
        <v>Premium4R3less</v>
      </c>
      <c r="R8" s="60">
        <f t="shared" si="1"/>
        <v>187200</v>
      </c>
      <c r="S8">
        <v>598</v>
      </c>
      <c r="U8" s="33" t="s">
        <v>197</v>
      </c>
      <c r="V8" s="52">
        <f t="shared" si="0"/>
        <v>3.4000000000000002E-2</v>
      </c>
    </row>
    <row r="9" spans="1:22" x14ac:dyDescent="0.15">
      <c r="A9" s="35" t="s">
        <v>54</v>
      </c>
      <c r="B9" s="35"/>
      <c r="L9" s="86">
        <v>1530</v>
      </c>
      <c r="M9" s="37" t="str">
        <f>VLOOKUP(L9,[1]characters!$A:$C,3,FALSE)</f>
        <v>ニャーコック船長</v>
      </c>
      <c r="N9" s="61">
        <v>8.5000000000000006E-3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VLOOKUP(L9,tables_552010!B:C,2,FALSE)</f>
        <v>Premium5R3less</v>
      </c>
      <c r="R9" s="60">
        <f t="shared" si="1"/>
        <v>48960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0.92500000000000004</v>
      </c>
      <c r="C10" t="s">
        <v>208</v>
      </c>
      <c r="L10" s="86">
        <v>1531</v>
      </c>
      <c r="M10" s="37" t="str">
        <f>VLOOKUP(L10,[1]characters!$A:$C,3,FALSE)</f>
        <v>ねこジュラ</v>
      </c>
      <c r="N10" s="61">
        <v>3.2500000000000001E-2</v>
      </c>
      <c r="O10" s="37">
        <f>VLOOKUP(L10,[1]characters!$A:$I,9,FALSE)</f>
        <v>4</v>
      </c>
      <c r="P10" s="37" t="str">
        <f>VLOOKUP(L10,[1]characters!$A:$J,10,FALSE)</f>
        <v>PremiumS</v>
      </c>
      <c r="Q10" s="37" t="str">
        <f>VLOOKUP(L10,tables_552010!B:C,2,FALSE)</f>
        <v>Premium4R3less</v>
      </c>
      <c r="R10" s="60">
        <f t="shared" si="1"/>
        <v>187200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7.4999999999999997E-2</v>
      </c>
      <c r="C11" t="s">
        <v>252</v>
      </c>
      <c r="L11">
        <v>1532</v>
      </c>
      <c r="M11" s="37" t="str">
        <f>VLOOKUP(L11,[1]characters!$A:$C,3,FALSE)</f>
        <v>ねこジュラシッター</v>
      </c>
      <c r="N11" s="61">
        <v>8.5000000000000006E-3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VLOOKUP(L11,tables_552010!B:C,2,FALSE)</f>
        <v>Premium5R3less</v>
      </c>
      <c r="R11" s="60">
        <f t="shared" si="1"/>
        <v>48960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L12">
        <v>1533</v>
      </c>
      <c r="M12" s="37" t="str">
        <f>VLOOKUP(L12,[1]characters!$A:$C,3,FALSE)</f>
        <v>ネコエステ</v>
      </c>
      <c r="N12" s="61">
        <v>3.2500000000000001E-2</v>
      </c>
      <c r="O12" s="37">
        <f>VLOOKUP(L12,[1]characters!$A:$I,9,FALSE)</f>
        <v>4</v>
      </c>
      <c r="P12" s="37" t="str">
        <f>VLOOKUP(L12,[1]characters!$A:$J,10,FALSE)</f>
        <v>PremiumS</v>
      </c>
      <c r="Q12" s="37" t="str">
        <f>VLOOKUP(L12,tables_552010!B:C,2,FALSE)</f>
        <v>Premium4R3less</v>
      </c>
      <c r="R12" s="60">
        <f t="shared" si="1"/>
        <v>187200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L13">
        <v>1534</v>
      </c>
      <c r="M13" s="37" t="str">
        <f>VLOOKUP(L13,[1]characters!$A:$C,3,FALSE)</f>
        <v>ネコジェンヌ</v>
      </c>
      <c r="N13" s="61">
        <v>8.5000000000000006E-3</v>
      </c>
      <c r="O13" s="37">
        <f>VLOOKUP(L13,[1]characters!$A:$I,9,FALSE)</f>
        <v>5</v>
      </c>
      <c r="P13" s="37" t="str">
        <f>VLOOKUP(L13,[1]characters!$A:$J,10,FALSE)</f>
        <v>PremiumS</v>
      </c>
      <c r="Q13" s="37" t="str">
        <f>VLOOKUP(L13,tables_552010!B:C,2,FALSE)</f>
        <v>Premium5R3less</v>
      </c>
      <c r="R13" s="60">
        <f t="shared" si="1"/>
        <v>48960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VLOOKUP(L14,tables_552010!B:C,2,FALSE)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VLOOKUP(L15,tables_552010!B:C,2,FALSE)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VLOOKUP(L16,tables_552010!B:C,2,FALSE)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E17*E6*B5</f>
        <v>6.3416666666666663E-2</v>
      </c>
      <c r="C17" s="83">
        <f t="shared" ref="C17:C34" si="2">SUMIF(Q:Q,A17,N:N)</f>
        <v>0</v>
      </c>
      <c r="D17" s="72">
        <f t="shared" ref="D17:D35" si="3">B17-C17</f>
        <v>6.3416666666666663E-2</v>
      </c>
      <c r="E17">
        <f>COUNTIF(tables_552010!C:C,input_552010!A17)-COUNTIF(Q:Q,A17)</f>
        <v>20</v>
      </c>
      <c r="F17" s="41">
        <f>IFERROR(B17/E17,0)</f>
        <v>3.1708333333333332E-3</v>
      </c>
      <c r="G17">
        <f t="shared" ref="G17:G28" si="4">A$39*B17</f>
        <v>365280</v>
      </c>
      <c r="H17">
        <f t="shared" ref="H17:H34" si="5">IFERROR(ROUND(G17/E17,5),0)</f>
        <v>18264</v>
      </c>
      <c r="I17">
        <f t="shared" ref="I17:I34" si="6">MOD(H17,1)</f>
        <v>0</v>
      </c>
      <c r="J17">
        <f t="shared" ref="J17:J34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VLOOKUP(L17,tables_552010!B:C,2,FALSE)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2">
        <f>E18*E6*B6</f>
        <v>7.9270833333333332E-2</v>
      </c>
      <c r="C18" s="83">
        <f t="shared" si="2"/>
        <v>0</v>
      </c>
      <c r="D18" s="72">
        <f t="shared" si="3"/>
        <v>7.9270833333333332E-2</v>
      </c>
      <c r="E18">
        <f>COUNTIF(tables_552010!C:C,input_552010!A18)-COUNTIF(Q:Q,A18)</f>
        <v>20</v>
      </c>
      <c r="F18" s="41">
        <f>IFERROR(B18/E18,0)</f>
        <v>3.9635416666666664E-3</v>
      </c>
      <c r="G18">
        <f t="shared" si="4"/>
        <v>456600</v>
      </c>
      <c r="H18">
        <f t="shared" si="5"/>
        <v>22830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VLOOKUP(L18,tables_552010!B:C,2,FALSE)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</f>
        <v>0.16488333333333333</v>
      </c>
      <c r="C19" s="83">
        <f t="shared" si="2"/>
        <v>0</v>
      </c>
      <c r="D19" s="72">
        <f t="shared" si="3"/>
        <v>0.16488333333333333</v>
      </c>
      <c r="E19">
        <f>COUNTIF(tables_552010!C:C,input_552010!A19)-COUNTIF(Q:Q,A19)</f>
        <v>52</v>
      </c>
      <c r="F19" s="41">
        <f t="shared" ref="F19:F34" si="8">IFERROR(B19/E19,0)</f>
        <v>3.1708333333333332E-3</v>
      </c>
      <c r="G19">
        <f t="shared" si="4"/>
        <v>949728</v>
      </c>
      <c r="H19">
        <f t="shared" si="5"/>
        <v>18264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VLOOKUP(L19,tables_552010!B:C,2,FALSE)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92">
        <f>E$6*E20-B19-B21</f>
        <v>0.23570624999999995</v>
      </c>
      <c r="C20" s="83">
        <f t="shared" si="2"/>
        <v>0</v>
      </c>
      <c r="D20" s="72">
        <f t="shared" si="3"/>
        <v>0.23570624999999995</v>
      </c>
      <c r="E20">
        <f>COUNTIF(tables_552010!C:C,input_552010!A20)-COUNTIF(Q:Q,A20)</f>
        <v>52</v>
      </c>
      <c r="F20" s="41">
        <f t="shared" si="8"/>
        <v>4.5328124999999986E-3</v>
      </c>
      <c r="G20">
        <f t="shared" si="4"/>
        <v>1357667.9999999998</v>
      </c>
      <c r="H20">
        <f t="shared" si="5"/>
        <v>26109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VLOOKUP(L20,tables_552010!B:C,2,FALSE)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B7-B23-B26-B28-B29-B30-0.064</f>
        <v>1.1618749999999997E-2</v>
      </c>
      <c r="C21" s="83">
        <f t="shared" si="2"/>
        <v>0</v>
      </c>
      <c r="D21" s="72">
        <f t="shared" si="3"/>
        <v>1.1618749999999997E-2</v>
      </c>
      <c r="E21">
        <f>COUNTIF(tables_552010!C:C,input_552010!A21)-COUNTIF(Q:Q,A21)</f>
        <v>52</v>
      </c>
      <c r="F21" s="41">
        <f t="shared" si="8"/>
        <v>2.2343749999999995E-4</v>
      </c>
      <c r="G21">
        <f t="shared" si="4"/>
        <v>66923.999999999985</v>
      </c>
      <c r="H21">
        <f t="shared" si="5"/>
        <v>1287</v>
      </c>
      <c r="I21">
        <f t="shared" si="6"/>
        <v>0</v>
      </c>
      <c r="J21">
        <f t="shared" si="7"/>
        <v>1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0.15293124999999999</v>
      </c>
      <c r="C22" s="83">
        <f t="shared" si="2"/>
        <v>0.13</v>
      </c>
      <c r="D22" s="72">
        <f t="shared" si="3"/>
        <v>2.2931249999999986E-2</v>
      </c>
      <c r="E22">
        <f>COUNTIF(tables_552010!C:C,input_552010!A22)-COUNTIF(Q:Q,A22)</f>
        <v>20</v>
      </c>
      <c r="F22" s="41">
        <f t="shared" si="8"/>
        <v>7.6465624999999997E-3</v>
      </c>
      <c r="G22">
        <f t="shared" si="4"/>
        <v>880884</v>
      </c>
      <c r="H22">
        <f t="shared" si="5"/>
        <v>44044.2</v>
      </c>
      <c r="I22">
        <f t="shared" si="6"/>
        <v>0.19999999999708962</v>
      </c>
      <c r="J22">
        <f t="shared" si="7"/>
        <v>5.0000000000727596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E23*E6*B7-0.015</f>
        <v>5.6104166666666663E-3</v>
      </c>
      <c r="C23" s="83">
        <f t="shared" si="2"/>
        <v>3.4000000000000002E-2</v>
      </c>
      <c r="D23" s="72">
        <f t="shared" si="3"/>
        <v>-2.8389583333333336E-2</v>
      </c>
      <c r="E23">
        <f>COUNTIF(tables_552010!C:C,input_552010!A23)-COUNTIF(Q:Q,A23)</f>
        <v>26</v>
      </c>
      <c r="F23" s="41">
        <f t="shared" si="8"/>
        <v>2.1578525641025638E-4</v>
      </c>
      <c r="G23">
        <f t="shared" si="4"/>
        <v>32315.999999999996</v>
      </c>
      <c r="H23">
        <f t="shared" si="5"/>
        <v>1242.92308</v>
      </c>
      <c r="I23">
        <f t="shared" si="6"/>
        <v>0.92308000000002721</v>
      </c>
      <c r="J23">
        <f t="shared" si="7"/>
        <v>1.0833297222342273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</f>
        <v>1.2683333333333333E-2</v>
      </c>
      <c r="C24" s="83">
        <f t="shared" si="2"/>
        <v>0</v>
      </c>
      <c r="D24" s="72">
        <f t="shared" si="3"/>
        <v>1.2683333333333333E-2</v>
      </c>
      <c r="E24">
        <f>COUNTIF(tables_552010!C:C,input_552010!A24)-COUNTIF(Q:Q,A24)</f>
        <v>4</v>
      </c>
      <c r="F24" s="41">
        <f t="shared" si="8"/>
        <v>3.1708333333333332E-3</v>
      </c>
      <c r="G24">
        <f t="shared" si="4"/>
        <v>73056</v>
      </c>
      <c r="H24">
        <f t="shared" si="5"/>
        <v>18264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E$6*B$6*E25+0.0158541667</f>
        <v>3.1708333366666661E-2</v>
      </c>
      <c r="C25" s="83">
        <f t="shared" si="2"/>
        <v>0</v>
      </c>
      <c r="D25" s="72">
        <f t="shared" si="3"/>
        <v>3.1708333366666661E-2</v>
      </c>
      <c r="E25">
        <f>COUNTIF(tables_552010!C:C,input_552010!A25)-COUNTIF(Q:Q,A25)</f>
        <v>4</v>
      </c>
      <c r="F25" s="41">
        <f t="shared" si="8"/>
        <v>7.9270833416666651E-3</v>
      </c>
      <c r="G25">
        <f t="shared" si="4"/>
        <v>182640.00019199998</v>
      </c>
      <c r="H25">
        <f t="shared" si="5"/>
        <v>45660.000050000002</v>
      </c>
      <c r="I25">
        <f t="shared" si="6"/>
        <v>5.0000002374872565E-5</v>
      </c>
      <c r="J25">
        <f t="shared" si="7"/>
        <v>19999.999050051018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</f>
        <v>3.1708333333333332E-3</v>
      </c>
      <c r="C26" s="83">
        <f t="shared" si="2"/>
        <v>0</v>
      </c>
      <c r="D26" s="72">
        <f t="shared" si="3"/>
        <v>3.1708333333333332E-3</v>
      </c>
      <c r="E26">
        <f>COUNTIF(tables_552010!C:C,input_552010!A26)-COUNTIF(Q:Q,A26)</f>
        <v>4</v>
      </c>
      <c r="F26" s="41">
        <f t="shared" si="8"/>
        <v>7.9270833333333331E-4</v>
      </c>
      <c r="G26">
        <f t="shared" si="4"/>
        <v>18264</v>
      </c>
      <c r="H26">
        <f t="shared" si="5"/>
        <v>4566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100">
        <f>B11-(B28+B30)-0.036</f>
        <v>2.3399999999999997E-2</v>
      </c>
      <c r="C27" s="83">
        <f t="shared" si="2"/>
        <v>0</v>
      </c>
      <c r="D27" s="72">
        <f t="shared" si="3"/>
        <v>2.3399999999999997E-2</v>
      </c>
      <c r="E27">
        <f>COUNTIF(tables_552010!C:C,input_552010!A27)-COUNTIF(Q:Q,A27)</f>
        <v>28</v>
      </c>
      <c r="F27" s="41">
        <f>IFERROR(B27/E27,0)</f>
        <v>8.3571428571428566E-4</v>
      </c>
      <c r="G27">
        <f t="shared" si="4"/>
        <v>134783.99999999997</v>
      </c>
      <c r="H27">
        <f t="shared" si="5"/>
        <v>4813.7142899999999</v>
      </c>
      <c r="I27">
        <f t="shared" si="6"/>
        <v>0.71428999999989173</v>
      </c>
      <c r="J27">
        <f t="shared" si="7"/>
        <v>1.3999916000506119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E$5*E28*0.4</f>
        <v>6.0666666666666664E-3</v>
      </c>
      <c r="C28" s="83">
        <f t="shared" si="2"/>
        <v>0</v>
      </c>
      <c r="D28" s="72">
        <f t="shared" si="3"/>
        <v>6.0666666666666664E-3</v>
      </c>
      <c r="E28">
        <f>COUNTIF(tables_552010!C:C,input_552010!A28)-COUNTIF(Q:Q,A28)</f>
        <v>28</v>
      </c>
      <c r="F28" s="41">
        <f t="shared" si="8"/>
        <v>2.1666666666666666E-4</v>
      </c>
      <c r="G28">
        <f t="shared" si="4"/>
        <v>34944</v>
      </c>
      <c r="H28">
        <f t="shared" si="5"/>
        <v>1248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x14ac:dyDescent="0.15">
      <c r="A29" s="33" t="s">
        <v>254</v>
      </c>
      <c r="B29" s="54">
        <f>E$5*E29</f>
        <v>0</v>
      </c>
      <c r="C29" s="83">
        <f t="shared" si="2"/>
        <v>0</v>
      </c>
      <c r="D29" s="72"/>
      <c r="E29">
        <f>COUNTIF(tables_552010!C:C,input_552010!A29)-COUNTIF(Q:Q,A29)</f>
        <v>0</v>
      </c>
      <c r="F29" s="41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E$5*E30*0.4</f>
        <v>9.5333333333333329E-3</v>
      </c>
      <c r="C30" s="83">
        <f t="shared" si="2"/>
        <v>0.03</v>
      </c>
      <c r="D30" s="72"/>
      <c r="E30">
        <f>COUNTIF(tables_552010!C:C,input_552010!A30)-COUNTIF(Q:Q,A30)</f>
        <v>44</v>
      </c>
      <c r="F30" s="41">
        <f t="shared" si="9"/>
        <v>2.1666666666666666E-4</v>
      </c>
      <c r="G30">
        <f t="shared" si="10"/>
        <v>54912</v>
      </c>
      <c r="H30">
        <f t="shared" si="11"/>
        <v>1248</v>
      </c>
      <c r="I30">
        <f t="shared" si="12"/>
        <v>0</v>
      </c>
      <c r="J30">
        <f t="shared" si="13"/>
        <v>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E$5*E31*0.4</f>
        <v>0</v>
      </c>
      <c r="C31" s="83">
        <f t="shared" si="2"/>
        <v>0</v>
      </c>
      <c r="D31" s="72"/>
      <c r="E31">
        <f>COUNTIF(tables_552010!C:C,input_552010!A31)-COUNTIF(Q:Q,A31)</f>
        <v>0</v>
      </c>
      <c r="F31" s="41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COUNTIF(tables_552010!C:C,input_552010!A32)-COUNTIF(Q:Q,A32)</f>
        <v>0</v>
      </c>
      <c r="F32" s="41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6.0000000000000001E-3</v>
      </c>
      <c r="D33" s="72">
        <f t="shared" si="3"/>
        <v>-6.0000000000000001E-3</v>
      </c>
      <c r="E33">
        <f>COUNTIF(tables_552010!C:C,input_552010!A33)-COUNTIF(Q:Q,A33)</f>
        <v>0</v>
      </c>
      <c r="F33" s="41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si="3"/>
        <v>0</v>
      </c>
      <c r="E34">
        <f>COUNTIF(tables_552010!C:C,input_552010!A34)-COUNTIF(Q:Q,A34)</f>
        <v>0</v>
      </c>
      <c r="F34" s="41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6">
        <f>SUM(B17:B34)</f>
        <v>0.80000000003333327</v>
      </c>
      <c r="C35" s="107">
        <f>SUM(C19:C34)</f>
        <v>0.2</v>
      </c>
      <c r="D35" s="40">
        <f t="shared" si="3"/>
        <v>0.6000000000333332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5760000</v>
      </c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SUMIF(tables_552010!C:C,input_552010!A43,tables_552010!O:O)</f>
        <v>949728</v>
      </c>
      <c r="C43" s="52">
        <f t="shared" ref="C43:C49" ca="1" si="19">B43/B$50</f>
        <v>0.37331371104444661</v>
      </c>
      <c r="E43">
        <v>3</v>
      </c>
      <c r="F43">
        <f ca="1">SUMIF(tables_552010!J:J,input_552010!E43,tables_552010!O:O)</f>
        <v>1388064</v>
      </c>
      <c r="G43">
        <f ca="1">F43/A39</f>
        <v>0.24098333333333333</v>
      </c>
    </row>
    <row r="44" spans="1:18" x14ac:dyDescent="0.15">
      <c r="A44" s="33" t="s">
        <v>104</v>
      </c>
      <c r="B44">
        <f ca="1">SUMIF(tables_552010!C:C,input_552010!A44,tables_552010!O:O)</f>
        <v>1357668</v>
      </c>
      <c r="C44" s="52">
        <f t="shared" ca="1" si="19"/>
        <v>0.53366445913597549</v>
      </c>
      <c r="E44">
        <v>4</v>
      </c>
      <c r="F44">
        <f ca="1">SUMIF(tables_552010!J:J,input_552010!E44,tables_552010!O:O)</f>
        <v>3761376.0003200048</v>
      </c>
      <c r="G44">
        <f ca="1">F44/A39</f>
        <v>0.65301666672222303</v>
      </c>
    </row>
    <row r="45" spans="1:18" x14ac:dyDescent="0.15">
      <c r="A45" s="33" t="s">
        <v>106</v>
      </c>
      <c r="B45">
        <f ca="1">SUMIF(tables_552010!C:C,input_552010!A45,tables_552010!O:O)</f>
        <v>134784.00012000007</v>
      </c>
      <c r="C45" s="52">
        <f t="shared" ca="1" si="19"/>
        <v>5.298013249500106E-2</v>
      </c>
      <c r="E45">
        <v>5</v>
      </c>
      <c r="F45">
        <f ca="1">SUMIF(tables_552010!J:J,input_552010!E45,tables_552010!O:O)</f>
        <v>610560.00008000014</v>
      </c>
      <c r="G45" s="101">
        <f ca="1">F45/A39</f>
        <v>0.10600000001388891</v>
      </c>
      <c r="J45">
        <f>16.4-0.35</f>
        <v>16.049999999999997</v>
      </c>
    </row>
    <row r="46" spans="1:18" x14ac:dyDescent="0.15">
      <c r="A46" s="33" t="s">
        <v>109</v>
      </c>
      <c r="B46">
        <f>SUMIF(tables_552010!C:C,input_552010!A46,tables_552010!O:O)</f>
        <v>0</v>
      </c>
      <c r="C46" s="52">
        <f t="shared" ca="1" si="19"/>
        <v>0</v>
      </c>
      <c r="F46" s="53"/>
    </row>
    <row r="47" spans="1:18" x14ac:dyDescent="0.15">
      <c r="A47" s="33" t="s">
        <v>105</v>
      </c>
      <c r="B47">
        <f ca="1">SUMIF(tables_552010!C:C,input_552010!A47,tables_552010!O:O)</f>
        <v>66924</v>
      </c>
      <c r="C47" s="52">
        <f t="shared" ca="1" si="19"/>
        <v>2.6306107430694416E-2</v>
      </c>
      <c r="E47" t="s">
        <v>54</v>
      </c>
      <c r="F47" s="53"/>
    </row>
    <row r="48" spans="1:18" x14ac:dyDescent="0.15">
      <c r="A48" s="33" t="s">
        <v>107</v>
      </c>
      <c r="B48">
        <f ca="1">SUMIF(tables_552010!C:C,input_552010!A48,tables_552010!O:O)</f>
        <v>34944</v>
      </c>
      <c r="C48" s="52">
        <f t="shared" ca="1" si="19"/>
        <v>1.37355898938824E-2</v>
      </c>
      <c r="E48" t="s">
        <v>204</v>
      </c>
      <c r="F48" s="53">
        <f ca="1">SUMIF(tables_552010!I:I,input_552010!E48,tables_552010!P:P)</f>
        <v>0.14398221153166768</v>
      </c>
    </row>
    <row r="49" spans="1:7" x14ac:dyDescent="0.15">
      <c r="A49" s="33" t="s">
        <v>108</v>
      </c>
      <c r="B49">
        <f>SUMIF(tables_552010!C:C,input_552010!A49,tables_552010!O:O)</f>
        <v>0</v>
      </c>
      <c r="C49" s="52">
        <f t="shared" ca="1" si="19"/>
        <v>0</v>
      </c>
      <c r="E49" t="s">
        <v>205</v>
      </c>
      <c r="F49" s="53">
        <f ca="1">SUMIF(tables_552010!I:I,input_552010!E49,tables_552010!P:P)</f>
        <v>0.17043229168087254</v>
      </c>
    </row>
    <row r="50" spans="1:7" x14ac:dyDescent="0.15">
      <c r="A50" s="39" t="s">
        <v>59</v>
      </c>
      <c r="B50">
        <f ca="1">SUM(B43:B49)</f>
        <v>2544048.00012</v>
      </c>
      <c r="C50" s="53">
        <f ca="1">SUM(C43:C49)</f>
        <v>0.99999999999999989</v>
      </c>
      <c r="E50" t="s">
        <v>206</v>
      </c>
      <c r="F50" s="53">
        <f ca="1">SUMIF(tables_552010!I:I,input_552010!E50,tables_552010!P:P)</f>
        <v>0.61058549677183371</v>
      </c>
    </row>
    <row r="51" spans="1:7" x14ac:dyDescent="0.15">
      <c r="E51" t="s">
        <v>207</v>
      </c>
      <c r="F51" s="53">
        <f ca="1">SUMIF(tables_552010!I:I,input_552010!E51,tables_552010!P:P)</f>
        <v>6.7050000016177017E-2</v>
      </c>
      <c r="G51" s="53"/>
    </row>
    <row r="52" spans="1:7" x14ac:dyDescent="0.15">
      <c r="E52" t="s">
        <v>249</v>
      </c>
      <c r="F52" s="53">
        <f ca="1">SUMIF(tables_552010!I:I,input_552010!E52,tables_552010!P:P)</f>
        <v>1.9499999998645811E-3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8"/>
  <sheetViews>
    <sheetView showGridLines="0" zoomScale="75" zoomScaleNormal="75" zoomScalePageLayoutView="75" workbookViewId="0">
      <pane ySplit="1" topLeftCell="A337" activePane="bottomLeft" state="frozen"/>
      <selection activeCell="H276" sqref="H276"/>
      <selection pane="bottomLeft" activeCell="B356" sqref="B356: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input_552010!A$2</f>
        <v>552010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IFERROR(VLOOKUP(B2,input_552010!L:R,7,FALSE),VLOOKUP(tables_552010!C2,input_552010!A:H,8,FALSE))</f>
        <v>18264</v>
      </c>
      <c r="P2" s="44">
        <f t="shared" ref="P2:P65" ca="1" si="1">O2/SUM(O:O)</f>
        <v>3.1708333331131326E-3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input_552010!A$2</f>
        <v>552010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IFERROR(VLOOKUP(B3,input_552010!L:R,7,FALSE),VLOOKUP(tables_552010!C3,input_552010!A:H,8,FALSE))</f>
        <v>22830</v>
      </c>
      <c r="P3" s="44">
        <f t="shared" ca="1" si="1"/>
        <v>3.9635416663914161E-3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input_552010!A$2</f>
        <v>552010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IFERROR(VLOOKUP(B4,input_552010!L:R,7,FALSE),VLOOKUP(tables_552010!C4,input_552010!A:H,8,FALSE))</f>
        <v>18264</v>
      </c>
      <c r="P4" s="44">
        <f t="shared" ca="1" si="1"/>
        <v>3.1708333331131326E-3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input_552010!A$2</f>
        <v>552010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IFERROR(VLOOKUP(B5,input_552010!L:R,7,FALSE),VLOOKUP(tables_552010!C5,input_552010!A:H,8,FALSE))</f>
        <v>22830</v>
      </c>
      <c r="P5" s="44">
        <f t="shared" ca="1" si="1"/>
        <v>3.9635416663914161E-3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input_552010!A$2</f>
        <v>552010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IFERROR(VLOOKUP(B6,input_552010!L:R,7,FALSE),VLOOKUP(tables_552010!C6,input_552010!A:H,8,FALSE))</f>
        <v>18264</v>
      </c>
      <c r="P6" s="44">
        <f t="shared" ca="1" si="1"/>
        <v>3.1708333331131326E-3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input_552010!A$2</f>
        <v>552010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IFERROR(VLOOKUP(B7,input_552010!L:R,7,FALSE),VLOOKUP(tables_552010!C7,input_552010!A:H,8,FALSE))</f>
        <v>22830</v>
      </c>
      <c r="P7" s="44">
        <f t="shared" ca="1" si="1"/>
        <v>3.9635416663914161E-3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input_552010!A$2</f>
        <v>552010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IFERROR(VLOOKUP(B8,input_552010!L:R,7,FALSE),VLOOKUP(tables_552010!C8,input_552010!A:H,8,FALSE))</f>
        <v>18264</v>
      </c>
      <c r="P8" s="44">
        <f t="shared" ca="1" si="1"/>
        <v>3.1708333331131326E-3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input_552010!A$2</f>
        <v>552010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IFERROR(VLOOKUP(B9,input_552010!L:R,7,FALSE),VLOOKUP(tables_552010!C9,input_552010!A:H,8,FALSE))</f>
        <v>22830</v>
      </c>
      <c r="P9" s="44">
        <f t="shared" ca="1" si="1"/>
        <v>3.9635416663914161E-3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input_552010!A$2</f>
        <v>552010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IFERROR(VLOOKUP(B10,input_552010!L:R,7,FALSE),VLOOKUP(tables_552010!C10,input_552010!A:H,8,FALSE))</f>
        <v>18264</v>
      </c>
      <c r="P10" s="44">
        <f t="shared" ca="1" si="1"/>
        <v>3.1708333331131326E-3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input_552010!A$2</f>
        <v>552010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IFERROR(VLOOKUP(B11,input_552010!L:R,7,FALSE),VLOOKUP(tables_552010!C11,input_552010!A:H,8,FALSE))</f>
        <v>22830</v>
      </c>
      <c r="P11" s="44">
        <f t="shared" ca="1" si="1"/>
        <v>3.9635416663914161E-3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input_552010!A$2</f>
        <v>552010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IFERROR(VLOOKUP(B12,input_552010!L:R,7,FALSE),VLOOKUP(tables_552010!C12,input_552010!A:H,8,FALSE))</f>
        <v>18264</v>
      </c>
      <c r="P12" s="44">
        <f t="shared" ca="1" si="1"/>
        <v>3.1708333331131326E-3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input_552010!A$2</f>
        <v>552010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IFERROR(VLOOKUP(B13,input_552010!L:R,7,FALSE),VLOOKUP(tables_552010!C13,input_552010!A:H,8,FALSE))</f>
        <v>22830</v>
      </c>
      <c r="P13" s="44">
        <f t="shared" ca="1" si="1"/>
        <v>3.9635416663914161E-3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input_552010!A$2</f>
        <v>552010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IFERROR(VLOOKUP(B14,input_552010!L:R,7,FALSE),VLOOKUP(tables_552010!C14,input_552010!A:H,8,FALSE))</f>
        <v>18264</v>
      </c>
      <c r="P14" s="44">
        <f t="shared" ca="1" si="1"/>
        <v>3.1708333331131326E-3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input_552010!A$2</f>
        <v>552010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IFERROR(VLOOKUP(B15,input_552010!L:R,7,FALSE),VLOOKUP(tables_552010!C15,input_552010!A:H,8,FALSE))</f>
        <v>22830</v>
      </c>
      <c r="P15" s="44">
        <f t="shared" ca="1" si="1"/>
        <v>3.9635416663914161E-3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input_552010!A$2</f>
        <v>552010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IFERROR(VLOOKUP(B16,input_552010!L:R,7,FALSE),VLOOKUP(tables_552010!C16,input_552010!A:H,8,FALSE))</f>
        <v>18264</v>
      </c>
      <c r="P16" s="44">
        <f t="shared" ca="1" si="1"/>
        <v>3.1708333331131326E-3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input_552010!A$2</f>
        <v>552010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IFERROR(VLOOKUP(B17,input_552010!L:R,7,FALSE),VLOOKUP(tables_552010!C17,input_552010!A:H,8,FALSE))</f>
        <v>22830</v>
      </c>
      <c r="P17" s="44">
        <f t="shared" ca="1" si="1"/>
        <v>3.9635416663914161E-3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input_552010!A$2</f>
        <v>552010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IFERROR(VLOOKUP(B18,input_552010!L:R,7,FALSE),VLOOKUP(tables_552010!C18,input_552010!A:H,8,FALSE))</f>
        <v>18264</v>
      </c>
      <c r="P18" s="44">
        <f t="shared" ca="1" si="1"/>
        <v>3.1708333331131326E-3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input_552010!A$2</f>
        <v>552010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IFERROR(VLOOKUP(B19,input_552010!L:R,7,FALSE),VLOOKUP(tables_552010!C19,input_552010!A:H,8,FALSE))</f>
        <v>22830</v>
      </c>
      <c r="P19" s="44">
        <f t="shared" ca="1" si="1"/>
        <v>3.9635416663914161E-3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input_552010!A$2</f>
        <v>552010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IFERROR(VLOOKUP(B20,input_552010!L:R,7,FALSE),VLOOKUP(tables_552010!C20,input_552010!A:H,8,FALSE))</f>
        <v>18264</v>
      </c>
      <c r="P20" s="44">
        <f t="shared" ca="1" si="1"/>
        <v>3.1708333331131326E-3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input_552010!A$2</f>
        <v>552010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IFERROR(VLOOKUP(B21,input_552010!L:R,7,FALSE),VLOOKUP(tables_552010!C21,input_552010!A:H,8,FALSE))</f>
        <v>22830</v>
      </c>
      <c r="P21" s="44">
        <f t="shared" ca="1" si="1"/>
        <v>3.9635416663914161E-3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input_552010!A$2</f>
        <v>552010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IFERROR(VLOOKUP(B22,input_552010!L:R,7,FALSE),VLOOKUP(tables_552010!C22,input_552010!A:H,8,FALSE))</f>
        <v>18264</v>
      </c>
      <c r="P22" s="44">
        <f t="shared" ca="1" si="1"/>
        <v>3.1708333331131326E-3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input_552010!A$2</f>
        <v>552010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IFERROR(VLOOKUP(B23,input_552010!L:R,7,FALSE),VLOOKUP(tables_552010!C23,input_552010!A:H,8,FALSE))</f>
        <v>22830</v>
      </c>
      <c r="P23" s="44">
        <f t="shared" ca="1" si="1"/>
        <v>3.9635416663914161E-3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input_552010!A$2</f>
        <v>552010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IFERROR(VLOOKUP(B24,input_552010!L:R,7,FALSE),VLOOKUP(tables_552010!C24,input_552010!A:H,8,FALSE))</f>
        <v>18264</v>
      </c>
      <c r="P24" s="44">
        <f t="shared" ca="1" si="1"/>
        <v>3.1708333331131326E-3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input_552010!A$2</f>
        <v>552010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IFERROR(VLOOKUP(B25,input_552010!L:R,7,FALSE),VLOOKUP(tables_552010!C25,input_552010!A:H,8,FALSE))</f>
        <v>22830</v>
      </c>
      <c r="P25" s="44">
        <f t="shared" ca="1" si="1"/>
        <v>3.9635416663914161E-3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input_552010!A$2</f>
        <v>552010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IFERROR(VLOOKUP(B26,input_552010!L:R,7,FALSE),VLOOKUP(tables_552010!C26,input_552010!A:H,8,FALSE))</f>
        <v>18264</v>
      </c>
      <c r="P26" s="44">
        <f t="shared" ca="1" si="1"/>
        <v>3.1708333331131326E-3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input_552010!A$2</f>
        <v>552010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IFERROR(VLOOKUP(B27,input_552010!L:R,7,FALSE),VLOOKUP(tables_552010!C27,input_552010!A:H,8,FALSE))</f>
        <v>22830</v>
      </c>
      <c r="P27" s="44">
        <f t="shared" ca="1" si="1"/>
        <v>3.9635416663914161E-3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input_552010!A$2</f>
        <v>552010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IFERROR(VLOOKUP(B28,input_552010!L:R,7,FALSE),VLOOKUP(tables_552010!C28,input_552010!A:H,8,FALSE))</f>
        <v>18264</v>
      </c>
      <c r="P28" s="44">
        <f t="shared" ca="1" si="1"/>
        <v>3.1708333331131326E-3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input_552010!A$2</f>
        <v>552010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IFERROR(VLOOKUP(B29,input_552010!L:R,7,FALSE),VLOOKUP(tables_552010!C29,input_552010!A:H,8,FALSE))</f>
        <v>22830</v>
      </c>
      <c r="P29" s="44">
        <f t="shared" ca="1" si="1"/>
        <v>3.9635416663914161E-3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input_552010!A$2</f>
        <v>552010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IFERROR(VLOOKUP(B30,input_552010!L:R,7,FALSE),VLOOKUP(tables_552010!C30,input_552010!A:H,8,FALSE))</f>
        <v>18264</v>
      </c>
      <c r="P30" s="44">
        <f t="shared" ca="1" si="1"/>
        <v>3.1708333331131326E-3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input_552010!A$2</f>
        <v>552010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IFERROR(VLOOKUP(B31,input_552010!L:R,7,FALSE),VLOOKUP(tables_552010!C31,input_552010!A:H,8,FALSE))</f>
        <v>22830</v>
      </c>
      <c r="P31" s="44">
        <f t="shared" ca="1" si="1"/>
        <v>3.9635416663914161E-3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input_552010!A$2</f>
        <v>552010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IFERROR(VLOOKUP(B32,input_552010!L:R,7,FALSE),VLOOKUP(tables_552010!C32,input_552010!A:H,8,FALSE))</f>
        <v>18264</v>
      </c>
      <c r="P32" s="44">
        <f t="shared" ca="1" si="1"/>
        <v>3.1708333331131326E-3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input_552010!A$2</f>
        <v>552010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IFERROR(VLOOKUP(B33,input_552010!L:R,7,FALSE),VLOOKUP(tables_552010!C33,input_552010!A:H,8,FALSE))</f>
        <v>22830</v>
      </c>
      <c r="P33" s="44">
        <f t="shared" ca="1" si="1"/>
        <v>3.9635416663914161E-3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input_552010!A$2</f>
        <v>552010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IFERROR(VLOOKUP(B34,input_552010!L:R,7,FALSE),VLOOKUP(tables_552010!C34,input_552010!A:H,8,FALSE))</f>
        <v>18264</v>
      </c>
      <c r="P34" s="44">
        <f t="shared" ca="1" si="1"/>
        <v>3.1708333331131326E-3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input_552010!A$2</f>
        <v>552010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IFERROR(VLOOKUP(B35,input_552010!L:R,7,FALSE),VLOOKUP(tables_552010!C35,input_552010!A:H,8,FALSE))</f>
        <v>22830</v>
      </c>
      <c r="P35" s="44">
        <f t="shared" ca="1" si="1"/>
        <v>3.9635416663914161E-3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input_552010!A$2</f>
        <v>552010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IFERROR(VLOOKUP(B36,input_552010!L:R,7,FALSE),VLOOKUP(tables_552010!C36,input_552010!A:H,8,FALSE))</f>
        <v>18264</v>
      </c>
      <c r="P36" s="44">
        <f t="shared" ca="1" si="1"/>
        <v>3.1708333331131326E-3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input_552010!A$2</f>
        <v>552010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IFERROR(VLOOKUP(B37,input_552010!L:R,7,FALSE),VLOOKUP(tables_552010!C37,input_552010!A:H,8,FALSE))</f>
        <v>22830</v>
      </c>
      <c r="P37" s="44">
        <f t="shared" ca="1" si="1"/>
        <v>3.9635416663914161E-3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input_552010!A$2</f>
        <v>552010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IFERROR(VLOOKUP(B38,input_552010!L:R,7,FALSE),VLOOKUP(tables_552010!C38,input_552010!A:H,8,FALSE))</f>
        <v>18264</v>
      </c>
      <c r="P38" s="44">
        <f t="shared" ca="1" si="1"/>
        <v>3.1708333331131326E-3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input_552010!A$2</f>
        <v>552010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IFERROR(VLOOKUP(B39,input_552010!L:R,7,FALSE),VLOOKUP(tables_552010!C39,input_552010!A:H,8,FALSE))</f>
        <v>22830</v>
      </c>
      <c r="P39" s="44">
        <f t="shared" ca="1" si="1"/>
        <v>3.9635416663914161E-3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input_552010!A$2</f>
        <v>552010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IFERROR(VLOOKUP(B40,input_552010!L:R,7,FALSE),VLOOKUP(tables_552010!C40,input_552010!A:H,8,FALSE))</f>
        <v>18264</v>
      </c>
      <c r="P40" s="44">
        <f t="shared" ca="1" si="1"/>
        <v>3.1708333331131326E-3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input_552010!A$2</f>
        <v>552010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IFERROR(VLOOKUP(B41,input_552010!L:R,7,FALSE),VLOOKUP(tables_552010!C41,input_552010!A:H,8,FALSE))</f>
        <v>22830</v>
      </c>
      <c r="P41" s="44">
        <f t="shared" ca="1" si="1"/>
        <v>3.9635416663914161E-3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input_552010!A$2</f>
        <v>552010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IFERROR(VLOOKUP(B42,input_552010!L:R,7,FALSE),VLOOKUP(tables_552010!C42,input_552010!A:H,8,FALSE))</f>
        <v>18264</v>
      </c>
      <c r="P42" s="44">
        <f t="shared" ca="1" si="1"/>
        <v>3.1708333331131326E-3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input_552010!A$2</f>
        <v>552010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IFERROR(VLOOKUP(B43,input_552010!L:R,7,FALSE),VLOOKUP(tables_552010!C43,input_552010!A:H,8,FALSE))</f>
        <v>45660.000050000002</v>
      </c>
      <c r="P43" s="44">
        <f t="shared" ca="1" si="1"/>
        <v>7.9270833414633885E-3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input_552010!A$2</f>
        <v>552010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IFERROR(VLOOKUP(B44,input_552010!L:R,7,FALSE),VLOOKUP(tables_552010!C44,input_552010!A:H,8,FALSE))</f>
        <v>4566</v>
      </c>
      <c r="P44" s="44">
        <f t="shared" ca="1" si="1"/>
        <v>7.9270833327828316E-4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input_552010!A$2</f>
        <v>552010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IFERROR(VLOOKUP(B45,input_552010!L:R,7,FALSE),VLOOKUP(tables_552010!C45,input_552010!A:H,8,FALSE))</f>
        <v>18264</v>
      </c>
      <c r="P45" s="44">
        <f t="shared" ca="1" si="1"/>
        <v>3.1708333331131326E-3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input_552010!A$2</f>
        <v>552010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IFERROR(VLOOKUP(B46,input_552010!L:R,7,FALSE),VLOOKUP(tables_552010!C46,input_552010!A:H,8,FALSE))</f>
        <v>45660.000050000002</v>
      </c>
      <c r="P46" s="44">
        <f t="shared" ca="1" si="1"/>
        <v>7.9270833414633885E-3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input_552010!A$2</f>
        <v>552010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IFERROR(VLOOKUP(B47,input_552010!L:R,7,FALSE),VLOOKUP(tables_552010!C47,input_552010!A:H,8,FALSE))</f>
        <v>4566</v>
      </c>
      <c r="P47" s="44">
        <f t="shared" ca="1" si="1"/>
        <v>7.9270833327828316E-4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input_552010!A$2</f>
        <v>552010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IFERROR(VLOOKUP(B48,input_552010!L:R,7,FALSE),VLOOKUP(tables_552010!C48,input_552010!A:H,8,FALSE))</f>
        <v>18264</v>
      </c>
      <c r="P48" s="44">
        <f t="shared" ca="1" si="1"/>
        <v>3.1708333331131326E-3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input_552010!A$2</f>
        <v>552010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IFERROR(VLOOKUP(B49,input_552010!L:R,7,FALSE),VLOOKUP(tables_552010!C49,input_552010!A:H,8,FALSE))</f>
        <v>45660.000050000002</v>
      </c>
      <c r="P49" s="44">
        <f t="shared" ca="1" si="1"/>
        <v>7.9270833414633885E-3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input_552010!A$2</f>
        <v>552010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IFERROR(VLOOKUP(B50,input_552010!L:R,7,FALSE),VLOOKUP(tables_552010!C50,input_552010!A:H,8,FALSE))</f>
        <v>4566</v>
      </c>
      <c r="P50" s="44">
        <f t="shared" ca="1" si="1"/>
        <v>7.9270833327828316E-4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input_552010!A$2</f>
        <v>552010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IFERROR(VLOOKUP(B51,input_552010!L:R,7,FALSE),VLOOKUP(tables_552010!C51,input_552010!A:H,8,FALSE))</f>
        <v>18264</v>
      </c>
      <c r="P51" s="44">
        <f t="shared" ca="1" si="1"/>
        <v>3.1708333331131326E-3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input_552010!A$2</f>
        <v>552010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IFERROR(VLOOKUP(B52,input_552010!L:R,7,FALSE),VLOOKUP(tables_552010!C52,input_552010!A:H,8,FALSE))</f>
        <v>26109</v>
      </c>
      <c r="P52" s="44">
        <f t="shared" ca="1" si="1"/>
        <v>4.5328124996852157E-3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input_552010!A$2</f>
        <v>552010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IFERROR(VLOOKUP(B53,input_552010!L:R,7,FALSE),VLOOKUP(tables_552010!C53,input_552010!A:H,8,FALSE))</f>
        <v>1287</v>
      </c>
      <c r="P53" s="44">
        <f t="shared" ca="1" si="1"/>
        <v>2.2343749998448325E-4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input_552010!A$2</f>
        <v>552010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IFERROR(VLOOKUP(B54,input_552010!L:R,7,FALSE),VLOOKUP(tables_552010!C54,input_552010!A:H,8,FALSE))</f>
        <v>18264</v>
      </c>
      <c r="P54" s="44">
        <f t="shared" ca="1" si="1"/>
        <v>3.1708333331131326E-3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input_552010!A$2</f>
        <v>552010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IFERROR(VLOOKUP(B55,input_552010!L:R,7,FALSE),VLOOKUP(tables_552010!C55,input_552010!A:H,8,FALSE))</f>
        <v>26109</v>
      </c>
      <c r="P55" s="44">
        <f t="shared" ca="1" si="1"/>
        <v>4.5328124996852157E-3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input_552010!A$2</f>
        <v>552010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IFERROR(VLOOKUP(B56,input_552010!L:R,7,FALSE),VLOOKUP(tables_552010!C56,input_552010!A:H,8,FALSE))</f>
        <v>1287</v>
      </c>
      <c r="P56" s="44">
        <f t="shared" ca="1" si="1"/>
        <v>2.2343749998448325E-4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input_552010!A$2</f>
        <v>552010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IFERROR(VLOOKUP(B57,input_552010!L:R,7,FALSE),VLOOKUP(tables_552010!C57,input_552010!A:H,8,FALSE))</f>
        <v>18264</v>
      </c>
      <c r="P57" s="44">
        <f t="shared" ca="1" si="1"/>
        <v>3.1708333331131326E-3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input_552010!A$2</f>
        <v>552010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IFERROR(VLOOKUP(B58,input_552010!L:R,7,FALSE),VLOOKUP(tables_552010!C58,input_552010!A:H,8,FALSE))</f>
        <v>26109</v>
      </c>
      <c r="P58" s="44">
        <f t="shared" ca="1" si="1"/>
        <v>4.5328124996852157E-3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input_552010!A$2</f>
        <v>552010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IFERROR(VLOOKUP(B59,input_552010!L:R,7,FALSE),VLOOKUP(tables_552010!C59,input_552010!A:H,8,FALSE))</f>
        <v>1287</v>
      </c>
      <c r="P59" s="44">
        <f t="shared" ca="1" si="1"/>
        <v>2.2343749998448325E-4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input_552010!A$2</f>
        <v>552010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IFERROR(VLOOKUP(B60,input_552010!L:R,7,FALSE),VLOOKUP(tables_552010!C60,input_552010!A:H,8,FALSE))</f>
        <v>18264</v>
      </c>
      <c r="P60" s="44">
        <f t="shared" ca="1" si="1"/>
        <v>3.1708333331131326E-3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input_552010!A$2</f>
        <v>552010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IFERROR(VLOOKUP(B61,input_552010!L:R,7,FALSE),VLOOKUP(tables_552010!C61,input_552010!A:H,8,FALSE))</f>
        <v>26109</v>
      </c>
      <c r="P61" s="44">
        <f t="shared" ca="1" si="1"/>
        <v>4.5328124996852157E-3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input_552010!A$2</f>
        <v>552010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IFERROR(VLOOKUP(B62,input_552010!L:R,7,FALSE),VLOOKUP(tables_552010!C62,input_552010!A:H,8,FALSE))</f>
        <v>1287</v>
      </c>
      <c r="P62" s="44">
        <f t="shared" ca="1" si="1"/>
        <v>2.2343749998448325E-4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input_552010!A$2</f>
        <v>552010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IFERROR(VLOOKUP(B63,input_552010!L:R,7,FALSE),VLOOKUP(tables_552010!C63,input_552010!A:H,8,FALSE))</f>
        <v>18264</v>
      </c>
      <c r="P63" s="44">
        <f t="shared" ca="1" si="1"/>
        <v>3.1708333331131326E-3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input_552010!A$2</f>
        <v>552010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IFERROR(VLOOKUP(B64,input_552010!L:R,7,FALSE),VLOOKUP(tables_552010!C64,input_552010!A:H,8,FALSE))</f>
        <v>26109</v>
      </c>
      <c r="P64" s="44">
        <f t="shared" ca="1" si="1"/>
        <v>4.5328124996852157E-3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input_552010!A$2</f>
        <v>552010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IFERROR(VLOOKUP(B65,input_552010!L:R,7,FALSE),VLOOKUP(tables_552010!C65,input_552010!A:H,8,FALSE))</f>
        <v>1287</v>
      </c>
      <c r="P65" s="44">
        <f t="shared" ca="1" si="1"/>
        <v>2.2343749998448325E-4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input_552010!A$2</f>
        <v>552010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IFERROR(VLOOKUP(B66,input_552010!L:R,7,FALSE),VLOOKUP(tables_552010!C66,input_552010!A:H,8,FALSE))</f>
        <v>18264</v>
      </c>
      <c r="P66" s="44">
        <f t="shared" ref="P66:P129" ca="1" si="4">O66/SUM(O:O)</f>
        <v>3.1708333331131326E-3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input_552010!A$2</f>
        <v>552010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IFERROR(VLOOKUP(B67,input_552010!L:R,7,FALSE),VLOOKUP(tables_552010!C67,input_552010!A:H,8,FALSE))</f>
        <v>26109</v>
      </c>
      <c r="P67" s="44">
        <f t="shared" ca="1" si="4"/>
        <v>4.5328124996852157E-3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input_552010!A$2</f>
        <v>552010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IFERROR(VLOOKUP(B68,input_552010!L:R,7,FALSE),VLOOKUP(tables_552010!C68,input_552010!A:H,8,FALSE))</f>
        <v>1287</v>
      </c>
      <c r="P68" s="44">
        <f t="shared" ca="1" si="4"/>
        <v>2.2343749998448325E-4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input_552010!A$2</f>
        <v>552010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IFERROR(VLOOKUP(B69,input_552010!L:R,7,FALSE),VLOOKUP(tables_552010!C69,input_552010!A:H,8,FALSE))</f>
        <v>18264</v>
      </c>
      <c r="P69" s="44">
        <f t="shared" ca="1" si="4"/>
        <v>3.1708333331131326E-3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input_552010!A$2</f>
        <v>552010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IFERROR(VLOOKUP(B70,input_552010!L:R,7,FALSE),VLOOKUP(tables_552010!C70,input_552010!A:H,8,FALSE))</f>
        <v>26109</v>
      </c>
      <c r="P70" s="44">
        <f t="shared" ca="1" si="4"/>
        <v>4.5328124996852157E-3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input_552010!A$2</f>
        <v>552010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IFERROR(VLOOKUP(B71,input_552010!L:R,7,FALSE),VLOOKUP(tables_552010!C71,input_552010!A:H,8,FALSE))</f>
        <v>1287</v>
      </c>
      <c r="P71" s="44">
        <f t="shared" ca="1" si="4"/>
        <v>2.2343749998448325E-4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input_552010!A$2</f>
        <v>552010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IFERROR(VLOOKUP(B72,input_552010!L:R,7,FALSE),VLOOKUP(tables_552010!C72,input_552010!A:H,8,FALSE))</f>
        <v>18264</v>
      </c>
      <c r="P72" s="44">
        <f t="shared" ca="1" si="4"/>
        <v>3.1708333331131326E-3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input_552010!A$2</f>
        <v>552010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IFERROR(VLOOKUP(B73,input_552010!L:R,7,FALSE),VLOOKUP(tables_552010!C73,input_552010!A:H,8,FALSE))</f>
        <v>26109</v>
      </c>
      <c r="P73" s="44">
        <f t="shared" ca="1" si="4"/>
        <v>4.5328124996852157E-3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input_552010!A$2</f>
        <v>552010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IFERROR(VLOOKUP(B74,input_552010!L:R,7,FALSE),VLOOKUP(tables_552010!C74,input_552010!A:H,8,FALSE))</f>
        <v>1287</v>
      </c>
      <c r="P74" s="44">
        <f t="shared" ca="1" si="4"/>
        <v>2.2343749998448325E-4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input_552010!A$2</f>
        <v>552010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IFERROR(VLOOKUP(B75,input_552010!L:R,7,FALSE),VLOOKUP(tables_552010!C75,input_552010!A:H,8,FALSE))</f>
        <v>18264</v>
      </c>
      <c r="P75" s="44">
        <f t="shared" ca="1" si="4"/>
        <v>3.1708333331131326E-3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input_552010!A$2</f>
        <v>552010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IFERROR(VLOOKUP(B76,input_552010!L:R,7,FALSE),VLOOKUP(tables_552010!C76,input_552010!A:H,8,FALSE))</f>
        <v>26109</v>
      </c>
      <c r="P76" s="44">
        <f t="shared" ca="1" si="4"/>
        <v>4.5328124996852157E-3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input_552010!A$2</f>
        <v>552010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IFERROR(VLOOKUP(B77,input_552010!L:R,7,FALSE),VLOOKUP(tables_552010!C77,input_552010!A:H,8,FALSE))</f>
        <v>1287</v>
      </c>
      <c r="P77" s="44">
        <f t="shared" ca="1" si="4"/>
        <v>2.2343749998448325E-4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input_552010!A$2</f>
        <v>552010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IFERROR(VLOOKUP(B78,input_552010!L:R,7,FALSE),VLOOKUP(tables_552010!C78,input_552010!A:H,8,FALSE))</f>
        <v>18264</v>
      </c>
      <c r="P78" s="44">
        <f t="shared" ca="1" si="4"/>
        <v>3.1708333331131326E-3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input_552010!A$2</f>
        <v>552010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IFERROR(VLOOKUP(B79,input_552010!L:R,7,FALSE),VLOOKUP(tables_552010!C79,input_552010!A:H,8,FALSE))</f>
        <v>26109</v>
      </c>
      <c r="P79" s="44">
        <f t="shared" ca="1" si="4"/>
        <v>4.5328124996852157E-3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input_552010!A$2</f>
        <v>552010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IFERROR(VLOOKUP(B80,input_552010!L:R,7,FALSE),VLOOKUP(tables_552010!C80,input_552010!A:H,8,FALSE))</f>
        <v>1287</v>
      </c>
      <c r="P80" s="44">
        <f t="shared" ca="1" si="4"/>
        <v>2.2343749998448325E-4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input_552010!A$2</f>
        <v>552010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IFERROR(VLOOKUP(B81,input_552010!L:R,7,FALSE),VLOOKUP(tables_552010!C81,input_552010!A:H,8,FALSE))</f>
        <v>18264</v>
      </c>
      <c r="P81" s="44">
        <f t="shared" ca="1" si="4"/>
        <v>3.1708333331131326E-3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input_552010!A$2</f>
        <v>552010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IFERROR(VLOOKUP(B82,input_552010!L:R,7,FALSE),VLOOKUP(tables_552010!C82,input_552010!A:H,8,FALSE))</f>
        <v>26109</v>
      </c>
      <c r="P82" s="44">
        <f t="shared" ca="1" si="4"/>
        <v>4.5328124996852157E-3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input_552010!A$2</f>
        <v>552010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IFERROR(VLOOKUP(B83,input_552010!L:R,7,FALSE),VLOOKUP(tables_552010!C83,input_552010!A:H,8,FALSE))</f>
        <v>1287</v>
      </c>
      <c r="P83" s="44">
        <f t="shared" ca="1" si="4"/>
        <v>2.2343749998448325E-4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input_552010!A$2</f>
        <v>552010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IFERROR(VLOOKUP(B84,input_552010!L:R,7,FALSE),VLOOKUP(tables_552010!C84,input_552010!A:H,8,FALSE))</f>
        <v>18264</v>
      </c>
      <c r="P84" s="44">
        <f t="shared" ca="1" si="4"/>
        <v>3.1708333331131326E-3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input_552010!A$2</f>
        <v>552010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IFERROR(VLOOKUP(B85,input_552010!L:R,7,FALSE),VLOOKUP(tables_552010!C85,input_552010!A:H,8,FALSE))</f>
        <v>26109</v>
      </c>
      <c r="P85" s="44">
        <f t="shared" ca="1" si="4"/>
        <v>4.5328124996852157E-3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input_552010!A$2</f>
        <v>552010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IFERROR(VLOOKUP(B86,input_552010!L:R,7,FALSE),VLOOKUP(tables_552010!C86,input_552010!A:H,8,FALSE))</f>
        <v>1287</v>
      </c>
      <c r="P86" s="44">
        <f t="shared" ca="1" si="4"/>
        <v>2.2343749998448325E-4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input_552010!A$2</f>
        <v>552010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IFERROR(VLOOKUP(B87,input_552010!L:R,7,FALSE),VLOOKUP(tables_552010!C87,input_552010!A:H,8,FALSE))</f>
        <v>18264</v>
      </c>
      <c r="P87" s="44">
        <f t="shared" ca="1" si="4"/>
        <v>3.1708333331131326E-3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input_552010!A$2</f>
        <v>552010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IFERROR(VLOOKUP(B88,input_552010!L:R,7,FALSE),VLOOKUP(tables_552010!C88,input_552010!A:H,8,FALSE))</f>
        <v>26109</v>
      </c>
      <c r="P88" s="44">
        <f t="shared" ca="1" si="4"/>
        <v>4.5328124996852157E-3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input_552010!A$2</f>
        <v>552010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IFERROR(VLOOKUP(B89,input_552010!L:R,7,FALSE),VLOOKUP(tables_552010!C89,input_552010!A:H,8,FALSE))</f>
        <v>1287</v>
      </c>
      <c r="P89" s="44">
        <f t="shared" ca="1" si="4"/>
        <v>2.2343749998448325E-4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input_552010!A$2</f>
        <v>552010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IFERROR(VLOOKUP(B90,input_552010!L:R,7,FALSE),VLOOKUP(tables_552010!C90,input_552010!A:H,8,FALSE))</f>
        <v>18264</v>
      </c>
      <c r="P90" s="44">
        <f t="shared" ca="1" si="4"/>
        <v>3.1708333331131326E-3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input_552010!A$2</f>
        <v>552010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IFERROR(VLOOKUP(B91,input_552010!L:R,7,FALSE),VLOOKUP(tables_552010!C91,input_552010!A:H,8,FALSE))</f>
        <v>26109</v>
      </c>
      <c r="P91" s="44">
        <f t="shared" ca="1" si="4"/>
        <v>4.5328124996852157E-3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input_552010!A$2</f>
        <v>552010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IFERROR(VLOOKUP(B92,input_552010!L:R,7,FALSE),VLOOKUP(tables_552010!C92,input_552010!A:H,8,FALSE))</f>
        <v>1287</v>
      </c>
      <c r="P92" s="44">
        <f t="shared" ca="1" si="4"/>
        <v>2.2343749998448325E-4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input_552010!A$2</f>
        <v>552010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IFERROR(VLOOKUP(B93,input_552010!L:R,7,FALSE),VLOOKUP(tables_552010!C93,input_552010!A:H,8,FALSE))</f>
        <v>18264</v>
      </c>
      <c r="P93" s="44">
        <f t="shared" ca="1" si="4"/>
        <v>3.1708333331131326E-3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input_552010!A$2</f>
        <v>552010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IFERROR(VLOOKUP(B94,input_552010!L:R,7,FALSE),VLOOKUP(tables_552010!C94,input_552010!A:H,8,FALSE))</f>
        <v>26109</v>
      </c>
      <c r="P94" s="44">
        <f t="shared" ca="1" si="4"/>
        <v>4.5328124996852157E-3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input_552010!A$2</f>
        <v>552010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IFERROR(VLOOKUP(B95,input_552010!L:R,7,FALSE),VLOOKUP(tables_552010!C95,input_552010!A:H,8,FALSE))</f>
        <v>1287</v>
      </c>
      <c r="P95" s="44">
        <f t="shared" ca="1" si="4"/>
        <v>2.2343749998448325E-4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input_552010!A$2</f>
        <v>552010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IFERROR(VLOOKUP(B96,input_552010!L:R,7,FALSE),VLOOKUP(tables_552010!C96,input_552010!A:H,8,FALSE))</f>
        <v>18264</v>
      </c>
      <c r="P96" s="44">
        <f t="shared" ca="1" si="4"/>
        <v>3.1708333331131326E-3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input_552010!A$2</f>
        <v>552010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IFERROR(VLOOKUP(B97,input_552010!L:R,7,FALSE),VLOOKUP(tables_552010!C97,input_552010!A:H,8,FALSE))</f>
        <v>26109</v>
      </c>
      <c r="P97" s="44">
        <f t="shared" ca="1" si="4"/>
        <v>4.5328124996852157E-3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input_552010!A$2</f>
        <v>552010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IFERROR(VLOOKUP(B98,input_552010!L:R,7,FALSE),VLOOKUP(tables_552010!C98,input_552010!A:H,8,FALSE))</f>
        <v>1287</v>
      </c>
      <c r="P98" s="44">
        <f t="shared" ca="1" si="4"/>
        <v>2.2343749998448325E-4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input_552010!A$2</f>
        <v>552010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IFERROR(VLOOKUP(B99,input_552010!L:R,7,FALSE),VLOOKUP(tables_552010!C99,input_552010!A:H,8,FALSE))</f>
        <v>18264</v>
      </c>
      <c r="P99" s="44">
        <f t="shared" ca="1" si="4"/>
        <v>3.1708333331131326E-3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input_552010!A$2</f>
        <v>552010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IFERROR(VLOOKUP(B100,input_552010!L:R,7,FALSE),VLOOKUP(tables_552010!C100,input_552010!A:H,8,FALSE))</f>
        <v>26109</v>
      </c>
      <c r="P100" s="44">
        <f t="shared" ca="1" si="4"/>
        <v>4.5328124996852157E-3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input_552010!A$2</f>
        <v>552010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IFERROR(VLOOKUP(B101,input_552010!L:R,7,FALSE),VLOOKUP(tables_552010!C101,input_552010!A:H,8,FALSE))</f>
        <v>1287</v>
      </c>
      <c r="P101" s="44">
        <f t="shared" ca="1" si="4"/>
        <v>2.2343749998448325E-4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input_552010!A$2</f>
        <v>552010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IFERROR(VLOOKUP(B102,input_552010!L:R,7,FALSE),VLOOKUP(tables_552010!C102,input_552010!A:H,8,FALSE))</f>
        <v>18264</v>
      </c>
      <c r="P102" s="44">
        <f t="shared" ca="1" si="4"/>
        <v>3.1708333331131326E-3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input_552010!A$2</f>
        <v>552010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IFERROR(VLOOKUP(B103,input_552010!L:R,7,FALSE),VLOOKUP(tables_552010!C103,input_552010!A:H,8,FALSE))</f>
        <v>26109</v>
      </c>
      <c r="P103" s="44">
        <f t="shared" ca="1" si="4"/>
        <v>4.5328124996852157E-3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input_552010!A$2</f>
        <v>552010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IFERROR(VLOOKUP(B104,input_552010!L:R,7,FALSE),VLOOKUP(tables_552010!C104,input_552010!A:H,8,FALSE))</f>
        <v>1287</v>
      </c>
      <c r="P104" s="44">
        <f t="shared" ca="1" si="4"/>
        <v>2.2343749998448325E-4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input_552010!A$2</f>
        <v>552010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IFERROR(VLOOKUP(B105,input_552010!L:R,7,FALSE),VLOOKUP(tables_552010!C105,input_552010!A:H,8,FALSE))</f>
        <v>18264</v>
      </c>
      <c r="P105" s="44">
        <f t="shared" ca="1" si="4"/>
        <v>3.1708333331131326E-3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input_552010!A$2</f>
        <v>552010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IFERROR(VLOOKUP(B106,input_552010!L:R,7,FALSE),VLOOKUP(tables_552010!C106,input_552010!A:H,8,FALSE))</f>
        <v>26109</v>
      </c>
      <c r="P106" s="44">
        <f t="shared" ca="1" si="4"/>
        <v>4.5328124996852157E-3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input_552010!A$2</f>
        <v>552010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IFERROR(VLOOKUP(B107,input_552010!L:R,7,FALSE),VLOOKUP(tables_552010!C107,input_552010!A:H,8,FALSE))</f>
        <v>1287</v>
      </c>
      <c r="P107" s="44">
        <f t="shared" ca="1" si="4"/>
        <v>2.2343749998448325E-4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input_552010!A$2</f>
        <v>552010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IFERROR(VLOOKUP(B108,input_552010!L:R,7,FALSE),VLOOKUP(tables_552010!C108,input_552010!A:H,8,FALSE))</f>
        <v>18264</v>
      </c>
      <c r="P108" s="44">
        <f t="shared" ca="1" si="4"/>
        <v>3.1708333331131326E-3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input_552010!A$2</f>
        <v>552010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IFERROR(VLOOKUP(B109,input_552010!L:R,7,FALSE),VLOOKUP(tables_552010!C109,input_552010!A:H,8,FALSE))</f>
        <v>26109</v>
      </c>
      <c r="P109" s="44">
        <f t="shared" ca="1" si="4"/>
        <v>4.5328124996852157E-3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input_552010!A$2</f>
        <v>552010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IFERROR(VLOOKUP(B110,input_552010!L:R,7,FALSE),VLOOKUP(tables_552010!C110,input_552010!A:H,8,FALSE))</f>
        <v>1287</v>
      </c>
      <c r="P110" s="44">
        <f t="shared" ca="1" si="4"/>
        <v>2.2343749998448325E-4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input_552010!A$2</f>
        <v>552010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IFERROR(VLOOKUP(B111,input_552010!L:R,7,FALSE),VLOOKUP(tables_552010!C111,input_552010!A:H,8,FALSE))</f>
        <v>18264</v>
      </c>
      <c r="P111" s="44">
        <f t="shared" ca="1" si="4"/>
        <v>3.1708333331131326E-3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input_552010!A$2</f>
        <v>552010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IFERROR(VLOOKUP(B112,input_552010!L:R,7,FALSE),VLOOKUP(tables_552010!C112,input_552010!A:H,8,FALSE))</f>
        <v>45660.000050000002</v>
      </c>
      <c r="P112" s="44">
        <f t="shared" ca="1" si="4"/>
        <v>7.9270833414633885E-3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input_552010!A$2</f>
        <v>552010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IFERROR(VLOOKUP(B113,input_552010!L:R,7,FALSE),VLOOKUP(tables_552010!C113,input_552010!A:H,8,FALSE))</f>
        <v>4566</v>
      </c>
      <c r="P113" s="44">
        <f t="shared" ca="1" si="4"/>
        <v>7.9270833327828316E-4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input_552010!A$2</f>
        <v>552010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IFERROR(VLOOKUP(B114,input_552010!L:R,7,FALSE),VLOOKUP(tables_552010!C114,input_552010!A:H,8,FALSE))</f>
        <v>18264</v>
      </c>
      <c r="P114" s="44">
        <f t="shared" ca="1" si="4"/>
        <v>3.1708333331131326E-3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input_552010!A$2</f>
        <v>552010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IFERROR(VLOOKUP(B115,input_552010!L:R,7,FALSE),VLOOKUP(tables_552010!C115,input_552010!A:H,8,FALSE))</f>
        <v>26109</v>
      </c>
      <c r="P115" s="44">
        <f t="shared" ca="1" si="4"/>
        <v>4.5328124996852157E-3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input_552010!A$2</f>
        <v>552010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IFERROR(VLOOKUP(B116,input_552010!L:R,7,FALSE),VLOOKUP(tables_552010!C116,input_552010!A:H,8,FALSE))</f>
        <v>1287</v>
      </c>
      <c r="P116" s="44">
        <f t="shared" ca="1" si="4"/>
        <v>2.2343749998448325E-4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input_552010!A$2</f>
        <v>552010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IFERROR(VLOOKUP(B117,input_552010!L:R,7,FALSE),VLOOKUP(tables_552010!C117,input_552010!A:H,8,FALSE))</f>
        <v>18264</v>
      </c>
      <c r="P117" s="44">
        <f t="shared" ca="1" si="4"/>
        <v>3.1708333331131326E-3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input_552010!A$2</f>
        <v>552010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IFERROR(VLOOKUP(B118,input_552010!L:R,7,FALSE),VLOOKUP(tables_552010!C118,input_552010!A:H,8,FALSE))</f>
        <v>26109</v>
      </c>
      <c r="P118" s="44">
        <f t="shared" ca="1" si="4"/>
        <v>4.5328124996852157E-3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input_552010!A$2</f>
        <v>552010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IFERROR(VLOOKUP(B119,input_552010!L:R,7,FALSE),VLOOKUP(tables_552010!C119,input_552010!A:H,8,FALSE))</f>
        <v>1287</v>
      </c>
      <c r="P119" s="44">
        <f t="shared" ca="1" si="4"/>
        <v>2.2343749998448325E-4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input_552010!A$2</f>
        <v>552010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IFERROR(VLOOKUP(B120,input_552010!L:R,7,FALSE),VLOOKUP(tables_552010!C120,input_552010!A:H,8,FALSE))</f>
        <v>18264</v>
      </c>
      <c r="P120" s="44">
        <f t="shared" ca="1" si="4"/>
        <v>3.1708333331131326E-3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input_552010!A$2</f>
        <v>552010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IFERROR(VLOOKUP(B121,input_552010!L:R,7,FALSE),VLOOKUP(tables_552010!C121,input_552010!A:H,8,FALSE))</f>
        <v>26109</v>
      </c>
      <c r="P121" s="44">
        <f t="shared" ca="1" si="4"/>
        <v>4.5328124996852157E-3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input_552010!A$2</f>
        <v>552010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IFERROR(VLOOKUP(B122,input_552010!L:R,7,FALSE),VLOOKUP(tables_552010!C122,input_552010!A:H,8,FALSE))</f>
        <v>1287</v>
      </c>
      <c r="P122" s="44">
        <f t="shared" ca="1" si="4"/>
        <v>2.2343749998448325E-4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input_552010!A$2</f>
        <v>552010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IFERROR(VLOOKUP(B123,input_552010!L:R,7,FALSE),VLOOKUP(tables_552010!C123,input_552010!A:H,8,FALSE))</f>
        <v>18264</v>
      </c>
      <c r="P123" s="44">
        <f t="shared" ca="1" si="4"/>
        <v>3.1708333331131326E-3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input_552010!A$2</f>
        <v>552010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IFERROR(VLOOKUP(B124,input_552010!L:R,7,FALSE),VLOOKUP(tables_552010!C124,input_552010!A:H,8,FALSE))</f>
        <v>26109</v>
      </c>
      <c r="P124" s="44">
        <f t="shared" ca="1" si="4"/>
        <v>4.5328124996852157E-3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input_552010!A$2</f>
        <v>552010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IFERROR(VLOOKUP(B125,input_552010!L:R,7,FALSE),VLOOKUP(tables_552010!C125,input_552010!A:H,8,FALSE))</f>
        <v>1287</v>
      </c>
      <c r="P125" s="44">
        <f t="shared" ca="1" si="4"/>
        <v>2.2343749998448325E-4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input_552010!A$2</f>
        <v>552010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IFERROR(VLOOKUP(B126,input_552010!L:R,7,FALSE),VLOOKUP(tables_552010!C126,input_552010!A:H,8,FALSE))</f>
        <v>18264</v>
      </c>
      <c r="P126" s="44">
        <f t="shared" ca="1" si="4"/>
        <v>3.1708333331131326E-3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input_552010!A$2</f>
        <v>552010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IFERROR(VLOOKUP(B127,input_552010!L:R,7,FALSE),VLOOKUP(tables_552010!C127,input_552010!A:H,8,FALSE))</f>
        <v>26109</v>
      </c>
      <c r="P127" s="44">
        <f t="shared" ca="1" si="4"/>
        <v>4.5328124996852157E-3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input_552010!A$2</f>
        <v>552010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IFERROR(VLOOKUP(B128,input_552010!L:R,7,FALSE),VLOOKUP(tables_552010!C128,input_552010!A:H,8,FALSE))</f>
        <v>1287</v>
      </c>
      <c r="P128" s="44">
        <f t="shared" ca="1" si="4"/>
        <v>2.2343749998448325E-4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input_552010!A$2</f>
        <v>552010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IFERROR(VLOOKUP(B129,input_552010!L:R,7,FALSE),VLOOKUP(tables_552010!C129,input_552010!A:H,8,FALSE))</f>
        <v>18264</v>
      </c>
      <c r="P129" s="44">
        <f t="shared" ca="1" si="4"/>
        <v>3.1708333331131326E-3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input_552010!A$2</f>
        <v>552010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IFERROR(VLOOKUP(B130,input_552010!L:R,7,FALSE),VLOOKUP(tables_552010!C130,input_552010!A:H,8,FALSE))</f>
        <v>26109</v>
      </c>
      <c r="P130" s="44">
        <f t="shared" ref="P130:P193" ca="1" si="7">O130/SUM(O:O)</f>
        <v>4.5328124996852157E-3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input_552010!A$2</f>
        <v>552010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IFERROR(VLOOKUP(B131,input_552010!L:R,7,FALSE),VLOOKUP(tables_552010!C131,input_552010!A:H,8,FALSE))</f>
        <v>1287</v>
      </c>
      <c r="P131" s="44">
        <f t="shared" ca="1" si="7"/>
        <v>2.2343749998448325E-4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input_552010!A$2</f>
        <v>552010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IFERROR(VLOOKUP(B132,input_552010!L:R,7,FALSE),VLOOKUP(tables_552010!C132,input_552010!A:H,8,FALSE))</f>
        <v>18264</v>
      </c>
      <c r="P132" s="44">
        <f t="shared" ca="1" si="7"/>
        <v>3.1708333331131326E-3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input_552010!A$2</f>
        <v>552010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IFERROR(VLOOKUP(B133,input_552010!L:R,7,FALSE),VLOOKUP(tables_552010!C133,input_552010!A:H,8,FALSE))</f>
        <v>26109</v>
      </c>
      <c r="P133" s="44">
        <f t="shared" ca="1" si="7"/>
        <v>4.5328124996852157E-3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input_552010!A$2</f>
        <v>552010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IFERROR(VLOOKUP(B134,input_552010!L:R,7,FALSE),VLOOKUP(tables_552010!C134,input_552010!A:H,8,FALSE))</f>
        <v>1287</v>
      </c>
      <c r="P134" s="44">
        <f t="shared" ca="1" si="7"/>
        <v>2.2343749998448325E-4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input_552010!A$2</f>
        <v>552010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IFERROR(VLOOKUP(B135,input_552010!L:R,7,FALSE),VLOOKUP(tables_552010!C135,input_552010!A:H,8,FALSE))</f>
        <v>18264</v>
      </c>
      <c r="P135" s="44">
        <f t="shared" ca="1" si="7"/>
        <v>3.1708333331131326E-3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input_552010!A$2</f>
        <v>552010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IFERROR(VLOOKUP(B136,input_552010!L:R,7,FALSE),VLOOKUP(tables_552010!C136,input_552010!A:H,8,FALSE))</f>
        <v>26109</v>
      </c>
      <c r="P136" s="44">
        <f t="shared" ca="1" si="7"/>
        <v>4.5328124996852157E-3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input_552010!A$2</f>
        <v>552010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IFERROR(VLOOKUP(B137,input_552010!L:R,7,FALSE),VLOOKUP(tables_552010!C137,input_552010!A:H,8,FALSE))</f>
        <v>1287</v>
      </c>
      <c r="P137" s="44">
        <f t="shared" ca="1" si="7"/>
        <v>2.2343749998448325E-4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input_552010!A$2</f>
        <v>552010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IFERROR(VLOOKUP(B138,input_552010!L:R,7,FALSE),VLOOKUP(tables_552010!C138,input_552010!A:H,8,FALSE))</f>
        <v>4813.7142899999999</v>
      </c>
      <c r="P138" s="44">
        <f t="shared" ca="1" si="7"/>
        <v>8.3571428640029659E-4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input_552010!A$2</f>
        <v>552010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IFERROR(VLOOKUP(B139,input_552010!L:R,7,FALSE),VLOOKUP(tables_552010!C139,input_552010!A:H,8,FALSE))</f>
        <v>1248</v>
      </c>
      <c r="P139" s="44">
        <f t="shared" ca="1" si="7"/>
        <v>2.1666666665162013E-4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input_552010!A$2</f>
        <v>552010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IFERROR(VLOOKUP(B140,input_552010!L:R,7,FALSE),VLOOKUP(tables_552010!C140,input_552010!A:H,8,FALSE))</f>
        <v>4813.7142899999999</v>
      </c>
      <c r="P140" s="44">
        <f t="shared" ca="1" si="7"/>
        <v>8.3571428640029659E-4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input_552010!A$2</f>
        <v>552010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IFERROR(VLOOKUP(B141,input_552010!L:R,7,FALSE),VLOOKUP(tables_552010!C141,input_552010!A:H,8,FALSE))</f>
        <v>1248</v>
      </c>
      <c r="P141" s="44">
        <f t="shared" ca="1" si="7"/>
        <v>2.1666666665162013E-4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input_552010!A$2</f>
        <v>552010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IFERROR(VLOOKUP(B142,input_552010!L:R,7,FALSE),VLOOKUP(tables_552010!C142,input_552010!A:H,8,FALSE))</f>
        <v>4813.7142899999999</v>
      </c>
      <c r="P142" s="44">
        <f t="shared" ca="1" si="7"/>
        <v>8.3571428640029659E-4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input_552010!A$2</f>
        <v>552010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IFERROR(VLOOKUP(B143,input_552010!L:R,7,FALSE),VLOOKUP(tables_552010!C143,input_552010!A:H,8,FALSE))</f>
        <v>1248</v>
      </c>
      <c r="P143" s="44">
        <f t="shared" ca="1" si="7"/>
        <v>2.1666666665162013E-4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input_552010!A$2</f>
        <v>552010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IFERROR(VLOOKUP(B144,input_552010!L:R,7,FALSE),VLOOKUP(tables_552010!C144,input_552010!A:H,8,FALSE))</f>
        <v>4813.7142899999999</v>
      </c>
      <c r="P144" s="44">
        <f t="shared" ca="1" si="7"/>
        <v>8.3571428640029659E-4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input_552010!A$2</f>
        <v>552010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IFERROR(VLOOKUP(B145,input_552010!L:R,7,FALSE),VLOOKUP(tables_552010!C145,input_552010!A:H,8,FALSE))</f>
        <v>1248</v>
      </c>
      <c r="P145" s="44">
        <f t="shared" ca="1" si="7"/>
        <v>2.1666666665162013E-4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input_552010!A$2</f>
        <v>552010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IFERROR(VLOOKUP(B146,input_552010!L:R,7,FALSE),VLOOKUP(tables_552010!C146,input_552010!A:H,8,FALSE))</f>
        <v>18264</v>
      </c>
      <c r="P146" s="44">
        <f t="shared" ca="1" si="7"/>
        <v>3.1708333331131326E-3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input_552010!A$2</f>
        <v>552010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IFERROR(VLOOKUP(B147,input_552010!L:R,7,FALSE),VLOOKUP(tables_552010!C147,input_552010!A:H,8,FALSE))</f>
        <v>26109</v>
      </c>
      <c r="P147" s="44">
        <f t="shared" ca="1" si="7"/>
        <v>4.5328124996852157E-3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input_552010!A$2</f>
        <v>552010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IFERROR(VLOOKUP(B148,input_552010!L:R,7,FALSE),VLOOKUP(tables_552010!C148,input_552010!A:H,8,FALSE))</f>
        <v>1287</v>
      </c>
      <c r="P148" s="44">
        <f t="shared" ca="1" si="7"/>
        <v>2.2343749998448325E-4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input_552010!A$2</f>
        <v>552010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IFERROR(VLOOKUP(B149,input_552010!L:R,7,FALSE),VLOOKUP(tables_552010!C149,input_552010!A:H,8,FALSE))</f>
        <v>4813.7142899999999</v>
      </c>
      <c r="P149" s="44">
        <f t="shared" ca="1" si="7"/>
        <v>8.3571428640029659E-4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input_552010!A$2</f>
        <v>552010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IFERROR(VLOOKUP(B150,input_552010!L:R,7,FALSE),VLOOKUP(tables_552010!C150,input_552010!A:H,8,FALSE))</f>
        <v>1248</v>
      </c>
      <c r="P150" s="44">
        <f t="shared" ca="1" si="7"/>
        <v>2.1666666665162013E-4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input_552010!A$2</f>
        <v>552010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IFERROR(VLOOKUP(B151,input_552010!L:R,7,FALSE),VLOOKUP(tables_552010!C151,input_552010!A:H,8,FALSE))</f>
        <v>4813.7142899999999</v>
      </c>
      <c r="P151" s="44">
        <f t="shared" ca="1" si="7"/>
        <v>8.3571428640029659E-4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input_552010!A$2</f>
        <v>552010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IFERROR(VLOOKUP(B152,input_552010!L:R,7,FALSE),VLOOKUP(tables_552010!C152,input_552010!A:H,8,FALSE))</f>
        <v>1248</v>
      </c>
      <c r="P152" s="44">
        <f t="shared" ca="1" si="7"/>
        <v>2.1666666665162013E-4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input_552010!A$2</f>
        <v>552010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IFERROR(VLOOKUP(B153,input_552010!L:R,7,FALSE),VLOOKUP(tables_552010!C153,input_552010!A:H,8,FALSE))</f>
        <v>18264</v>
      </c>
      <c r="P153" s="44">
        <f t="shared" ca="1" si="7"/>
        <v>3.1708333331131326E-3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input_552010!A$2</f>
        <v>552010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IFERROR(VLOOKUP(B154,input_552010!L:R,7,FALSE),VLOOKUP(tables_552010!C154,input_552010!A:H,8,FALSE))</f>
        <v>26109</v>
      </c>
      <c r="P154" s="44">
        <f t="shared" ca="1" si="7"/>
        <v>4.5328124996852157E-3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input_552010!A$2</f>
        <v>552010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IFERROR(VLOOKUP(B155,input_552010!L:R,7,FALSE),VLOOKUP(tables_552010!C155,input_552010!A:H,8,FALSE))</f>
        <v>1287</v>
      </c>
      <c r="P155" s="44">
        <f t="shared" ca="1" si="7"/>
        <v>2.2343749998448325E-4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input_552010!A$2</f>
        <v>552010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IFERROR(VLOOKUP(B156,input_552010!L:R,7,FALSE),VLOOKUP(tables_552010!C156,input_552010!A:H,8,FALSE))</f>
        <v>4813.7142899999999</v>
      </c>
      <c r="P156" s="44">
        <f t="shared" ca="1" si="7"/>
        <v>8.3571428640029659E-4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input_552010!A$2</f>
        <v>552010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IFERROR(VLOOKUP(B157,input_552010!L:R,7,FALSE),VLOOKUP(tables_552010!C157,input_552010!A:H,8,FALSE))</f>
        <v>1248</v>
      </c>
      <c r="P157" s="44">
        <f t="shared" ca="1" si="7"/>
        <v>2.1666666665162013E-4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input_552010!A$2</f>
        <v>552010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IFERROR(VLOOKUP(B158,input_552010!L:R,7,FALSE),VLOOKUP(tables_552010!C158,input_552010!A:H,8,FALSE))</f>
        <v>18264</v>
      </c>
      <c r="P158" s="44">
        <f t="shared" ca="1" si="7"/>
        <v>3.1708333331131326E-3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input_552010!A$2</f>
        <v>552010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IFERROR(VLOOKUP(B159,input_552010!L:R,7,FALSE),VLOOKUP(tables_552010!C159,input_552010!A:H,8,FALSE))</f>
        <v>26109</v>
      </c>
      <c r="P159" s="44">
        <f t="shared" ca="1" si="7"/>
        <v>4.5328124996852157E-3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input_552010!A$2</f>
        <v>552010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IFERROR(VLOOKUP(B160,input_552010!L:R,7,FALSE),VLOOKUP(tables_552010!C160,input_552010!A:H,8,FALSE))</f>
        <v>1287</v>
      </c>
      <c r="P160" s="44">
        <f t="shared" ca="1" si="7"/>
        <v>2.2343749998448325E-4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input_552010!A$2</f>
        <v>552010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IFERROR(VLOOKUP(B161,input_552010!L:R,7,FALSE),VLOOKUP(tables_552010!C161,input_552010!A:H,8,FALSE))</f>
        <v>18264</v>
      </c>
      <c r="P161" s="44">
        <f t="shared" ca="1" si="7"/>
        <v>3.1708333331131326E-3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input_552010!A$2</f>
        <v>552010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IFERROR(VLOOKUP(B162,input_552010!L:R,7,FALSE),VLOOKUP(tables_552010!C162,input_552010!A:H,8,FALSE))</f>
        <v>26109</v>
      </c>
      <c r="P162" s="44">
        <f t="shared" ca="1" si="7"/>
        <v>4.5328124996852157E-3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input_552010!A$2</f>
        <v>552010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IFERROR(VLOOKUP(B163,input_552010!L:R,7,FALSE),VLOOKUP(tables_552010!C163,input_552010!A:H,8,FALSE))</f>
        <v>1287</v>
      </c>
      <c r="P163" s="44">
        <f t="shared" ca="1" si="7"/>
        <v>2.2343749998448325E-4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input_552010!A$2</f>
        <v>552010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IFERROR(VLOOKUP(B164,input_552010!L:R,7,FALSE),VLOOKUP(tables_552010!C164,input_552010!A:H,8,FALSE))</f>
        <v>4813.7142899999999</v>
      </c>
      <c r="P164" s="44">
        <f t="shared" ca="1" si="7"/>
        <v>8.3571428640029659E-4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input_552010!A$2</f>
        <v>552010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IFERROR(VLOOKUP(B165,input_552010!L:R,7,FALSE),VLOOKUP(tables_552010!C165,input_552010!A:H,8,FALSE))</f>
        <v>1248</v>
      </c>
      <c r="P165" s="44">
        <f t="shared" ca="1" si="7"/>
        <v>2.1666666665162013E-4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input_552010!A$2</f>
        <v>552010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IFERROR(VLOOKUP(B166,input_552010!L:R,7,FALSE),VLOOKUP(tables_552010!C166,input_552010!A:H,8,FALSE))</f>
        <v>18264</v>
      </c>
      <c r="P166" s="44">
        <f t="shared" ca="1" si="7"/>
        <v>3.1708333331131326E-3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input_552010!A$2</f>
        <v>552010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IFERROR(VLOOKUP(B167,input_552010!L:R,7,FALSE),VLOOKUP(tables_552010!C167,input_552010!A:H,8,FALSE))</f>
        <v>26109</v>
      </c>
      <c r="P167" s="44">
        <f t="shared" ca="1" si="7"/>
        <v>4.5328124996852157E-3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input_552010!A$2</f>
        <v>552010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IFERROR(VLOOKUP(B168,input_552010!L:R,7,FALSE),VLOOKUP(tables_552010!C168,input_552010!A:H,8,FALSE))</f>
        <v>1287</v>
      </c>
      <c r="P168" s="44">
        <f t="shared" ca="1" si="7"/>
        <v>2.2343749998448325E-4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input_552010!A$2</f>
        <v>552010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IFERROR(VLOOKUP(B169,input_552010!L:R,7,FALSE),VLOOKUP(tables_552010!C169,input_552010!A:H,8,FALSE))</f>
        <v>4813.7142899999999</v>
      </c>
      <c r="P169" s="44">
        <f t="shared" ca="1" si="7"/>
        <v>8.3571428640029659E-4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input_552010!A$2</f>
        <v>552010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IFERROR(VLOOKUP(B170,input_552010!L:R,7,FALSE),VLOOKUP(tables_552010!C170,input_552010!A:H,8,FALSE))</f>
        <v>1248</v>
      </c>
      <c r="P170" s="44">
        <f t="shared" ca="1" si="7"/>
        <v>2.1666666665162013E-4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input_552010!A$2</f>
        <v>552010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IFERROR(VLOOKUP(B171,input_552010!L:R,7,FALSE),VLOOKUP(tables_552010!C171,input_552010!A:H,8,FALSE))</f>
        <v>18264</v>
      </c>
      <c r="P171" s="44">
        <f t="shared" ca="1" si="7"/>
        <v>3.1708333331131326E-3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input_552010!A$2</f>
        <v>552010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IFERROR(VLOOKUP(B172,input_552010!L:R,7,FALSE),VLOOKUP(tables_552010!C172,input_552010!A:H,8,FALSE))</f>
        <v>26109</v>
      </c>
      <c r="P172" s="44">
        <f t="shared" ca="1" si="7"/>
        <v>4.5328124996852157E-3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input_552010!A$2</f>
        <v>552010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IFERROR(VLOOKUP(B173,input_552010!L:R,7,FALSE),VLOOKUP(tables_552010!C173,input_552010!A:H,8,FALSE))</f>
        <v>1287</v>
      </c>
      <c r="P173" s="44">
        <f t="shared" ca="1" si="7"/>
        <v>2.2343749998448325E-4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input_552010!A$2</f>
        <v>552010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IFERROR(VLOOKUP(B174,input_552010!L:R,7,FALSE),VLOOKUP(tables_552010!C174,input_552010!A:H,8,FALSE))</f>
        <v>4813.7142899999999</v>
      </c>
      <c r="P174" s="44">
        <f t="shared" ca="1" si="7"/>
        <v>8.3571428640029659E-4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input_552010!A$2</f>
        <v>552010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IFERROR(VLOOKUP(B175,input_552010!L:R,7,FALSE),VLOOKUP(tables_552010!C175,input_552010!A:H,8,FALSE))</f>
        <v>1248</v>
      </c>
      <c r="P175" s="44">
        <f t="shared" ca="1" si="7"/>
        <v>2.1666666665162013E-4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input_552010!A$2</f>
        <v>552010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IFERROR(VLOOKUP(B176,input_552010!L:R,7,FALSE),VLOOKUP(tables_552010!C176,input_552010!A:H,8,FALSE))</f>
        <v>4813.7142899999999</v>
      </c>
      <c r="P176" s="44">
        <f t="shared" ca="1" si="7"/>
        <v>8.3571428640029659E-4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input_552010!A$2</f>
        <v>552010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IFERROR(VLOOKUP(B177,input_552010!L:R,7,FALSE),VLOOKUP(tables_552010!C177,input_552010!A:H,8,FALSE))</f>
        <v>1248</v>
      </c>
      <c r="P177" s="44">
        <f t="shared" ca="1" si="7"/>
        <v>2.1666666665162013E-4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input_552010!A$2</f>
        <v>552010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IFERROR(VLOOKUP(B178,input_552010!L:R,7,FALSE),VLOOKUP(tables_552010!C178,input_552010!A:H,8,FALSE))</f>
        <v>18264</v>
      </c>
      <c r="P178" s="44">
        <f t="shared" ca="1" si="7"/>
        <v>3.1708333331131326E-3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input_552010!A$2</f>
        <v>552010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IFERROR(VLOOKUP(B179,input_552010!L:R,7,FALSE),VLOOKUP(tables_552010!C179,input_552010!A:H,8,FALSE))</f>
        <v>26109</v>
      </c>
      <c r="P179" s="44">
        <f t="shared" ca="1" si="7"/>
        <v>4.5328124996852157E-3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input_552010!A$2</f>
        <v>552010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IFERROR(VLOOKUP(B180,input_552010!L:R,7,FALSE),VLOOKUP(tables_552010!C180,input_552010!A:H,8,FALSE))</f>
        <v>1287</v>
      </c>
      <c r="P180" s="44">
        <f t="shared" ca="1" si="7"/>
        <v>2.2343749998448325E-4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input_552010!A$2</f>
        <v>552010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IFERROR(VLOOKUP(B181,input_552010!L:R,7,FALSE),VLOOKUP(tables_552010!C181,input_552010!A:H,8,FALSE))</f>
        <v>18264</v>
      </c>
      <c r="P181" s="44">
        <f t="shared" ca="1" si="7"/>
        <v>3.1708333331131326E-3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input_552010!A$2</f>
        <v>552010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IFERROR(VLOOKUP(B182,input_552010!L:R,7,FALSE),VLOOKUP(tables_552010!C182,input_552010!A:H,8,FALSE))</f>
        <v>26109</v>
      </c>
      <c r="P182" s="44">
        <f t="shared" ca="1" si="7"/>
        <v>4.5328124996852157E-3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input_552010!A$2</f>
        <v>552010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IFERROR(VLOOKUP(B183,input_552010!L:R,7,FALSE),VLOOKUP(tables_552010!C183,input_552010!A:H,8,FALSE))</f>
        <v>1287</v>
      </c>
      <c r="P183" s="44">
        <f t="shared" ca="1" si="7"/>
        <v>2.2343749998448325E-4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input_552010!A$2</f>
        <v>552010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IFERROR(VLOOKUP(B184,input_552010!L:R,7,FALSE),VLOOKUP(tables_552010!C184,input_552010!A:H,8,FALSE))</f>
        <v>4813.7142899999999</v>
      </c>
      <c r="P184" s="44">
        <f t="shared" ca="1" si="7"/>
        <v>8.3571428640029659E-4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input_552010!A$2</f>
        <v>552010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IFERROR(VLOOKUP(B185,input_552010!L:R,7,FALSE),VLOOKUP(tables_552010!C185,input_552010!A:H,8,FALSE))</f>
        <v>1248</v>
      </c>
      <c r="P185" s="44">
        <f t="shared" ca="1" si="7"/>
        <v>2.1666666665162013E-4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input_552010!A$2</f>
        <v>552010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IFERROR(VLOOKUP(B186,input_552010!L:R,7,FALSE),VLOOKUP(tables_552010!C186,input_552010!A:H,8,FALSE))</f>
        <v>18264</v>
      </c>
      <c r="P186" s="44">
        <f t="shared" ca="1" si="7"/>
        <v>3.1708333331131326E-3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input_552010!A$2</f>
        <v>552010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IFERROR(VLOOKUP(B187,input_552010!L:R,7,FALSE),VLOOKUP(tables_552010!C187,input_552010!A:H,8,FALSE))</f>
        <v>26109</v>
      </c>
      <c r="P187" s="44">
        <f t="shared" ca="1" si="7"/>
        <v>4.5328124996852157E-3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input_552010!A$2</f>
        <v>552010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IFERROR(VLOOKUP(B188,input_552010!L:R,7,FALSE),VLOOKUP(tables_552010!C188,input_552010!A:H,8,FALSE))</f>
        <v>1287</v>
      </c>
      <c r="P188" s="44">
        <f t="shared" ca="1" si="7"/>
        <v>2.2343749998448325E-4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input_552010!A$2</f>
        <v>552010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IFERROR(VLOOKUP(B189,input_552010!L:R,7,FALSE),VLOOKUP(tables_552010!C189,input_552010!A:H,8,FALSE))</f>
        <v>4813.7142899999999</v>
      </c>
      <c r="P189" s="44">
        <f t="shared" ca="1" si="7"/>
        <v>8.3571428640029659E-4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input_552010!A$2</f>
        <v>552010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IFERROR(VLOOKUP(B190,input_552010!L:R,7,FALSE),VLOOKUP(tables_552010!C190,input_552010!A:H,8,FALSE))</f>
        <v>1248</v>
      </c>
      <c r="P190" s="44">
        <f t="shared" ca="1" si="7"/>
        <v>2.1666666665162013E-4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input_552010!A$2</f>
        <v>552010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IFERROR(VLOOKUP(B191,input_552010!L:R,7,FALSE),VLOOKUP(tables_552010!C191,input_552010!A:H,8,FALSE))</f>
        <v>4813.7142899999999</v>
      </c>
      <c r="P191" s="44">
        <f t="shared" ca="1" si="7"/>
        <v>8.3571428640029659E-4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input_552010!A$2</f>
        <v>552010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IFERROR(VLOOKUP(B192,input_552010!L:R,7,FALSE),VLOOKUP(tables_552010!C192,input_552010!A:H,8,FALSE))</f>
        <v>1248</v>
      </c>
      <c r="P192" s="44">
        <f t="shared" ca="1" si="7"/>
        <v>2.1666666665162013E-4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input_552010!A$2</f>
        <v>552010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IFERROR(VLOOKUP(B193,input_552010!L:R,7,FALSE),VLOOKUP(tables_552010!C193,input_552010!A:H,8,FALSE))</f>
        <v>18264</v>
      </c>
      <c r="P193" s="44">
        <f t="shared" ca="1" si="7"/>
        <v>3.1708333331131326E-3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input_552010!A$2</f>
        <v>552010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IFERROR(VLOOKUP(B194,input_552010!L:R,7,FALSE),VLOOKUP(tables_552010!C194,input_552010!A:H,8,FALSE))</f>
        <v>26109</v>
      </c>
      <c r="P194" s="44">
        <f t="shared" ref="P194:P257" ca="1" si="10">O194/SUM(O:O)</f>
        <v>4.5328124996852157E-3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input_552010!A$2</f>
        <v>552010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IFERROR(VLOOKUP(B195,input_552010!L:R,7,FALSE),VLOOKUP(tables_552010!C195,input_552010!A:H,8,FALSE))</f>
        <v>1287</v>
      </c>
      <c r="P195" s="44">
        <f t="shared" ca="1" si="10"/>
        <v>2.2343749998448325E-4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input_552010!A$2</f>
        <v>552010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IFERROR(VLOOKUP(B196,input_552010!L:R,7,FALSE),VLOOKUP(tables_552010!C196,input_552010!A:H,8,FALSE))</f>
        <v>4813.7142899999999</v>
      </c>
      <c r="P196" s="44">
        <f t="shared" ca="1" si="10"/>
        <v>8.3571428640029659E-4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input_552010!A$2</f>
        <v>552010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IFERROR(VLOOKUP(B197,input_552010!L:R,7,FALSE),VLOOKUP(tables_552010!C197,input_552010!A:H,8,FALSE))</f>
        <v>1248</v>
      </c>
      <c r="P197" s="44">
        <f t="shared" ca="1" si="10"/>
        <v>2.1666666665162013E-4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input_552010!A$2</f>
        <v>552010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IFERROR(VLOOKUP(B198,input_552010!L:R,7,FALSE),VLOOKUP(tables_552010!C198,input_552010!A:H,8,FALSE))</f>
        <v>18264</v>
      </c>
      <c r="P198" s="44">
        <f t="shared" ca="1" si="10"/>
        <v>3.1708333331131326E-3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input_552010!A$2</f>
        <v>552010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IFERROR(VLOOKUP(B199,input_552010!L:R,7,FALSE),VLOOKUP(tables_552010!C199,input_552010!A:H,8,FALSE))</f>
        <v>26109</v>
      </c>
      <c r="P199" s="44">
        <f t="shared" ca="1" si="10"/>
        <v>4.5328124996852157E-3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input_552010!A$2</f>
        <v>552010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IFERROR(VLOOKUP(B200,input_552010!L:R,7,FALSE),VLOOKUP(tables_552010!C200,input_552010!A:H,8,FALSE))</f>
        <v>1287</v>
      </c>
      <c r="P200" s="44">
        <f t="shared" ca="1" si="10"/>
        <v>2.2343749998448325E-4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input_552010!A$2</f>
        <v>552010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IFERROR(VLOOKUP(B201,input_552010!L:R,7,FALSE),VLOOKUP(tables_552010!C201,input_552010!A:H,8,FALSE))</f>
        <v>4813.7142899999999</v>
      </c>
      <c r="P201" s="44">
        <f t="shared" ca="1" si="10"/>
        <v>8.3571428640029659E-4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input_552010!A$2</f>
        <v>552010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IFERROR(VLOOKUP(B202,input_552010!L:R,7,FALSE),VLOOKUP(tables_552010!C202,input_552010!A:H,8,FALSE))</f>
        <v>1248</v>
      </c>
      <c r="P202" s="44">
        <f t="shared" ca="1" si="10"/>
        <v>2.1666666665162013E-4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input_552010!A$2</f>
        <v>552010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IFERROR(VLOOKUP(B203,input_552010!L:R,7,FALSE),VLOOKUP(tables_552010!C203,input_552010!A:H,8,FALSE))</f>
        <v>18264</v>
      </c>
      <c r="P203" s="44">
        <f t="shared" ca="1" si="10"/>
        <v>3.1708333331131326E-3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input_552010!A$2</f>
        <v>552010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IFERROR(VLOOKUP(B204,input_552010!L:R,7,FALSE),VLOOKUP(tables_552010!C204,input_552010!A:H,8,FALSE))</f>
        <v>26109</v>
      </c>
      <c r="P204" s="44">
        <f t="shared" ca="1" si="10"/>
        <v>4.5328124996852157E-3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input_552010!A$2</f>
        <v>552010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IFERROR(VLOOKUP(B205,input_552010!L:R,7,FALSE),VLOOKUP(tables_552010!C205,input_552010!A:H,8,FALSE))</f>
        <v>1287</v>
      </c>
      <c r="P205" s="44">
        <f t="shared" ca="1" si="10"/>
        <v>2.2343749998448325E-4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input_552010!A$2</f>
        <v>552010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IFERROR(VLOOKUP(B206,input_552010!L:R,7,FALSE),VLOOKUP(tables_552010!C206,input_552010!A:H,8,FALSE))</f>
        <v>4813.7142899999999</v>
      </c>
      <c r="P206" s="44">
        <f t="shared" ca="1" si="10"/>
        <v>8.3571428640029659E-4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input_552010!A$2</f>
        <v>552010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IFERROR(VLOOKUP(B207,input_552010!L:R,7,FALSE),VLOOKUP(tables_552010!C207,input_552010!A:H,8,FALSE))</f>
        <v>1248</v>
      </c>
      <c r="P207" s="44">
        <f t="shared" ca="1" si="10"/>
        <v>2.1666666665162013E-4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input_552010!A$2</f>
        <v>552010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IFERROR(VLOOKUP(B208,input_552010!L:R,7,FALSE),VLOOKUP(tables_552010!C208,input_552010!A:H,8,FALSE))</f>
        <v>4813.7142899999999</v>
      </c>
      <c r="P208" s="44">
        <f t="shared" ca="1" si="10"/>
        <v>8.3571428640029659E-4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input_552010!A$2</f>
        <v>552010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IFERROR(VLOOKUP(B209,input_552010!L:R,7,FALSE),VLOOKUP(tables_552010!C209,input_552010!A:H,8,FALSE))</f>
        <v>1248</v>
      </c>
      <c r="P209" s="44">
        <f t="shared" ca="1" si="10"/>
        <v>2.1666666665162013E-4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input_552010!A$2</f>
        <v>552010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IFERROR(VLOOKUP(B210,input_552010!L:R,7,FALSE),VLOOKUP(tables_552010!C210,input_552010!A:H,8,FALSE))</f>
        <v>18264</v>
      </c>
      <c r="P210" s="44">
        <f t="shared" ca="1" si="10"/>
        <v>3.1708333331131326E-3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input_552010!A$2</f>
        <v>552010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IFERROR(VLOOKUP(B211,input_552010!L:R,7,FALSE),VLOOKUP(tables_552010!C211,input_552010!A:H,8,FALSE))</f>
        <v>26109</v>
      </c>
      <c r="P211" s="44">
        <f t="shared" ca="1" si="10"/>
        <v>4.5328124996852157E-3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input_552010!A$2</f>
        <v>552010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IFERROR(VLOOKUP(B212,input_552010!L:R,7,FALSE),VLOOKUP(tables_552010!C212,input_552010!A:H,8,FALSE))</f>
        <v>1287</v>
      </c>
      <c r="P212" s="44">
        <f t="shared" ca="1" si="10"/>
        <v>2.2343749998448325E-4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input_552010!A$2</f>
        <v>552010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IFERROR(VLOOKUP(B213,input_552010!L:R,7,FALSE),VLOOKUP(tables_552010!C213,input_552010!A:H,8,FALSE))</f>
        <v>4813.7142899999999</v>
      </c>
      <c r="P213" s="44">
        <f t="shared" ca="1" si="10"/>
        <v>8.3571428640029659E-4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input_552010!A$2</f>
        <v>552010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IFERROR(VLOOKUP(B214,input_552010!L:R,7,FALSE),VLOOKUP(tables_552010!C214,input_552010!A:H,8,FALSE))</f>
        <v>1248</v>
      </c>
      <c r="P214" s="44">
        <f t="shared" ca="1" si="10"/>
        <v>2.1666666665162013E-4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input_552010!A$2</f>
        <v>552010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IFERROR(VLOOKUP(B215,input_552010!L:R,7,FALSE),VLOOKUP(tables_552010!C215,input_552010!A:H,8,FALSE))</f>
        <v>1242.92308</v>
      </c>
      <c r="P215" s="44">
        <f t="shared" ca="1" si="10"/>
        <v>2.1578525692945912E-4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input_552010!A$2</f>
        <v>552010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IFERROR(VLOOKUP(B216,input_552010!L:R,7,FALSE),VLOOKUP(tables_552010!C216,input_552010!A:H,8,FALSE))</f>
        <v>1242.92308</v>
      </c>
      <c r="P216" s="44">
        <f t="shared" ca="1" si="10"/>
        <v>2.1578525692945912E-4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input_552010!A$2</f>
        <v>552010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IFERROR(VLOOKUP(B217,input_552010!L:R,7,FALSE),VLOOKUP(tables_552010!C217,input_552010!A:H,8,FALSE))</f>
        <v>1242.92308</v>
      </c>
      <c r="P217" s="44">
        <f t="shared" ca="1" si="10"/>
        <v>2.1578525692945912E-4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input_552010!A$2</f>
        <v>552010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IFERROR(VLOOKUP(B218,input_552010!L:R,7,FALSE),VLOOKUP(tables_552010!C218,input_552010!A:H,8,FALSE))</f>
        <v>1242.92308</v>
      </c>
      <c r="P218" s="44">
        <f t="shared" ca="1" si="10"/>
        <v>2.1578525692945912E-4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input_552010!A$2</f>
        <v>552010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IFERROR(VLOOKUP(B219,input_552010!L:R,7,FALSE),VLOOKUP(tables_552010!C219,input_552010!A:H,8,FALSE))</f>
        <v>1242.92308</v>
      </c>
      <c r="P219" s="44">
        <f t="shared" ca="1" si="10"/>
        <v>2.1578525692945912E-4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input_552010!A$2</f>
        <v>552010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IFERROR(VLOOKUP(B220,input_552010!L:R,7,FALSE),VLOOKUP(tables_552010!C220,input_552010!A:H,8,FALSE))</f>
        <v>1242.92308</v>
      </c>
      <c r="P220" s="44">
        <f t="shared" ca="1" si="10"/>
        <v>2.1578525692945912E-4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input_552010!A$2</f>
        <v>552010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IFERROR(VLOOKUP(B221,input_552010!L:R,7,FALSE),VLOOKUP(tables_552010!C221,input_552010!A:H,8,FALSE))</f>
        <v>4813.7142899999999</v>
      </c>
      <c r="P221" s="44">
        <f t="shared" ca="1" si="10"/>
        <v>8.3571428640029659E-4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input_552010!A$2</f>
        <v>552010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IFERROR(VLOOKUP(B222,input_552010!L:R,7,FALSE),VLOOKUP(tables_552010!C222,input_552010!A:H,8,FALSE))</f>
        <v>1248</v>
      </c>
      <c r="P222" s="44">
        <f t="shared" ca="1" si="10"/>
        <v>2.1666666665162013E-4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input_552010!A$2</f>
        <v>552010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IFERROR(VLOOKUP(B223,input_552010!L:R,7,FALSE),VLOOKUP(tables_552010!C223,input_552010!A:H,8,FALSE))</f>
        <v>18264</v>
      </c>
      <c r="P223" s="44">
        <f t="shared" ca="1" si="10"/>
        <v>3.1708333331131326E-3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input_552010!A$2</f>
        <v>552010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IFERROR(VLOOKUP(B224,input_552010!L:R,7,FALSE),VLOOKUP(tables_552010!C224,input_552010!A:H,8,FALSE))</f>
        <v>26109</v>
      </c>
      <c r="P224" s="44">
        <f t="shared" ca="1" si="10"/>
        <v>4.5328124996852157E-3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input_552010!A$2</f>
        <v>552010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IFERROR(VLOOKUP(B225,input_552010!L:R,7,FALSE),VLOOKUP(tables_552010!C225,input_552010!A:H,8,FALSE))</f>
        <v>1287</v>
      </c>
      <c r="P225" s="44">
        <f t="shared" ca="1" si="10"/>
        <v>2.2343749998448325E-4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input_552010!A$2</f>
        <v>552010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IFERROR(VLOOKUP(B226,input_552010!L:R,7,FALSE),VLOOKUP(tables_552010!C226,input_552010!A:H,8,FALSE))</f>
        <v>18264</v>
      </c>
      <c r="P226" s="44">
        <f t="shared" ca="1" si="10"/>
        <v>3.1708333331131326E-3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input_552010!A$2</f>
        <v>552010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IFERROR(VLOOKUP(B227,input_552010!L:R,7,FALSE),VLOOKUP(tables_552010!C227,input_552010!A:H,8,FALSE))</f>
        <v>26109</v>
      </c>
      <c r="P227" s="44">
        <f t="shared" ca="1" si="10"/>
        <v>4.5328124996852157E-3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input_552010!A$2</f>
        <v>552010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IFERROR(VLOOKUP(B228,input_552010!L:R,7,FALSE),VLOOKUP(tables_552010!C228,input_552010!A:H,8,FALSE))</f>
        <v>1287</v>
      </c>
      <c r="P228" s="44">
        <f t="shared" ca="1" si="10"/>
        <v>2.2343749998448325E-4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input_552010!A$2</f>
        <v>552010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IFERROR(VLOOKUP(B229,input_552010!L:R,7,FALSE),VLOOKUP(tables_552010!C229,input_552010!A:H,8,FALSE))</f>
        <v>4813.7142899999999</v>
      </c>
      <c r="P229" s="44">
        <f t="shared" ca="1" si="10"/>
        <v>8.3571428640029659E-4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input_552010!A$2</f>
        <v>552010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IFERROR(VLOOKUP(B230,input_552010!L:R,7,FALSE),VLOOKUP(tables_552010!C230,input_552010!A:H,8,FALSE))</f>
        <v>1248</v>
      </c>
      <c r="P230" s="44">
        <f t="shared" ca="1" si="10"/>
        <v>2.1666666665162013E-4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input_552010!A$2</f>
        <v>552010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IFERROR(VLOOKUP(B231,input_552010!L:R,7,FALSE),VLOOKUP(tables_552010!C231,input_552010!A:H,8,FALSE))</f>
        <v>18264</v>
      </c>
      <c r="P231" s="44">
        <f t="shared" ca="1" si="10"/>
        <v>3.1708333331131326E-3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input_552010!A$2</f>
        <v>552010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IFERROR(VLOOKUP(B232,input_552010!L:R,7,FALSE),VLOOKUP(tables_552010!C232,input_552010!A:H,8,FALSE))</f>
        <v>26109</v>
      </c>
      <c r="P232" s="44">
        <f t="shared" ca="1" si="10"/>
        <v>4.5328124996852157E-3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input_552010!A$2</f>
        <v>552010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IFERROR(VLOOKUP(B233,input_552010!L:R,7,FALSE),VLOOKUP(tables_552010!C233,input_552010!A:H,8,FALSE))</f>
        <v>1287</v>
      </c>
      <c r="P233" s="44">
        <f t="shared" ca="1" si="10"/>
        <v>2.2343749998448325E-4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input_552010!A$2</f>
        <v>552010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IFERROR(VLOOKUP(B234,input_552010!L:R,7,FALSE),VLOOKUP(tables_552010!C234,input_552010!A:H,8,FALSE))</f>
        <v>18264</v>
      </c>
      <c r="P234" s="44">
        <f t="shared" ca="1" si="10"/>
        <v>3.1708333331131326E-3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input_552010!A$2</f>
        <v>552010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IFERROR(VLOOKUP(B235,input_552010!L:R,7,FALSE),VLOOKUP(tables_552010!C235,input_552010!A:H,8,FALSE))</f>
        <v>26109</v>
      </c>
      <c r="P235" s="44">
        <f t="shared" ca="1" si="10"/>
        <v>4.5328124996852157E-3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input_552010!A$2</f>
        <v>552010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IFERROR(VLOOKUP(B236,input_552010!L:R,7,FALSE),VLOOKUP(tables_552010!C236,input_552010!A:H,8,FALSE))</f>
        <v>1287</v>
      </c>
      <c r="P236" s="44">
        <f t="shared" ca="1" si="10"/>
        <v>2.2343749998448325E-4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input_552010!A$2</f>
        <v>552010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IFERROR(VLOOKUP(B237,input_552010!L:R,7,FALSE),VLOOKUP(tables_552010!C237,input_552010!A:H,8,FALSE))</f>
        <v>4813.7142899999999</v>
      </c>
      <c r="P237" s="44">
        <f t="shared" ca="1" si="10"/>
        <v>8.3571428640029659E-4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input_552010!A$2</f>
        <v>552010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IFERROR(VLOOKUP(B238,input_552010!L:R,7,FALSE),VLOOKUP(tables_552010!C238,input_552010!A:H,8,FALSE))</f>
        <v>1248</v>
      </c>
      <c r="P238" s="44">
        <f t="shared" ca="1" si="10"/>
        <v>2.1666666665162013E-4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input_552010!A$2</f>
        <v>552010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IFERROR(VLOOKUP(B239,input_552010!L:R,7,FALSE),VLOOKUP(tables_552010!C239,input_552010!A:H,8,FALSE))</f>
        <v>18264</v>
      </c>
      <c r="P239" s="44">
        <f t="shared" ca="1" si="10"/>
        <v>3.1708333331131326E-3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input_552010!A$2</f>
        <v>552010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IFERROR(VLOOKUP(B240,input_552010!L:R,7,FALSE),VLOOKUP(tables_552010!C240,input_552010!A:H,8,FALSE))</f>
        <v>26109</v>
      </c>
      <c r="P240" s="44">
        <f t="shared" ca="1" si="10"/>
        <v>4.5328124996852157E-3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input_552010!A$2</f>
        <v>552010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IFERROR(VLOOKUP(B241,input_552010!L:R,7,FALSE),VLOOKUP(tables_552010!C241,input_552010!A:H,8,FALSE))</f>
        <v>1287</v>
      </c>
      <c r="P241" s="44">
        <f t="shared" ca="1" si="10"/>
        <v>2.2343749998448325E-4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input_552010!A$2</f>
        <v>552010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IFERROR(VLOOKUP(B242,input_552010!L:R,7,FALSE),VLOOKUP(tables_552010!C242,input_552010!A:H,8,FALSE))</f>
        <v>4813.7142899999999</v>
      </c>
      <c r="P242" s="44">
        <f t="shared" ca="1" si="10"/>
        <v>8.3571428640029659E-4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input_552010!A$2</f>
        <v>552010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IFERROR(VLOOKUP(B243,input_552010!L:R,7,FALSE),VLOOKUP(tables_552010!C243,input_552010!A:H,8,FALSE))</f>
        <v>1248</v>
      </c>
      <c r="P243" s="44">
        <f t="shared" ca="1" si="10"/>
        <v>2.1666666665162013E-4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input_552010!A$2</f>
        <v>552010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IFERROR(VLOOKUP(B244,input_552010!L:R,7,FALSE),VLOOKUP(tables_552010!C244,input_552010!A:H,8,FALSE))</f>
        <v>4813.7142899999999</v>
      </c>
      <c r="P244" s="44">
        <f t="shared" ca="1" si="10"/>
        <v>8.3571428640029659E-4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input_552010!A$2</f>
        <v>552010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IFERROR(VLOOKUP(B245,input_552010!L:R,7,FALSE),VLOOKUP(tables_552010!C245,input_552010!A:H,8,FALSE))</f>
        <v>1248</v>
      </c>
      <c r="P245" s="44">
        <f t="shared" ca="1" si="10"/>
        <v>2.1666666665162013E-4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input_552010!A$2</f>
        <v>552010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IFERROR(VLOOKUP(B246,input_552010!L:R,7,FALSE),VLOOKUP(tables_552010!C246,input_552010!A:H,8,FALSE))</f>
        <v>18264</v>
      </c>
      <c r="P246" s="44">
        <f t="shared" ca="1" si="10"/>
        <v>3.1708333331131326E-3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input_552010!A$2</f>
        <v>552010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IFERROR(VLOOKUP(B247,input_552010!L:R,7,FALSE),VLOOKUP(tables_552010!C247,input_552010!A:H,8,FALSE))</f>
        <v>26109</v>
      </c>
      <c r="P247" s="44">
        <f t="shared" ca="1" si="10"/>
        <v>4.5328124996852157E-3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input_552010!A$2</f>
        <v>552010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IFERROR(VLOOKUP(B248,input_552010!L:R,7,FALSE),VLOOKUP(tables_552010!C248,input_552010!A:H,8,FALSE))</f>
        <v>1287</v>
      </c>
      <c r="P248" s="44">
        <f t="shared" ca="1" si="10"/>
        <v>2.2343749998448325E-4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input_552010!A$2</f>
        <v>552010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IFERROR(VLOOKUP(B249,input_552010!L:R,7,FALSE),VLOOKUP(tables_552010!C249,input_552010!A:H,8,FALSE))</f>
        <v>18264</v>
      </c>
      <c r="P249" s="44">
        <f t="shared" ca="1" si="10"/>
        <v>3.1708333331131326E-3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input_552010!A$2</f>
        <v>552010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IFERROR(VLOOKUP(B250,input_552010!L:R,7,FALSE),VLOOKUP(tables_552010!C250,input_552010!A:H,8,FALSE))</f>
        <v>26109</v>
      </c>
      <c r="P250" s="44">
        <f t="shared" ca="1" si="10"/>
        <v>4.5328124996852157E-3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input_552010!A$2</f>
        <v>552010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IFERROR(VLOOKUP(B251,input_552010!L:R,7,FALSE),VLOOKUP(tables_552010!C251,input_552010!A:H,8,FALSE))</f>
        <v>1287</v>
      </c>
      <c r="P251" s="44">
        <f t="shared" ca="1" si="10"/>
        <v>2.2343749998448325E-4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input_552010!A$2</f>
        <v>552010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IFERROR(VLOOKUP(B252,input_552010!L:R,7,FALSE),VLOOKUP(tables_552010!C252,input_552010!A:H,8,FALSE))</f>
        <v>18264</v>
      </c>
      <c r="P252" s="44">
        <f t="shared" ca="1" si="10"/>
        <v>3.1708333331131326E-3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input_552010!A$2</f>
        <v>552010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IFERROR(VLOOKUP(B253,input_552010!L:R,7,FALSE),VLOOKUP(tables_552010!C253,input_552010!A:H,8,FALSE))</f>
        <v>26109</v>
      </c>
      <c r="P253" s="44">
        <f t="shared" ca="1" si="10"/>
        <v>4.5328124996852157E-3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input_552010!A$2</f>
        <v>552010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IFERROR(VLOOKUP(B254,input_552010!L:R,7,FALSE),VLOOKUP(tables_552010!C254,input_552010!A:H,8,FALSE))</f>
        <v>1287</v>
      </c>
      <c r="P254" s="44">
        <f t="shared" ca="1" si="10"/>
        <v>2.2343749998448325E-4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input_552010!A$2</f>
        <v>552010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IFERROR(VLOOKUP(B255,input_552010!L:R,7,FALSE),VLOOKUP(tables_552010!C255,input_552010!A:H,8,FALSE))</f>
        <v>18264</v>
      </c>
      <c r="P255" s="44">
        <f t="shared" ca="1" si="10"/>
        <v>3.1708333331131326E-3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input_552010!A$2</f>
        <v>552010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IFERROR(VLOOKUP(B256,input_552010!L:R,7,FALSE),VLOOKUP(tables_552010!C256,input_552010!A:H,8,FALSE))</f>
        <v>26109</v>
      </c>
      <c r="P256" s="44">
        <f t="shared" ca="1" si="10"/>
        <v>4.5328124996852157E-3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input_552010!A$2</f>
        <v>552010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IFERROR(VLOOKUP(B257,input_552010!L:R,7,FALSE),VLOOKUP(tables_552010!C257,input_552010!A:H,8,FALSE))</f>
        <v>1287</v>
      </c>
      <c r="P257" s="44">
        <f t="shared" ca="1" si="10"/>
        <v>2.2343749998448325E-4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input_552010!A$2</f>
        <v>552010</v>
      </c>
      <c r="B258" s="5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IFERROR(VLOOKUP(B258,input_552010!L:R,7,FALSE),VLOOKUP(tables_552010!C258,input_552010!A:H,8,FALSE))</f>
        <v>4813.7142899999999</v>
      </c>
      <c r="P258" s="44">
        <f t="shared" ref="P258:P321" ca="1" si="13">O258/SUM(O:O)</f>
        <v>8.3571428640029659E-4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input_552010!A$2</f>
        <v>552010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IFERROR(VLOOKUP(B259,input_552010!L:R,7,FALSE),VLOOKUP(tables_552010!C259,input_552010!A:H,8,FALSE))</f>
        <v>1248</v>
      </c>
      <c r="P259" s="44">
        <f t="shared" ca="1" si="13"/>
        <v>2.1666666665162013E-4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input_552010!A$2</f>
        <v>552010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IFERROR(VLOOKUP(B260,input_552010!L:R,7,FALSE),VLOOKUP(tables_552010!C260,input_552010!A:H,8,FALSE))</f>
        <v>4813.7142899999999</v>
      </c>
      <c r="P260" s="44">
        <f t="shared" ca="1" si="13"/>
        <v>8.3571428640029659E-4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input_552010!A$2</f>
        <v>552010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IFERROR(VLOOKUP(B261,input_552010!L:R,7,FALSE),VLOOKUP(tables_552010!C261,input_552010!A:H,8,FALSE))</f>
        <v>1248</v>
      </c>
      <c r="P261" s="44">
        <f t="shared" ca="1" si="13"/>
        <v>2.1666666665162013E-4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input_552010!A$2</f>
        <v>552010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IFERROR(VLOOKUP(B262,input_552010!L:R,7,FALSE),VLOOKUP(tables_552010!C262,input_552010!A:H,8,FALSE))</f>
        <v>44044.2</v>
      </c>
      <c r="P262" s="44">
        <f t="shared" ca="1" si="13"/>
        <v>7.6465624994689792E-3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input_552010!A$2</f>
        <v>552010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IFERROR(VLOOKUP(B263,input_552010!L:R,7,FALSE),VLOOKUP(tables_552010!C263,input_552010!A:H,8,FALSE))</f>
        <v>1242.92308</v>
      </c>
      <c r="P263" s="44">
        <f t="shared" ca="1" si="13"/>
        <v>2.1578525692945912E-4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input_552010!A$2</f>
        <v>552010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IFERROR(VLOOKUP(B264,input_552010!L:R,7,FALSE),VLOOKUP(tables_552010!C264,input_552010!A:H,8,FALSE))</f>
        <v>44044.2</v>
      </c>
      <c r="P264" s="44">
        <f t="shared" ca="1" si="13"/>
        <v>7.6465624994689792E-3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input_552010!A$2</f>
        <v>552010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IFERROR(VLOOKUP(B265,input_552010!L:R,7,FALSE),VLOOKUP(tables_552010!C265,input_552010!A:H,8,FALSE))</f>
        <v>1242.92308</v>
      </c>
      <c r="P265" s="44">
        <f t="shared" ca="1" si="13"/>
        <v>2.1578525692945912E-4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input_552010!A$2</f>
        <v>552010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IFERROR(VLOOKUP(B266,input_552010!L:R,7,FALSE),VLOOKUP(tables_552010!C266,input_552010!A:H,8,FALSE))</f>
        <v>1248</v>
      </c>
      <c r="P266" s="44">
        <f t="shared" ca="1" si="13"/>
        <v>2.1666666665162013E-4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input_552010!A$2</f>
        <v>552010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IFERROR(VLOOKUP(B267,input_552010!L:R,7,FALSE),VLOOKUP(tables_552010!C267,input_552010!A:H,8,FALSE))</f>
        <v>1248</v>
      </c>
      <c r="P267" s="44">
        <f t="shared" ca="1" si="13"/>
        <v>2.1666666665162013E-4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input_552010!A$2</f>
        <v>552010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IFERROR(VLOOKUP(B268,input_552010!L:R,7,FALSE),VLOOKUP(tables_552010!C268,input_552010!A:H,8,FALSE))</f>
        <v>1248</v>
      </c>
      <c r="P268" s="44">
        <f t="shared" ca="1" si="13"/>
        <v>2.1666666665162013E-4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input_552010!A$2</f>
        <v>552010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IFERROR(VLOOKUP(B269,input_552010!L:R,7,FALSE),VLOOKUP(tables_552010!C269,input_552010!A:H,8,FALSE))</f>
        <v>1248</v>
      </c>
      <c r="P269" s="44">
        <f t="shared" ca="1" si="13"/>
        <v>2.1666666665162013E-4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input_552010!A$2</f>
        <v>552010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IFERROR(VLOOKUP(B270,input_552010!L:R,7,FALSE),VLOOKUP(tables_552010!C270,input_552010!A:H,8,FALSE))</f>
        <v>44044.2</v>
      </c>
      <c r="P270" s="44">
        <f t="shared" ca="1" si="13"/>
        <v>7.6465624994689792E-3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input_552010!A$2</f>
        <v>552010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IFERROR(VLOOKUP(B271,input_552010!L:R,7,FALSE),VLOOKUP(tables_552010!C271,input_552010!A:H,8,FALSE))</f>
        <v>1242.92308</v>
      </c>
      <c r="P271" s="44">
        <f t="shared" ca="1" si="13"/>
        <v>2.1578525692945912E-4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input_552010!A$2</f>
        <v>552010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IFERROR(VLOOKUP(B272,input_552010!L:R,7,FALSE),VLOOKUP(tables_552010!C272,input_552010!A:H,8,FALSE))</f>
        <v>44044.2</v>
      </c>
      <c r="P272" s="44">
        <f t="shared" ca="1" si="13"/>
        <v>7.6465624994689792E-3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input_552010!A$2</f>
        <v>552010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IFERROR(VLOOKUP(B273,input_552010!L:R,7,FALSE),VLOOKUP(tables_552010!C273,input_552010!A:H,8,FALSE))</f>
        <v>1242.92308</v>
      </c>
      <c r="P273" s="44">
        <f t="shared" ca="1" si="13"/>
        <v>2.1578525692945912E-4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input_552010!A$2</f>
        <v>552010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IFERROR(VLOOKUP(B274,input_552010!L:R,7,FALSE),VLOOKUP(tables_552010!C274,input_552010!A:H,8,FALSE))</f>
        <v>4813.7142899999999</v>
      </c>
      <c r="P274" s="44">
        <f t="shared" ca="1" si="13"/>
        <v>8.3571428640029659E-4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input_552010!A$2</f>
        <v>552010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IFERROR(VLOOKUP(B275,input_552010!L:R,7,FALSE),VLOOKUP(tables_552010!C275,input_552010!A:H,8,FALSE))</f>
        <v>1248</v>
      </c>
      <c r="P275" s="44">
        <f t="shared" ca="1" si="13"/>
        <v>2.1666666665162013E-4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input_552010!A$2</f>
        <v>552010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IFERROR(VLOOKUP(B276,input_552010!L:R,7,FALSE),VLOOKUP(tables_552010!C276,input_552010!A:H,8,FALSE))</f>
        <v>4813.7142899999999</v>
      </c>
      <c r="P276" s="44">
        <f t="shared" ca="1" si="13"/>
        <v>8.3571428640029659E-4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input_552010!A$2</f>
        <v>552010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IFERROR(VLOOKUP(B277,input_552010!L:R,7,FALSE),VLOOKUP(tables_552010!C277,input_552010!A:H,8,FALSE))</f>
        <v>1248</v>
      </c>
      <c r="P277" s="44">
        <f t="shared" ca="1" si="13"/>
        <v>2.1666666665162013E-4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input_552010!A$2</f>
        <v>552010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IFERROR(VLOOKUP(B278,input_552010!L:R,7,FALSE),VLOOKUP(tables_552010!C278,input_552010!A:H,8,FALSE))</f>
        <v>18264</v>
      </c>
      <c r="P278" s="44">
        <f t="shared" ca="1" si="13"/>
        <v>3.1708333331131326E-3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input_552010!A$2</f>
        <v>552010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IFERROR(VLOOKUP(B279,input_552010!L:R,7,FALSE),VLOOKUP(tables_552010!C279,input_552010!A:H,8,FALSE))</f>
        <v>26109</v>
      </c>
      <c r="P279" s="44">
        <f t="shared" ca="1" si="13"/>
        <v>4.5328124996852157E-3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input_552010!A$2</f>
        <v>552010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IFERROR(VLOOKUP(B280,input_552010!L:R,7,FALSE),VLOOKUP(tables_552010!C280,input_552010!A:H,8,FALSE))</f>
        <v>1287</v>
      </c>
      <c r="P280" s="44">
        <f t="shared" ca="1" si="13"/>
        <v>2.2343749998448325E-4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input_552010!A$2</f>
        <v>552010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IFERROR(VLOOKUP(B281,input_552010!L:R,7,FALSE),VLOOKUP(tables_552010!C281,input_552010!A:H,8,FALSE))</f>
        <v>18264</v>
      </c>
      <c r="P281" s="44">
        <f t="shared" ca="1" si="13"/>
        <v>3.1708333331131326E-3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input_552010!A$2</f>
        <v>552010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IFERROR(VLOOKUP(B282,input_552010!L:R,7,FALSE),VLOOKUP(tables_552010!C282,input_552010!A:H,8,FALSE))</f>
        <v>26109</v>
      </c>
      <c r="P282" s="44">
        <f t="shared" ca="1" si="13"/>
        <v>4.5328124996852157E-3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input_552010!A$2</f>
        <v>552010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IFERROR(VLOOKUP(B283,input_552010!L:R,7,FALSE),VLOOKUP(tables_552010!C283,input_552010!A:H,8,FALSE))</f>
        <v>1287</v>
      </c>
      <c r="P283" s="44">
        <f t="shared" ca="1" si="13"/>
        <v>2.2343749998448325E-4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input_552010!A$2</f>
        <v>552010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IFERROR(VLOOKUP(B284,input_552010!L:R,7,FALSE),VLOOKUP(tables_552010!C284,input_552010!A:H,8,FALSE))</f>
        <v>1248</v>
      </c>
      <c r="P284" s="44">
        <f t="shared" ca="1" si="13"/>
        <v>2.1666666665162013E-4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input_552010!A$2</f>
        <v>552010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IFERROR(VLOOKUP(B285,input_552010!L:R,7,FALSE),VLOOKUP(tables_552010!C285,input_552010!A:H,8,FALSE))</f>
        <v>1248</v>
      </c>
      <c r="P285" s="44">
        <f t="shared" ca="1" si="13"/>
        <v>2.1666666665162013E-4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input_552010!A$2</f>
        <v>552010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IFERROR(VLOOKUP(B286,input_552010!L:R,7,FALSE),VLOOKUP(tables_552010!C286,input_552010!A:H,8,FALSE))</f>
        <v>44044.2</v>
      </c>
      <c r="P286" s="44">
        <f t="shared" ca="1" si="13"/>
        <v>7.6465624994689792E-3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input_552010!A$2</f>
        <v>552010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IFERROR(VLOOKUP(B287,input_552010!L:R,7,FALSE),VLOOKUP(tables_552010!C287,input_552010!A:H,8,FALSE))</f>
        <v>1242.92308</v>
      </c>
      <c r="P287" s="44">
        <f t="shared" ca="1" si="13"/>
        <v>2.1578525692945912E-4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input_552010!A$2</f>
        <v>552010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IFERROR(VLOOKUP(B288,input_552010!L:R,7,FALSE),VLOOKUP(tables_552010!C288,input_552010!A:H,8,FALSE))</f>
        <v>44044.2</v>
      </c>
      <c r="P288" s="44">
        <f t="shared" ca="1" si="13"/>
        <v>7.6465624994689792E-3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input_552010!A$2</f>
        <v>552010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IFERROR(VLOOKUP(B289,input_552010!L:R,7,FALSE),VLOOKUP(tables_552010!C289,input_552010!A:H,8,FALSE))</f>
        <v>1242.92308</v>
      </c>
      <c r="P289" s="44">
        <f t="shared" ca="1" si="13"/>
        <v>2.1578525692945912E-4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input_552010!A$2</f>
        <v>552010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IFERROR(VLOOKUP(B290,input_552010!L:R,7,FALSE),VLOOKUP(tables_552010!C290,input_552010!A:H,8,FALSE))</f>
        <v>44044.2</v>
      </c>
      <c r="P290" s="44">
        <f t="shared" ca="1" si="13"/>
        <v>7.6465624994689792E-3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input_552010!A$2</f>
        <v>552010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IFERROR(VLOOKUP(B291,input_552010!L:R,7,FALSE),VLOOKUP(tables_552010!C291,input_552010!A:H,8,FALSE))</f>
        <v>1242.92308</v>
      </c>
      <c r="P291" s="44">
        <f t="shared" ca="1" si="13"/>
        <v>2.1578525692945912E-4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input_552010!A$2</f>
        <v>552010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IFERROR(VLOOKUP(B292,input_552010!L:R,7,FALSE),VLOOKUP(tables_552010!C292,input_552010!A:H,8,FALSE))</f>
        <v>44044.2</v>
      </c>
      <c r="P292" s="44">
        <f t="shared" ca="1" si="13"/>
        <v>7.6465624994689792E-3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input_552010!A$2</f>
        <v>552010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IFERROR(VLOOKUP(B293,input_552010!L:R,7,FALSE),VLOOKUP(tables_552010!C293,input_552010!A:H,8,FALSE))</f>
        <v>1242.92308</v>
      </c>
      <c r="P293" s="44">
        <f t="shared" ca="1" si="13"/>
        <v>2.1578525692945912E-4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input_552010!A$2</f>
        <v>552010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IFERROR(VLOOKUP(B294,input_552010!L:R,7,FALSE),VLOOKUP(tables_552010!C294,input_552010!A:H,8,FALSE))</f>
        <v>1248</v>
      </c>
      <c r="P294" s="44">
        <f t="shared" ca="1" si="13"/>
        <v>2.1666666665162013E-4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input_552010!A$2</f>
        <v>552010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IFERROR(VLOOKUP(B295,input_552010!L:R,7,FALSE),VLOOKUP(tables_552010!C295,input_552010!A:H,8,FALSE))</f>
        <v>1248</v>
      </c>
      <c r="P295" s="44">
        <f t="shared" ca="1" si="13"/>
        <v>2.1666666665162013E-4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input_552010!A$2</f>
        <v>552010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IFERROR(VLOOKUP(B296,input_552010!L:R,7,FALSE),VLOOKUP(tables_552010!C296,input_552010!A:H,8,FALSE))</f>
        <v>1248</v>
      </c>
      <c r="P296" s="44">
        <f t="shared" ca="1" si="13"/>
        <v>2.1666666665162013E-4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input_552010!A$2</f>
        <v>552010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IFERROR(VLOOKUP(B297,input_552010!L:R,7,FALSE),VLOOKUP(tables_552010!C297,input_552010!A:H,8,FALSE))</f>
        <v>44044.2</v>
      </c>
      <c r="P297" s="44">
        <f t="shared" ca="1" si="13"/>
        <v>7.6465624994689792E-3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input_552010!A$2</f>
        <v>552010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IFERROR(VLOOKUP(B298,input_552010!L:R,7,FALSE),VLOOKUP(tables_552010!C298,input_552010!A:H,8,FALSE))</f>
        <v>1242.92308</v>
      </c>
      <c r="P298" s="44">
        <f t="shared" ca="1" si="13"/>
        <v>2.1578525692945912E-4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input_552010!A$2</f>
        <v>552010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IFERROR(VLOOKUP(B299,input_552010!L:R,7,FALSE),VLOOKUP(tables_552010!C299,input_552010!A:H,8,FALSE))</f>
        <v>1248</v>
      </c>
      <c r="P299" s="44">
        <f t="shared" ca="1" si="13"/>
        <v>2.1666666665162013E-4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input_552010!A$2</f>
        <v>552010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IFERROR(VLOOKUP(B300,input_552010!L:R,7,FALSE),VLOOKUP(tables_552010!C300,input_552010!A:H,8,FALSE))</f>
        <v>1248</v>
      </c>
      <c r="P300" s="44">
        <f t="shared" ca="1" si="13"/>
        <v>2.1666666665162013E-4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input_552010!A$2</f>
        <v>552010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IFERROR(VLOOKUP(B301,input_552010!L:R,7,FALSE),VLOOKUP(tables_552010!C301,input_552010!A:H,8,FALSE))</f>
        <v>1248</v>
      </c>
      <c r="P301" s="44">
        <f t="shared" ca="1" si="13"/>
        <v>2.1666666665162013E-4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input_552010!A$2</f>
        <v>552010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IFERROR(VLOOKUP(B302,input_552010!L:R,7,FALSE),VLOOKUP(tables_552010!C302,input_552010!A:H,8,FALSE))</f>
        <v>1248</v>
      </c>
      <c r="P302" s="44">
        <f t="shared" ca="1" si="13"/>
        <v>2.1666666665162013E-4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input_552010!A$2</f>
        <v>552010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IFERROR(VLOOKUP(B303,input_552010!L:R,7,FALSE),VLOOKUP(tables_552010!C303,input_552010!A:H,8,FALSE))</f>
        <v>44044.2</v>
      </c>
      <c r="P303" s="44">
        <f t="shared" ca="1" si="13"/>
        <v>7.6465624994689792E-3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input_552010!A$2</f>
        <v>552010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IFERROR(VLOOKUP(B304,input_552010!L:R,7,FALSE),VLOOKUP(tables_552010!C304,input_552010!A:H,8,FALSE))</f>
        <v>1242.92308</v>
      </c>
      <c r="P304" s="44">
        <f t="shared" ca="1" si="13"/>
        <v>2.1578525692945912E-4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input_552010!A$2</f>
        <v>552010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IFERROR(VLOOKUP(B305,input_552010!L:R,7,FALSE),VLOOKUP(tables_552010!C305,input_552010!A:H,8,FALSE))</f>
        <v>1248</v>
      </c>
      <c r="P305" s="44">
        <f t="shared" ca="1" si="13"/>
        <v>2.1666666665162013E-4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input_552010!A$2</f>
        <v>552010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IFERROR(VLOOKUP(B306,input_552010!L:R,7,FALSE),VLOOKUP(tables_552010!C306,input_552010!A:H,8,FALSE))</f>
        <v>44044.2</v>
      </c>
      <c r="P306" s="44">
        <f t="shared" ca="1" si="13"/>
        <v>7.6465624994689792E-3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input_552010!A$2</f>
        <v>552010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IFERROR(VLOOKUP(B307,input_552010!L:R,7,FALSE),VLOOKUP(tables_552010!C307,input_552010!A:H,8,FALSE))</f>
        <v>1242.92308</v>
      </c>
      <c r="P307" s="44">
        <f t="shared" ca="1" si="13"/>
        <v>2.1578525692945912E-4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input_552010!A$2</f>
        <v>552010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IFERROR(VLOOKUP(B308,input_552010!L:R,7,FALSE),VLOOKUP(tables_552010!C308,input_552010!A:H,8,FALSE))</f>
        <v>1248</v>
      </c>
      <c r="P308" s="44">
        <f t="shared" ca="1" si="13"/>
        <v>2.1666666665162013E-4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input_552010!A$2</f>
        <v>552010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IFERROR(VLOOKUP(B309,input_552010!L:R,7,FALSE),VLOOKUP(tables_552010!C309,input_552010!A:H,8,FALSE))</f>
        <v>1248</v>
      </c>
      <c r="P309" s="44">
        <f t="shared" ca="1" si="13"/>
        <v>2.1666666665162013E-4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input_552010!A$2</f>
        <v>552010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IFERROR(VLOOKUP(B310,input_552010!L:R,7,FALSE),VLOOKUP(tables_552010!C310,input_552010!A:H,8,FALSE))</f>
        <v>1248</v>
      </c>
      <c r="P310" s="44">
        <f t="shared" ca="1" si="13"/>
        <v>2.1666666665162013E-4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input_552010!A$2</f>
        <v>552010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IFERROR(VLOOKUP(B311,input_552010!L:R,7,FALSE),VLOOKUP(tables_552010!C311,input_552010!A:H,8,FALSE))</f>
        <v>44044.2</v>
      </c>
      <c r="P311" s="44">
        <f t="shared" ca="1" si="13"/>
        <v>7.6465624994689792E-3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input_552010!A$2</f>
        <v>552010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IFERROR(VLOOKUP(B312,input_552010!L:R,7,FALSE),VLOOKUP(tables_552010!C312,input_552010!A:H,8,FALSE))</f>
        <v>1242.92308</v>
      </c>
      <c r="P312" s="44">
        <f t="shared" ca="1" si="13"/>
        <v>2.1578525692945912E-4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input_552010!A$2</f>
        <v>552010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IFERROR(VLOOKUP(B313,input_552010!L:R,7,FALSE),VLOOKUP(tables_552010!C313,input_552010!A:H,8,FALSE))</f>
        <v>1248</v>
      </c>
      <c r="P313" s="44">
        <f t="shared" ca="1" si="13"/>
        <v>2.1666666665162013E-4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input_552010!A$2</f>
        <v>552010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IFERROR(VLOOKUP(B314,input_552010!L:R,7,FALSE),VLOOKUP(tables_552010!C314,input_552010!A:H,8,FALSE))</f>
        <v>1248</v>
      </c>
      <c r="P314" s="44">
        <f t="shared" ca="1" si="13"/>
        <v>2.1666666665162013E-4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input_552010!A$2</f>
        <v>552010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IFERROR(VLOOKUP(B315,input_552010!L:R,7,FALSE),VLOOKUP(tables_552010!C315,input_552010!A:H,8,FALSE))</f>
        <v>1248</v>
      </c>
      <c r="P315" s="44">
        <f t="shared" ca="1" si="13"/>
        <v>2.1666666665162013E-4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input_552010!A$2</f>
        <v>552010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IFERROR(VLOOKUP(B316,input_552010!L:R,7,FALSE),VLOOKUP(tables_552010!C316,input_552010!A:H,8,FALSE))</f>
        <v>1248</v>
      </c>
      <c r="P316" s="44">
        <f t="shared" ca="1" si="13"/>
        <v>2.1666666665162013E-4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input_552010!A$2</f>
        <v>552010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IFERROR(VLOOKUP(B317,input_552010!L:R,7,FALSE),VLOOKUP(tables_552010!C317,input_552010!A:H,8,FALSE))</f>
        <v>1248</v>
      </c>
      <c r="P317" s="44">
        <f t="shared" ca="1" si="13"/>
        <v>2.1666666665162013E-4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input_552010!A$2</f>
        <v>552010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IFERROR(VLOOKUP(B318,input_552010!L:R,7,FALSE),VLOOKUP(tables_552010!C318,input_552010!A:H,8,FALSE))</f>
        <v>44044.2</v>
      </c>
      <c r="P318" s="44">
        <f t="shared" ca="1" si="13"/>
        <v>7.6465624994689792E-3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input_552010!A$2</f>
        <v>552010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IFERROR(VLOOKUP(B319,input_552010!L:R,7,FALSE),VLOOKUP(tables_552010!C319,input_552010!A:H,8,FALSE))</f>
        <v>1242.92308</v>
      </c>
      <c r="P319" s="44">
        <f t="shared" ca="1" si="13"/>
        <v>2.1578525692945912E-4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input_552010!A$2</f>
        <v>552010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IFERROR(VLOOKUP(B320,input_552010!L:R,7,FALSE),VLOOKUP(tables_552010!C320,input_552010!A:H,8,FALSE))</f>
        <v>1248</v>
      </c>
      <c r="P320" s="44">
        <f t="shared" ca="1" si="13"/>
        <v>2.1666666665162013E-4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input_552010!A$2</f>
        <v>552010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IFERROR(VLOOKUP(B321,input_552010!L:R,7,FALSE),VLOOKUP(tables_552010!C321,input_552010!A:H,8,FALSE))</f>
        <v>1248</v>
      </c>
      <c r="P321" s="44">
        <f t="shared" ca="1" si="13"/>
        <v>2.1666666665162013E-4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input_552010!A$2</f>
        <v>552010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IFERROR(VLOOKUP(B322,input_552010!L:R,7,FALSE),VLOOKUP(tables_552010!C322,input_552010!A:H,8,FALSE))</f>
        <v>1248</v>
      </c>
      <c r="P322" s="44">
        <f t="shared" ref="P322:P359" ca="1" si="23">O322/SUM(O:O)</f>
        <v>2.1666666665162013E-4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input_552010!A$2</f>
        <v>552010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IFERROR(VLOOKUP(B323,input_552010!L:R,7,FALSE),VLOOKUP(tables_552010!C323,input_552010!A:H,8,FALSE))</f>
        <v>1248</v>
      </c>
      <c r="P323" s="44">
        <f t="shared" ca="1" si="23"/>
        <v>2.1666666665162013E-4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input_552010!A$2</f>
        <v>552010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IFERROR(VLOOKUP(B324,input_552010!L:R,7,FALSE),VLOOKUP(tables_552010!C324,input_552010!A:H,8,FALSE))</f>
        <v>44044.2</v>
      </c>
      <c r="P324" s="44">
        <f t="shared" ca="1" si="23"/>
        <v>7.6465624994689792E-3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input_552010!A$2</f>
        <v>552010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IFERROR(VLOOKUP(B325,input_552010!L:R,7,FALSE),VLOOKUP(tables_552010!C325,input_552010!A:H,8,FALSE))</f>
        <v>1242.92308</v>
      </c>
      <c r="P325" s="44">
        <f t="shared" ca="1" si="23"/>
        <v>2.1578525692945912E-4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input_552010!A$2</f>
        <v>552010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IFERROR(VLOOKUP(B326,input_552010!L:R,7,FALSE),VLOOKUP(tables_552010!C326,input_552010!A:H,8,FALSE))</f>
        <v>44044.2</v>
      </c>
      <c r="P326" s="44">
        <f t="shared" ca="1" si="23"/>
        <v>7.6465624994689792E-3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input_552010!A$2</f>
        <v>552010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IFERROR(VLOOKUP(B327,input_552010!L:R,7,FALSE),VLOOKUP(tables_552010!C327,input_552010!A:H,8,FALSE))</f>
        <v>1242.92308</v>
      </c>
      <c r="P327" s="44">
        <f t="shared" ca="1" si="23"/>
        <v>2.1578525692945912E-4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input_552010!A$2</f>
        <v>552010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IFERROR(VLOOKUP(B328,input_552010!L:R,7,FALSE),VLOOKUP(tables_552010!C328,input_552010!A:H,8,FALSE))</f>
        <v>1248</v>
      </c>
      <c r="P328" s="44">
        <f t="shared" ca="1" si="23"/>
        <v>2.1666666665162013E-4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input_552010!A$2</f>
        <v>552010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IFERROR(VLOOKUP(B329,input_552010!L:R,7,FALSE),VLOOKUP(tables_552010!C329,input_552010!A:H,8,FALSE))</f>
        <v>1248</v>
      </c>
      <c r="P329" s="44">
        <f t="shared" ca="1" si="23"/>
        <v>2.1666666665162013E-4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input_552010!A$2</f>
        <v>552010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IFERROR(VLOOKUP(B330,input_552010!L:R,7,FALSE),VLOOKUP(tables_552010!C330,input_552010!A:H,8,FALSE))</f>
        <v>1248</v>
      </c>
      <c r="P330" s="44">
        <f t="shared" ca="1" si="23"/>
        <v>2.1666666665162013E-4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input_552010!A$2</f>
        <v>552010</v>
      </c>
      <c r="B331" s="58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IFERROR(VLOOKUP(B331,input_552010!L:R,7,FALSE),VLOOKUP(tables_552010!C331,input_552010!A:H,8,FALSE))</f>
        <v>1248</v>
      </c>
      <c r="P331" s="44">
        <f t="shared" ca="1" si="23"/>
        <v>2.1666666665162013E-4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input_552010!A$2</f>
        <v>552010</v>
      </c>
      <c r="B332" s="58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IFERROR(VLOOKUP(B332,input_552010!L:R,7,FALSE),VLOOKUP(tables_552010!C332,input_552010!A:H,8,FALSE))</f>
        <v>1248</v>
      </c>
      <c r="P332" s="44">
        <f t="shared" ca="1" si="23"/>
        <v>2.1666666665162013E-4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input_552010!A$2</f>
        <v>552010</v>
      </c>
      <c r="B333" s="58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IFERROR(VLOOKUP(B333,input_552010!L:R,7,FALSE),VLOOKUP(tables_552010!C333,input_552010!A:H,8,FALSE))</f>
        <v>1248</v>
      </c>
      <c r="P333" s="44">
        <f t="shared" ca="1" si="23"/>
        <v>2.1666666665162013E-4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input_552010!A$2</f>
        <v>552010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IFERROR(VLOOKUP(B334,input_552010!L:R,7,FALSE),VLOOKUP(tables_552010!C334,input_552010!A:H,8,FALSE))</f>
        <v>44044.2</v>
      </c>
      <c r="P334" s="44">
        <f t="shared" ca="1" si="23"/>
        <v>7.6465624994689792E-3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input_552010!A$2</f>
        <v>552010</v>
      </c>
      <c r="B335" s="58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IFERROR(VLOOKUP(B335,input_552010!L:R,7,FALSE),VLOOKUP(tables_552010!C335,input_552010!A:H,8,FALSE))</f>
        <v>1242.92308</v>
      </c>
      <c r="P335" s="44">
        <f t="shared" ca="1" si="23"/>
        <v>2.1578525692945912E-4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input_552010!A$2</f>
        <v>552010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IFERROR(VLOOKUP(B336,input_552010!L:R,7,FALSE),VLOOKUP(tables_552010!C336,input_552010!A:H,8,FALSE))</f>
        <v>44044.2</v>
      </c>
      <c r="P336" s="44">
        <f t="shared" ca="1" si="23"/>
        <v>7.6465624994689792E-3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input_552010!A$2</f>
        <v>552010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IFERROR(VLOOKUP(B337,input_552010!L:R,7,FALSE),VLOOKUP(tables_552010!C337,input_552010!A:H,8,FALSE))</f>
        <v>1242.92308</v>
      </c>
      <c r="P337" s="44">
        <f t="shared" ca="1" si="23"/>
        <v>2.1578525692945912E-4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input_552010!A$2</f>
        <v>552010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IFERROR(VLOOKUP(B338,input_552010!L:R,7,FALSE),VLOOKUP(tables_552010!C338,input_552010!A:H,8,FALSE))</f>
        <v>1248</v>
      </c>
      <c r="P338" s="44">
        <f t="shared" ca="1" si="23"/>
        <v>2.1666666665162013E-4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input_552010!A$2</f>
        <v>552010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IFERROR(VLOOKUP(B339,input_552010!L:R,7,FALSE),VLOOKUP(tables_552010!C339,input_552010!A:H,8,FALSE))</f>
        <v>1248</v>
      </c>
      <c r="P339" s="44">
        <f t="shared" ca="1" si="23"/>
        <v>2.1666666665162013E-4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input_552010!A$2</f>
        <v>552010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IFERROR(VLOOKUP(B340,input_552010!L:R,7,FALSE),VLOOKUP(tables_552010!C340,input_552010!A:H,8,FALSE))</f>
        <v>1248</v>
      </c>
      <c r="P340" s="44">
        <f t="shared" ca="1" si="23"/>
        <v>2.1666666665162013E-4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input_552010!A$2</f>
        <v>552010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IFERROR(VLOOKUP(B341,input_552010!L:R,7,FALSE),VLOOKUP(tables_552010!C341,input_552010!A:H,8,FALSE))</f>
        <v>1248</v>
      </c>
      <c r="P341" s="44">
        <f t="shared" ca="1" si="23"/>
        <v>2.1666666665162013E-4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input_552010!A$2</f>
        <v>552010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IFERROR(VLOOKUP(B342,input_552010!L:R,7,FALSE),VLOOKUP(tables_552010!C342,input_552010!A:H,8,FALSE))</f>
        <v>1248</v>
      </c>
      <c r="P342" s="44">
        <f t="shared" ca="1" si="23"/>
        <v>2.1666666665162013E-4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input_552010!A$2</f>
        <v>552010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IFERROR(VLOOKUP(B343,input_552010!L:R,7,FALSE),VLOOKUP(tables_552010!C343,input_552010!A:H,8,FALSE))</f>
        <v>44044.2</v>
      </c>
      <c r="P343" s="44">
        <f t="shared" ca="1" si="23"/>
        <v>7.6465624994689792E-3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input_552010!A$2</f>
        <v>552010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IFERROR(VLOOKUP(B344,input_552010!L:R,7,FALSE),VLOOKUP(tables_552010!C344,input_552010!A:H,8,FALSE))</f>
        <v>1242.92308</v>
      </c>
      <c r="P344" s="44">
        <f t="shared" ca="1" si="23"/>
        <v>2.1578525692945912E-4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input_552010!A$2</f>
        <v>552010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IFERROR(VLOOKUP(B345,input_552010!L:R,7,FALSE),VLOOKUP(tables_552010!C345,input_552010!A:H,8,FALSE))</f>
        <v>1248</v>
      </c>
      <c r="P345" s="44">
        <f t="shared" ca="1" si="23"/>
        <v>2.1666666665162013E-4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input_552010!A$2</f>
        <v>552010</v>
      </c>
      <c r="B346" s="99">
        <v>1260</v>
      </c>
      <c r="C346" s="7" t="str">
        <f t="shared" ref="C346" si="34">D346&amp;J346&amp;E346&amp;F346&amp;G346</f>
        <v>PremiumSS5R5only</v>
      </c>
      <c r="D346" s="95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IFERROR(VLOOKUP(B346,input_552010!L:R,7,FALSE),VLOOKUP(tables_552010!C346,input_552010!A:H,8,FALSE))</f>
        <v>1248</v>
      </c>
      <c r="P346" s="44">
        <f t="shared" ca="1" si="23"/>
        <v>2.1666666665162013E-4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input_552010!A$2</f>
        <v>552010</v>
      </c>
      <c r="B347" s="99">
        <v>1262</v>
      </c>
      <c r="C347" s="7" t="str">
        <f t="shared" ref="C347:C350" si="36">D347&amp;J347&amp;E347&amp;F347&amp;G347</f>
        <v>PremiumSS5R5only</v>
      </c>
      <c r="D347" s="95" t="str">
        <f t="shared" ref="D347:D350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IFERROR(VLOOKUP(B347,input_552010!L:R,7,FALSE),VLOOKUP(tables_552010!C347,input_552010!A:H,8,FALSE))</f>
        <v>1248</v>
      </c>
      <c r="P347" s="44">
        <f t="shared" ca="1" si="23"/>
        <v>2.1666666665162013E-4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input_552010!A$2</f>
        <v>552010</v>
      </c>
      <c r="B348" s="99">
        <v>1264</v>
      </c>
      <c r="C348" s="7" t="str">
        <f t="shared" si="36"/>
        <v>PremiumSS5R5only</v>
      </c>
      <c r="D348" s="95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IFERROR(VLOOKUP(B348,input_552010!L:R,7,FALSE),VLOOKUP(tables_552010!C348,input_552010!A:H,8,FALSE))</f>
        <v>1248</v>
      </c>
      <c r="P348" s="44">
        <f t="shared" ca="1" si="23"/>
        <v>2.1666666665162013E-4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input_552010!A$2</f>
        <v>552010</v>
      </c>
      <c r="B349" s="99">
        <v>1266</v>
      </c>
      <c r="C349" s="7" t="str">
        <f t="shared" si="36"/>
        <v>Premium4R3less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IFERROR(VLOOKUP(B349,input_552010!L:R,7,FALSE),VLOOKUP(tables_552010!C349,input_552010!A:H,8,FALSE))</f>
        <v>44044.2</v>
      </c>
      <c r="P349" s="44">
        <f t="shared" ca="1" si="23"/>
        <v>7.6465624994689792E-3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input_552010!A$2</f>
        <v>552010</v>
      </c>
      <c r="B350" s="99">
        <v>1267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IFERROR(VLOOKUP(B350,input_552010!L:R,7,FALSE),VLOOKUP(tables_552010!C350,input_552010!A:H,8,FALSE))</f>
        <v>1242.92308</v>
      </c>
      <c r="P350" s="44">
        <f t="shared" ca="1" si="23"/>
        <v>2.1578525692945912E-4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input_552010!A$2</f>
        <v>552010</v>
      </c>
      <c r="B351" s="99">
        <v>1332</v>
      </c>
      <c r="C351" s="7" t="str">
        <f t="shared" ref="C351:C353" si="38">D351&amp;J351&amp;E351&amp;F351&amp;G351</f>
        <v>PremiumSS5R5only</v>
      </c>
      <c r="D351" s="95" t="str">
        <f t="shared" ref="D351:D353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IFERROR(VLOOKUP(B351,input_552010!L:R,7,FALSE),VLOOKUP(tables_552010!C351,input_552010!A:H,8,FALSE))</f>
        <v>1248</v>
      </c>
      <c r="P351" s="44">
        <f t="shared" ca="1" si="23"/>
        <v>2.1666666665162013E-4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input_552010!A$2</f>
        <v>552010</v>
      </c>
      <c r="B352" s="99">
        <v>1334</v>
      </c>
      <c r="C352" s="7" t="str">
        <f t="shared" si="38"/>
        <v>Premium4R3less</v>
      </c>
      <c r="D352" s="95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IFERROR(VLOOKUP(B352,input_552010!L:R,7,FALSE),VLOOKUP(tables_552010!C352,input_552010!A:H,8,FALSE))</f>
        <v>44044.2</v>
      </c>
      <c r="P352" s="44">
        <f t="shared" ca="1" si="23"/>
        <v>7.6465624994689792E-3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input_552010!A$2</f>
        <v>552010</v>
      </c>
      <c r="B353" s="99">
        <v>1335</v>
      </c>
      <c r="C353" s="7" t="str">
        <f t="shared" si="38"/>
        <v>Premium5R3less</v>
      </c>
      <c r="D353" s="95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IFERROR(VLOOKUP(B353,input_552010!L:R,7,FALSE),VLOOKUP(tables_552010!C353,input_552010!A:H,8,FALSE))</f>
        <v>1242.92308</v>
      </c>
      <c r="P353" s="44">
        <f t="shared" ca="1" si="23"/>
        <v>2.1578525692945912E-4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input_552010!A$2</f>
        <v>552010</v>
      </c>
      <c r="B354" s="99">
        <v>1336</v>
      </c>
      <c r="C354" s="7" t="str">
        <f>D354&amp;J354&amp;E354&amp;F354&amp;G354</f>
        <v>PremiumSS5R5only</v>
      </c>
      <c r="D354" s="95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IFERROR(VLOOKUP(B354,input_552010!L:R,7,FALSE),VLOOKUP(tables_552010!C354,input_552010!A:H,8,FALSE))</f>
        <v>1248</v>
      </c>
      <c r="P354" s="44">
        <f t="shared" ca="1" si="23"/>
        <v>2.1666666665162013E-4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input_552010!A$2</f>
        <v>552010</v>
      </c>
      <c r="B355" s="99">
        <v>1338</v>
      </c>
      <c r="C355" s="7" t="str">
        <f>D355&amp;J355&amp;E355&amp;F355&amp;G355</f>
        <v>PremiumSS5R5only</v>
      </c>
      <c r="D355" s="95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IFERROR(VLOOKUP(B355,input_552010!L:R,7,FALSE),VLOOKUP(tables_552010!C355,input_552010!A:H,8,FALSE))</f>
        <v>1248</v>
      </c>
      <c r="P355" s="44">
        <f t="shared" ca="1" si="23"/>
        <v>2.1666666665162013E-4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input_552010!A$2</f>
        <v>552010</v>
      </c>
      <c r="B356" s="58">
        <v>1537</v>
      </c>
      <c r="C356" s="7" t="str">
        <f t="shared" ref="C356" si="40">D356&amp;J356&amp;E356&amp;F356&amp;G356</f>
        <v>PremiumSSS5R3less</v>
      </c>
      <c r="D356" s="95" t="str">
        <f t="shared" ref="D356" si="41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キャットマンダディ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unknown</v>
      </c>
      <c r="N356" s="7">
        <f>VLOOKUP(B356,[1]characters!$A:$G,7,FALSE)</f>
        <v>0</v>
      </c>
      <c r="O356" s="43">
        <f>IFERROR(VLOOKUP(B356,input_552010!L:R,7,FALSE),VLOOKUP(tables_552010!C356,input_552010!A:H,8,FALSE))</f>
        <v>34560</v>
      </c>
      <c r="P356" s="44">
        <f t="shared" ca="1" si="23"/>
        <v>5.9999999995833265E-3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12">
        <v>5</v>
      </c>
    </row>
    <row r="357" spans="1:22" ht="21" customHeight="1" x14ac:dyDescent="0.15">
      <c r="A357" s="2" t="str">
        <f ca="1">input_552010!A$2</f>
        <v>552010</v>
      </c>
      <c r="B357" s="58">
        <v>1539</v>
      </c>
      <c r="C357" s="7" t="str">
        <f t="shared" ref="C357:C359" si="42">D357&amp;J357&amp;E357&amp;F357&amp;G357</f>
        <v>PremiumSS5R5only</v>
      </c>
      <c r="D357" s="95" t="str">
        <f t="shared" ref="D357:D359" si="43">IF(OR(I357="PremiumSS",I357="PremiumSSw"),"PremiumSS",IF(I357="PremiumSSS",I357,IF(I357="PremiumW",IF(J357=5,"premium",I357),"Premium")))</f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雷神のサンディア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god</v>
      </c>
      <c r="N357" s="7">
        <f>VLOOKUP(B357,[1]characters!$A:$G,7,FALSE)</f>
        <v>0</v>
      </c>
      <c r="O357" s="43">
        <f>IFERROR(VLOOKUP(B357,input_552010!L:R,7,FALSE),VLOOKUP(tables_552010!C357,input_552010!A:H,8,FALSE))</f>
        <v>86400</v>
      </c>
      <c r="P357" s="44">
        <f t="shared" ca="1" si="23"/>
        <v>1.4999999998958315E-2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12">
        <v>5</v>
      </c>
    </row>
    <row r="358" spans="1:22" ht="21" customHeight="1" x14ac:dyDescent="0.15">
      <c r="A358" s="2" t="str">
        <f ca="1">input_552010!A$2</f>
        <v>552010</v>
      </c>
      <c r="B358" s="58">
        <v>1535</v>
      </c>
      <c r="C358" s="7" t="str">
        <f t="shared" si="42"/>
        <v>PremiumSS5R5only</v>
      </c>
      <c r="D358" s="95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ねこナース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red</v>
      </c>
      <c r="L358" s="7" t="str">
        <f>VLOOKUP(B358,[1]characters!$A:$K,11,FALSE)</f>
        <v>technical</v>
      </c>
      <c r="M358" s="7" t="str">
        <f>VLOOKUP(B358,[1]characters!$A:$M,13,FALSE)</f>
        <v>god</v>
      </c>
      <c r="N358" s="7">
        <f>VLOOKUP(B358,[1]characters!$A:$G,7,FALSE)</f>
        <v>0</v>
      </c>
      <c r="O358" s="43">
        <f>IFERROR(VLOOKUP(B358,input_552010!L:R,7,FALSE),VLOOKUP(tables_552010!C358,input_552010!A:H,8,FALSE))</f>
        <v>86400</v>
      </c>
      <c r="P358" s="44">
        <f t="shared" ca="1" si="23"/>
        <v>1.4999999998958315E-2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12">
        <v>5</v>
      </c>
    </row>
    <row r="359" spans="1:22" ht="21" customHeight="1" x14ac:dyDescent="0.15">
      <c r="A359" s="2" t="str">
        <f ca="1">input_552010!A$2</f>
        <v>552010</v>
      </c>
      <c r="B359" s="58">
        <v>1527</v>
      </c>
      <c r="C359" s="7" t="str">
        <f t="shared" si="42"/>
        <v>Premium4R3less</v>
      </c>
      <c r="D359" s="95" t="str">
        <f t="shared" si="43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ネコ魔剣士</v>
      </c>
      <c r="I359" s="7" t="str">
        <f>VLOOKUP(B359,[1]characters!$A:$J,10,FALSE)</f>
        <v>PremiumS</v>
      </c>
      <c r="J359" s="7">
        <f>VLOOKUP(B359,[1]characters!$A:$I,9,FALSE)</f>
        <v>4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animal</v>
      </c>
      <c r="N359" s="7">
        <f>VLOOKUP(B359,[1]characters!$A:$G,7,FALSE)</f>
        <v>0</v>
      </c>
      <c r="O359" s="43">
        <f>IFERROR(VLOOKUP(B359,input_552010!L:R,7,FALSE),VLOOKUP(tables_552010!C359,input_552010!A:H,8,FALSE))</f>
        <v>187200</v>
      </c>
      <c r="P359" s="44">
        <f t="shared" ca="1" si="23"/>
        <v>3.2499999997743015E-2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12">
        <v>5</v>
      </c>
    </row>
    <row r="360" spans="1:22" ht="21" customHeight="1" x14ac:dyDescent="0.15">
      <c r="A360" s="2" t="str">
        <f ca="1">input_552010!A$2</f>
        <v>552010</v>
      </c>
      <c r="B360" s="58">
        <v>1528</v>
      </c>
      <c r="C360" s="7" t="str">
        <f t="shared" ref="C360:C366" si="44">D360&amp;J360&amp;E360&amp;F360&amp;G360</f>
        <v>Premium5R3less</v>
      </c>
      <c r="D360" s="95" t="str">
        <f t="shared" ref="D360:D366" si="45">IF(OR(I360="PremiumSS",I360="PremiumSSw"),"PremiumSS",IF(I360="PremiumSSS",I360,IF(I360="PremiumW",IF(J360=5,"premium",I360),"Premium")))</f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双剣ネコ魔剣士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red</v>
      </c>
      <c r="L360" s="7" t="str">
        <f>VLOOKUP(B360,[1]characters!$A:$K,11,FALSE)</f>
        <v>attack</v>
      </c>
      <c r="M360" s="7" t="str">
        <f>VLOOKUP(B360,[1]characters!$A:$M,13,FALSE)</f>
        <v>animal</v>
      </c>
      <c r="N360" s="7">
        <f>VLOOKUP(B360,[1]characters!$A:$G,7,FALSE)</f>
        <v>0</v>
      </c>
      <c r="O360" s="43">
        <f>IFERROR(VLOOKUP(B360,input_552010!L:R,7,FALSE),VLOOKUP(tables_552010!C360,input_552010!A:H,8,FALSE))</f>
        <v>48960</v>
      </c>
      <c r="P360" s="44">
        <f t="shared" ref="P360:P366" ca="1" si="46">O360/SUM(O:O)</f>
        <v>8.4999999994097124E-3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12">
        <v>5</v>
      </c>
    </row>
    <row r="361" spans="1:22" ht="21" customHeight="1" x14ac:dyDescent="0.15">
      <c r="A361" s="2" t="str">
        <f ca="1">input_552010!A$2</f>
        <v>552010</v>
      </c>
      <c r="B361" s="58">
        <v>1529</v>
      </c>
      <c r="C361" s="7" t="str">
        <f t="shared" si="44"/>
        <v>Premium4R3less</v>
      </c>
      <c r="D361" s="95" t="str">
        <f t="shared" si="45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ねこ海賊</v>
      </c>
      <c r="I361" s="7" t="str">
        <f>VLOOKUP(B361,[1]characters!$A:$J,10,FALSE)</f>
        <v>PremiumS</v>
      </c>
      <c r="J361" s="7">
        <f>VLOOKUP(B361,[1]characters!$A:$I,9,FALSE)</f>
        <v>4</v>
      </c>
      <c r="K361" s="7" t="str">
        <f>VLOOKUP(B361,[1]characters!$A:$H,8,FALSE)</f>
        <v>blue</v>
      </c>
      <c r="L361" s="7" t="str">
        <f>VLOOKUP(B361,[1]characters!$A:$K,11,FALSE)</f>
        <v>balance</v>
      </c>
      <c r="M361" s="7" t="str">
        <f>VLOOKUP(B361,[1]characters!$A:$M,13,FALSE)</f>
        <v>unknown</v>
      </c>
      <c r="N361" s="7">
        <f>VLOOKUP(B361,[1]characters!$A:$G,7,FALSE)</f>
        <v>0</v>
      </c>
      <c r="O361" s="43">
        <f>IFERROR(VLOOKUP(B361,input_552010!L:R,7,FALSE),VLOOKUP(tables_552010!C361,input_552010!A:H,8,FALSE))</f>
        <v>187200</v>
      </c>
      <c r="P361" s="44">
        <f t="shared" ca="1" si="46"/>
        <v>3.2499999997743015E-2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12">
        <v>5</v>
      </c>
    </row>
    <row r="362" spans="1:22" ht="21" customHeight="1" x14ac:dyDescent="0.15">
      <c r="A362" s="2" t="str">
        <f ca="1">input_552010!A$2</f>
        <v>552010</v>
      </c>
      <c r="B362" s="86">
        <v>1530</v>
      </c>
      <c r="C362" s="7" t="str">
        <f t="shared" si="44"/>
        <v>Premium5R3less</v>
      </c>
      <c r="D362" s="95" t="str">
        <f t="shared" si="45"/>
        <v>Premium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ニャーコック船長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unknown</v>
      </c>
      <c r="N362" s="7">
        <f>VLOOKUP(B362,[1]characters!$A:$G,7,FALSE)</f>
        <v>0</v>
      </c>
      <c r="O362" s="43">
        <f>IFERROR(VLOOKUP(B362,input_552010!L:R,7,FALSE),VLOOKUP(tables_552010!C362,input_552010!A:H,8,FALSE))</f>
        <v>48960</v>
      </c>
      <c r="P362" s="44">
        <f t="shared" ca="1" si="46"/>
        <v>8.4999999994097124E-3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12">
        <v>5</v>
      </c>
    </row>
    <row r="363" spans="1:22" ht="21" customHeight="1" x14ac:dyDescent="0.15">
      <c r="A363" s="2" t="str">
        <f ca="1">input_552010!A$2</f>
        <v>552010</v>
      </c>
      <c r="B363" s="86">
        <v>1531</v>
      </c>
      <c r="C363" s="7" t="str">
        <f t="shared" si="44"/>
        <v>Premium4R3less</v>
      </c>
      <c r="D363" s="95" t="str">
        <f t="shared" si="45"/>
        <v>Premium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ねこジュラ</v>
      </c>
      <c r="I363" s="7" t="str">
        <f>VLOOKUP(B363,[1]characters!$A:$J,10,FALSE)</f>
        <v>PremiumS</v>
      </c>
      <c r="J363" s="7">
        <f>VLOOKUP(B363,[1]characters!$A:$I,9,FALSE)</f>
        <v>4</v>
      </c>
      <c r="K363" s="7" t="str">
        <f>VLOOKUP(B363,[1]characters!$A:$H,8,FALSE)</f>
        <v>green</v>
      </c>
      <c r="L363" s="7" t="str">
        <f>VLOOKUP(B363,[1]characters!$A:$K,11,FALSE)</f>
        <v>technical</v>
      </c>
      <c r="M363" s="7" t="str">
        <f>VLOOKUP(B363,[1]characters!$A:$M,13,FALSE)</f>
        <v>animal</v>
      </c>
      <c r="N363" s="7">
        <f>VLOOKUP(B363,[1]characters!$A:$G,7,FALSE)</f>
        <v>0</v>
      </c>
      <c r="O363" s="43">
        <f>IFERROR(VLOOKUP(B363,input_552010!L:R,7,FALSE),VLOOKUP(tables_552010!C363,input_552010!A:H,8,FALSE))</f>
        <v>187200</v>
      </c>
      <c r="P363" s="44">
        <f t="shared" ca="1" si="46"/>
        <v>3.2499999997743015E-2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12">
        <v>5</v>
      </c>
    </row>
    <row r="364" spans="1:22" ht="21" customHeight="1" x14ac:dyDescent="0.15">
      <c r="A364" s="2" t="str">
        <f ca="1">input_552010!A$2</f>
        <v>552010</v>
      </c>
      <c r="B364">
        <v>1532</v>
      </c>
      <c r="C364" s="7" t="str">
        <f t="shared" si="44"/>
        <v>Premium5R3less</v>
      </c>
      <c r="D364" s="95" t="str">
        <f t="shared" si="45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ねこジュラシッター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green</v>
      </c>
      <c r="L364" s="7" t="str">
        <f>VLOOKUP(B364,[1]characters!$A:$K,11,FALSE)</f>
        <v>technical</v>
      </c>
      <c r="M364" s="7" t="str">
        <f>VLOOKUP(B364,[1]characters!$A:$M,13,FALSE)</f>
        <v>animal</v>
      </c>
      <c r="N364" s="7">
        <f>VLOOKUP(B364,[1]characters!$A:$G,7,FALSE)</f>
        <v>0</v>
      </c>
      <c r="O364" s="43">
        <f>IFERROR(VLOOKUP(B364,input_552010!L:R,7,FALSE),VLOOKUP(tables_552010!C364,input_552010!A:H,8,FALSE))</f>
        <v>48960</v>
      </c>
      <c r="P364" s="44">
        <f t="shared" ca="1" si="46"/>
        <v>8.4999999994097124E-3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112">
        <v>5</v>
      </c>
    </row>
    <row r="365" spans="1:22" ht="21" customHeight="1" x14ac:dyDescent="0.15">
      <c r="A365" s="2" t="str">
        <f ca="1">input_552010!A$2</f>
        <v>552010</v>
      </c>
      <c r="B365">
        <v>1533</v>
      </c>
      <c r="C365" s="7" t="str">
        <f t="shared" si="44"/>
        <v>Premium4R3less</v>
      </c>
      <c r="D365" s="95" t="str">
        <f t="shared" si="45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ネコエステ</v>
      </c>
      <c r="I365" s="7" t="str">
        <f>VLOOKUP(B365,[1]characters!$A:$J,10,FALSE)</f>
        <v>PremiumS</v>
      </c>
      <c r="J365" s="7">
        <f>VLOOKUP(B365,[1]characters!$A:$I,9,FALSE)</f>
        <v>4</v>
      </c>
      <c r="K365" s="7" t="str">
        <f>VLOOKUP(B365,[1]characters!$A:$H,8,FALSE)</f>
        <v>yellow</v>
      </c>
      <c r="L365" s="7" t="str">
        <f>VLOOKUP(B365,[1]characters!$A:$K,11,FALSE)</f>
        <v>attack</v>
      </c>
      <c r="M365" s="7" t="str">
        <f>VLOOKUP(B365,[1]characters!$A:$M,13,FALSE)</f>
        <v>animal</v>
      </c>
      <c r="N365" s="7">
        <f>VLOOKUP(B365,[1]characters!$A:$G,7,FALSE)</f>
        <v>0</v>
      </c>
      <c r="O365" s="43">
        <f>IFERROR(VLOOKUP(B365,input_552010!L:R,7,FALSE),VLOOKUP(tables_552010!C365,input_552010!A:H,8,FALSE))</f>
        <v>187200</v>
      </c>
      <c r="P365" s="44">
        <f t="shared" ca="1" si="46"/>
        <v>3.2499999997743015E-2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112">
        <v>5</v>
      </c>
    </row>
    <row r="366" spans="1:22" ht="21" customHeight="1" x14ac:dyDescent="0.15">
      <c r="A366" s="2" t="str">
        <f ca="1">input_552010!A$2</f>
        <v>552010</v>
      </c>
      <c r="B366">
        <v>1534</v>
      </c>
      <c r="C366" s="7" t="str">
        <f t="shared" si="44"/>
        <v>Premium5R3less</v>
      </c>
      <c r="D366" s="95" t="str">
        <f t="shared" si="45"/>
        <v>Premium</v>
      </c>
      <c r="E366" s="7" t="str">
        <f>IF(COUNTIF('R6追加前'!A:A,B366)=0,IF(OR(I366="PremiumSS",I366="PremiumSSw"),"R5only","R3less"),"")</f>
        <v>R3less</v>
      </c>
      <c r="F366" s="7" t="str">
        <f>IF(COUNTIF('R6開放'!A:A,B366)&gt;0,"R6release","")</f>
        <v/>
      </c>
      <c r="G366" s="7"/>
      <c r="H366" s="7" t="str">
        <f>VLOOKUP(B366,[1]characters!$A:$C,3,FALSE)</f>
        <v>ネコジェンヌ</v>
      </c>
      <c r="I366" s="7" t="str">
        <f>VLOOKUP(B366,[1]characters!$A:$J,10,FALSE)</f>
        <v>PremiumS</v>
      </c>
      <c r="J366" s="7">
        <f>VLOOKUP(B366,[1]characters!$A:$I,9,FALSE)</f>
        <v>5</v>
      </c>
      <c r="K366" s="7" t="str">
        <f>VLOOKUP(B366,[1]characters!$A:$H,8,FALSE)</f>
        <v>yellow</v>
      </c>
      <c r="L366" s="7" t="str">
        <f>VLOOKUP(B366,[1]characters!$A:$K,11,FALSE)</f>
        <v>attack</v>
      </c>
      <c r="M366" s="7" t="str">
        <f>VLOOKUP(B366,[1]characters!$A:$M,13,FALSE)</f>
        <v>animal</v>
      </c>
      <c r="N366" s="7">
        <f>VLOOKUP(B366,[1]characters!$A:$G,7,FALSE)</f>
        <v>0</v>
      </c>
      <c r="O366" s="43">
        <f>IFERROR(VLOOKUP(B366,input_552010!L:R,7,FALSE),VLOOKUP(tables_552010!C366,input_552010!A:H,8,FALSE))</f>
        <v>48960</v>
      </c>
      <c r="P366" s="44">
        <f t="shared" ca="1" si="46"/>
        <v>8.4999999994097124E-3</v>
      </c>
      <c r="Q366" s="30">
        <v>1</v>
      </c>
      <c r="R366" s="30">
        <v>0</v>
      </c>
      <c r="S366" s="30">
        <v>0</v>
      </c>
      <c r="T366" s="30">
        <v>0</v>
      </c>
      <c r="U366" s="30">
        <v>0</v>
      </c>
      <c r="V366" s="112">
        <v>5</v>
      </c>
    </row>
    <row r="367" spans="1:22" ht="21" customHeight="1" x14ac:dyDescent="0.15">
      <c r="B367"/>
    </row>
    <row r="368" spans="1:22" ht="21" customHeight="1" x14ac:dyDescent="0.15">
      <c r="B368"/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2"/>
  <sheetViews>
    <sheetView workbookViewId="0"/>
  </sheetViews>
  <sheetFormatPr baseColWidth="12" defaultRowHeight="14" x14ac:dyDescent="0.15"/>
  <cols>
    <col min="1" max="1" width="24.19921875" bestFit="1" customWidth="1"/>
    <col min="2" max="2" width="24.3984375" bestFit="1" customWidth="1"/>
    <col min="3" max="3" width="13.19921875" bestFit="1" customWidth="1"/>
    <col min="17" max="17" width="19.3984375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1537</v>
      </c>
      <c r="M3" s="37" t="str">
        <f>VLOOKUP(L3,[1]characters!$A:$C,3,FALSE)</f>
        <v>キャットマンダディ</v>
      </c>
      <c r="N3" s="61">
        <v>6.0000000000000001E-3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VLOOKUP(L3,tables_552100!B:C,2,FALSE)</f>
        <v>PremiumSSS5R3less</v>
      </c>
      <c r="R3" s="60">
        <f t="shared" ref="R3:R20" si="1">N3*A$39</f>
        <v>34560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1539</v>
      </c>
      <c r="M4" s="37" t="str">
        <f>VLOOKUP(L4,[1]characters!$A:$C,3,FALSE)</f>
        <v>雷神のサンディア</v>
      </c>
      <c r="N4" s="61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VLOOKUP(L4,tables_552100!B:C,2,FALSE)</f>
        <v>PremiumSS5R5only</v>
      </c>
      <c r="R4" s="60">
        <f t="shared" si="1"/>
        <v>86400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108">
        <v>0</v>
      </c>
      <c r="D5" t="s">
        <v>201</v>
      </c>
      <c r="E5" s="41">
        <f>(B11-H5)/(F5-I5)</f>
        <v>5.4166666666666664E-4</v>
      </c>
      <c r="F5">
        <f>COUNTIF(tables_552100!C:C,input_552010!A28)+COUNTIF(tables_552100!C:C,input_552100!A30)+COUNTIF(input_552100!Q:Q,input_552100!A32)+COUNTIF(input_552100!Q:Q,input_552100!A33)+COUNTIF(input_552100!Q:Q,input_552100!A34)-COUNTIF(input_552100!Q:Q,input_552100!A28)</f>
        <v>75</v>
      </c>
      <c r="H5" s="82">
        <v>3.5999999999999997E-2</v>
      </c>
      <c r="I5" s="31">
        <v>3</v>
      </c>
      <c r="L5" s="58">
        <v>1535</v>
      </c>
      <c r="M5" s="37" t="str">
        <f>VLOOKUP(L5,[1]characters!$A:$C,3,FALSE)</f>
        <v>ねこナース</v>
      </c>
      <c r="N5" s="61">
        <v>1.4999999999999999E-2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VLOOKUP(L5,tables_552100!B:C,2,FALSE)</f>
        <v>PremiumSS5R5only</v>
      </c>
      <c r="R5" s="60">
        <f t="shared" si="1"/>
        <v>86400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108">
        <f>1-B7</f>
        <v>0.9</v>
      </c>
      <c r="D6" t="s">
        <v>202</v>
      </c>
      <c r="E6" s="74">
        <f>(B10-H6)/(F6-I6)</f>
        <v>7.9270833333333329E-3</v>
      </c>
      <c r="F6">
        <f>COUNTIF(tables_552100!C:C,input_552100!A25)+COUNTIF(tables_552100!C:C,input_552100!A18)+COUNTIF(tables_552100!C:C,input_552100!A20)+COUNTIF(tables_552100!C:C,input_552100!A22)+COUNTIF(Q:Q,A23)</f>
        <v>104</v>
      </c>
      <c r="H6" s="87">
        <v>0.16400000000000001</v>
      </c>
      <c r="I6" s="31">
        <v>8</v>
      </c>
      <c r="L6" s="58">
        <v>1527</v>
      </c>
      <c r="M6" s="37" t="str">
        <f>VLOOKUP(L6,[1]characters!$A:$C,3,FALSE)</f>
        <v>ネコ魔剣士</v>
      </c>
      <c r="N6" s="61">
        <v>3.2500000000000001E-2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VLOOKUP(L6,tables_552100!B:C,2,FALSE)</f>
        <v>Premium4R3less</v>
      </c>
      <c r="R6" s="60">
        <f t="shared" si="1"/>
        <v>187200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108">
        <v>0.1</v>
      </c>
      <c r="C7" t="s">
        <v>242</v>
      </c>
      <c r="L7" s="58">
        <v>1528</v>
      </c>
      <c r="M7" s="37" t="str">
        <f>VLOOKUP(L7,[1]characters!$A:$C,3,FALSE)</f>
        <v>双剣ネコ魔剣士</v>
      </c>
      <c r="N7" s="61">
        <v>8.5000000000000006E-3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VLOOKUP(L7,tables_552100!B:C,2,FALSE)</f>
        <v>Premium5R3less</v>
      </c>
      <c r="R7" s="60">
        <f t="shared" si="1"/>
        <v>48960</v>
      </c>
      <c r="S7">
        <v>597</v>
      </c>
      <c r="U7" s="33" t="s">
        <v>196</v>
      </c>
      <c r="V7" s="52">
        <f t="shared" si="0"/>
        <v>0.13</v>
      </c>
    </row>
    <row r="8" spans="1:22" x14ac:dyDescent="0.15">
      <c r="A8" s="55"/>
      <c r="B8" s="69"/>
      <c r="E8" s="74"/>
      <c r="L8" s="58">
        <v>1529</v>
      </c>
      <c r="M8" s="37" t="str">
        <f>VLOOKUP(L8,[1]characters!$A:$C,3,FALSE)</f>
        <v>ねこ海賊</v>
      </c>
      <c r="N8" s="61">
        <v>3.2500000000000001E-2</v>
      </c>
      <c r="O8" s="37">
        <f>VLOOKUP(L8,[1]characters!$A:$I,9,FALSE)</f>
        <v>4</v>
      </c>
      <c r="P8" s="37" t="str">
        <f>VLOOKUP(L8,[1]characters!$A:$J,10,FALSE)</f>
        <v>PremiumS</v>
      </c>
      <c r="Q8" s="37" t="str">
        <f>VLOOKUP(L8,tables_552100!B:C,2,FALSE)</f>
        <v>Premium4R3less</v>
      </c>
      <c r="R8" s="60">
        <f t="shared" si="1"/>
        <v>187200</v>
      </c>
      <c r="S8">
        <v>598</v>
      </c>
      <c r="U8" s="33" t="s">
        <v>197</v>
      </c>
      <c r="V8" s="52">
        <f t="shared" si="0"/>
        <v>3.4000000000000002E-2</v>
      </c>
    </row>
    <row r="9" spans="1:22" x14ac:dyDescent="0.15">
      <c r="A9" s="35" t="s">
        <v>54</v>
      </c>
      <c r="B9" s="35"/>
      <c r="L9" s="86">
        <v>1530</v>
      </c>
      <c r="M9" s="37" t="str">
        <f>VLOOKUP(L9,[1]characters!$A:$C,3,FALSE)</f>
        <v>ニャーコック船長</v>
      </c>
      <c r="N9" s="61">
        <v>8.5000000000000006E-3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VLOOKUP(L9,tables_552100!B:C,2,FALSE)</f>
        <v>Premium5R3less</v>
      </c>
      <c r="R9" s="60">
        <f t="shared" si="1"/>
        <v>48960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0.92500000000000004</v>
      </c>
      <c r="C10" t="s">
        <v>208</v>
      </c>
      <c r="L10" s="86">
        <v>1531</v>
      </c>
      <c r="M10" s="37" t="str">
        <f>VLOOKUP(L10,[1]characters!$A:$C,3,FALSE)</f>
        <v>ねこジュラ</v>
      </c>
      <c r="N10" s="61">
        <v>3.2500000000000001E-2</v>
      </c>
      <c r="O10" s="37">
        <f>VLOOKUP(L10,[1]characters!$A:$I,9,FALSE)</f>
        <v>4</v>
      </c>
      <c r="P10" s="37" t="str">
        <f>VLOOKUP(L10,[1]characters!$A:$J,10,FALSE)</f>
        <v>PremiumS</v>
      </c>
      <c r="Q10" s="37" t="str">
        <f>VLOOKUP(L10,tables_552100!B:C,2,FALSE)</f>
        <v>Premium4R3less</v>
      </c>
      <c r="R10" s="60">
        <f t="shared" si="1"/>
        <v>187200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7.4999999999999997E-2</v>
      </c>
      <c r="C11" t="s">
        <v>242</v>
      </c>
      <c r="L11">
        <v>1532</v>
      </c>
      <c r="M11" s="37" t="str">
        <f>VLOOKUP(L11,[1]characters!$A:$C,3,FALSE)</f>
        <v>ねこジュラシッター</v>
      </c>
      <c r="N11" s="61">
        <v>8.5000000000000006E-3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VLOOKUP(L11,tables_552100!B:C,2,FALSE)</f>
        <v>Premium5R3less</v>
      </c>
      <c r="R11" s="60">
        <f t="shared" si="1"/>
        <v>48960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L12">
        <v>1533</v>
      </c>
      <c r="M12" s="37" t="str">
        <f>VLOOKUP(L12,[1]characters!$A:$C,3,FALSE)</f>
        <v>ネコエステ</v>
      </c>
      <c r="N12" s="61">
        <v>3.2500000000000001E-2</v>
      </c>
      <c r="O12" s="37">
        <f>VLOOKUP(L12,[1]characters!$A:$I,9,FALSE)</f>
        <v>4</v>
      </c>
      <c r="P12" s="37" t="str">
        <f>VLOOKUP(L12,[1]characters!$A:$J,10,FALSE)</f>
        <v>PremiumS</v>
      </c>
      <c r="Q12" s="37" t="str">
        <f>VLOOKUP(L12,tables_552100!B:C,2,FALSE)</f>
        <v>Premium4R3less</v>
      </c>
      <c r="R12" s="60">
        <f t="shared" si="1"/>
        <v>187200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L13">
        <v>1534</v>
      </c>
      <c r="M13" s="37" t="str">
        <f>VLOOKUP(L13,[1]characters!$A:$C,3,FALSE)</f>
        <v>ネコジェンヌ</v>
      </c>
      <c r="N13" s="61">
        <v>8.5000000000000006E-3</v>
      </c>
      <c r="O13" s="37">
        <f>VLOOKUP(L13,[1]characters!$A:$I,9,FALSE)</f>
        <v>5</v>
      </c>
      <c r="P13" s="37" t="str">
        <f>VLOOKUP(L13,[1]characters!$A:$J,10,FALSE)</f>
        <v>PremiumS</v>
      </c>
      <c r="Q13" s="37" t="str">
        <f>VLOOKUP(L13,tables_552100!B:C,2,FALSE)</f>
        <v>Premium5R3less</v>
      </c>
      <c r="R13" s="60">
        <f t="shared" si="1"/>
        <v>48960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VLOOKUP(L14,tables_552100!B:C,2,FALSE)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VLOOKUP(L15,tables_552100!B:C,2,FALSE)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VLOOKUP(L16,tables_552100!B:C,2,FALSE)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E17*E6*B5</f>
        <v>0</v>
      </c>
      <c r="C17" s="83">
        <f t="shared" ref="C17:C34" si="2">SUMIF(Q:Q,A17,N:N)</f>
        <v>0</v>
      </c>
      <c r="D17" s="72">
        <f t="shared" ref="D17:D35" si="3">B17-C17</f>
        <v>0</v>
      </c>
      <c r="E17">
        <f>COUNTIF(tables_552100!C:C,input_552100!A17)-COUNTIF(Q:Q,A17)</f>
        <v>20</v>
      </c>
      <c r="F17" s="41">
        <f>IFERROR(B17/E17,0)</f>
        <v>0</v>
      </c>
      <c r="G17">
        <f t="shared" ref="G17:G33" si="4">A$39*B17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VLOOKUP(L17,tables_552100!B:C,2,FALSE)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2">
        <f>E18*E6*B6</f>
        <v>0.14268749999999999</v>
      </c>
      <c r="C18" s="83">
        <f t="shared" si="2"/>
        <v>0</v>
      </c>
      <c r="D18" s="72">
        <f t="shared" si="3"/>
        <v>0.14268749999999999</v>
      </c>
      <c r="E18">
        <f>COUNTIF(tables_552100!C:C,input_552100!A18)-COUNTIF(Q:Q,A18)</f>
        <v>20</v>
      </c>
      <c r="F18" s="41">
        <f>IFERROR(B18/E18,0)</f>
        <v>7.1343750000000001E-3</v>
      </c>
      <c r="G18">
        <f t="shared" si="4"/>
        <v>821880</v>
      </c>
      <c r="H18">
        <f t="shared" si="5"/>
        <v>41094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VLOOKUP(L18,tables_552100!B:C,2,FALSE)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</f>
        <v>0</v>
      </c>
      <c r="C19" s="83">
        <f t="shared" si="2"/>
        <v>0</v>
      </c>
      <c r="D19" s="72">
        <f t="shared" si="3"/>
        <v>0</v>
      </c>
      <c r="E19">
        <f>COUNTIF(tables_552100!C:C,input_552100!A19)-COUNTIF(Q:Q,A19)</f>
        <v>52</v>
      </c>
      <c r="F19" s="41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VLOOKUP(L19,tables_552100!B:C,2,FALSE)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92">
        <f>E$6*E20-B19-B21</f>
        <v>0.40058958333333328</v>
      </c>
      <c r="C20" s="83">
        <f t="shared" si="2"/>
        <v>0</v>
      </c>
      <c r="D20" s="72">
        <f t="shared" si="3"/>
        <v>0.40058958333333328</v>
      </c>
      <c r="E20">
        <f>COUNTIF(tables_552100!C:C,input_552100!A20)-COUNTIF(Q:Q,A20)</f>
        <v>52</v>
      </c>
      <c r="F20" s="41">
        <f t="shared" si="8"/>
        <v>7.7036458333333323E-3</v>
      </c>
      <c r="G20">
        <f t="shared" si="4"/>
        <v>2307395.9999999995</v>
      </c>
      <c r="H20">
        <f t="shared" si="5"/>
        <v>44373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VLOOKUP(L20,tables_552100!B:C,2,FALSE)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B7-B23-B26-B28-B29-B30-0.064</f>
        <v>1.1618749999999997E-2</v>
      </c>
      <c r="C21" s="83">
        <f t="shared" si="2"/>
        <v>0</v>
      </c>
      <c r="D21" s="72">
        <f t="shared" si="3"/>
        <v>1.1618749999999997E-2</v>
      </c>
      <c r="E21">
        <f>COUNTIF(tables_552100!C:C,input_552100!A21)-COUNTIF(Q:Q,A21)</f>
        <v>52</v>
      </c>
      <c r="F21" s="41">
        <f t="shared" si="8"/>
        <v>2.2343749999999995E-4</v>
      </c>
      <c r="G21">
        <f t="shared" si="4"/>
        <v>66923.999999999985</v>
      </c>
      <c r="H21">
        <f t="shared" si="5"/>
        <v>1287</v>
      </c>
      <c r="I21">
        <f t="shared" si="6"/>
        <v>0</v>
      </c>
      <c r="J21">
        <f t="shared" si="7"/>
        <v>1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0.15293124999999999</v>
      </c>
      <c r="C22" s="83">
        <f t="shared" si="2"/>
        <v>0.13</v>
      </c>
      <c r="D22" s="72">
        <f t="shared" si="3"/>
        <v>2.2931249999999986E-2</v>
      </c>
      <c r="E22">
        <f>COUNTIF(tables_552100!C:C,input_552100!A22)-COUNTIF(Q:Q,A22)</f>
        <v>20</v>
      </c>
      <c r="F22" s="41">
        <f t="shared" si="8"/>
        <v>7.6465624999999997E-3</v>
      </c>
      <c r="G22">
        <f t="shared" si="4"/>
        <v>880884</v>
      </c>
      <c r="H22">
        <f t="shared" si="5"/>
        <v>44044.2</v>
      </c>
      <c r="I22">
        <f t="shared" si="6"/>
        <v>0.19999999999708962</v>
      </c>
      <c r="J22">
        <f t="shared" si="7"/>
        <v>5.0000000000727596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E23*E6*B7-0.015</f>
        <v>5.6104166666666663E-3</v>
      </c>
      <c r="C23" s="83">
        <f t="shared" si="2"/>
        <v>3.4000000000000002E-2</v>
      </c>
      <c r="D23" s="72">
        <f t="shared" si="3"/>
        <v>-2.8389583333333336E-2</v>
      </c>
      <c r="E23">
        <f>COUNTIF(tables_552100!C:C,input_552100!A23)-COUNTIF(Q:Q,A23)</f>
        <v>26</v>
      </c>
      <c r="F23" s="41">
        <f t="shared" si="8"/>
        <v>2.1578525641025638E-4</v>
      </c>
      <c r="G23">
        <f t="shared" si="4"/>
        <v>32315.999999999996</v>
      </c>
      <c r="H23">
        <f t="shared" si="5"/>
        <v>1242.92308</v>
      </c>
      <c r="I23">
        <f t="shared" si="6"/>
        <v>0.92308000000002721</v>
      </c>
      <c r="J23">
        <f t="shared" si="7"/>
        <v>1.0833297222342273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</f>
        <v>0</v>
      </c>
      <c r="C24" s="83">
        <f t="shared" si="2"/>
        <v>0</v>
      </c>
      <c r="D24" s="72">
        <f t="shared" si="3"/>
        <v>0</v>
      </c>
      <c r="E24">
        <f>COUNTIF(tables_552100!C:C,input_552100!A24)-COUNTIF(Q:Q,A24)</f>
        <v>4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E$6*B$6*E25+0.0158541667</f>
        <v>4.4391666699999999E-2</v>
      </c>
      <c r="C25" s="83">
        <f t="shared" si="2"/>
        <v>0</v>
      </c>
      <c r="D25" s="72">
        <f t="shared" si="3"/>
        <v>4.4391666699999999E-2</v>
      </c>
      <c r="E25">
        <f>COUNTIF(tables_552100!C:C,input_552100!A25)-COUNTIF(Q:Q,A25)</f>
        <v>4</v>
      </c>
      <c r="F25" s="41">
        <f t="shared" si="8"/>
        <v>1.1097916675E-2</v>
      </c>
      <c r="G25">
        <f t="shared" si="4"/>
        <v>255696.00019200001</v>
      </c>
      <c r="H25">
        <f t="shared" si="5"/>
        <v>63924.000050000002</v>
      </c>
      <c r="I25">
        <f t="shared" si="6"/>
        <v>5.0000002374872565E-5</v>
      </c>
      <c r="J25">
        <f t="shared" si="7"/>
        <v>19999.999050051018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</f>
        <v>3.1708333333333332E-3</v>
      </c>
      <c r="C26" s="83">
        <f t="shared" si="2"/>
        <v>0</v>
      </c>
      <c r="D26" s="72">
        <f t="shared" si="3"/>
        <v>3.1708333333333332E-3</v>
      </c>
      <c r="E26">
        <f>COUNTIF(tables_552100!C:C,input_552100!A26)-COUNTIF(Q:Q,A26)</f>
        <v>4</v>
      </c>
      <c r="F26" s="41">
        <f t="shared" si="8"/>
        <v>7.9270833333333331E-4</v>
      </c>
      <c r="G26">
        <f t="shared" si="4"/>
        <v>18264</v>
      </c>
      <c r="H26">
        <f t="shared" si="5"/>
        <v>4566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100">
        <f>B11-(B28+B30)-0.036</f>
        <v>2.3399999999999997E-2</v>
      </c>
      <c r="C27" s="83">
        <f t="shared" si="2"/>
        <v>0</v>
      </c>
      <c r="D27" s="72">
        <f t="shared" si="3"/>
        <v>2.3399999999999997E-2</v>
      </c>
      <c r="E27">
        <f>COUNTIF(tables_552100!C:C,input_552100!A27)-COUNTIF(Q:Q,A27)</f>
        <v>28</v>
      </c>
      <c r="F27" s="41">
        <f>IFERROR(B27/E27,0)</f>
        <v>8.3571428571428566E-4</v>
      </c>
      <c r="G27">
        <f t="shared" si="4"/>
        <v>134783.99999999997</v>
      </c>
      <c r="H27">
        <f t="shared" si="5"/>
        <v>4813.7142899999999</v>
      </c>
      <c r="I27">
        <f t="shared" si="6"/>
        <v>0.71428999999989173</v>
      </c>
      <c r="J27">
        <f t="shared" si="7"/>
        <v>1.3999916000506119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E$5*E28*0.4</f>
        <v>6.0666666666666664E-3</v>
      </c>
      <c r="C28" s="83">
        <f t="shared" si="2"/>
        <v>0</v>
      </c>
      <c r="D28" s="72">
        <f t="shared" si="3"/>
        <v>6.0666666666666664E-3</v>
      </c>
      <c r="E28">
        <f>COUNTIF(tables_552100!C:C,input_552100!A28)-COUNTIF(Q:Q,A28)</f>
        <v>28</v>
      </c>
      <c r="F28" s="41">
        <f t="shared" si="8"/>
        <v>2.1666666666666666E-4</v>
      </c>
      <c r="G28">
        <f t="shared" si="4"/>
        <v>34944</v>
      </c>
      <c r="H28">
        <f t="shared" si="5"/>
        <v>1248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ht="15" customHeight="1" x14ac:dyDescent="0.15">
      <c r="A29" s="33" t="s">
        <v>254</v>
      </c>
      <c r="B29" s="54">
        <f>E$5*E29</f>
        <v>0</v>
      </c>
      <c r="C29" s="83">
        <f t="shared" si="2"/>
        <v>0</v>
      </c>
      <c r="D29" s="72">
        <f t="shared" ref="D29" si="9">B29-C29</f>
        <v>0</v>
      </c>
      <c r="E29">
        <f>COUNTIF(tables_552100!C:C,input_552100!A29)-COUNTIF(Q:Q,A29)</f>
        <v>0</v>
      </c>
      <c r="F29" s="41">
        <f t="shared" ref="F29" si="10">IFERROR(B29/E29,0)</f>
        <v>0</v>
      </c>
      <c r="G29">
        <f t="shared" ref="G29" si="11">A$39*B29</f>
        <v>0</v>
      </c>
      <c r="H29">
        <f t="shared" ref="H29" si="12">IFERROR(ROUND(G29/E29,5),0)</f>
        <v>0</v>
      </c>
      <c r="I29">
        <f t="shared" ref="I29" si="13">MOD(H29,1)</f>
        <v>0</v>
      </c>
      <c r="J29">
        <f t="shared" ref="J29" si="14">IFERROR(1/I29,1)</f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E$5*E30*0.4</f>
        <v>9.5333333333333329E-3</v>
      </c>
      <c r="C30" s="83">
        <f t="shared" si="2"/>
        <v>0.03</v>
      </c>
      <c r="D30" s="72">
        <f t="shared" si="3"/>
        <v>-2.0466666666666668E-2</v>
      </c>
      <c r="E30">
        <f>COUNTIF(tables_552100!C:C,input_552100!A30)-COUNTIF(Q:Q,A30)</f>
        <v>44</v>
      </c>
      <c r="F30" s="41">
        <f t="shared" si="8"/>
        <v>2.1666666666666666E-4</v>
      </c>
      <c r="G30">
        <f t="shared" si="4"/>
        <v>54912</v>
      </c>
      <c r="H30">
        <f t="shared" si="5"/>
        <v>1248</v>
      </c>
      <c r="I30">
        <f t="shared" si="6"/>
        <v>0</v>
      </c>
      <c r="J30">
        <f t="shared" si="7"/>
        <v>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E$5*E31*0.4</f>
        <v>0</v>
      </c>
      <c r="C31" s="83">
        <f t="shared" si="2"/>
        <v>0</v>
      </c>
      <c r="D31" s="72">
        <f t="shared" ref="D31" si="15">B31-C31</f>
        <v>0</v>
      </c>
      <c r="E31">
        <f>COUNTIF(tables_552100!C:C,input_552100!A31)-COUNTIF(Q:Q,A31)</f>
        <v>0</v>
      </c>
      <c r="F31" s="41">
        <f t="shared" ref="F31" si="16">IFERROR(B31/E31,0)</f>
        <v>0</v>
      </c>
      <c r="G31">
        <f t="shared" ref="G31" si="17">A$39*B31</f>
        <v>0</v>
      </c>
      <c r="H31">
        <f t="shared" ref="H31" si="18">IFERROR(ROUND(G31/E31,5),0)</f>
        <v>0</v>
      </c>
      <c r="I31">
        <f t="shared" ref="I31" si="19">MOD(H31,1)</f>
        <v>0</v>
      </c>
      <c r="J31">
        <f t="shared" ref="J31" si="20">IFERROR(1/I31,1)</f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COUNTIF(tables_552100!C:C,input_552100!A32)-COUNTIF(Q:Q,A32)</f>
        <v>0</v>
      </c>
      <c r="F32" s="41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6.0000000000000001E-3</v>
      </c>
      <c r="D33" s="72">
        <f t="shared" si="3"/>
        <v>-6.0000000000000001E-3</v>
      </c>
      <c r="E33">
        <f>COUNTIF(tables_552100!C:C,input_552100!A33)-COUNTIF(Q:Q,A33)</f>
        <v>0</v>
      </c>
      <c r="F33" s="41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ref="D34" si="21">B34-C34</f>
        <v>0</v>
      </c>
      <c r="E34">
        <f>COUNTIF(tables_552100!C:C,input_552100!A34)-COUNTIF(Q:Q,A34)</f>
        <v>0</v>
      </c>
      <c r="F34" s="41">
        <f t="shared" ref="F34" si="22">IFERROR(B34/E34,0)</f>
        <v>0</v>
      </c>
      <c r="G34">
        <f t="shared" ref="G34" si="23">A$39*B34</f>
        <v>0</v>
      </c>
      <c r="H34">
        <f t="shared" ref="H34" si="24">IFERROR(ROUND(G34/E34,5),0)</f>
        <v>0</v>
      </c>
      <c r="I34">
        <f t="shared" ref="I34" si="25">MOD(H34,1)</f>
        <v>0</v>
      </c>
      <c r="J34">
        <f t="shared" ref="J34" si="26">IFERROR(1/I34,1)</f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4">
        <f>SUM(B17:B34)</f>
        <v>0.80000000003333316</v>
      </c>
      <c r="C35" s="105">
        <f>SUM(C17:C34)</f>
        <v>0.2</v>
      </c>
      <c r="D35" s="40">
        <f t="shared" si="3"/>
        <v>0.6000000000333332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5760000</v>
      </c>
      <c r="H39" s="109">
        <f>1-(B35+C35)</f>
        <v>-3.3333114046740775E-11</v>
      </c>
      <c r="I39">
        <v>7.1156250000003996E-4</v>
      </c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SUMIF(tables_552100!C:C,input_552100!A43,tables_552100!O:O)</f>
        <v>0</v>
      </c>
      <c r="C43" s="52">
        <f t="shared" ref="C43:C49" ca="1" si="27">B43/B$50</f>
        <v>0</v>
      </c>
      <c r="E43">
        <v>3</v>
      </c>
      <c r="F43">
        <f ca="1">SUMIF(tables_552100!J:J,input_552100!E43,tables_552100!O:O)</f>
        <v>0</v>
      </c>
      <c r="G43" s="110">
        <f ca="1">F43/A39</f>
        <v>0</v>
      </c>
    </row>
    <row r="44" spans="1:18" x14ac:dyDescent="0.15">
      <c r="A44" s="33" t="s">
        <v>104</v>
      </c>
      <c r="B44">
        <f ca="1">SUMIF(tables_552100!C:C,input_552100!A44,tables_552100!O:O)</f>
        <v>2307396</v>
      </c>
      <c r="C44" s="52">
        <f t="shared" ca="1" si="27"/>
        <v>0.90697817018042215</v>
      </c>
      <c r="E44">
        <v>4</v>
      </c>
      <c r="F44">
        <f ca="1">SUMIF(tables_552100!J:J,input_552100!E44,tables_552100!O:O)</f>
        <v>5149440.0003200043</v>
      </c>
      <c r="G44" s="110">
        <f ca="1">F44/A39</f>
        <v>0.89400000005555635</v>
      </c>
    </row>
    <row r="45" spans="1:18" x14ac:dyDescent="0.15">
      <c r="A45" s="33" t="s">
        <v>106</v>
      </c>
      <c r="B45">
        <f ca="1">SUMIF(tables_552100!C:C,input_552100!A45,tables_552100!O:O)</f>
        <v>134784.00012000007</v>
      </c>
      <c r="C45" s="52">
        <f t="shared" ca="1" si="27"/>
        <v>5.298013249500106E-2</v>
      </c>
      <c r="E45">
        <v>5</v>
      </c>
      <c r="F45">
        <f ca="1">SUMIF(tables_552100!J:J,input_552100!E45,tables_552100!O:O)</f>
        <v>610560.00008000014</v>
      </c>
      <c r="G45" s="110">
        <f ca="1">F45/A39</f>
        <v>0.10600000001388891</v>
      </c>
    </row>
    <row r="46" spans="1:18" x14ac:dyDescent="0.15">
      <c r="A46" s="33" t="s">
        <v>109</v>
      </c>
      <c r="B46">
        <f>SUMIF(tables_552100!C:C,input_552100!A46,tables_552100!O:O)</f>
        <v>0</v>
      </c>
      <c r="C46" s="52">
        <f t="shared" ca="1" si="27"/>
        <v>0</v>
      </c>
      <c r="F46" s="53"/>
    </row>
    <row r="47" spans="1:18" x14ac:dyDescent="0.15">
      <c r="A47" s="33" t="s">
        <v>105</v>
      </c>
      <c r="B47">
        <f ca="1">SUMIF(tables_552100!C:C,input_552100!A47,tables_552100!O:O)</f>
        <v>66924</v>
      </c>
      <c r="C47" s="52">
        <f t="shared" ca="1" si="27"/>
        <v>2.6306107430694416E-2</v>
      </c>
      <c r="E47" t="s">
        <v>54</v>
      </c>
      <c r="F47" s="53"/>
    </row>
    <row r="48" spans="1:18" x14ac:dyDescent="0.15">
      <c r="A48" s="33" t="s">
        <v>107</v>
      </c>
      <c r="B48">
        <f ca="1">SUMIF(tables_552100!C:C,input_552100!A48,tables_552100!O:O)</f>
        <v>34944</v>
      </c>
      <c r="C48" s="52">
        <f t="shared" ca="1" si="27"/>
        <v>1.37355898938824E-2</v>
      </c>
      <c r="E48" t="s">
        <v>204</v>
      </c>
      <c r="F48" s="111">
        <f ca="1">SUMIF(tables_552100!I:I,input_552100!E48,tables_552100!P:P)</f>
        <v>0.14398221153166768</v>
      </c>
    </row>
    <row r="49" spans="1:7" x14ac:dyDescent="0.15">
      <c r="A49" s="33" t="s">
        <v>108</v>
      </c>
      <c r="B49">
        <f>SUMIF(tables_552100!C:C,input_552100!A49,tables_552100!O:O)</f>
        <v>0</v>
      </c>
      <c r="C49" s="52">
        <f t="shared" ca="1" si="27"/>
        <v>0</v>
      </c>
      <c r="E49" t="s">
        <v>205</v>
      </c>
      <c r="F49" s="111">
        <f ca="1">SUMIF(tables_552100!I:I,input_552100!E49,tables_552100!P:P)</f>
        <v>0.17043229168087254</v>
      </c>
    </row>
    <row r="50" spans="1:7" x14ac:dyDescent="0.15">
      <c r="A50" s="39" t="s">
        <v>59</v>
      </c>
      <c r="B50">
        <f ca="1">SUM(B43:B49)</f>
        <v>2544048.00012</v>
      </c>
      <c r="C50" s="53">
        <f ca="1">SUM(C43:C49)</f>
        <v>1</v>
      </c>
      <c r="E50" t="s">
        <v>206</v>
      </c>
      <c r="F50" s="111">
        <f ca="1">SUMIF(tables_552100!I:I,input_552100!E50,tables_552100!P:P)</f>
        <v>0.61058549677183371</v>
      </c>
    </row>
    <row r="51" spans="1:7" x14ac:dyDescent="0.15">
      <c r="E51" t="s">
        <v>207</v>
      </c>
      <c r="F51" s="111">
        <f ca="1">SUMIF(tables_552100!I:I,input_552100!E51,tables_552100!P:P)</f>
        <v>6.7050000016177017E-2</v>
      </c>
      <c r="G51" s="53"/>
    </row>
    <row r="52" spans="1:7" x14ac:dyDescent="0.15">
      <c r="E52" t="s">
        <v>250</v>
      </c>
      <c r="F52" s="111">
        <f ca="1">SUMIF(tables_552100!I:I,input_552100!E52,tables_552100!P:P)</f>
        <v>1.9499999998645811E-3</v>
      </c>
    </row>
  </sheetData>
  <phoneticPr fontId="22"/>
  <pageMargins left="0.7" right="0.7" top="0.75" bottom="0.75" header="0.3" footer="0.3"/>
  <pageSetup paperSize="9" orientation="portrait" horizontalDpi="4294967292" verticalDpi="4294967292"/>
  <ignoredErrors>
    <ignoredError sqref="B2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70"/>
  <sheetViews>
    <sheetView showGridLines="0" zoomScale="75" zoomScaleNormal="75" zoomScalePageLayoutView="75" workbookViewId="0">
      <pane ySplit="1" topLeftCell="A342" activePane="bottomLeft" state="frozen"/>
      <selection activeCell="B33" sqref="B33"/>
      <selection pane="bottomLeft" activeCell="V356" sqref="V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input_552100!A$2</f>
        <v>552100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IFERROR(VLOOKUP(B2,input_552100!L:R,7,FALSE),VLOOKUP(tables_552100!C2,input_552100!A:H,8,FALSE))</f>
        <v>0</v>
      </c>
      <c r="P2" s="44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input_552100!A$2</f>
        <v>552100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IFERROR(VLOOKUP(B3,input_552100!L:R,7,FALSE),VLOOKUP(tables_552100!C3,input_552100!A:H,8,FALSE))</f>
        <v>41094</v>
      </c>
      <c r="P3" s="44">
        <f t="shared" ca="1" si="1"/>
        <v>7.1343749995045492E-3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input_552100!A$2</f>
        <v>552100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IFERROR(VLOOKUP(B4,input_552100!L:R,7,FALSE),VLOOKUP(tables_552100!C4,input_552100!A:H,8,FALSE))</f>
        <v>0</v>
      </c>
      <c r="P4" s="44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input_552100!A$2</f>
        <v>552100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IFERROR(VLOOKUP(B5,input_552100!L:R,7,FALSE),VLOOKUP(tables_552100!C5,input_552100!A:H,8,FALSE))</f>
        <v>41094</v>
      </c>
      <c r="P5" s="44">
        <f t="shared" ca="1" si="1"/>
        <v>7.1343749995045492E-3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input_552100!A$2</f>
        <v>552100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IFERROR(VLOOKUP(B6,input_552100!L:R,7,FALSE),VLOOKUP(tables_552100!C6,input_552100!A:H,8,FALSE))</f>
        <v>0</v>
      </c>
      <c r="P6" s="44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input_552100!A$2</f>
        <v>552100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IFERROR(VLOOKUP(B7,input_552100!L:R,7,FALSE),VLOOKUP(tables_552100!C7,input_552100!A:H,8,FALSE))</f>
        <v>41094</v>
      </c>
      <c r="P7" s="44">
        <f t="shared" ca="1" si="1"/>
        <v>7.1343749995045492E-3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input_552100!A$2</f>
        <v>552100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IFERROR(VLOOKUP(B8,input_552100!L:R,7,FALSE),VLOOKUP(tables_552100!C8,input_552100!A:H,8,FALSE))</f>
        <v>0</v>
      </c>
      <c r="P8" s="44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input_552100!A$2</f>
        <v>552100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IFERROR(VLOOKUP(B9,input_552100!L:R,7,FALSE),VLOOKUP(tables_552100!C9,input_552100!A:H,8,FALSE))</f>
        <v>41094</v>
      </c>
      <c r="P9" s="44">
        <f t="shared" ca="1" si="1"/>
        <v>7.1343749995045492E-3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input_552100!A$2</f>
        <v>552100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IFERROR(VLOOKUP(B10,input_552100!L:R,7,FALSE),VLOOKUP(tables_552100!C10,input_552100!A:H,8,FALSE))</f>
        <v>0</v>
      </c>
      <c r="P10" s="44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input_552100!A$2</f>
        <v>552100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IFERROR(VLOOKUP(B11,input_552100!L:R,7,FALSE),VLOOKUP(tables_552100!C11,input_552100!A:H,8,FALSE))</f>
        <v>41094</v>
      </c>
      <c r="P11" s="44">
        <f t="shared" ca="1" si="1"/>
        <v>7.1343749995045492E-3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input_552100!A$2</f>
        <v>552100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IFERROR(VLOOKUP(B12,input_552100!L:R,7,FALSE),VLOOKUP(tables_552100!C12,input_552100!A:H,8,FALSE))</f>
        <v>0</v>
      </c>
      <c r="P12" s="44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input_552100!A$2</f>
        <v>552100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IFERROR(VLOOKUP(B13,input_552100!L:R,7,FALSE),VLOOKUP(tables_552100!C13,input_552100!A:H,8,FALSE))</f>
        <v>41094</v>
      </c>
      <c r="P13" s="44">
        <f t="shared" ca="1" si="1"/>
        <v>7.1343749995045492E-3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input_552100!A$2</f>
        <v>552100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IFERROR(VLOOKUP(B14,input_552100!L:R,7,FALSE),VLOOKUP(tables_552100!C14,input_552100!A:H,8,FALSE))</f>
        <v>0</v>
      </c>
      <c r="P14" s="44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input_552100!A$2</f>
        <v>552100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IFERROR(VLOOKUP(B15,input_552100!L:R,7,FALSE),VLOOKUP(tables_552100!C15,input_552100!A:H,8,FALSE))</f>
        <v>41094</v>
      </c>
      <c r="P15" s="44">
        <f t="shared" ca="1" si="1"/>
        <v>7.1343749995045492E-3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input_552100!A$2</f>
        <v>552100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IFERROR(VLOOKUP(B16,input_552100!L:R,7,FALSE),VLOOKUP(tables_552100!C16,input_552100!A:H,8,FALSE))</f>
        <v>0</v>
      </c>
      <c r="P16" s="44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input_552100!A$2</f>
        <v>552100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IFERROR(VLOOKUP(B17,input_552100!L:R,7,FALSE),VLOOKUP(tables_552100!C17,input_552100!A:H,8,FALSE))</f>
        <v>41094</v>
      </c>
      <c r="P17" s="44">
        <f t="shared" ca="1" si="1"/>
        <v>7.1343749995045492E-3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input_552100!A$2</f>
        <v>552100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IFERROR(VLOOKUP(B18,input_552100!L:R,7,FALSE),VLOOKUP(tables_552100!C18,input_552100!A:H,8,FALSE))</f>
        <v>0</v>
      </c>
      <c r="P18" s="44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input_552100!A$2</f>
        <v>552100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IFERROR(VLOOKUP(B19,input_552100!L:R,7,FALSE),VLOOKUP(tables_552100!C19,input_552100!A:H,8,FALSE))</f>
        <v>41094</v>
      </c>
      <c r="P19" s="44">
        <f t="shared" ca="1" si="1"/>
        <v>7.1343749995045492E-3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input_552100!A$2</f>
        <v>552100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IFERROR(VLOOKUP(B20,input_552100!L:R,7,FALSE),VLOOKUP(tables_552100!C20,input_552100!A:H,8,FALSE))</f>
        <v>0</v>
      </c>
      <c r="P20" s="44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input_552100!A$2</f>
        <v>552100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IFERROR(VLOOKUP(B21,input_552100!L:R,7,FALSE),VLOOKUP(tables_552100!C21,input_552100!A:H,8,FALSE))</f>
        <v>41094</v>
      </c>
      <c r="P21" s="44">
        <f t="shared" ca="1" si="1"/>
        <v>7.1343749995045492E-3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input_552100!A$2</f>
        <v>552100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IFERROR(VLOOKUP(B22,input_552100!L:R,7,FALSE),VLOOKUP(tables_552100!C22,input_552100!A:H,8,FALSE))</f>
        <v>0</v>
      </c>
      <c r="P22" s="44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input_552100!A$2</f>
        <v>552100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IFERROR(VLOOKUP(B23,input_552100!L:R,7,FALSE),VLOOKUP(tables_552100!C23,input_552100!A:H,8,FALSE))</f>
        <v>41094</v>
      </c>
      <c r="P23" s="44">
        <f t="shared" ca="1" si="1"/>
        <v>7.1343749995045492E-3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input_552100!A$2</f>
        <v>552100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IFERROR(VLOOKUP(B24,input_552100!L:R,7,FALSE),VLOOKUP(tables_552100!C24,input_552100!A:H,8,FALSE))</f>
        <v>0</v>
      </c>
      <c r="P24" s="44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input_552100!A$2</f>
        <v>552100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IFERROR(VLOOKUP(B25,input_552100!L:R,7,FALSE),VLOOKUP(tables_552100!C25,input_552100!A:H,8,FALSE))</f>
        <v>41094</v>
      </c>
      <c r="P25" s="44">
        <f t="shared" ca="1" si="1"/>
        <v>7.1343749995045492E-3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input_552100!A$2</f>
        <v>552100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IFERROR(VLOOKUP(B26,input_552100!L:R,7,FALSE),VLOOKUP(tables_552100!C26,input_552100!A:H,8,FALSE))</f>
        <v>0</v>
      </c>
      <c r="P26" s="44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input_552100!A$2</f>
        <v>552100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IFERROR(VLOOKUP(B27,input_552100!L:R,7,FALSE),VLOOKUP(tables_552100!C27,input_552100!A:H,8,FALSE))</f>
        <v>41094</v>
      </c>
      <c r="P27" s="44">
        <f t="shared" ca="1" si="1"/>
        <v>7.1343749995045492E-3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input_552100!A$2</f>
        <v>552100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IFERROR(VLOOKUP(B28,input_552100!L:R,7,FALSE),VLOOKUP(tables_552100!C28,input_552100!A:H,8,FALSE))</f>
        <v>0</v>
      </c>
      <c r="P28" s="44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input_552100!A$2</f>
        <v>552100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IFERROR(VLOOKUP(B29,input_552100!L:R,7,FALSE),VLOOKUP(tables_552100!C29,input_552100!A:H,8,FALSE))</f>
        <v>41094</v>
      </c>
      <c r="P29" s="44">
        <f t="shared" ca="1" si="1"/>
        <v>7.1343749995045492E-3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input_552100!A$2</f>
        <v>552100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IFERROR(VLOOKUP(B30,input_552100!L:R,7,FALSE),VLOOKUP(tables_552100!C30,input_552100!A:H,8,FALSE))</f>
        <v>0</v>
      </c>
      <c r="P30" s="44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input_552100!A$2</f>
        <v>552100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IFERROR(VLOOKUP(B31,input_552100!L:R,7,FALSE),VLOOKUP(tables_552100!C31,input_552100!A:H,8,FALSE))</f>
        <v>41094</v>
      </c>
      <c r="P31" s="44">
        <f t="shared" ca="1" si="1"/>
        <v>7.1343749995045492E-3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input_552100!A$2</f>
        <v>552100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IFERROR(VLOOKUP(B32,input_552100!L:R,7,FALSE),VLOOKUP(tables_552100!C32,input_552100!A:H,8,FALSE))</f>
        <v>0</v>
      </c>
      <c r="P32" s="44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input_552100!A$2</f>
        <v>552100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IFERROR(VLOOKUP(B33,input_552100!L:R,7,FALSE),VLOOKUP(tables_552100!C33,input_552100!A:H,8,FALSE))</f>
        <v>41094</v>
      </c>
      <c r="P33" s="44">
        <f t="shared" ca="1" si="1"/>
        <v>7.1343749995045492E-3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input_552100!A$2</f>
        <v>552100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IFERROR(VLOOKUP(B34,input_552100!L:R,7,FALSE),VLOOKUP(tables_552100!C34,input_552100!A:H,8,FALSE))</f>
        <v>0</v>
      </c>
      <c r="P34" s="44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input_552100!A$2</f>
        <v>552100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IFERROR(VLOOKUP(B35,input_552100!L:R,7,FALSE),VLOOKUP(tables_552100!C35,input_552100!A:H,8,FALSE))</f>
        <v>41094</v>
      </c>
      <c r="P35" s="44">
        <f t="shared" ca="1" si="1"/>
        <v>7.1343749995045492E-3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input_552100!A$2</f>
        <v>552100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IFERROR(VLOOKUP(B36,input_552100!L:R,7,FALSE),VLOOKUP(tables_552100!C36,input_552100!A:H,8,FALSE))</f>
        <v>0</v>
      </c>
      <c r="P36" s="44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input_552100!A$2</f>
        <v>552100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IFERROR(VLOOKUP(B37,input_552100!L:R,7,FALSE),VLOOKUP(tables_552100!C37,input_552100!A:H,8,FALSE))</f>
        <v>41094</v>
      </c>
      <c r="P37" s="44">
        <f t="shared" ca="1" si="1"/>
        <v>7.1343749995045492E-3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input_552100!A$2</f>
        <v>552100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IFERROR(VLOOKUP(B38,input_552100!L:R,7,FALSE),VLOOKUP(tables_552100!C38,input_552100!A:H,8,FALSE))</f>
        <v>0</v>
      </c>
      <c r="P38" s="44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input_552100!A$2</f>
        <v>552100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IFERROR(VLOOKUP(B39,input_552100!L:R,7,FALSE),VLOOKUP(tables_552100!C39,input_552100!A:H,8,FALSE))</f>
        <v>41094</v>
      </c>
      <c r="P39" s="44">
        <f t="shared" ca="1" si="1"/>
        <v>7.1343749995045492E-3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input_552100!A$2</f>
        <v>552100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IFERROR(VLOOKUP(B40,input_552100!L:R,7,FALSE),VLOOKUP(tables_552100!C40,input_552100!A:H,8,FALSE))</f>
        <v>0</v>
      </c>
      <c r="P40" s="44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input_552100!A$2</f>
        <v>552100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IFERROR(VLOOKUP(B41,input_552100!L:R,7,FALSE),VLOOKUP(tables_552100!C41,input_552100!A:H,8,FALSE))</f>
        <v>41094</v>
      </c>
      <c r="P41" s="44">
        <f t="shared" ca="1" si="1"/>
        <v>7.1343749995045492E-3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input_552100!A$2</f>
        <v>552100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IFERROR(VLOOKUP(B42,input_552100!L:R,7,FALSE),VLOOKUP(tables_552100!C42,input_552100!A:H,8,FALSE))</f>
        <v>0</v>
      </c>
      <c r="P42" s="44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input_552100!A$2</f>
        <v>552100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IFERROR(VLOOKUP(B43,input_552100!L:R,7,FALSE),VLOOKUP(tables_552100!C43,input_552100!A:H,8,FALSE))</f>
        <v>63924.000050000002</v>
      </c>
      <c r="P43" s="44">
        <f t="shared" ca="1" si="1"/>
        <v>1.1097916674576521E-2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input_552100!A$2</f>
        <v>552100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IFERROR(VLOOKUP(B44,input_552100!L:R,7,FALSE),VLOOKUP(tables_552100!C44,input_552100!A:H,8,FALSE))</f>
        <v>4566</v>
      </c>
      <c r="P44" s="44">
        <f t="shared" ca="1" si="1"/>
        <v>7.9270833327828316E-4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input_552100!A$2</f>
        <v>552100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IFERROR(VLOOKUP(B45,input_552100!L:R,7,FALSE),VLOOKUP(tables_552100!C45,input_552100!A:H,8,FALSE))</f>
        <v>0</v>
      </c>
      <c r="P45" s="44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input_552100!A$2</f>
        <v>552100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IFERROR(VLOOKUP(B46,input_552100!L:R,7,FALSE),VLOOKUP(tables_552100!C46,input_552100!A:H,8,FALSE))</f>
        <v>63924.000050000002</v>
      </c>
      <c r="P46" s="44">
        <f t="shared" ca="1" si="1"/>
        <v>1.1097916674576521E-2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input_552100!A$2</f>
        <v>552100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IFERROR(VLOOKUP(B47,input_552100!L:R,7,FALSE),VLOOKUP(tables_552100!C47,input_552100!A:H,8,FALSE))</f>
        <v>4566</v>
      </c>
      <c r="P47" s="44">
        <f t="shared" ca="1" si="1"/>
        <v>7.9270833327828316E-4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input_552100!A$2</f>
        <v>552100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IFERROR(VLOOKUP(B48,input_552100!L:R,7,FALSE),VLOOKUP(tables_552100!C48,input_552100!A:H,8,FALSE))</f>
        <v>0</v>
      </c>
      <c r="P48" s="44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input_552100!A$2</f>
        <v>552100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IFERROR(VLOOKUP(B49,input_552100!L:R,7,FALSE),VLOOKUP(tables_552100!C49,input_552100!A:H,8,FALSE))</f>
        <v>63924.000050000002</v>
      </c>
      <c r="P49" s="44">
        <f t="shared" ca="1" si="1"/>
        <v>1.1097916674576521E-2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input_552100!A$2</f>
        <v>552100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IFERROR(VLOOKUP(B50,input_552100!L:R,7,FALSE),VLOOKUP(tables_552100!C50,input_552100!A:H,8,FALSE))</f>
        <v>4566</v>
      </c>
      <c r="P50" s="44">
        <f t="shared" ca="1" si="1"/>
        <v>7.9270833327828316E-4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input_552100!A$2</f>
        <v>552100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IFERROR(VLOOKUP(B51,input_552100!L:R,7,FALSE),VLOOKUP(tables_552100!C51,input_552100!A:H,8,FALSE))</f>
        <v>0</v>
      </c>
      <c r="P51" s="44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input_552100!A$2</f>
        <v>552100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IFERROR(VLOOKUP(B52,input_552100!L:R,7,FALSE),VLOOKUP(tables_552100!C52,input_552100!A:H,8,FALSE))</f>
        <v>44373</v>
      </c>
      <c r="P52" s="44">
        <f t="shared" ca="1" si="1"/>
        <v>7.7036458327983488E-3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input_552100!A$2</f>
        <v>552100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IFERROR(VLOOKUP(B53,input_552100!L:R,7,FALSE),VLOOKUP(tables_552100!C53,input_552100!A:H,8,FALSE))</f>
        <v>1287</v>
      </c>
      <c r="P53" s="44">
        <f t="shared" ca="1" si="1"/>
        <v>2.2343749998448325E-4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input_552100!A$2</f>
        <v>552100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IFERROR(VLOOKUP(B54,input_552100!L:R,7,FALSE),VLOOKUP(tables_552100!C54,input_552100!A:H,8,FALSE))</f>
        <v>0</v>
      </c>
      <c r="P54" s="44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input_552100!A$2</f>
        <v>552100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IFERROR(VLOOKUP(B55,input_552100!L:R,7,FALSE),VLOOKUP(tables_552100!C55,input_552100!A:H,8,FALSE))</f>
        <v>44373</v>
      </c>
      <c r="P55" s="44">
        <f t="shared" ca="1" si="1"/>
        <v>7.7036458327983488E-3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input_552100!A$2</f>
        <v>552100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IFERROR(VLOOKUP(B56,input_552100!L:R,7,FALSE),VLOOKUP(tables_552100!C56,input_552100!A:H,8,FALSE))</f>
        <v>1287</v>
      </c>
      <c r="P56" s="44">
        <f t="shared" ca="1" si="1"/>
        <v>2.2343749998448325E-4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input_552100!A$2</f>
        <v>552100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IFERROR(VLOOKUP(B57,input_552100!L:R,7,FALSE),VLOOKUP(tables_552100!C57,input_552100!A:H,8,FALSE))</f>
        <v>0</v>
      </c>
      <c r="P57" s="44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input_552100!A$2</f>
        <v>552100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IFERROR(VLOOKUP(B58,input_552100!L:R,7,FALSE),VLOOKUP(tables_552100!C58,input_552100!A:H,8,FALSE))</f>
        <v>44373</v>
      </c>
      <c r="P58" s="44">
        <f t="shared" ca="1" si="1"/>
        <v>7.7036458327983488E-3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input_552100!A$2</f>
        <v>552100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IFERROR(VLOOKUP(B59,input_552100!L:R,7,FALSE),VLOOKUP(tables_552100!C59,input_552100!A:H,8,FALSE))</f>
        <v>1287</v>
      </c>
      <c r="P59" s="44">
        <f t="shared" ca="1" si="1"/>
        <v>2.2343749998448325E-4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input_552100!A$2</f>
        <v>552100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IFERROR(VLOOKUP(B60,input_552100!L:R,7,FALSE),VLOOKUP(tables_552100!C60,input_552100!A:H,8,FALSE))</f>
        <v>0</v>
      </c>
      <c r="P60" s="44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input_552100!A$2</f>
        <v>552100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IFERROR(VLOOKUP(B61,input_552100!L:R,7,FALSE),VLOOKUP(tables_552100!C61,input_552100!A:H,8,FALSE))</f>
        <v>44373</v>
      </c>
      <c r="P61" s="44">
        <f t="shared" ca="1" si="1"/>
        <v>7.7036458327983488E-3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input_552100!A$2</f>
        <v>552100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IFERROR(VLOOKUP(B62,input_552100!L:R,7,FALSE),VLOOKUP(tables_552100!C62,input_552100!A:H,8,FALSE))</f>
        <v>1287</v>
      </c>
      <c r="P62" s="44">
        <f t="shared" ca="1" si="1"/>
        <v>2.2343749998448325E-4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input_552100!A$2</f>
        <v>552100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IFERROR(VLOOKUP(B63,input_552100!L:R,7,FALSE),VLOOKUP(tables_552100!C63,input_552100!A:H,8,FALSE))</f>
        <v>0</v>
      </c>
      <c r="P63" s="44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input_552100!A$2</f>
        <v>552100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IFERROR(VLOOKUP(B64,input_552100!L:R,7,FALSE),VLOOKUP(tables_552100!C64,input_552100!A:H,8,FALSE))</f>
        <v>44373</v>
      </c>
      <c r="P64" s="44">
        <f t="shared" ca="1" si="1"/>
        <v>7.7036458327983488E-3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input_552100!A$2</f>
        <v>552100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IFERROR(VLOOKUP(B65,input_552100!L:R,7,FALSE),VLOOKUP(tables_552100!C65,input_552100!A:H,8,FALSE))</f>
        <v>1287</v>
      </c>
      <c r="P65" s="44">
        <f t="shared" ca="1" si="1"/>
        <v>2.2343749998448325E-4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input_552100!A$2</f>
        <v>552100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IFERROR(VLOOKUP(B66,input_552100!L:R,7,FALSE),VLOOKUP(tables_552100!C66,input_552100!A:H,8,FALSE))</f>
        <v>0</v>
      </c>
      <c r="P66" s="44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input_552100!A$2</f>
        <v>552100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IFERROR(VLOOKUP(B67,input_552100!L:R,7,FALSE),VLOOKUP(tables_552100!C67,input_552100!A:H,8,FALSE))</f>
        <v>44373</v>
      </c>
      <c r="P67" s="44">
        <f t="shared" ca="1" si="4"/>
        <v>7.7036458327983488E-3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input_552100!A$2</f>
        <v>552100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IFERROR(VLOOKUP(B68,input_552100!L:R,7,FALSE),VLOOKUP(tables_552100!C68,input_552100!A:H,8,FALSE))</f>
        <v>1287</v>
      </c>
      <c r="P68" s="44">
        <f t="shared" ca="1" si="4"/>
        <v>2.2343749998448325E-4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input_552100!A$2</f>
        <v>552100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IFERROR(VLOOKUP(B69,input_552100!L:R,7,FALSE),VLOOKUP(tables_552100!C69,input_552100!A:H,8,FALSE))</f>
        <v>0</v>
      </c>
      <c r="P69" s="44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input_552100!A$2</f>
        <v>552100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IFERROR(VLOOKUP(B70,input_552100!L:R,7,FALSE),VLOOKUP(tables_552100!C70,input_552100!A:H,8,FALSE))</f>
        <v>44373</v>
      </c>
      <c r="P70" s="44">
        <f t="shared" ca="1" si="4"/>
        <v>7.7036458327983488E-3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input_552100!A$2</f>
        <v>552100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IFERROR(VLOOKUP(B71,input_552100!L:R,7,FALSE),VLOOKUP(tables_552100!C71,input_552100!A:H,8,FALSE))</f>
        <v>1287</v>
      </c>
      <c r="P71" s="44">
        <f t="shared" ca="1" si="4"/>
        <v>2.2343749998448325E-4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input_552100!A$2</f>
        <v>552100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IFERROR(VLOOKUP(B72,input_552100!L:R,7,FALSE),VLOOKUP(tables_552100!C72,input_552100!A:H,8,FALSE))</f>
        <v>0</v>
      </c>
      <c r="P72" s="44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input_552100!A$2</f>
        <v>552100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IFERROR(VLOOKUP(B73,input_552100!L:R,7,FALSE),VLOOKUP(tables_552100!C73,input_552100!A:H,8,FALSE))</f>
        <v>44373</v>
      </c>
      <c r="P73" s="44">
        <f t="shared" ca="1" si="4"/>
        <v>7.7036458327983488E-3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input_552100!A$2</f>
        <v>552100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IFERROR(VLOOKUP(B74,input_552100!L:R,7,FALSE),VLOOKUP(tables_552100!C74,input_552100!A:H,8,FALSE))</f>
        <v>1287</v>
      </c>
      <c r="P74" s="44">
        <f t="shared" ca="1" si="4"/>
        <v>2.2343749998448325E-4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input_552100!A$2</f>
        <v>552100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IFERROR(VLOOKUP(B75,input_552100!L:R,7,FALSE),VLOOKUP(tables_552100!C75,input_552100!A:H,8,FALSE))</f>
        <v>0</v>
      </c>
      <c r="P75" s="44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input_552100!A$2</f>
        <v>552100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IFERROR(VLOOKUP(B76,input_552100!L:R,7,FALSE),VLOOKUP(tables_552100!C76,input_552100!A:H,8,FALSE))</f>
        <v>44373</v>
      </c>
      <c r="P76" s="44">
        <f t="shared" ca="1" si="4"/>
        <v>7.7036458327983488E-3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input_552100!A$2</f>
        <v>552100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IFERROR(VLOOKUP(B77,input_552100!L:R,7,FALSE),VLOOKUP(tables_552100!C77,input_552100!A:H,8,FALSE))</f>
        <v>1287</v>
      </c>
      <c r="P77" s="44">
        <f t="shared" ca="1" si="4"/>
        <v>2.2343749998448325E-4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input_552100!A$2</f>
        <v>552100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IFERROR(VLOOKUP(B78,input_552100!L:R,7,FALSE),VLOOKUP(tables_552100!C78,input_552100!A:H,8,FALSE))</f>
        <v>0</v>
      </c>
      <c r="P78" s="44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input_552100!A$2</f>
        <v>552100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IFERROR(VLOOKUP(B79,input_552100!L:R,7,FALSE),VLOOKUP(tables_552100!C79,input_552100!A:H,8,FALSE))</f>
        <v>44373</v>
      </c>
      <c r="P79" s="44">
        <f t="shared" ca="1" si="4"/>
        <v>7.7036458327983488E-3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input_552100!A$2</f>
        <v>552100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IFERROR(VLOOKUP(B80,input_552100!L:R,7,FALSE),VLOOKUP(tables_552100!C80,input_552100!A:H,8,FALSE))</f>
        <v>1287</v>
      </c>
      <c r="P80" s="44">
        <f t="shared" ca="1" si="4"/>
        <v>2.2343749998448325E-4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input_552100!A$2</f>
        <v>552100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IFERROR(VLOOKUP(B81,input_552100!L:R,7,FALSE),VLOOKUP(tables_552100!C81,input_552100!A:H,8,FALSE))</f>
        <v>0</v>
      </c>
      <c r="P81" s="44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input_552100!A$2</f>
        <v>552100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IFERROR(VLOOKUP(B82,input_552100!L:R,7,FALSE),VLOOKUP(tables_552100!C82,input_552100!A:H,8,FALSE))</f>
        <v>44373</v>
      </c>
      <c r="P82" s="44">
        <f t="shared" ca="1" si="4"/>
        <v>7.7036458327983488E-3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input_552100!A$2</f>
        <v>552100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IFERROR(VLOOKUP(B83,input_552100!L:R,7,FALSE),VLOOKUP(tables_552100!C83,input_552100!A:H,8,FALSE))</f>
        <v>1287</v>
      </c>
      <c r="P83" s="44">
        <f t="shared" ca="1" si="4"/>
        <v>2.2343749998448325E-4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input_552100!A$2</f>
        <v>552100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IFERROR(VLOOKUP(B84,input_552100!L:R,7,FALSE),VLOOKUP(tables_552100!C84,input_552100!A:H,8,FALSE))</f>
        <v>0</v>
      </c>
      <c r="P84" s="44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input_552100!A$2</f>
        <v>552100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IFERROR(VLOOKUP(B85,input_552100!L:R,7,FALSE),VLOOKUP(tables_552100!C85,input_552100!A:H,8,FALSE))</f>
        <v>44373</v>
      </c>
      <c r="P85" s="44">
        <f t="shared" ca="1" si="4"/>
        <v>7.7036458327983488E-3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input_552100!A$2</f>
        <v>552100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IFERROR(VLOOKUP(B86,input_552100!L:R,7,FALSE),VLOOKUP(tables_552100!C86,input_552100!A:H,8,FALSE))</f>
        <v>1287</v>
      </c>
      <c r="P86" s="44">
        <f t="shared" ca="1" si="4"/>
        <v>2.2343749998448325E-4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input_552100!A$2</f>
        <v>552100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IFERROR(VLOOKUP(B87,input_552100!L:R,7,FALSE),VLOOKUP(tables_552100!C87,input_552100!A:H,8,FALSE))</f>
        <v>0</v>
      </c>
      <c r="P87" s="44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input_552100!A$2</f>
        <v>552100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IFERROR(VLOOKUP(B88,input_552100!L:R,7,FALSE),VLOOKUP(tables_552100!C88,input_552100!A:H,8,FALSE))</f>
        <v>44373</v>
      </c>
      <c r="P88" s="44">
        <f t="shared" ca="1" si="4"/>
        <v>7.7036458327983488E-3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input_552100!A$2</f>
        <v>552100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IFERROR(VLOOKUP(B89,input_552100!L:R,7,FALSE),VLOOKUP(tables_552100!C89,input_552100!A:H,8,FALSE))</f>
        <v>1287</v>
      </c>
      <c r="P89" s="44">
        <f t="shared" ca="1" si="4"/>
        <v>2.2343749998448325E-4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input_552100!A$2</f>
        <v>552100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IFERROR(VLOOKUP(B90,input_552100!L:R,7,FALSE),VLOOKUP(tables_552100!C90,input_552100!A:H,8,FALSE))</f>
        <v>0</v>
      </c>
      <c r="P90" s="44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input_552100!A$2</f>
        <v>552100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IFERROR(VLOOKUP(B91,input_552100!L:R,7,FALSE),VLOOKUP(tables_552100!C91,input_552100!A:H,8,FALSE))</f>
        <v>44373</v>
      </c>
      <c r="P91" s="44">
        <f t="shared" ca="1" si="4"/>
        <v>7.7036458327983488E-3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input_552100!A$2</f>
        <v>552100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IFERROR(VLOOKUP(B92,input_552100!L:R,7,FALSE),VLOOKUP(tables_552100!C92,input_552100!A:H,8,FALSE))</f>
        <v>1287</v>
      </c>
      <c r="P92" s="44">
        <f t="shared" ca="1" si="4"/>
        <v>2.2343749998448325E-4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input_552100!A$2</f>
        <v>552100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IFERROR(VLOOKUP(B93,input_552100!L:R,7,FALSE),VLOOKUP(tables_552100!C93,input_552100!A:H,8,FALSE))</f>
        <v>0</v>
      </c>
      <c r="P93" s="44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input_552100!A$2</f>
        <v>552100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IFERROR(VLOOKUP(B94,input_552100!L:R,7,FALSE),VLOOKUP(tables_552100!C94,input_552100!A:H,8,FALSE))</f>
        <v>44373</v>
      </c>
      <c r="P94" s="44">
        <f t="shared" ca="1" si="4"/>
        <v>7.7036458327983488E-3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input_552100!A$2</f>
        <v>552100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IFERROR(VLOOKUP(B95,input_552100!L:R,7,FALSE),VLOOKUP(tables_552100!C95,input_552100!A:H,8,FALSE))</f>
        <v>1287</v>
      </c>
      <c r="P95" s="44">
        <f t="shared" ca="1" si="4"/>
        <v>2.2343749998448325E-4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input_552100!A$2</f>
        <v>552100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IFERROR(VLOOKUP(B96,input_552100!L:R,7,FALSE),VLOOKUP(tables_552100!C96,input_552100!A:H,8,FALSE))</f>
        <v>0</v>
      </c>
      <c r="P96" s="44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input_552100!A$2</f>
        <v>552100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IFERROR(VLOOKUP(B97,input_552100!L:R,7,FALSE),VLOOKUP(tables_552100!C97,input_552100!A:H,8,FALSE))</f>
        <v>44373</v>
      </c>
      <c r="P97" s="44">
        <f t="shared" ca="1" si="4"/>
        <v>7.7036458327983488E-3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input_552100!A$2</f>
        <v>552100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IFERROR(VLOOKUP(B98,input_552100!L:R,7,FALSE),VLOOKUP(tables_552100!C98,input_552100!A:H,8,FALSE))</f>
        <v>1287</v>
      </c>
      <c r="P98" s="44">
        <f t="shared" ca="1" si="4"/>
        <v>2.2343749998448325E-4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input_552100!A$2</f>
        <v>552100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IFERROR(VLOOKUP(B99,input_552100!L:R,7,FALSE),VLOOKUP(tables_552100!C99,input_552100!A:H,8,FALSE))</f>
        <v>0</v>
      </c>
      <c r="P99" s="44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input_552100!A$2</f>
        <v>552100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IFERROR(VLOOKUP(B100,input_552100!L:R,7,FALSE),VLOOKUP(tables_552100!C100,input_552100!A:H,8,FALSE))</f>
        <v>44373</v>
      </c>
      <c r="P100" s="44">
        <f t="shared" ca="1" si="4"/>
        <v>7.7036458327983488E-3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input_552100!A$2</f>
        <v>552100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IFERROR(VLOOKUP(B101,input_552100!L:R,7,FALSE),VLOOKUP(tables_552100!C101,input_552100!A:H,8,FALSE))</f>
        <v>1287</v>
      </c>
      <c r="P101" s="44">
        <f t="shared" ca="1" si="4"/>
        <v>2.2343749998448325E-4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input_552100!A$2</f>
        <v>552100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IFERROR(VLOOKUP(B102,input_552100!L:R,7,FALSE),VLOOKUP(tables_552100!C102,input_552100!A:H,8,FALSE))</f>
        <v>0</v>
      </c>
      <c r="P102" s="44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input_552100!A$2</f>
        <v>552100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IFERROR(VLOOKUP(B103,input_552100!L:R,7,FALSE),VLOOKUP(tables_552100!C103,input_552100!A:H,8,FALSE))</f>
        <v>44373</v>
      </c>
      <c r="P103" s="44">
        <f t="shared" ca="1" si="4"/>
        <v>7.7036458327983488E-3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input_552100!A$2</f>
        <v>552100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IFERROR(VLOOKUP(B104,input_552100!L:R,7,FALSE),VLOOKUP(tables_552100!C104,input_552100!A:H,8,FALSE))</f>
        <v>1287</v>
      </c>
      <c r="P104" s="44">
        <f t="shared" ca="1" si="4"/>
        <v>2.2343749998448325E-4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input_552100!A$2</f>
        <v>552100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IFERROR(VLOOKUP(B105,input_552100!L:R,7,FALSE),VLOOKUP(tables_552100!C105,input_552100!A:H,8,FALSE))</f>
        <v>0</v>
      </c>
      <c r="P105" s="44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input_552100!A$2</f>
        <v>552100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IFERROR(VLOOKUP(B106,input_552100!L:R,7,FALSE),VLOOKUP(tables_552100!C106,input_552100!A:H,8,FALSE))</f>
        <v>44373</v>
      </c>
      <c r="P106" s="44">
        <f t="shared" ca="1" si="4"/>
        <v>7.7036458327983488E-3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input_552100!A$2</f>
        <v>552100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IFERROR(VLOOKUP(B107,input_552100!L:R,7,FALSE),VLOOKUP(tables_552100!C107,input_552100!A:H,8,FALSE))</f>
        <v>1287</v>
      </c>
      <c r="P107" s="44">
        <f t="shared" ca="1" si="4"/>
        <v>2.2343749998448325E-4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input_552100!A$2</f>
        <v>552100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IFERROR(VLOOKUP(B108,input_552100!L:R,7,FALSE),VLOOKUP(tables_552100!C108,input_552100!A:H,8,FALSE))</f>
        <v>0</v>
      </c>
      <c r="P108" s="44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input_552100!A$2</f>
        <v>552100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IFERROR(VLOOKUP(B109,input_552100!L:R,7,FALSE),VLOOKUP(tables_552100!C109,input_552100!A:H,8,FALSE))</f>
        <v>44373</v>
      </c>
      <c r="P109" s="44">
        <f t="shared" ca="1" si="4"/>
        <v>7.7036458327983488E-3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input_552100!A$2</f>
        <v>552100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IFERROR(VLOOKUP(B110,input_552100!L:R,7,FALSE),VLOOKUP(tables_552100!C110,input_552100!A:H,8,FALSE))</f>
        <v>1287</v>
      </c>
      <c r="P110" s="44">
        <f t="shared" ca="1" si="4"/>
        <v>2.2343749998448325E-4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input_552100!A$2</f>
        <v>552100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IFERROR(VLOOKUP(B111,input_552100!L:R,7,FALSE),VLOOKUP(tables_552100!C111,input_552100!A:H,8,FALSE))</f>
        <v>0</v>
      </c>
      <c r="P111" s="44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input_552100!A$2</f>
        <v>552100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IFERROR(VLOOKUP(B112,input_552100!L:R,7,FALSE),VLOOKUP(tables_552100!C112,input_552100!A:H,8,FALSE))</f>
        <v>63924.000050000002</v>
      </c>
      <c r="P112" s="44">
        <f t="shared" ca="1" si="4"/>
        <v>1.1097916674576521E-2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input_552100!A$2</f>
        <v>552100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IFERROR(VLOOKUP(B113,input_552100!L:R,7,FALSE),VLOOKUP(tables_552100!C113,input_552100!A:H,8,FALSE))</f>
        <v>4566</v>
      </c>
      <c r="P113" s="44">
        <f t="shared" ca="1" si="4"/>
        <v>7.9270833327828316E-4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input_552100!A$2</f>
        <v>552100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IFERROR(VLOOKUP(B114,input_552100!L:R,7,FALSE),VLOOKUP(tables_552100!C114,input_552100!A:H,8,FALSE))</f>
        <v>0</v>
      </c>
      <c r="P114" s="44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input_552100!A$2</f>
        <v>552100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IFERROR(VLOOKUP(B115,input_552100!L:R,7,FALSE),VLOOKUP(tables_552100!C115,input_552100!A:H,8,FALSE))</f>
        <v>44373</v>
      </c>
      <c r="P115" s="44">
        <f t="shared" ca="1" si="4"/>
        <v>7.7036458327983488E-3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input_552100!A$2</f>
        <v>552100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IFERROR(VLOOKUP(B116,input_552100!L:R,7,FALSE),VLOOKUP(tables_552100!C116,input_552100!A:H,8,FALSE))</f>
        <v>1287</v>
      </c>
      <c r="P116" s="44">
        <f t="shared" ca="1" si="4"/>
        <v>2.2343749998448325E-4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input_552100!A$2</f>
        <v>552100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IFERROR(VLOOKUP(B117,input_552100!L:R,7,FALSE),VLOOKUP(tables_552100!C117,input_552100!A:H,8,FALSE))</f>
        <v>0</v>
      </c>
      <c r="P117" s="44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input_552100!A$2</f>
        <v>552100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IFERROR(VLOOKUP(B118,input_552100!L:R,7,FALSE),VLOOKUP(tables_552100!C118,input_552100!A:H,8,FALSE))</f>
        <v>44373</v>
      </c>
      <c r="P118" s="44">
        <f t="shared" ca="1" si="4"/>
        <v>7.7036458327983488E-3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input_552100!A$2</f>
        <v>552100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IFERROR(VLOOKUP(B119,input_552100!L:R,7,FALSE),VLOOKUP(tables_552100!C119,input_552100!A:H,8,FALSE))</f>
        <v>1287</v>
      </c>
      <c r="P119" s="44">
        <f t="shared" ca="1" si="4"/>
        <v>2.2343749998448325E-4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input_552100!A$2</f>
        <v>552100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IFERROR(VLOOKUP(B120,input_552100!L:R,7,FALSE),VLOOKUP(tables_552100!C120,input_552100!A:H,8,FALSE))</f>
        <v>0</v>
      </c>
      <c r="P120" s="44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input_552100!A$2</f>
        <v>552100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IFERROR(VLOOKUP(B121,input_552100!L:R,7,FALSE),VLOOKUP(tables_552100!C121,input_552100!A:H,8,FALSE))</f>
        <v>44373</v>
      </c>
      <c r="P121" s="44">
        <f t="shared" ca="1" si="4"/>
        <v>7.7036458327983488E-3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input_552100!A$2</f>
        <v>552100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IFERROR(VLOOKUP(B122,input_552100!L:R,7,FALSE),VLOOKUP(tables_552100!C122,input_552100!A:H,8,FALSE))</f>
        <v>1287</v>
      </c>
      <c r="P122" s="44">
        <f t="shared" ca="1" si="4"/>
        <v>2.2343749998448325E-4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input_552100!A$2</f>
        <v>552100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IFERROR(VLOOKUP(B123,input_552100!L:R,7,FALSE),VLOOKUP(tables_552100!C123,input_552100!A:H,8,FALSE))</f>
        <v>0</v>
      </c>
      <c r="P123" s="44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input_552100!A$2</f>
        <v>552100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IFERROR(VLOOKUP(B124,input_552100!L:R,7,FALSE),VLOOKUP(tables_552100!C124,input_552100!A:H,8,FALSE))</f>
        <v>44373</v>
      </c>
      <c r="P124" s="44">
        <f t="shared" ca="1" si="4"/>
        <v>7.7036458327983488E-3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input_552100!A$2</f>
        <v>552100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IFERROR(VLOOKUP(B125,input_552100!L:R,7,FALSE),VLOOKUP(tables_552100!C125,input_552100!A:H,8,FALSE))</f>
        <v>1287</v>
      </c>
      <c r="P125" s="44">
        <f t="shared" ca="1" si="4"/>
        <v>2.2343749998448325E-4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input_552100!A$2</f>
        <v>552100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IFERROR(VLOOKUP(B126,input_552100!L:R,7,FALSE),VLOOKUP(tables_552100!C126,input_552100!A:H,8,FALSE))</f>
        <v>0</v>
      </c>
      <c r="P126" s="44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input_552100!A$2</f>
        <v>552100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IFERROR(VLOOKUP(B127,input_552100!L:R,7,FALSE),VLOOKUP(tables_552100!C127,input_552100!A:H,8,FALSE))</f>
        <v>44373</v>
      </c>
      <c r="P127" s="44">
        <f t="shared" ca="1" si="4"/>
        <v>7.7036458327983488E-3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input_552100!A$2</f>
        <v>552100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IFERROR(VLOOKUP(B128,input_552100!L:R,7,FALSE),VLOOKUP(tables_552100!C128,input_552100!A:H,8,FALSE))</f>
        <v>1287</v>
      </c>
      <c r="P128" s="44">
        <f t="shared" ca="1" si="4"/>
        <v>2.2343749998448325E-4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input_552100!A$2</f>
        <v>552100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IFERROR(VLOOKUP(B129,input_552100!L:R,7,FALSE),VLOOKUP(tables_552100!C129,input_552100!A:H,8,FALSE))</f>
        <v>0</v>
      </c>
      <c r="P129" s="44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input_552100!A$2</f>
        <v>552100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IFERROR(VLOOKUP(B130,input_552100!L:R,7,FALSE),VLOOKUP(tables_552100!C130,input_552100!A:H,8,FALSE))</f>
        <v>44373</v>
      </c>
      <c r="P130" s="44">
        <f t="shared" ref="P130:P193" ca="1" si="7">O130/SUM(O:O)</f>
        <v>7.7036458327983488E-3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input_552100!A$2</f>
        <v>552100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IFERROR(VLOOKUP(B131,input_552100!L:R,7,FALSE),VLOOKUP(tables_552100!C131,input_552100!A:H,8,FALSE))</f>
        <v>1287</v>
      </c>
      <c r="P131" s="44">
        <f t="shared" ca="1" si="7"/>
        <v>2.2343749998448325E-4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input_552100!A$2</f>
        <v>552100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IFERROR(VLOOKUP(B132,input_552100!L:R,7,FALSE),VLOOKUP(tables_552100!C132,input_552100!A:H,8,FALSE))</f>
        <v>0</v>
      </c>
      <c r="P132" s="44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input_552100!A$2</f>
        <v>552100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IFERROR(VLOOKUP(B133,input_552100!L:R,7,FALSE),VLOOKUP(tables_552100!C133,input_552100!A:H,8,FALSE))</f>
        <v>44373</v>
      </c>
      <c r="P133" s="44">
        <f t="shared" ca="1" si="7"/>
        <v>7.7036458327983488E-3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input_552100!A$2</f>
        <v>552100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IFERROR(VLOOKUP(B134,input_552100!L:R,7,FALSE),VLOOKUP(tables_552100!C134,input_552100!A:H,8,FALSE))</f>
        <v>1287</v>
      </c>
      <c r="P134" s="44">
        <f t="shared" ca="1" si="7"/>
        <v>2.2343749998448325E-4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input_552100!A$2</f>
        <v>552100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IFERROR(VLOOKUP(B135,input_552100!L:R,7,FALSE),VLOOKUP(tables_552100!C135,input_552100!A:H,8,FALSE))</f>
        <v>0</v>
      </c>
      <c r="P135" s="44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input_552100!A$2</f>
        <v>552100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IFERROR(VLOOKUP(B136,input_552100!L:R,7,FALSE),VLOOKUP(tables_552100!C136,input_552100!A:H,8,FALSE))</f>
        <v>44373</v>
      </c>
      <c r="P136" s="44">
        <f t="shared" ca="1" si="7"/>
        <v>7.7036458327983488E-3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input_552100!A$2</f>
        <v>552100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IFERROR(VLOOKUP(B137,input_552100!L:R,7,FALSE),VLOOKUP(tables_552100!C137,input_552100!A:H,8,FALSE))</f>
        <v>1287</v>
      </c>
      <c r="P137" s="44">
        <f t="shared" ca="1" si="7"/>
        <v>2.2343749998448325E-4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input_552100!A$2</f>
        <v>552100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IFERROR(VLOOKUP(B138,input_552100!L:R,7,FALSE),VLOOKUP(tables_552100!C138,input_552100!A:H,8,FALSE))</f>
        <v>4813.7142899999999</v>
      </c>
      <c r="P138" s="44">
        <f t="shared" ca="1" si="7"/>
        <v>8.3571428640029659E-4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input_552100!A$2</f>
        <v>552100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IFERROR(VLOOKUP(B139,input_552100!L:R,7,FALSE),VLOOKUP(tables_552100!C139,input_552100!A:H,8,FALSE))</f>
        <v>1248</v>
      </c>
      <c r="P139" s="44">
        <f t="shared" ca="1" si="7"/>
        <v>2.1666666665162013E-4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input_552100!A$2</f>
        <v>552100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IFERROR(VLOOKUP(B140,input_552100!L:R,7,FALSE),VLOOKUP(tables_552100!C140,input_552100!A:H,8,FALSE))</f>
        <v>4813.7142899999999</v>
      </c>
      <c r="P140" s="44">
        <f t="shared" ca="1" si="7"/>
        <v>8.3571428640029659E-4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input_552100!A$2</f>
        <v>552100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IFERROR(VLOOKUP(B141,input_552100!L:R,7,FALSE),VLOOKUP(tables_552100!C141,input_552100!A:H,8,FALSE))</f>
        <v>1248</v>
      </c>
      <c r="P141" s="44">
        <f t="shared" ca="1" si="7"/>
        <v>2.1666666665162013E-4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input_552100!A$2</f>
        <v>552100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IFERROR(VLOOKUP(B142,input_552100!L:R,7,FALSE),VLOOKUP(tables_552100!C142,input_552100!A:H,8,FALSE))</f>
        <v>4813.7142899999999</v>
      </c>
      <c r="P142" s="44">
        <f t="shared" ca="1" si="7"/>
        <v>8.3571428640029659E-4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input_552100!A$2</f>
        <v>552100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IFERROR(VLOOKUP(B143,input_552100!L:R,7,FALSE),VLOOKUP(tables_552100!C143,input_552100!A:H,8,FALSE))</f>
        <v>1248</v>
      </c>
      <c r="P143" s="44">
        <f t="shared" ca="1" si="7"/>
        <v>2.1666666665162013E-4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input_552100!A$2</f>
        <v>552100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IFERROR(VLOOKUP(B144,input_552100!L:R,7,FALSE),VLOOKUP(tables_552100!C144,input_552100!A:H,8,FALSE))</f>
        <v>4813.7142899999999</v>
      </c>
      <c r="P144" s="44">
        <f t="shared" ca="1" si="7"/>
        <v>8.3571428640029659E-4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input_552100!A$2</f>
        <v>552100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IFERROR(VLOOKUP(B145,input_552100!L:R,7,FALSE),VLOOKUP(tables_552100!C145,input_552100!A:H,8,FALSE))</f>
        <v>1248</v>
      </c>
      <c r="P145" s="44">
        <f t="shared" ca="1" si="7"/>
        <v>2.1666666665162013E-4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input_552100!A$2</f>
        <v>552100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IFERROR(VLOOKUP(B146,input_552100!L:R,7,FALSE),VLOOKUP(tables_552100!C146,input_552100!A:H,8,FALSE))</f>
        <v>0</v>
      </c>
      <c r="P146" s="44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input_552100!A$2</f>
        <v>552100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IFERROR(VLOOKUP(B147,input_552100!L:R,7,FALSE),VLOOKUP(tables_552100!C147,input_552100!A:H,8,FALSE))</f>
        <v>44373</v>
      </c>
      <c r="P147" s="44">
        <f t="shared" ca="1" si="7"/>
        <v>7.7036458327983488E-3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input_552100!A$2</f>
        <v>552100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IFERROR(VLOOKUP(B148,input_552100!L:R,7,FALSE),VLOOKUP(tables_552100!C148,input_552100!A:H,8,FALSE))</f>
        <v>1287</v>
      </c>
      <c r="P148" s="44">
        <f t="shared" ca="1" si="7"/>
        <v>2.2343749998448325E-4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input_552100!A$2</f>
        <v>552100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IFERROR(VLOOKUP(B149,input_552100!L:R,7,FALSE),VLOOKUP(tables_552100!C149,input_552100!A:H,8,FALSE))</f>
        <v>4813.7142899999999</v>
      </c>
      <c r="P149" s="44">
        <f t="shared" ca="1" si="7"/>
        <v>8.3571428640029659E-4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input_552100!A$2</f>
        <v>552100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IFERROR(VLOOKUP(B150,input_552100!L:R,7,FALSE),VLOOKUP(tables_552100!C150,input_552100!A:H,8,FALSE))</f>
        <v>1248</v>
      </c>
      <c r="P150" s="44">
        <f t="shared" ca="1" si="7"/>
        <v>2.1666666665162013E-4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input_552100!A$2</f>
        <v>552100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IFERROR(VLOOKUP(B151,input_552100!L:R,7,FALSE),VLOOKUP(tables_552100!C151,input_552100!A:H,8,FALSE))</f>
        <v>4813.7142899999999</v>
      </c>
      <c r="P151" s="44">
        <f t="shared" ca="1" si="7"/>
        <v>8.3571428640029659E-4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input_552100!A$2</f>
        <v>552100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IFERROR(VLOOKUP(B152,input_552100!L:R,7,FALSE),VLOOKUP(tables_552100!C152,input_552100!A:H,8,FALSE))</f>
        <v>1248</v>
      </c>
      <c r="P152" s="44">
        <f t="shared" ca="1" si="7"/>
        <v>2.1666666665162013E-4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input_552100!A$2</f>
        <v>552100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IFERROR(VLOOKUP(B153,input_552100!L:R,7,FALSE),VLOOKUP(tables_552100!C153,input_552100!A:H,8,FALSE))</f>
        <v>0</v>
      </c>
      <c r="P153" s="44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input_552100!A$2</f>
        <v>552100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IFERROR(VLOOKUP(B154,input_552100!L:R,7,FALSE),VLOOKUP(tables_552100!C154,input_552100!A:H,8,FALSE))</f>
        <v>44373</v>
      </c>
      <c r="P154" s="44">
        <f t="shared" ca="1" si="7"/>
        <v>7.7036458327983488E-3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input_552100!A$2</f>
        <v>552100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IFERROR(VLOOKUP(B155,input_552100!L:R,7,FALSE),VLOOKUP(tables_552100!C155,input_552100!A:H,8,FALSE))</f>
        <v>1287</v>
      </c>
      <c r="P155" s="44">
        <f t="shared" ca="1" si="7"/>
        <v>2.2343749998448325E-4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input_552100!A$2</f>
        <v>552100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IFERROR(VLOOKUP(B156,input_552100!L:R,7,FALSE),VLOOKUP(tables_552100!C156,input_552100!A:H,8,FALSE))</f>
        <v>4813.7142899999999</v>
      </c>
      <c r="P156" s="44">
        <f t="shared" ca="1" si="7"/>
        <v>8.3571428640029659E-4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input_552100!A$2</f>
        <v>552100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IFERROR(VLOOKUP(B157,input_552100!L:R,7,FALSE),VLOOKUP(tables_552100!C157,input_552100!A:H,8,FALSE))</f>
        <v>1248</v>
      </c>
      <c r="P157" s="44">
        <f t="shared" ca="1" si="7"/>
        <v>2.1666666665162013E-4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input_552100!A$2</f>
        <v>552100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IFERROR(VLOOKUP(B158,input_552100!L:R,7,FALSE),VLOOKUP(tables_552100!C158,input_552100!A:H,8,FALSE))</f>
        <v>0</v>
      </c>
      <c r="P158" s="44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input_552100!A$2</f>
        <v>552100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IFERROR(VLOOKUP(B159,input_552100!L:R,7,FALSE),VLOOKUP(tables_552100!C159,input_552100!A:H,8,FALSE))</f>
        <v>44373</v>
      </c>
      <c r="P159" s="44">
        <f t="shared" ca="1" si="7"/>
        <v>7.7036458327983488E-3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input_552100!A$2</f>
        <v>552100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IFERROR(VLOOKUP(B160,input_552100!L:R,7,FALSE),VLOOKUP(tables_552100!C160,input_552100!A:H,8,FALSE))</f>
        <v>1287</v>
      </c>
      <c r="P160" s="44">
        <f t="shared" ca="1" si="7"/>
        <v>2.2343749998448325E-4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input_552100!A$2</f>
        <v>552100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IFERROR(VLOOKUP(B161,input_552100!L:R,7,FALSE),VLOOKUP(tables_552100!C161,input_552100!A:H,8,FALSE))</f>
        <v>0</v>
      </c>
      <c r="P161" s="44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input_552100!A$2</f>
        <v>552100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IFERROR(VLOOKUP(B162,input_552100!L:R,7,FALSE),VLOOKUP(tables_552100!C162,input_552100!A:H,8,FALSE))</f>
        <v>44373</v>
      </c>
      <c r="P162" s="44">
        <f t="shared" ca="1" si="7"/>
        <v>7.7036458327983488E-3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input_552100!A$2</f>
        <v>552100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IFERROR(VLOOKUP(B163,input_552100!L:R,7,FALSE),VLOOKUP(tables_552100!C163,input_552100!A:H,8,FALSE))</f>
        <v>1287</v>
      </c>
      <c r="P163" s="44">
        <f t="shared" ca="1" si="7"/>
        <v>2.2343749998448325E-4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input_552100!A$2</f>
        <v>552100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IFERROR(VLOOKUP(B164,input_552100!L:R,7,FALSE),VLOOKUP(tables_552100!C164,input_552100!A:H,8,FALSE))</f>
        <v>4813.7142899999999</v>
      </c>
      <c r="P164" s="44">
        <f t="shared" ca="1" si="7"/>
        <v>8.3571428640029659E-4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input_552100!A$2</f>
        <v>552100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IFERROR(VLOOKUP(B165,input_552100!L:R,7,FALSE),VLOOKUP(tables_552100!C165,input_552100!A:H,8,FALSE))</f>
        <v>1248</v>
      </c>
      <c r="P165" s="44">
        <f t="shared" ca="1" si="7"/>
        <v>2.1666666665162013E-4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input_552100!A$2</f>
        <v>552100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IFERROR(VLOOKUP(B166,input_552100!L:R,7,FALSE),VLOOKUP(tables_552100!C166,input_552100!A:H,8,FALSE))</f>
        <v>0</v>
      </c>
      <c r="P166" s="44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input_552100!A$2</f>
        <v>552100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IFERROR(VLOOKUP(B167,input_552100!L:R,7,FALSE),VLOOKUP(tables_552100!C167,input_552100!A:H,8,FALSE))</f>
        <v>44373</v>
      </c>
      <c r="P167" s="44">
        <f t="shared" ca="1" si="7"/>
        <v>7.7036458327983488E-3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input_552100!A$2</f>
        <v>552100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IFERROR(VLOOKUP(B168,input_552100!L:R,7,FALSE),VLOOKUP(tables_552100!C168,input_552100!A:H,8,FALSE))</f>
        <v>1287</v>
      </c>
      <c r="P168" s="44">
        <f t="shared" ca="1" si="7"/>
        <v>2.2343749998448325E-4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input_552100!A$2</f>
        <v>552100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IFERROR(VLOOKUP(B169,input_552100!L:R,7,FALSE),VLOOKUP(tables_552100!C169,input_552100!A:H,8,FALSE))</f>
        <v>4813.7142899999999</v>
      </c>
      <c r="P169" s="44">
        <f t="shared" ca="1" si="7"/>
        <v>8.3571428640029659E-4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input_552100!A$2</f>
        <v>552100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IFERROR(VLOOKUP(B170,input_552100!L:R,7,FALSE),VLOOKUP(tables_552100!C170,input_552100!A:H,8,FALSE))</f>
        <v>1248</v>
      </c>
      <c r="P170" s="44">
        <f t="shared" ca="1" si="7"/>
        <v>2.1666666665162013E-4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input_552100!A$2</f>
        <v>552100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IFERROR(VLOOKUP(B171,input_552100!L:R,7,FALSE),VLOOKUP(tables_552100!C171,input_552100!A:H,8,FALSE))</f>
        <v>0</v>
      </c>
      <c r="P171" s="44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input_552100!A$2</f>
        <v>552100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IFERROR(VLOOKUP(B172,input_552100!L:R,7,FALSE),VLOOKUP(tables_552100!C172,input_552100!A:H,8,FALSE))</f>
        <v>44373</v>
      </c>
      <c r="P172" s="44">
        <f t="shared" ca="1" si="7"/>
        <v>7.7036458327983488E-3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input_552100!A$2</f>
        <v>552100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IFERROR(VLOOKUP(B173,input_552100!L:R,7,FALSE),VLOOKUP(tables_552100!C173,input_552100!A:H,8,FALSE))</f>
        <v>1287</v>
      </c>
      <c r="P173" s="44">
        <f t="shared" ca="1" si="7"/>
        <v>2.2343749998448325E-4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input_552100!A$2</f>
        <v>552100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IFERROR(VLOOKUP(B174,input_552100!L:R,7,FALSE),VLOOKUP(tables_552100!C174,input_552100!A:H,8,FALSE))</f>
        <v>4813.7142899999999</v>
      </c>
      <c r="P174" s="44">
        <f t="shared" ca="1" si="7"/>
        <v>8.3571428640029659E-4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input_552100!A$2</f>
        <v>552100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IFERROR(VLOOKUP(B175,input_552100!L:R,7,FALSE),VLOOKUP(tables_552100!C175,input_552100!A:H,8,FALSE))</f>
        <v>1248</v>
      </c>
      <c r="P175" s="44">
        <f t="shared" ca="1" si="7"/>
        <v>2.1666666665162013E-4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input_552100!A$2</f>
        <v>552100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IFERROR(VLOOKUP(B176,input_552100!L:R,7,FALSE),VLOOKUP(tables_552100!C176,input_552100!A:H,8,FALSE))</f>
        <v>4813.7142899999999</v>
      </c>
      <c r="P176" s="44">
        <f t="shared" ca="1" si="7"/>
        <v>8.3571428640029659E-4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input_552100!A$2</f>
        <v>552100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IFERROR(VLOOKUP(B177,input_552100!L:R,7,FALSE),VLOOKUP(tables_552100!C177,input_552100!A:H,8,FALSE))</f>
        <v>1248</v>
      </c>
      <c r="P177" s="44">
        <f t="shared" ca="1" si="7"/>
        <v>2.1666666665162013E-4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input_552100!A$2</f>
        <v>552100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IFERROR(VLOOKUP(B178,input_552100!L:R,7,FALSE),VLOOKUP(tables_552100!C178,input_552100!A:H,8,FALSE))</f>
        <v>0</v>
      </c>
      <c r="P178" s="44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input_552100!A$2</f>
        <v>552100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IFERROR(VLOOKUP(B179,input_552100!L:R,7,FALSE),VLOOKUP(tables_552100!C179,input_552100!A:H,8,FALSE))</f>
        <v>44373</v>
      </c>
      <c r="P179" s="44">
        <f t="shared" ca="1" si="7"/>
        <v>7.7036458327983488E-3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input_552100!A$2</f>
        <v>552100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IFERROR(VLOOKUP(B180,input_552100!L:R,7,FALSE),VLOOKUP(tables_552100!C180,input_552100!A:H,8,FALSE))</f>
        <v>1287</v>
      </c>
      <c r="P180" s="44">
        <f t="shared" ca="1" si="7"/>
        <v>2.2343749998448325E-4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input_552100!A$2</f>
        <v>552100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IFERROR(VLOOKUP(B181,input_552100!L:R,7,FALSE),VLOOKUP(tables_552100!C181,input_552100!A:H,8,FALSE))</f>
        <v>0</v>
      </c>
      <c r="P181" s="44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input_552100!A$2</f>
        <v>552100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IFERROR(VLOOKUP(B182,input_552100!L:R,7,FALSE),VLOOKUP(tables_552100!C182,input_552100!A:H,8,FALSE))</f>
        <v>44373</v>
      </c>
      <c r="P182" s="44">
        <f t="shared" ca="1" si="7"/>
        <v>7.7036458327983488E-3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input_552100!A$2</f>
        <v>552100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IFERROR(VLOOKUP(B183,input_552100!L:R,7,FALSE),VLOOKUP(tables_552100!C183,input_552100!A:H,8,FALSE))</f>
        <v>1287</v>
      </c>
      <c r="P183" s="44">
        <f t="shared" ca="1" si="7"/>
        <v>2.2343749998448325E-4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input_552100!A$2</f>
        <v>552100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IFERROR(VLOOKUP(B184,input_552100!L:R,7,FALSE),VLOOKUP(tables_552100!C184,input_552100!A:H,8,FALSE))</f>
        <v>4813.7142899999999</v>
      </c>
      <c r="P184" s="44">
        <f t="shared" ca="1" si="7"/>
        <v>8.3571428640029659E-4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input_552100!A$2</f>
        <v>552100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IFERROR(VLOOKUP(B185,input_552100!L:R,7,FALSE),VLOOKUP(tables_552100!C185,input_552100!A:H,8,FALSE))</f>
        <v>1248</v>
      </c>
      <c r="P185" s="44">
        <f t="shared" ca="1" si="7"/>
        <v>2.1666666665162013E-4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input_552100!A$2</f>
        <v>552100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IFERROR(VLOOKUP(B186,input_552100!L:R,7,FALSE),VLOOKUP(tables_552100!C186,input_552100!A:H,8,FALSE))</f>
        <v>0</v>
      </c>
      <c r="P186" s="44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input_552100!A$2</f>
        <v>552100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IFERROR(VLOOKUP(B187,input_552100!L:R,7,FALSE),VLOOKUP(tables_552100!C187,input_552100!A:H,8,FALSE))</f>
        <v>44373</v>
      </c>
      <c r="P187" s="44">
        <f t="shared" ca="1" si="7"/>
        <v>7.7036458327983488E-3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input_552100!A$2</f>
        <v>552100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IFERROR(VLOOKUP(B188,input_552100!L:R,7,FALSE),VLOOKUP(tables_552100!C188,input_552100!A:H,8,FALSE))</f>
        <v>1287</v>
      </c>
      <c r="P188" s="44">
        <f t="shared" ca="1" si="7"/>
        <v>2.2343749998448325E-4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input_552100!A$2</f>
        <v>552100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IFERROR(VLOOKUP(B189,input_552100!L:R,7,FALSE),VLOOKUP(tables_552100!C189,input_552100!A:H,8,FALSE))</f>
        <v>4813.7142899999999</v>
      </c>
      <c r="P189" s="44">
        <f t="shared" ca="1" si="7"/>
        <v>8.3571428640029659E-4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input_552100!A$2</f>
        <v>552100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IFERROR(VLOOKUP(B190,input_552100!L:R,7,FALSE),VLOOKUP(tables_552100!C190,input_552100!A:H,8,FALSE))</f>
        <v>1248</v>
      </c>
      <c r="P190" s="44">
        <f t="shared" ca="1" si="7"/>
        <v>2.1666666665162013E-4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input_552100!A$2</f>
        <v>552100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IFERROR(VLOOKUP(B191,input_552100!L:R,7,FALSE),VLOOKUP(tables_552100!C191,input_552100!A:H,8,FALSE))</f>
        <v>4813.7142899999999</v>
      </c>
      <c r="P191" s="44">
        <f t="shared" ca="1" si="7"/>
        <v>8.3571428640029659E-4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input_552100!A$2</f>
        <v>552100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IFERROR(VLOOKUP(B192,input_552100!L:R,7,FALSE),VLOOKUP(tables_552100!C192,input_552100!A:H,8,FALSE))</f>
        <v>1248</v>
      </c>
      <c r="P192" s="44">
        <f t="shared" ca="1" si="7"/>
        <v>2.1666666665162013E-4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input_552100!A$2</f>
        <v>552100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IFERROR(VLOOKUP(B193,input_552100!L:R,7,FALSE),VLOOKUP(tables_552100!C193,input_552100!A:H,8,FALSE))</f>
        <v>0</v>
      </c>
      <c r="P193" s="44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input_552100!A$2</f>
        <v>552100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IFERROR(VLOOKUP(B194,input_552100!L:R,7,FALSE),VLOOKUP(tables_552100!C194,input_552100!A:H,8,FALSE))</f>
        <v>44373</v>
      </c>
      <c r="P194" s="44">
        <f t="shared" ref="P194:P257" ca="1" si="10">O194/SUM(O:O)</f>
        <v>7.7036458327983488E-3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input_552100!A$2</f>
        <v>552100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IFERROR(VLOOKUP(B195,input_552100!L:R,7,FALSE),VLOOKUP(tables_552100!C195,input_552100!A:H,8,FALSE))</f>
        <v>1287</v>
      </c>
      <c r="P195" s="44">
        <f t="shared" ca="1" si="10"/>
        <v>2.2343749998448325E-4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input_552100!A$2</f>
        <v>552100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IFERROR(VLOOKUP(B196,input_552100!L:R,7,FALSE),VLOOKUP(tables_552100!C196,input_552100!A:H,8,FALSE))</f>
        <v>4813.7142899999999</v>
      </c>
      <c r="P196" s="44">
        <f t="shared" ca="1" si="10"/>
        <v>8.3571428640029659E-4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input_552100!A$2</f>
        <v>552100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IFERROR(VLOOKUP(B197,input_552100!L:R,7,FALSE),VLOOKUP(tables_552100!C197,input_552100!A:H,8,FALSE))</f>
        <v>1248</v>
      </c>
      <c r="P197" s="44">
        <f t="shared" ca="1" si="10"/>
        <v>2.1666666665162013E-4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input_552100!A$2</f>
        <v>552100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IFERROR(VLOOKUP(B198,input_552100!L:R,7,FALSE),VLOOKUP(tables_552100!C198,input_552100!A:H,8,FALSE))</f>
        <v>0</v>
      </c>
      <c r="P198" s="44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input_552100!A$2</f>
        <v>552100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IFERROR(VLOOKUP(B199,input_552100!L:R,7,FALSE),VLOOKUP(tables_552100!C199,input_552100!A:H,8,FALSE))</f>
        <v>44373</v>
      </c>
      <c r="P199" s="44">
        <f t="shared" ca="1" si="10"/>
        <v>7.7036458327983488E-3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input_552100!A$2</f>
        <v>552100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IFERROR(VLOOKUP(B200,input_552100!L:R,7,FALSE),VLOOKUP(tables_552100!C200,input_552100!A:H,8,FALSE))</f>
        <v>1287</v>
      </c>
      <c r="P200" s="44">
        <f t="shared" ca="1" si="10"/>
        <v>2.2343749998448325E-4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input_552100!A$2</f>
        <v>552100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IFERROR(VLOOKUP(B201,input_552100!L:R,7,FALSE),VLOOKUP(tables_552100!C201,input_552100!A:H,8,FALSE))</f>
        <v>4813.7142899999999</v>
      </c>
      <c r="P201" s="44">
        <f t="shared" ca="1" si="10"/>
        <v>8.3571428640029659E-4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input_552100!A$2</f>
        <v>552100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IFERROR(VLOOKUP(B202,input_552100!L:R,7,FALSE),VLOOKUP(tables_552100!C202,input_552100!A:H,8,FALSE))</f>
        <v>1248</v>
      </c>
      <c r="P202" s="44">
        <f t="shared" ca="1" si="10"/>
        <v>2.1666666665162013E-4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input_552100!A$2</f>
        <v>552100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IFERROR(VLOOKUP(B203,input_552100!L:R,7,FALSE),VLOOKUP(tables_552100!C203,input_552100!A:H,8,FALSE))</f>
        <v>0</v>
      </c>
      <c r="P203" s="44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input_552100!A$2</f>
        <v>552100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IFERROR(VLOOKUP(B204,input_552100!L:R,7,FALSE),VLOOKUP(tables_552100!C204,input_552100!A:H,8,FALSE))</f>
        <v>44373</v>
      </c>
      <c r="P204" s="44">
        <f t="shared" ca="1" si="10"/>
        <v>7.7036458327983488E-3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input_552100!A$2</f>
        <v>552100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IFERROR(VLOOKUP(B205,input_552100!L:R,7,FALSE),VLOOKUP(tables_552100!C205,input_552100!A:H,8,FALSE))</f>
        <v>1287</v>
      </c>
      <c r="P205" s="44">
        <f t="shared" ca="1" si="10"/>
        <v>2.2343749998448325E-4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input_552100!A$2</f>
        <v>552100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IFERROR(VLOOKUP(B206,input_552100!L:R,7,FALSE),VLOOKUP(tables_552100!C206,input_552100!A:H,8,FALSE))</f>
        <v>4813.7142899999999</v>
      </c>
      <c r="P206" s="44">
        <f t="shared" ca="1" si="10"/>
        <v>8.3571428640029659E-4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input_552100!A$2</f>
        <v>552100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IFERROR(VLOOKUP(B207,input_552100!L:R,7,FALSE),VLOOKUP(tables_552100!C207,input_552100!A:H,8,FALSE))</f>
        <v>1248</v>
      </c>
      <c r="P207" s="44">
        <f t="shared" ca="1" si="10"/>
        <v>2.1666666665162013E-4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input_552100!A$2</f>
        <v>552100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IFERROR(VLOOKUP(B208,input_552100!L:R,7,FALSE),VLOOKUP(tables_552100!C208,input_552100!A:H,8,FALSE))</f>
        <v>4813.7142899999999</v>
      </c>
      <c r="P208" s="44">
        <f t="shared" ca="1" si="10"/>
        <v>8.3571428640029659E-4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input_552100!A$2</f>
        <v>552100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IFERROR(VLOOKUP(B209,input_552100!L:R,7,FALSE),VLOOKUP(tables_552100!C209,input_552100!A:H,8,FALSE))</f>
        <v>1248</v>
      </c>
      <c r="P209" s="44">
        <f t="shared" ca="1" si="10"/>
        <v>2.1666666665162013E-4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input_552100!A$2</f>
        <v>552100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IFERROR(VLOOKUP(B210,input_552100!L:R,7,FALSE),VLOOKUP(tables_552100!C210,input_552100!A:H,8,FALSE))</f>
        <v>0</v>
      </c>
      <c r="P210" s="44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input_552100!A$2</f>
        <v>552100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IFERROR(VLOOKUP(B211,input_552100!L:R,7,FALSE),VLOOKUP(tables_552100!C211,input_552100!A:H,8,FALSE))</f>
        <v>44373</v>
      </c>
      <c r="P211" s="44">
        <f t="shared" ca="1" si="10"/>
        <v>7.7036458327983488E-3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input_552100!A$2</f>
        <v>552100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IFERROR(VLOOKUP(B212,input_552100!L:R,7,FALSE),VLOOKUP(tables_552100!C212,input_552100!A:H,8,FALSE))</f>
        <v>1287</v>
      </c>
      <c r="P212" s="44">
        <f t="shared" ca="1" si="10"/>
        <v>2.2343749998448325E-4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input_552100!A$2</f>
        <v>552100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IFERROR(VLOOKUP(B213,input_552100!L:R,7,FALSE),VLOOKUP(tables_552100!C213,input_552100!A:H,8,FALSE))</f>
        <v>4813.7142899999999</v>
      </c>
      <c r="P213" s="44">
        <f t="shared" ca="1" si="10"/>
        <v>8.3571428640029659E-4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input_552100!A$2</f>
        <v>552100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IFERROR(VLOOKUP(B214,input_552100!L:R,7,FALSE),VLOOKUP(tables_552100!C214,input_552100!A:H,8,FALSE))</f>
        <v>1248</v>
      </c>
      <c r="P214" s="44">
        <f t="shared" ca="1" si="10"/>
        <v>2.1666666665162013E-4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input_552100!A$2</f>
        <v>552100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IFERROR(VLOOKUP(B215,input_552100!L:R,7,FALSE),VLOOKUP(tables_552100!C215,input_552100!A:H,8,FALSE))</f>
        <v>1242.92308</v>
      </c>
      <c r="P215" s="44">
        <f t="shared" ca="1" si="10"/>
        <v>2.1578525692945912E-4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input_552100!A$2</f>
        <v>552100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IFERROR(VLOOKUP(B216,input_552100!L:R,7,FALSE),VLOOKUP(tables_552100!C216,input_552100!A:H,8,FALSE))</f>
        <v>1242.92308</v>
      </c>
      <c r="P216" s="44">
        <f t="shared" ca="1" si="10"/>
        <v>2.1578525692945912E-4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input_552100!A$2</f>
        <v>552100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IFERROR(VLOOKUP(B217,input_552100!L:R,7,FALSE),VLOOKUP(tables_552100!C217,input_552100!A:H,8,FALSE))</f>
        <v>1242.92308</v>
      </c>
      <c r="P217" s="44">
        <f t="shared" ca="1" si="10"/>
        <v>2.1578525692945912E-4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input_552100!A$2</f>
        <v>552100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IFERROR(VLOOKUP(B218,input_552100!L:R,7,FALSE),VLOOKUP(tables_552100!C218,input_552100!A:H,8,FALSE))</f>
        <v>1242.92308</v>
      </c>
      <c r="P218" s="44">
        <f t="shared" ca="1" si="10"/>
        <v>2.1578525692945912E-4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input_552100!A$2</f>
        <v>552100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IFERROR(VLOOKUP(B219,input_552100!L:R,7,FALSE),VLOOKUP(tables_552100!C219,input_552100!A:H,8,FALSE))</f>
        <v>1242.92308</v>
      </c>
      <c r="P219" s="44">
        <f t="shared" ca="1" si="10"/>
        <v>2.1578525692945912E-4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input_552100!A$2</f>
        <v>552100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IFERROR(VLOOKUP(B220,input_552100!L:R,7,FALSE),VLOOKUP(tables_552100!C220,input_552100!A:H,8,FALSE))</f>
        <v>1242.92308</v>
      </c>
      <c r="P220" s="44">
        <f t="shared" ca="1" si="10"/>
        <v>2.1578525692945912E-4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input_552100!A$2</f>
        <v>552100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IFERROR(VLOOKUP(B221,input_552100!L:R,7,FALSE),VLOOKUP(tables_552100!C221,input_552100!A:H,8,FALSE))</f>
        <v>4813.7142899999999</v>
      </c>
      <c r="P221" s="44">
        <f t="shared" ca="1" si="10"/>
        <v>8.3571428640029659E-4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input_552100!A$2</f>
        <v>552100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IFERROR(VLOOKUP(B222,input_552100!L:R,7,FALSE),VLOOKUP(tables_552100!C222,input_552100!A:H,8,FALSE))</f>
        <v>1248</v>
      </c>
      <c r="P222" s="44">
        <f t="shared" ca="1" si="10"/>
        <v>2.1666666665162013E-4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input_552100!A$2</f>
        <v>552100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IFERROR(VLOOKUP(B223,input_552100!L:R,7,FALSE),VLOOKUP(tables_552100!C223,input_552100!A:H,8,FALSE))</f>
        <v>0</v>
      </c>
      <c r="P223" s="44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input_552100!A$2</f>
        <v>552100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IFERROR(VLOOKUP(B224,input_552100!L:R,7,FALSE),VLOOKUP(tables_552100!C224,input_552100!A:H,8,FALSE))</f>
        <v>44373</v>
      </c>
      <c r="P224" s="44">
        <f t="shared" ca="1" si="10"/>
        <v>7.7036458327983488E-3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input_552100!A$2</f>
        <v>552100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IFERROR(VLOOKUP(B225,input_552100!L:R,7,FALSE),VLOOKUP(tables_552100!C225,input_552100!A:H,8,FALSE))</f>
        <v>1287</v>
      </c>
      <c r="P225" s="44">
        <f t="shared" ca="1" si="10"/>
        <v>2.2343749998448325E-4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input_552100!A$2</f>
        <v>552100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IFERROR(VLOOKUP(B226,input_552100!L:R,7,FALSE),VLOOKUP(tables_552100!C226,input_552100!A:H,8,FALSE))</f>
        <v>0</v>
      </c>
      <c r="P226" s="44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input_552100!A$2</f>
        <v>552100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IFERROR(VLOOKUP(B227,input_552100!L:R,7,FALSE),VLOOKUP(tables_552100!C227,input_552100!A:H,8,FALSE))</f>
        <v>44373</v>
      </c>
      <c r="P227" s="44">
        <f t="shared" ca="1" si="10"/>
        <v>7.7036458327983488E-3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input_552100!A$2</f>
        <v>552100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IFERROR(VLOOKUP(B228,input_552100!L:R,7,FALSE),VLOOKUP(tables_552100!C228,input_552100!A:H,8,FALSE))</f>
        <v>1287</v>
      </c>
      <c r="P228" s="44">
        <f t="shared" ca="1" si="10"/>
        <v>2.2343749998448325E-4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input_552100!A$2</f>
        <v>552100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IFERROR(VLOOKUP(B229,input_552100!L:R,7,FALSE),VLOOKUP(tables_552100!C229,input_552100!A:H,8,FALSE))</f>
        <v>4813.7142899999999</v>
      </c>
      <c r="P229" s="44">
        <f t="shared" ca="1" si="10"/>
        <v>8.3571428640029659E-4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input_552100!A$2</f>
        <v>552100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IFERROR(VLOOKUP(B230,input_552100!L:R,7,FALSE),VLOOKUP(tables_552100!C230,input_552100!A:H,8,FALSE))</f>
        <v>1248</v>
      </c>
      <c r="P230" s="44">
        <f t="shared" ca="1" si="10"/>
        <v>2.1666666665162013E-4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input_552100!A$2</f>
        <v>552100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IFERROR(VLOOKUP(B231,input_552100!L:R,7,FALSE),VLOOKUP(tables_552100!C231,input_552100!A:H,8,FALSE))</f>
        <v>0</v>
      </c>
      <c r="P231" s="44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input_552100!A$2</f>
        <v>552100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IFERROR(VLOOKUP(B232,input_552100!L:R,7,FALSE),VLOOKUP(tables_552100!C232,input_552100!A:H,8,FALSE))</f>
        <v>44373</v>
      </c>
      <c r="P232" s="44">
        <f t="shared" ca="1" si="10"/>
        <v>7.7036458327983488E-3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input_552100!A$2</f>
        <v>552100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IFERROR(VLOOKUP(B233,input_552100!L:R,7,FALSE),VLOOKUP(tables_552100!C233,input_552100!A:H,8,FALSE))</f>
        <v>1287</v>
      </c>
      <c r="P233" s="44">
        <f t="shared" ca="1" si="10"/>
        <v>2.2343749998448325E-4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input_552100!A$2</f>
        <v>552100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IFERROR(VLOOKUP(B234,input_552100!L:R,7,FALSE),VLOOKUP(tables_552100!C234,input_552100!A:H,8,FALSE))</f>
        <v>0</v>
      </c>
      <c r="P234" s="44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input_552100!A$2</f>
        <v>552100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IFERROR(VLOOKUP(B235,input_552100!L:R,7,FALSE),VLOOKUP(tables_552100!C235,input_552100!A:H,8,FALSE))</f>
        <v>44373</v>
      </c>
      <c r="P235" s="44">
        <f t="shared" ca="1" si="10"/>
        <v>7.7036458327983488E-3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input_552100!A$2</f>
        <v>552100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IFERROR(VLOOKUP(B236,input_552100!L:R,7,FALSE),VLOOKUP(tables_552100!C236,input_552100!A:H,8,FALSE))</f>
        <v>1287</v>
      </c>
      <c r="P236" s="44">
        <f t="shared" ca="1" si="10"/>
        <v>2.2343749998448325E-4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input_552100!A$2</f>
        <v>552100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IFERROR(VLOOKUP(B237,input_552100!L:R,7,FALSE),VLOOKUP(tables_552100!C237,input_552100!A:H,8,FALSE))</f>
        <v>4813.7142899999999</v>
      </c>
      <c r="P237" s="44">
        <f t="shared" ca="1" si="10"/>
        <v>8.3571428640029659E-4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input_552100!A$2</f>
        <v>552100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IFERROR(VLOOKUP(B238,input_552100!L:R,7,FALSE),VLOOKUP(tables_552100!C238,input_552100!A:H,8,FALSE))</f>
        <v>1248</v>
      </c>
      <c r="P238" s="44">
        <f t="shared" ca="1" si="10"/>
        <v>2.1666666665162013E-4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input_552100!A$2</f>
        <v>552100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IFERROR(VLOOKUP(B239,input_552100!L:R,7,FALSE),VLOOKUP(tables_552100!C239,input_552100!A:H,8,FALSE))</f>
        <v>0</v>
      </c>
      <c r="P239" s="44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input_552100!A$2</f>
        <v>552100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IFERROR(VLOOKUP(B240,input_552100!L:R,7,FALSE),VLOOKUP(tables_552100!C240,input_552100!A:H,8,FALSE))</f>
        <v>44373</v>
      </c>
      <c r="P240" s="44">
        <f t="shared" ca="1" si="10"/>
        <v>7.7036458327983488E-3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input_552100!A$2</f>
        <v>552100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IFERROR(VLOOKUP(B241,input_552100!L:R,7,FALSE),VLOOKUP(tables_552100!C241,input_552100!A:H,8,FALSE))</f>
        <v>1287</v>
      </c>
      <c r="P241" s="44">
        <f t="shared" ca="1" si="10"/>
        <v>2.2343749998448325E-4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input_552100!A$2</f>
        <v>552100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IFERROR(VLOOKUP(B242,input_552100!L:R,7,FALSE),VLOOKUP(tables_552100!C242,input_552100!A:H,8,FALSE))</f>
        <v>4813.7142899999999</v>
      </c>
      <c r="P242" s="44">
        <f t="shared" ca="1" si="10"/>
        <v>8.3571428640029659E-4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input_552100!A$2</f>
        <v>552100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IFERROR(VLOOKUP(B243,input_552100!L:R,7,FALSE),VLOOKUP(tables_552100!C243,input_552100!A:H,8,FALSE))</f>
        <v>1248</v>
      </c>
      <c r="P243" s="44">
        <f t="shared" ca="1" si="10"/>
        <v>2.1666666665162013E-4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input_552100!A$2</f>
        <v>552100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IFERROR(VLOOKUP(B244,input_552100!L:R,7,FALSE),VLOOKUP(tables_552100!C244,input_552100!A:H,8,FALSE))</f>
        <v>4813.7142899999999</v>
      </c>
      <c r="P244" s="44">
        <f t="shared" ca="1" si="10"/>
        <v>8.3571428640029659E-4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input_552100!A$2</f>
        <v>552100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IFERROR(VLOOKUP(B245,input_552100!L:R,7,FALSE),VLOOKUP(tables_552100!C245,input_552100!A:H,8,FALSE))</f>
        <v>1248</v>
      </c>
      <c r="P245" s="44">
        <f t="shared" ca="1" si="10"/>
        <v>2.1666666665162013E-4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input_552100!A$2</f>
        <v>552100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IFERROR(VLOOKUP(B246,input_552100!L:R,7,FALSE),VLOOKUP(tables_552100!C246,input_552100!A:H,8,FALSE))</f>
        <v>0</v>
      </c>
      <c r="P246" s="44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input_552100!A$2</f>
        <v>552100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IFERROR(VLOOKUP(B247,input_552100!L:R,7,FALSE),VLOOKUP(tables_552100!C247,input_552100!A:H,8,FALSE))</f>
        <v>44373</v>
      </c>
      <c r="P247" s="44">
        <f t="shared" ca="1" si="10"/>
        <v>7.7036458327983488E-3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input_552100!A$2</f>
        <v>552100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IFERROR(VLOOKUP(B248,input_552100!L:R,7,FALSE),VLOOKUP(tables_552100!C248,input_552100!A:H,8,FALSE))</f>
        <v>1287</v>
      </c>
      <c r="P248" s="44">
        <f t="shared" ca="1" si="10"/>
        <v>2.2343749998448325E-4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input_552100!A$2</f>
        <v>552100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IFERROR(VLOOKUP(B249,input_552100!L:R,7,FALSE),VLOOKUP(tables_552100!C249,input_552100!A:H,8,FALSE))</f>
        <v>0</v>
      </c>
      <c r="P249" s="44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input_552100!A$2</f>
        <v>552100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IFERROR(VLOOKUP(B250,input_552100!L:R,7,FALSE),VLOOKUP(tables_552100!C250,input_552100!A:H,8,FALSE))</f>
        <v>44373</v>
      </c>
      <c r="P250" s="44">
        <f t="shared" ca="1" si="10"/>
        <v>7.7036458327983488E-3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input_552100!A$2</f>
        <v>552100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IFERROR(VLOOKUP(B251,input_552100!L:R,7,FALSE),VLOOKUP(tables_552100!C251,input_552100!A:H,8,FALSE))</f>
        <v>1287</v>
      </c>
      <c r="P251" s="44">
        <f t="shared" ca="1" si="10"/>
        <v>2.2343749998448325E-4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input_552100!A$2</f>
        <v>552100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IFERROR(VLOOKUP(B252,input_552100!L:R,7,FALSE),VLOOKUP(tables_552100!C252,input_552100!A:H,8,FALSE))</f>
        <v>0</v>
      </c>
      <c r="P252" s="44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input_552100!A$2</f>
        <v>552100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IFERROR(VLOOKUP(B253,input_552100!L:R,7,FALSE),VLOOKUP(tables_552100!C253,input_552100!A:H,8,FALSE))</f>
        <v>44373</v>
      </c>
      <c r="P253" s="44">
        <f t="shared" ca="1" si="10"/>
        <v>7.7036458327983488E-3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input_552100!A$2</f>
        <v>552100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IFERROR(VLOOKUP(B254,input_552100!L:R,7,FALSE),VLOOKUP(tables_552100!C254,input_552100!A:H,8,FALSE))</f>
        <v>1287</v>
      </c>
      <c r="P254" s="44">
        <f t="shared" ca="1" si="10"/>
        <v>2.2343749998448325E-4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input_552100!A$2</f>
        <v>552100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IFERROR(VLOOKUP(B255,input_552100!L:R,7,FALSE),VLOOKUP(tables_552100!C255,input_552100!A:H,8,FALSE))</f>
        <v>0</v>
      </c>
      <c r="P255" s="44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input_552100!A$2</f>
        <v>552100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IFERROR(VLOOKUP(B256,input_552100!L:R,7,FALSE),VLOOKUP(tables_552100!C256,input_552100!A:H,8,FALSE))</f>
        <v>44373</v>
      </c>
      <c r="P256" s="44">
        <f t="shared" ca="1" si="10"/>
        <v>7.7036458327983488E-3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input_552100!A$2</f>
        <v>552100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IFERROR(VLOOKUP(B257,input_552100!L:R,7,FALSE),VLOOKUP(tables_552100!C257,input_552100!A:H,8,FALSE))</f>
        <v>1287</v>
      </c>
      <c r="P257" s="44">
        <f t="shared" ca="1" si="10"/>
        <v>2.2343749998448325E-4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input_552100!A$2</f>
        <v>552100</v>
      </c>
      <c r="B258" s="5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IFERROR(VLOOKUP(B258,input_552100!L:R,7,FALSE),VLOOKUP(tables_552100!C258,input_552100!A:H,8,FALSE))</f>
        <v>4813.7142899999999</v>
      </c>
      <c r="P258" s="44">
        <f t="shared" ref="P258:P321" ca="1" si="13">O258/SUM(O:O)</f>
        <v>8.3571428640029659E-4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input_552100!A$2</f>
        <v>552100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IFERROR(VLOOKUP(B259,input_552100!L:R,7,FALSE),VLOOKUP(tables_552100!C259,input_552100!A:H,8,FALSE))</f>
        <v>1248</v>
      </c>
      <c r="P259" s="44">
        <f t="shared" ca="1" si="13"/>
        <v>2.1666666665162013E-4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input_552100!A$2</f>
        <v>552100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IFERROR(VLOOKUP(B260,input_552100!L:R,7,FALSE),VLOOKUP(tables_552100!C260,input_552100!A:H,8,FALSE))</f>
        <v>4813.7142899999999</v>
      </c>
      <c r="P260" s="44">
        <f t="shared" ca="1" si="13"/>
        <v>8.3571428640029659E-4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input_552100!A$2</f>
        <v>552100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IFERROR(VLOOKUP(B261,input_552100!L:R,7,FALSE),VLOOKUP(tables_552100!C261,input_552100!A:H,8,FALSE))</f>
        <v>1248</v>
      </c>
      <c r="P261" s="44">
        <f t="shared" ca="1" si="13"/>
        <v>2.1666666665162013E-4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input_552100!A$2</f>
        <v>552100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IFERROR(VLOOKUP(B262,input_552100!L:R,7,FALSE),VLOOKUP(tables_552100!C262,input_552100!A:H,8,FALSE))</f>
        <v>44044.2</v>
      </c>
      <c r="P262" s="44">
        <f t="shared" ca="1" si="13"/>
        <v>7.6465624994689792E-3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input_552100!A$2</f>
        <v>552100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IFERROR(VLOOKUP(B263,input_552100!L:R,7,FALSE),VLOOKUP(tables_552100!C263,input_552100!A:H,8,FALSE))</f>
        <v>1242.92308</v>
      </c>
      <c r="P263" s="44">
        <f t="shared" ca="1" si="13"/>
        <v>2.1578525692945912E-4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input_552100!A$2</f>
        <v>552100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IFERROR(VLOOKUP(B264,input_552100!L:R,7,FALSE),VLOOKUP(tables_552100!C264,input_552100!A:H,8,FALSE))</f>
        <v>44044.2</v>
      </c>
      <c r="P264" s="44">
        <f t="shared" ca="1" si="13"/>
        <v>7.6465624994689792E-3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input_552100!A$2</f>
        <v>552100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IFERROR(VLOOKUP(B265,input_552100!L:R,7,FALSE),VLOOKUP(tables_552100!C265,input_552100!A:H,8,FALSE))</f>
        <v>1242.92308</v>
      </c>
      <c r="P265" s="44">
        <f t="shared" ca="1" si="13"/>
        <v>2.1578525692945912E-4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input_552100!A$2</f>
        <v>552100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IFERROR(VLOOKUP(B266,input_552100!L:R,7,FALSE),VLOOKUP(tables_552100!C266,input_552100!A:H,8,FALSE))</f>
        <v>1248</v>
      </c>
      <c r="P266" s="44">
        <f t="shared" ca="1" si="13"/>
        <v>2.1666666665162013E-4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input_552100!A$2</f>
        <v>552100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IFERROR(VLOOKUP(B267,input_552100!L:R,7,FALSE),VLOOKUP(tables_552100!C267,input_552100!A:H,8,FALSE))</f>
        <v>1248</v>
      </c>
      <c r="P267" s="44">
        <f t="shared" ca="1" si="13"/>
        <v>2.1666666665162013E-4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input_552100!A$2</f>
        <v>552100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IFERROR(VLOOKUP(B268,input_552100!L:R,7,FALSE),VLOOKUP(tables_552100!C268,input_552100!A:H,8,FALSE))</f>
        <v>1248</v>
      </c>
      <c r="P268" s="44">
        <f t="shared" ca="1" si="13"/>
        <v>2.1666666665162013E-4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input_552100!A$2</f>
        <v>552100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IFERROR(VLOOKUP(B269,input_552100!L:R,7,FALSE),VLOOKUP(tables_552100!C269,input_552100!A:H,8,FALSE))</f>
        <v>1248</v>
      </c>
      <c r="P269" s="44">
        <f t="shared" ca="1" si="13"/>
        <v>2.1666666665162013E-4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input_552100!A$2</f>
        <v>552100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IFERROR(VLOOKUP(B270,input_552100!L:R,7,FALSE),VLOOKUP(tables_552100!C270,input_552100!A:H,8,FALSE))</f>
        <v>44044.2</v>
      </c>
      <c r="P270" s="44">
        <f t="shared" ca="1" si="13"/>
        <v>7.6465624994689792E-3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input_552100!A$2</f>
        <v>552100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IFERROR(VLOOKUP(B271,input_552100!L:R,7,FALSE),VLOOKUP(tables_552100!C271,input_552100!A:H,8,FALSE))</f>
        <v>1242.92308</v>
      </c>
      <c r="P271" s="44">
        <f t="shared" ca="1" si="13"/>
        <v>2.1578525692945912E-4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input_552100!A$2</f>
        <v>552100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IFERROR(VLOOKUP(B272,input_552100!L:R,7,FALSE),VLOOKUP(tables_552100!C272,input_552100!A:H,8,FALSE))</f>
        <v>44044.2</v>
      </c>
      <c r="P272" s="44">
        <f t="shared" ca="1" si="13"/>
        <v>7.6465624994689792E-3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input_552100!A$2</f>
        <v>552100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IFERROR(VLOOKUP(B273,input_552100!L:R,7,FALSE),VLOOKUP(tables_552100!C273,input_552100!A:H,8,FALSE))</f>
        <v>1242.92308</v>
      </c>
      <c r="P273" s="44">
        <f t="shared" ca="1" si="13"/>
        <v>2.1578525692945912E-4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input_552100!A$2</f>
        <v>552100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IFERROR(VLOOKUP(B274,input_552100!L:R,7,FALSE),VLOOKUP(tables_552100!C274,input_552100!A:H,8,FALSE))</f>
        <v>4813.7142899999999</v>
      </c>
      <c r="P274" s="44">
        <f t="shared" ca="1" si="13"/>
        <v>8.3571428640029659E-4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input_552100!A$2</f>
        <v>552100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IFERROR(VLOOKUP(B275,input_552100!L:R,7,FALSE),VLOOKUP(tables_552100!C275,input_552100!A:H,8,FALSE))</f>
        <v>1248</v>
      </c>
      <c r="P275" s="44">
        <f t="shared" ca="1" si="13"/>
        <v>2.1666666665162013E-4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input_552100!A$2</f>
        <v>552100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IFERROR(VLOOKUP(B276,input_552100!L:R,7,FALSE),VLOOKUP(tables_552100!C276,input_552100!A:H,8,FALSE))</f>
        <v>4813.7142899999999</v>
      </c>
      <c r="P276" s="44">
        <f t="shared" ca="1" si="13"/>
        <v>8.3571428640029659E-4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input_552100!A$2</f>
        <v>552100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IFERROR(VLOOKUP(B277,input_552100!L:R,7,FALSE),VLOOKUP(tables_552100!C277,input_552100!A:H,8,FALSE))</f>
        <v>1248</v>
      </c>
      <c r="P277" s="44">
        <f t="shared" ca="1" si="13"/>
        <v>2.1666666665162013E-4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input_552100!A$2</f>
        <v>552100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IFERROR(VLOOKUP(B278,input_552100!L:R,7,FALSE),VLOOKUP(tables_552100!C278,input_552100!A:H,8,FALSE))</f>
        <v>0</v>
      </c>
      <c r="P278" s="44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input_552100!A$2</f>
        <v>552100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IFERROR(VLOOKUP(B279,input_552100!L:R,7,FALSE),VLOOKUP(tables_552100!C279,input_552100!A:H,8,FALSE))</f>
        <v>44373</v>
      </c>
      <c r="P279" s="44">
        <f t="shared" ca="1" si="13"/>
        <v>7.7036458327983488E-3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input_552100!A$2</f>
        <v>552100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IFERROR(VLOOKUP(B280,input_552100!L:R,7,FALSE),VLOOKUP(tables_552100!C280,input_552100!A:H,8,FALSE))</f>
        <v>1287</v>
      </c>
      <c r="P280" s="44">
        <f t="shared" ca="1" si="13"/>
        <v>2.2343749998448325E-4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input_552100!A$2</f>
        <v>552100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IFERROR(VLOOKUP(B281,input_552100!L:R,7,FALSE),VLOOKUP(tables_552100!C281,input_552100!A:H,8,FALSE))</f>
        <v>0</v>
      </c>
      <c r="P281" s="44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input_552100!A$2</f>
        <v>552100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IFERROR(VLOOKUP(B282,input_552100!L:R,7,FALSE),VLOOKUP(tables_552100!C282,input_552100!A:H,8,FALSE))</f>
        <v>44373</v>
      </c>
      <c r="P282" s="44">
        <f t="shared" ca="1" si="13"/>
        <v>7.7036458327983488E-3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input_552100!A$2</f>
        <v>552100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IFERROR(VLOOKUP(B283,input_552100!L:R,7,FALSE),VLOOKUP(tables_552100!C283,input_552100!A:H,8,FALSE))</f>
        <v>1287</v>
      </c>
      <c r="P283" s="44">
        <f t="shared" ca="1" si="13"/>
        <v>2.2343749998448325E-4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input_552100!A$2</f>
        <v>552100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IFERROR(VLOOKUP(B284,input_552100!L:R,7,FALSE),VLOOKUP(tables_552100!C284,input_552100!A:H,8,FALSE))</f>
        <v>1248</v>
      </c>
      <c r="P284" s="44">
        <f t="shared" ca="1" si="13"/>
        <v>2.1666666665162013E-4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input_552100!A$2</f>
        <v>552100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IFERROR(VLOOKUP(B285,input_552100!L:R,7,FALSE),VLOOKUP(tables_552100!C285,input_552100!A:H,8,FALSE))</f>
        <v>1248</v>
      </c>
      <c r="P285" s="44">
        <f t="shared" ca="1" si="13"/>
        <v>2.1666666665162013E-4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input_552100!A$2</f>
        <v>552100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IFERROR(VLOOKUP(B286,input_552100!L:R,7,FALSE),VLOOKUP(tables_552100!C286,input_552100!A:H,8,FALSE))</f>
        <v>44044.2</v>
      </c>
      <c r="P286" s="44">
        <f t="shared" ca="1" si="13"/>
        <v>7.6465624994689792E-3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input_552100!A$2</f>
        <v>552100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IFERROR(VLOOKUP(B287,input_552100!L:R,7,FALSE),VLOOKUP(tables_552100!C287,input_552100!A:H,8,FALSE))</f>
        <v>1242.92308</v>
      </c>
      <c r="P287" s="44">
        <f t="shared" ca="1" si="13"/>
        <v>2.1578525692945912E-4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input_552100!A$2</f>
        <v>552100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IFERROR(VLOOKUP(B288,input_552100!L:R,7,FALSE),VLOOKUP(tables_552100!C288,input_552100!A:H,8,FALSE))</f>
        <v>44044.2</v>
      </c>
      <c r="P288" s="44">
        <f t="shared" ca="1" si="13"/>
        <v>7.6465624994689792E-3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input_552100!A$2</f>
        <v>552100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IFERROR(VLOOKUP(B289,input_552100!L:R,7,FALSE),VLOOKUP(tables_552100!C289,input_552100!A:H,8,FALSE))</f>
        <v>1242.92308</v>
      </c>
      <c r="P289" s="44">
        <f t="shared" ca="1" si="13"/>
        <v>2.1578525692945912E-4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input_552100!A$2</f>
        <v>552100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IFERROR(VLOOKUP(B290,input_552100!L:R,7,FALSE),VLOOKUP(tables_552100!C290,input_552100!A:H,8,FALSE))</f>
        <v>44044.2</v>
      </c>
      <c r="P290" s="44">
        <f t="shared" ca="1" si="13"/>
        <v>7.6465624994689792E-3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input_552100!A$2</f>
        <v>552100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IFERROR(VLOOKUP(B291,input_552100!L:R,7,FALSE),VLOOKUP(tables_552100!C291,input_552100!A:H,8,FALSE))</f>
        <v>1242.92308</v>
      </c>
      <c r="P291" s="44">
        <f t="shared" ca="1" si="13"/>
        <v>2.1578525692945912E-4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input_552100!A$2</f>
        <v>552100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IFERROR(VLOOKUP(B292,input_552100!L:R,7,FALSE),VLOOKUP(tables_552100!C292,input_552100!A:H,8,FALSE))</f>
        <v>44044.2</v>
      </c>
      <c r="P292" s="44">
        <f t="shared" ca="1" si="13"/>
        <v>7.6465624994689792E-3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input_552100!A$2</f>
        <v>552100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IFERROR(VLOOKUP(B293,input_552100!L:R,7,FALSE),VLOOKUP(tables_552100!C293,input_552100!A:H,8,FALSE))</f>
        <v>1242.92308</v>
      </c>
      <c r="P293" s="44">
        <f t="shared" ca="1" si="13"/>
        <v>2.1578525692945912E-4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input_552100!A$2</f>
        <v>552100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IFERROR(VLOOKUP(B294,input_552100!L:R,7,FALSE),VLOOKUP(tables_552100!C294,input_552100!A:H,8,FALSE))</f>
        <v>1248</v>
      </c>
      <c r="P294" s="44">
        <f t="shared" ca="1" si="13"/>
        <v>2.1666666665162013E-4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input_552100!A$2</f>
        <v>552100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IFERROR(VLOOKUP(B295,input_552100!L:R,7,FALSE),VLOOKUP(tables_552100!C295,input_552100!A:H,8,FALSE))</f>
        <v>1248</v>
      </c>
      <c r="P295" s="44">
        <f t="shared" ca="1" si="13"/>
        <v>2.1666666665162013E-4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input_552100!A$2</f>
        <v>552100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IFERROR(VLOOKUP(B296,input_552100!L:R,7,FALSE),VLOOKUP(tables_552100!C296,input_552100!A:H,8,FALSE))</f>
        <v>1248</v>
      </c>
      <c r="P296" s="44">
        <f t="shared" ca="1" si="13"/>
        <v>2.1666666665162013E-4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input_552100!A$2</f>
        <v>552100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IFERROR(VLOOKUP(B297,input_552100!L:R,7,FALSE),VLOOKUP(tables_552100!C297,input_552100!A:H,8,FALSE))</f>
        <v>44044.2</v>
      </c>
      <c r="P297" s="44">
        <f t="shared" ca="1" si="13"/>
        <v>7.6465624994689792E-3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input_552100!A$2</f>
        <v>552100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IFERROR(VLOOKUP(B298,input_552100!L:R,7,FALSE),VLOOKUP(tables_552100!C298,input_552100!A:H,8,FALSE))</f>
        <v>1242.92308</v>
      </c>
      <c r="P298" s="44">
        <f t="shared" ca="1" si="13"/>
        <v>2.1578525692945912E-4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input_552100!A$2</f>
        <v>552100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IFERROR(VLOOKUP(B299,input_552100!L:R,7,FALSE),VLOOKUP(tables_552100!C299,input_552100!A:H,8,FALSE))</f>
        <v>1248</v>
      </c>
      <c r="P299" s="44">
        <f t="shared" ca="1" si="13"/>
        <v>2.1666666665162013E-4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input_552100!A$2</f>
        <v>552100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IFERROR(VLOOKUP(B300,input_552100!L:R,7,FALSE),VLOOKUP(tables_552100!C300,input_552100!A:H,8,FALSE))</f>
        <v>1248</v>
      </c>
      <c r="P300" s="44">
        <f t="shared" ca="1" si="13"/>
        <v>2.1666666665162013E-4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input_552100!A$2</f>
        <v>552100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IFERROR(VLOOKUP(B301,input_552100!L:R,7,FALSE),VLOOKUP(tables_552100!C301,input_552100!A:H,8,FALSE))</f>
        <v>1248</v>
      </c>
      <c r="P301" s="44">
        <f t="shared" ca="1" si="13"/>
        <v>2.1666666665162013E-4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input_552100!A$2</f>
        <v>552100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IFERROR(VLOOKUP(B302,input_552100!L:R,7,FALSE),VLOOKUP(tables_552100!C302,input_552100!A:H,8,FALSE))</f>
        <v>1248</v>
      </c>
      <c r="P302" s="44">
        <f t="shared" ca="1" si="13"/>
        <v>2.1666666665162013E-4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input_552100!A$2</f>
        <v>552100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IFERROR(VLOOKUP(B303,input_552100!L:R,7,FALSE),VLOOKUP(tables_552100!C303,input_552100!A:H,8,FALSE))</f>
        <v>44044.2</v>
      </c>
      <c r="P303" s="44">
        <f t="shared" ca="1" si="13"/>
        <v>7.6465624994689792E-3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input_552100!A$2</f>
        <v>552100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IFERROR(VLOOKUP(B304,input_552100!L:R,7,FALSE),VLOOKUP(tables_552100!C304,input_552100!A:H,8,FALSE))</f>
        <v>1242.92308</v>
      </c>
      <c r="P304" s="44">
        <f t="shared" ca="1" si="13"/>
        <v>2.1578525692945912E-4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input_552100!A$2</f>
        <v>552100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IFERROR(VLOOKUP(B305,input_552100!L:R,7,FALSE),VLOOKUP(tables_552100!C305,input_552100!A:H,8,FALSE))</f>
        <v>1248</v>
      </c>
      <c r="P305" s="44">
        <f t="shared" ca="1" si="13"/>
        <v>2.1666666665162013E-4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input_552100!A$2</f>
        <v>552100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IFERROR(VLOOKUP(B306,input_552100!L:R,7,FALSE),VLOOKUP(tables_552100!C306,input_552100!A:H,8,FALSE))</f>
        <v>44044.2</v>
      </c>
      <c r="P306" s="44">
        <f t="shared" ca="1" si="13"/>
        <v>7.6465624994689792E-3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input_552100!A$2</f>
        <v>552100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IFERROR(VLOOKUP(B307,input_552100!L:R,7,FALSE),VLOOKUP(tables_552100!C307,input_552100!A:H,8,FALSE))</f>
        <v>1242.92308</v>
      </c>
      <c r="P307" s="44">
        <f t="shared" ca="1" si="13"/>
        <v>2.1578525692945912E-4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input_552100!A$2</f>
        <v>552100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IFERROR(VLOOKUP(B308,input_552100!L:R,7,FALSE),VLOOKUP(tables_552100!C308,input_552100!A:H,8,FALSE))</f>
        <v>1248</v>
      </c>
      <c r="P308" s="44">
        <f t="shared" ca="1" si="13"/>
        <v>2.1666666665162013E-4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input_552100!A$2</f>
        <v>552100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IFERROR(VLOOKUP(B309,input_552100!L:R,7,FALSE),VLOOKUP(tables_552100!C309,input_552100!A:H,8,FALSE))</f>
        <v>1248</v>
      </c>
      <c r="P309" s="44">
        <f t="shared" ca="1" si="13"/>
        <v>2.1666666665162013E-4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input_552100!A$2</f>
        <v>552100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IFERROR(VLOOKUP(B310,input_552100!L:R,7,FALSE),VLOOKUP(tables_552100!C310,input_552100!A:H,8,FALSE))</f>
        <v>1248</v>
      </c>
      <c r="P310" s="44">
        <f t="shared" ca="1" si="13"/>
        <v>2.1666666665162013E-4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input_552100!A$2</f>
        <v>552100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IFERROR(VLOOKUP(B311,input_552100!L:R,7,FALSE),VLOOKUP(tables_552100!C311,input_552100!A:H,8,FALSE))</f>
        <v>44044.2</v>
      </c>
      <c r="P311" s="44">
        <f t="shared" ca="1" si="13"/>
        <v>7.6465624994689792E-3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input_552100!A$2</f>
        <v>552100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IFERROR(VLOOKUP(B312,input_552100!L:R,7,FALSE),VLOOKUP(tables_552100!C312,input_552100!A:H,8,FALSE))</f>
        <v>1242.92308</v>
      </c>
      <c r="P312" s="44">
        <f t="shared" ca="1" si="13"/>
        <v>2.1578525692945912E-4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input_552100!A$2</f>
        <v>552100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IFERROR(VLOOKUP(B313,input_552100!L:R,7,FALSE),VLOOKUP(tables_552100!C313,input_552100!A:H,8,FALSE))</f>
        <v>1248</v>
      </c>
      <c r="P313" s="44">
        <f t="shared" ca="1" si="13"/>
        <v>2.1666666665162013E-4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input_552100!A$2</f>
        <v>552100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IFERROR(VLOOKUP(B314,input_552100!L:R,7,FALSE),VLOOKUP(tables_552100!C314,input_552100!A:H,8,FALSE))</f>
        <v>1248</v>
      </c>
      <c r="P314" s="44">
        <f t="shared" ca="1" si="13"/>
        <v>2.1666666665162013E-4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input_552100!A$2</f>
        <v>552100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IFERROR(VLOOKUP(B315,input_552100!L:R,7,FALSE),VLOOKUP(tables_552100!C315,input_552100!A:H,8,FALSE))</f>
        <v>1248</v>
      </c>
      <c r="P315" s="44">
        <f t="shared" ca="1" si="13"/>
        <v>2.1666666665162013E-4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input_552100!A$2</f>
        <v>552100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IFERROR(VLOOKUP(B316,input_552100!L:R,7,FALSE),VLOOKUP(tables_552100!C316,input_552100!A:H,8,FALSE))</f>
        <v>1248</v>
      </c>
      <c r="P316" s="44">
        <f t="shared" ca="1" si="13"/>
        <v>2.1666666665162013E-4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input_552100!A$2</f>
        <v>552100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IFERROR(VLOOKUP(B317,input_552100!L:R,7,FALSE),VLOOKUP(tables_552100!C317,input_552100!A:H,8,FALSE))</f>
        <v>1248</v>
      </c>
      <c r="P317" s="44">
        <f t="shared" ca="1" si="13"/>
        <v>2.1666666665162013E-4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input_552100!A$2</f>
        <v>552100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IFERROR(VLOOKUP(B318,input_552100!L:R,7,FALSE),VLOOKUP(tables_552100!C318,input_552100!A:H,8,FALSE))</f>
        <v>44044.2</v>
      </c>
      <c r="P318" s="44">
        <f t="shared" ca="1" si="13"/>
        <v>7.6465624994689792E-3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input_552100!A$2</f>
        <v>552100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IFERROR(VLOOKUP(B319,input_552100!L:R,7,FALSE),VLOOKUP(tables_552100!C319,input_552100!A:H,8,FALSE))</f>
        <v>1242.92308</v>
      </c>
      <c r="P319" s="44">
        <f t="shared" ca="1" si="13"/>
        <v>2.1578525692945912E-4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input_552100!A$2</f>
        <v>552100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IFERROR(VLOOKUP(B320,input_552100!L:R,7,FALSE),VLOOKUP(tables_552100!C320,input_552100!A:H,8,FALSE))</f>
        <v>1248</v>
      </c>
      <c r="P320" s="44">
        <f t="shared" ca="1" si="13"/>
        <v>2.1666666665162013E-4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input_552100!A$2</f>
        <v>552100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IFERROR(VLOOKUP(B321,input_552100!L:R,7,FALSE),VLOOKUP(tables_552100!C321,input_552100!A:H,8,FALSE))</f>
        <v>1248</v>
      </c>
      <c r="P321" s="44">
        <f t="shared" ca="1" si="13"/>
        <v>2.1666666665162013E-4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input_552100!A$2</f>
        <v>552100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IFERROR(VLOOKUP(B322,input_552100!L:R,7,FALSE),VLOOKUP(tables_552100!C322,input_552100!A:H,8,FALSE))</f>
        <v>1248</v>
      </c>
      <c r="P322" s="44">
        <f t="shared" ref="P322:P359" ca="1" si="26">O322/SUM(O:O)</f>
        <v>2.1666666665162013E-4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input_552100!A$2</f>
        <v>552100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IFERROR(VLOOKUP(B323,input_552100!L:R,7,FALSE),VLOOKUP(tables_552100!C323,input_552100!A:H,8,FALSE))</f>
        <v>1248</v>
      </c>
      <c r="P323" s="44">
        <f t="shared" ca="1" si="26"/>
        <v>2.1666666665162013E-4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input_552100!A$2</f>
        <v>552100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IFERROR(VLOOKUP(B324,input_552100!L:R,7,FALSE),VLOOKUP(tables_552100!C324,input_552100!A:H,8,FALSE))</f>
        <v>44044.2</v>
      </c>
      <c r="P324" s="44">
        <f t="shared" ca="1" si="26"/>
        <v>7.6465624994689792E-3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input_552100!A$2</f>
        <v>552100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IFERROR(VLOOKUP(B325,input_552100!L:R,7,FALSE),VLOOKUP(tables_552100!C325,input_552100!A:H,8,FALSE))</f>
        <v>1242.92308</v>
      </c>
      <c r="P325" s="44">
        <f t="shared" ca="1" si="26"/>
        <v>2.1578525692945912E-4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input_552100!A$2</f>
        <v>552100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IFERROR(VLOOKUP(B326,input_552100!L:R,7,FALSE),VLOOKUP(tables_552100!C326,input_552100!A:H,8,FALSE))</f>
        <v>44044.2</v>
      </c>
      <c r="P326" s="44">
        <f t="shared" ca="1" si="26"/>
        <v>7.6465624994689792E-3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input_552100!A$2</f>
        <v>552100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IFERROR(VLOOKUP(B327,input_552100!L:R,7,FALSE),VLOOKUP(tables_552100!C327,input_552100!A:H,8,FALSE))</f>
        <v>1242.92308</v>
      </c>
      <c r="P327" s="44">
        <f t="shared" ca="1" si="26"/>
        <v>2.1578525692945912E-4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input_552100!A$2</f>
        <v>552100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IFERROR(VLOOKUP(B328,input_552100!L:R,7,FALSE),VLOOKUP(tables_552100!C328,input_552100!A:H,8,FALSE))</f>
        <v>1248</v>
      </c>
      <c r="P328" s="44">
        <f t="shared" ca="1" si="26"/>
        <v>2.1666666665162013E-4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input_552100!A$2</f>
        <v>552100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IFERROR(VLOOKUP(B329,input_552100!L:R,7,FALSE),VLOOKUP(tables_552100!C329,input_552100!A:H,8,FALSE))</f>
        <v>1248</v>
      </c>
      <c r="P329" s="44">
        <f t="shared" ca="1" si="26"/>
        <v>2.1666666665162013E-4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input_552100!A$2</f>
        <v>552100</v>
      </c>
      <c r="B330" s="2">
        <v>1157</v>
      </c>
      <c r="C330" s="7" t="str">
        <f t="shared" si="28"/>
        <v>PremiumSS5R5only</v>
      </c>
      <c r="D330" s="95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IFERROR(VLOOKUP(B330,input_552100!L:R,7,FALSE),VLOOKUP(tables_552100!C330,input_552100!A:H,8,FALSE))</f>
        <v>1248</v>
      </c>
      <c r="P330" s="44">
        <f t="shared" ca="1" si="26"/>
        <v>2.1666666665162013E-4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input_552100!A$2</f>
        <v>552100</v>
      </c>
      <c r="B331" s="58">
        <v>1214</v>
      </c>
      <c r="C331" s="7" t="str">
        <f t="shared" ref="C331:C335" si="29">D331&amp;J331&amp;E331&amp;F331&amp;G331</f>
        <v>PremiumSS5R5only</v>
      </c>
      <c r="D331" s="95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IFERROR(VLOOKUP(B331,input_552100!L:R,7,FALSE),VLOOKUP(tables_552100!C331,input_552100!A:H,8,FALSE))</f>
        <v>1248</v>
      </c>
      <c r="P331" s="44">
        <f t="shared" ca="1" si="26"/>
        <v>2.1666666665162013E-4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input_552100!A$2</f>
        <v>552100</v>
      </c>
      <c r="B332" s="58">
        <v>1212</v>
      </c>
      <c r="C332" s="7" t="str">
        <f t="shared" si="29"/>
        <v>PremiumSS5R5only</v>
      </c>
      <c r="D332" s="95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IFERROR(VLOOKUP(B332,input_552100!L:R,7,FALSE),VLOOKUP(tables_552100!C332,input_552100!A:H,8,FALSE))</f>
        <v>1248</v>
      </c>
      <c r="P332" s="44">
        <f t="shared" ca="1" si="26"/>
        <v>2.1666666665162013E-4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input_552100!A$2</f>
        <v>552100</v>
      </c>
      <c r="B333" s="58">
        <v>1208</v>
      </c>
      <c r="C333" s="7" t="str">
        <f t="shared" si="29"/>
        <v>PremiumSS5R5only</v>
      </c>
      <c r="D333" s="95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IFERROR(VLOOKUP(B333,input_552100!L:R,7,FALSE),VLOOKUP(tables_552100!C333,input_552100!A:H,8,FALSE))</f>
        <v>1248</v>
      </c>
      <c r="P333" s="44">
        <f t="shared" ca="1" si="26"/>
        <v>2.1666666665162013E-4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input_552100!A$2</f>
        <v>552100</v>
      </c>
      <c r="B334" s="91">
        <v>1210</v>
      </c>
      <c r="C334" s="7" t="str">
        <f t="shared" si="29"/>
        <v>Premium4R3less</v>
      </c>
      <c r="D334" s="95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IFERROR(VLOOKUP(B334,input_552100!L:R,7,FALSE),VLOOKUP(tables_552100!C334,input_552100!A:H,8,FALSE))</f>
        <v>44044.2</v>
      </c>
      <c r="P334" s="44">
        <f t="shared" ca="1" si="26"/>
        <v>7.6465624994689792E-3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input_552100!A$2</f>
        <v>552100</v>
      </c>
      <c r="B335" s="58">
        <v>1211</v>
      </c>
      <c r="C335" s="7" t="str">
        <f t="shared" si="29"/>
        <v>Premium5R3less</v>
      </c>
      <c r="D335" s="95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IFERROR(VLOOKUP(B335,input_552100!L:R,7,FALSE),VLOOKUP(tables_552100!C335,input_552100!A:H,8,FALSE))</f>
        <v>1242.92308</v>
      </c>
      <c r="P335" s="44">
        <f t="shared" ca="1" si="26"/>
        <v>2.1578525692945912E-4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input_552100!A$2</f>
        <v>552100</v>
      </c>
      <c r="B336" s="2">
        <v>1224</v>
      </c>
      <c r="C336" s="7" t="str">
        <f t="shared" ref="C336:C340" si="31">D336&amp;J336&amp;E336&amp;F336&amp;G336</f>
        <v>Premium4R3less</v>
      </c>
      <c r="D336" s="95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IFERROR(VLOOKUP(B336,input_552100!L:R,7,FALSE),VLOOKUP(tables_552100!C336,input_552100!A:H,8,FALSE))</f>
        <v>44044.2</v>
      </c>
      <c r="P336" s="44">
        <f t="shared" ca="1" si="26"/>
        <v>7.6465624994689792E-3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input_552100!A$2</f>
        <v>552100</v>
      </c>
      <c r="B337" s="2">
        <v>1225</v>
      </c>
      <c r="C337" s="7" t="str">
        <f t="shared" si="31"/>
        <v>Premium5R3less</v>
      </c>
      <c r="D337" s="95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IFERROR(VLOOKUP(B337,input_552100!L:R,7,FALSE),VLOOKUP(tables_552100!C337,input_552100!A:H,8,FALSE))</f>
        <v>1242.92308</v>
      </c>
      <c r="P337" s="44">
        <f t="shared" ca="1" si="26"/>
        <v>2.1578525692945912E-4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input_552100!A$2</f>
        <v>552100</v>
      </c>
      <c r="B338" s="2">
        <v>1226</v>
      </c>
      <c r="C338" s="7" t="str">
        <f t="shared" si="31"/>
        <v>PremiumSS5R5only</v>
      </c>
      <c r="D338" s="95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IFERROR(VLOOKUP(B338,input_552100!L:R,7,FALSE),VLOOKUP(tables_552100!C338,input_552100!A:H,8,FALSE))</f>
        <v>1248</v>
      </c>
      <c r="P338" s="44">
        <f t="shared" ca="1" si="26"/>
        <v>2.1666666665162013E-4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input_552100!A$2</f>
        <v>552100</v>
      </c>
      <c r="B339" s="2">
        <v>1228</v>
      </c>
      <c r="C339" s="7" t="str">
        <f t="shared" si="31"/>
        <v>PremiumSS5R5only</v>
      </c>
      <c r="D339" s="95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IFERROR(VLOOKUP(B339,input_552100!L:R,7,FALSE),VLOOKUP(tables_552100!C339,input_552100!A:H,8,FALSE))</f>
        <v>1248</v>
      </c>
      <c r="P339" s="44">
        <f t="shared" ca="1" si="26"/>
        <v>2.1666666665162013E-4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input_552100!A$2</f>
        <v>552100</v>
      </c>
      <c r="B340" s="2">
        <v>1230</v>
      </c>
      <c r="C340" s="7" t="str">
        <f t="shared" si="31"/>
        <v>PremiumSS5R5only</v>
      </c>
      <c r="D340" s="95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IFERROR(VLOOKUP(B340,input_552100!L:R,7,FALSE),VLOOKUP(tables_552100!C340,input_552100!A:H,8,FALSE))</f>
        <v>1248</v>
      </c>
      <c r="P340" s="44">
        <f t="shared" ca="1" si="26"/>
        <v>2.1666666665162013E-4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input_552100!A$2</f>
        <v>552100</v>
      </c>
      <c r="B341" s="96">
        <v>1244</v>
      </c>
      <c r="C341" s="7" t="str">
        <f t="shared" ref="C341:C346" si="33">D341&amp;J341&amp;E341&amp;F341&amp;G341</f>
        <v>PremiumSS5R5only</v>
      </c>
      <c r="D341" s="95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IFERROR(VLOOKUP(B341,input_552100!L:R,7,FALSE),VLOOKUP(tables_552100!C341,input_552100!A:H,8,FALSE))</f>
        <v>1248</v>
      </c>
      <c r="P341" s="44">
        <f t="shared" ca="1" si="26"/>
        <v>2.1666666665162013E-4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input_552100!A$2</f>
        <v>552100</v>
      </c>
      <c r="B342" s="96">
        <v>1246</v>
      </c>
      <c r="C342" s="7" t="str">
        <f t="shared" si="33"/>
        <v>PremiumSS5R5only</v>
      </c>
      <c r="D342" s="95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IFERROR(VLOOKUP(B342,input_552100!L:R,7,FALSE),VLOOKUP(tables_552100!C342,input_552100!A:H,8,FALSE))</f>
        <v>1248</v>
      </c>
      <c r="P342" s="44">
        <f t="shared" ca="1" si="26"/>
        <v>2.1666666665162013E-4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input_552100!A$2</f>
        <v>552100</v>
      </c>
      <c r="B343" s="96">
        <v>1248</v>
      </c>
      <c r="C343" s="7" t="str">
        <f t="shared" si="33"/>
        <v>Premium4R3less</v>
      </c>
      <c r="D343" s="95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IFERROR(VLOOKUP(B343,input_552100!L:R,7,FALSE),VLOOKUP(tables_552100!C343,input_552100!A:H,8,FALSE))</f>
        <v>44044.2</v>
      </c>
      <c r="P343" s="44">
        <f t="shared" ca="1" si="26"/>
        <v>7.6465624994689792E-3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input_552100!A$2</f>
        <v>552100</v>
      </c>
      <c r="B344" s="96">
        <v>1249</v>
      </c>
      <c r="C344" s="7" t="str">
        <f t="shared" si="33"/>
        <v>Premium5R3less</v>
      </c>
      <c r="D344" s="95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IFERROR(VLOOKUP(B344,input_552100!L:R,7,FALSE),VLOOKUP(tables_552100!C344,input_552100!A:H,8,FALSE))</f>
        <v>1242.92308</v>
      </c>
      <c r="P344" s="44">
        <f t="shared" ca="1" si="26"/>
        <v>2.1578525692945912E-4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input_552100!A$2</f>
        <v>552100</v>
      </c>
      <c r="B345" s="96">
        <v>1250</v>
      </c>
      <c r="C345" s="7" t="str">
        <f t="shared" si="33"/>
        <v>PremiumSS5R5only</v>
      </c>
      <c r="D345" s="95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IFERROR(VLOOKUP(B345,input_552100!L:R,7,FALSE),VLOOKUP(tables_552100!C345,input_552100!A:H,8,FALSE))</f>
        <v>1248</v>
      </c>
      <c r="P345" s="44">
        <f t="shared" ca="1" si="26"/>
        <v>2.1666666665162013E-4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input_552100!A$2</f>
        <v>552100</v>
      </c>
      <c r="B346" s="99">
        <v>1260</v>
      </c>
      <c r="C346" s="7" t="str">
        <f t="shared" si="33"/>
        <v>PremiumSS5R5only</v>
      </c>
      <c r="D346" s="95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IFERROR(VLOOKUP(B346,input_552100!L:R,7,FALSE),VLOOKUP(tables_552100!C346,input_552100!A:H,8,FALSE))</f>
        <v>1248</v>
      </c>
      <c r="P346" s="44">
        <f t="shared" ca="1" si="26"/>
        <v>2.1666666665162013E-4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input_552100!A$2</f>
        <v>552100</v>
      </c>
      <c r="B347" s="99">
        <v>1262</v>
      </c>
      <c r="C347" s="7" t="str">
        <f t="shared" ref="C347" si="35">D347&amp;J347&amp;E347&amp;F347&amp;G347</f>
        <v>PremiumSS5R5only</v>
      </c>
      <c r="D347" s="95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IFERROR(VLOOKUP(B347,input_552100!L:R,7,FALSE),VLOOKUP(tables_552100!C347,input_552100!A:H,8,FALSE))</f>
        <v>1248</v>
      </c>
      <c r="P347" s="44">
        <f t="shared" ca="1" si="26"/>
        <v>2.1666666665162013E-4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input_552100!A$2</f>
        <v>552100</v>
      </c>
      <c r="B348" s="99">
        <v>1264</v>
      </c>
      <c r="C348" s="7" t="str">
        <f t="shared" ref="C348:C350" si="37">D348&amp;J348&amp;E348&amp;F348&amp;G348</f>
        <v>PremiumSS5R5only</v>
      </c>
      <c r="D348" s="95" t="str">
        <f t="shared" ref="D348:D350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IFERROR(VLOOKUP(B348,input_552100!L:R,7,FALSE),VLOOKUP(tables_552100!C348,input_552100!A:H,8,FALSE))</f>
        <v>1248</v>
      </c>
      <c r="P348" s="44">
        <f t="shared" ca="1" si="26"/>
        <v>2.1666666665162013E-4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input_552100!A$2</f>
        <v>552100</v>
      </c>
      <c r="B349" s="99">
        <v>1266</v>
      </c>
      <c r="C349" s="7" t="str">
        <f t="shared" si="37"/>
        <v>Premium4R3less</v>
      </c>
      <c r="D349" s="95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IFERROR(VLOOKUP(B349,input_552100!L:R,7,FALSE),VLOOKUP(tables_552100!C349,input_552100!A:H,8,FALSE))</f>
        <v>44044.2</v>
      </c>
      <c r="P349" s="44">
        <f t="shared" ca="1" si="26"/>
        <v>7.6465624994689792E-3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input_552100!A$2</f>
        <v>552100</v>
      </c>
      <c r="B350" s="99">
        <v>1267</v>
      </c>
      <c r="C350" s="7" t="str">
        <f t="shared" si="37"/>
        <v>Premium5R3less</v>
      </c>
      <c r="D350" s="95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IFERROR(VLOOKUP(B350,input_552100!L:R,7,FALSE),VLOOKUP(tables_552100!C350,input_552100!A:H,8,FALSE))</f>
        <v>1242.92308</v>
      </c>
      <c r="P350" s="44">
        <f t="shared" ca="1" si="26"/>
        <v>2.1578525692945912E-4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input_552100!A$2</f>
        <v>552100</v>
      </c>
      <c r="B351" s="99">
        <v>1332</v>
      </c>
      <c r="C351" s="7" t="str">
        <f t="shared" ref="C351:C359" si="39">D351&amp;J351&amp;E351&amp;F351&amp;G351</f>
        <v>PremiumSS5R5only</v>
      </c>
      <c r="D351" s="95" t="str">
        <f t="shared" ref="D351:D359" si="40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IFERROR(VLOOKUP(B351,input_552100!L:R,7,FALSE),VLOOKUP(tables_552100!C351,input_552100!A:H,8,FALSE))</f>
        <v>1248</v>
      </c>
      <c r="P351" s="44">
        <f t="shared" ca="1" si="26"/>
        <v>2.1666666665162013E-4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input_552100!A$2</f>
        <v>552100</v>
      </c>
      <c r="B352" s="99">
        <v>1334</v>
      </c>
      <c r="C352" s="7" t="str">
        <f t="shared" si="39"/>
        <v>Premium4R3less</v>
      </c>
      <c r="D352" s="95" t="str">
        <f t="shared" si="40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IFERROR(VLOOKUP(B352,input_552100!L:R,7,FALSE),VLOOKUP(tables_552100!C352,input_552100!A:H,8,FALSE))</f>
        <v>44044.2</v>
      </c>
      <c r="P352" s="44">
        <f t="shared" ca="1" si="26"/>
        <v>7.6465624994689792E-3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input_552100!A$2</f>
        <v>552100</v>
      </c>
      <c r="B353" s="99">
        <v>1335</v>
      </c>
      <c r="C353" s="7" t="str">
        <f t="shared" si="39"/>
        <v>Premium5R3less</v>
      </c>
      <c r="D353" s="95" t="str">
        <f t="shared" si="40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IFERROR(VLOOKUP(B353,input_552100!L:R,7,FALSE),VLOOKUP(tables_552100!C353,input_552100!A:H,8,FALSE))</f>
        <v>1242.92308</v>
      </c>
      <c r="P353" s="44">
        <f t="shared" ca="1" si="26"/>
        <v>2.1578525692945912E-4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input_552100!A$2</f>
        <v>552100</v>
      </c>
      <c r="B354" s="99">
        <v>1336</v>
      </c>
      <c r="C354" s="7" t="str">
        <f t="shared" si="39"/>
        <v>PremiumSS5R5only</v>
      </c>
      <c r="D354" s="95" t="str">
        <f t="shared" si="40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IFERROR(VLOOKUP(B354,input_552100!L:R,7,FALSE),VLOOKUP(tables_552100!C354,input_552100!A:H,8,FALSE))</f>
        <v>1248</v>
      </c>
      <c r="P354" s="44">
        <f t="shared" ca="1" si="26"/>
        <v>2.1666666665162013E-4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input_552100!A$2</f>
        <v>552100</v>
      </c>
      <c r="B355" s="99">
        <v>1338</v>
      </c>
      <c r="C355" s="7" t="str">
        <f t="shared" si="39"/>
        <v>PremiumSS5R5only</v>
      </c>
      <c r="D355" s="95" t="str">
        <f t="shared" si="40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IFERROR(VLOOKUP(B355,input_552100!L:R,7,FALSE),VLOOKUP(tables_552100!C355,input_552100!A:H,8,FALSE))</f>
        <v>1248</v>
      </c>
      <c r="P355" s="44">
        <f t="shared" ca="1" si="26"/>
        <v>2.1666666665162013E-4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input_552100!A$2</f>
        <v>552100</v>
      </c>
      <c r="B356" s="58">
        <v>1537</v>
      </c>
      <c r="C356" s="7" t="str">
        <f t="shared" ref="C356" si="41">D356&amp;J356&amp;E356&amp;F356&amp;G356</f>
        <v>PremiumSSS5R3less</v>
      </c>
      <c r="D356" s="95" t="str">
        <f t="shared" ref="D356" si="42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キャットマンダディ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unknown</v>
      </c>
      <c r="N356" s="7">
        <f>VLOOKUP(B356,[1]characters!$A:$G,7,FALSE)</f>
        <v>0</v>
      </c>
      <c r="O356" s="43">
        <f>IFERROR(VLOOKUP(B356,input_552100!L:R,7,FALSE),VLOOKUP(tables_552100!C356,input_552100!A:H,8,FALSE))</f>
        <v>34560</v>
      </c>
      <c r="P356" s="44">
        <f t="shared" ca="1" si="26"/>
        <v>5.9999999995833265E-3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12">
        <v>5</v>
      </c>
    </row>
    <row r="357" spans="1:22" ht="21" customHeight="1" x14ac:dyDescent="0.15">
      <c r="A357" s="2" t="str">
        <f ca="1">input_552100!A$2</f>
        <v>552100</v>
      </c>
      <c r="B357" s="58">
        <v>1539</v>
      </c>
      <c r="C357" s="7" t="str">
        <f t="shared" si="39"/>
        <v>PremiumSS5R5only</v>
      </c>
      <c r="D357" s="95" t="str">
        <f t="shared" si="40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雷神のサンディア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god</v>
      </c>
      <c r="N357" s="7">
        <f>VLOOKUP(B357,[1]characters!$A:$G,7,FALSE)</f>
        <v>0</v>
      </c>
      <c r="O357" s="43">
        <f>IFERROR(VLOOKUP(B357,input_552100!L:R,7,FALSE),VLOOKUP(tables_552100!C357,input_552100!A:H,8,FALSE))</f>
        <v>86400</v>
      </c>
      <c r="P357" s="44">
        <f t="shared" ca="1" si="26"/>
        <v>1.4999999998958315E-2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12">
        <v>5</v>
      </c>
    </row>
    <row r="358" spans="1:22" ht="21" customHeight="1" x14ac:dyDescent="0.15">
      <c r="A358" s="2" t="str">
        <f ca="1">input_552100!A$2</f>
        <v>552100</v>
      </c>
      <c r="B358" s="58">
        <v>1535</v>
      </c>
      <c r="C358" s="7" t="str">
        <f t="shared" si="39"/>
        <v>PremiumSS5R5only</v>
      </c>
      <c r="D358" s="95" t="str">
        <f t="shared" si="40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ねこナース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red</v>
      </c>
      <c r="L358" s="7" t="str">
        <f>VLOOKUP(B358,[1]characters!$A:$K,11,FALSE)</f>
        <v>technical</v>
      </c>
      <c r="M358" s="7" t="str">
        <f>VLOOKUP(B358,[1]characters!$A:$M,13,FALSE)</f>
        <v>god</v>
      </c>
      <c r="N358" s="7">
        <f>VLOOKUP(B358,[1]characters!$A:$G,7,FALSE)</f>
        <v>0</v>
      </c>
      <c r="O358" s="43">
        <f>IFERROR(VLOOKUP(B358,input_552100!L:R,7,FALSE),VLOOKUP(tables_552100!C358,input_552100!A:H,8,FALSE))</f>
        <v>86400</v>
      </c>
      <c r="P358" s="44">
        <f t="shared" ca="1" si="26"/>
        <v>1.4999999998958315E-2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12">
        <v>5</v>
      </c>
    </row>
    <row r="359" spans="1:22" ht="21" customHeight="1" x14ac:dyDescent="0.15">
      <c r="A359" s="2" t="str">
        <f ca="1">input_552100!A$2</f>
        <v>552100</v>
      </c>
      <c r="B359" s="58">
        <v>1527</v>
      </c>
      <c r="C359" s="7" t="str">
        <f t="shared" si="39"/>
        <v>Premium4R3less</v>
      </c>
      <c r="D359" s="95" t="str">
        <f t="shared" si="40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ネコ魔剣士</v>
      </c>
      <c r="I359" s="7" t="str">
        <f>VLOOKUP(B359,[1]characters!$A:$J,10,FALSE)</f>
        <v>PremiumS</v>
      </c>
      <c r="J359" s="7">
        <f>VLOOKUP(B359,[1]characters!$A:$I,9,FALSE)</f>
        <v>4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animal</v>
      </c>
      <c r="N359" s="7">
        <f>VLOOKUP(B359,[1]characters!$A:$G,7,FALSE)</f>
        <v>0</v>
      </c>
      <c r="O359" s="43">
        <f>IFERROR(VLOOKUP(B359,input_552100!L:R,7,FALSE),VLOOKUP(tables_552100!C359,input_552100!A:H,8,FALSE))</f>
        <v>187200</v>
      </c>
      <c r="P359" s="44">
        <f t="shared" ca="1" si="26"/>
        <v>3.2499999997743015E-2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12">
        <v>5</v>
      </c>
    </row>
    <row r="360" spans="1:22" ht="21" customHeight="1" x14ac:dyDescent="0.15">
      <c r="A360" s="2" t="str">
        <f ca="1">input_552100!A$2</f>
        <v>552100</v>
      </c>
      <c r="B360" s="58">
        <v>1528</v>
      </c>
      <c r="C360" s="7" t="str">
        <f t="shared" ref="C360:C366" si="43">D360&amp;J360&amp;E360&amp;F360&amp;G360</f>
        <v>Premium5R3less</v>
      </c>
      <c r="D360" s="95" t="str">
        <f t="shared" ref="D360:D366" si="44">IF(OR(I360="PremiumSS",I360="PremiumSSw"),"PremiumSS",IF(I360="PremiumSSS",I360,IF(I360="PremiumW",IF(J360=5,"premium",I360),"Premium")))</f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双剣ネコ魔剣士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red</v>
      </c>
      <c r="L360" s="7" t="str">
        <f>VLOOKUP(B360,[1]characters!$A:$K,11,FALSE)</f>
        <v>attack</v>
      </c>
      <c r="M360" s="7" t="str">
        <f>VLOOKUP(B360,[1]characters!$A:$M,13,FALSE)</f>
        <v>animal</v>
      </c>
      <c r="N360" s="7">
        <f>VLOOKUP(B360,[1]characters!$A:$G,7,FALSE)</f>
        <v>0</v>
      </c>
      <c r="O360" s="43">
        <f>IFERROR(VLOOKUP(B360,input_552100!L:R,7,FALSE),VLOOKUP(tables_552100!C360,input_552100!A:H,8,FALSE))</f>
        <v>48960</v>
      </c>
      <c r="P360" s="44">
        <f t="shared" ref="P360:P366" ca="1" si="45">O360/SUM(O:O)</f>
        <v>8.4999999994097124E-3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12">
        <v>5</v>
      </c>
    </row>
    <row r="361" spans="1:22" ht="21" customHeight="1" x14ac:dyDescent="0.15">
      <c r="A361" s="2" t="str">
        <f ca="1">input_552100!A$2</f>
        <v>552100</v>
      </c>
      <c r="B361" s="58">
        <v>1529</v>
      </c>
      <c r="C361" s="7" t="str">
        <f t="shared" si="43"/>
        <v>Premium4R3less</v>
      </c>
      <c r="D361" s="95" t="str">
        <f t="shared" si="44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ねこ海賊</v>
      </c>
      <c r="I361" s="7" t="str">
        <f>VLOOKUP(B361,[1]characters!$A:$J,10,FALSE)</f>
        <v>PremiumS</v>
      </c>
      <c r="J361" s="7">
        <f>VLOOKUP(B361,[1]characters!$A:$I,9,FALSE)</f>
        <v>4</v>
      </c>
      <c r="K361" s="7" t="str">
        <f>VLOOKUP(B361,[1]characters!$A:$H,8,FALSE)</f>
        <v>blue</v>
      </c>
      <c r="L361" s="7" t="str">
        <f>VLOOKUP(B361,[1]characters!$A:$K,11,FALSE)</f>
        <v>balance</v>
      </c>
      <c r="M361" s="7" t="str">
        <f>VLOOKUP(B361,[1]characters!$A:$M,13,FALSE)</f>
        <v>unknown</v>
      </c>
      <c r="N361" s="7">
        <f>VLOOKUP(B361,[1]characters!$A:$G,7,FALSE)</f>
        <v>0</v>
      </c>
      <c r="O361" s="43">
        <f>IFERROR(VLOOKUP(B361,input_552100!L:R,7,FALSE),VLOOKUP(tables_552100!C361,input_552100!A:H,8,FALSE))</f>
        <v>187200</v>
      </c>
      <c r="P361" s="44">
        <f t="shared" ca="1" si="45"/>
        <v>3.2499999997743015E-2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12">
        <v>5</v>
      </c>
    </row>
    <row r="362" spans="1:22" ht="21" customHeight="1" x14ac:dyDescent="0.15">
      <c r="A362" s="2" t="str">
        <f ca="1">input_552100!A$2</f>
        <v>552100</v>
      </c>
      <c r="B362" s="86">
        <v>1530</v>
      </c>
      <c r="C362" s="7" t="str">
        <f t="shared" si="43"/>
        <v>Premium5R3less</v>
      </c>
      <c r="D362" s="95" t="str">
        <f t="shared" si="44"/>
        <v>Premium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ニャーコック船長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unknown</v>
      </c>
      <c r="N362" s="7">
        <f>VLOOKUP(B362,[1]characters!$A:$G,7,FALSE)</f>
        <v>0</v>
      </c>
      <c r="O362" s="43">
        <f>IFERROR(VLOOKUP(B362,input_552100!L:R,7,FALSE),VLOOKUP(tables_552100!C362,input_552100!A:H,8,FALSE))</f>
        <v>48960</v>
      </c>
      <c r="P362" s="44">
        <f t="shared" ca="1" si="45"/>
        <v>8.4999999994097124E-3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12">
        <v>5</v>
      </c>
    </row>
    <row r="363" spans="1:22" ht="21" customHeight="1" x14ac:dyDescent="0.15">
      <c r="A363" s="2" t="str">
        <f ca="1">input_552100!A$2</f>
        <v>552100</v>
      </c>
      <c r="B363" s="86">
        <v>1531</v>
      </c>
      <c r="C363" s="7" t="str">
        <f t="shared" si="43"/>
        <v>Premium4R3less</v>
      </c>
      <c r="D363" s="95" t="str">
        <f t="shared" si="44"/>
        <v>Premium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ねこジュラ</v>
      </c>
      <c r="I363" s="7" t="str">
        <f>VLOOKUP(B363,[1]characters!$A:$J,10,FALSE)</f>
        <v>PremiumS</v>
      </c>
      <c r="J363" s="7">
        <f>VLOOKUP(B363,[1]characters!$A:$I,9,FALSE)</f>
        <v>4</v>
      </c>
      <c r="K363" s="7" t="str">
        <f>VLOOKUP(B363,[1]characters!$A:$H,8,FALSE)</f>
        <v>green</v>
      </c>
      <c r="L363" s="7" t="str">
        <f>VLOOKUP(B363,[1]characters!$A:$K,11,FALSE)</f>
        <v>technical</v>
      </c>
      <c r="M363" s="7" t="str">
        <f>VLOOKUP(B363,[1]characters!$A:$M,13,FALSE)</f>
        <v>animal</v>
      </c>
      <c r="N363" s="7">
        <f>VLOOKUP(B363,[1]characters!$A:$G,7,FALSE)</f>
        <v>0</v>
      </c>
      <c r="O363" s="43">
        <f>IFERROR(VLOOKUP(B363,input_552100!L:R,7,FALSE),VLOOKUP(tables_552100!C363,input_552100!A:H,8,FALSE))</f>
        <v>187200</v>
      </c>
      <c r="P363" s="44">
        <f t="shared" ca="1" si="45"/>
        <v>3.2499999997743015E-2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12">
        <v>5</v>
      </c>
    </row>
    <row r="364" spans="1:22" ht="21" customHeight="1" x14ac:dyDescent="0.15">
      <c r="A364" s="2" t="str">
        <f ca="1">input_552100!A$2</f>
        <v>552100</v>
      </c>
      <c r="B364">
        <v>1532</v>
      </c>
      <c r="C364" s="7" t="str">
        <f t="shared" si="43"/>
        <v>Premium5R3less</v>
      </c>
      <c r="D364" s="95" t="str">
        <f t="shared" si="44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ねこジュラシッター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green</v>
      </c>
      <c r="L364" s="7" t="str">
        <f>VLOOKUP(B364,[1]characters!$A:$K,11,FALSE)</f>
        <v>technical</v>
      </c>
      <c r="M364" s="7" t="str">
        <f>VLOOKUP(B364,[1]characters!$A:$M,13,FALSE)</f>
        <v>animal</v>
      </c>
      <c r="N364" s="7">
        <f>VLOOKUP(B364,[1]characters!$A:$G,7,FALSE)</f>
        <v>0</v>
      </c>
      <c r="O364" s="43">
        <f>IFERROR(VLOOKUP(B364,input_552100!L:R,7,FALSE),VLOOKUP(tables_552100!C364,input_552100!A:H,8,FALSE))</f>
        <v>48960</v>
      </c>
      <c r="P364" s="44">
        <f t="shared" ca="1" si="45"/>
        <v>8.4999999994097124E-3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112">
        <v>5</v>
      </c>
    </row>
    <row r="365" spans="1:22" ht="21" customHeight="1" x14ac:dyDescent="0.15">
      <c r="A365" s="2" t="str">
        <f ca="1">input_552100!A$2</f>
        <v>552100</v>
      </c>
      <c r="B365">
        <v>1533</v>
      </c>
      <c r="C365" s="7" t="str">
        <f t="shared" si="43"/>
        <v>Premium4R3less</v>
      </c>
      <c r="D365" s="95" t="str">
        <f t="shared" si="44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ネコエステ</v>
      </c>
      <c r="I365" s="7" t="str">
        <f>VLOOKUP(B365,[1]characters!$A:$J,10,FALSE)</f>
        <v>PremiumS</v>
      </c>
      <c r="J365" s="7">
        <f>VLOOKUP(B365,[1]characters!$A:$I,9,FALSE)</f>
        <v>4</v>
      </c>
      <c r="K365" s="7" t="str">
        <f>VLOOKUP(B365,[1]characters!$A:$H,8,FALSE)</f>
        <v>yellow</v>
      </c>
      <c r="L365" s="7" t="str">
        <f>VLOOKUP(B365,[1]characters!$A:$K,11,FALSE)</f>
        <v>attack</v>
      </c>
      <c r="M365" s="7" t="str">
        <f>VLOOKUP(B365,[1]characters!$A:$M,13,FALSE)</f>
        <v>animal</v>
      </c>
      <c r="N365" s="7">
        <f>VLOOKUP(B365,[1]characters!$A:$G,7,FALSE)</f>
        <v>0</v>
      </c>
      <c r="O365" s="43">
        <f>IFERROR(VLOOKUP(B365,input_552100!L:R,7,FALSE),VLOOKUP(tables_552100!C365,input_552100!A:H,8,FALSE))</f>
        <v>187200</v>
      </c>
      <c r="P365" s="44">
        <f t="shared" ca="1" si="45"/>
        <v>3.2499999997743015E-2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112">
        <v>5</v>
      </c>
    </row>
    <row r="366" spans="1:22" ht="21" customHeight="1" x14ac:dyDescent="0.15">
      <c r="A366" s="2" t="str">
        <f ca="1">input_552100!A$2</f>
        <v>552100</v>
      </c>
      <c r="B366">
        <v>1534</v>
      </c>
      <c r="C366" s="7" t="str">
        <f t="shared" si="43"/>
        <v>Premium5R3less</v>
      </c>
      <c r="D366" s="95" t="str">
        <f t="shared" si="44"/>
        <v>Premium</v>
      </c>
      <c r="E366" s="7" t="str">
        <f>IF(COUNTIF('R6追加前'!A:A,B366)=0,IF(OR(I366="PremiumSS",I366="PremiumSSw"),"R5only","R3less"),"")</f>
        <v>R3less</v>
      </c>
      <c r="F366" s="7" t="str">
        <f>IF(COUNTIF('R6開放'!A:A,B366)&gt;0,"R6release","")</f>
        <v/>
      </c>
      <c r="G366" s="7"/>
      <c r="H366" s="7" t="str">
        <f>VLOOKUP(B366,[1]characters!$A:$C,3,FALSE)</f>
        <v>ネコジェンヌ</v>
      </c>
      <c r="I366" s="7" t="str">
        <f>VLOOKUP(B366,[1]characters!$A:$J,10,FALSE)</f>
        <v>PremiumS</v>
      </c>
      <c r="J366" s="7">
        <f>VLOOKUP(B366,[1]characters!$A:$I,9,FALSE)</f>
        <v>5</v>
      </c>
      <c r="K366" s="7" t="str">
        <f>VLOOKUP(B366,[1]characters!$A:$H,8,FALSE)</f>
        <v>yellow</v>
      </c>
      <c r="L366" s="7" t="str">
        <f>VLOOKUP(B366,[1]characters!$A:$K,11,FALSE)</f>
        <v>attack</v>
      </c>
      <c r="M366" s="7" t="str">
        <f>VLOOKUP(B366,[1]characters!$A:$M,13,FALSE)</f>
        <v>animal</v>
      </c>
      <c r="N366" s="7">
        <f>VLOOKUP(B366,[1]characters!$A:$G,7,FALSE)</f>
        <v>0</v>
      </c>
      <c r="O366" s="43">
        <f>IFERROR(VLOOKUP(B366,input_552100!L:R,7,FALSE),VLOOKUP(tables_552100!C366,input_552100!A:H,8,FALSE))</f>
        <v>48960</v>
      </c>
      <c r="P366" s="44">
        <f t="shared" ca="1" si="45"/>
        <v>8.4999999994097124E-3</v>
      </c>
      <c r="Q366" s="30">
        <v>1</v>
      </c>
      <c r="R366" s="30">
        <v>0</v>
      </c>
      <c r="S366" s="30">
        <v>0</v>
      </c>
      <c r="T366" s="30">
        <v>0</v>
      </c>
      <c r="U366" s="30">
        <v>0</v>
      </c>
      <c r="V366" s="112">
        <v>5</v>
      </c>
    </row>
    <row r="367" spans="1:22" ht="21" customHeight="1" x14ac:dyDescent="0.15">
      <c r="B367"/>
    </row>
    <row r="368" spans="1:22" ht="21" customHeight="1" x14ac:dyDescent="0.15">
      <c r="B368"/>
    </row>
    <row r="369" spans="2:2" ht="21" customHeight="1" x14ac:dyDescent="0.15">
      <c r="B369"/>
    </row>
    <row r="370" spans="2:2" ht="21" customHeight="1" x14ac:dyDescent="0.15">
      <c r="B370"/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4"/>
  <sheetViews>
    <sheetView showGridLines="0" tabSelected="1" zoomScale="75" zoomScaleNormal="75" zoomScalePageLayoutView="75" workbookViewId="0">
      <pane ySplit="1" topLeftCell="A2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552100</v>
      </c>
      <c r="B2" s="58">
        <v>1537</v>
      </c>
      <c r="C2" s="7" t="str">
        <f t="shared" ref="C2" si="0">D2&amp;J2&amp;E2&amp;F2&amp;G2</f>
        <v>PremiumSSS5R3less</v>
      </c>
      <c r="D2" s="7" t="str">
        <f t="shared" ref="D2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キャットマンダディ</v>
      </c>
      <c r="I2" s="7" t="str">
        <f>VLOOKUP(B2,[1]characters!$A:$J,10,FALSE)</f>
        <v>PremiumSSS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unknown</v>
      </c>
      <c r="N2" s="7">
        <f>VLOOKUP(B2,[1]characters!$A:$G,7,FALSE)</f>
        <v>0</v>
      </c>
      <c r="O2" s="43">
        <v>20</v>
      </c>
      <c r="P2" s="44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112">
        <v>5</v>
      </c>
    </row>
    <row r="3" spans="1:22" ht="21" customHeight="1" x14ac:dyDescent="0.15">
      <c r="A3" s="2">
        <v>552100</v>
      </c>
      <c r="B3" s="58">
        <v>1539</v>
      </c>
      <c r="C3" s="7" t="str">
        <f t="shared" ref="C3:C4" si="2">D3&amp;J3&amp;E3&amp;F3&amp;G3</f>
        <v>PremiumSS5R5only</v>
      </c>
      <c r="D3" s="7" t="str">
        <f t="shared" ref="D3:D4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雷神のサンディア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god</v>
      </c>
      <c r="N3" s="7">
        <f>VLOOKUP(B3,[1]characters!$A:$G,7,FALSE)</f>
        <v>0</v>
      </c>
      <c r="O3" s="43">
        <v>40</v>
      </c>
      <c r="P3" s="44">
        <f>O3/SUM(O:O)</f>
        <v>0.4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112">
        <v>5</v>
      </c>
    </row>
    <row r="4" spans="1:22" ht="21" customHeight="1" x14ac:dyDescent="0.15">
      <c r="A4" s="2">
        <v>552100</v>
      </c>
      <c r="B4" s="58">
        <v>1535</v>
      </c>
      <c r="C4" s="7" t="str">
        <f t="shared" si="2"/>
        <v>PremiumSS5R5only</v>
      </c>
      <c r="D4" s="7" t="str">
        <f t="shared" si="3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ねこナース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technical</v>
      </c>
      <c r="M4" s="7" t="str">
        <f>VLOOKUP(B4,[1]characters!$A:$M,13,FALSE)</f>
        <v>god</v>
      </c>
      <c r="N4" s="7">
        <f>VLOOKUP(B4,[1]characters!$A:$G,7,FALSE)</f>
        <v>0</v>
      </c>
      <c r="O4" s="43">
        <v>40</v>
      </c>
      <c r="P4" s="44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112">
        <v>5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P2" sqref="P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0" t="s">
        <v>88</v>
      </c>
      <c r="H1" s="50" t="s">
        <v>89</v>
      </c>
      <c r="I1" s="51" t="s">
        <v>90</v>
      </c>
      <c r="J1" s="51" t="s">
        <v>91</v>
      </c>
      <c r="K1" s="51" t="s">
        <v>92</v>
      </c>
      <c r="L1" s="51" t="s">
        <v>93</v>
      </c>
      <c r="M1" s="51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8">
        <v>552105</v>
      </c>
      <c r="B2" s="98">
        <v>5521051</v>
      </c>
      <c r="C2" s="77" t="s">
        <v>256</v>
      </c>
      <c r="D2" s="77">
        <v>704</v>
      </c>
      <c r="E2" s="77">
        <v>10</v>
      </c>
      <c r="F2" s="77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7" t="s">
        <v>257</v>
      </c>
      <c r="O2" s="77" t="s">
        <v>258</v>
      </c>
      <c r="P2" s="77" t="s">
        <v>263</v>
      </c>
      <c r="Q2" s="78" t="s">
        <v>264</v>
      </c>
    </row>
    <row r="3" spans="1:17" ht="21" customHeight="1" x14ac:dyDescent="0.15">
      <c r="A3" s="98"/>
      <c r="B3" s="98"/>
      <c r="C3" s="77"/>
      <c r="D3" s="77"/>
      <c r="E3" s="77"/>
      <c r="F3" s="2"/>
      <c r="G3" s="103"/>
      <c r="H3" s="103"/>
      <c r="I3" s="103"/>
      <c r="J3" s="103"/>
      <c r="K3" s="103"/>
      <c r="L3" s="103"/>
      <c r="M3" s="103"/>
      <c r="N3" s="77"/>
      <c r="O3" s="77"/>
      <c r="P3" s="77"/>
      <c r="Q3" s="78"/>
    </row>
    <row r="4" spans="1:17" ht="21" customHeight="1" x14ac:dyDescent="0.15">
      <c r="A4" s="98"/>
      <c r="B4" s="98"/>
      <c r="C4" s="77"/>
      <c r="D4" s="77"/>
      <c r="E4" s="77"/>
      <c r="F4" s="2"/>
      <c r="G4" s="103"/>
      <c r="H4" s="103"/>
      <c r="I4" s="103"/>
      <c r="J4" s="103"/>
      <c r="K4" s="103"/>
      <c r="L4" s="103"/>
      <c r="M4" s="103"/>
      <c r="N4" s="77"/>
      <c r="O4" s="77"/>
      <c r="P4" s="77"/>
      <c r="Q4" s="78"/>
    </row>
    <row r="5" spans="1:17" ht="21" customHeight="1" x14ac:dyDescent="0.15">
      <c r="A5" s="76"/>
      <c r="B5" s="76"/>
      <c r="G5" s="84"/>
      <c r="H5" s="84"/>
      <c r="I5" s="84"/>
      <c r="J5" s="84"/>
      <c r="K5" s="84"/>
      <c r="L5" s="84"/>
      <c r="M5" s="84"/>
      <c r="N5" s="77"/>
      <c r="O5" s="77"/>
      <c r="P5" s="77"/>
      <c r="Q5" s="78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8">
        <v>668</v>
      </c>
      <c r="B246" s="7" t="str">
        <f>VLOOKUP(A246,[1]characters!$A:$C,3,FALSE)</f>
        <v>アグニ</v>
      </c>
    </row>
    <row r="247" spans="1:2" x14ac:dyDescent="0.15">
      <c r="A247" s="58">
        <v>669</v>
      </c>
      <c r="B247" s="7" t="str">
        <f>VLOOKUP(A247,[1]characters!$A:$C,3,FALSE)</f>
        <v>天地の仲界 アグニ</v>
      </c>
    </row>
    <row r="248" spans="1:2" x14ac:dyDescent="0.15">
      <c r="A248" s="58">
        <v>670</v>
      </c>
      <c r="B248" s="7" t="str">
        <f>VLOOKUP(A248,[1]characters!$A:$C,3,FALSE)</f>
        <v>陽天の噴煙 アグニ</v>
      </c>
    </row>
    <row r="249" spans="1:2" x14ac:dyDescent="0.15">
      <c r="A249" s="58">
        <v>671</v>
      </c>
      <c r="B249" s="7" t="str">
        <f>VLOOKUP(A249,[1]characters!$A:$C,3,FALSE)</f>
        <v>ハヌマーン</v>
      </c>
    </row>
    <row r="250" spans="1:2" x14ac:dyDescent="0.15">
      <c r="A250" s="58">
        <v>672</v>
      </c>
      <c r="B250" s="7" t="str">
        <f>VLOOKUP(A250,[1]characters!$A:$C,3,FALSE)</f>
        <v>西遊韋駄天 ハヌマーン</v>
      </c>
    </row>
    <row r="251" spans="1:2" x14ac:dyDescent="0.15">
      <c r="A251" s="58">
        <v>673</v>
      </c>
      <c r="B251" s="7" t="str">
        <f>VLOOKUP(A251,[1]characters!$A:$C,3,FALSE)</f>
        <v>変幻自在の猿王 ハヌマーン</v>
      </c>
    </row>
    <row r="252" spans="1:2" x14ac:dyDescent="0.15">
      <c r="A252" s="58">
        <v>674</v>
      </c>
      <c r="B252" s="7" t="str">
        <f>VLOOKUP(A252,[1]characters!$A:$C,3,FALSE)</f>
        <v>サラスヴァティ</v>
      </c>
    </row>
    <row r="253" spans="1:2" x14ac:dyDescent="0.15">
      <c r="A253" s="58">
        <v>675</v>
      </c>
      <c r="B253" s="7" t="str">
        <f>VLOOKUP(A253,[1]characters!$A:$C,3,FALSE)</f>
        <v>芸楽の奔流 サラスヴァティ</v>
      </c>
    </row>
    <row r="254" spans="1:2" x14ac:dyDescent="0.15">
      <c r="A254" s="58">
        <v>676</v>
      </c>
      <c r="B254" s="7" t="str">
        <f>VLOOKUP(A254,[1]characters!$A:$C,3,FALSE)</f>
        <v>ヴィシュヌ</v>
      </c>
    </row>
    <row r="255" spans="1:2" x14ac:dyDescent="0.15">
      <c r="A255" s="58">
        <v>677</v>
      </c>
      <c r="B255" s="7" t="str">
        <f>VLOOKUP(A255,[1]characters!$A:$C,3,FALSE)</f>
        <v>武遊闊歩 ヴィシュヌ</v>
      </c>
    </row>
    <row r="256" spans="1:2" x14ac:dyDescent="0.15">
      <c r="A256" s="58">
        <v>770</v>
      </c>
      <c r="B256" s="7" t="str">
        <f>VLOOKUP(A256,[1]characters!$A:$C,3,FALSE)</f>
        <v>ハヅル</v>
      </c>
    </row>
    <row r="257" spans="1:2" x14ac:dyDescent="0.15">
      <c r="A257" s="58">
        <v>771</v>
      </c>
      <c r="B257" s="7" t="str">
        <f>VLOOKUP(A257,[1]characters!$A:$C,3,FALSE)</f>
        <v>天織羽鶴 ハヅル</v>
      </c>
    </row>
    <row r="258" spans="1:2" x14ac:dyDescent="0.15">
      <c r="A258" s="58">
        <v>772</v>
      </c>
      <c r="B258" s="7" t="str">
        <f>VLOOKUP(A258,[1]characters!$A:$C,3,FALSE)</f>
        <v>イナバ</v>
      </c>
    </row>
    <row r="259" spans="1:2" x14ac:dyDescent="0.15">
      <c r="A259" s="58">
        <v>773</v>
      </c>
      <c r="B259" s="7" t="str">
        <f>VLOOKUP(A259,[1]characters!$A:$C,3,FALSE)</f>
        <v>浮跳天兎 イナバ</v>
      </c>
    </row>
    <row r="260" spans="1:2" x14ac:dyDescent="0.15">
      <c r="A260" s="58">
        <v>774</v>
      </c>
      <c r="B260" s="7" t="str">
        <f>VLOOKUP(A260,[1]characters!$A:$C,3,FALSE)</f>
        <v>ミズチ</v>
      </c>
    </row>
    <row r="261" spans="1:2" x14ac:dyDescent="0.15">
      <c r="A261" s="58">
        <v>775</v>
      </c>
      <c r="B261" s="7" t="str">
        <f>VLOOKUP(A261,[1]characters!$A:$C,3,FALSE)</f>
        <v>水底霊竜 ミズチ</v>
      </c>
    </row>
    <row r="262" spans="1:2" x14ac:dyDescent="0.15">
      <c r="A262" s="58">
        <v>776</v>
      </c>
      <c r="B262" s="7" t="str">
        <f>VLOOKUP(A262,[1]characters!$A:$C,3,FALSE)</f>
        <v>水竜底主 ミズチ</v>
      </c>
    </row>
    <row r="263" spans="1:2" x14ac:dyDescent="0.15">
      <c r="A263" s="58">
        <v>777</v>
      </c>
      <c r="B263" s="7" t="str">
        <f>VLOOKUP(A263,[1]characters!$A:$C,3,FALSE)</f>
        <v>ガメック</v>
      </c>
    </row>
    <row r="264" spans="1:2" x14ac:dyDescent="0.15">
      <c r="A264" s="58">
        <v>778</v>
      </c>
      <c r="B264" s="7" t="str">
        <f>VLOOKUP(A264,[1]characters!$A:$C,3,FALSE)</f>
        <v>一亀懸明 ガメック</v>
      </c>
    </row>
    <row r="265" spans="1:2" x14ac:dyDescent="0.15">
      <c r="A265" s="58">
        <v>779</v>
      </c>
      <c r="B265" s="7" t="str">
        <f>VLOOKUP(A265,[1]characters!$A:$C,3,FALSE)</f>
        <v>頑堅咬亀 ガメック</v>
      </c>
    </row>
    <row r="266" spans="1:2" x14ac:dyDescent="0.15">
      <c r="A266" s="58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input_552010</vt:lpstr>
      <vt:lpstr>tables_552010</vt:lpstr>
      <vt:lpstr>input_552100</vt:lpstr>
      <vt:lpstr>tables_552100</vt:lpstr>
      <vt:lpstr>tables_settle_552100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2017-03-16T08:21:34Z</dcterms:modified>
</cp:coreProperties>
</file>